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AF273BC6-41AF-417B-AE54-2CDCF7390C2F}"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LF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6" i="5" l="1"/>
  <c r="E36" i="5"/>
  <c r="G36" i="5"/>
  <c r="H36" i="5"/>
  <c r="I36" i="5"/>
  <c r="J36" i="5"/>
  <c r="M36" i="5"/>
  <c r="N36" i="5"/>
  <c r="O36" i="5"/>
  <c r="Q36" i="5"/>
  <c r="R36" i="5"/>
  <c r="S36" i="5"/>
  <c r="T36" i="5"/>
  <c r="U36" i="5"/>
  <c r="V36" i="5"/>
  <c r="W36" i="5"/>
  <c r="X36" i="5"/>
  <c r="Y36" i="5"/>
  <c r="Z36" i="5"/>
  <c r="AA36" i="5"/>
  <c r="AB36" i="5"/>
  <c r="AC36" i="5"/>
  <c r="AD36" i="5"/>
  <c r="AE36" i="5"/>
  <c r="AF36" i="5"/>
  <c r="AG36" i="5"/>
  <c r="AH36" i="5"/>
  <c r="AI36" i="5"/>
  <c r="AJ36" i="5"/>
  <c r="C36" i="2"/>
  <c r="E36" i="2"/>
  <c r="G36" i="2"/>
  <c r="H36" i="2"/>
  <c r="I36" i="2"/>
  <c r="J36" i="2"/>
  <c r="M36" i="2"/>
  <c r="N36" i="2"/>
  <c r="O36" i="2"/>
  <c r="Q36" i="2"/>
  <c r="R36" i="2"/>
  <c r="S36" i="2"/>
  <c r="T36" i="2"/>
  <c r="U36" i="2"/>
  <c r="V36" i="2"/>
  <c r="W36" i="2"/>
  <c r="X36" i="2"/>
  <c r="Y36" i="2"/>
  <c r="Z36" i="2"/>
  <c r="AA36" i="2"/>
  <c r="AB36" i="2"/>
  <c r="AC36" i="2"/>
  <c r="AD36" i="2"/>
  <c r="AE36" i="2"/>
  <c r="AF36" i="2"/>
  <c r="AG36" i="2"/>
  <c r="AH36" i="2"/>
  <c r="AI36" i="2"/>
  <c r="AJ3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0" authorId="0" shapeId="0" xr:uid="{FECB4F03-A5AB-4285-BA3E-E8191DF655F0}">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B20" authorId="0" shapeId="0" xr:uid="{6C935D3E-AA30-42FD-A98F-6AB5A3774339}">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C20" authorId="0" shapeId="0" xr:uid="{78DD2027-79F6-4042-A46E-73E28ED84D18}">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D20" authorId="0" shapeId="0" xr:uid="{7CF2EB12-6B9E-4184-B730-72AE8B033FAF}">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E20" authorId="0" shapeId="0" xr:uid="{2450CE64-BF7C-4EFA-8D36-87709DC1E717}">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F20" authorId="0" shapeId="0" xr:uid="{E2329B6D-4A14-499C-B4E4-EE260FEBC022}">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G20" authorId="0" shapeId="0" xr:uid="{35749621-DEF0-4EDF-920B-6CB587E95C1A}">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H20" authorId="0" shapeId="0" xr:uid="{96E8EF1A-E258-4893-82A2-26278D65E6E4}">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A21" authorId="0" shapeId="0" xr:uid="{9473EA0C-33B7-4077-B79A-5DCD2845D1F5}">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B21" authorId="0" shapeId="0" xr:uid="{A9D3A51B-C6E2-4D9B-9011-6A5AC0E08AB2}">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C21" authorId="0" shapeId="0" xr:uid="{A6AED26A-7593-4E8F-A582-5B57E67F93E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D21" authorId="0" shapeId="0" xr:uid="{E5AB1A3B-3CCE-4733-802C-B9FDF69F82C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E21" authorId="0" shapeId="0" xr:uid="{1021391E-E92C-43E8-AF2B-57C2C9EB31D5}">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F21" authorId="0" shapeId="0" xr:uid="{AE2DF35A-C54F-4F94-B7C6-9780488B070E}">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G21" authorId="0" shapeId="0" xr:uid="{1A25E6AF-4CCC-4013-88D6-97C6AB8F9E2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H21" authorId="0" shapeId="0" xr:uid="{77E25A3C-2A19-4687-A55C-CDAAA1C1302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A28" authorId="0" shapeId="0" xr:uid="{41136E48-DE9A-4F2B-AE79-BE4F415874E7}">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B28" authorId="0" shapeId="0" xr:uid="{DB658823-B7A4-4F29-BCFD-57E7A0358358}">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C28" authorId="0" shapeId="0" xr:uid="{B12829B4-C7AD-4057-8E3E-AE8E2DD44047}">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D28" authorId="0" shapeId="0" xr:uid="{0EA492C1-497C-4ECC-979F-1E264C9285A2}">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E28" authorId="0" shapeId="0" xr:uid="{99B752AC-A0A0-4DF4-9EA7-96AF52880EF1}">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F28" authorId="0" shapeId="0" xr:uid="{BFB605E7-DB9B-4016-BF53-29D71AF9DBD3}">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G28" authorId="0" shapeId="0" xr:uid="{90351480-D632-459C-BB3B-BD17B3BDEB7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H28" authorId="0" shapeId="0" xr:uid="{DFB826FB-7A38-4160-A31A-9272237AE57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A64" authorId="0" shapeId="0" xr:uid="{6C9CE06C-E688-4A63-99BB-33F9DB3EE1DA}">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B64" authorId="0" shapeId="0" xr:uid="{7ECEB13A-96CE-4431-A4F4-DE82D91A5863}">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C64" authorId="0" shapeId="0" xr:uid="{ED1F1702-25A0-4A3C-980D-75913175D78B}">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D64" authorId="0" shapeId="0" xr:uid="{93646A2A-D2E2-44E1-BC3C-F59EF8054FCF}">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E64" authorId="0" shapeId="0" xr:uid="{F784FBAA-1642-456F-9E78-5826BBB2BD7F}">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F64" authorId="0" shapeId="0" xr:uid="{1B2207CE-D644-40BA-8E1A-B925BE796C97}">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G64" authorId="0" shapeId="0" xr:uid="{B57EA461-5E07-4FF9-B3B0-8C7B6F78A15A}">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H64" authorId="0" shapeId="0" xr:uid="{5F8D032A-CF96-40E3-A60B-FDE16000B7CC}">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A65" authorId="0" shapeId="0" xr:uid="{0D02AD0A-7EA7-43B5-8482-66D7488CE2AF}">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B65" authorId="0" shapeId="0" xr:uid="{CEE95EF7-9460-4EE7-B785-6CFFB1FA5069}">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C65" authorId="0" shapeId="0" xr:uid="{3C399432-14A4-4ADB-94AA-3A6DF3C9B74D}">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D65" authorId="0" shapeId="0" xr:uid="{0AFE74B0-681E-4D4C-9079-D4E3052744FC}">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E65" authorId="0" shapeId="0" xr:uid="{035E3962-7BAA-4008-9971-59C02621988A}">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F65" authorId="0" shapeId="0" xr:uid="{6562C02F-281C-4917-9E05-AD83A3F90F8A}">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G65" authorId="0" shapeId="0" xr:uid="{53C8B03B-2A46-4DAC-AC44-EBCD02E4E4D6}">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H65" authorId="0" shapeId="0" xr:uid="{61F5DBDD-6DC4-4558-A216-C51E0E2C2FCB}">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A66" authorId="0" shapeId="0" xr:uid="{6A434F23-B591-4C79-BF78-B2E5E1E9E1AA}">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B66" authorId="0" shapeId="0" xr:uid="{81B99257-6DBD-492D-9AE8-31F9539ABE84}">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C66" authorId="0" shapeId="0" xr:uid="{B19FF3A6-FDB3-409E-A581-303ACBF6639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D66" authorId="0" shapeId="0" xr:uid="{6CB114E0-BEA7-4566-8230-610EC348E354}">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E66" authorId="0" shapeId="0" xr:uid="{E0F93ABA-076F-4FF2-AE30-7FC01F92EFE8}">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F66" authorId="0" shapeId="0" xr:uid="{403D3CA9-5449-471B-AA71-2F059A3ED9B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G66" authorId="0" shapeId="0" xr:uid="{2D2480D5-D7E5-4F2B-8EB3-60E30FE42038}">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H66" authorId="0" shapeId="0" xr:uid="{85EB2378-F200-477B-B4FC-77480306DF32}">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A78" authorId="0" shapeId="0" xr:uid="{D7661AA6-EAE3-4845-AA32-F21615B14149}">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B78" authorId="0" shapeId="0" xr:uid="{11130972-5E1D-4E53-B3C6-7C0015382172}">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C78" authorId="0" shapeId="0" xr:uid="{117479E0-7ABE-4C81-8A38-62C75D48DF54}">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D78" authorId="0" shapeId="0" xr:uid="{D1F55D95-2429-41B1-AA7C-CF04203BD291}">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E78" authorId="0" shapeId="0" xr:uid="{659336B0-AD8F-45A3-BF06-385FD1CEF372}">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F78" authorId="0" shapeId="0" xr:uid="{A03175E8-DE28-4E0C-95F4-3A43561C6D48}">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G78" authorId="0" shapeId="0" xr:uid="{27CB0106-F985-4CDF-BDA3-8F585C973D14}">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H78" authorId="0" shapeId="0" xr:uid="{12D352E5-1FA5-43BA-9AE8-9F06C54993BB}">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A79" authorId="0" shapeId="0" xr:uid="{F9F3A1FC-B86F-4532-9BD9-D482BDCA6828}">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B79" authorId="0" shapeId="0" xr:uid="{E2D57E3B-0E92-4F99-AA51-F9EB82C04BAE}">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C79" authorId="0" shapeId="0" xr:uid="{2DFD7F04-3EBF-4D66-8256-C3989A215B3B}">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D79" authorId="0" shapeId="0" xr:uid="{D8C8DD69-F5F2-4C33-9F18-2BD9BF9F2A63}">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E79" authorId="0" shapeId="0" xr:uid="{DEFC6D9C-68A0-43AA-BF21-19E9958AC360}">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F79" authorId="0" shapeId="0" xr:uid="{52B05831-4B20-4F97-AE53-814AAC25F521}">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G79" authorId="0" shapeId="0" xr:uid="{B73A761F-4515-4ADD-97FF-70A6ADD98E8F}">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H79" authorId="0" shapeId="0" xr:uid="{B5C4EEA3-C045-459F-9B6F-DFC5CD299C11}">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A99" authorId="0" shapeId="0" xr:uid="{F9B2C770-9801-4AC5-982C-BEBBA62DB6F3}">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B99" authorId="0" shapeId="0" xr:uid="{0E42039C-6FA2-4578-AC91-492E42069D8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C99" authorId="0" shapeId="0" xr:uid="{C98BFEC1-4A38-45EC-AECD-F93506910D7D}">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D99" authorId="0" shapeId="0" xr:uid="{4DFB8BD8-0A7F-4A1C-9130-98597E17CA14}">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E99" authorId="0" shapeId="0" xr:uid="{23D8AB9D-EDE3-44CE-8738-1C2893EC9AA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F99" authorId="0" shapeId="0" xr:uid="{45611ECF-B90F-48AA-B1A0-3E87AAFDAD76}">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G99" authorId="0" shapeId="0" xr:uid="{CB7B485C-025D-4367-97C1-98C677EF730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H99" authorId="0" shapeId="0" xr:uid="{5115E49D-D049-4D1C-9525-D6618A8D3168}">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A109" authorId="0" shapeId="0" xr:uid="{5FA7BD69-F973-4628-BFFB-D80F222FD67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B109" authorId="0" shapeId="0" xr:uid="{5C7621DC-6260-416F-A3B8-393365D2E10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C109" authorId="0" shapeId="0" xr:uid="{1398B73D-3087-4FBE-802D-0150B910D7BF}">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D109" authorId="0" shapeId="0" xr:uid="{00927FFA-63F9-4E5F-8356-642E53B2BBEE}">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E109" authorId="0" shapeId="0" xr:uid="{1FDF5DE1-C598-4E85-80C5-2832DD6EBAE2}">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F109" authorId="0" shapeId="0" xr:uid="{B8C1F49C-A06A-4F76-855F-9DB2C681EAB0}">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G109" authorId="0" shapeId="0" xr:uid="{6A46B667-0EF4-47C5-8935-5543F84CB19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H109" authorId="0" shapeId="0" xr:uid="{3FD6B430-D9E5-4021-AC96-BA5DC2C75370}">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A157" authorId="0" shapeId="0" xr:uid="{5011198A-8899-42C7-B257-16E3643571C8}">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B157" authorId="0" shapeId="0" xr:uid="{5CB91A1B-A6B8-4D6C-AEFE-7FE7F5D44BC7}">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C157" authorId="0" shapeId="0" xr:uid="{1555009D-991D-40DE-87F1-D88735CC7083}">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D157" authorId="0" shapeId="0" xr:uid="{242BB413-DE3E-44AC-AFE4-79B0D7F9A8F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E157" authorId="0" shapeId="0" xr:uid="{B827D467-8B29-490F-81FE-FA71F26799BC}">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F157" authorId="0" shapeId="0" xr:uid="{F46907D2-78CB-4CFF-9766-B68DC970BCF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G157" authorId="0" shapeId="0" xr:uid="{97327B49-0BE6-43A0-A5CB-897772326D86}">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H157" authorId="0" shapeId="0" xr:uid="{EA768179-A865-4659-BBEE-66A5611A009B}">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A158" authorId="0" shapeId="0" xr:uid="{4E4284F7-D31C-4347-BCC6-4FEBFA6A9BE4}">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B158" authorId="0" shapeId="0" xr:uid="{D75922E7-421E-4BA7-97D4-695199D009BC}">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C158" authorId="0" shapeId="0" xr:uid="{7B7185D7-CC03-47AE-A860-37F4A5C6B6EB}">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D158" authorId="0" shapeId="0" xr:uid="{E73E3A6E-D268-4384-8F05-C918F9CBD30C}">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E158" authorId="0" shapeId="0" xr:uid="{561B6AC8-F264-4C0E-AC75-247AF4CDCB16}">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F158" authorId="0" shapeId="0" xr:uid="{60163D78-6AAF-4F20-9601-2702E1C14B66}">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G158" authorId="0" shapeId="0" xr:uid="{37080DAA-4FB6-4C31-9F52-3A1C566F98C6}">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H158" authorId="0" shapeId="0" xr:uid="{DC3A2579-F146-4167-941D-C8167A5ECFD7}">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A159" authorId="0" shapeId="0" xr:uid="{C61BBCD8-7124-45C5-811E-38CF6CC90D7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B159" authorId="0" shapeId="0" xr:uid="{32A946AD-9C0A-4F25-8CFC-14E9AD2C9E72}">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C159" authorId="0" shapeId="0" xr:uid="{E45E9692-DCF7-4CEF-9FCE-09B993F0CA6E}">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D159" authorId="0" shapeId="0" xr:uid="{33385E44-225B-418B-98C3-BC00C352366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E159" authorId="0" shapeId="0" xr:uid="{EEDD1DC9-FC38-4927-B7AB-27393FF99DD5}">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F159" authorId="0" shapeId="0" xr:uid="{0542635E-DAAC-46D4-8E65-0FF9306D846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G159" authorId="0" shapeId="0" xr:uid="{7228EC44-BD0F-453D-B7A3-0C1F5D40E16E}">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H159" authorId="0" shapeId="0" xr:uid="{D1773E07-67C0-44AA-BBD7-AEB9D3A00AC2}">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A160" authorId="0" shapeId="0" xr:uid="{6A72A3F3-A51C-414D-AA60-8CCE462A9DB2}">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B160" authorId="0" shapeId="0" xr:uid="{29876373-D306-45D9-895F-ADA295928E49}">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C160" authorId="0" shapeId="0" xr:uid="{C9DB7C23-FD15-40E5-89D2-F87587CBE42D}">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D160" authorId="0" shapeId="0" xr:uid="{AF930BB5-6386-4857-B508-74F31E687832}">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E160" authorId="0" shapeId="0" xr:uid="{81308C6C-14B5-4EE7-A59A-1367D40A80E5}">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F160" authorId="0" shapeId="0" xr:uid="{0C183727-946D-49F8-B14C-05689344A6E2}">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G160" authorId="0" shapeId="0" xr:uid="{F75CE267-DC14-4D0F-88A8-C88C8A87DB52}">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H160" authorId="0" shapeId="0" xr:uid="{B0A9D5B6-63AC-4042-B03B-C45093358B2C}">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A169" authorId="0" shapeId="0" xr:uid="{7EB059BE-B294-48AF-BC64-24F8FBF7AD1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B169" authorId="0" shapeId="0" xr:uid="{D99D17A5-1FCD-42FD-9E94-65DF1FE9BAC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C169" authorId="0" shapeId="0" xr:uid="{D8F57809-EF60-4E31-BE2B-00B363756205}">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D169" authorId="0" shapeId="0" xr:uid="{33E63003-1910-425D-9ED2-383D66459B2E}">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E169" authorId="0" shapeId="0" xr:uid="{E373F47C-0878-4964-BB15-5175DB96073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169" authorId="0" shapeId="0" xr:uid="{AF909122-84F9-4D03-B96E-306DC4431B1E}">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G169" authorId="0" shapeId="0" xr:uid="{B7D771C5-4949-4451-A8B8-C07C1E44C908}">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H169" authorId="0" shapeId="0" xr:uid="{B3C16690-101C-4DE9-B114-ED055AE6DAC7}">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A203" authorId="0" shapeId="0" xr:uid="{CFC724F3-BAC0-4223-8552-835CD852E19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B203" authorId="0" shapeId="0" xr:uid="{9449D288-143D-444B-8758-796B2E7CFC19}">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C203" authorId="0" shapeId="0" xr:uid="{BFCAD73E-A874-4D55-986F-684B06006FB1}">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D203" authorId="0" shapeId="0" xr:uid="{FD5C7701-CC4A-4D93-B9E1-6116189AA56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E203" authorId="0" shapeId="0" xr:uid="{1A5029FA-B2E9-4713-8FB7-61F32EBD734E}">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F203" authorId="0" shapeId="0" xr:uid="{A06FBC9E-06D5-4697-9514-5967B2621E11}">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G203" authorId="0" shapeId="0" xr:uid="{5AE75E9D-021A-465C-B3FA-E80B8AE02122}">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H203" authorId="0" shapeId="0" xr:uid="{E6AE7524-DE38-4B69-BC87-3F92C63CD975}">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A239" authorId="0" shapeId="0" xr:uid="{9EF66EA5-1AC5-44EE-90B0-B2CCD7CE8F04}">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B239" authorId="0" shapeId="0" xr:uid="{5169C907-6F87-4150-A3D5-A76D853469B4}">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C239" authorId="0" shapeId="0" xr:uid="{1392E2B2-BFE5-4C34-A2B3-3FD2533707E7}">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D239" authorId="0" shapeId="0" xr:uid="{54978B3A-A118-4F15-BC31-42A2255C499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E239" authorId="0" shapeId="0" xr:uid="{D6D2F098-FCEA-4A5F-8C40-5E52C494F578}">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F239" authorId="0" shapeId="0" xr:uid="{990BBCD4-39BA-4DDA-B070-6B3E4C9BFECE}">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G239" authorId="0" shapeId="0" xr:uid="{6FD50EA6-2FE2-4625-9A27-0D20E1674164}">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H239" authorId="0" shapeId="0" xr:uid="{CEF2ABE1-810C-4D11-8F44-33C457F4B7D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A271" authorId="0" shapeId="0" xr:uid="{4A171E9E-79B8-4F96-B49E-C13ABB747620}">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B271" authorId="0" shapeId="0" xr:uid="{C99240DE-F6C8-4DA2-9E6A-9CA66B097A16}">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C271" authorId="0" shapeId="0" xr:uid="{78E3166D-05B2-4E43-92B3-897349179ACE}">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D271" authorId="0" shapeId="0" xr:uid="{81CD47C7-21F3-4FFA-AFF9-7282E5CE9DD5}">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E271" authorId="0" shapeId="0" xr:uid="{1C024FB3-3421-4A1B-820D-92832EF62DEE}">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F271" authorId="0" shapeId="0" xr:uid="{F5643D28-064C-49AB-8992-EDC146D7A829}">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G271" authorId="0" shapeId="0" xr:uid="{9C6F8654-5341-4D63-AF9B-BD4242254F2D}">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H271" authorId="0" shapeId="0" xr:uid="{07091783-5A82-43F5-B19C-AD14CA9A12C1}">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A272" authorId="0" shapeId="0" xr:uid="{3EBF54F9-0D3B-427F-94E1-7AA77BC919B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B272" authorId="0" shapeId="0" xr:uid="{0F5E06F9-6D38-4A00-88AF-E223ED9E490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C272" authorId="0" shapeId="0" xr:uid="{E31CE3D9-71FD-41AB-AE0E-665F571CAD8D}">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D272" authorId="0" shapeId="0" xr:uid="{3FB406B0-FCBF-4575-937A-C143FA09EA8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E272" authorId="0" shapeId="0" xr:uid="{C40E564E-2D81-49BB-8D50-AF71885C419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F272" authorId="0" shapeId="0" xr:uid="{28D91813-66D1-4E03-9A66-A48D2B483A4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G272" authorId="0" shapeId="0" xr:uid="{52EA8252-7CD2-41E0-86C5-E0FAA2DCB94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H272" authorId="0" shapeId="0" xr:uid="{7C0650E6-3394-4DD4-B570-CC7F750510D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A274" authorId="0" shapeId="0" xr:uid="{8A438991-5E44-466E-9041-3C23D2121A72}">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B274" authorId="0" shapeId="0" xr:uid="{4A66221E-7F22-4F3D-B221-E088F324E2B1}">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C274" authorId="0" shapeId="0" xr:uid="{D93D9567-9E15-4196-8CEC-ABF5FE7F7584}">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D274" authorId="0" shapeId="0" xr:uid="{16CC2382-5B00-4EFE-B0DF-27716EAE43D6}">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E274" authorId="0" shapeId="0" xr:uid="{BA380DFC-95FD-4733-963F-9839148B0F71}">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F274" authorId="0" shapeId="0" xr:uid="{C54E9F55-4B18-420C-B3FC-FB508B291D0C}">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G274" authorId="0" shapeId="0" xr:uid="{A294213A-DE3D-47FA-A33C-FCCA4C68AD10}">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H274" authorId="0" shapeId="0" xr:uid="{DDA0CEF3-AAAA-4CF2-B503-CCA7A46CD65D}">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A299" authorId="0" shapeId="0" xr:uid="{5DC6FDA8-5D46-4C5D-82F3-6E5DB774A9C1}">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B299" authorId="0" shapeId="0" xr:uid="{C85CA5A0-C1C7-4846-BF4B-22E900E8EF17}">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C299" authorId="0" shapeId="0" xr:uid="{2135A631-A702-4C5B-9628-9C7B0E6682BC}">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D299" authorId="0" shapeId="0" xr:uid="{5023FF54-D8BD-4F7D-B50F-9B0C1C336E66}">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E299" authorId="0" shapeId="0" xr:uid="{E9C1CE5C-8C55-4530-9A47-D8D9E49C05A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F299" authorId="0" shapeId="0" xr:uid="{FC49C8AF-6E9D-4660-B094-C5BCD242D78B}">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G299" authorId="0" shapeId="0" xr:uid="{1D3A0D12-6EEF-4051-A6CA-578948F13356}">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H299" authorId="0" shapeId="0" xr:uid="{10056239-3DC3-4769-B0E2-9B3193DAE131}">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A300" authorId="0" shapeId="0" xr:uid="{264B9427-8097-4300-8EAC-0C43540CBD0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B300" authorId="0" shapeId="0" xr:uid="{D80E857F-3F07-4DF0-BE2E-666D17FBCF17}">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C300" authorId="0" shapeId="0" xr:uid="{6738B0C0-A0C9-45C2-9B04-99290179F5A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D300" authorId="0" shapeId="0" xr:uid="{80157D93-8531-4756-8866-2BFF4EF16A9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E300" authorId="0" shapeId="0" xr:uid="{B0208DDE-ED18-4F01-8A05-57981802C9F2}">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F300" authorId="0" shapeId="0" xr:uid="{396C1FDC-8074-4E70-9F51-30DBE4B367F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G300" authorId="0" shapeId="0" xr:uid="{4977DFA3-DC8C-4DDD-8773-3E429365098A}">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H300" authorId="0" shapeId="0" xr:uid="{544E4ECC-F7CC-481C-A7D3-366C55C424F2}">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A310" authorId="0" shapeId="0" xr:uid="{CE4ACFB5-4D01-4ECE-83AB-30616165B692}">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B310" authorId="0" shapeId="0" xr:uid="{0A4A7AD3-1436-4883-89F8-0519333E497E}">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C310" authorId="0" shapeId="0" xr:uid="{DEB83FED-CCBF-48A6-946E-9FD19E9AE640}">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D310" authorId="0" shapeId="0" xr:uid="{D8FDCFC5-D600-4714-A183-A3DCAC5C9034}">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E310" authorId="0" shapeId="0" xr:uid="{C50006B1-6353-478F-9640-CD786F5FC2AC}">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F310" authorId="0" shapeId="0" xr:uid="{6D4265F6-434F-4828-9FD0-3E95CF1F5207}">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G310" authorId="0" shapeId="0" xr:uid="{25F51142-093D-422C-8178-AA3F6CBFA183}">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H310" authorId="0" shapeId="0" xr:uid="{6B8C3F70-1E7E-49B2-88BE-6BD575842229}">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A311" authorId="0" shapeId="0" xr:uid="{73CC3BDE-0089-4E1E-B59B-018AE3BBEA7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B311" authorId="0" shapeId="0" xr:uid="{03F7CD2F-F108-42F6-A248-473EC2FF278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C311" authorId="0" shapeId="0" xr:uid="{643A1C0D-503F-465B-81B5-06737071C59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D311" authorId="0" shapeId="0" xr:uid="{777ABD5F-73EF-4F69-AC6E-E3267DD38F15}">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E311" authorId="0" shapeId="0" xr:uid="{67E53AC3-2103-402C-A9FB-F706F7B8163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F311" authorId="0" shapeId="0" xr:uid="{7341E35A-82FF-4028-BBD7-65FFB08B78FD}">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G311" authorId="0" shapeId="0" xr:uid="{7548586C-4277-4A20-A2F4-62BB5E302CBD}">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H311" authorId="0" shapeId="0" xr:uid="{4E5908DA-4C9C-4CBD-B6CD-33160EA2DCB6}">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A350" authorId="0" shapeId="0" xr:uid="{29AD2EBB-6EFC-4383-973E-8666C13C512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B350" authorId="0" shapeId="0" xr:uid="{DDEF01BC-FF90-4E11-9AD7-50DCDF00F0C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C350" authorId="0" shapeId="0" xr:uid="{B0CB19B0-ACE1-4663-9391-56F18EF43E54}">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D350" authorId="0" shapeId="0" xr:uid="{73BB1287-EFA8-43FA-82F5-4C1F4DE5CCF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E350" authorId="0" shapeId="0" xr:uid="{7D1843C3-B454-4C57-908C-66B4E381C84E}">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F350" authorId="0" shapeId="0" xr:uid="{E1708EDE-8F7E-4E52-9BD3-05D4F02AEF4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G350" authorId="0" shapeId="0" xr:uid="{62F82000-4D84-49F1-8C2C-4ACF41E1FD74}">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H350" authorId="0" shapeId="0" xr:uid="{B3079AB8-6522-46FB-8D2A-D8614C8A40C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A355" authorId="0" shapeId="0" xr:uid="{F70BE67E-64D8-4262-8CAF-68CCA00BADDF}">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B355" authorId="0" shapeId="0" xr:uid="{5E1DF8FF-D82B-4911-B516-75AF984C9F94}">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C355" authorId="0" shapeId="0" xr:uid="{C26D396A-84C3-4964-A2A9-18368A966D81}">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D355" authorId="0" shapeId="0" xr:uid="{D63635CB-4530-4197-A75E-A506C73D78AD}">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E355" authorId="0" shapeId="0" xr:uid="{7528BFF3-676A-4295-BCAB-2EDF3EB877A5}">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F355" authorId="0" shapeId="0" xr:uid="{AD261800-C308-41C9-B680-8EF847D036B9}">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G355" authorId="0" shapeId="0" xr:uid="{E80B77DD-755B-4A94-96F4-B8AE08FB2B26}">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H355" authorId="0" shapeId="0" xr:uid="{2F4678B6-9148-45BA-83FC-2DB47825166C}">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A356" authorId="0" shapeId="0" xr:uid="{FBA136A6-F1F1-48A3-8D95-E7885975E97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B356" authorId="0" shapeId="0" xr:uid="{1FF2DA75-0CCC-4CB9-88F9-6F084D57939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C356" authorId="0" shapeId="0" xr:uid="{C82A5E97-1C9B-4BF3-8054-6E1B2627933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D356" authorId="0" shapeId="0" xr:uid="{5B381E61-0CFF-4F80-8912-54D74F8D5385}">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E356" authorId="0" shapeId="0" xr:uid="{73078CC4-DF84-402D-951C-D867235302A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F356" authorId="0" shapeId="0" xr:uid="{2C967BDE-0522-4B3F-A28F-27B5A8E1C22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G356" authorId="0" shapeId="0" xr:uid="{9DCA1C4B-00E3-46EA-9D03-E725E33A178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H356" authorId="0" shapeId="0" xr:uid="{9E3FA769-BE51-434A-8842-FEA8E36B0238}">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A357" authorId="0" shapeId="0" xr:uid="{D7609316-E26F-4ED2-BBAD-E9C1ACCB3562}">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B357" authorId="0" shapeId="0" xr:uid="{81CC3543-6E41-48D7-971C-1DB3BEF96BFC}">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C357" authorId="0" shapeId="0" xr:uid="{ED683057-14F4-4B8A-BF81-F15D89876113}">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D357" authorId="0" shapeId="0" xr:uid="{3460C13B-9376-4215-AF45-94ACD8E46AD8}">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E357" authorId="0" shapeId="0" xr:uid="{491CC859-5427-44E3-9904-33D7EAA7548A}">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F357" authorId="0" shapeId="0" xr:uid="{B7F5E3B6-6AB7-4369-A1DD-3A4567E7CEC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G357" authorId="0" shapeId="0" xr:uid="{D7009139-AFEB-464B-8996-6C475A0A3B0D}">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H357" authorId="0" shapeId="0" xr:uid="{32E535C0-C47B-4BF9-9C3F-013142A03A4D}">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A427" authorId="0" shapeId="0" xr:uid="{134B8BBC-D8B1-4F2D-91B3-06BDCBFC1F82}">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B427" authorId="0" shapeId="0" xr:uid="{44F5D8B6-BD18-43AE-A630-DEB00B2CD2B0}">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C427" authorId="0" shapeId="0" xr:uid="{12B4257A-EF9E-4B3E-A736-658A4C631E59}">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D427" authorId="0" shapeId="0" xr:uid="{02A79821-57B2-49C3-9621-3A967256BFB5}">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E427" authorId="0" shapeId="0" xr:uid="{D4FEDAAE-FBBA-4E24-9D6E-FCD57B9F990D}">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F427" authorId="0" shapeId="0" xr:uid="{D18124D7-050B-4276-9FF0-9A5B31802AD8}">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G427" authorId="0" shapeId="0" xr:uid="{CDD7645C-8994-41F2-AE24-7700514A2A82}">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H427" authorId="0" shapeId="0" xr:uid="{6F98477A-0B0F-4BAC-A371-28F14E09AFA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A428" authorId="0" shapeId="0" xr:uid="{3733D139-9C34-4627-AAFC-FC51E9CBC709}">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B428" authorId="0" shapeId="0" xr:uid="{BE12A0A0-D583-4A0D-9C0B-248935913848}">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C428" authorId="0" shapeId="0" xr:uid="{EC123491-F334-4390-BA73-05ADED954496}">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D428" authorId="0" shapeId="0" xr:uid="{47B73C57-8901-4C6B-A9B1-14B7E407D571}">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E428" authorId="0" shapeId="0" xr:uid="{FFCF18BB-E4F3-4303-8FE0-9697EEA892A3}">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F428" authorId="0" shapeId="0" xr:uid="{82651B92-A5AD-4B34-85DA-8DB70390EE4D}">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G428" authorId="0" shapeId="0" xr:uid="{5D9363D0-3A26-459E-977E-6C837702BA35}">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H428" authorId="0" shapeId="0" xr:uid="{F04E2AF4-78F1-480E-B327-E51401B71D22}">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A429" authorId="0" shapeId="0" xr:uid="{8D3F594C-C26E-4CD3-8F81-54C906F3F33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B429" authorId="0" shapeId="0" xr:uid="{F19DC8C8-4143-4AF3-957E-58E7D0F2543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C429" authorId="0" shapeId="0" xr:uid="{B66C96FD-9E6D-4461-98F6-0010932EA1D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D429" authorId="0" shapeId="0" xr:uid="{81EE656F-197F-4296-B5A6-85772B135C1E}">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E429" authorId="0" shapeId="0" xr:uid="{D2343615-FC45-426F-BCC6-06F3083C608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F429" authorId="0" shapeId="0" xr:uid="{F5E9A524-3F49-40BC-B782-3180EFDDB61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G429" authorId="0" shapeId="0" xr:uid="{A9B402CB-F419-4EBA-8E84-106801D2A0E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H429" authorId="0" shapeId="0" xr:uid="{0918CD1C-7821-479A-9C68-7DE9B415DCF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A430" authorId="0" shapeId="0" xr:uid="{EA11D941-757F-4732-983D-3F66C7540CCB}">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B430" authorId="0" shapeId="0" xr:uid="{8E41F2E8-087C-4420-BE1B-E1AD615208EA}">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C430" authorId="0" shapeId="0" xr:uid="{77BF0911-49DC-4E78-AB1C-70C09AB50E33}">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D430" authorId="0" shapeId="0" xr:uid="{CC64F398-6E45-494D-8BD0-249A745C59E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E430" authorId="0" shapeId="0" xr:uid="{479970B0-C9C1-46A0-88C4-E3636A7B0EA8}">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F430" authorId="0" shapeId="0" xr:uid="{1216A537-18DF-49A8-A101-B32C15A0F812}">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G430" authorId="0" shapeId="0" xr:uid="{B7EF154A-F3EA-400B-B3B3-F4346AAFB125}">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H430" authorId="0" shapeId="0" xr:uid="{2C2A0287-B7DE-4A28-B0AF-38A07156C873}">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A431" authorId="0" shapeId="0" xr:uid="{492B8BE8-9113-4D1E-9E62-570159EB9452}">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B431" authorId="0" shapeId="0" xr:uid="{52896803-1320-4A1C-9BA7-B2B03EDC14BD}">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C431" authorId="0" shapeId="0" xr:uid="{14EE62DC-5153-4ED4-B30D-20D59800572E}">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D431" authorId="0" shapeId="0" xr:uid="{AB6B2CA5-1FBA-4CF5-B019-6F3681DD689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E431" authorId="0" shapeId="0" xr:uid="{1CC15F92-55D4-4250-B987-AD76327714D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F431" authorId="0" shapeId="0" xr:uid="{12ED66AE-933C-4290-9F92-218F355F992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G431" authorId="0" shapeId="0" xr:uid="{5182BCF8-E8D5-4869-B964-D27D42FAA248}">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H431" authorId="0" shapeId="0" xr:uid="{40675ADB-7AD5-4E10-897B-31060D86EF2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A492" authorId="0" shapeId="0" xr:uid="{DFB716B5-4503-4962-8223-C3E31F523613}">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B492" authorId="0" shapeId="0" xr:uid="{C491B1EB-84D6-4861-801C-E618638BEAC0}">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C492" authorId="0" shapeId="0" xr:uid="{2C02830B-4BCF-4046-8D85-CC46A593004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D492" authorId="0" shapeId="0" xr:uid="{2E297CA9-C8B7-4C95-81A1-0A9B63F785C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E492" authorId="0" shapeId="0" xr:uid="{D93E94BF-7BF6-44C4-836A-7A1EF984AA33}">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F492" authorId="0" shapeId="0" xr:uid="{C867FEA4-3331-4271-B5D5-13F2EC71DABA}">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G492" authorId="0" shapeId="0" xr:uid="{CC8E3B25-640F-40BD-A9B6-F850EC4851C5}">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H492" authorId="0" shapeId="0" xr:uid="{DEE72AAA-902A-455D-92FC-5A19742E8499}">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7" authorId="0" shapeId="0" xr:uid="{9A7870F7-7CC9-4DB4-A5C9-176C4630C51A}">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B7" authorId="0" shapeId="0" xr:uid="{284D1EF4-9388-41AE-99C8-9A866E95803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C7" authorId="0" shapeId="0" xr:uid="{FBCEECF2-05B8-4C9D-9865-CDFFBC9F81FD}">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D7" authorId="0" shapeId="0" xr:uid="{B980857F-7554-46C4-AF85-A354153279B9}">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E7" authorId="0" shapeId="0" xr:uid="{A7C766C0-4FF2-4734-9BDD-E663BBC5ED3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F7" authorId="0" shapeId="0" xr:uid="{B79C7AA9-8494-43EC-A875-5D00EAA14B4E}">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G7" authorId="0" shapeId="0" xr:uid="{4938126E-A34B-46F9-A7FC-11450231BC77}">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H7" authorId="0" shapeId="0" xr:uid="{94226601-FFB9-4D2D-A83C-FD372B6A32D2}">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90.5%]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B1 &amp; L9 &amp; G19 &amp; S28 &amp; W10 &amp; T14 &amp; X15 &amp; U5 &amp; O5 &amp; I7 &amp; P49</t>
        </r>
      </text>
    </comment>
    <comment ref="A8" authorId="0" shapeId="0" xr:uid="{6B72678C-0D77-499E-9E84-5C3356B1611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B8" authorId="0" shapeId="0" xr:uid="{0D1AFD8D-FB47-4DB0-8186-A64D0780B2ED}">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C8" authorId="0" shapeId="0" xr:uid="{E9A97AA9-5619-4D41-AA23-BABF95EA0BD6}">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D8" authorId="0" shapeId="0" xr:uid="{07E64AE7-B852-4CF4-A625-0EFCB64802C7}">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E8" authorId="0" shapeId="0" xr:uid="{819DBBC4-B0B6-495C-9D32-1BE492E92485}">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F8" authorId="0" shapeId="0" xr:uid="{6D2213E3-E9B2-47C6-96C1-CC3E5309FBF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G8" authorId="0" shapeId="0" xr:uid="{40530910-C8F5-4377-865D-B4DEF7C81D4E}">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H8" authorId="0" shapeId="0" xr:uid="{00FEB602-03FB-429C-85BE-A7C73E325D62}">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88.8%] - [</t>
        </r>
        <r>
          <rPr>
            <b/>
            <sz val="10"/>
            <color indexed="48"/>
            <rFont val="Calibri"/>
            <family val="2"/>
          </rPr>
          <t xml:space="preserve">SOLD </t>
        </r>
        <r>
          <rPr>
            <b/>
            <sz val="10"/>
            <color indexed="8"/>
            <rFont val="Calibri"/>
            <family val="2"/>
          </rPr>
          <t>» 159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L7 &amp; G18 &amp; S31 &amp; W5 &amp; T10 &amp; X11 &amp; U20 &amp; O4 &amp; I5 &amp; P48</t>
        </r>
      </text>
    </comment>
    <comment ref="A13" authorId="0" shapeId="0" xr:uid="{9256A847-7BBB-43A5-988C-D653F15B123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B13" authorId="0" shapeId="0" xr:uid="{A66A2C0F-D090-4263-A1A7-FF6147823F0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C13" authorId="0" shapeId="0" xr:uid="{5C3543C3-C719-4231-86E3-926C719C927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D13" authorId="0" shapeId="0" xr:uid="{443DE1FA-7AC6-4544-98D3-AF8D80F96D43}">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E13" authorId="0" shapeId="0" xr:uid="{F0810522-2709-47BF-A2FE-19C77708FC53}">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F13" authorId="0" shapeId="0" xr:uid="{517B6F41-6A69-4811-AD01-76C39EBBAFB2}">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G13" authorId="0" shapeId="0" xr:uid="{6BBA0348-22B5-45C8-A639-9B58114A6C2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H13" authorId="0" shapeId="0" xr:uid="{27B86318-45A4-4901-995A-1C03CB1CBC3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91.6%]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G18 &amp; S32 &amp; W5 &amp; T8 &amp; X20 &amp; U9 &amp; O8 &amp; I11 &amp; P45 &amp; N3</t>
        </r>
      </text>
    </comment>
    <comment ref="A15" authorId="0" shapeId="0" xr:uid="{1484E19A-C79E-41B7-A072-C3507C730AD7}">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B15" authorId="0" shapeId="0" xr:uid="{CD68D777-E55F-44A7-B61C-5AF2D7E26A4C}">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C15" authorId="0" shapeId="0" xr:uid="{3E088894-314C-4161-AF26-49CB196F545D}">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D15" authorId="0" shapeId="0" xr:uid="{B94B73CC-5383-4E7C-88F4-5FC1C1112A1D}">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E15" authorId="0" shapeId="0" xr:uid="{D7FD4D18-2BB3-4F30-862C-636B5B21D6A0}">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F15" authorId="0" shapeId="0" xr:uid="{C255D8F8-BD4A-4EFB-9449-DA3BC166211B}">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G15" authorId="0" shapeId="0" xr:uid="{3E76686C-79D9-499E-8CD0-5D2C1FFA22C6}">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H15" authorId="0" shapeId="0" xr:uid="{E9B7F670-F4F4-400F-8AB4-E1341637B205}">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76.0%]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L16 &amp; G28 &amp; S35 &amp; W29 &amp; P28</t>
        </r>
      </text>
    </comment>
    <comment ref="A16" authorId="0" shapeId="0" xr:uid="{CA458617-ED8C-4592-8ECE-834856CB3CC3}">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B16" authorId="0" shapeId="0" xr:uid="{9F298EB4-18D9-43D4-B00D-2601B8D55D60}">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C16" authorId="0" shapeId="0" xr:uid="{4E61D77C-0B3A-44B5-BF3F-7C5A7662F9D0}">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D16" authorId="0" shapeId="0" xr:uid="{C20E57D4-38C3-41F6-AD32-50D08FCF6FD9}">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E16" authorId="0" shapeId="0" xr:uid="{29E49FBB-DF82-49E5-9F45-AA4FB6B01D55}">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F16" authorId="0" shapeId="0" xr:uid="{D2941463-1C7F-4DEB-8410-F21288B92964}">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G16" authorId="0" shapeId="0" xr:uid="{54AF0F8A-E39A-4615-8CD6-5C6F5074ED47}">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H16" authorId="0" shapeId="0" xr:uid="{EF24FDAF-0416-4040-BFA7-AD791DB4B76F}">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L11 &amp; G20 &amp; S22 &amp; W31 &amp; E69 &amp; P1 &amp; N2</t>
        </r>
      </text>
    </comment>
    <comment ref="A17" authorId="0" shapeId="0" xr:uid="{EFEAB214-688D-4CB3-BD14-E534C8A8302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B17" authorId="0" shapeId="0" xr:uid="{A30315E8-AD73-424B-98D1-72770FC0555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C17" authorId="0" shapeId="0" xr:uid="{2E4AAD7C-9040-4492-9A9E-BCA12B6FF248}">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D17" authorId="0" shapeId="0" xr:uid="{D7673B83-2BED-4FA6-A129-240900D556C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E17" authorId="0" shapeId="0" xr:uid="{10C303D4-D503-4699-B1D1-FC9947B40C3D}">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F17" authorId="0" shapeId="0" xr:uid="{788CA5CF-E08E-46C9-A38D-1E0BB7D19CE7}">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G17" authorId="0" shapeId="0" xr:uid="{014E8B09-184E-4573-B760-9328FCF8221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H17" authorId="0" shapeId="0" xr:uid="{9F4D305E-60E1-4CC6-8574-5D5CB5D42F9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83.8%]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L10 &amp; G16 &amp; S14 &amp; W5 &amp; P104</t>
        </r>
      </text>
    </comment>
    <comment ref="A24" authorId="0" shapeId="0" xr:uid="{3ECF1BD3-79B1-43DB-925E-8C508CFD2D4B}">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B24" authorId="0" shapeId="0" xr:uid="{851DA6E2-649F-4E90-A0FF-AB458D0C2A0E}">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C24" authorId="0" shapeId="0" xr:uid="{1F3936AE-0170-40CB-9CD5-FF19F4E653F7}">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D24" authorId="0" shapeId="0" xr:uid="{A9C770ED-7630-473D-834E-2C5B742590A1}">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E24" authorId="0" shapeId="0" xr:uid="{54B28B22-2D0E-47BF-BF02-6DB394845FA9}">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F24" authorId="0" shapeId="0" xr:uid="{94ADBFB0-587A-404D-913F-BA2217BDFA1B}">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G24" authorId="0" shapeId="0" xr:uid="{1DD96EF1-DB67-4209-A4F6-2836A8F661DB}">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H24" authorId="0" shapeId="0" xr:uid="{1F31CCD4-9120-4504-871A-F399CC272F78}">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V4 &amp; L28 &amp; G19 &amp; S10 &amp; W10 &amp; T9 &amp; X6 &amp; U1 &amp; O5 &amp; I6 &amp; P2 &amp; N2</t>
        </r>
      </text>
    </comment>
    <comment ref="A25" authorId="0" shapeId="0" xr:uid="{4CCEBCA8-D923-48B8-AF32-EA184D7B094E}">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B25" authorId="0" shapeId="0" xr:uid="{C218178F-7C9E-4D0B-95D9-54905B95CC9D}">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C25" authorId="0" shapeId="0" xr:uid="{01B64844-7034-4D90-B5F3-63FB8494B44C}">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D25" authorId="0" shapeId="0" xr:uid="{C005AC52-359C-47E3-97DA-113EA38C3436}">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E25" authorId="0" shapeId="0" xr:uid="{512B4CB9-06A5-40EB-964A-18B029CC27E9}">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F25" authorId="0" shapeId="0" xr:uid="{DBB20C53-8E22-48F5-A8D3-74A63F5E46F9}">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G25" authorId="0" shapeId="0" xr:uid="{5AC24E60-3ED9-40F8-B4BD-93F09E7A2381}">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H25" authorId="0" shapeId="0" xr:uid="{D69EB63E-7278-4936-89E9-D3BC1E271098}">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L13 &amp; G42 &amp; S15 &amp; W13 &amp; T10 &amp; X5 &amp; U5 &amp; O5 &amp; I5 &amp; P60</t>
        </r>
      </text>
    </comment>
    <comment ref="A27" authorId="0" shapeId="0" xr:uid="{D166F523-219D-4C83-9AD3-A52A2B6FF07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B27" authorId="0" shapeId="0" xr:uid="{18B3CDF9-2064-4DF5-AC41-AFF8CB7C3FB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C27" authorId="0" shapeId="0" xr:uid="{27474925-02F5-48E1-A9BC-CEA252299286}">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D27" authorId="0" shapeId="0" xr:uid="{4DECE0A8-0D5B-4F39-954F-01767C2D7BF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E27" authorId="0" shapeId="0" xr:uid="{E55F17D9-DA75-40EA-8368-410F1E62EF7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F27" authorId="0" shapeId="0" xr:uid="{789398C1-6F63-4929-94FF-CB14983007A4}">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G27" authorId="0" shapeId="0" xr:uid="{5FF5786E-7BE4-4B1C-ADF2-51320E79336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H27" authorId="0" shapeId="0" xr:uid="{7B832DA1-F6B1-4139-89C1-EB9D2CBE5CD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Q1 &amp; K6 &amp; V5 &amp; L16 &amp; G26 &amp; S16 &amp; W4 &amp; E1 &amp; P97</t>
        </r>
      </text>
    </comment>
    <comment ref="A28" authorId="0" shapeId="0" xr:uid="{C172046A-BE99-4193-BB0B-7EDF5D8F5287}">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B28" authorId="0" shapeId="0" xr:uid="{2D255201-FE78-4EDA-A0B3-0BD91255F4A1}">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C28" authorId="0" shapeId="0" xr:uid="{25F5CEB5-E06E-4BC7-9A69-4688CE7FB218}">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D28" authorId="0" shapeId="0" xr:uid="{F052A648-5864-4176-9B42-9BA87368DCFA}">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E28" authorId="0" shapeId="0" xr:uid="{3DD89843-13D4-4471-AE92-FBF0792D320B}">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F28" authorId="0" shapeId="0" xr:uid="{02433BCC-9C95-4B96-A983-7FE5B2DD455C}">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G28" authorId="0" shapeId="0" xr:uid="{D6849272-FE27-4943-999F-754E55A46F78}">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H28" authorId="0" shapeId="0" xr:uid="{81FCEE3F-7820-4159-9CC1-EDCEBB765FA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M6 &amp; Q4 &amp; K4 &amp; V14 &amp; L16 &amp; G16 &amp; S16 &amp; W5 &amp; I2 &amp; P90</t>
        </r>
      </text>
    </comment>
    <comment ref="A41" authorId="0" shapeId="0" xr:uid="{22A002D5-01A5-4A04-956B-75CD205CBF3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B41" authorId="0" shapeId="0" xr:uid="{D19EEB96-5266-42C7-A8C6-E99A5458F6F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C41" authorId="0" shapeId="0" xr:uid="{E60930C9-15E6-4F25-A371-086B5CD8F6E1}">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D41" authorId="0" shapeId="0" xr:uid="{E283DB9F-22A5-4AA9-947A-4DBD5D43D058}">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E41" authorId="0" shapeId="0" xr:uid="{EC9DD8B0-0C5B-458C-88D4-36971AB4EED9}">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F41" authorId="0" shapeId="0" xr:uid="{284ACC32-41A7-451E-A3C7-E697D0AB0CDD}">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G41" authorId="0" shapeId="0" xr:uid="{2F953460-1A84-4D4E-AFC5-320F41DAF177}">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H41" authorId="0" shapeId="0" xr:uid="{E33EF4EC-ADD0-4E66-88F4-7726B3FB2A4B}">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50.3%]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V30 &amp; L19 &amp; G17 &amp; S16 &amp; W5</t>
        </r>
      </text>
    </comment>
    <comment ref="A42" authorId="0" shapeId="0" xr:uid="{55C2692E-33C1-4BD4-9300-82CB668B529D}">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B42" authorId="0" shapeId="0" xr:uid="{2BF4A6DB-ED66-4CC5-8032-0F4DC0EEFF5F}">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C42" authorId="0" shapeId="0" xr:uid="{0BAB8FA2-8B73-4DC4-83D7-7C0878C322C7}">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D42" authorId="0" shapeId="0" xr:uid="{39B881D3-33BD-4EC4-A0CA-34A689B9A9A3}">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E42" authorId="0" shapeId="0" xr:uid="{1A936D70-A863-4AB6-89DB-555B3CDADECC}">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F42" authorId="0" shapeId="0" xr:uid="{6C2C703B-5831-46D1-85EF-58B7A6E707A3}">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G42" authorId="0" shapeId="0" xr:uid="{AC62346D-08F9-4D36-882C-DEA66AF625F2}">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H42" authorId="0" shapeId="0" xr:uid="{7DDA38DB-8227-47CE-9E38-6CFFDD5666EB}">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V22 &amp; L16 &amp; G22 &amp; S31 &amp; W5</t>
        </r>
      </text>
    </comment>
    <comment ref="A43" authorId="0" shapeId="0" xr:uid="{96145D28-0196-47F2-AF36-02F69FAC197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B43" authorId="0" shapeId="0" xr:uid="{7A8A3C00-CBAE-459E-8638-2B1933F34EF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C43" authorId="0" shapeId="0" xr:uid="{01B985A0-D56A-40A1-ADCF-35202EE0247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D43" authorId="0" shapeId="0" xr:uid="{D595C43D-BFC6-4FC7-92B4-EAAA48F3590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E43" authorId="0" shapeId="0" xr:uid="{F8B16F2E-1531-4BBD-9CD2-88BCF5295C42}">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F43" authorId="0" shapeId="0" xr:uid="{BDA23AB6-89F7-40D7-960C-1A1AA87EB645}">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G43" authorId="0" shapeId="0" xr:uid="{769B9109-7221-4ADD-A914-9D96317BD39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H43" authorId="0" shapeId="0" xr:uid="{A387AB42-D66A-4655-B071-FF1DA1834DDE}">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V20 &amp; L16 &amp; G24 &amp; S32 &amp; W5</t>
        </r>
      </text>
    </comment>
    <comment ref="A44" authorId="0" shapeId="0" xr:uid="{D6588680-BF08-4FB3-B637-B0D5F2A76C10}">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B44" authorId="0" shapeId="0" xr:uid="{0EB81367-8796-47CA-87C2-6FAE56FA873B}">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C44" authorId="0" shapeId="0" xr:uid="{646B0C62-9C70-4B31-8C14-EA50C616025A}">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D44" authorId="0" shapeId="0" xr:uid="{EBC00E17-56A9-4915-96A3-F6AB273CFCA4}">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E44" authorId="0" shapeId="0" xr:uid="{A6DCC7FF-8646-4DD6-88A6-146F2A1E2391}">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F44" authorId="0" shapeId="0" xr:uid="{4150188A-D07D-4F5C-9B58-988A8B251D81}">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G44" authorId="0" shapeId="0" xr:uid="{44D45B73-76E9-466F-86AC-D0C156AF3B60}">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H44" authorId="0" shapeId="0" xr:uid="{BEE4D37E-D049-4A60-B78E-1DBD4800E61C}">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V16 &amp; L44 &amp; G17 &amp; S13 &amp; W5</t>
        </r>
      </text>
    </comment>
    <comment ref="A46" authorId="0" shapeId="0" xr:uid="{E4288C5F-D2C6-4424-8CC1-B095CF20ECD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B46" authorId="0" shapeId="0" xr:uid="{7BEAEE02-6AC0-4918-8B0E-CCC0F816DA02}">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C46" authorId="0" shapeId="0" xr:uid="{9E69A9D0-8A7D-4947-94F0-2FF6C7404656}">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D46" authorId="0" shapeId="0" xr:uid="{B6E0FC43-3E69-4805-A34A-2B600BD5D8E4}">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E46" authorId="0" shapeId="0" xr:uid="{30DEC7DD-1C38-4CF9-92B1-F02D66406D98}">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F46" authorId="0" shapeId="0" xr:uid="{CB613C5D-8604-47D3-92FD-C94E7ED5E096}">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G46" authorId="0" shapeId="0" xr:uid="{5DEE1657-9325-4262-B04D-6FD6075C9AD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H46" authorId="0" shapeId="0" xr:uid="{614186CF-0893-4BDF-AA52-7F499F70A7F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K6 &amp; V30 &amp; L15 &amp; G17 &amp; S11 &amp; W5 &amp; T2 &amp; X5 &amp; U6 &amp; O4 &amp; I5 &amp; P1</t>
        </r>
      </text>
    </comment>
    <comment ref="A47" authorId="0" shapeId="0" xr:uid="{F65C596D-4666-428B-942B-715E63341D1F}">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B47" authorId="0" shapeId="0" xr:uid="{61758E7D-585D-4A2A-859C-9379E8F49CE4}">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C47" authorId="0" shapeId="0" xr:uid="{9171833A-2C20-4D95-BEE5-A879410CD6A5}">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D47" authorId="0" shapeId="0" xr:uid="{03AC8F36-9E81-4F34-8F03-867FC258F8EF}">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E47" authorId="0" shapeId="0" xr:uid="{18A3BCBA-2D7F-4D2B-B676-742C32F80DD6}">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F47" authorId="0" shapeId="0" xr:uid="{86E09ECB-165A-4A28-A12A-E286C2A70F7F}">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G47" authorId="0" shapeId="0" xr:uid="{43B131EE-B3CC-4EE3-AE3B-FB92672439F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H47" authorId="0" shapeId="0" xr:uid="{0044698A-D1B6-4146-B5E3-51ECE8A59978}">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G1 &amp; S17 &amp; W10 &amp; T10 &amp; X10 &amp; U10 &amp; O10 &amp; I10 &amp; P92</t>
        </r>
      </text>
    </comment>
    <comment ref="A48" authorId="0" shapeId="0" xr:uid="{B39DA857-60AF-473D-9AD3-C213C8175BB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B48" authorId="0" shapeId="0" xr:uid="{5BB7592A-57B3-49A2-9D07-270F9E9E5473}">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C48" authorId="0" shapeId="0" xr:uid="{C9DF7C51-C117-4707-A410-3DE7F3EB8F6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D48" authorId="0" shapeId="0" xr:uid="{FB1CA73E-26D6-4FA8-831C-C38A6120F096}">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E48" authorId="0" shapeId="0" xr:uid="{E79A06BF-7BE3-4A7F-A312-102063D3746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F48" authorId="0" shapeId="0" xr:uid="{BF71F6E0-79DA-44BA-9C1C-5A46062DD9B5}">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G48" authorId="0" shapeId="0" xr:uid="{E2CDFFE3-F651-4A7B-972C-ABE6B69ACA82}">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H48" authorId="0" shapeId="0" xr:uid="{09208331-0ACD-4EEA-89CF-855B3215051A}">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K2 &amp; L1 &amp; G3 &amp; S3 &amp; W4 &amp; T10 &amp; X12 &amp; U5 &amp; O6 &amp; I4 &amp; E45 &amp; P82 &amp; N1</t>
        </r>
      </text>
    </comment>
    <comment ref="A49" authorId="0" shapeId="0" xr:uid="{405C4D0D-6579-4DB0-8DC5-7C4987B59AFD}">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B49" authorId="0" shapeId="0" xr:uid="{0BB8BBC1-BF1C-4E04-B721-86E6E7E53322}">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C49" authorId="0" shapeId="0" xr:uid="{A291E4CA-BE3B-44C2-8218-0C3997D3DFF8}">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D49" authorId="0" shapeId="0" xr:uid="{5D1C4AF5-E633-40F4-9A63-DEB58755B70D}">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E49" authorId="0" shapeId="0" xr:uid="{AE9682C8-56F7-4BBA-A207-72D8CAA9FB66}">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F49" authorId="0" shapeId="0" xr:uid="{38BC6AAB-3ADD-40D1-B524-7697DB2C964E}">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G49" authorId="0" shapeId="0" xr:uid="{8E7EE2B8-89C3-43F6-9479-E900DA984FEE}">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H49" authorId="0" shapeId="0" xr:uid="{94F3B54F-65E7-45B4-AAF5-B13640438A52}">
      <text>
        <r>
          <rPr>
            <b/>
            <sz val="8.5"/>
            <color indexed="8"/>
            <rFont val="Calibri"/>
            <family val="2"/>
          </rPr>
          <t xml:space="preserve">-{ </t>
        </r>
        <r>
          <rPr>
            <b/>
            <sz val="10"/>
            <color indexed="10"/>
            <rFont val="Calibri"/>
            <family val="2"/>
          </rPr>
          <t>SM450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V3 &amp; G16 &amp; S17 &amp; W22 &amp; T10 &amp; X10 &amp; U17 &amp; O17 &amp; I17 &amp; P50</t>
        </r>
      </text>
    </comment>
    <comment ref="A50" authorId="0" shapeId="0" xr:uid="{1C7B66B4-D48E-466D-A167-786390FDD5C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B50" authorId="0" shapeId="0" xr:uid="{CFFD00CC-BBC9-4C21-A9D6-F718CC8CFA85}">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C50" authorId="0" shapeId="0" xr:uid="{64699AB2-8053-4B54-9063-5F1D1E48A51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D50" authorId="0" shapeId="0" xr:uid="{6A4A07BE-43F4-4166-8063-EFD725607D6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E50" authorId="0" shapeId="0" xr:uid="{1D018EF1-015F-4E5C-8DAF-CAC85AB8C79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F50" authorId="0" shapeId="0" xr:uid="{C398807F-332E-4222-BEDC-28579ECF04E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G50" authorId="0" shapeId="0" xr:uid="{13D2520D-8ABF-4958-98E3-2D4D6942A37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H50" authorId="0" shapeId="0" xr:uid="{445331B0-5D72-4980-9BC3-0D6DB845907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1.0%]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K5 &amp; L6 &amp; S24 &amp; W5 &amp; P135 &amp; N4</t>
        </r>
      </text>
    </comment>
    <comment ref="A51" authorId="0" shapeId="0" xr:uid="{C693D65C-834F-4D73-B58E-3ECBB2202942}">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B51" authorId="0" shapeId="0" xr:uid="{D7DA17E5-F953-4B36-BBA3-84C240EB7094}">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C51" authorId="0" shapeId="0" xr:uid="{55740AFD-7F58-4E1E-84DD-9567F603AF8A}">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D51" authorId="0" shapeId="0" xr:uid="{81439BAF-2BD9-4821-A5EB-B9596CCD168E}">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E51" authorId="0" shapeId="0" xr:uid="{0F68DBA1-AC99-4DB3-A0C5-4F9C73BA711B}">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F51" authorId="0" shapeId="0" xr:uid="{76240BE8-62F7-43CA-A695-9D32D08142AB}">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G51" authorId="0" shapeId="0" xr:uid="{26065AC2-4212-4616-9847-24C21B9CD657}">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H51" authorId="0" shapeId="0" xr:uid="{9C234269-FC06-455D-B1FE-1BEB21B8820E}">
      <text>
        <r>
          <rPr>
            <b/>
            <sz val="8.5"/>
            <color indexed="8"/>
            <rFont val="Calibri"/>
            <family val="2"/>
          </rPr>
          <t xml:space="preserve">-{ </t>
        </r>
        <r>
          <rPr>
            <b/>
            <sz val="10"/>
            <color indexed="10"/>
            <rFont val="Calibri"/>
            <family val="2"/>
          </rPr>
          <t>SM432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W17 &amp; T17 &amp; X9 &amp; U20 &amp; O4 &amp; I5 &amp; P62</t>
        </r>
      </text>
    </comment>
    <comment ref="A61" authorId="0" shapeId="0" xr:uid="{E7E6D7CC-2639-4290-A4CA-0F7344C33EFC}">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B61" authorId="0" shapeId="0" xr:uid="{28A59F95-EB19-4E0B-98DB-C4428DD236AF}">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C61" authorId="0" shapeId="0" xr:uid="{3AAB7DBA-9E40-442F-A52E-FAC5F4349299}">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D61" authorId="0" shapeId="0" xr:uid="{2567C851-7049-4D7A-821C-C42E1E8F023F}">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E61" authorId="0" shapeId="0" xr:uid="{D7DFDBFD-74E9-4603-8ABC-8A44F433A484}">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F61" authorId="0" shapeId="0" xr:uid="{BABE61FA-6134-403A-858B-57F5E4794F20}">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G61" authorId="0" shapeId="0" xr:uid="{568E274F-BCF5-42E0-A551-D4B9ACF56FB5}">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H61" authorId="0" shapeId="0" xr:uid="{34AEC56B-D3D5-4CC5-AE54-1866225D62B0}">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59.2%]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20]_x000D_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W17 &amp; T33 &amp; X4 &amp; U5 &amp; O4 &amp; I4 &amp; P28 &amp; N2</t>
        </r>
      </text>
    </comment>
    <comment ref="A62" authorId="0" shapeId="0" xr:uid="{10A98377-8DFE-4186-A742-5837BB1DC65D}">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B62" authorId="0" shapeId="0" xr:uid="{B05471D3-4172-4DCA-9AD0-4DC51003BA4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C62" authorId="0" shapeId="0" xr:uid="{837295C0-024D-409C-86E4-593FD368BD47}">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D62" authorId="0" shapeId="0" xr:uid="{4C7C62AF-E593-4DC4-A6BD-8A62239C9837}">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E62" authorId="0" shapeId="0" xr:uid="{8CC2B0BB-BFD9-4813-8966-F9EAC88D18F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F62" authorId="0" shapeId="0" xr:uid="{11642610-6451-4788-86F8-22325855A125}">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G62" authorId="0" shapeId="0" xr:uid="{FEA83EC8-C9B7-4B00-8E8D-0EDA2514671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H62" authorId="0" shapeId="0" xr:uid="{C583A36D-781D-49B6-9232-473BAC54290A}">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S32 &amp; W20 &amp; T16 &amp; X9 &amp; U5 &amp; O5 &amp; I5</t>
        </r>
      </text>
    </comment>
    <comment ref="A64" authorId="0" shapeId="0" xr:uid="{39C326BD-3DE2-4F70-B1E3-775D5462D1B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B64" authorId="0" shapeId="0" xr:uid="{A4EF8EBC-89CB-4FF7-85C7-01F8B36168EC}">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C64" authorId="0" shapeId="0" xr:uid="{57C0B0CA-6884-4D85-B6B5-237A19EF9EA8}">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D64" authorId="0" shapeId="0" xr:uid="{41DAB58D-016B-4A3A-9DE3-B705BFB3D0E2}">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E64" authorId="0" shapeId="0" xr:uid="{4041A6D8-D1FB-42A3-B2ED-F0A211A06AF9}">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F64" authorId="0" shapeId="0" xr:uid="{E037CC99-4840-46A3-A59A-5B23D23088D0}">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G64" authorId="0" shapeId="0" xr:uid="{1F5BF5F2-4114-43F8-9AAC-EAD5766D88F3}">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H64" authorId="0" shapeId="0" xr:uid="{CE1C24DD-4980-4A81-AD8A-A7FA43108073}">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163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S13 &amp; U3 &amp; O5 &amp; I7 &amp; P129</t>
        </r>
      </text>
    </comment>
    <comment ref="A65" authorId="0" shapeId="0" xr:uid="{D33E5CFC-52EC-42B3-8349-1CD3E529E62E}">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B65" authorId="0" shapeId="0" xr:uid="{E81F7118-97BB-4FE2-9C19-4E32794D3E6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C65" authorId="0" shapeId="0" xr:uid="{16887E76-E04A-46BC-ABA1-E57046CEBA4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D65" authorId="0" shapeId="0" xr:uid="{3EC04E2F-3949-4161-89C7-3CCE1499CE3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E65" authorId="0" shapeId="0" xr:uid="{BB43CF88-FB08-4ED6-B8EF-200F34FB58ED}">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F65" authorId="0" shapeId="0" xr:uid="{BA99D6CF-869C-477C-A566-0E4D4EE4CFA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G65" authorId="0" shapeId="0" xr:uid="{6F1BCF9A-2B82-4E2B-816A-2FC0543B8F9E}">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H65" authorId="0" shapeId="0" xr:uid="{74EB0C3D-3F19-4E54-884B-D4340F82C45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S11 &amp; T7 &amp; X12 &amp; U5 &amp; O5 &amp; I5 &amp; P129</t>
        </r>
      </text>
    </comment>
    <comment ref="A66" authorId="0" shapeId="0" xr:uid="{9A0EE887-60AF-4133-904D-F73C3B28656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B66" authorId="0" shapeId="0" xr:uid="{238275D9-70E7-4924-8938-B2137B1A9BD8}">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C66" authorId="0" shapeId="0" xr:uid="{C1CCA85C-75E1-4333-B29E-21CB7689B78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D66" authorId="0" shapeId="0" xr:uid="{5ADDEB04-1172-4D87-A1EE-355943A7F15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E66" authorId="0" shapeId="0" xr:uid="{21004E5B-CD15-42FB-8022-E7ED40893A62}">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F66" authorId="0" shapeId="0" xr:uid="{19E4A8D1-63D6-4275-824D-69DE1B91A51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G66" authorId="0" shapeId="0" xr:uid="{CA3E4AEF-FF59-4894-8B07-F672BEA6B7C3}">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H66" authorId="0" shapeId="0" xr:uid="{50063402-5558-461C-BA37-B32B3E9CAF31}">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T3 &amp; X10 &amp; U17 &amp; O16 &amp; I11 &amp; P84 &amp; N4</t>
        </r>
      </text>
    </comment>
    <comment ref="A67" authorId="0" shapeId="0" xr:uid="{0A18B0F7-13DC-4253-9B1D-9ADC832F4B9D}">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B67" authorId="0" shapeId="0" xr:uid="{47DE0EE3-8DF9-448F-9BCF-C329DF6A6BF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C67" authorId="0" shapeId="0" xr:uid="{EEB827AB-A019-4C96-86D3-64A557B0DACE}">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D67" authorId="0" shapeId="0" xr:uid="{2E16F97D-00A6-41E9-857C-9427C2144B8E}">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E67" authorId="0" shapeId="0" xr:uid="{613ABB43-1C88-49A0-8D69-85093F979768}">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F67" authorId="0" shapeId="0" xr:uid="{1B7E9FB5-68E0-4C4E-AAB3-70AD34C3FF0C}">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G67" authorId="0" shapeId="0" xr:uid="{8F549336-0B95-406B-821A-86DE3E938A1A}">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H67" authorId="0" shapeId="0" xr:uid="{589D8B4A-4EED-4DB1-8375-2D6E549B9EC6}">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X14 &amp; U10 &amp; O10 &amp; I15 &amp; P108</t>
        </r>
      </text>
    </comment>
    <comment ref="A68" authorId="0" shapeId="0" xr:uid="{F955D64A-B8A8-406C-BB53-64ACE0EB8776}">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B68" authorId="0" shapeId="0" xr:uid="{B3D5C248-9B26-41DA-B181-5025C29C4BCC}">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C68" authorId="0" shapeId="0" xr:uid="{269D59BC-854A-404F-835B-BDC2E58361A9}">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D68" authorId="0" shapeId="0" xr:uid="{ED510789-16B5-410D-9D9E-07B39381EF0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E68" authorId="0" shapeId="0" xr:uid="{5BC3BC55-BF7A-4A68-9113-1DF71A8526F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F68" authorId="0" shapeId="0" xr:uid="{1A2600F1-F57E-40FB-B509-6C1BCC674B93}">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G68" authorId="0" shapeId="0" xr:uid="{A39E714E-53C2-44EC-B28B-39D2F902ED55}">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H68" authorId="0" shapeId="0" xr:uid="{8D36494D-813A-4957-BB45-B41ED55B55FF}">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80.5%]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X19 &amp; U10 &amp; O10 &amp; I5 &amp; P93 &amp; N2</t>
        </r>
      </text>
    </comment>
    <comment ref="A69" authorId="0" shapeId="0" xr:uid="{6A35CEFE-F838-4E60-8E94-93E91491A5EB}">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B69" authorId="0" shapeId="0" xr:uid="{6445642B-A7AF-4275-A561-85C4863F2C11}">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C69" authorId="0" shapeId="0" xr:uid="{66A9BC66-3D92-4302-BB03-1444CBFBFFC1}">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D69" authorId="0" shapeId="0" xr:uid="{9EFAEB27-FA26-4189-A1EE-14356C3618B5}">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E69" authorId="0" shapeId="0" xr:uid="{AACFBEAD-A786-49BA-BDA9-7B48365A388D}">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F69" authorId="0" shapeId="0" xr:uid="{9ECA1561-8CD8-4AEF-ACE7-4D96E36DA812}">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G69" authorId="0" shapeId="0" xr:uid="{760239F3-A25E-4350-A564-187B79465D1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H69" authorId="0" shapeId="0" xr:uid="{B5247EEB-4917-415C-B628-E08ED58F830A}">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35.2%] - [</t>
        </r>
        <r>
          <rPr>
            <b/>
            <sz val="10"/>
            <color indexed="48"/>
            <rFont val="Calibri"/>
            <family val="2"/>
          </rPr>
          <t xml:space="preserve">SOLD </t>
        </r>
        <r>
          <rPr>
            <b/>
            <sz val="10"/>
            <color indexed="8"/>
            <rFont val="Calibri"/>
            <family val="2"/>
          </rPr>
          <t>» 63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X16 &amp; U25 &amp; O10 &amp; I10</t>
        </r>
      </text>
    </comment>
    <comment ref="A70" authorId="0" shapeId="0" xr:uid="{F6A9F586-C8AA-4B93-8574-76B0CB34B4E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B70" authorId="0" shapeId="0" xr:uid="{53649F17-5AF0-4145-9F8D-27A21B195A7D}">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C70" authorId="0" shapeId="0" xr:uid="{9098B18F-7000-4740-888C-5AA49B8DC276}">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D70" authorId="0" shapeId="0" xr:uid="{C2125203-9B17-4C8C-80F6-DB5634A15810}">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E70" authorId="0" shapeId="0" xr:uid="{46B0EE57-D8E9-4983-986F-67C2C7D6AF4C}">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F70" authorId="0" shapeId="0" xr:uid="{32D8CA3D-3040-43AC-98E4-B4912E0C10DB}">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G70" authorId="0" shapeId="0" xr:uid="{C7F1417D-812C-43C6-82D9-FAD56F599294}">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H70" authorId="0" shapeId="0" xr:uid="{B97BEDBD-2020-4A9F-8D19-6E5556D0A064}">
      <text>
        <r>
          <rPr>
            <b/>
            <sz val="8.5"/>
            <color indexed="8"/>
            <rFont val="Calibri"/>
            <family val="2"/>
          </rPr>
          <t xml:space="preserve">-{ </t>
        </r>
        <r>
          <rPr>
            <b/>
            <sz val="10"/>
            <color indexed="10"/>
            <rFont val="Calibri"/>
            <family val="2"/>
          </rPr>
          <t>SM460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W2 &amp; X4 &amp; U13 &amp; O15 &amp; I9 &amp; P117</t>
        </r>
      </text>
    </comment>
    <comment ref="A71" authorId="0" shapeId="0" xr:uid="{48C34328-68AE-429B-8305-7145ECD720F9}">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B71" authorId="0" shapeId="0" xr:uid="{699AA3A2-7FCA-42B2-914C-741CB7020EFE}">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C71" authorId="0" shapeId="0" xr:uid="{4006C9FB-36E0-4B98-B450-25CCF11D4C2D}">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D71" authorId="0" shapeId="0" xr:uid="{4F4A394F-6E54-41D6-B3AC-FFB9C02761F7}">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E71" authorId="0" shapeId="0" xr:uid="{060CE4F2-A416-4C3F-A958-61A741005DA3}">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F71" authorId="0" shapeId="0" xr:uid="{EA7FFCE2-AC7E-4CA6-8C19-53DA9698E445}">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G71" authorId="0" shapeId="0" xr:uid="{3A6317DD-824A-46FA-B3B7-E4BAD1506AC1}">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H71" authorId="0" shapeId="0" xr:uid="{4B5F406A-FA72-450C-9349-17B5797C7082}">
      <text>
        <r>
          <rPr>
            <b/>
            <sz val="8.5"/>
            <color indexed="8"/>
            <rFont val="Calibri"/>
            <family val="2"/>
          </rPr>
          <t xml:space="preserve">-{ </t>
        </r>
        <r>
          <rPr>
            <b/>
            <sz val="10"/>
            <color indexed="10"/>
            <rFont val="Calibri"/>
            <family val="2"/>
          </rPr>
          <t>SM472</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X2 &amp; U9 &amp; O10 &amp; I30</t>
        </r>
      </text>
    </comment>
    <comment ref="A72" authorId="0" shapeId="0" xr:uid="{253AE7E6-6C69-4358-A221-DDB5E021D340}">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B72" authorId="0" shapeId="0" xr:uid="{8DD4A0DD-32CA-49A9-AD22-A4824888271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C72" authorId="0" shapeId="0" xr:uid="{62994509-A5AA-4367-81B2-87C635656CE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D72" authorId="0" shapeId="0" xr:uid="{9E475028-0D49-4D03-8BBE-246C8B98A324}">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E72" authorId="0" shapeId="0" xr:uid="{B9144682-029C-4ABC-B894-0B959A900D8C}">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F72" authorId="0" shapeId="0" xr:uid="{5C333B78-8E8D-48E1-9B49-DB73E478B43F}">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G72" authorId="0" shapeId="0" xr:uid="{35A40765-D738-42FA-9834-4F0C87B215E9}">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H72" authorId="0" shapeId="0" xr:uid="{B4F1BC1E-E89F-4ACC-A40F-6C58D48C144B}">
      <text>
        <r>
          <rPr>
            <b/>
            <sz val="8.5"/>
            <color indexed="8"/>
            <rFont val="Calibri"/>
            <family val="2"/>
          </rPr>
          <t xml:space="preserve">-{ </t>
        </r>
        <r>
          <rPr>
            <b/>
            <sz val="10"/>
            <color indexed="10"/>
            <rFont val="Calibri"/>
            <family val="2"/>
          </rPr>
          <t>SM476</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O15 &amp; I30 &amp; P46</t>
        </r>
      </text>
    </comment>
    <comment ref="A73" authorId="0" shapeId="0" xr:uid="{FEBA9B2C-011C-4176-94D1-1C5371A6CAD7}">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B73" authorId="0" shapeId="0" xr:uid="{CE1B83E5-62B2-485A-9B27-5C7251859A4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C73" authorId="0" shapeId="0" xr:uid="{326D2B98-01F9-4FC2-AB87-7F87C293420C}">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D73" authorId="0" shapeId="0" xr:uid="{D7D2D8FA-B8AD-4B06-A14A-BE7D76CF668D}">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E73" authorId="0" shapeId="0" xr:uid="{4AEA87DF-1C78-455D-A80B-FDCB53CFEFAF}">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F73" authorId="0" shapeId="0" xr:uid="{52ABDE0D-697F-4FD2-98C5-13A511243C7E}">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G73" authorId="0" shapeId="0" xr:uid="{BB23F747-B5A2-4355-9D4A-3BD010A6DD14}">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H73" authorId="0" shapeId="0" xr:uid="{09275CDF-80BB-4A39-8F7B-5B6F80C2B58A}">
      <text>
        <r>
          <rPr>
            <b/>
            <sz val="8.5"/>
            <color indexed="8"/>
            <rFont val="Calibri"/>
            <family val="2"/>
          </rPr>
          <t xml:space="preserve">-{ </t>
        </r>
        <r>
          <rPr>
            <b/>
            <sz val="10"/>
            <color indexed="10"/>
            <rFont val="Calibri"/>
            <family val="2"/>
          </rPr>
          <t>SM424</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U5 &amp; O10 &amp; I15 &amp; P88</t>
        </r>
      </text>
    </comment>
    <comment ref="A74" authorId="0" shapeId="0" xr:uid="{90D37407-FBCF-4DFE-AECB-26227CEBA694}">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B74" authorId="0" shapeId="0" xr:uid="{F465A48E-44B5-4D40-B762-D8BEB793E663}">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C74" authorId="0" shapeId="0" xr:uid="{39164AE7-72B4-41A8-8A82-F7CA9636B098}">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D74" authorId="0" shapeId="0" xr:uid="{1BB21E90-7204-4BE9-8879-F0471B1363AB}">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E74" authorId="0" shapeId="0" xr:uid="{4EE1FC56-0732-4141-9748-131C639F9B6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F74" authorId="0" shapeId="0" xr:uid="{6B940BBB-577C-4A93-8C13-CD1E0C2102A4}">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G74" authorId="0" shapeId="0" xr:uid="{63EF2A2A-838F-454D-9073-E8BE00413320}">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H74" authorId="0" shapeId="0" xr:uid="{B998A1BF-D48A-4170-A5BC-C43E064EBE87}">
      <text>
        <r>
          <rPr>
            <b/>
            <sz val="8.5"/>
            <color indexed="8"/>
            <rFont val="Calibri"/>
            <family val="2"/>
          </rPr>
          <t xml:space="preserve">-{ </t>
        </r>
        <r>
          <rPr>
            <b/>
            <sz val="10"/>
            <color indexed="10"/>
            <rFont val="Calibri"/>
            <family val="2"/>
          </rPr>
          <t>SM478</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S6 &amp; X3 &amp; U13 &amp; O15 &amp; I15 &amp; P82</t>
        </r>
      </text>
    </comment>
    <comment ref="A75" authorId="0" shapeId="0" xr:uid="{D90EF942-3984-43D6-9FB5-5B193A12EFE3}">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B75" authorId="0" shapeId="0" xr:uid="{EB1FF067-D4F1-46FF-B60E-55FDBD404B20}">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C75" authorId="0" shapeId="0" xr:uid="{03CF78B3-5DB4-4ACE-A20E-62A9AAA68877}">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D75" authorId="0" shapeId="0" xr:uid="{DF419536-C8AB-4BA8-A389-FA52B934D46D}">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E75" authorId="0" shapeId="0" xr:uid="{E42FF980-C113-4813-97F9-2ED48A9AD876}">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F75" authorId="0" shapeId="0" xr:uid="{F98AE41C-A54C-4857-8130-E95F1183AF1F}">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G75" authorId="0" shapeId="0" xr:uid="{C33E5035-8349-41CB-B4FF-DB1BE26AA6B1}">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 ref="H75" authorId="0" shapeId="0" xr:uid="{4D84B3F9-BCA3-452C-822E-73ADE925B048}">
      <text>
        <r>
          <rPr>
            <b/>
            <sz val="8.5"/>
            <color indexed="8"/>
            <rFont val="Calibri"/>
            <family val="2"/>
          </rPr>
          <t xml:space="preserve">-{ </t>
        </r>
        <r>
          <rPr>
            <b/>
            <sz val="10"/>
            <color indexed="10"/>
            <rFont val="Calibri"/>
            <family val="2"/>
          </rPr>
          <t>SM480</t>
        </r>
        <r>
          <rPr>
            <b/>
            <sz val="8.5"/>
            <color indexed="8"/>
            <rFont val="Calibri"/>
            <family val="2"/>
          </rPr>
          <t xml:space="preserve"> }-_x000D_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X1 &amp; U15 &amp; O15 &amp; I15 &amp; P117 &amp; N3</t>
        </r>
      </text>
    </comment>
  </commentList>
</comments>
</file>

<file path=xl/sharedStrings.xml><?xml version="1.0" encoding="utf-8"?>
<sst xmlns="http://schemas.openxmlformats.org/spreadsheetml/2006/main" count="6040" uniqueCount="526">
  <si>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</si>
  <si>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</si>
  <si>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</si>
  <si>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</si>
  <si>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</si>
  <si>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</si>
  <si>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</si>
  <si>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</si>
  <si>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</si>
  <si>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</si>
  <si>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</si>
  <si>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</si>
  <si>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</si>
  <si>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</si>
  <si>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</si>
  <si>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</si>
  <si>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</si>
  <si>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</si>
  <si>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</si>
  <si>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</si>
  <si>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</si>
  <si>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</si>
  <si>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</si>
  <si>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</si>
  <si>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</si>
  <si>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</si>
  <si>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Nesma Airlines</t>
  </si>
  <si>
    <t>NE-171</t>
  </si>
  <si>
    <t>Cabin: 7 KG | Check-in: 30 KG</t>
  </si>
  <si>
    <r>
      <rPr>
        <b/>
        <i/>
        <sz val="13"/>
        <color rgb="FFBC0000"/>
        <rFont val="Calibri"/>
      </rPr>
      <t>6</t>
    </r>
    <r>
      <rPr>
        <b/>
        <i/>
        <sz val="10"/>
        <color rgb="FFBC0000"/>
        <rFont val="Calibri"/>
      </rPr>
      <t xml:space="preserve"> FOR SAME CLASS</t>
    </r>
  </si>
  <si>
    <t>595 SAR</t>
  </si>
  <si>
    <t>NE-173</t>
  </si>
  <si>
    <r>
      <rPr>
        <b/>
        <i/>
        <sz val="13"/>
        <rFont val="Calibri"/>
      </rPr>
      <t>2</t>
    </r>
    <r>
      <rPr>
        <b/>
        <i/>
        <sz val="10"/>
        <rFont val="Calibri"/>
      </rPr>
      <t xml:space="preserve"> FOR SAME CLASS</t>
    </r>
  </si>
  <si>
    <t>745 SAR</t>
  </si>
  <si>
    <t>Nile Air</t>
  </si>
  <si>
    <t>NP-128</t>
  </si>
  <si>
    <r>
      <rPr>
        <b/>
        <i/>
        <sz val="13"/>
        <color rgb="FFBC0000"/>
        <rFont val="Calibri"/>
      </rPr>
      <t>+9</t>
    </r>
    <r>
      <rPr>
        <b/>
        <i/>
        <sz val="10"/>
        <color rgb="FFBC0000"/>
        <rFont val="Calibri"/>
      </rPr>
      <t xml:space="preserve"> FOR SAME CLASS</t>
    </r>
  </si>
  <si>
    <t>599 SAR</t>
  </si>
  <si>
    <t>NP-228</t>
  </si>
  <si>
    <r>
      <rPr>
        <b/>
        <i/>
        <sz val="13"/>
        <rFont val="Calibri"/>
      </rPr>
      <t>7</t>
    </r>
    <r>
      <rPr>
        <b/>
        <i/>
        <sz val="10"/>
        <rFont val="Calibri"/>
      </rPr>
      <t xml:space="preserve"> FOR SAME CLASS</t>
    </r>
  </si>
  <si>
    <t>649 SAR</t>
  </si>
  <si>
    <t>flyadeal</t>
  </si>
  <si>
    <t>F3-753</t>
  </si>
  <si>
    <t>Check-in: 15 KG</t>
  </si>
  <si>
    <t>639 SAR</t>
  </si>
  <si>
    <t>Cabin: 10 KG / Check-in: 25 KG</t>
  </si>
  <si>
    <r>
      <rPr>
        <i/>
        <sz val="13"/>
        <rFont val="Calibri"/>
      </rPr>
      <t>6</t>
    </r>
    <r>
      <rPr>
        <i/>
        <sz val="10"/>
        <rFont val="Calibri"/>
      </rPr>
      <t xml:space="preserve"> FOR SAME CLASS</t>
    </r>
  </si>
  <si>
    <t>789 SAR</t>
  </si>
  <si>
    <t>Cabin: 10 KG / Check-in: 2 x 40 KG</t>
  </si>
  <si>
    <t>1,099 SAR</t>
  </si>
  <si>
    <t>F3-761</t>
  </si>
  <si>
    <r>
      <rPr>
        <b/>
        <i/>
        <sz val="13"/>
        <rFont val="Calibri"/>
      </rPr>
      <t>8</t>
    </r>
    <r>
      <rPr>
        <b/>
        <i/>
        <sz val="10"/>
        <rFont val="Calibri"/>
      </rPr>
      <t xml:space="preserve"> FOR SAME CLASS</t>
    </r>
  </si>
  <si>
    <t>689 SAR</t>
  </si>
  <si>
    <r>
      <rPr>
        <i/>
        <sz val="13"/>
        <rFont val="Calibri"/>
      </rPr>
      <t>8</t>
    </r>
    <r>
      <rPr>
        <i/>
        <sz val="10"/>
        <rFont val="Calibri"/>
      </rPr>
      <t xml:space="preserve"> FOR SAME CLASS</t>
    </r>
  </si>
  <si>
    <t>839 SAR</t>
  </si>
  <si>
    <t>1,499 SAR</t>
  </si>
  <si>
    <t>F3-763</t>
  </si>
  <si>
    <r>
      <rPr>
        <b/>
        <i/>
        <sz val="13"/>
        <rFont val="Calibri"/>
      </rPr>
      <t>9</t>
    </r>
    <r>
      <rPr>
        <b/>
        <i/>
        <sz val="10"/>
        <rFont val="Calibri"/>
      </rPr>
      <t xml:space="preserve"> FOR SAME CLASS</t>
    </r>
  </si>
  <si>
    <t>749 SAR</t>
  </si>
  <si>
    <r>
      <rPr>
        <i/>
        <sz val="13"/>
        <rFont val="Calibri"/>
      </rPr>
      <t>9</t>
    </r>
    <r>
      <rPr>
        <i/>
        <sz val="10"/>
        <rFont val="Calibri"/>
      </rPr>
      <t xml:space="preserve"> FOR SAME CLASS</t>
    </r>
  </si>
  <si>
    <t>899 SAR</t>
  </si>
  <si>
    <t>flynas</t>
  </si>
  <si>
    <t>XY-571</t>
  </si>
  <si>
    <t>Cabin: 7 KG / Check-in: 20 KG</t>
  </si>
  <si>
    <t>669 SAR</t>
  </si>
  <si>
    <t>Cabin: 7 KG / Check-in: 30 KG</t>
  </si>
  <si>
    <t>769 SAR</t>
  </si>
  <si>
    <t>Cabin: 7 KG / Check-in: 2 x 40 KG</t>
  </si>
  <si>
    <t>859 SAR</t>
  </si>
  <si>
    <t>XY-573</t>
  </si>
  <si>
    <r>
      <rPr>
        <b/>
        <i/>
        <sz val="13"/>
        <rFont val="Calibri"/>
      </rPr>
      <t>1</t>
    </r>
    <r>
      <rPr>
        <b/>
        <i/>
        <sz val="10"/>
        <rFont val="Calibri"/>
      </rPr>
      <t xml:space="preserve"> FOR SAME CLASS</t>
    </r>
  </si>
  <si>
    <r>
      <rPr>
        <i/>
        <sz val="13"/>
        <rFont val="Calibri"/>
      </rPr>
      <t>1</t>
    </r>
    <r>
      <rPr>
        <i/>
        <sz val="10"/>
        <rFont val="Calibri"/>
      </rPr>
      <t xml:space="preserve"> FOR SAME CLASS</t>
    </r>
  </si>
  <si>
    <t>XY-577</t>
  </si>
  <si>
    <t>XY-589</t>
  </si>
  <si>
    <t>XY-567</t>
  </si>
  <si>
    <t>719 SAR</t>
  </si>
  <si>
    <t>819 SAR</t>
  </si>
  <si>
    <t>909 SAR</t>
  </si>
  <si>
    <t>XY-569</t>
  </si>
  <si>
    <t>XY-583</t>
  </si>
  <si>
    <r>
      <rPr>
        <i/>
        <sz val="13"/>
        <rFont val="Calibri"/>
      </rPr>
      <t>7</t>
    </r>
    <r>
      <rPr>
        <i/>
        <sz val="10"/>
        <rFont val="Calibri"/>
      </rPr>
      <t xml:space="preserve"> FOR SAME CLASS</t>
    </r>
  </si>
  <si>
    <t>Air Cairo</t>
  </si>
  <si>
    <t>SM-460</t>
  </si>
  <si>
    <t>Cabin: 7 KG | Check-in: 40 KG</t>
  </si>
  <si>
    <r>
      <rPr>
        <b/>
        <i/>
        <sz val="13"/>
        <color rgb="FFBC0000"/>
        <rFont val="Calibri"/>
      </rPr>
      <t>5</t>
    </r>
    <r>
      <rPr>
        <b/>
        <i/>
        <sz val="10"/>
        <color rgb="FFBC0000"/>
        <rFont val="Calibri"/>
      </rPr>
      <t xml:space="preserve"> FOR SAME CLASS</t>
    </r>
  </si>
  <si>
    <t>781 SAR</t>
  </si>
  <si>
    <t>SM460</t>
  </si>
  <si>
    <t>G5</t>
  </si>
  <si>
    <t>B1 &amp; L9 &amp; G19 &amp; S28 &amp; W10 &amp; T14 &amp; X15 &amp; U5 &amp; O5 &amp; I7 &amp; P49</t>
  </si>
  <si>
    <t>SM-476</t>
  </si>
  <si>
    <r>
      <rPr>
        <b/>
        <i/>
        <sz val="13"/>
        <rFont val="Calibri"/>
      </rPr>
      <t>6</t>
    </r>
    <r>
      <rPr>
        <b/>
        <i/>
        <sz val="10"/>
        <rFont val="Calibri"/>
      </rPr>
      <t xml:space="preserve"> FOR SAME CLASS</t>
    </r>
  </si>
  <si>
    <t>SM476</t>
  </si>
  <si>
    <t>G6</t>
  </si>
  <si>
    <t>L7 &amp; G18 &amp; S31 &amp; W5 &amp; T10 &amp; X11 &amp; U20 &amp; O4 &amp; I5 &amp; P48</t>
  </si>
  <si>
    <t>SM-478</t>
  </si>
  <si>
    <r>
      <rPr>
        <b/>
        <i/>
        <sz val="13"/>
        <rFont val="Calibri"/>
      </rPr>
      <t>4</t>
    </r>
    <r>
      <rPr>
        <b/>
        <i/>
        <sz val="10"/>
        <rFont val="Calibri"/>
      </rPr>
      <t xml:space="preserve"> FOR SAME CLASS</t>
    </r>
  </si>
  <si>
    <t>856 SAR</t>
  </si>
  <si>
    <t>SM478</t>
  </si>
  <si>
    <t>L4</t>
  </si>
  <si>
    <t>L5 &amp; G18 &amp; S32 &amp; W5 &amp; T8 &amp; X20 &amp; U9 &amp; O8 &amp; I11 &amp; P45 &amp; N3</t>
  </si>
  <si>
    <t>Air Arabia Egypt</t>
  </si>
  <si>
    <t>E5-328</t>
  </si>
  <si>
    <t>Cabin: 10 KG / Check-in: 30 KG</t>
  </si>
  <si>
    <r>
      <rPr>
        <b/>
        <i/>
        <sz val="13"/>
        <color rgb="FFBC0000"/>
        <rFont val="Calibri"/>
      </rPr>
      <t>4</t>
    </r>
    <r>
      <rPr>
        <b/>
        <i/>
        <sz val="10"/>
        <color rgb="FFBC0000"/>
        <rFont val="Calibri"/>
      </rPr>
      <t xml:space="preserve"> FOR SAME CLASS</t>
    </r>
  </si>
  <si>
    <t>EgyptAir</t>
  </si>
  <si>
    <t>MS-662</t>
  </si>
  <si>
    <t>Cabin: 7 KG | Check-in: 2 PIECE</t>
  </si>
  <si>
    <t>993 SAR</t>
  </si>
  <si>
    <t>MS-666</t>
  </si>
  <si>
    <r>
      <rPr>
        <b/>
        <i/>
        <sz val="13"/>
        <rFont val="Calibri"/>
      </rPr>
      <t>+9</t>
    </r>
    <r>
      <rPr>
        <b/>
        <i/>
        <sz val="10"/>
        <rFont val="Calibri"/>
      </rPr>
      <t xml:space="preserve"> FOR SAME CLASS</t>
    </r>
  </si>
  <si>
    <t>1,115 SAR</t>
  </si>
  <si>
    <t>MS-668</t>
  </si>
  <si>
    <t>MS-670</t>
  </si>
  <si>
    <t>1,253 SAR</t>
  </si>
  <si>
    <t>MS-672</t>
  </si>
  <si>
    <t>Saudia</t>
  </si>
  <si>
    <t>SV-301</t>
  </si>
  <si>
    <t>Cabin: 7 KG / Check-in: 23 KG</t>
  </si>
  <si>
    <t>1,193 SAR</t>
  </si>
  <si>
    <t>Cabin: 7 KG / Check-in: 2 x 46 KG</t>
  </si>
  <si>
    <r>
      <rPr>
        <i/>
        <sz val="13"/>
        <rFont val="Calibri"/>
      </rPr>
      <t>+9</t>
    </r>
    <r>
      <rPr>
        <i/>
        <sz val="10"/>
        <rFont val="Calibri"/>
      </rPr>
      <t xml:space="preserve"> FOR SAME CLASS</t>
    </r>
  </si>
  <si>
    <t>1,326 SAR</t>
  </si>
  <si>
    <t>SV-387</t>
  </si>
  <si>
    <r>
      <rPr>
        <b/>
        <i/>
        <sz val="13"/>
        <rFont val="Calibri"/>
      </rPr>
      <t>3</t>
    </r>
    <r>
      <rPr>
        <b/>
        <i/>
        <sz val="10"/>
        <rFont val="Calibri"/>
      </rPr>
      <t xml:space="preserve"> FOR SAME CLASS</t>
    </r>
  </si>
  <si>
    <r>
      <rPr>
        <i/>
        <sz val="13"/>
        <rFont val="Calibri"/>
      </rPr>
      <t>3</t>
    </r>
    <r>
      <rPr>
        <i/>
        <sz val="10"/>
        <rFont val="Calibri"/>
      </rPr>
      <t xml:space="preserve"> FOR SAME CLASS</t>
    </r>
  </si>
  <si>
    <t>SV-389</t>
  </si>
  <si>
    <t>SV-303</t>
  </si>
  <si>
    <t>1,586 SAR</t>
  </si>
  <si>
    <t>1,719 SAR</t>
  </si>
  <si>
    <t>SV-305</t>
  </si>
  <si>
    <t>SV-6664</t>
  </si>
  <si>
    <t>1,944 SAR</t>
  </si>
  <si>
    <t>SV-6895</t>
  </si>
  <si>
    <t>F3-755</t>
  </si>
  <si>
    <r>
      <rPr>
        <b/>
        <i/>
        <sz val="13"/>
        <color rgb="FFBC0000"/>
        <rFont val="Calibri"/>
      </rPr>
      <t>1</t>
    </r>
    <r>
      <rPr>
        <b/>
        <i/>
        <sz val="10"/>
        <color rgb="FFBC0000"/>
        <rFont val="Calibri"/>
      </rPr>
      <t xml:space="preserve"> FOR SAME CLASS</t>
    </r>
  </si>
  <si>
    <r>
      <rPr>
        <b/>
        <i/>
        <sz val="13"/>
        <rFont val="Calibri"/>
      </rPr>
      <t>10</t>
    </r>
    <r>
      <rPr>
        <b/>
        <i/>
        <sz val="10"/>
        <rFont val="Calibri"/>
      </rPr>
      <t xml:space="preserve"> FOR SAME CLASS</t>
    </r>
  </si>
  <si>
    <r>
      <rPr>
        <i/>
        <sz val="13"/>
        <rFont val="Calibri"/>
      </rPr>
      <t>10</t>
    </r>
    <r>
      <rPr>
        <i/>
        <sz val="10"/>
        <rFont val="Calibri"/>
      </rPr>
      <t xml:space="preserve"> FOR SAME CLASS</t>
    </r>
  </si>
  <si>
    <t>XY-565</t>
  </si>
  <si>
    <r>
      <rPr>
        <b/>
        <i/>
        <sz val="13"/>
        <rFont val="Calibri"/>
      </rPr>
      <t>5</t>
    </r>
    <r>
      <rPr>
        <b/>
        <i/>
        <sz val="10"/>
        <rFont val="Calibri"/>
      </rPr>
      <t xml:space="preserve"> FOR SAME CLASS</t>
    </r>
  </si>
  <si>
    <t>829 SAR</t>
  </si>
  <si>
    <r>
      <rPr>
        <i/>
        <sz val="13"/>
        <rFont val="Calibri"/>
      </rPr>
      <t>5</t>
    </r>
    <r>
      <rPr>
        <i/>
        <sz val="10"/>
        <rFont val="Calibri"/>
      </rPr>
      <t xml:space="preserve"> FOR SAME CLASS</t>
    </r>
  </si>
  <si>
    <t>929 SAR</t>
  </si>
  <si>
    <t>1,019 SAR</t>
  </si>
  <si>
    <t>695 SAR</t>
  </si>
  <si>
    <t>NE-175</t>
  </si>
  <si>
    <t>835 SAR</t>
  </si>
  <si>
    <t>SM-424</t>
  </si>
  <si>
    <t>706 SAR</t>
  </si>
  <si>
    <t>SM424</t>
  </si>
  <si>
    <t>S1</t>
  </si>
  <si>
    <t>L16 &amp; G28 &amp; S35 &amp; W29 &amp; P28</t>
  </si>
  <si>
    <t>SM-450</t>
  </si>
  <si>
    <t>SM450</t>
  </si>
  <si>
    <t>V1 &amp; L11 &amp; G20 &amp; S22 &amp; W31 &amp; E69 &amp; P1 &amp; N2</t>
  </si>
  <si>
    <t>V1 &amp; L10 &amp; G16 &amp; S14 &amp; W5 &amp; P104</t>
  </si>
  <si>
    <t>SM-432</t>
  </si>
  <si>
    <t>SM432</t>
  </si>
  <si>
    <t>G7</t>
  </si>
  <si>
    <t>V4 &amp; L28 &amp; G19 &amp; S10 &amp; W10 &amp; T9 &amp; X6 &amp; U1 &amp; O5 &amp; I6 &amp; P2 &amp; N2</t>
  </si>
  <si>
    <t>SM-472</t>
  </si>
  <si>
    <t>SM472</t>
  </si>
  <si>
    <t>L13 &amp; G42 &amp; S15 &amp; W13 &amp; T10 &amp; X5 &amp; U5 &amp; O5 &amp; I5 &amp; P60</t>
  </si>
  <si>
    <t>952 SAR</t>
  </si>
  <si>
    <t>V7</t>
  </si>
  <si>
    <t>Q1 &amp; K6 &amp; V5 &amp; L16 &amp; G26 &amp; S16 &amp; W4 &amp; E1 &amp; P97</t>
  </si>
  <si>
    <t>SM-480</t>
  </si>
  <si>
    <t>1,366 SAR</t>
  </si>
  <si>
    <t>SM480</t>
  </si>
  <si>
    <t>H6</t>
  </si>
  <si>
    <t>M6 &amp; Q4 &amp; K4 &amp; V14 &amp; L16 &amp; G16 &amp; S16 &amp; W5 &amp; I2 &amp; P90</t>
  </si>
  <si>
    <r>
      <rPr>
        <b/>
        <i/>
        <sz val="13"/>
        <color rgb="FFBC0000"/>
        <rFont val="Calibri"/>
      </rPr>
      <t>9</t>
    </r>
    <r>
      <rPr>
        <b/>
        <i/>
        <sz val="10"/>
        <color rgb="FFBC0000"/>
        <rFont val="Calibri"/>
      </rPr>
      <t xml:space="preserve"> FOR SAME CLASS</t>
    </r>
  </si>
  <si>
    <t>737 SAR</t>
  </si>
  <si>
    <t>860 SAR</t>
  </si>
  <si>
    <t>SV-335</t>
  </si>
  <si>
    <t>SV-383</t>
  </si>
  <si>
    <t>SV-309</t>
  </si>
  <si>
    <t>1,828 SAR</t>
  </si>
  <si>
    <t>1,961 SAR</t>
  </si>
  <si>
    <t>SV-6891</t>
  </si>
  <si>
    <t>SV-6893</t>
  </si>
  <si>
    <t>2,105 SAR</t>
  </si>
  <si>
    <t>2,238 SAR</t>
  </si>
  <si>
    <t>2,237 SAR</t>
  </si>
  <si>
    <t>2,370 SAR</t>
  </si>
  <si>
    <t>MS-644</t>
  </si>
  <si>
    <t>1,413 SAR</t>
  </si>
  <si>
    <t>MS-674</t>
  </si>
  <si>
    <t>1,417 SAR</t>
  </si>
  <si>
    <t>MS-664</t>
  </si>
  <si>
    <t>2,005 SAR</t>
  </si>
  <si>
    <r>
      <rPr>
        <b/>
        <i/>
        <sz val="13"/>
        <color rgb="FFBC0000"/>
        <rFont val="Calibri"/>
      </rPr>
      <t>2</t>
    </r>
    <r>
      <rPr>
        <b/>
        <i/>
        <sz val="10"/>
        <color rgb="FFBC0000"/>
        <rFont val="Calibri"/>
      </rPr>
      <t xml:space="preserve"> FOR SAME CLASS</t>
    </r>
  </si>
  <si>
    <r>
      <rPr>
        <i/>
        <sz val="13"/>
        <rFont val="Calibri"/>
      </rPr>
      <t>2</t>
    </r>
    <r>
      <rPr>
        <i/>
        <sz val="10"/>
        <rFont val="Calibri"/>
      </rPr>
      <t xml:space="preserve"> FOR SAME CLASS</t>
    </r>
  </si>
  <si>
    <r>
      <rPr>
        <i/>
        <sz val="13"/>
        <rFont val="Calibri"/>
      </rPr>
      <t>4</t>
    </r>
    <r>
      <rPr>
        <i/>
        <sz val="10"/>
        <rFont val="Calibri"/>
      </rPr>
      <t xml:space="preserve"> FOR SAME CLASS</t>
    </r>
  </si>
  <si>
    <t>E5-322</t>
  </si>
  <si>
    <t>720 SAR</t>
  </si>
  <si>
    <t>947 SAR</t>
  </si>
  <si>
    <t>815 SAR</t>
  </si>
  <si>
    <t>1,049 SAR</t>
  </si>
  <si>
    <t>834 SAR</t>
  </si>
  <si>
    <t>K3 &amp; V30 &amp; L19 &amp; G17 &amp; S16 &amp; W5</t>
  </si>
  <si>
    <t>L5</t>
  </si>
  <si>
    <t>V22 &amp; L16 &amp; G22 &amp; S31 &amp; W5</t>
  </si>
  <si>
    <t>L7</t>
  </si>
  <si>
    <t>V20 &amp; L16 &amp; G24 &amp; S32 &amp; W5</t>
  </si>
  <si>
    <t>L6</t>
  </si>
  <si>
    <t>V16 &amp; L44 &amp; G17 &amp; S13 &amp; W5</t>
  </si>
  <si>
    <t>K6 &amp; V30 &amp; L15 &amp; G17 &amp; S11 &amp; W5 &amp; T2 &amp; X5 &amp; U6 &amp; O4 &amp; I5 &amp; P1</t>
  </si>
  <si>
    <t>30KG + 7KG CABIN</t>
  </si>
  <si>
    <t>FULLY BOOKED</t>
  </si>
  <si>
    <t>CLOSED</t>
  </si>
  <si>
    <t>V7 &amp; G1 &amp; S17 &amp; W10 &amp; T10 &amp; X10 &amp; U10 &amp; O10 &amp; I10 &amp; P92</t>
  </si>
  <si>
    <t>1,257 SAR</t>
  </si>
  <si>
    <t>589 SAR</t>
  </si>
  <si>
    <t>739 SAR</t>
  </si>
  <si>
    <t>677 SAR</t>
  </si>
  <si>
    <t>903 SAR</t>
  </si>
  <si>
    <t>E5-362</t>
  </si>
  <si>
    <t>965 SAR</t>
  </si>
  <si>
    <r>
      <rPr>
        <b/>
        <i/>
        <sz val="13"/>
        <color rgb="FFBC0000"/>
        <rFont val="Calibri"/>
      </rPr>
      <t>3</t>
    </r>
    <r>
      <rPr>
        <b/>
        <i/>
        <sz val="10"/>
        <color rgb="FFBC0000"/>
        <rFont val="Calibri"/>
      </rPr>
      <t xml:space="preserve"> FOR SAME CLASS</t>
    </r>
  </si>
  <si>
    <t>1,066 SAR</t>
  </si>
  <si>
    <t>K1</t>
  </si>
  <si>
    <t>K2 &amp; L1 &amp; G3 &amp; S3 &amp; W4 &amp; T10 &amp; X12 &amp; U5 &amp; O6 &amp; I4 &amp; E45 &amp; P82 &amp; N1</t>
  </si>
  <si>
    <t>V3 &amp; G16 &amp; S17 &amp; W22 &amp; T10 &amp; X10 &amp; U17 &amp; O17 &amp; I17 &amp; P50</t>
  </si>
  <si>
    <t>K5 &amp; L6 &amp; S24 &amp; W5 &amp; P135 &amp; N4</t>
  </si>
  <si>
    <t>1,721 SAR</t>
  </si>
  <si>
    <r>
      <rPr>
        <b/>
        <i/>
        <sz val="13"/>
        <color rgb="FFBC0000"/>
        <rFont val="Calibri"/>
      </rPr>
      <t>8</t>
    </r>
    <r>
      <rPr>
        <b/>
        <i/>
        <sz val="10"/>
        <color rgb="FFBC0000"/>
        <rFont val="Calibri"/>
      </rPr>
      <t xml:space="preserve"> FOR SAME CLASS</t>
    </r>
  </si>
  <si>
    <t>539 SAR</t>
  </si>
  <si>
    <r>
      <rPr>
        <b/>
        <i/>
        <sz val="13"/>
        <rFont val="Calibri"/>
      </rPr>
      <t>11</t>
    </r>
    <r>
      <rPr>
        <b/>
        <i/>
        <sz val="10"/>
        <rFont val="Calibri"/>
      </rPr>
      <t xml:space="preserve"> FOR SAME CLASS</t>
    </r>
  </si>
  <si>
    <r>
      <rPr>
        <i/>
        <sz val="13"/>
        <rFont val="Calibri"/>
      </rPr>
      <t>11</t>
    </r>
    <r>
      <rPr>
        <i/>
        <sz val="10"/>
        <rFont val="Calibri"/>
      </rPr>
      <t xml:space="preserve"> FOR SAME CLASS</t>
    </r>
  </si>
  <si>
    <t>586 SAR</t>
  </si>
  <si>
    <t>T1</t>
  </si>
  <si>
    <t>G1 &amp; S7 &amp; W17 &amp; T17 &amp; X9 &amp; U20 &amp; O4 &amp; I5 &amp; P62</t>
  </si>
  <si>
    <t>S6</t>
  </si>
  <si>
    <t>S9 &amp; W17 &amp; T33 &amp; X4 &amp; U5 &amp; O4 &amp; I4 &amp; P28 &amp; N2</t>
  </si>
  <si>
    <t>S5</t>
  </si>
  <si>
    <t>G5 &amp; S32 &amp; W20 &amp; T16 &amp; X9 &amp; U5 &amp; O5 &amp; I5</t>
  </si>
  <si>
    <t>G8</t>
  </si>
  <si>
    <t>L6 &amp; S13 &amp; U3 &amp; O5 &amp; I7 &amp; P129</t>
  </si>
  <si>
    <t>G1</t>
  </si>
  <si>
    <t>G4 &amp; S11 &amp; T7 &amp; X12 &amp; U5 &amp; O5 &amp; I5 &amp; P129</t>
  </si>
  <si>
    <t>779 SAR</t>
  </si>
  <si>
    <t>NE-177</t>
  </si>
  <si>
    <t>598 SAR</t>
  </si>
  <si>
    <t>824 SAR</t>
  </si>
  <si>
    <t>1,276 SAR</t>
  </si>
  <si>
    <t>1,321 SAR</t>
  </si>
  <si>
    <t>1,524 SAR</t>
  </si>
  <si>
    <t>1,728 SAR</t>
  </si>
  <si>
    <t>1,773 SAR</t>
  </si>
  <si>
    <t>459 SAR</t>
  </si>
  <si>
    <t>609 SAR</t>
  </si>
  <si>
    <t>499 SAR</t>
  </si>
  <si>
    <t>469 SAR</t>
  </si>
  <si>
    <t>569 SAR</t>
  </si>
  <si>
    <t>659 SAR</t>
  </si>
  <si>
    <t>509 SAR</t>
  </si>
  <si>
    <t>699 SAR</t>
  </si>
  <si>
    <t>471 SAR</t>
  </si>
  <si>
    <t>U1</t>
  </si>
  <si>
    <t>S2 &amp; T3 &amp; X10 &amp; U17 &amp; O16 &amp; I11 &amp; P84 &amp; N4</t>
  </si>
  <si>
    <t>526 SAR</t>
  </si>
  <si>
    <t>X3</t>
  </si>
  <si>
    <t>X14 &amp; U10 &amp; O10 &amp; I15 &amp; P108</t>
  </si>
  <si>
    <t>S5 &amp; X19 &amp; U10 &amp; O10 &amp; I5 &amp; P93 &amp; N2</t>
  </si>
  <si>
    <t>X1</t>
  </si>
  <si>
    <t>S2 &amp; X16 &amp; U25 &amp; O10 &amp; I10</t>
  </si>
  <si>
    <t>568 SAR</t>
  </si>
  <si>
    <t>692 SAR</t>
  </si>
  <si>
    <t>592 SAR</t>
  </si>
  <si>
    <t>716 SAR</t>
  </si>
  <si>
    <r>
      <rPr>
        <b/>
        <i/>
        <sz val="13"/>
        <color rgb="FFBC0000"/>
        <rFont val="Calibri"/>
      </rPr>
      <t>7</t>
    </r>
    <r>
      <rPr>
        <b/>
        <i/>
        <sz val="10"/>
        <color rgb="FFBC0000"/>
        <rFont val="Calibri"/>
      </rPr>
      <t xml:space="preserve"> FOR SAME CLASS</t>
    </r>
  </si>
  <si>
    <t>935 SAR</t>
  </si>
  <si>
    <t>980 SAR</t>
  </si>
  <si>
    <t>1,349 SAR</t>
  </si>
  <si>
    <t>1,486 SAR</t>
  </si>
  <si>
    <t>1,531 SAR</t>
  </si>
  <si>
    <t>1,781 SAR</t>
  </si>
  <si>
    <r>
      <rPr>
        <b/>
        <i/>
        <sz val="13"/>
        <color rgb="FFBC0000"/>
        <rFont val="Calibri"/>
      </rPr>
      <t>10</t>
    </r>
    <r>
      <rPr>
        <b/>
        <i/>
        <sz val="10"/>
        <color rgb="FFBC0000"/>
        <rFont val="Calibri"/>
      </rPr>
      <t xml:space="preserve"> FOR SAME CLASS</t>
    </r>
  </si>
  <si>
    <t>419 SAR</t>
  </si>
  <si>
    <t>449 SAR</t>
  </si>
  <si>
    <t>549 SAR</t>
  </si>
  <si>
    <t>529 SAR</t>
  </si>
  <si>
    <t>629 SAR</t>
  </si>
  <si>
    <t>U4</t>
  </si>
  <si>
    <t>S1 &amp; W2 &amp; X4 &amp; U13 &amp; O15 &amp; I9 &amp; P117</t>
  </si>
  <si>
    <t>S3 &amp; X2 &amp; U9 &amp; O10 &amp; I30</t>
  </si>
  <si>
    <t>U8</t>
  </si>
  <si>
    <t>U2 &amp; O15 &amp; I30 &amp; P46</t>
  </si>
  <si>
    <t>X5</t>
  </si>
  <si>
    <t>S2 &amp; U5 &amp; O10 &amp; I15 &amp; P88</t>
  </si>
  <si>
    <t>X7</t>
  </si>
  <si>
    <t>S6 &amp; X3 &amp; U13 &amp; O15 &amp; I15 &amp; P82</t>
  </si>
  <si>
    <t>S2 &amp; X1 &amp; U15 &amp; O15 &amp; I15 &amp; P117 &amp; N3</t>
  </si>
  <si>
    <t>652 SAR</t>
  </si>
  <si>
    <t>NP-328</t>
  </si>
  <si>
    <t>1,093 SAR</t>
  </si>
  <si>
    <t>1,138 SAR</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</si>
  <si>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</si>
  <si>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</si>
  <si>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</si>
  <si>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</si>
  <si>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</si>
  <si>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</si>
  <si>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</si>
  <si>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</si>
  <si>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</si>
  <si>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</si>
  <si>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</si>
  <si>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</si>
  <si>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</si>
  <si>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</si>
  <si>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</si>
  <si>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</si>
  <si>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</si>
  <si>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</si>
  <si>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</si>
  <si>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</si>
  <si>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</si>
  <si>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</si>
  <si>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</si>
  <si>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</si>
  <si>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</si>
  <si>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</si>
  <si>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</si>
  <si>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</si>
  <si>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</si>
  <si>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WEDNESDAY</t>
  </si>
  <si>
    <t>12:25</t>
  </si>
  <si>
    <t>320</t>
  </si>
  <si>
    <t>UPCOMING</t>
  </si>
  <si>
    <t>G18</t>
  </si>
  <si>
    <t>S31</t>
  </si>
  <si>
    <t>W5</t>
  </si>
  <si>
    <t>T10</t>
  </si>
  <si>
    <t>X11</t>
  </si>
  <si>
    <t>U20</t>
  </si>
  <si>
    <t>O4</t>
  </si>
  <si>
    <t>I5</t>
  </si>
  <si>
    <t>P48</t>
  </si>
  <si>
    <t>12:30</t>
  </si>
  <si>
    <t>B1</t>
  </si>
  <si>
    <t>L9</t>
  </si>
  <si>
    <t>G19</t>
  </si>
  <si>
    <t>S28</t>
  </si>
  <si>
    <t>W10</t>
  </si>
  <si>
    <t>T14</t>
  </si>
  <si>
    <t>X15</t>
  </si>
  <si>
    <t>U5</t>
  </si>
  <si>
    <t>O5</t>
  </si>
  <si>
    <t>I7</t>
  </si>
  <si>
    <t>P49</t>
  </si>
  <si>
    <t>14:45</t>
  </si>
  <si>
    <t>S32</t>
  </si>
  <si>
    <t>T8</t>
  </si>
  <si>
    <t>X20</t>
  </si>
  <si>
    <t>U9</t>
  </si>
  <si>
    <t>O8</t>
  </si>
  <si>
    <t>I11</t>
  </si>
  <si>
    <t>P45</t>
  </si>
  <si>
    <t>N3</t>
  </si>
  <si>
    <t>THURSDAY</t>
  </si>
  <si>
    <t>01:10</t>
  </si>
  <si>
    <t>L16</t>
  </si>
  <si>
    <t>G28</t>
  </si>
  <si>
    <t>S35</t>
  </si>
  <si>
    <t>W29</t>
  </si>
  <si>
    <t>P28</t>
  </si>
  <si>
    <t>02:45</t>
  </si>
  <si>
    <t>L13</t>
  </si>
  <si>
    <t>G42</t>
  </si>
  <si>
    <t>S15</t>
  </si>
  <si>
    <t>W13</t>
  </si>
  <si>
    <t>P60</t>
  </si>
  <si>
    <t>06:05</t>
  </si>
  <si>
    <t>V1</t>
  </si>
  <si>
    <t>L11</t>
  </si>
  <si>
    <t>G20</t>
  </si>
  <si>
    <t>S22</t>
  </si>
  <si>
    <t>W31</t>
  </si>
  <si>
    <t>E69</t>
  </si>
  <si>
    <t>P1</t>
  </si>
  <si>
    <t>N2</t>
  </si>
  <si>
    <t>08:00</t>
  </si>
  <si>
    <t>L10</t>
  </si>
  <si>
    <t>G16</t>
  </si>
  <si>
    <t>S14</t>
  </si>
  <si>
    <t>P104</t>
  </si>
  <si>
    <t>08:45</t>
  </si>
  <si>
    <t>V4</t>
  </si>
  <si>
    <t>L28</t>
  </si>
  <si>
    <t>S10</t>
  </si>
  <si>
    <t>T9</t>
  </si>
  <si>
    <t>X6</t>
  </si>
  <si>
    <t>I6</t>
  </si>
  <si>
    <t>P2</t>
  </si>
  <si>
    <t>14:00</t>
  </si>
  <si>
    <t>Q1</t>
  </si>
  <si>
    <t>K6</t>
  </si>
  <si>
    <t>V5</t>
  </si>
  <si>
    <t>G26</t>
  </si>
  <si>
    <t>S16</t>
  </si>
  <si>
    <t>W4</t>
  </si>
  <si>
    <t>E1</t>
  </si>
  <si>
    <t>P97</t>
  </si>
  <si>
    <t>17:45</t>
  </si>
  <si>
    <t>M6</t>
  </si>
  <si>
    <t>Q4</t>
  </si>
  <si>
    <t>K4</t>
  </si>
  <si>
    <t>V14</t>
  </si>
  <si>
    <t>I2</t>
  </si>
  <si>
    <t>P90</t>
  </si>
  <si>
    <t>FRIDAY</t>
  </si>
  <si>
    <t>K3</t>
  </si>
  <si>
    <t>V30</t>
  </si>
  <si>
    <t>L19</t>
  </si>
  <si>
    <t>G17</t>
  </si>
  <si>
    <t>07:40</t>
  </si>
  <si>
    <t>L15</t>
  </si>
  <si>
    <t>S11</t>
  </si>
  <si>
    <t>T2</t>
  </si>
  <si>
    <t>U6</t>
  </si>
  <si>
    <t>11:00</t>
  </si>
  <si>
    <t>V20</t>
  </si>
  <si>
    <t>G24</t>
  </si>
  <si>
    <t>V16</t>
  </si>
  <si>
    <t>L44</t>
  </si>
  <si>
    <t>S13</t>
  </si>
  <si>
    <t>17:40</t>
  </si>
  <si>
    <t>V22</t>
  </si>
  <si>
    <t>G22</t>
  </si>
  <si>
    <t>22:30</t>
  </si>
  <si>
    <t>S17</t>
  </si>
  <si>
    <t>X10</t>
  </si>
  <si>
    <t>U10</t>
  </si>
  <si>
    <t>O10</t>
  </si>
  <si>
    <t>I10</t>
  </si>
  <si>
    <t>P92</t>
  </si>
  <si>
    <t>SATURDAY</t>
  </si>
  <si>
    <t>05:40</t>
  </si>
  <si>
    <t>V3</t>
  </si>
  <si>
    <t>W22</t>
  </si>
  <si>
    <t>U17</t>
  </si>
  <si>
    <t>O17</t>
  </si>
  <si>
    <t>I17</t>
  </si>
  <si>
    <t>P50</t>
  </si>
  <si>
    <t>K5</t>
  </si>
  <si>
    <t>S24</t>
  </si>
  <si>
    <t>P135</t>
  </si>
  <si>
    <t>N4</t>
  </si>
  <si>
    <t>16:20</t>
  </si>
  <si>
    <t>K2</t>
  </si>
  <si>
    <t>L1</t>
  </si>
  <si>
    <t>G3</t>
  </si>
  <si>
    <t>S3</t>
  </si>
  <si>
    <t>X12</t>
  </si>
  <si>
    <t>O6</t>
  </si>
  <si>
    <t>I4</t>
  </si>
  <si>
    <t>E45</t>
  </si>
  <si>
    <t>P82</t>
  </si>
  <si>
    <t>N1</t>
  </si>
  <si>
    <t>SUNDAY</t>
  </si>
  <si>
    <t>02:00</t>
  </si>
  <si>
    <t>S9</t>
  </si>
  <si>
    <t>W17</t>
  </si>
  <si>
    <t>T33</t>
  </si>
  <si>
    <t>X4</t>
  </si>
  <si>
    <t>W20</t>
  </si>
  <si>
    <t>T16</t>
  </si>
  <si>
    <t>X9</t>
  </si>
  <si>
    <t>S7</t>
  </si>
  <si>
    <t>T17</t>
  </si>
  <si>
    <t>P62</t>
  </si>
  <si>
    <t>12:15</t>
  </si>
  <si>
    <t>U3</t>
  </si>
  <si>
    <t>P129</t>
  </si>
  <si>
    <t>15:10</t>
  </si>
  <si>
    <t>G4</t>
  </si>
  <si>
    <t>T7</t>
  </si>
  <si>
    <t>MONDAY</t>
  </si>
  <si>
    <t>00:10</t>
  </si>
  <si>
    <t>S2</t>
  </si>
  <si>
    <t>X16</t>
  </si>
  <si>
    <t>U25</t>
  </si>
  <si>
    <t>10:10</t>
  </si>
  <si>
    <t>T3</t>
  </si>
  <si>
    <t>O16</t>
  </si>
  <si>
    <t>P84</t>
  </si>
  <si>
    <t>X19</t>
  </si>
  <si>
    <t>P93</t>
  </si>
  <si>
    <t>23:30</t>
  </si>
  <si>
    <t>X14</t>
  </si>
  <si>
    <t>I15</t>
  </si>
  <si>
    <t>P108</t>
  </si>
  <si>
    <t>TUESDAY</t>
  </si>
  <si>
    <t>05:30</t>
  </si>
  <si>
    <t>X2</t>
  </si>
  <si>
    <t>I30</t>
  </si>
  <si>
    <t>13:25</t>
  </si>
  <si>
    <t>U15</t>
  </si>
  <si>
    <t>O15</t>
  </si>
  <si>
    <t>P117</t>
  </si>
  <si>
    <t>U13</t>
  </si>
  <si>
    <t>17:30</t>
  </si>
  <si>
    <t>W2</t>
  </si>
  <si>
    <t>I9</t>
  </si>
  <si>
    <t>22:25</t>
  </si>
  <si>
    <t>P88</t>
  </si>
  <si>
    <t>23:15</t>
  </si>
  <si>
    <t>U2</t>
  </si>
  <si>
    <t>P46</t>
  </si>
  <si>
    <t>DATE</t>
  </si>
  <si>
    <t>ROUTE</t>
  </si>
  <si>
    <t>2025-11-19</t>
  </si>
  <si>
    <t>12:55</t>
  </si>
  <si>
    <t>16:00</t>
  </si>
  <si>
    <t>07:15</t>
  </si>
  <si>
    <t>08:55</t>
  </si>
  <si>
    <t>20:30</t>
  </si>
  <si>
    <t>09:30</t>
  </si>
  <si>
    <t>19:10</t>
  </si>
  <si>
    <t>18:55</t>
  </si>
  <si>
    <t>21:40</t>
  </si>
  <si>
    <t>15:30</t>
  </si>
  <si>
    <t>20:40</t>
  </si>
  <si>
    <t>21:20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</si>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</sst>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ddd"/>
    <numFmt numFmtId="172" formatCode="#,##0\ &quot;SAR&quot;"/>
    <numFmt numFmtId="173" formatCode="dd\-mmm\-yy"/>
    <numFmt numFmtId="174" formatCode="hh:mm"/>
  </numFmts>
  <fonts count="41" x14ac:knownFonts="1">
    <font>
      <sz val="11"/>
      <color theme="1"/>
      <name val="Calibri"/>
      <family val="2"/>
      <scheme val="minor"/>
    </font>
    <font>
      <b/>
      <i/>
      <sz val="22"/>
      <color rgb="FFFFFFFF"/>
      <name val="Calibri"/>
    </font>
    <font>
      <b/>
      <i/>
      <sz val="16"/>
      <color rgb="FFED7D31"/>
      <name val="Calibri"/>
    </font>
    <font>
      <b/>
      <i/>
      <sz val="18"/>
      <name val="Calibri"/>
    </font>
    <font>
      <i/>
      <sz val="13"/>
      <name val="Calibri"/>
    </font>
    <font>
      <b/>
      <i/>
      <sz val="18"/>
      <color rgb="FFFFFFFF"/>
      <name val="Calibri"/>
    </font>
    <font>
      <b/>
      <i/>
      <sz val="14"/>
      <color rgb="FF000000"/>
      <name val="Calibri"/>
    </font>
    <font>
      <b/>
      <i/>
      <sz val="16"/>
      <color rgb="FF000000"/>
      <name val="Calibri"/>
    </font>
    <font>
      <b/>
      <i/>
      <sz val="13"/>
      <name val="Calibri"/>
    </font>
    <font>
      <b/>
      <i/>
      <sz val="14"/>
      <name val="Calibri"/>
    </font>
    <font>
      <b/>
      <i/>
      <u/>
      <sz val="18"/>
      <name val="Calibri"/>
    </font>
    <font>
      <b/>
      <i/>
      <sz val="20"/>
      <color rgb="FFFFFFFF"/>
      <name val="Calibri"/>
    </font>
    <font>
      <sz val="20"/>
      <color theme="1"/>
      <name val="Calibri"/>
    </font>
    <font>
      <b/>
      <i/>
      <sz val="12"/>
      <color rgb="FFBC0000"/>
      <name val="Calibri"/>
    </font>
    <font>
      <b/>
      <sz val="13"/>
      <color theme="1"/>
      <name val="Calibri"/>
    </font>
    <font>
      <b/>
      <sz val="14"/>
      <color theme="1"/>
      <name val="Calibri"/>
    </font>
    <font>
      <b/>
      <i/>
      <sz val="12"/>
      <name val="Calibri"/>
    </font>
    <font>
      <i/>
      <sz val="12"/>
      <name val="Calibri"/>
    </font>
    <font>
      <b/>
      <i/>
      <sz val="13"/>
      <color rgb="FF006100"/>
      <name val="Calibri"/>
    </font>
    <font>
      <sz val="12"/>
      <color theme="1"/>
      <name val="Calibri"/>
    </font>
    <font>
      <b/>
      <i/>
      <sz val="13"/>
      <color rgb="FF9C0006"/>
      <name val="Calibri"/>
    </font>
    <font>
      <i/>
      <sz val="18"/>
      <color rgb="FFFF0000"/>
      <name val="Calibri"/>
    </font>
    <font>
      <b/>
      <i/>
      <sz val="20"/>
      <color theme="1"/>
      <name val="Calibri"/>
    </font>
    <font>
      <b/>
      <i/>
      <sz val="20"/>
      <name val="Calibri"/>
    </font>
    <font>
      <b/>
      <sz val="14"/>
      <color rgb="FFFFFFFF"/>
      <name val="Calibri"/>
    </font>
    <font>
      <i/>
      <sz val="12"/>
      <color rgb="FF494529"/>
      <name val="Calibri"/>
    </font>
    <font>
      <b/>
      <sz val="12"/>
      <color rgb="FF000000"/>
      <name val="Calibri"/>
    </font>
    <font>
      <b/>
      <i/>
      <sz val="13"/>
      <color rgb="FFBC0000"/>
      <name val="Calibri"/>
    </font>
    <font>
      <b/>
      <i/>
      <sz val="10"/>
      <color rgb="FFBC0000"/>
      <name val="Calibri"/>
    </font>
    <font>
      <b/>
      <i/>
      <sz val="10"/>
      <name val="Calibri"/>
    </font>
    <font>
      <i/>
      <sz val="10"/>
      <name val="Calibri"/>
    </font>
    <font>
      <b/>
      <i/>
      <sz val="12"/>
      <color theme="1"/>
      <name val="Calibri"/>
      <family val="2"/>
      <scheme val="minor"/>
    </font>
    <font>
      <b/>
      <i/>
      <sz val="16"/>
      <color rgb="FFFFFFFF"/>
      <name val="Calibri"/>
      <family val="2"/>
      <scheme val="minor"/>
    </font>
    <font>
      <b/>
      <sz val="14"/>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A8F0BD"/>
      </patternFill>
    </fill>
    <fill>
      <patternFill patternType="solid">
        <fgColor rgb="FF00B0F0"/>
      </patternFill>
    </fill>
    <fill>
      <patternFill patternType="solid">
        <fgColor rgb="FFC5D9F1"/>
      </patternFill>
    </fill>
    <fill>
      <patternFill patternType="solid">
        <fgColor rgb="FFE6D5E6"/>
      </patternFill>
    </fill>
    <fill>
      <patternFill patternType="solid">
        <fgColor rgb="FFC7FFFF"/>
      </patternFill>
    </fill>
    <fill>
      <patternFill patternType="solid">
        <fgColor rgb="FFCCCCCC"/>
        <bgColor rgb="FFCCCCCC"/>
      </patternFill>
    </fill>
    <fill>
      <patternFill patternType="solid">
        <fgColor rgb="FFFFFFCC"/>
      </patternFill>
    </fill>
    <fill>
      <patternFill patternType="solid">
        <fgColor rgb="FFF2CA93"/>
      </patternFill>
    </fill>
    <fill>
      <patternFill patternType="solid">
        <fgColor rgb="FFB5E7D3"/>
      </patternFill>
    </fill>
    <fill>
      <patternFill patternType="solid">
        <fgColor rgb="FFFFE4B5"/>
      </patternFill>
    </fill>
    <fill>
      <patternFill patternType="solid">
        <fgColor rgb="FFD8E4BC"/>
      </patternFill>
    </fill>
    <fill>
      <patternFill patternType="solid">
        <fgColor rgb="FF366092"/>
      </patternFill>
    </fill>
    <fill>
      <patternFill patternType="solid">
        <fgColor rgb="FF365492"/>
        <bgColor indexed="64"/>
      </patternFill>
    </fill>
  </fills>
  <borders count="31">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rgb="FFFF0000"/>
      </bottom>
      <diagonal/>
    </border>
    <border>
      <left style="thick">
        <color rgb="FFFFFFFF"/>
      </left>
      <right style="thick">
        <color rgb="FFFFFFFF"/>
      </right>
      <top style="thick">
        <color rgb="FFFF0000"/>
      </top>
      <bottom style="thick">
        <color rgb="FFFFFFFF"/>
      </bottom>
      <diagonal/>
    </border>
    <border>
      <left style="thick">
        <color rgb="FFFF0000"/>
      </left>
      <right style="thick">
        <color rgb="FFFFFFFF"/>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ck">
        <color rgb="FFFFFFFF"/>
      </left>
      <right style="thick">
        <color rgb="FFFF0000"/>
      </right>
      <top style="thick">
        <color rgb="FFFF0000"/>
      </top>
      <bottom style="thick">
        <color rgb="FFFFFFFF"/>
      </bottom>
      <diagonal/>
    </border>
    <border>
      <left style="thin">
        <color auto="1"/>
      </left>
      <right style="thick">
        <color rgb="FFFF0000"/>
      </right>
      <top style="thin">
        <color auto="1"/>
      </top>
      <bottom style="thin">
        <color auto="1"/>
      </bottom>
      <diagonal/>
    </border>
    <border>
      <left style="thin">
        <color auto="1"/>
      </left>
      <right style="thick">
        <color rgb="FFFF0000"/>
      </right>
      <top style="thin">
        <color auto="1"/>
      </top>
      <bottom style="thick">
        <color rgb="FFFF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16">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67" fontId="23" fillId="5"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6" borderId="2" xfId="0" applyFont="1" applyFill="1" applyBorder="1" applyAlignment="1">
      <alignment horizontal="center" vertical="center"/>
    </xf>
    <xf numFmtId="49" fontId="13" fillId="0" borderId="13" xfId="0" applyNumberFormat="1" applyFont="1" applyBorder="1" applyAlignment="1">
      <alignment horizontal="center" vertical="center"/>
    </xf>
    <xf numFmtId="170" fontId="13" fillId="0" borderId="13" xfId="0" applyNumberFormat="1"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6" fillId="0" borderId="14" xfId="0" applyNumberFormat="1" applyFont="1" applyBorder="1" applyAlignment="1">
      <alignment horizontal="center" vertical="center"/>
    </xf>
    <xf numFmtId="170" fontId="16" fillId="0" borderId="14" xfId="0" applyNumberFormat="1" applyFont="1" applyBorder="1" applyAlignment="1">
      <alignment horizontal="center" vertical="center"/>
    </xf>
    <xf numFmtId="49" fontId="13" fillId="0" borderId="14" xfId="0" applyNumberFormat="1" applyFont="1" applyBorder="1" applyAlignment="1">
      <alignment horizontal="center" vertical="center"/>
    </xf>
    <xf numFmtId="170" fontId="13" fillId="0" borderId="14" xfId="0" applyNumberFormat="1" applyFont="1" applyBorder="1" applyAlignment="1">
      <alignment horizontal="center" vertical="center"/>
    </xf>
    <xf numFmtId="49" fontId="17" fillId="0" borderId="14" xfId="0" applyNumberFormat="1" applyFont="1" applyBorder="1" applyAlignment="1">
      <alignment horizontal="center" vertical="center"/>
    </xf>
    <xf numFmtId="170" fontId="17" fillId="0" borderId="14" xfId="0" applyNumberFormat="1" applyFont="1" applyBorder="1" applyAlignment="1">
      <alignment horizontal="center" vertical="center"/>
    </xf>
    <xf numFmtId="49" fontId="13" fillId="8" borderId="3" xfId="0" applyNumberFormat="1" applyFont="1" applyFill="1" applyBorder="1" applyAlignment="1">
      <alignment horizontal="center" vertical="center"/>
    </xf>
    <xf numFmtId="170" fontId="13" fillId="8" borderId="3" xfId="0" applyNumberFormat="1" applyFont="1" applyFill="1" applyBorder="1" applyAlignment="1">
      <alignment horizontal="center" vertical="center"/>
    </xf>
    <xf numFmtId="49" fontId="8" fillId="8" borderId="7" xfId="0" applyNumberFormat="1" applyFont="1" applyFill="1" applyBorder="1" applyAlignment="1">
      <alignment horizontal="center" vertical="center"/>
    </xf>
    <xf numFmtId="168" fontId="18" fillId="8" borderId="8" xfId="0" applyNumberFormat="1" applyFont="1" applyFill="1" applyBorder="1" applyAlignment="1">
      <alignment horizontal="center" vertical="center"/>
    </xf>
    <xf numFmtId="1" fontId="8" fillId="8" borderId="8" xfId="0" applyNumberFormat="1" applyFont="1" applyFill="1" applyBorder="1" applyAlignment="1">
      <alignment horizontal="center" vertical="center"/>
    </xf>
    <xf numFmtId="16" fontId="8" fillId="8" borderId="8" xfId="0" applyNumberFormat="1" applyFont="1" applyFill="1" applyBorder="1" applyAlignment="1">
      <alignment horizontal="center" vertical="center"/>
    </xf>
    <xf numFmtId="49" fontId="9" fillId="8" borderId="8" xfId="0" applyNumberFormat="1" applyFont="1" applyFill="1" applyBorder="1" applyAlignment="1">
      <alignment horizontal="center" vertical="center"/>
    </xf>
    <xf numFmtId="170" fontId="8" fillId="8" borderId="8"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16" fillId="9" borderId="3" xfId="0" applyNumberFormat="1" applyFont="1" applyFill="1" applyBorder="1" applyAlignment="1">
      <alignment horizontal="center" vertical="center"/>
    </xf>
    <xf numFmtId="170" fontId="16" fillId="9" borderId="3" xfId="0" applyNumberFormat="1" applyFont="1" applyFill="1" applyBorder="1" applyAlignment="1">
      <alignment horizontal="center" vertical="center"/>
    </xf>
    <xf numFmtId="49" fontId="8" fillId="9" borderId="7" xfId="0" applyNumberFormat="1" applyFont="1" applyFill="1" applyBorder="1" applyAlignment="1">
      <alignment horizontal="center" vertical="center"/>
    </xf>
    <xf numFmtId="168" fontId="18" fillId="9" borderId="8" xfId="0" applyNumberFormat="1" applyFont="1" applyFill="1" applyBorder="1" applyAlignment="1">
      <alignment horizontal="center" vertical="center"/>
    </xf>
    <xf numFmtId="1" fontId="8" fillId="9" borderId="8" xfId="0" applyNumberFormat="1" applyFont="1" applyFill="1" applyBorder="1" applyAlignment="1">
      <alignment horizontal="center" vertical="center"/>
    </xf>
    <xf numFmtId="16" fontId="8" fillId="9" borderId="8" xfId="0" applyNumberFormat="1" applyFont="1" applyFill="1" applyBorder="1" applyAlignment="1">
      <alignment horizontal="center" vertical="center"/>
    </xf>
    <xf numFmtId="49" fontId="9" fillId="9" borderId="8" xfId="0" applyNumberFormat="1" applyFont="1" applyFill="1" applyBorder="1" applyAlignment="1">
      <alignment horizontal="center" vertical="center"/>
    </xf>
    <xf numFmtId="170" fontId="8" fillId="9" borderId="8"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16" fillId="10" borderId="3" xfId="0" applyNumberFormat="1" applyFont="1" applyFill="1" applyBorder="1" applyAlignment="1">
      <alignment horizontal="center" vertical="center"/>
    </xf>
    <xf numFmtId="170" fontId="16" fillId="10" borderId="3" xfId="0" applyNumberFormat="1" applyFont="1" applyFill="1" applyBorder="1" applyAlignment="1">
      <alignment horizontal="center" vertical="center"/>
    </xf>
    <xf numFmtId="49" fontId="8" fillId="10" borderId="7" xfId="0" applyNumberFormat="1" applyFont="1" applyFill="1" applyBorder="1" applyAlignment="1">
      <alignment horizontal="center" vertical="center"/>
    </xf>
    <xf numFmtId="168" fontId="18" fillId="10" borderId="8" xfId="0" applyNumberFormat="1" applyFont="1" applyFill="1" applyBorder="1" applyAlignment="1">
      <alignment horizontal="center" vertical="center"/>
    </xf>
    <xf numFmtId="1" fontId="8" fillId="10" borderId="8" xfId="0" applyNumberFormat="1" applyFont="1" applyFill="1" applyBorder="1" applyAlignment="1">
      <alignment horizontal="center" vertical="center"/>
    </xf>
    <xf numFmtId="16" fontId="8" fillId="10" borderId="8" xfId="0" applyNumberFormat="1" applyFont="1" applyFill="1" applyBorder="1" applyAlignment="1">
      <alignment horizontal="center" vertical="center"/>
    </xf>
    <xf numFmtId="49" fontId="9" fillId="10" borderId="8" xfId="0" applyNumberFormat="1" applyFont="1" applyFill="1" applyBorder="1" applyAlignment="1">
      <alignment horizontal="center" vertical="center"/>
    </xf>
    <xf numFmtId="170" fontId="8" fillId="10" borderId="8" xfId="0" applyNumberFormat="1" applyFont="1" applyFill="1" applyBorder="1" applyAlignment="1">
      <alignment horizontal="center" vertical="center"/>
    </xf>
    <xf numFmtId="49" fontId="8" fillId="10" borderId="9" xfId="0" applyNumberFormat="1" applyFont="1" applyFill="1" applyBorder="1" applyAlignment="1">
      <alignment horizontal="center" vertical="center"/>
    </xf>
    <xf numFmtId="49" fontId="16" fillId="0" borderId="15" xfId="0" applyNumberFormat="1" applyFont="1" applyBorder="1" applyAlignment="1">
      <alignment horizontal="center" vertical="center"/>
    </xf>
    <xf numFmtId="170" fontId="16" fillId="0" borderId="15" xfId="0" applyNumberFormat="1"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5"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7" fontId="3" fillId="5" borderId="3" xfId="0" applyNumberFormat="1" applyFont="1" applyFill="1" applyBorder="1" applyAlignment="1">
      <alignment horizontal="center" vertical="center"/>
    </xf>
    <xf numFmtId="49" fontId="6" fillId="7" borderId="3" xfId="0" applyNumberFormat="1" applyFont="1" applyFill="1" applyBorder="1" applyAlignment="1">
      <alignment horizontal="center" vertical="center"/>
    </xf>
    <xf numFmtId="170" fontId="6" fillId="7"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49" fontId="7" fillId="6" borderId="2" xfId="0" applyNumberFormat="1" applyFont="1" applyFill="1" applyBorder="1" applyAlignment="1">
      <alignment horizontal="center" vertical="center"/>
    </xf>
    <xf numFmtId="168" fontId="6" fillId="7" borderId="3" xfId="0" applyNumberFormat="1" applyFont="1" applyFill="1" applyBorder="1" applyAlignment="1">
      <alignment horizontal="center" vertical="center"/>
    </xf>
    <xf numFmtId="1" fontId="6" fillId="7" borderId="3" xfId="0" applyNumberFormat="1" applyFont="1" applyFill="1" applyBorder="1" applyAlignment="1">
      <alignment horizontal="center" vertical="center"/>
    </xf>
    <xf numFmtId="16" fontId="6" fillId="7" borderId="3" xfId="0" applyNumberFormat="1" applyFont="1" applyFill="1" applyBorder="1" applyAlignment="1">
      <alignment horizontal="center" vertical="center"/>
    </xf>
    <xf numFmtId="168" fontId="8" fillId="8" borderId="8" xfId="0" applyNumberFormat="1" applyFont="1" applyFill="1" applyBorder="1" applyAlignment="1">
      <alignment horizontal="center" vertical="center"/>
    </xf>
    <xf numFmtId="49" fontId="16" fillId="12" borderId="3" xfId="0" applyNumberFormat="1" applyFont="1" applyFill="1" applyBorder="1" applyAlignment="1">
      <alignment horizontal="center" vertical="center"/>
    </xf>
    <xf numFmtId="170" fontId="16" fillId="12" borderId="3" xfId="0" applyNumberFormat="1" applyFont="1" applyFill="1" applyBorder="1" applyAlignment="1">
      <alignment horizontal="center" vertical="center"/>
    </xf>
    <xf numFmtId="49" fontId="8" fillId="12" borderId="7" xfId="0" applyNumberFormat="1" applyFont="1" applyFill="1" applyBorder="1" applyAlignment="1">
      <alignment horizontal="center" vertical="center"/>
    </xf>
    <xf numFmtId="168" fontId="8" fillId="12" borderId="8" xfId="0" applyNumberFormat="1" applyFont="1" applyFill="1" applyBorder="1" applyAlignment="1">
      <alignment horizontal="center" vertical="center"/>
    </xf>
    <xf numFmtId="1" fontId="8" fillId="12" borderId="8" xfId="0" applyNumberFormat="1" applyFont="1" applyFill="1" applyBorder="1" applyAlignment="1">
      <alignment horizontal="center" vertical="center"/>
    </xf>
    <xf numFmtId="16" fontId="8" fillId="12" borderId="8" xfId="0" applyNumberFormat="1" applyFont="1" applyFill="1" applyBorder="1" applyAlignment="1">
      <alignment horizontal="center" vertical="center"/>
    </xf>
    <xf numFmtId="49" fontId="9" fillId="12" borderId="8" xfId="0" applyNumberFormat="1" applyFont="1" applyFill="1" applyBorder="1" applyAlignment="1">
      <alignment horizontal="center" vertical="center"/>
    </xf>
    <xf numFmtId="170" fontId="8" fillId="12" borderId="8"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168" fontId="8" fillId="10" borderId="8" xfId="0" applyNumberFormat="1" applyFont="1" applyFill="1" applyBorder="1" applyAlignment="1">
      <alignment horizontal="center" vertical="center"/>
    </xf>
    <xf numFmtId="49" fontId="16" fillId="13" borderId="3" xfId="0" applyNumberFormat="1" applyFont="1" applyFill="1" applyBorder="1" applyAlignment="1">
      <alignment horizontal="center" vertical="center"/>
    </xf>
    <xf numFmtId="170" fontId="16" fillId="13" borderId="3" xfId="0" applyNumberFormat="1" applyFont="1" applyFill="1" applyBorder="1" applyAlignment="1">
      <alignment horizontal="center" vertical="center"/>
    </xf>
    <xf numFmtId="49" fontId="8" fillId="13" borderId="7" xfId="0" applyNumberFormat="1" applyFont="1" applyFill="1" applyBorder="1" applyAlignment="1">
      <alignment horizontal="center" vertical="center"/>
    </xf>
    <xf numFmtId="168" fontId="18" fillId="13" borderId="8" xfId="0" applyNumberFormat="1" applyFont="1" applyFill="1" applyBorder="1" applyAlignment="1">
      <alignment horizontal="center" vertical="center"/>
    </xf>
    <xf numFmtId="1" fontId="8" fillId="13" borderId="8" xfId="0" applyNumberFormat="1" applyFont="1" applyFill="1" applyBorder="1" applyAlignment="1">
      <alignment horizontal="center" vertical="center"/>
    </xf>
    <xf numFmtId="16" fontId="8" fillId="13" borderId="8" xfId="0" applyNumberFormat="1" applyFont="1" applyFill="1" applyBorder="1" applyAlignment="1">
      <alignment horizontal="center" vertical="center"/>
    </xf>
    <xf numFmtId="49" fontId="9" fillId="13" borderId="8" xfId="0" applyNumberFormat="1" applyFont="1" applyFill="1" applyBorder="1" applyAlignment="1">
      <alignment horizontal="center" vertical="center"/>
    </xf>
    <xf numFmtId="170" fontId="8" fillId="13" borderId="8" xfId="0" applyNumberFormat="1" applyFont="1" applyFill="1" applyBorder="1" applyAlignment="1">
      <alignment horizontal="center" vertical="center"/>
    </xf>
    <xf numFmtId="49" fontId="8" fillId="13" borderId="9" xfId="0" applyNumberFormat="1" applyFont="1" applyFill="1" applyBorder="1" applyAlignment="1">
      <alignment horizontal="center" vertical="center"/>
    </xf>
    <xf numFmtId="49" fontId="16" fillId="14" borderId="3" xfId="0" applyNumberFormat="1" applyFont="1" applyFill="1" applyBorder="1" applyAlignment="1">
      <alignment horizontal="center" vertical="center"/>
    </xf>
    <xf numFmtId="170" fontId="16" fillId="14" borderId="3" xfId="0" applyNumberFormat="1" applyFont="1" applyFill="1" applyBorder="1" applyAlignment="1">
      <alignment horizontal="center" vertical="center"/>
    </xf>
    <xf numFmtId="49" fontId="8" fillId="14" borderId="7" xfId="0" applyNumberFormat="1" applyFont="1" applyFill="1" applyBorder="1" applyAlignment="1">
      <alignment horizontal="center" vertical="center"/>
    </xf>
    <xf numFmtId="168" fontId="18" fillId="14" borderId="8" xfId="0" applyNumberFormat="1" applyFont="1" applyFill="1" applyBorder="1" applyAlignment="1">
      <alignment horizontal="center" vertical="center"/>
    </xf>
    <xf numFmtId="1" fontId="8" fillId="14" borderId="8" xfId="0" applyNumberFormat="1" applyFont="1" applyFill="1" applyBorder="1" applyAlignment="1">
      <alignment horizontal="center" vertical="center"/>
    </xf>
    <xf numFmtId="16" fontId="8" fillId="14" borderId="8" xfId="0" applyNumberFormat="1" applyFont="1" applyFill="1" applyBorder="1" applyAlignment="1">
      <alignment horizontal="center" vertical="center"/>
    </xf>
    <xf numFmtId="49" fontId="9" fillId="14" borderId="8" xfId="0" applyNumberFormat="1" applyFont="1" applyFill="1" applyBorder="1" applyAlignment="1">
      <alignment horizontal="center" vertical="center"/>
    </xf>
    <xf numFmtId="170" fontId="8" fillId="14" borderId="8" xfId="0" applyNumberFormat="1" applyFont="1" applyFill="1" applyBorder="1" applyAlignment="1">
      <alignment horizontal="center" vertical="center"/>
    </xf>
    <xf numFmtId="49" fontId="8" fillId="14" borderId="9" xfId="0" applyNumberFormat="1" applyFont="1" applyFill="1" applyBorder="1" applyAlignment="1">
      <alignment horizontal="center" vertical="center"/>
    </xf>
    <xf numFmtId="168" fontId="18" fillId="12" borderId="8" xfId="0" applyNumberFormat="1" applyFont="1" applyFill="1" applyBorder="1" applyAlignment="1">
      <alignment horizontal="center" vertical="center"/>
    </xf>
    <xf numFmtId="49" fontId="13" fillId="9" borderId="3" xfId="0" applyNumberFormat="1" applyFont="1" applyFill="1" applyBorder="1" applyAlignment="1">
      <alignment horizontal="center" vertical="center"/>
    </xf>
    <xf numFmtId="170" fontId="13" fillId="9" borderId="3" xfId="0" applyNumberFormat="1" applyFont="1" applyFill="1" applyBorder="1" applyAlignment="1">
      <alignment horizontal="center" vertical="center"/>
    </xf>
    <xf numFmtId="168" fontId="20" fillId="9" borderId="8" xfId="0" applyNumberFormat="1" applyFont="1" applyFill="1" applyBorder="1" applyAlignment="1">
      <alignment horizontal="center" vertical="center"/>
    </xf>
    <xf numFmtId="168" fontId="20" fillId="14" borderId="8" xfId="0" applyNumberFormat="1" applyFont="1" applyFill="1" applyBorder="1" applyAlignment="1">
      <alignment horizontal="center" vertical="center"/>
    </xf>
    <xf numFmtId="168" fontId="20" fillId="12" borderId="8" xfId="0" applyNumberFormat="1" applyFont="1" applyFill="1" applyBorder="1" applyAlignment="1">
      <alignment horizontal="center" vertical="center"/>
    </xf>
    <xf numFmtId="0" fontId="16" fillId="14" borderId="3" xfId="0" applyFont="1" applyFill="1" applyBorder="1" applyAlignment="1">
      <alignment horizontal="center" vertical="center"/>
    </xf>
    <xf numFmtId="49" fontId="13" fillId="15" borderId="3" xfId="0" applyNumberFormat="1" applyFont="1" applyFill="1" applyBorder="1" applyAlignment="1">
      <alignment horizontal="center" vertical="center"/>
    </xf>
    <xf numFmtId="170" fontId="13" fillId="15" borderId="3" xfId="0" applyNumberFormat="1" applyFont="1" applyFill="1" applyBorder="1" applyAlignment="1">
      <alignment horizontal="center" vertical="center"/>
    </xf>
    <xf numFmtId="49" fontId="8" fillId="15" borderId="7" xfId="0" applyNumberFormat="1" applyFont="1" applyFill="1" applyBorder="1" applyAlignment="1">
      <alignment horizontal="center" vertical="center"/>
    </xf>
    <xf numFmtId="168" fontId="18" fillId="15" borderId="8" xfId="0" applyNumberFormat="1" applyFont="1" applyFill="1" applyBorder="1" applyAlignment="1">
      <alignment horizontal="center" vertical="center"/>
    </xf>
    <xf numFmtId="1" fontId="8" fillId="15" borderId="8" xfId="0" applyNumberFormat="1" applyFont="1" applyFill="1" applyBorder="1" applyAlignment="1">
      <alignment horizontal="center" vertical="center"/>
    </xf>
    <xf numFmtId="16" fontId="8" fillId="15" borderId="8" xfId="0" applyNumberFormat="1" applyFont="1" applyFill="1" applyBorder="1" applyAlignment="1">
      <alignment horizontal="center" vertical="center"/>
    </xf>
    <xf numFmtId="49" fontId="9" fillId="15" borderId="8" xfId="0" applyNumberFormat="1" applyFont="1" applyFill="1" applyBorder="1" applyAlignment="1">
      <alignment horizontal="center" vertical="center"/>
    </xf>
    <xf numFmtId="170" fontId="8" fillId="15" borderId="8" xfId="0" applyNumberFormat="1" applyFont="1" applyFill="1" applyBorder="1" applyAlignment="1">
      <alignment horizontal="center" vertical="center"/>
    </xf>
    <xf numFmtId="49" fontId="8" fillId="15" borderId="9" xfId="0" applyNumberFormat="1" applyFont="1" applyFill="1" applyBorder="1" applyAlignment="1">
      <alignment horizontal="center" vertical="center"/>
    </xf>
    <xf numFmtId="0" fontId="16" fillId="10" borderId="3" xfId="0" applyFont="1" applyFill="1" applyBorder="1" applyAlignment="1">
      <alignment horizontal="center" vertical="center"/>
    </xf>
    <xf numFmtId="49" fontId="13" fillId="13" borderId="3" xfId="0" applyNumberFormat="1" applyFont="1" applyFill="1" applyBorder="1" applyAlignment="1">
      <alignment horizontal="center" vertical="center"/>
    </xf>
    <xf numFmtId="170" fontId="13" fillId="13" borderId="3" xfId="0" applyNumberFormat="1" applyFont="1" applyFill="1" applyBorder="1" applyAlignment="1">
      <alignment horizontal="center" vertical="center"/>
    </xf>
    <xf numFmtId="168" fontId="8" fillId="13" borderId="8" xfId="0" applyNumberFormat="1" applyFont="1" applyFill="1" applyBorder="1" applyAlignment="1">
      <alignment horizontal="center" vertical="center"/>
    </xf>
    <xf numFmtId="168" fontId="8" fillId="14" borderId="8" xfId="0" applyNumberFormat="1" applyFont="1" applyFill="1" applyBorder="1" applyAlignment="1">
      <alignment horizontal="center" vertical="center"/>
    </xf>
    <xf numFmtId="49" fontId="16" fillId="16" borderId="3" xfId="0" applyNumberFormat="1" applyFont="1" applyFill="1" applyBorder="1" applyAlignment="1">
      <alignment horizontal="center" vertical="center"/>
    </xf>
    <xf numFmtId="170" fontId="16" fillId="16" borderId="3" xfId="0" applyNumberFormat="1" applyFont="1" applyFill="1" applyBorder="1" applyAlignment="1">
      <alignment horizontal="center" vertical="center"/>
    </xf>
    <xf numFmtId="49" fontId="8" fillId="16" borderId="7" xfId="0" applyNumberFormat="1" applyFont="1" applyFill="1" applyBorder="1" applyAlignment="1">
      <alignment horizontal="center" vertical="center"/>
    </xf>
    <xf numFmtId="168" fontId="20" fillId="16" borderId="8" xfId="0" applyNumberFormat="1" applyFont="1" applyFill="1" applyBorder="1" applyAlignment="1">
      <alignment horizontal="center" vertical="center"/>
    </xf>
    <xf numFmtId="1" fontId="8" fillId="16" borderId="8" xfId="0" applyNumberFormat="1" applyFont="1" applyFill="1" applyBorder="1" applyAlignment="1">
      <alignment horizontal="center" vertical="center"/>
    </xf>
    <xf numFmtId="16" fontId="8" fillId="16" borderId="8" xfId="0" applyNumberFormat="1" applyFont="1" applyFill="1" applyBorder="1" applyAlignment="1">
      <alignment horizontal="center" vertical="center"/>
    </xf>
    <xf numFmtId="49" fontId="9" fillId="16" borderId="8" xfId="0" applyNumberFormat="1" applyFont="1" applyFill="1" applyBorder="1" applyAlignment="1">
      <alignment horizontal="center" vertical="center"/>
    </xf>
    <xf numFmtId="170" fontId="8" fillId="16" borderId="8" xfId="0" applyNumberFormat="1" applyFont="1" applyFill="1" applyBorder="1" applyAlignment="1">
      <alignment horizontal="center" vertical="center"/>
    </xf>
    <xf numFmtId="49" fontId="8" fillId="16" borderId="9" xfId="0" applyNumberFormat="1" applyFont="1" applyFill="1" applyBorder="1" applyAlignment="1">
      <alignment horizontal="center" vertical="center"/>
    </xf>
    <xf numFmtId="49" fontId="16" fillId="15" borderId="3" xfId="0" applyNumberFormat="1" applyFont="1" applyFill="1" applyBorder="1" applyAlignment="1">
      <alignment horizontal="center" vertical="center"/>
    </xf>
    <xf numFmtId="170" fontId="16" fillId="15" borderId="3" xfId="0" applyNumberFormat="1" applyFont="1" applyFill="1" applyBorder="1" applyAlignment="1">
      <alignment horizontal="center" vertical="center"/>
    </xf>
    <xf numFmtId="49" fontId="16" fillId="8" borderId="3" xfId="0" applyNumberFormat="1" applyFont="1" applyFill="1" applyBorder="1" applyAlignment="1">
      <alignment horizontal="center" vertical="center"/>
    </xf>
    <xf numFmtId="170" fontId="16" fillId="8" borderId="3" xfId="0" applyNumberFormat="1" applyFont="1" applyFill="1" applyBorder="1" applyAlignment="1">
      <alignment horizontal="center" vertical="center"/>
    </xf>
    <xf numFmtId="168" fontId="20" fillId="8" borderId="8" xfId="0" applyNumberFormat="1" applyFont="1" applyFill="1" applyBorder="1" applyAlignment="1">
      <alignment horizontal="center" vertical="center"/>
    </xf>
    <xf numFmtId="49" fontId="13" fillId="10" borderId="3" xfId="0" applyNumberFormat="1" applyFont="1" applyFill="1" applyBorder="1" applyAlignment="1">
      <alignment horizontal="center" vertical="center"/>
    </xf>
    <xf numFmtId="170" fontId="13" fillId="10" borderId="3" xfId="0" applyNumberFormat="1" applyFont="1" applyFill="1" applyBorder="1" applyAlignment="1">
      <alignment horizontal="center" vertical="center"/>
    </xf>
    <xf numFmtId="168" fontId="20" fillId="15" borderId="8" xfId="0" applyNumberFormat="1" applyFont="1" applyFill="1" applyBorder="1" applyAlignment="1">
      <alignment horizontal="center" vertical="center"/>
    </xf>
    <xf numFmtId="0" fontId="16" fillId="16" borderId="3" xfId="0" applyFont="1" applyFill="1" applyBorder="1" applyAlignment="1">
      <alignment horizontal="center" vertical="center"/>
    </xf>
    <xf numFmtId="168" fontId="18" fillId="16" borderId="8" xfId="0" applyNumberFormat="1" applyFont="1" applyFill="1" applyBorder="1" applyAlignment="1">
      <alignment horizontal="center" vertical="center"/>
    </xf>
    <xf numFmtId="171"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xf>
    <xf numFmtId="170" fontId="0" fillId="0" borderId="0" xfId="0" applyNumberForma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vertical="center"/>
    </xf>
    <xf numFmtId="16" fontId="0" fillId="0" borderId="0" xfId="0" applyNumberFormat="1" applyAlignment="1">
      <alignment horizontal="center" vertical="center"/>
    </xf>
    <xf numFmtId="0" fontId="24" fillId="17" borderId="22" xfId="0" applyFont="1" applyFill="1" applyBorder="1" applyAlignment="1">
      <alignment horizontal="center" vertical="center"/>
    </xf>
    <xf numFmtId="0" fontId="24" fillId="17" borderId="21" xfId="0" applyFont="1" applyFill="1" applyBorder="1" applyAlignment="1">
      <alignment horizontal="center" vertical="center"/>
    </xf>
    <xf numFmtId="0" fontId="24" fillId="17" borderId="25" xfId="0" applyFont="1" applyFill="1" applyBorder="1" applyAlignment="1">
      <alignment horizontal="center" vertical="center"/>
    </xf>
    <xf numFmtId="0" fontId="25" fillId="0" borderId="23" xfId="0" applyFont="1" applyBorder="1" applyAlignment="1">
      <alignment horizontal="center" vertical="center"/>
    </xf>
    <xf numFmtId="0" fontId="25" fillId="0" borderId="19" xfId="0" applyFont="1" applyBorder="1" applyAlignment="1">
      <alignment horizontal="center" vertical="center"/>
    </xf>
    <xf numFmtId="49" fontId="25" fillId="0" borderId="19" xfId="0" applyNumberFormat="1" applyFont="1" applyBorder="1" applyAlignment="1">
      <alignment horizontal="center" vertical="center"/>
    </xf>
    <xf numFmtId="1" fontId="25" fillId="0" borderId="19" xfId="0" applyNumberFormat="1" applyFont="1" applyBorder="1" applyAlignment="1">
      <alignment horizontal="center" vertical="center"/>
    </xf>
    <xf numFmtId="172" fontId="25" fillId="0" borderId="26" xfId="0" applyNumberFormat="1" applyFont="1" applyBorder="1" applyAlignment="1">
      <alignment horizontal="center" vertical="center"/>
    </xf>
    <xf numFmtId="0" fontId="26" fillId="0" borderId="23" xfId="0" applyFont="1" applyBorder="1" applyAlignment="1">
      <alignment horizontal="center" vertical="center"/>
    </xf>
    <xf numFmtId="0" fontId="26" fillId="0" borderId="19" xfId="0" applyFont="1" applyBorder="1" applyAlignment="1">
      <alignment horizontal="center" vertical="center"/>
    </xf>
    <xf numFmtId="49" fontId="26" fillId="0" borderId="19" xfId="0" applyNumberFormat="1" applyFont="1" applyBorder="1" applyAlignment="1">
      <alignment horizontal="center" vertical="center"/>
    </xf>
    <xf numFmtId="1" fontId="26" fillId="0" borderId="19" xfId="0" applyNumberFormat="1" applyFont="1" applyBorder="1" applyAlignment="1">
      <alignment horizontal="center" vertical="center"/>
    </xf>
    <xf numFmtId="172" fontId="26" fillId="0" borderId="26" xfId="0" applyNumberFormat="1" applyFont="1" applyBorder="1" applyAlignment="1">
      <alignment horizontal="center" vertical="center"/>
    </xf>
    <xf numFmtId="173" fontId="26" fillId="0" borderId="23" xfId="0" applyNumberFormat="1" applyFont="1" applyBorder="1" applyAlignment="1">
      <alignment horizontal="center" vertical="center"/>
    </xf>
    <xf numFmtId="174" fontId="26" fillId="0" borderId="19" xfId="0" applyNumberFormat="1" applyFont="1" applyBorder="1" applyAlignment="1">
      <alignment horizontal="center" vertical="center"/>
    </xf>
    <xf numFmtId="173" fontId="25" fillId="0" borderId="23" xfId="0" applyNumberFormat="1" applyFont="1" applyBorder="1" applyAlignment="1">
      <alignment horizontal="center" vertical="center"/>
    </xf>
    <xf numFmtId="174" fontId="25" fillId="0" borderId="19" xfId="0" applyNumberFormat="1" applyFont="1" applyBorder="1" applyAlignment="1">
      <alignment horizontal="center" vertical="center"/>
    </xf>
    <xf numFmtId="0" fontId="25" fillId="0" borderId="26" xfId="0" applyFont="1" applyBorder="1" applyAlignment="1">
      <alignment horizontal="center" vertical="center"/>
    </xf>
    <xf numFmtId="173" fontId="25" fillId="0" borderId="24" xfId="0" applyNumberFormat="1" applyFont="1" applyBorder="1" applyAlignment="1">
      <alignment horizontal="center" vertical="center"/>
    </xf>
    <xf numFmtId="0" fontId="25" fillId="0" borderId="20" xfId="0" applyFont="1" applyBorder="1" applyAlignment="1">
      <alignment horizontal="center" vertical="center"/>
    </xf>
    <xf numFmtId="49" fontId="25" fillId="0" borderId="20" xfId="0" applyNumberFormat="1" applyFont="1" applyBorder="1" applyAlignment="1">
      <alignment horizontal="center" vertical="center"/>
    </xf>
    <xf numFmtId="174" fontId="25" fillId="0" borderId="20" xfId="0" applyNumberFormat="1" applyFont="1" applyBorder="1" applyAlignment="1">
      <alignment horizontal="center" vertical="center"/>
    </xf>
    <xf numFmtId="1" fontId="25" fillId="0" borderId="20" xfId="0" applyNumberFormat="1" applyFont="1" applyBorder="1" applyAlignment="1">
      <alignment horizontal="center" vertical="center"/>
    </xf>
    <xf numFmtId="0" fontId="25" fillId="0" borderId="27" xfId="0" applyFont="1" applyBorder="1" applyAlignment="1">
      <alignment horizontal="center" vertical="center"/>
    </xf>
    <xf numFmtId="0" fontId="26" fillId="0" borderId="26" xfId="0" applyFont="1" applyBorder="1" applyAlignment="1">
      <alignment horizontal="center" vertical="center"/>
    </xf>
    <xf numFmtId="173" fontId="26" fillId="0" borderId="24" xfId="0" applyNumberFormat="1" applyFont="1" applyBorder="1" applyAlignment="1">
      <alignment horizontal="center" vertical="center"/>
    </xf>
    <xf numFmtId="0" fontId="26" fillId="0" borderId="20" xfId="0" applyFont="1" applyBorder="1" applyAlignment="1">
      <alignment horizontal="center" vertical="center"/>
    </xf>
    <xf numFmtId="49" fontId="26" fillId="0" borderId="20" xfId="0" applyNumberFormat="1" applyFont="1" applyBorder="1" applyAlignment="1">
      <alignment horizontal="center" vertical="center"/>
    </xf>
    <xf numFmtId="174" fontId="26" fillId="0" borderId="20" xfId="0" applyNumberFormat="1" applyFont="1" applyBorder="1" applyAlignment="1">
      <alignment horizontal="center" vertical="center"/>
    </xf>
    <xf numFmtId="0" fontId="26" fillId="0" borderId="27" xfId="0" applyFont="1" applyBorder="1" applyAlignment="1">
      <alignment horizontal="center" vertical="center"/>
    </xf>
    <xf numFmtId="1" fontId="26" fillId="0" borderId="20" xfId="0" applyNumberFormat="1" applyFont="1" applyBorder="1" applyAlignment="1">
      <alignment horizontal="center" vertical="center"/>
    </xf>
    <xf numFmtId="172" fontId="26" fillId="0" borderId="27" xfId="0" applyNumberFormat="1" applyFont="1" applyBorder="1" applyAlignment="1">
      <alignment horizontal="center" vertical="center"/>
    </xf>
    <xf numFmtId="49" fontId="5" fillId="4" borderId="3" xfId="0" applyNumberFormat="1" applyFont="1" applyFill="1" applyBorder="1" applyAlignment="1">
      <alignment horizontal="center" vertical="center"/>
    </xf>
    <xf numFmtId="0" fontId="0" fillId="0" borderId="3" xfId="0" applyBorder="1"/>
    <xf numFmtId="0" fontId="21" fillId="0" borderId="16" xfId="0" applyFont="1" applyBorder="1" applyAlignment="1">
      <alignment horizontal="center" vertical="center"/>
    </xf>
    <xf numFmtId="0" fontId="0" fillId="0" borderId="17" xfId="0" applyBorder="1"/>
    <xf numFmtId="0" fontId="0" fillId="0" borderId="18" xfId="0" applyBorder="1"/>
    <xf numFmtId="165" fontId="2" fillId="2" borderId="0" xfId="0" applyNumberFormat="1"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0" fontId="5" fillId="4" borderId="3" xfId="0" applyFont="1" applyFill="1" applyBorder="1" applyAlignment="1">
      <alignment horizontal="center" vertical="center"/>
    </xf>
    <xf numFmtId="0" fontId="0" fillId="0" borderId="16" xfId="0" applyBorder="1" applyAlignment="1">
      <alignment horizontal="center" vertical="center"/>
    </xf>
    <xf numFmtId="0" fontId="10" fillId="3" borderId="0" xfId="0" applyFont="1" applyFill="1" applyAlignment="1">
      <alignment horizontal="right" vertical="center"/>
    </xf>
    <xf numFmtId="0" fontId="10" fillId="3" borderId="0" xfId="0" applyFont="1" applyFill="1"/>
    <xf numFmtId="0" fontId="4" fillId="0" borderId="0" xfId="0" applyFont="1" applyAlignment="1">
      <alignment horizontal="right" vertical="center"/>
    </xf>
    <xf numFmtId="0" fontId="0" fillId="0" borderId="0" xfId="0"/>
    <xf numFmtId="167" fontId="10" fillId="3" borderId="0" xfId="0" applyNumberFormat="1" applyFont="1" applyFill="1" applyAlignment="1">
      <alignment horizontal="left" vertical="center"/>
    </xf>
    <xf numFmtId="0" fontId="11" fillId="4" borderId="3" xfId="0" applyFont="1" applyFill="1" applyBorder="1" applyAlignment="1">
      <alignment horizontal="center" vertical="center"/>
    </xf>
    <xf numFmtId="0" fontId="22" fillId="0" borderId="3" xfId="0" applyFont="1" applyBorder="1"/>
    <xf numFmtId="49" fontId="11" fillId="4" borderId="3" xfId="0" applyNumberFormat="1" applyFont="1" applyFill="1" applyBorder="1" applyAlignment="1">
      <alignment horizontal="center" vertical="center"/>
    </xf>
    <xf numFmtId="0" fontId="12" fillId="0" borderId="3" xfId="0" applyFont="1" applyBorder="1"/>
    <xf numFmtId="165" fontId="2" fillId="2" borderId="0" xfId="0" applyNumberFormat="1" applyFont="1" applyFill="1" applyAlignment="1">
      <alignment horizontal="left" vertical="center"/>
    </xf>
    <xf numFmtId="18" fontId="10" fillId="3" borderId="0" xfId="0" applyNumberFormat="1" applyFont="1" applyFill="1" applyAlignment="1">
      <alignment horizontal="left" vertical="center"/>
    </xf>
    <xf numFmtId="0" fontId="3" fillId="3" borderId="0" xfId="0" applyFont="1" applyFill="1"/>
    <xf numFmtId="0" fontId="31" fillId="0" borderId="0" xfId="0" applyFont="1" applyAlignment="1">
      <alignment horizontal="center" vertical="center"/>
    </xf>
    <xf numFmtId="0" fontId="31" fillId="0" borderId="0" xfId="0" applyFont="1"/>
    <xf numFmtId="171"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70" fontId="31" fillId="0" borderId="0" xfId="0" applyNumberFormat="1" applyFont="1" applyAlignment="1">
      <alignment horizontal="center" vertical="center"/>
    </xf>
    <xf numFmtId="168"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8"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33" fillId="18" borderId="0" xfId="0" applyFont="1" applyFill="1" applyAlignment="1">
      <alignment horizontal="center"/>
    </xf>
    <xf numFmtId="15" fontId="33" fillId="18" borderId="0" xfId="0" applyNumberFormat="1" applyFont="1" applyFill="1" applyAlignment="1">
      <alignment horizontal="center"/>
    </xf>
    <xf numFmtId="168" fontId="33" fillId="18" borderId="0" xfId="0" applyNumberFormat="1" applyFont="1" applyFill="1" applyAlignment="1">
      <alignment horizontal="center"/>
    </xf>
    <xf numFmtId="1" fontId="33" fillId="18" borderId="0" xfId="0" applyNumberFormat="1" applyFont="1" applyFill="1" applyAlignment="1">
      <alignment horizontal="center"/>
    </xf>
    <xf numFmtId="0" fontId="33" fillId="18" borderId="0" xfId="0" applyNumberFormat="1" applyFont="1" applyFill="1" applyAlignment="1">
      <alignment horizontal="center"/>
    </xf>
    <xf numFmtId="0" fontId="19" fillId="11" borderId="28" xfId="0" applyFont="1" applyFill="1" applyBorder="1" applyAlignment="1">
      <alignment horizontal="center" vertical="center"/>
    </xf>
    <xf numFmtId="0" fontId="19" fillId="11" borderId="29" xfId="0" applyFont="1" applyFill="1" applyBorder="1" applyAlignment="1">
      <alignment horizontal="center" vertical="center"/>
    </xf>
    <xf numFmtId="0" fontId="19" fillId="11" borderId="30" xfId="0" applyFont="1" applyFill="1" applyBorder="1" applyAlignment="1">
      <alignment horizontal="center" vertical="center"/>
    </xf>
  </cellXfs>
  <cellStyles count="1">
    <cellStyle name="Normal" xfId="0" builtinId="0"/>
  </cellStyles>
  <dxfs count="112">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0" formatCode="General"/>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68" formatCode="0.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36" totalsRowCount="1" headerRowDxfId="111" dataDxfId="74" totalsRowDxfId="37">
  <tableColumns count="36">
    <tableColumn id="1" xr3:uid="{00000000-0010-0000-0000-000001000000}" name="Day" totalsRowLabel="TOTAL" dataDxfId="110" totalsRowDxfId="73"/>
    <tableColumn id="2" xr3:uid="{00000000-0010-0000-0000-000002000000}" name="Flt Dt" dataDxfId="109" totalsRowDxfId="72"/>
    <tableColumn id="3" xr3:uid="{00000000-0010-0000-0000-000003000000}" name="Flt" totalsRowFunction="count" dataDxfId="108" totalsRowDxfId="71"/>
    <tableColumn id="4" xr3:uid="{00000000-0010-0000-0000-000004000000}" name="DEP" dataDxfId="107" totalsRowDxfId="70"/>
    <tableColumn id="5" xr3:uid="{00000000-0010-0000-0000-000005000000}" name="Brd-Off" totalsRowFunction="count" dataDxfId="106" totalsRowDxfId="69"/>
    <tableColumn id="6" xr3:uid="{00000000-0010-0000-0000-000006000000}" name="Eqp" dataDxfId="105" totalsRowDxfId="68"/>
    <tableColumn id="7" xr3:uid="{00000000-0010-0000-0000-000007000000}" name="LF%" totalsRowFunction="average" dataDxfId="104" totalsRowDxfId="67"/>
    <tableColumn id="8" xr3:uid="{00000000-0010-0000-0000-000008000000}" name="CAP" totalsRowFunction="sum" dataDxfId="103" totalsRowDxfId="66"/>
    <tableColumn id="9" xr3:uid="{00000000-0010-0000-0000-000009000000}" name="BKG(Y)" totalsRowFunction="sum" dataDxfId="102" totalsRowDxfId="65"/>
    <tableColumn id="10" xr3:uid="{00000000-0010-0000-0000-00000A000000}" name="GRP(Y)" totalsRowFunction="sum" dataDxfId="101" totalsRowDxfId="64"/>
    <tableColumn id="11" xr3:uid="{00000000-0010-0000-0000-00000B000000}" name="FLT ST" dataDxfId="100" totalsRowDxfId="63"/>
    <tableColumn id="12" xr3:uid="{00000000-0010-0000-0000-00000C000000}" name="LST-SOLD" dataDxfId="99" totalsRowDxfId="62"/>
    <tableColumn id="13" xr3:uid="{00000000-0010-0000-0000-00000D000000}" name="TO-DAY" totalsRowFunction="sum" dataDxfId="98" totalsRowDxfId="61"/>
    <tableColumn id="14" xr3:uid="{00000000-0010-0000-0000-00000E000000}" name="Y-DAY" totalsRowFunction="sum" dataDxfId="97" totalsRowDxfId="60"/>
    <tableColumn id="15" xr3:uid="{00000000-0010-0000-0000-00000F000000}" name="WEEKLY" totalsRowFunction="sum" dataDxfId="96" totalsRowDxfId="59"/>
    <tableColumn id="16" xr3:uid="{00000000-0010-0000-0000-000010000000}" name="LOWEST AVAIL" dataDxfId="95" totalsRowDxfId="58"/>
    <tableColumn id="17" xr3:uid="{00000000-0010-0000-0000-000011000000}" name="Y" totalsRowFunction="sum" dataDxfId="94" totalsRowDxfId="57"/>
    <tableColumn id="18" xr3:uid="{00000000-0010-0000-0000-000012000000}" name="B" totalsRowFunction="sum" dataDxfId="93" totalsRowDxfId="56"/>
    <tableColumn id="19" xr3:uid="{00000000-0010-0000-0000-000013000000}" name="M" totalsRowFunction="sum" dataDxfId="92" totalsRowDxfId="55"/>
    <tableColumn id="20" xr3:uid="{00000000-0010-0000-0000-000014000000}" name="H" totalsRowFunction="sum" dataDxfId="91" totalsRowDxfId="54"/>
    <tableColumn id="21" xr3:uid="{00000000-0010-0000-0000-000015000000}" name="Q" totalsRowFunction="sum" dataDxfId="90" totalsRowDxfId="53"/>
    <tableColumn id="22" xr3:uid="{00000000-0010-0000-0000-000016000000}" name="K" totalsRowFunction="sum" dataDxfId="89" totalsRowDxfId="52"/>
    <tableColumn id="23" xr3:uid="{00000000-0010-0000-0000-000017000000}" name="V" totalsRowFunction="sum" dataDxfId="88" totalsRowDxfId="51"/>
    <tableColumn id="24" xr3:uid="{00000000-0010-0000-0000-000018000000}" name="L" totalsRowFunction="sum" dataDxfId="87" totalsRowDxfId="50"/>
    <tableColumn id="25" xr3:uid="{00000000-0010-0000-0000-000019000000}" name="G" totalsRowFunction="sum" dataDxfId="86" totalsRowDxfId="49"/>
    <tableColumn id="26" xr3:uid="{00000000-0010-0000-0000-00001A000000}" name="S" totalsRowFunction="sum" dataDxfId="85" totalsRowDxfId="48"/>
    <tableColumn id="27" xr3:uid="{00000000-0010-0000-0000-00001B000000}" name="W" totalsRowFunction="sum" dataDxfId="84" totalsRowDxfId="47"/>
    <tableColumn id="28" xr3:uid="{00000000-0010-0000-0000-00001C000000}" name="T" totalsRowFunction="sum" dataDxfId="83" totalsRowDxfId="46"/>
    <tableColumn id="29" xr3:uid="{00000000-0010-0000-0000-00001D000000}" name="X" totalsRowFunction="sum" dataDxfId="82" totalsRowDxfId="45"/>
    <tableColumn id="30" xr3:uid="{00000000-0010-0000-0000-00001E000000}" name="U" totalsRowFunction="sum" dataDxfId="81" totalsRowDxfId="44"/>
    <tableColumn id="31" xr3:uid="{00000000-0010-0000-0000-00001F000000}" name="O" totalsRowFunction="sum" dataDxfId="80" totalsRowDxfId="43"/>
    <tableColumn id="32" xr3:uid="{00000000-0010-0000-0000-000020000000}" name="I" totalsRowFunction="sum" dataDxfId="79" totalsRowDxfId="42"/>
    <tableColumn id="33" xr3:uid="{00000000-0010-0000-0000-000021000000}" name="E" totalsRowFunction="sum" dataDxfId="78" totalsRowDxfId="41"/>
    <tableColumn id="34" xr3:uid="{00000000-0010-0000-0000-000022000000}" name="A" totalsRowFunction="sum" dataDxfId="77" totalsRowDxfId="40"/>
    <tableColumn id="35" xr3:uid="{00000000-0010-0000-0000-000023000000}" name="P" totalsRowFunction="sum" dataDxfId="76" totalsRowDxfId="39"/>
    <tableColumn id="36" xr3:uid="{00000000-0010-0000-0000-000024000000}" name="N" totalsRowFunction="count" dataDxfId="75" totalsRow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492" totalsRowShown="0">
  <autoFilter ref="A1:H492"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75" totalsRowShown="0">
  <autoFilter ref="A1:H75"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F_ALL_ROUTES" displayName="LF_ALL_ROUTES" ref="A1:AJ36" totalsRowCount="1" totalsRowDxfId="0">
  <tableColumns count="36">
    <tableColumn id="1" xr3:uid="{00000000-0010-0000-0300-000001000000}" name="Day" totalsRowLabel="TOTAL" totalsRowDxfId="36"/>
    <tableColumn id="2" xr3:uid="{00000000-0010-0000-0300-000002000000}" name="Flt Dt" totalsRowDxfId="35"/>
    <tableColumn id="3" xr3:uid="{00000000-0010-0000-0300-000003000000}" name="Flt" totalsRowFunction="count" totalsRowDxfId="34"/>
    <tableColumn id="4" xr3:uid="{00000000-0010-0000-0300-000004000000}" name="DEP" totalsRowDxfId="33"/>
    <tableColumn id="5" xr3:uid="{00000000-0010-0000-0300-000005000000}" name="Brd-Off" totalsRowFunction="count" totalsRowDxfId="32"/>
    <tableColumn id="6" xr3:uid="{00000000-0010-0000-0300-000006000000}" name="Eqp" totalsRowDxfId="31"/>
    <tableColumn id="7" xr3:uid="{00000000-0010-0000-0300-000007000000}" name="LF%" totalsRowFunction="average" totalsRowDxfId="30"/>
    <tableColumn id="8" xr3:uid="{00000000-0010-0000-0300-000008000000}" name="CAP" totalsRowFunction="sum" totalsRowDxfId="29"/>
    <tableColumn id="9" xr3:uid="{00000000-0010-0000-0300-000009000000}" name="BKG(Y)" totalsRowFunction="sum" totalsRowDxfId="28"/>
    <tableColumn id="10" xr3:uid="{00000000-0010-0000-0300-00000A000000}" name="GRP(Y)" totalsRowFunction="sum" totalsRowDxfId="27"/>
    <tableColumn id="11" xr3:uid="{00000000-0010-0000-0300-00000B000000}" name="FLT ST" totalsRowDxfId="26"/>
    <tableColumn id="12" xr3:uid="{00000000-0010-0000-0300-00000C000000}" name="LST-SOLD" totalsRowDxfId="25"/>
    <tableColumn id="13" xr3:uid="{00000000-0010-0000-0300-00000D000000}" name="TO-DAY" totalsRowFunction="sum" totalsRowDxfId="24"/>
    <tableColumn id="14" xr3:uid="{00000000-0010-0000-0300-00000E000000}" name="Y-DAY" totalsRowFunction="sum" totalsRowDxfId="23"/>
    <tableColumn id="15" xr3:uid="{00000000-0010-0000-0300-00000F000000}" name="WEEKLY" totalsRowFunction="sum" totalsRowDxfId="22"/>
    <tableColumn id="16" xr3:uid="{00000000-0010-0000-0300-000010000000}" name="LOWEST AVAIL" totalsRowDxfId="21"/>
    <tableColumn id="17" xr3:uid="{00000000-0010-0000-0300-000011000000}" name="Y" totalsRowFunction="sum" totalsRowDxfId="20"/>
    <tableColumn id="18" xr3:uid="{00000000-0010-0000-0300-000012000000}" name="B" totalsRowFunction="sum" totalsRowDxfId="19"/>
    <tableColumn id="19" xr3:uid="{00000000-0010-0000-0300-000013000000}" name="M" totalsRowFunction="sum" totalsRowDxfId="18"/>
    <tableColumn id="20" xr3:uid="{00000000-0010-0000-0300-000014000000}" name="H" totalsRowFunction="sum" totalsRowDxfId="17"/>
    <tableColumn id="21" xr3:uid="{00000000-0010-0000-0300-000015000000}" name="Q" totalsRowFunction="sum" totalsRowDxfId="16"/>
    <tableColumn id="22" xr3:uid="{00000000-0010-0000-0300-000016000000}" name="K" totalsRowFunction="sum" totalsRowDxfId="15"/>
    <tableColumn id="23" xr3:uid="{00000000-0010-0000-0300-000017000000}" name="V" totalsRowFunction="sum" totalsRowDxfId="14"/>
    <tableColumn id="24" xr3:uid="{00000000-0010-0000-0300-000018000000}" name="L" totalsRowFunction="sum" totalsRowDxfId="13"/>
    <tableColumn id="25" xr3:uid="{00000000-0010-0000-0300-000019000000}" name="G" totalsRowFunction="sum" totalsRowDxfId="12"/>
    <tableColumn id="26" xr3:uid="{00000000-0010-0000-0300-00001A000000}" name="S" totalsRowFunction="sum" totalsRowDxfId="11"/>
    <tableColumn id="27" xr3:uid="{00000000-0010-0000-0300-00001B000000}" name="W" totalsRowFunction="sum" totalsRowDxfId="10"/>
    <tableColumn id="28" xr3:uid="{00000000-0010-0000-0300-00001C000000}" name="T" totalsRowFunction="sum" totalsRowDxfId="9"/>
    <tableColumn id="29" xr3:uid="{00000000-0010-0000-0300-00001D000000}" name="X" totalsRowFunction="sum" totalsRowDxfId="8"/>
    <tableColumn id="30" xr3:uid="{00000000-0010-0000-0300-00001E000000}" name="U" totalsRowFunction="sum" totalsRowDxfId="7"/>
    <tableColumn id="31" xr3:uid="{00000000-0010-0000-0300-00001F000000}" name="O" totalsRowFunction="sum" totalsRowDxfId="6"/>
    <tableColumn id="32" xr3:uid="{00000000-0010-0000-0300-000020000000}" name="I" totalsRowFunction="sum" totalsRowDxfId="5"/>
    <tableColumn id="33" xr3:uid="{00000000-0010-0000-0300-000021000000}" name="E" totalsRowFunction="sum" totalsRowDxfId="4"/>
    <tableColumn id="34" xr3:uid="{00000000-0010-0000-0300-000022000000}" name="A" totalsRowFunction="sum" totalsRowDxfId="3"/>
    <tableColumn id="35" xr3:uid="{00000000-0010-0000-0300-000023000000}" name="P" totalsRowFunction="sum" totalsRowDxfId="2"/>
    <tableColumn id="36" xr3:uid="{00000000-0010-0000-0300-000024000000}" name="N" totalsRowFunction="sum"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514"/>
  <sheetViews>
    <sheetView tabSelected="1" zoomScale="85" workbookViewId="0">
      <selection sqref="A1:E1"/>
    </sheetView>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5546875" bestFit="1" customWidth="1"/>
    <col min="6" max="6" width="23.77734375" bestFit="1" customWidth="1"/>
    <col min="7" max="7" width="53"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6.88671875" bestFit="1" customWidth="1"/>
  </cols>
  <sheetData>
    <row r="1" spans="1:92" ht="28.8" customHeight="1" x14ac:dyDescent="0.3">
      <c r="A1" s="179" t="s">
        <v>0</v>
      </c>
      <c r="B1" s="178"/>
      <c r="C1" s="178"/>
      <c r="D1" s="178"/>
      <c r="E1" s="178"/>
      <c r="F1" s="1" t="s">
        <v>1</v>
      </c>
      <c r="G1" s="1" t="s">
        <v>2</v>
      </c>
      <c r="H1" s="177">
        <v>45980</v>
      </c>
      <c r="I1" s="178"/>
      <c r="J1" s="178"/>
      <c r="K1" s="178"/>
      <c r="L1" s="178"/>
      <c r="M1" s="1" t="s">
        <v>3</v>
      </c>
      <c r="N1" s="191">
        <v>45986</v>
      </c>
      <c r="O1" s="178"/>
      <c r="P1" s="178"/>
      <c r="Q1" s="178"/>
      <c r="R1" s="178"/>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3"/>
      <c r="CB1" s="3"/>
      <c r="CC1" s="3"/>
      <c r="CD1" s="3"/>
      <c r="CE1" s="3"/>
      <c r="CF1" s="3"/>
      <c r="CG1" s="3"/>
      <c r="CH1" s="3"/>
      <c r="CI1" s="3"/>
      <c r="CJ1" s="3"/>
      <c r="CK1" s="3"/>
      <c r="CL1" s="3"/>
      <c r="CM1" s="3"/>
      <c r="CN1" s="3"/>
    </row>
    <row r="2" spans="1:92" ht="23.4" customHeight="1" x14ac:dyDescent="0.45">
      <c r="A2" s="182" t="s">
        <v>4</v>
      </c>
      <c r="B2" s="183"/>
      <c r="C2" s="183"/>
      <c r="D2" s="183"/>
      <c r="E2" s="183"/>
      <c r="F2" s="183"/>
      <c r="G2" s="186">
        <v>45980.184849204939</v>
      </c>
      <c r="H2" s="183"/>
      <c r="I2" s="183"/>
      <c r="J2" s="183"/>
      <c r="K2" s="192">
        <v>45980.184849205732</v>
      </c>
      <c r="L2" s="183"/>
      <c r="M2" s="183"/>
      <c r="N2" s="183"/>
      <c r="O2" s="183"/>
      <c r="P2" s="183"/>
      <c r="Q2" s="193"/>
      <c r="R2" s="193"/>
      <c r="CA2" s="4"/>
      <c r="CB2" s="4"/>
      <c r="CC2" s="4"/>
      <c r="CD2" s="4"/>
      <c r="CE2" s="4"/>
      <c r="CF2" s="4"/>
      <c r="CG2" s="4"/>
      <c r="CH2" s="4"/>
      <c r="CI2" s="4"/>
      <c r="CJ2" s="4"/>
      <c r="CK2" s="4"/>
      <c r="CL2" s="4"/>
      <c r="CM2" s="4"/>
      <c r="CN2" s="4"/>
    </row>
    <row r="3" spans="1:92" ht="24" customHeight="1" x14ac:dyDescent="0.3">
      <c r="A3" s="184" t="s">
        <v>5</v>
      </c>
      <c r="B3" s="185"/>
      <c r="C3" s="185"/>
      <c r="D3" s="185"/>
      <c r="E3" s="185"/>
      <c r="F3" s="185"/>
      <c r="G3" s="185"/>
      <c r="H3" s="185"/>
      <c r="I3" s="185"/>
      <c r="J3" s="185"/>
      <c r="K3" s="185"/>
      <c r="L3" s="185"/>
      <c r="M3" s="185"/>
      <c r="N3" s="185"/>
      <c r="O3" s="185"/>
      <c r="P3" s="185"/>
      <c r="Q3" s="185"/>
      <c r="R3" s="185"/>
      <c r="CA3" s="4"/>
      <c r="CB3" s="4"/>
      <c r="CC3" s="4"/>
      <c r="CD3" s="4"/>
      <c r="CE3" s="4"/>
      <c r="CF3" s="4"/>
      <c r="CG3" s="4"/>
      <c r="CH3" s="4"/>
      <c r="CI3" s="4"/>
      <c r="CJ3" s="4"/>
      <c r="CK3" s="4"/>
      <c r="CL3" s="4"/>
      <c r="CM3" s="4"/>
      <c r="CN3" s="4"/>
    </row>
    <row r="4" spans="1:92" ht="22.05" customHeight="1" x14ac:dyDescent="0.5">
      <c r="A4" s="187" t="s">
        <v>6</v>
      </c>
      <c r="B4" s="188"/>
      <c r="C4" s="188"/>
      <c r="D4" s="188"/>
      <c r="E4" s="188"/>
      <c r="F4" s="188"/>
      <c r="G4" s="5">
        <v>45980</v>
      </c>
      <c r="H4" s="180" t="s">
        <v>7</v>
      </c>
      <c r="I4" s="173"/>
      <c r="J4" s="173"/>
      <c r="K4" s="173"/>
      <c r="L4" s="173"/>
      <c r="M4" s="173"/>
      <c r="N4" s="173"/>
      <c r="O4" s="173"/>
      <c r="P4" s="173"/>
      <c r="Q4" s="173"/>
      <c r="R4" s="173"/>
      <c r="CA4" s="4"/>
      <c r="CB4" s="4"/>
      <c r="CC4" s="4"/>
      <c r="CD4" s="4"/>
      <c r="CE4" s="4"/>
      <c r="CF4" s="4"/>
      <c r="CG4" s="4"/>
      <c r="CH4" s="4"/>
      <c r="CI4" s="4"/>
      <c r="CJ4" s="4"/>
      <c r="CK4" s="4"/>
      <c r="CL4" s="4"/>
      <c r="CM4" s="4"/>
      <c r="CN4" s="4"/>
    </row>
    <row r="5" spans="1:92" ht="24" customHeight="1" x14ac:dyDescent="0.3">
      <c r="A5" s="6" t="s">
        <v>8</v>
      </c>
      <c r="B5" s="6" t="s">
        <v>9</v>
      </c>
      <c r="C5" s="6" t="s">
        <v>10</v>
      </c>
      <c r="D5" s="6" t="s">
        <v>11</v>
      </c>
      <c r="E5" s="6" t="s">
        <v>12</v>
      </c>
      <c r="F5" s="7" t="s">
        <v>13</v>
      </c>
      <c r="G5" s="8" t="s">
        <v>14</v>
      </c>
      <c r="H5" s="6" t="s">
        <v>15</v>
      </c>
      <c r="I5" s="6" t="s">
        <v>16</v>
      </c>
      <c r="J5" s="6" t="s">
        <v>17</v>
      </c>
      <c r="K5" s="6" t="s">
        <v>18</v>
      </c>
      <c r="L5" s="6" t="s">
        <v>19</v>
      </c>
      <c r="M5" s="6" t="s">
        <v>20</v>
      </c>
      <c r="N5" s="6" t="s">
        <v>21</v>
      </c>
      <c r="O5" s="6" t="s">
        <v>22</v>
      </c>
      <c r="P5" s="6" t="s">
        <v>23</v>
      </c>
      <c r="Q5" s="6" t="s">
        <v>24</v>
      </c>
      <c r="R5" s="6" t="s">
        <v>25</v>
      </c>
      <c r="CA5" s="4"/>
      <c r="CB5" s="4"/>
      <c r="CC5" s="4"/>
      <c r="CD5" s="4"/>
      <c r="CE5" s="4"/>
      <c r="CF5" s="4"/>
      <c r="CG5" s="4"/>
      <c r="CH5" s="4"/>
      <c r="CI5" s="4"/>
      <c r="CJ5" s="4"/>
      <c r="CK5" s="4"/>
      <c r="CL5" s="4"/>
      <c r="CM5" s="4"/>
      <c r="CN5" s="4"/>
    </row>
    <row r="6" spans="1:92" ht="15" customHeight="1" x14ac:dyDescent="0.3">
      <c r="A6" s="9" t="s">
        <v>26</v>
      </c>
      <c r="B6" s="9" t="s">
        <v>27</v>
      </c>
      <c r="C6" s="10">
        <v>0.53819444444444442</v>
      </c>
      <c r="D6" s="9" t="s">
        <v>28</v>
      </c>
      <c r="E6" s="9" t="s">
        <v>29</v>
      </c>
      <c r="F6" s="9" t="s">
        <v>30</v>
      </c>
      <c r="G6" s="181"/>
      <c r="H6" s="11"/>
      <c r="I6" s="12"/>
      <c r="J6" s="12"/>
      <c r="K6" s="12"/>
      <c r="L6" s="12"/>
      <c r="M6" s="12"/>
      <c r="N6" s="12"/>
      <c r="O6" s="13"/>
      <c r="P6" s="12"/>
      <c r="Q6" s="14"/>
      <c r="R6" s="15"/>
    </row>
    <row r="7" spans="1:92" ht="15" customHeight="1" x14ac:dyDescent="0.3">
      <c r="A7" s="16" t="s">
        <v>26</v>
      </c>
      <c r="B7" s="16" t="s">
        <v>31</v>
      </c>
      <c r="C7" s="17">
        <v>0.86111111111111116</v>
      </c>
      <c r="D7" s="16" t="s">
        <v>28</v>
      </c>
      <c r="E7" s="16" t="s">
        <v>32</v>
      </c>
      <c r="F7" s="16" t="s">
        <v>33</v>
      </c>
      <c r="G7" s="175"/>
      <c r="H7" s="11"/>
      <c r="I7" s="12"/>
      <c r="J7" s="12"/>
      <c r="K7" s="12"/>
      <c r="L7" s="12"/>
      <c r="M7" s="12"/>
      <c r="N7" s="12"/>
      <c r="O7" s="13"/>
      <c r="P7" s="12"/>
      <c r="Q7" s="14"/>
      <c r="R7" s="15"/>
    </row>
    <row r="8" spans="1:92" ht="15" customHeight="1" x14ac:dyDescent="0.3">
      <c r="A8" s="18" t="s">
        <v>34</v>
      </c>
      <c r="B8" s="18" t="s">
        <v>35</v>
      </c>
      <c r="C8" s="19">
        <v>0.66666666666666663</v>
      </c>
      <c r="D8" s="18" t="s">
        <v>28</v>
      </c>
      <c r="E8" s="18" t="s">
        <v>36</v>
      </c>
      <c r="F8" s="18" t="s">
        <v>37</v>
      </c>
      <c r="G8" s="175"/>
      <c r="H8" s="11"/>
      <c r="I8" s="12"/>
      <c r="J8" s="12"/>
      <c r="K8" s="12"/>
      <c r="L8" s="12"/>
      <c r="M8" s="12"/>
      <c r="N8" s="12"/>
      <c r="O8" s="13"/>
      <c r="P8" s="12"/>
      <c r="Q8" s="14"/>
      <c r="R8" s="15"/>
    </row>
    <row r="9" spans="1:92" ht="15" customHeight="1" x14ac:dyDescent="0.3">
      <c r="A9" s="16" t="s">
        <v>34</v>
      </c>
      <c r="B9" s="16" t="s">
        <v>38</v>
      </c>
      <c r="C9" s="17">
        <v>0.37152777777777768</v>
      </c>
      <c r="D9" s="16" t="s">
        <v>28</v>
      </c>
      <c r="E9" s="16" t="s">
        <v>39</v>
      </c>
      <c r="F9" s="16" t="s">
        <v>40</v>
      </c>
      <c r="G9" s="175"/>
      <c r="H9" s="11"/>
      <c r="I9" s="12"/>
      <c r="J9" s="12"/>
      <c r="K9" s="12"/>
      <c r="L9" s="12"/>
      <c r="M9" s="12"/>
      <c r="N9" s="12"/>
      <c r="O9" s="13"/>
      <c r="P9" s="12"/>
      <c r="Q9" s="14"/>
      <c r="R9" s="15"/>
    </row>
    <row r="10" spans="1:92" ht="15" customHeight="1" x14ac:dyDescent="0.3">
      <c r="A10" s="18" t="s">
        <v>41</v>
      </c>
      <c r="B10" s="18" t="s">
        <v>42</v>
      </c>
      <c r="C10" s="19">
        <v>0.30208333333333331</v>
      </c>
      <c r="D10" s="18" t="s">
        <v>43</v>
      </c>
      <c r="E10" s="18" t="s">
        <v>29</v>
      </c>
      <c r="F10" s="18" t="s">
        <v>44</v>
      </c>
      <c r="G10" s="175"/>
      <c r="H10" s="11"/>
      <c r="I10" s="12"/>
      <c r="J10" s="12"/>
      <c r="K10" s="12"/>
      <c r="L10" s="12"/>
      <c r="M10" s="12"/>
      <c r="N10" s="12"/>
      <c r="O10" s="13"/>
      <c r="P10" s="12"/>
      <c r="Q10" s="14"/>
      <c r="R10" s="15"/>
    </row>
    <row r="11" spans="1:92" ht="15" customHeight="1" x14ac:dyDescent="0.3">
      <c r="A11" s="20" t="s">
        <v>41</v>
      </c>
      <c r="B11" s="20" t="s">
        <v>42</v>
      </c>
      <c r="C11" s="21">
        <v>0.30208333333333331</v>
      </c>
      <c r="D11" s="20" t="s">
        <v>45</v>
      </c>
      <c r="E11" s="20" t="s">
        <v>46</v>
      </c>
      <c r="F11" s="20" t="s">
        <v>47</v>
      </c>
      <c r="G11" s="175"/>
      <c r="H11" s="11"/>
      <c r="I11" s="12"/>
      <c r="J11" s="12"/>
      <c r="K11" s="12"/>
      <c r="L11" s="12"/>
      <c r="M11" s="12"/>
      <c r="N11" s="12"/>
      <c r="O11" s="13"/>
      <c r="P11" s="12"/>
      <c r="Q11" s="14"/>
      <c r="R11" s="15"/>
    </row>
    <row r="12" spans="1:92" ht="15" customHeight="1" x14ac:dyDescent="0.3">
      <c r="A12" s="20" t="s">
        <v>41</v>
      </c>
      <c r="B12" s="20" t="s">
        <v>42</v>
      </c>
      <c r="C12" s="21">
        <v>0.30208333333333331</v>
      </c>
      <c r="D12" s="20" t="s">
        <v>48</v>
      </c>
      <c r="E12" s="20" t="s">
        <v>46</v>
      </c>
      <c r="F12" s="20" t="s">
        <v>49</v>
      </c>
      <c r="G12" s="175"/>
      <c r="H12" s="11"/>
      <c r="I12" s="12"/>
      <c r="J12" s="12"/>
      <c r="K12" s="12"/>
      <c r="L12" s="12"/>
      <c r="M12" s="12"/>
      <c r="N12" s="12"/>
      <c r="O12" s="13"/>
      <c r="P12" s="12"/>
      <c r="Q12" s="14"/>
      <c r="R12" s="15"/>
    </row>
    <row r="13" spans="1:92" ht="15" customHeight="1" x14ac:dyDescent="0.3">
      <c r="A13" s="16" t="s">
        <v>41</v>
      </c>
      <c r="B13" s="16" t="s">
        <v>50</v>
      </c>
      <c r="C13" s="17">
        <v>0.78819444444444453</v>
      </c>
      <c r="D13" s="16" t="s">
        <v>43</v>
      </c>
      <c r="E13" s="16" t="s">
        <v>51</v>
      </c>
      <c r="F13" s="16" t="s">
        <v>52</v>
      </c>
      <c r="G13" s="175"/>
      <c r="H13" s="11"/>
      <c r="I13" s="12"/>
      <c r="J13" s="12"/>
      <c r="K13" s="12"/>
      <c r="L13" s="12"/>
      <c r="M13" s="12"/>
      <c r="N13" s="12"/>
      <c r="O13" s="13"/>
      <c r="P13" s="12"/>
      <c r="Q13" s="14"/>
      <c r="R13" s="15"/>
    </row>
    <row r="14" spans="1:92" ht="15" customHeight="1" x14ac:dyDescent="0.3">
      <c r="A14" s="20" t="s">
        <v>41</v>
      </c>
      <c r="B14" s="20" t="s">
        <v>50</v>
      </c>
      <c r="C14" s="21">
        <v>0.78819444444444453</v>
      </c>
      <c r="D14" s="20" t="s">
        <v>45</v>
      </c>
      <c r="E14" s="20" t="s">
        <v>53</v>
      </c>
      <c r="F14" s="20" t="s">
        <v>54</v>
      </c>
      <c r="G14" s="175"/>
      <c r="H14" s="11"/>
      <c r="I14" s="12"/>
      <c r="J14" s="12"/>
      <c r="K14" s="12"/>
      <c r="L14" s="12"/>
      <c r="M14" s="12"/>
      <c r="N14" s="12"/>
      <c r="O14" s="13"/>
      <c r="P14" s="12"/>
      <c r="Q14" s="14"/>
      <c r="R14" s="15"/>
    </row>
    <row r="15" spans="1:92" ht="15" customHeight="1" x14ac:dyDescent="0.3">
      <c r="A15" s="20" t="s">
        <v>41</v>
      </c>
      <c r="B15" s="20" t="s">
        <v>50</v>
      </c>
      <c r="C15" s="21">
        <v>0.78819444444444453</v>
      </c>
      <c r="D15" s="20" t="s">
        <v>48</v>
      </c>
      <c r="E15" s="20" t="s">
        <v>53</v>
      </c>
      <c r="F15" s="20" t="s">
        <v>55</v>
      </c>
      <c r="G15" s="175"/>
      <c r="H15" s="11"/>
      <c r="I15" s="12"/>
      <c r="J15" s="12"/>
      <c r="K15" s="12"/>
      <c r="L15" s="12"/>
      <c r="M15" s="12"/>
      <c r="N15" s="12"/>
      <c r="O15" s="13"/>
      <c r="P15" s="12"/>
      <c r="Q15" s="14"/>
      <c r="R15" s="15"/>
    </row>
    <row r="16" spans="1:92" ht="15" customHeight="1" x14ac:dyDescent="0.3">
      <c r="A16" s="16" t="s">
        <v>41</v>
      </c>
      <c r="B16" s="16" t="s">
        <v>56</v>
      </c>
      <c r="C16" s="17">
        <v>0.88888888888888884</v>
      </c>
      <c r="D16" s="16" t="s">
        <v>43</v>
      </c>
      <c r="E16" s="16" t="s">
        <v>57</v>
      </c>
      <c r="F16" s="16" t="s">
        <v>58</v>
      </c>
      <c r="G16" s="175"/>
      <c r="H16" s="11"/>
      <c r="I16" s="12"/>
      <c r="J16" s="12"/>
      <c r="K16" s="12"/>
      <c r="L16" s="12"/>
      <c r="M16" s="12"/>
      <c r="N16" s="12"/>
      <c r="O16" s="13"/>
      <c r="P16" s="12"/>
      <c r="Q16" s="14"/>
      <c r="R16" s="15"/>
    </row>
    <row r="17" spans="1:18" ht="15" customHeight="1" x14ac:dyDescent="0.3">
      <c r="A17" s="20" t="s">
        <v>41</v>
      </c>
      <c r="B17" s="20" t="s">
        <v>56</v>
      </c>
      <c r="C17" s="21">
        <v>0.88888888888888884</v>
      </c>
      <c r="D17" s="20" t="s">
        <v>45</v>
      </c>
      <c r="E17" s="20" t="s">
        <v>59</v>
      </c>
      <c r="F17" s="20" t="s">
        <v>60</v>
      </c>
      <c r="G17" s="175"/>
      <c r="H17" s="11"/>
      <c r="I17" s="12"/>
      <c r="J17" s="12"/>
      <c r="K17" s="12"/>
      <c r="L17" s="12"/>
      <c r="M17" s="12"/>
      <c r="N17" s="12"/>
      <c r="O17" s="13"/>
      <c r="P17" s="12"/>
      <c r="Q17" s="14"/>
      <c r="R17" s="15"/>
    </row>
    <row r="18" spans="1:18" ht="15" customHeight="1" x14ac:dyDescent="0.3">
      <c r="A18" s="20" t="s">
        <v>41</v>
      </c>
      <c r="B18" s="20" t="s">
        <v>56</v>
      </c>
      <c r="C18" s="21">
        <v>0.88888888888888884</v>
      </c>
      <c r="D18" s="20" t="s">
        <v>48</v>
      </c>
      <c r="E18" s="20" t="s">
        <v>59</v>
      </c>
      <c r="F18" s="20" t="s">
        <v>55</v>
      </c>
      <c r="G18" s="175"/>
      <c r="H18" s="11"/>
      <c r="I18" s="12"/>
      <c r="J18" s="12"/>
      <c r="K18" s="12"/>
      <c r="L18" s="12"/>
      <c r="M18" s="12"/>
      <c r="N18" s="12"/>
      <c r="O18" s="13"/>
      <c r="P18" s="12"/>
      <c r="Q18" s="14"/>
      <c r="R18" s="15"/>
    </row>
    <row r="19" spans="1:18" ht="15" customHeight="1" x14ac:dyDescent="0.3">
      <c r="A19" s="18" t="s">
        <v>61</v>
      </c>
      <c r="B19" s="18" t="s">
        <v>62</v>
      </c>
      <c r="C19" s="19">
        <v>0.51736111111111105</v>
      </c>
      <c r="D19" s="18" t="s">
        <v>63</v>
      </c>
      <c r="E19" s="18" t="s">
        <v>29</v>
      </c>
      <c r="F19" s="18" t="s">
        <v>64</v>
      </c>
      <c r="G19" s="175"/>
      <c r="H19" s="11"/>
      <c r="I19" s="12"/>
      <c r="J19" s="12"/>
      <c r="K19" s="12"/>
      <c r="L19" s="12"/>
      <c r="M19" s="12"/>
      <c r="N19" s="12"/>
      <c r="O19" s="13"/>
      <c r="P19" s="12"/>
      <c r="Q19" s="14"/>
      <c r="R19" s="15"/>
    </row>
    <row r="20" spans="1:18" ht="15" customHeight="1" x14ac:dyDescent="0.3">
      <c r="A20" s="20" t="s">
        <v>61</v>
      </c>
      <c r="B20" s="20" t="s">
        <v>62</v>
      </c>
      <c r="C20" s="21">
        <v>0.51736111111111105</v>
      </c>
      <c r="D20" s="20" t="s">
        <v>65</v>
      </c>
      <c r="E20" s="20" t="s">
        <v>46</v>
      </c>
      <c r="F20" s="20" t="s">
        <v>66</v>
      </c>
      <c r="G20" s="175"/>
      <c r="H20" s="11"/>
      <c r="I20" s="12"/>
      <c r="J20" s="12"/>
      <c r="K20" s="12"/>
      <c r="L20" s="12"/>
      <c r="M20" s="12"/>
      <c r="N20" s="12"/>
      <c r="O20" s="13"/>
      <c r="P20" s="12"/>
      <c r="Q20" s="14"/>
      <c r="R20" s="15"/>
    </row>
    <row r="21" spans="1:18" ht="15" customHeight="1" x14ac:dyDescent="0.3">
      <c r="A21" s="20" t="s">
        <v>61</v>
      </c>
      <c r="B21" s="20" t="s">
        <v>62</v>
      </c>
      <c r="C21" s="21">
        <v>0.51736111111111105</v>
      </c>
      <c r="D21" s="20" t="s">
        <v>67</v>
      </c>
      <c r="E21" s="20" t="s">
        <v>46</v>
      </c>
      <c r="F21" s="20" t="s">
        <v>68</v>
      </c>
      <c r="G21" s="175"/>
      <c r="H21" s="11"/>
      <c r="I21" s="12"/>
      <c r="J21" s="12"/>
      <c r="K21" s="12"/>
      <c r="L21" s="12"/>
      <c r="M21" s="12"/>
      <c r="N21" s="12"/>
      <c r="O21" s="13"/>
      <c r="P21" s="12"/>
      <c r="Q21" s="14"/>
      <c r="R21" s="15"/>
    </row>
    <row r="22" spans="1:18" ht="15" customHeight="1" x14ac:dyDescent="0.3">
      <c r="A22" s="16" t="s">
        <v>61</v>
      </c>
      <c r="B22" s="16" t="s">
        <v>69</v>
      </c>
      <c r="C22" s="17">
        <v>0.85416666666666663</v>
      </c>
      <c r="D22" s="16" t="s">
        <v>63</v>
      </c>
      <c r="E22" s="16" t="s">
        <v>70</v>
      </c>
      <c r="F22" s="16" t="s">
        <v>64</v>
      </c>
      <c r="G22" s="175"/>
      <c r="H22" s="11"/>
      <c r="I22" s="12"/>
      <c r="J22" s="12"/>
      <c r="K22" s="12"/>
      <c r="L22" s="12"/>
      <c r="M22" s="12"/>
      <c r="N22" s="12"/>
      <c r="O22" s="13"/>
      <c r="P22" s="12"/>
      <c r="Q22" s="14"/>
      <c r="R22" s="15"/>
    </row>
    <row r="23" spans="1:18" ht="15" customHeight="1" x14ac:dyDescent="0.3">
      <c r="A23" s="20" t="s">
        <v>61</v>
      </c>
      <c r="B23" s="20" t="s">
        <v>69</v>
      </c>
      <c r="C23" s="21">
        <v>0.85416666666666663</v>
      </c>
      <c r="D23" s="20" t="s">
        <v>65</v>
      </c>
      <c r="E23" s="20" t="s">
        <v>71</v>
      </c>
      <c r="F23" s="20" t="s">
        <v>66</v>
      </c>
      <c r="G23" s="175"/>
      <c r="H23" s="11"/>
      <c r="I23" s="12"/>
      <c r="J23" s="12"/>
      <c r="K23" s="12"/>
      <c r="L23" s="12"/>
      <c r="M23" s="12"/>
      <c r="N23" s="12"/>
      <c r="O23" s="13"/>
      <c r="P23" s="12"/>
      <c r="Q23" s="14"/>
      <c r="R23" s="15"/>
    </row>
    <row r="24" spans="1:18" ht="15" customHeight="1" x14ac:dyDescent="0.3">
      <c r="A24" s="20" t="s">
        <v>61</v>
      </c>
      <c r="B24" s="20" t="s">
        <v>69</v>
      </c>
      <c r="C24" s="21">
        <v>0.85416666666666663</v>
      </c>
      <c r="D24" s="20" t="s">
        <v>67</v>
      </c>
      <c r="E24" s="20" t="s">
        <v>71</v>
      </c>
      <c r="F24" s="20" t="s">
        <v>68</v>
      </c>
      <c r="G24" s="175"/>
      <c r="H24" s="11"/>
      <c r="I24" s="12"/>
      <c r="J24" s="12"/>
      <c r="K24" s="12"/>
      <c r="L24" s="12"/>
      <c r="M24" s="12"/>
      <c r="N24" s="12"/>
      <c r="O24" s="13"/>
      <c r="P24" s="12"/>
      <c r="Q24" s="14"/>
      <c r="R24" s="15"/>
    </row>
    <row r="25" spans="1:18" ht="15" customHeight="1" x14ac:dyDescent="0.3">
      <c r="A25" s="16" t="s">
        <v>61</v>
      </c>
      <c r="B25" s="16" t="s">
        <v>72</v>
      </c>
      <c r="C25" s="17">
        <v>0.39583333333333331</v>
      </c>
      <c r="D25" s="16" t="s">
        <v>63</v>
      </c>
      <c r="E25" s="16" t="s">
        <v>57</v>
      </c>
      <c r="F25" s="16" t="s">
        <v>64</v>
      </c>
      <c r="G25" s="175"/>
      <c r="H25" s="11"/>
      <c r="I25" s="12"/>
      <c r="J25" s="12"/>
      <c r="K25" s="12"/>
      <c r="L25" s="12"/>
      <c r="M25" s="12"/>
      <c r="N25" s="12"/>
      <c r="O25" s="13"/>
      <c r="P25" s="12"/>
      <c r="Q25" s="14"/>
      <c r="R25" s="15"/>
    </row>
    <row r="26" spans="1:18" ht="15" customHeight="1" x14ac:dyDescent="0.3">
      <c r="A26" s="20" t="s">
        <v>61</v>
      </c>
      <c r="B26" s="20" t="s">
        <v>72</v>
      </c>
      <c r="C26" s="21">
        <v>0.39583333333333331</v>
      </c>
      <c r="D26" s="20" t="s">
        <v>65</v>
      </c>
      <c r="E26" s="20" t="s">
        <v>59</v>
      </c>
      <c r="F26" s="20" t="s">
        <v>66</v>
      </c>
      <c r="G26" s="175"/>
      <c r="H26" s="11"/>
      <c r="I26" s="12"/>
      <c r="J26" s="12"/>
      <c r="K26" s="12"/>
      <c r="L26" s="12"/>
      <c r="M26" s="12"/>
      <c r="N26" s="12"/>
      <c r="O26" s="13"/>
      <c r="P26" s="12"/>
      <c r="Q26" s="14"/>
      <c r="R26" s="15"/>
    </row>
    <row r="27" spans="1:18" ht="15" customHeight="1" x14ac:dyDescent="0.3">
      <c r="A27" s="20" t="s">
        <v>61</v>
      </c>
      <c r="B27" s="20" t="s">
        <v>72</v>
      </c>
      <c r="C27" s="21">
        <v>0.39583333333333331</v>
      </c>
      <c r="D27" s="20" t="s">
        <v>67</v>
      </c>
      <c r="E27" s="20" t="s">
        <v>59</v>
      </c>
      <c r="F27" s="20" t="s">
        <v>68</v>
      </c>
      <c r="G27" s="175"/>
      <c r="H27" s="11"/>
      <c r="I27" s="12"/>
      <c r="J27" s="12"/>
      <c r="K27" s="12"/>
      <c r="L27" s="12"/>
      <c r="M27" s="12"/>
      <c r="N27" s="12"/>
      <c r="O27" s="13"/>
      <c r="P27" s="12"/>
      <c r="Q27" s="14"/>
      <c r="R27" s="15"/>
    </row>
    <row r="28" spans="1:18" ht="15" customHeight="1" x14ac:dyDescent="0.3">
      <c r="A28" s="16" t="s">
        <v>61</v>
      </c>
      <c r="B28" s="16" t="s">
        <v>73</v>
      </c>
      <c r="C28" s="17">
        <v>0.79861111111111116</v>
      </c>
      <c r="D28" s="16" t="s">
        <v>63</v>
      </c>
      <c r="E28" s="16" t="s">
        <v>57</v>
      </c>
      <c r="F28" s="16" t="s">
        <v>64</v>
      </c>
      <c r="G28" s="175"/>
      <c r="H28" s="11"/>
      <c r="I28" s="12"/>
      <c r="J28" s="12"/>
      <c r="K28" s="12"/>
      <c r="L28" s="12"/>
      <c r="M28" s="12"/>
      <c r="N28" s="12"/>
      <c r="O28" s="13"/>
      <c r="P28" s="12"/>
      <c r="Q28" s="14"/>
      <c r="R28" s="15"/>
    </row>
    <row r="29" spans="1:18" ht="15" customHeight="1" x14ac:dyDescent="0.3">
      <c r="A29" s="20" t="s">
        <v>61</v>
      </c>
      <c r="B29" s="20" t="s">
        <v>73</v>
      </c>
      <c r="C29" s="21">
        <v>0.79861111111111116</v>
      </c>
      <c r="D29" s="20" t="s">
        <v>65</v>
      </c>
      <c r="E29" s="20" t="s">
        <v>59</v>
      </c>
      <c r="F29" s="20" t="s">
        <v>66</v>
      </c>
      <c r="G29" s="175"/>
      <c r="H29" s="11"/>
      <c r="I29" s="12"/>
      <c r="J29" s="12"/>
      <c r="K29" s="12"/>
      <c r="L29" s="12"/>
      <c r="M29" s="12"/>
      <c r="N29" s="12"/>
      <c r="O29" s="13"/>
      <c r="P29" s="12"/>
      <c r="Q29" s="14"/>
      <c r="R29" s="15"/>
    </row>
    <row r="30" spans="1:18" ht="15" customHeight="1" x14ac:dyDescent="0.3">
      <c r="A30" s="20" t="s">
        <v>61</v>
      </c>
      <c r="B30" s="20" t="s">
        <v>73</v>
      </c>
      <c r="C30" s="21">
        <v>0.79861111111111116</v>
      </c>
      <c r="D30" s="20" t="s">
        <v>67</v>
      </c>
      <c r="E30" s="20" t="s">
        <v>59</v>
      </c>
      <c r="F30" s="20" t="s">
        <v>68</v>
      </c>
      <c r="G30" s="175"/>
      <c r="H30" s="11"/>
      <c r="I30" s="12"/>
      <c r="J30" s="12"/>
      <c r="K30" s="12"/>
      <c r="L30" s="12"/>
      <c r="M30" s="12"/>
      <c r="N30" s="12"/>
      <c r="O30" s="13"/>
      <c r="P30" s="12"/>
      <c r="Q30" s="14"/>
      <c r="R30" s="15"/>
    </row>
    <row r="31" spans="1:18" ht="15" customHeight="1" x14ac:dyDescent="0.3">
      <c r="A31" s="16" t="s">
        <v>61</v>
      </c>
      <c r="B31" s="16" t="s">
        <v>74</v>
      </c>
      <c r="C31" s="17">
        <v>0.90277777777777779</v>
      </c>
      <c r="D31" s="16" t="s">
        <v>63</v>
      </c>
      <c r="E31" s="16" t="s">
        <v>57</v>
      </c>
      <c r="F31" s="16" t="s">
        <v>75</v>
      </c>
      <c r="G31" s="175"/>
      <c r="H31" s="11"/>
      <c r="I31" s="12"/>
      <c r="J31" s="12"/>
      <c r="K31" s="12"/>
      <c r="L31" s="12"/>
      <c r="M31" s="12"/>
      <c r="N31" s="12"/>
      <c r="O31" s="13"/>
      <c r="P31" s="12"/>
      <c r="Q31" s="14"/>
      <c r="R31" s="15"/>
    </row>
    <row r="32" spans="1:18" ht="15" customHeight="1" x14ac:dyDescent="0.3">
      <c r="A32" s="20" t="s">
        <v>61</v>
      </c>
      <c r="B32" s="20" t="s">
        <v>74</v>
      </c>
      <c r="C32" s="21">
        <v>0.90277777777777779</v>
      </c>
      <c r="D32" s="20" t="s">
        <v>65</v>
      </c>
      <c r="E32" s="20" t="s">
        <v>59</v>
      </c>
      <c r="F32" s="20" t="s">
        <v>76</v>
      </c>
      <c r="G32" s="175"/>
      <c r="H32" s="11"/>
      <c r="I32" s="12"/>
      <c r="J32" s="12"/>
      <c r="K32" s="12"/>
      <c r="L32" s="12"/>
      <c r="M32" s="12"/>
      <c r="N32" s="12"/>
      <c r="O32" s="13"/>
      <c r="P32" s="12"/>
      <c r="Q32" s="14"/>
      <c r="R32" s="15"/>
    </row>
    <row r="33" spans="1:18" ht="15" customHeight="1" x14ac:dyDescent="0.3">
      <c r="A33" s="20" t="s">
        <v>61</v>
      </c>
      <c r="B33" s="20" t="s">
        <v>74</v>
      </c>
      <c r="C33" s="21">
        <v>0.90277777777777779</v>
      </c>
      <c r="D33" s="20" t="s">
        <v>67</v>
      </c>
      <c r="E33" s="20" t="s">
        <v>59</v>
      </c>
      <c r="F33" s="20" t="s">
        <v>77</v>
      </c>
      <c r="G33" s="175"/>
      <c r="H33" s="11"/>
      <c r="I33" s="12"/>
      <c r="J33" s="12"/>
      <c r="K33" s="12"/>
      <c r="L33" s="12"/>
      <c r="M33" s="12"/>
      <c r="N33" s="12"/>
      <c r="O33" s="13"/>
      <c r="P33" s="12"/>
      <c r="Q33" s="14"/>
      <c r="R33" s="15"/>
    </row>
    <row r="34" spans="1:18" ht="15" customHeight="1" x14ac:dyDescent="0.3">
      <c r="A34" s="16" t="s">
        <v>61</v>
      </c>
      <c r="B34" s="16" t="s">
        <v>78</v>
      </c>
      <c r="C34" s="17">
        <v>0.64583333333333337</v>
      </c>
      <c r="D34" s="16" t="s">
        <v>63</v>
      </c>
      <c r="E34" s="16" t="s">
        <v>51</v>
      </c>
      <c r="F34" s="16" t="s">
        <v>75</v>
      </c>
      <c r="G34" s="175"/>
      <c r="H34" s="11"/>
      <c r="I34" s="12"/>
      <c r="J34" s="12"/>
      <c r="K34" s="12"/>
      <c r="L34" s="12"/>
      <c r="M34" s="12"/>
      <c r="N34" s="12"/>
      <c r="O34" s="13"/>
      <c r="P34" s="12"/>
      <c r="Q34" s="14"/>
      <c r="R34" s="15"/>
    </row>
    <row r="35" spans="1:18" ht="15" customHeight="1" x14ac:dyDescent="0.3">
      <c r="A35" s="20" t="s">
        <v>61</v>
      </c>
      <c r="B35" s="20" t="s">
        <v>78</v>
      </c>
      <c r="C35" s="21">
        <v>0.64583333333333337</v>
      </c>
      <c r="D35" s="20" t="s">
        <v>65</v>
      </c>
      <c r="E35" s="20" t="s">
        <v>53</v>
      </c>
      <c r="F35" s="20" t="s">
        <v>76</v>
      </c>
      <c r="G35" s="175"/>
      <c r="H35" s="11"/>
      <c r="I35" s="12"/>
      <c r="J35" s="12"/>
      <c r="K35" s="12"/>
      <c r="L35" s="12"/>
      <c r="M35" s="12"/>
      <c r="N35" s="12"/>
      <c r="O35" s="13"/>
      <c r="P35" s="12"/>
      <c r="Q35" s="14"/>
      <c r="R35" s="15"/>
    </row>
    <row r="36" spans="1:18" ht="15" customHeight="1" x14ac:dyDescent="0.3">
      <c r="A36" s="20" t="s">
        <v>61</v>
      </c>
      <c r="B36" s="20" t="s">
        <v>78</v>
      </c>
      <c r="C36" s="21">
        <v>0.64583333333333337</v>
      </c>
      <c r="D36" s="20" t="s">
        <v>67</v>
      </c>
      <c r="E36" s="20" t="s">
        <v>53</v>
      </c>
      <c r="F36" s="20" t="s">
        <v>77</v>
      </c>
      <c r="G36" s="175"/>
      <c r="H36" s="11"/>
      <c r="I36" s="12"/>
      <c r="J36" s="12"/>
      <c r="K36" s="12"/>
      <c r="L36" s="12"/>
      <c r="M36" s="12"/>
      <c r="N36" s="12"/>
      <c r="O36" s="13"/>
      <c r="P36" s="12"/>
      <c r="Q36" s="14"/>
      <c r="R36" s="15"/>
    </row>
    <row r="37" spans="1:18" ht="15" customHeight="1" x14ac:dyDescent="0.3">
      <c r="A37" s="16" t="s">
        <v>61</v>
      </c>
      <c r="B37" s="16" t="s">
        <v>79</v>
      </c>
      <c r="C37" s="17">
        <v>0.30208333333333331</v>
      </c>
      <c r="D37" s="16" t="s">
        <v>63</v>
      </c>
      <c r="E37" s="16" t="s">
        <v>39</v>
      </c>
      <c r="F37" s="16" t="s">
        <v>75</v>
      </c>
      <c r="G37" s="175"/>
      <c r="H37" s="11"/>
      <c r="I37" s="12"/>
      <c r="J37" s="12"/>
      <c r="K37" s="12"/>
      <c r="L37" s="12"/>
      <c r="M37" s="12"/>
      <c r="N37" s="12"/>
      <c r="O37" s="13"/>
      <c r="P37" s="12"/>
      <c r="Q37" s="14"/>
      <c r="R37" s="15"/>
    </row>
    <row r="38" spans="1:18" ht="15" customHeight="1" x14ac:dyDescent="0.3">
      <c r="A38" s="20" t="s">
        <v>61</v>
      </c>
      <c r="B38" s="20" t="s">
        <v>79</v>
      </c>
      <c r="C38" s="21">
        <v>0.30208333333333331</v>
      </c>
      <c r="D38" s="20" t="s">
        <v>65</v>
      </c>
      <c r="E38" s="20" t="s">
        <v>80</v>
      </c>
      <c r="F38" s="20" t="s">
        <v>76</v>
      </c>
      <c r="G38" s="175"/>
      <c r="H38" s="11"/>
      <c r="I38" s="12"/>
      <c r="J38" s="12"/>
      <c r="K38" s="12"/>
      <c r="L38" s="12"/>
      <c r="M38" s="12"/>
      <c r="N38" s="12"/>
      <c r="O38" s="13"/>
      <c r="P38" s="12"/>
      <c r="Q38" s="14"/>
      <c r="R38" s="15"/>
    </row>
    <row r="39" spans="1:18" ht="15" customHeight="1" x14ac:dyDescent="0.3">
      <c r="A39" s="20" t="s">
        <v>61</v>
      </c>
      <c r="B39" s="20" t="s">
        <v>79</v>
      </c>
      <c r="C39" s="21">
        <v>0.30208333333333331</v>
      </c>
      <c r="D39" s="20" t="s">
        <v>67</v>
      </c>
      <c r="E39" s="20" t="s">
        <v>80</v>
      </c>
      <c r="F39" s="20" t="s">
        <v>77</v>
      </c>
      <c r="G39" s="175"/>
      <c r="H39" s="11"/>
      <c r="I39" s="12"/>
      <c r="J39" s="12"/>
      <c r="K39" s="12"/>
      <c r="L39" s="12"/>
      <c r="M39" s="12"/>
      <c r="N39" s="12"/>
      <c r="O39" s="13"/>
      <c r="P39" s="12"/>
      <c r="Q39" s="14"/>
      <c r="R39" s="15"/>
    </row>
    <row r="40" spans="1:18" ht="15" customHeight="1" x14ac:dyDescent="0.3">
      <c r="A40" s="22" t="s">
        <v>81</v>
      </c>
      <c r="B40" s="22" t="s">
        <v>82</v>
      </c>
      <c r="C40" s="23">
        <v>0.52083333333333337</v>
      </c>
      <c r="D40" s="22" t="s">
        <v>83</v>
      </c>
      <c r="E40" s="22" t="s">
        <v>84</v>
      </c>
      <c r="F40" s="22" t="s">
        <v>85</v>
      </c>
      <c r="G40" s="175"/>
      <c r="H40" s="24" t="s">
        <v>86</v>
      </c>
      <c r="I40" s="25">
        <v>0.90500000000000003</v>
      </c>
      <c r="J40" s="26">
        <v>162</v>
      </c>
      <c r="K40" s="27">
        <v>45979</v>
      </c>
      <c r="L40" s="26">
        <v>24</v>
      </c>
      <c r="M40" s="26">
        <v>0</v>
      </c>
      <c r="N40" s="26">
        <v>8</v>
      </c>
      <c r="O40" s="28" t="s">
        <v>87</v>
      </c>
      <c r="P40" s="29">
        <v>0.52083333333333337</v>
      </c>
      <c r="Q40" s="26">
        <v>179</v>
      </c>
      <c r="R40" s="30" t="s">
        <v>88</v>
      </c>
    </row>
    <row r="41" spans="1:18" ht="15" customHeight="1" x14ac:dyDescent="0.3">
      <c r="A41" s="31" t="s">
        <v>81</v>
      </c>
      <c r="B41" s="31" t="s">
        <v>89</v>
      </c>
      <c r="C41" s="32">
        <v>0.51736111111111105</v>
      </c>
      <c r="D41" s="31" t="s">
        <v>83</v>
      </c>
      <c r="E41" s="31" t="s">
        <v>90</v>
      </c>
      <c r="F41" s="31" t="s">
        <v>85</v>
      </c>
      <c r="G41" s="175"/>
      <c r="H41" s="33" t="s">
        <v>91</v>
      </c>
      <c r="I41" s="34">
        <v>0.88829999999999998</v>
      </c>
      <c r="J41" s="35">
        <v>159</v>
      </c>
      <c r="K41" s="36">
        <v>45979</v>
      </c>
      <c r="L41" s="35">
        <v>15</v>
      </c>
      <c r="M41" s="35">
        <v>0</v>
      </c>
      <c r="N41" s="35">
        <v>3</v>
      </c>
      <c r="O41" s="37" t="s">
        <v>92</v>
      </c>
      <c r="P41" s="38">
        <v>0.51736111111111105</v>
      </c>
      <c r="Q41" s="35">
        <v>179</v>
      </c>
      <c r="R41" s="39" t="s">
        <v>93</v>
      </c>
    </row>
    <row r="42" spans="1:18" ht="15" customHeight="1" x14ac:dyDescent="0.3">
      <c r="A42" s="40" t="s">
        <v>81</v>
      </c>
      <c r="B42" s="40" t="s">
        <v>94</v>
      </c>
      <c r="C42" s="41">
        <v>0.61458333333333337</v>
      </c>
      <c r="D42" s="40" t="s">
        <v>83</v>
      </c>
      <c r="E42" s="40" t="s">
        <v>95</v>
      </c>
      <c r="F42" s="40" t="s">
        <v>96</v>
      </c>
      <c r="G42" s="175"/>
      <c r="H42" s="42" t="s">
        <v>97</v>
      </c>
      <c r="I42" s="43">
        <v>0.91620000000000001</v>
      </c>
      <c r="J42" s="44">
        <v>164</v>
      </c>
      <c r="K42" s="45">
        <v>45976</v>
      </c>
      <c r="L42" s="44">
        <v>6</v>
      </c>
      <c r="M42" s="44">
        <v>0</v>
      </c>
      <c r="N42" s="44">
        <v>0</v>
      </c>
      <c r="O42" s="46" t="s">
        <v>98</v>
      </c>
      <c r="P42" s="47">
        <v>0.61458333333333337</v>
      </c>
      <c r="Q42" s="44">
        <v>179</v>
      </c>
      <c r="R42" s="48" t="s">
        <v>99</v>
      </c>
    </row>
    <row r="43" spans="1:18" ht="15" customHeight="1" x14ac:dyDescent="0.3">
      <c r="A43" s="18" t="s">
        <v>100</v>
      </c>
      <c r="B43" s="18" t="s">
        <v>101</v>
      </c>
      <c r="C43" s="19">
        <v>0.3923611111111111</v>
      </c>
      <c r="D43" s="18" t="s">
        <v>102</v>
      </c>
      <c r="E43" s="18" t="s">
        <v>103</v>
      </c>
      <c r="F43" s="18" t="s">
        <v>54</v>
      </c>
      <c r="G43" s="175"/>
      <c r="H43" s="11"/>
      <c r="I43" s="12"/>
      <c r="J43" s="12"/>
      <c r="K43" s="12"/>
      <c r="L43" s="12"/>
      <c r="M43" s="12"/>
      <c r="N43" s="12"/>
      <c r="O43" s="13"/>
      <c r="P43" s="12"/>
      <c r="Q43" s="14"/>
      <c r="R43" s="15"/>
    </row>
    <row r="44" spans="1:18" ht="15" customHeight="1" x14ac:dyDescent="0.3">
      <c r="A44" s="18" t="s">
        <v>104</v>
      </c>
      <c r="B44" s="18" t="s">
        <v>105</v>
      </c>
      <c r="C44" s="19">
        <v>0.4861111111111111</v>
      </c>
      <c r="D44" s="18" t="s">
        <v>106</v>
      </c>
      <c r="E44" s="18" t="s">
        <v>36</v>
      </c>
      <c r="F44" s="18" t="s">
        <v>107</v>
      </c>
      <c r="G44" s="175"/>
      <c r="H44" s="11"/>
      <c r="I44" s="12"/>
      <c r="J44" s="12"/>
      <c r="K44" s="12"/>
      <c r="L44" s="12"/>
      <c r="M44" s="12"/>
      <c r="N44" s="12"/>
      <c r="O44" s="13"/>
      <c r="P44" s="12"/>
      <c r="Q44" s="14"/>
      <c r="R44" s="15"/>
    </row>
    <row r="45" spans="1:18" ht="15" customHeight="1" x14ac:dyDescent="0.3">
      <c r="A45" s="16" t="s">
        <v>104</v>
      </c>
      <c r="B45" s="16" t="s">
        <v>108</v>
      </c>
      <c r="C45" s="17">
        <v>0.27777777777777779</v>
      </c>
      <c r="D45" s="16" t="s">
        <v>106</v>
      </c>
      <c r="E45" s="16" t="s">
        <v>109</v>
      </c>
      <c r="F45" s="16" t="s">
        <v>110</v>
      </c>
      <c r="G45" s="175"/>
      <c r="H45" s="11"/>
      <c r="I45" s="12"/>
      <c r="J45" s="12"/>
      <c r="K45" s="12"/>
      <c r="L45" s="12"/>
      <c r="M45" s="12"/>
      <c r="N45" s="12"/>
      <c r="O45" s="13"/>
      <c r="P45" s="12"/>
      <c r="Q45" s="14"/>
      <c r="R45" s="15"/>
    </row>
    <row r="46" spans="1:18" ht="15" customHeight="1" x14ac:dyDescent="0.3">
      <c r="A46" s="16" t="s">
        <v>104</v>
      </c>
      <c r="B46" s="16" t="s">
        <v>111</v>
      </c>
      <c r="C46" s="17">
        <v>0.52083333333333337</v>
      </c>
      <c r="D46" s="16" t="s">
        <v>106</v>
      </c>
      <c r="E46" s="16" t="s">
        <v>109</v>
      </c>
      <c r="F46" s="16" t="s">
        <v>110</v>
      </c>
      <c r="G46" s="175"/>
      <c r="H46" s="11"/>
      <c r="I46" s="12"/>
      <c r="J46" s="12"/>
      <c r="K46" s="12"/>
      <c r="L46" s="12"/>
      <c r="M46" s="12"/>
      <c r="N46" s="12"/>
      <c r="O46" s="13"/>
      <c r="P46" s="12"/>
      <c r="Q46" s="14"/>
      <c r="R46" s="15"/>
    </row>
    <row r="47" spans="1:18" ht="15" customHeight="1" x14ac:dyDescent="0.3">
      <c r="A47" s="16" t="s">
        <v>104</v>
      </c>
      <c r="B47" s="16" t="s">
        <v>112</v>
      </c>
      <c r="C47" s="17">
        <v>0.95833333333333337</v>
      </c>
      <c r="D47" s="16" t="s">
        <v>106</v>
      </c>
      <c r="E47" s="16" t="s">
        <v>109</v>
      </c>
      <c r="F47" s="16" t="s">
        <v>113</v>
      </c>
      <c r="G47" s="175"/>
      <c r="H47" s="11"/>
      <c r="I47" s="12"/>
      <c r="J47" s="12"/>
      <c r="K47" s="12"/>
      <c r="L47" s="12"/>
      <c r="M47" s="12"/>
      <c r="N47" s="12"/>
      <c r="O47" s="13"/>
      <c r="P47" s="12"/>
      <c r="Q47" s="14"/>
      <c r="R47" s="15"/>
    </row>
    <row r="48" spans="1:18" ht="15" customHeight="1" x14ac:dyDescent="0.3">
      <c r="A48" s="16" t="s">
        <v>104</v>
      </c>
      <c r="B48" s="16" t="s">
        <v>114</v>
      </c>
      <c r="C48" s="17">
        <v>0.77430555555555547</v>
      </c>
      <c r="D48" s="16" t="s">
        <v>106</v>
      </c>
      <c r="E48" s="16" t="s">
        <v>109</v>
      </c>
      <c r="F48" s="16" t="s">
        <v>113</v>
      </c>
      <c r="G48" s="175"/>
      <c r="H48" s="11"/>
      <c r="I48" s="12"/>
      <c r="J48" s="12"/>
      <c r="K48" s="12"/>
      <c r="L48" s="12"/>
      <c r="M48" s="12"/>
      <c r="N48" s="12"/>
      <c r="O48" s="13"/>
      <c r="P48" s="12"/>
      <c r="Q48" s="14"/>
      <c r="R48" s="15"/>
    </row>
    <row r="49" spans="1:18" ht="15" customHeight="1" x14ac:dyDescent="0.3">
      <c r="A49" s="18" t="s">
        <v>115</v>
      </c>
      <c r="B49" s="18" t="s">
        <v>116</v>
      </c>
      <c r="C49" s="19">
        <v>0.37847222222222232</v>
      </c>
      <c r="D49" s="18" t="s">
        <v>117</v>
      </c>
      <c r="E49" s="18" t="s">
        <v>36</v>
      </c>
      <c r="F49" s="18" t="s">
        <v>118</v>
      </c>
      <c r="G49" s="175"/>
      <c r="H49" s="11"/>
      <c r="I49" s="12"/>
      <c r="J49" s="12"/>
      <c r="K49" s="12"/>
      <c r="L49" s="12"/>
      <c r="M49" s="12"/>
      <c r="N49" s="12"/>
      <c r="O49" s="13"/>
      <c r="P49" s="12"/>
      <c r="Q49" s="14"/>
      <c r="R49" s="15"/>
    </row>
    <row r="50" spans="1:18" ht="15" customHeight="1" x14ac:dyDescent="0.3">
      <c r="A50" s="20" t="s">
        <v>115</v>
      </c>
      <c r="B50" s="20" t="s">
        <v>116</v>
      </c>
      <c r="C50" s="21">
        <v>0.37847222222222232</v>
      </c>
      <c r="D50" s="20" t="s">
        <v>119</v>
      </c>
      <c r="E50" s="20" t="s">
        <v>120</v>
      </c>
      <c r="F50" s="20" t="s">
        <v>121</v>
      </c>
      <c r="G50" s="175"/>
      <c r="H50" s="11"/>
      <c r="I50" s="12"/>
      <c r="J50" s="12"/>
      <c r="K50" s="12"/>
      <c r="L50" s="12"/>
      <c r="M50" s="12"/>
      <c r="N50" s="12"/>
      <c r="O50" s="13"/>
      <c r="P50" s="12"/>
      <c r="Q50" s="14"/>
      <c r="R50" s="15"/>
    </row>
    <row r="51" spans="1:18" ht="15" customHeight="1" x14ac:dyDescent="0.3">
      <c r="A51" s="16" t="s">
        <v>115</v>
      </c>
      <c r="B51" s="16" t="s">
        <v>122</v>
      </c>
      <c r="C51" s="17">
        <v>0.93055555555555547</v>
      </c>
      <c r="D51" s="16" t="s">
        <v>117</v>
      </c>
      <c r="E51" s="16" t="s">
        <v>123</v>
      </c>
      <c r="F51" s="16" t="s">
        <v>118</v>
      </c>
      <c r="G51" s="175"/>
      <c r="H51" s="11"/>
      <c r="I51" s="12"/>
      <c r="J51" s="12"/>
      <c r="K51" s="12"/>
      <c r="L51" s="12"/>
      <c r="M51" s="12"/>
      <c r="N51" s="12"/>
      <c r="O51" s="13"/>
      <c r="P51" s="12"/>
      <c r="Q51" s="14"/>
      <c r="R51" s="15"/>
    </row>
    <row r="52" spans="1:18" ht="15" customHeight="1" x14ac:dyDescent="0.3">
      <c r="A52" s="20" t="s">
        <v>115</v>
      </c>
      <c r="B52" s="20" t="s">
        <v>122</v>
      </c>
      <c r="C52" s="21">
        <v>0.93055555555555547</v>
      </c>
      <c r="D52" s="20" t="s">
        <v>119</v>
      </c>
      <c r="E52" s="20" t="s">
        <v>124</v>
      </c>
      <c r="F52" s="20" t="s">
        <v>121</v>
      </c>
      <c r="G52" s="175"/>
      <c r="H52" s="11"/>
      <c r="I52" s="12"/>
      <c r="J52" s="12"/>
      <c r="K52" s="12"/>
      <c r="L52" s="12"/>
      <c r="M52" s="12"/>
      <c r="N52" s="12"/>
      <c r="O52" s="13"/>
      <c r="P52" s="12"/>
      <c r="Q52" s="14"/>
      <c r="R52" s="15"/>
    </row>
    <row r="53" spans="1:18" ht="15" customHeight="1" x14ac:dyDescent="0.3">
      <c r="A53" s="16" t="s">
        <v>115</v>
      </c>
      <c r="B53" s="16" t="s">
        <v>125</v>
      </c>
      <c r="C53" s="17">
        <v>0.82986111111111116</v>
      </c>
      <c r="D53" s="16" t="s">
        <v>117</v>
      </c>
      <c r="E53" s="16" t="s">
        <v>109</v>
      </c>
      <c r="F53" s="16" t="s">
        <v>118</v>
      </c>
      <c r="G53" s="175"/>
      <c r="H53" s="11"/>
      <c r="I53" s="12"/>
      <c r="J53" s="12"/>
      <c r="K53" s="12"/>
      <c r="L53" s="12"/>
      <c r="M53" s="12"/>
      <c r="N53" s="12"/>
      <c r="O53" s="13"/>
      <c r="P53" s="12"/>
      <c r="Q53" s="14"/>
      <c r="R53" s="15"/>
    </row>
    <row r="54" spans="1:18" ht="15" customHeight="1" x14ac:dyDescent="0.3">
      <c r="A54" s="20" t="s">
        <v>115</v>
      </c>
      <c r="B54" s="20" t="s">
        <v>125</v>
      </c>
      <c r="C54" s="21">
        <v>0.82986111111111116</v>
      </c>
      <c r="D54" s="20" t="s">
        <v>119</v>
      </c>
      <c r="E54" s="20" t="s">
        <v>120</v>
      </c>
      <c r="F54" s="20" t="s">
        <v>121</v>
      </c>
      <c r="G54" s="175"/>
      <c r="H54" s="11"/>
      <c r="I54" s="12"/>
      <c r="J54" s="12"/>
      <c r="K54" s="12"/>
      <c r="L54" s="12"/>
      <c r="M54" s="12"/>
      <c r="N54" s="12"/>
      <c r="O54" s="13"/>
      <c r="P54" s="12"/>
      <c r="Q54" s="14"/>
      <c r="R54" s="15"/>
    </row>
    <row r="55" spans="1:18" ht="15" customHeight="1" x14ac:dyDescent="0.3">
      <c r="A55" s="16" t="s">
        <v>115</v>
      </c>
      <c r="B55" s="16" t="s">
        <v>126</v>
      </c>
      <c r="C55" s="17">
        <v>0.71875</v>
      </c>
      <c r="D55" s="16" t="s">
        <v>117</v>
      </c>
      <c r="E55" s="16" t="s">
        <v>109</v>
      </c>
      <c r="F55" s="16" t="s">
        <v>127</v>
      </c>
      <c r="G55" s="175"/>
      <c r="H55" s="11"/>
      <c r="I55" s="12"/>
      <c r="J55" s="12"/>
      <c r="K55" s="12"/>
      <c r="L55" s="12"/>
      <c r="M55" s="12"/>
      <c r="N55" s="12"/>
      <c r="O55" s="13"/>
      <c r="P55" s="12"/>
      <c r="Q55" s="14"/>
      <c r="R55" s="15"/>
    </row>
    <row r="56" spans="1:18" ht="15" customHeight="1" x14ac:dyDescent="0.3">
      <c r="A56" s="20" t="s">
        <v>115</v>
      </c>
      <c r="B56" s="20" t="s">
        <v>126</v>
      </c>
      <c r="C56" s="21">
        <v>0.71875</v>
      </c>
      <c r="D56" s="20" t="s">
        <v>119</v>
      </c>
      <c r="E56" s="20" t="s">
        <v>120</v>
      </c>
      <c r="F56" s="20" t="s">
        <v>128</v>
      </c>
      <c r="G56" s="175"/>
      <c r="H56" s="11"/>
      <c r="I56" s="12"/>
      <c r="J56" s="12"/>
      <c r="K56" s="12"/>
      <c r="L56" s="12"/>
      <c r="M56" s="12"/>
      <c r="N56" s="12"/>
      <c r="O56" s="13"/>
      <c r="P56" s="12"/>
      <c r="Q56" s="14"/>
      <c r="R56" s="15"/>
    </row>
    <row r="57" spans="1:18" ht="15" customHeight="1" x14ac:dyDescent="0.3">
      <c r="A57" s="16" t="s">
        <v>115</v>
      </c>
      <c r="B57" s="16" t="s">
        <v>129</v>
      </c>
      <c r="C57" s="17">
        <v>0.61111111111111105</v>
      </c>
      <c r="D57" s="16" t="s">
        <v>117</v>
      </c>
      <c r="E57" s="16" t="s">
        <v>109</v>
      </c>
      <c r="F57" s="16" t="s">
        <v>127</v>
      </c>
      <c r="G57" s="175"/>
      <c r="H57" s="11"/>
      <c r="I57" s="12"/>
      <c r="J57" s="12"/>
      <c r="K57" s="12"/>
      <c r="L57" s="12"/>
      <c r="M57" s="12"/>
      <c r="N57" s="12"/>
      <c r="O57" s="13"/>
      <c r="P57" s="12"/>
      <c r="Q57" s="14"/>
      <c r="R57" s="15"/>
    </row>
    <row r="58" spans="1:18" ht="15" customHeight="1" x14ac:dyDescent="0.3">
      <c r="A58" s="20" t="s">
        <v>115</v>
      </c>
      <c r="B58" s="20" t="s">
        <v>129</v>
      </c>
      <c r="C58" s="21">
        <v>0.61111111111111105</v>
      </c>
      <c r="D58" s="20" t="s">
        <v>119</v>
      </c>
      <c r="E58" s="20" t="s">
        <v>120</v>
      </c>
      <c r="F58" s="20" t="s">
        <v>128</v>
      </c>
      <c r="G58" s="175"/>
      <c r="H58" s="11"/>
      <c r="I58" s="12"/>
      <c r="J58" s="12"/>
      <c r="K58" s="12"/>
      <c r="L58" s="12"/>
      <c r="M58" s="12"/>
      <c r="N58" s="12"/>
      <c r="O58" s="13"/>
      <c r="P58" s="12"/>
      <c r="Q58" s="14"/>
      <c r="R58" s="15"/>
    </row>
    <row r="59" spans="1:18" ht="15" customHeight="1" x14ac:dyDescent="0.3">
      <c r="A59" s="16" t="s">
        <v>115</v>
      </c>
      <c r="B59" s="16" t="s">
        <v>130</v>
      </c>
      <c r="C59" s="17">
        <v>0.88888888888888884</v>
      </c>
      <c r="D59" s="16" t="s">
        <v>119</v>
      </c>
      <c r="E59" s="16" t="s">
        <v>95</v>
      </c>
      <c r="F59" s="16" t="s">
        <v>131</v>
      </c>
      <c r="G59" s="175"/>
      <c r="H59" s="11"/>
      <c r="I59" s="12"/>
      <c r="J59" s="12"/>
      <c r="K59" s="12"/>
      <c r="L59" s="12"/>
      <c r="M59" s="12"/>
      <c r="N59" s="12"/>
      <c r="O59" s="13"/>
      <c r="P59" s="12"/>
      <c r="Q59" s="14"/>
      <c r="R59" s="15"/>
    </row>
    <row r="60" spans="1:18" ht="15" customHeight="1" thickBot="1" x14ac:dyDescent="0.35">
      <c r="A60" s="49" t="s">
        <v>115</v>
      </c>
      <c r="B60" s="49" t="s">
        <v>132</v>
      </c>
      <c r="C60" s="50">
        <v>0.78819444444444453</v>
      </c>
      <c r="D60" s="49" t="s">
        <v>119</v>
      </c>
      <c r="E60" s="49" t="s">
        <v>95</v>
      </c>
      <c r="F60" s="49" t="s">
        <v>131</v>
      </c>
      <c r="G60" s="176"/>
      <c r="H60" s="51"/>
      <c r="I60" s="52"/>
      <c r="J60" s="52"/>
      <c r="K60" s="52"/>
      <c r="L60" s="52"/>
      <c r="M60" s="52"/>
      <c r="N60" s="52"/>
      <c r="O60" s="53"/>
      <c r="P60" s="52"/>
      <c r="Q60" s="54"/>
      <c r="R60" s="55"/>
    </row>
    <row r="61" spans="1:18" ht="17.399999999999999" customHeight="1" thickBot="1" x14ac:dyDescent="0.35">
      <c r="A61" s="213"/>
      <c r="B61" s="214"/>
      <c r="C61" s="214"/>
      <c r="D61" s="214"/>
      <c r="E61" s="214"/>
      <c r="F61" s="214"/>
      <c r="G61" s="214"/>
      <c r="H61" s="214"/>
      <c r="I61" s="214"/>
      <c r="J61" s="214"/>
      <c r="K61" s="214"/>
      <c r="L61" s="214"/>
      <c r="M61" s="214"/>
      <c r="N61" s="214"/>
      <c r="O61" s="214"/>
      <c r="P61" s="214"/>
      <c r="Q61" s="214"/>
      <c r="R61" s="215"/>
    </row>
    <row r="62" spans="1:18" ht="22.05" customHeight="1" thickTop="1" thickBot="1" x14ac:dyDescent="0.55000000000000004">
      <c r="A62" s="189" t="s">
        <v>6</v>
      </c>
      <c r="B62" s="190"/>
      <c r="C62" s="190"/>
      <c r="D62" s="190"/>
      <c r="E62" s="190"/>
      <c r="F62" s="190"/>
      <c r="G62" s="56">
        <v>45981</v>
      </c>
      <c r="H62" s="172" t="s">
        <v>7</v>
      </c>
      <c r="I62" s="173"/>
      <c r="J62" s="173"/>
      <c r="K62" s="173"/>
      <c r="L62" s="173"/>
      <c r="M62" s="173"/>
      <c r="N62" s="173"/>
      <c r="O62" s="173"/>
      <c r="P62" s="173"/>
      <c r="Q62" s="173"/>
      <c r="R62" s="173"/>
    </row>
    <row r="63" spans="1:18" ht="24" customHeight="1" x14ac:dyDescent="0.3">
      <c r="A63" s="57" t="s">
        <v>8</v>
      </c>
      <c r="B63" s="57" t="s">
        <v>9</v>
      </c>
      <c r="C63" s="58" t="s">
        <v>10</v>
      </c>
      <c r="D63" s="57" t="s">
        <v>11</v>
      </c>
      <c r="E63" s="57" t="s">
        <v>12</v>
      </c>
      <c r="F63" s="59" t="s">
        <v>13</v>
      </c>
      <c r="G63" s="60" t="s">
        <v>14</v>
      </c>
      <c r="H63" s="57" t="s">
        <v>15</v>
      </c>
      <c r="I63" s="61" t="s">
        <v>16</v>
      </c>
      <c r="J63" s="62" t="s">
        <v>17</v>
      </c>
      <c r="K63" s="63" t="s">
        <v>18</v>
      </c>
      <c r="L63" s="62" t="s">
        <v>19</v>
      </c>
      <c r="M63" s="62" t="s">
        <v>20</v>
      </c>
      <c r="N63" s="62" t="s">
        <v>21</v>
      </c>
      <c r="O63" s="57" t="s">
        <v>22</v>
      </c>
      <c r="P63" s="58" t="s">
        <v>23</v>
      </c>
      <c r="Q63" s="62" t="s">
        <v>24</v>
      </c>
      <c r="R63" s="57" t="s">
        <v>25</v>
      </c>
    </row>
    <row r="64" spans="1:18" ht="15" customHeight="1" x14ac:dyDescent="0.3">
      <c r="A64" s="9" t="s">
        <v>41</v>
      </c>
      <c r="B64" s="9" t="s">
        <v>133</v>
      </c>
      <c r="C64" s="10">
        <v>0.12847222222222221</v>
      </c>
      <c r="D64" s="9" t="s">
        <v>43</v>
      </c>
      <c r="E64" s="9" t="s">
        <v>134</v>
      </c>
      <c r="F64" s="9" t="s">
        <v>44</v>
      </c>
      <c r="G64" s="181"/>
      <c r="H64" s="11"/>
      <c r="I64" s="12"/>
      <c r="J64" s="12"/>
      <c r="K64" s="12"/>
      <c r="L64" s="12"/>
      <c r="M64" s="12"/>
      <c r="N64" s="12"/>
      <c r="O64" s="13"/>
      <c r="P64" s="12"/>
      <c r="Q64" s="14"/>
      <c r="R64" s="15"/>
    </row>
    <row r="65" spans="1:18" ht="15" customHeight="1" x14ac:dyDescent="0.3">
      <c r="A65" s="20" t="s">
        <v>41</v>
      </c>
      <c r="B65" s="20" t="s">
        <v>133</v>
      </c>
      <c r="C65" s="21">
        <v>0.12847222222222221</v>
      </c>
      <c r="D65" s="20" t="s">
        <v>45</v>
      </c>
      <c r="E65" s="20" t="s">
        <v>71</v>
      </c>
      <c r="F65" s="20" t="s">
        <v>47</v>
      </c>
      <c r="G65" s="175"/>
      <c r="H65" s="11"/>
      <c r="I65" s="12"/>
      <c r="J65" s="12"/>
      <c r="K65" s="12"/>
      <c r="L65" s="12"/>
      <c r="M65" s="12"/>
      <c r="N65" s="12"/>
      <c r="O65" s="13"/>
      <c r="P65" s="12"/>
      <c r="Q65" s="14"/>
      <c r="R65" s="15"/>
    </row>
    <row r="66" spans="1:18" ht="15" customHeight="1" x14ac:dyDescent="0.3">
      <c r="A66" s="20" t="s">
        <v>41</v>
      </c>
      <c r="B66" s="20" t="s">
        <v>133</v>
      </c>
      <c r="C66" s="21">
        <v>0.12847222222222221</v>
      </c>
      <c r="D66" s="20" t="s">
        <v>48</v>
      </c>
      <c r="E66" s="20" t="s">
        <v>71</v>
      </c>
      <c r="F66" s="20" t="s">
        <v>55</v>
      </c>
      <c r="G66" s="175"/>
      <c r="H66" s="11"/>
      <c r="I66" s="12"/>
      <c r="J66" s="12"/>
      <c r="K66" s="12"/>
      <c r="L66" s="12"/>
      <c r="M66" s="12"/>
      <c r="N66" s="12"/>
      <c r="O66" s="13"/>
      <c r="P66" s="12"/>
      <c r="Q66" s="14"/>
      <c r="R66" s="15"/>
    </row>
    <row r="67" spans="1:18" ht="15" customHeight="1" x14ac:dyDescent="0.3">
      <c r="A67" s="16" t="s">
        <v>41</v>
      </c>
      <c r="B67" s="16" t="s">
        <v>42</v>
      </c>
      <c r="C67" s="17">
        <v>0.30208333333333331</v>
      </c>
      <c r="D67" s="16" t="s">
        <v>43</v>
      </c>
      <c r="E67" s="16" t="s">
        <v>57</v>
      </c>
      <c r="F67" s="16" t="s">
        <v>52</v>
      </c>
      <c r="G67" s="175"/>
      <c r="H67" s="11"/>
      <c r="I67" s="12"/>
      <c r="J67" s="12"/>
      <c r="K67" s="12"/>
      <c r="L67" s="12"/>
      <c r="M67" s="12"/>
      <c r="N67" s="12"/>
      <c r="O67" s="13"/>
      <c r="P67" s="12"/>
      <c r="Q67" s="14"/>
      <c r="R67" s="15"/>
    </row>
    <row r="68" spans="1:18" ht="15" customHeight="1" x14ac:dyDescent="0.3">
      <c r="A68" s="20" t="s">
        <v>41</v>
      </c>
      <c r="B68" s="20" t="s">
        <v>42</v>
      </c>
      <c r="C68" s="21">
        <v>0.30208333333333331</v>
      </c>
      <c r="D68" s="20" t="s">
        <v>45</v>
      </c>
      <c r="E68" s="20" t="s">
        <v>59</v>
      </c>
      <c r="F68" s="20" t="s">
        <v>54</v>
      </c>
      <c r="G68" s="175"/>
      <c r="H68" s="11"/>
      <c r="I68" s="12"/>
      <c r="J68" s="12"/>
      <c r="K68" s="12"/>
      <c r="L68" s="12"/>
      <c r="M68" s="12"/>
      <c r="N68" s="12"/>
      <c r="O68" s="13"/>
      <c r="P68" s="12"/>
      <c r="Q68" s="14"/>
      <c r="R68" s="15"/>
    </row>
    <row r="69" spans="1:18" ht="15" customHeight="1" x14ac:dyDescent="0.3">
      <c r="A69" s="20" t="s">
        <v>41</v>
      </c>
      <c r="B69" s="20" t="s">
        <v>42</v>
      </c>
      <c r="C69" s="21">
        <v>0.30208333333333331</v>
      </c>
      <c r="D69" s="20" t="s">
        <v>48</v>
      </c>
      <c r="E69" s="20" t="s">
        <v>59</v>
      </c>
      <c r="F69" s="20" t="s">
        <v>49</v>
      </c>
      <c r="G69" s="175"/>
      <c r="H69" s="11"/>
      <c r="I69" s="12"/>
      <c r="J69" s="12"/>
      <c r="K69" s="12"/>
      <c r="L69" s="12"/>
      <c r="M69" s="12"/>
      <c r="N69" s="12"/>
      <c r="O69" s="13"/>
      <c r="P69" s="12"/>
      <c r="Q69" s="14"/>
      <c r="R69" s="15"/>
    </row>
    <row r="70" spans="1:18" ht="15" customHeight="1" x14ac:dyDescent="0.3">
      <c r="A70" s="16" t="s">
        <v>41</v>
      </c>
      <c r="B70" s="16" t="s">
        <v>56</v>
      </c>
      <c r="C70" s="17">
        <v>0.88888888888888884</v>
      </c>
      <c r="D70" s="16" t="s">
        <v>43</v>
      </c>
      <c r="E70" s="16" t="s">
        <v>70</v>
      </c>
      <c r="F70" s="16" t="s">
        <v>52</v>
      </c>
      <c r="G70" s="175"/>
      <c r="H70" s="11"/>
      <c r="I70" s="12"/>
      <c r="J70" s="12"/>
      <c r="K70" s="12"/>
      <c r="L70" s="12"/>
      <c r="M70" s="12"/>
      <c r="N70" s="12"/>
      <c r="O70" s="13"/>
      <c r="P70" s="12"/>
      <c r="Q70" s="14"/>
      <c r="R70" s="15"/>
    </row>
    <row r="71" spans="1:18" ht="15" customHeight="1" x14ac:dyDescent="0.3">
      <c r="A71" s="20" t="s">
        <v>41</v>
      </c>
      <c r="B71" s="20" t="s">
        <v>56</v>
      </c>
      <c r="C71" s="21">
        <v>0.88888888888888884</v>
      </c>
      <c r="D71" s="20" t="s">
        <v>45</v>
      </c>
      <c r="E71" s="20" t="s">
        <v>71</v>
      </c>
      <c r="F71" s="20" t="s">
        <v>54</v>
      </c>
      <c r="G71" s="175"/>
      <c r="H71" s="11"/>
      <c r="I71" s="12"/>
      <c r="J71" s="12"/>
      <c r="K71" s="12"/>
      <c r="L71" s="12"/>
      <c r="M71" s="12"/>
      <c r="N71" s="12"/>
      <c r="O71" s="13"/>
      <c r="P71" s="12"/>
      <c r="Q71" s="14"/>
      <c r="R71" s="15"/>
    </row>
    <row r="72" spans="1:18" ht="15" customHeight="1" x14ac:dyDescent="0.3">
      <c r="A72" s="20" t="s">
        <v>41</v>
      </c>
      <c r="B72" s="20" t="s">
        <v>56</v>
      </c>
      <c r="C72" s="21">
        <v>0.88888888888888884</v>
      </c>
      <c r="D72" s="20" t="s">
        <v>48</v>
      </c>
      <c r="E72" s="20" t="s">
        <v>71</v>
      </c>
      <c r="F72" s="20" t="s">
        <v>49</v>
      </c>
      <c r="G72" s="175"/>
      <c r="H72" s="11"/>
      <c r="I72" s="12"/>
      <c r="J72" s="12"/>
      <c r="K72" s="12"/>
      <c r="L72" s="12"/>
      <c r="M72" s="12"/>
      <c r="N72" s="12"/>
      <c r="O72" s="13"/>
      <c r="P72" s="12"/>
      <c r="Q72" s="14"/>
      <c r="R72" s="15"/>
    </row>
    <row r="73" spans="1:18" ht="15" customHeight="1" x14ac:dyDescent="0.3">
      <c r="A73" s="16" t="s">
        <v>41</v>
      </c>
      <c r="B73" s="16" t="s">
        <v>50</v>
      </c>
      <c r="C73" s="17">
        <v>0.78819444444444453</v>
      </c>
      <c r="D73" s="16" t="s">
        <v>43</v>
      </c>
      <c r="E73" s="16" t="s">
        <v>135</v>
      </c>
      <c r="F73" s="16" t="s">
        <v>58</v>
      </c>
      <c r="G73" s="175"/>
      <c r="H73" s="11"/>
      <c r="I73" s="12"/>
      <c r="J73" s="12"/>
      <c r="K73" s="12"/>
      <c r="L73" s="12"/>
      <c r="M73" s="12"/>
      <c r="N73" s="12"/>
      <c r="O73" s="13"/>
      <c r="P73" s="12"/>
      <c r="Q73" s="14"/>
      <c r="R73" s="15"/>
    </row>
    <row r="74" spans="1:18" ht="15" customHeight="1" x14ac:dyDescent="0.3">
      <c r="A74" s="20" t="s">
        <v>41</v>
      </c>
      <c r="B74" s="20" t="s">
        <v>50</v>
      </c>
      <c r="C74" s="21">
        <v>0.78819444444444453</v>
      </c>
      <c r="D74" s="20" t="s">
        <v>45</v>
      </c>
      <c r="E74" s="20" t="s">
        <v>136</v>
      </c>
      <c r="F74" s="20" t="s">
        <v>60</v>
      </c>
      <c r="G74" s="175"/>
      <c r="H74" s="11"/>
      <c r="I74" s="12"/>
      <c r="J74" s="12"/>
      <c r="K74" s="12"/>
      <c r="L74" s="12"/>
      <c r="M74" s="12"/>
      <c r="N74" s="12"/>
      <c r="O74" s="13"/>
      <c r="P74" s="12"/>
      <c r="Q74" s="14"/>
      <c r="R74" s="15"/>
    </row>
    <row r="75" spans="1:18" ht="15" customHeight="1" x14ac:dyDescent="0.3">
      <c r="A75" s="20" t="s">
        <v>41</v>
      </c>
      <c r="B75" s="20" t="s">
        <v>50</v>
      </c>
      <c r="C75" s="21">
        <v>0.78819444444444453</v>
      </c>
      <c r="D75" s="20" t="s">
        <v>48</v>
      </c>
      <c r="E75" s="20" t="s">
        <v>136</v>
      </c>
      <c r="F75" s="20" t="s">
        <v>49</v>
      </c>
      <c r="G75" s="175"/>
      <c r="H75" s="11"/>
      <c r="I75" s="12"/>
      <c r="J75" s="12"/>
      <c r="K75" s="12"/>
      <c r="L75" s="12"/>
      <c r="M75" s="12"/>
      <c r="N75" s="12"/>
      <c r="O75" s="13"/>
      <c r="P75" s="12"/>
      <c r="Q75" s="14"/>
      <c r="R75" s="15"/>
    </row>
    <row r="76" spans="1:18" ht="15" customHeight="1" x14ac:dyDescent="0.3">
      <c r="A76" s="18" t="s">
        <v>61</v>
      </c>
      <c r="B76" s="18" t="s">
        <v>137</v>
      </c>
      <c r="C76" s="19">
        <v>0.25694444444444448</v>
      </c>
      <c r="D76" s="18" t="s">
        <v>63</v>
      </c>
      <c r="E76" s="18" t="s">
        <v>29</v>
      </c>
      <c r="F76" s="18" t="s">
        <v>64</v>
      </c>
      <c r="G76" s="175"/>
      <c r="H76" s="11"/>
      <c r="I76" s="12"/>
      <c r="J76" s="12"/>
      <c r="K76" s="12"/>
      <c r="L76" s="12"/>
      <c r="M76" s="12"/>
      <c r="N76" s="12"/>
      <c r="O76" s="13"/>
      <c r="P76" s="12"/>
      <c r="Q76" s="14"/>
      <c r="R76" s="15"/>
    </row>
    <row r="77" spans="1:18" ht="15" customHeight="1" x14ac:dyDescent="0.3">
      <c r="A77" s="20" t="s">
        <v>61</v>
      </c>
      <c r="B77" s="20" t="s">
        <v>137</v>
      </c>
      <c r="C77" s="21">
        <v>0.25694444444444448</v>
      </c>
      <c r="D77" s="20" t="s">
        <v>65</v>
      </c>
      <c r="E77" s="20" t="s">
        <v>46</v>
      </c>
      <c r="F77" s="20" t="s">
        <v>66</v>
      </c>
      <c r="G77" s="175"/>
      <c r="H77" s="11"/>
      <c r="I77" s="12"/>
      <c r="J77" s="12"/>
      <c r="K77" s="12"/>
      <c r="L77" s="12"/>
      <c r="M77" s="12"/>
      <c r="N77" s="12"/>
      <c r="O77" s="13"/>
      <c r="P77" s="12"/>
      <c r="Q77" s="14"/>
      <c r="R77" s="15"/>
    </row>
    <row r="78" spans="1:18" ht="15" customHeight="1" x14ac:dyDescent="0.3">
      <c r="A78" s="20" t="s">
        <v>61</v>
      </c>
      <c r="B78" s="20" t="s">
        <v>137</v>
      </c>
      <c r="C78" s="21">
        <v>0.25694444444444448</v>
      </c>
      <c r="D78" s="20" t="s">
        <v>67</v>
      </c>
      <c r="E78" s="20" t="s">
        <v>46</v>
      </c>
      <c r="F78" s="20" t="s">
        <v>68</v>
      </c>
      <c r="G78" s="175"/>
      <c r="H78" s="11"/>
      <c r="I78" s="12"/>
      <c r="J78" s="12"/>
      <c r="K78" s="12"/>
      <c r="L78" s="12"/>
      <c r="M78" s="12"/>
      <c r="N78" s="12"/>
      <c r="O78" s="13"/>
      <c r="P78" s="12"/>
      <c r="Q78" s="14"/>
      <c r="R78" s="15"/>
    </row>
    <row r="79" spans="1:18" ht="15" customHeight="1" x14ac:dyDescent="0.3">
      <c r="A79" s="16" t="s">
        <v>61</v>
      </c>
      <c r="B79" s="16" t="s">
        <v>72</v>
      </c>
      <c r="C79" s="17">
        <v>0.39583333333333331</v>
      </c>
      <c r="D79" s="16" t="s">
        <v>63</v>
      </c>
      <c r="E79" s="16" t="s">
        <v>70</v>
      </c>
      <c r="F79" s="16" t="s">
        <v>64</v>
      </c>
      <c r="G79" s="175"/>
      <c r="H79" s="11"/>
      <c r="I79" s="12"/>
      <c r="J79" s="12"/>
      <c r="K79" s="12"/>
      <c r="L79" s="12"/>
      <c r="M79" s="12"/>
      <c r="N79" s="12"/>
      <c r="O79" s="13"/>
      <c r="P79" s="12"/>
      <c r="Q79" s="14"/>
      <c r="R79" s="15"/>
    </row>
    <row r="80" spans="1:18" ht="15" customHeight="1" x14ac:dyDescent="0.3">
      <c r="A80" s="20" t="s">
        <v>61</v>
      </c>
      <c r="B80" s="20" t="s">
        <v>72</v>
      </c>
      <c r="C80" s="21">
        <v>0.39583333333333331</v>
      </c>
      <c r="D80" s="20" t="s">
        <v>65</v>
      </c>
      <c r="E80" s="20" t="s">
        <v>71</v>
      </c>
      <c r="F80" s="20" t="s">
        <v>66</v>
      </c>
      <c r="G80" s="175"/>
      <c r="H80" s="11"/>
      <c r="I80" s="12"/>
      <c r="J80" s="12"/>
      <c r="K80" s="12"/>
      <c r="L80" s="12"/>
      <c r="M80" s="12"/>
      <c r="N80" s="12"/>
      <c r="O80" s="13"/>
      <c r="P80" s="12"/>
      <c r="Q80" s="14"/>
      <c r="R80" s="15"/>
    </row>
    <row r="81" spans="1:18" ht="15" customHeight="1" x14ac:dyDescent="0.3">
      <c r="A81" s="20" t="s">
        <v>61</v>
      </c>
      <c r="B81" s="20" t="s">
        <v>72</v>
      </c>
      <c r="C81" s="21">
        <v>0.39583333333333331</v>
      </c>
      <c r="D81" s="20" t="s">
        <v>67</v>
      </c>
      <c r="E81" s="20" t="s">
        <v>71</v>
      </c>
      <c r="F81" s="20" t="s">
        <v>68</v>
      </c>
      <c r="G81" s="175"/>
      <c r="H81" s="11"/>
      <c r="I81" s="12"/>
      <c r="J81" s="12"/>
      <c r="K81" s="12"/>
      <c r="L81" s="12"/>
      <c r="M81" s="12"/>
      <c r="N81" s="12"/>
      <c r="O81" s="13"/>
      <c r="P81" s="12"/>
      <c r="Q81" s="14"/>
      <c r="R81" s="15"/>
    </row>
    <row r="82" spans="1:18" ht="15" customHeight="1" x14ac:dyDescent="0.3">
      <c r="A82" s="16" t="s">
        <v>61</v>
      </c>
      <c r="B82" s="16" t="s">
        <v>79</v>
      </c>
      <c r="C82" s="17">
        <v>0.30208333333333331</v>
      </c>
      <c r="D82" s="16" t="s">
        <v>63</v>
      </c>
      <c r="E82" s="16" t="s">
        <v>39</v>
      </c>
      <c r="F82" s="16" t="s">
        <v>64</v>
      </c>
      <c r="G82" s="175"/>
      <c r="H82" s="11"/>
      <c r="I82" s="12"/>
      <c r="J82" s="12"/>
      <c r="K82" s="12"/>
      <c r="L82" s="12"/>
      <c r="M82" s="12"/>
      <c r="N82" s="12"/>
      <c r="O82" s="13"/>
      <c r="P82" s="12"/>
      <c r="Q82" s="14"/>
      <c r="R82" s="15"/>
    </row>
    <row r="83" spans="1:18" ht="15" customHeight="1" x14ac:dyDescent="0.3">
      <c r="A83" s="20" t="s">
        <v>61</v>
      </c>
      <c r="B83" s="20" t="s">
        <v>79</v>
      </c>
      <c r="C83" s="21">
        <v>0.30208333333333331</v>
      </c>
      <c r="D83" s="20" t="s">
        <v>65</v>
      </c>
      <c r="E83" s="20" t="s">
        <v>80</v>
      </c>
      <c r="F83" s="20" t="s">
        <v>66</v>
      </c>
      <c r="G83" s="175"/>
      <c r="H83" s="11"/>
      <c r="I83" s="12"/>
      <c r="J83" s="12"/>
      <c r="K83" s="12"/>
      <c r="L83" s="12"/>
      <c r="M83" s="12"/>
      <c r="N83" s="12"/>
      <c r="O83" s="13"/>
      <c r="P83" s="12"/>
      <c r="Q83" s="14"/>
      <c r="R83" s="15"/>
    </row>
    <row r="84" spans="1:18" ht="15" customHeight="1" x14ac:dyDescent="0.3">
      <c r="A84" s="20" t="s">
        <v>61</v>
      </c>
      <c r="B84" s="20" t="s">
        <v>79</v>
      </c>
      <c r="C84" s="21">
        <v>0.30208333333333331</v>
      </c>
      <c r="D84" s="20" t="s">
        <v>67</v>
      </c>
      <c r="E84" s="20" t="s">
        <v>80</v>
      </c>
      <c r="F84" s="20" t="s">
        <v>68</v>
      </c>
      <c r="G84" s="175"/>
      <c r="H84" s="11"/>
      <c r="I84" s="12"/>
      <c r="J84" s="12"/>
      <c r="K84" s="12"/>
      <c r="L84" s="12"/>
      <c r="M84" s="12"/>
      <c r="N84" s="12"/>
      <c r="O84" s="13"/>
      <c r="P84" s="12"/>
      <c r="Q84" s="14"/>
      <c r="R84" s="15"/>
    </row>
    <row r="85" spans="1:18" ht="15" customHeight="1" x14ac:dyDescent="0.3">
      <c r="A85" s="16" t="s">
        <v>61</v>
      </c>
      <c r="B85" s="16" t="s">
        <v>74</v>
      </c>
      <c r="C85" s="17">
        <v>0.90277777777777779</v>
      </c>
      <c r="D85" s="16" t="s">
        <v>63</v>
      </c>
      <c r="E85" s="16" t="s">
        <v>39</v>
      </c>
      <c r="F85" s="16" t="s">
        <v>75</v>
      </c>
      <c r="G85" s="175"/>
      <c r="H85" s="11"/>
      <c r="I85" s="12"/>
      <c r="J85" s="12"/>
      <c r="K85" s="12"/>
      <c r="L85" s="12"/>
      <c r="M85" s="12"/>
      <c r="N85" s="12"/>
      <c r="O85" s="13"/>
      <c r="P85" s="12"/>
      <c r="Q85" s="14"/>
      <c r="R85" s="15"/>
    </row>
    <row r="86" spans="1:18" ht="15" customHeight="1" x14ac:dyDescent="0.3">
      <c r="A86" s="20" t="s">
        <v>61</v>
      </c>
      <c r="B86" s="20" t="s">
        <v>74</v>
      </c>
      <c r="C86" s="21">
        <v>0.90277777777777779</v>
      </c>
      <c r="D86" s="20" t="s">
        <v>65</v>
      </c>
      <c r="E86" s="20" t="s">
        <v>80</v>
      </c>
      <c r="F86" s="20" t="s">
        <v>76</v>
      </c>
      <c r="G86" s="175"/>
      <c r="H86" s="11"/>
      <c r="I86" s="12"/>
      <c r="J86" s="12"/>
      <c r="K86" s="12"/>
      <c r="L86" s="12"/>
      <c r="M86" s="12"/>
      <c r="N86" s="12"/>
      <c r="O86" s="13"/>
      <c r="P86" s="12"/>
      <c r="Q86" s="14"/>
      <c r="R86" s="15"/>
    </row>
    <row r="87" spans="1:18" ht="15" customHeight="1" x14ac:dyDescent="0.3">
      <c r="A87" s="20" t="s">
        <v>61</v>
      </c>
      <c r="B87" s="20" t="s">
        <v>74</v>
      </c>
      <c r="C87" s="21">
        <v>0.90277777777777779</v>
      </c>
      <c r="D87" s="20" t="s">
        <v>67</v>
      </c>
      <c r="E87" s="20" t="s">
        <v>80</v>
      </c>
      <c r="F87" s="20" t="s">
        <v>77</v>
      </c>
      <c r="G87" s="175"/>
      <c r="H87" s="11"/>
      <c r="I87" s="12"/>
      <c r="J87" s="12"/>
      <c r="K87" s="12"/>
      <c r="L87" s="12"/>
      <c r="M87" s="12"/>
      <c r="N87" s="12"/>
      <c r="O87" s="13"/>
      <c r="P87" s="12"/>
      <c r="Q87" s="14"/>
      <c r="R87" s="15"/>
    </row>
    <row r="88" spans="1:18" ht="15" customHeight="1" x14ac:dyDescent="0.3">
      <c r="A88" s="16" t="s">
        <v>61</v>
      </c>
      <c r="B88" s="16" t="s">
        <v>62</v>
      </c>
      <c r="C88" s="17">
        <v>0.51736111111111105</v>
      </c>
      <c r="D88" s="16" t="s">
        <v>63</v>
      </c>
      <c r="E88" s="16" t="s">
        <v>90</v>
      </c>
      <c r="F88" s="16" t="s">
        <v>75</v>
      </c>
      <c r="G88" s="175"/>
      <c r="H88" s="11"/>
      <c r="I88" s="12"/>
      <c r="J88" s="12"/>
      <c r="K88" s="12"/>
      <c r="L88" s="12"/>
      <c r="M88" s="12"/>
      <c r="N88" s="12"/>
      <c r="O88" s="13"/>
      <c r="P88" s="12"/>
      <c r="Q88" s="14"/>
      <c r="R88" s="15"/>
    </row>
    <row r="89" spans="1:18" ht="15" customHeight="1" x14ac:dyDescent="0.3">
      <c r="A89" s="20" t="s">
        <v>61</v>
      </c>
      <c r="B89" s="20" t="s">
        <v>62</v>
      </c>
      <c r="C89" s="21">
        <v>0.51736111111111105</v>
      </c>
      <c r="D89" s="20" t="s">
        <v>65</v>
      </c>
      <c r="E89" s="20" t="s">
        <v>46</v>
      </c>
      <c r="F89" s="20" t="s">
        <v>76</v>
      </c>
      <c r="G89" s="175"/>
      <c r="H89" s="11"/>
      <c r="I89" s="12"/>
      <c r="J89" s="12"/>
      <c r="K89" s="12"/>
      <c r="L89" s="12"/>
      <c r="M89" s="12"/>
      <c r="N89" s="12"/>
      <c r="O89" s="13"/>
      <c r="P89" s="12"/>
      <c r="Q89" s="14"/>
      <c r="R89" s="15"/>
    </row>
    <row r="90" spans="1:18" ht="15" customHeight="1" x14ac:dyDescent="0.3">
      <c r="A90" s="20" t="s">
        <v>61</v>
      </c>
      <c r="B90" s="20" t="s">
        <v>62</v>
      </c>
      <c r="C90" s="21">
        <v>0.51736111111111105</v>
      </c>
      <c r="D90" s="20" t="s">
        <v>67</v>
      </c>
      <c r="E90" s="20" t="s">
        <v>46</v>
      </c>
      <c r="F90" s="20" t="s">
        <v>77</v>
      </c>
      <c r="G90" s="175"/>
      <c r="H90" s="11"/>
      <c r="I90" s="12"/>
      <c r="J90" s="12"/>
      <c r="K90" s="12"/>
      <c r="L90" s="12"/>
      <c r="M90" s="12"/>
      <c r="N90" s="12"/>
      <c r="O90" s="13"/>
      <c r="P90" s="12"/>
      <c r="Q90" s="14"/>
      <c r="R90" s="15"/>
    </row>
    <row r="91" spans="1:18" ht="15" customHeight="1" x14ac:dyDescent="0.3">
      <c r="A91" s="16" t="s">
        <v>61</v>
      </c>
      <c r="B91" s="16" t="s">
        <v>69</v>
      </c>
      <c r="C91" s="17">
        <v>0.85416666666666663</v>
      </c>
      <c r="D91" s="16" t="s">
        <v>63</v>
      </c>
      <c r="E91" s="16" t="s">
        <v>39</v>
      </c>
      <c r="F91" s="16" t="s">
        <v>75</v>
      </c>
      <c r="G91" s="175"/>
      <c r="H91" s="11"/>
      <c r="I91" s="12"/>
      <c r="J91" s="12"/>
      <c r="K91" s="12"/>
      <c r="L91" s="12"/>
      <c r="M91" s="12"/>
      <c r="N91" s="12"/>
      <c r="O91" s="13"/>
      <c r="P91" s="12"/>
      <c r="Q91" s="14"/>
      <c r="R91" s="15"/>
    </row>
    <row r="92" spans="1:18" ht="15" customHeight="1" x14ac:dyDescent="0.3">
      <c r="A92" s="20" t="s">
        <v>61</v>
      </c>
      <c r="B92" s="20" t="s">
        <v>69</v>
      </c>
      <c r="C92" s="21">
        <v>0.85416666666666663</v>
      </c>
      <c r="D92" s="20" t="s">
        <v>65</v>
      </c>
      <c r="E92" s="20" t="s">
        <v>80</v>
      </c>
      <c r="F92" s="20" t="s">
        <v>76</v>
      </c>
      <c r="G92" s="175"/>
      <c r="H92" s="11"/>
      <c r="I92" s="12"/>
      <c r="J92" s="12"/>
      <c r="K92" s="12"/>
      <c r="L92" s="12"/>
      <c r="M92" s="12"/>
      <c r="N92" s="12"/>
      <c r="O92" s="13"/>
      <c r="P92" s="12"/>
      <c r="Q92" s="14"/>
      <c r="R92" s="15"/>
    </row>
    <row r="93" spans="1:18" ht="15" customHeight="1" x14ac:dyDescent="0.3">
      <c r="A93" s="20" t="s">
        <v>61</v>
      </c>
      <c r="B93" s="20" t="s">
        <v>69</v>
      </c>
      <c r="C93" s="21">
        <v>0.85416666666666663</v>
      </c>
      <c r="D93" s="20" t="s">
        <v>67</v>
      </c>
      <c r="E93" s="20" t="s">
        <v>80</v>
      </c>
      <c r="F93" s="20" t="s">
        <v>77</v>
      </c>
      <c r="G93" s="175"/>
      <c r="H93" s="11"/>
      <c r="I93" s="12"/>
      <c r="J93" s="12"/>
      <c r="K93" s="12"/>
      <c r="L93" s="12"/>
      <c r="M93" s="12"/>
      <c r="N93" s="12"/>
      <c r="O93" s="13"/>
      <c r="P93" s="12"/>
      <c r="Q93" s="14"/>
      <c r="R93" s="15"/>
    </row>
    <row r="94" spans="1:18" ht="15" customHeight="1" x14ac:dyDescent="0.3">
      <c r="A94" s="16" t="s">
        <v>61</v>
      </c>
      <c r="B94" s="16" t="s">
        <v>73</v>
      </c>
      <c r="C94" s="17">
        <v>0.79861111111111116</v>
      </c>
      <c r="D94" s="16" t="s">
        <v>63</v>
      </c>
      <c r="E94" s="16" t="s">
        <v>39</v>
      </c>
      <c r="F94" s="16" t="s">
        <v>75</v>
      </c>
      <c r="G94" s="175"/>
      <c r="H94" s="11"/>
      <c r="I94" s="12"/>
      <c r="J94" s="12"/>
      <c r="K94" s="12"/>
      <c r="L94" s="12"/>
      <c r="M94" s="12"/>
      <c r="N94" s="12"/>
      <c r="O94" s="13"/>
      <c r="P94" s="12"/>
      <c r="Q94" s="14"/>
      <c r="R94" s="15"/>
    </row>
    <row r="95" spans="1:18" ht="15" customHeight="1" x14ac:dyDescent="0.3">
      <c r="A95" s="20" t="s">
        <v>61</v>
      </c>
      <c r="B95" s="20" t="s">
        <v>73</v>
      </c>
      <c r="C95" s="21">
        <v>0.79861111111111116</v>
      </c>
      <c r="D95" s="20" t="s">
        <v>65</v>
      </c>
      <c r="E95" s="20" t="s">
        <v>80</v>
      </c>
      <c r="F95" s="20" t="s">
        <v>76</v>
      </c>
      <c r="G95" s="175"/>
      <c r="H95" s="11"/>
      <c r="I95" s="12"/>
      <c r="J95" s="12"/>
      <c r="K95" s="12"/>
      <c r="L95" s="12"/>
      <c r="M95" s="12"/>
      <c r="N95" s="12"/>
      <c r="O95" s="13"/>
      <c r="P95" s="12"/>
      <c r="Q95" s="14"/>
      <c r="R95" s="15"/>
    </row>
    <row r="96" spans="1:18" ht="15" customHeight="1" x14ac:dyDescent="0.3">
      <c r="A96" s="20" t="s">
        <v>61</v>
      </c>
      <c r="B96" s="20" t="s">
        <v>73</v>
      </c>
      <c r="C96" s="21">
        <v>0.79861111111111116</v>
      </c>
      <c r="D96" s="20" t="s">
        <v>67</v>
      </c>
      <c r="E96" s="20" t="s">
        <v>80</v>
      </c>
      <c r="F96" s="20" t="s">
        <v>77</v>
      </c>
      <c r="G96" s="175"/>
      <c r="H96" s="11"/>
      <c r="I96" s="12"/>
      <c r="J96" s="12"/>
      <c r="K96" s="12"/>
      <c r="L96" s="12"/>
      <c r="M96" s="12"/>
      <c r="N96" s="12"/>
      <c r="O96" s="13"/>
      <c r="P96" s="12"/>
      <c r="Q96" s="14"/>
      <c r="R96" s="15"/>
    </row>
    <row r="97" spans="1:18" ht="15" customHeight="1" x14ac:dyDescent="0.3">
      <c r="A97" s="16" t="s">
        <v>61</v>
      </c>
      <c r="B97" s="16" t="s">
        <v>78</v>
      </c>
      <c r="C97" s="17">
        <v>0.65972222222222221</v>
      </c>
      <c r="D97" s="16" t="s">
        <v>63</v>
      </c>
      <c r="E97" s="16" t="s">
        <v>138</v>
      </c>
      <c r="F97" s="16" t="s">
        <v>139</v>
      </c>
      <c r="G97" s="175"/>
      <c r="H97" s="11"/>
      <c r="I97" s="12"/>
      <c r="J97" s="12"/>
      <c r="K97" s="12"/>
      <c r="L97" s="12"/>
      <c r="M97" s="12"/>
      <c r="N97" s="12"/>
      <c r="O97" s="13"/>
      <c r="P97" s="12"/>
      <c r="Q97" s="14"/>
      <c r="R97" s="15"/>
    </row>
    <row r="98" spans="1:18" ht="15" customHeight="1" x14ac:dyDescent="0.3">
      <c r="A98" s="20" t="s">
        <v>61</v>
      </c>
      <c r="B98" s="20" t="s">
        <v>78</v>
      </c>
      <c r="C98" s="21">
        <v>0.65972222222222221</v>
      </c>
      <c r="D98" s="20" t="s">
        <v>65</v>
      </c>
      <c r="E98" s="20" t="s">
        <v>140</v>
      </c>
      <c r="F98" s="20" t="s">
        <v>141</v>
      </c>
      <c r="G98" s="175"/>
      <c r="H98" s="11"/>
      <c r="I98" s="12"/>
      <c r="J98" s="12"/>
      <c r="K98" s="12"/>
      <c r="L98" s="12"/>
      <c r="M98" s="12"/>
      <c r="N98" s="12"/>
      <c r="O98" s="13"/>
      <c r="P98" s="12"/>
      <c r="Q98" s="14"/>
      <c r="R98" s="15"/>
    </row>
    <row r="99" spans="1:18" ht="15" customHeight="1" x14ac:dyDescent="0.3">
      <c r="A99" s="20" t="s">
        <v>61</v>
      </c>
      <c r="B99" s="20" t="s">
        <v>78</v>
      </c>
      <c r="C99" s="21">
        <v>0.65972222222222221</v>
      </c>
      <c r="D99" s="20" t="s">
        <v>67</v>
      </c>
      <c r="E99" s="20" t="s">
        <v>140</v>
      </c>
      <c r="F99" s="20" t="s">
        <v>142</v>
      </c>
      <c r="G99" s="175"/>
      <c r="H99" s="11"/>
      <c r="I99" s="12"/>
      <c r="J99" s="12"/>
      <c r="K99" s="12"/>
      <c r="L99" s="12"/>
      <c r="M99" s="12"/>
      <c r="N99" s="12"/>
      <c r="O99" s="13"/>
      <c r="P99" s="12"/>
      <c r="Q99" s="14"/>
      <c r="R99" s="15"/>
    </row>
    <row r="100" spans="1:18" ht="15" customHeight="1" x14ac:dyDescent="0.3">
      <c r="A100" s="18" t="s">
        <v>26</v>
      </c>
      <c r="B100" s="18" t="s">
        <v>31</v>
      </c>
      <c r="C100" s="19">
        <v>0.59375</v>
      </c>
      <c r="D100" s="18" t="s">
        <v>28</v>
      </c>
      <c r="E100" s="18" t="s">
        <v>134</v>
      </c>
      <c r="F100" s="18" t="s">
        <v>143</v>
      </c>
      <c r="G100" s="175"/>
      <c r="H100" s="11"/>
      <c r="I100" s="12"/>
      <c r="J100" s="12"/>
      <c r="K100" s="12"/>
      <c r="L100" s="12"/>
      <c r="M100" s="12"/>
      <c r="N100" s="12"/>
      <c r="O100" s="13"/>
      <c r="P100" s="12"/>
      <c r="Q100" s="14"/>
      <c r="R100" s="15"/>
    </row>
    <row r="101" spans="1:18" ht="15" customHeight="1" x14ac:dyDescent="0.3">
      <c r="A101" s="16" t="s">
        <v>26</v>
      </c>
      <c r="B101" s="16" t="s">
        <v>27</v>
      </c>
      <c r="C101" s="17">
        <v>0.29166666666666669</v>
      </c>
      <c r="D101" s="16" t="s">
        <v>28</v>
      </c>
      <c r="E101" s="16" t="s">
        <v>90</v>
      </c>
      <c r="F101" s="16" t="s">
        <v>33</v>
      </c>
      <c r="G101" s="175"/>
      <c r="H101" s="11"/>
      <c r="I101" s="12"/>
      <c r="J101" s="12"/>
      <c r="K101" s="12"/>
      <c r="L101" s="12"/>
      <c r="M101" s="12"/>
      <c r="N101" s="12"/>
      <c r="O101" s="13"/>
      <c r="P101" s="12"/>
      <c r="Q101" s="14"/>
      <c r="R101" s="15"/>
    </row>
    <row r="102" spans="1:18" ht="15" customHeight="1" x14ac:dyDescent="0.3">
      <c r="A102" s="16" t="s">
        <v>26</v>
      </c>
      <c r="B102" s="16" t="s">
        <v>144</v>
      </c>
      <c r="C102" s="17">
        <v>0.85069444444444453</v>
      </c>
      <c r="D102" s="16" t="s">
        <v>28</v>
      </c>
      <c r="E102" s="16" t="s">
        <v>32</v>
      </c>
      <c r="F102" s="16" t="s">
        <v>145</v>
      </c>
      <c r="G102" s="175"/>
      <c r="H102" s="11"/>
      <c r="I102" s="12"/>
      <c r="J102" s="12"/>
      <c r="K102" s="12"/>
      <c r="L102" s="12"/>
      <c r="M102" s="12"/>
      <c r="N102" s="12"/>
      <c r="O102" s="13"/>
      <c r="P102" s="12"/>
      <c r="Q102" s="14"/>
      <c r="R102" s="15"/>
    </row>
    <row r="103" spans="1:18" ht="15" customHeight="1" x14ac:dyDescent="0.3">
      <c r="A103" s="22" t="s">
        <v>81</v>
      </c>
      <c r="B103" s="22" t="s">
        <v>146</v>
      </c>
      <c r="C103" s="23">
        <v>4.8611111111111112E-2</v>
      </c>
      <c r="D103" s="22" t="s">
        <v>83</v>
      </c>
      <c r="E103" s="22" t="s">
        <v>134</v>
      </c>
      <c r="F103" s="22" t="s">
        <v>147</v>
      </c>
      <c r="G103" s="175"/>
      <c r="H103" s="24" t="s">
        <v>148</v>
      </c>
      <c r="I103" s="64">
        <v>0.75980000000000003</v>
      </c>
      <c r="J103" s="26">
        <v>136</v>
      </c>
      <c r="K103" s="27">
        <v>45979</v>
      </c>
      <c r="L103" s="26">
        <v>35</v>
      </c>
      <c r="M103" s="26">
        <v>0</v>
      </c>
      <c r="N103" s="26">
        <v>9</v>
      </c>
      <c r="O103" s="28" t="s">
        <v>149</v>
      </c>
      <c r="P103" s="29">
        <v>4.8611111111111112E-2</v>
      </c>
      <c r="Q103" s="26">
        <v>179</v>
      </c>
      <c r="R103" s="30" t="s">
        <v>150</v>
      </c>
    </row>
    <row r="104" spans="1:18" ht="15" customHeight="1" x14ac:dyDescent="0.3">
      <c r="A104" s="31" t="s">
        <v>81</v>
      </c>
      <c r="B104" s="31" t="s">
        <v>151</v>
      </c>
      <c r="C104" s="32">
        <v>0.25347222222222221</v>
      </c>
      <c r="D104" s="31" t="s">
        <v>83</v>
      </c>
      <c r="E104" s="31" t="s">
        <v>70</v>
      </c>
      <c r="F104" s="31" t="s">
        <v>147</v>
      </c>
      <c r="G104" s="175"/>
      <c r="H104" s="33" t="s">
        <v>152</v>
      </c>
      <c r="I104" s="34">
        <v>0.87709999999999999</v>
      </c>
      <c r="J104" s="35">
        <v>157</v>
      </c>
      <c r="K104" s="36">
        <v>45979</v>
      </c>
      <c r="L104" s="35">
        <v>13</v>
      </c>
      <c r="M104" s="35">
        <v>0</v>
      </c>
      <c r="N104" s="35">
        <v>7</v>
      </c>
      <c r="O104" s="37" t="s">
        <v>149</v>
      </c>
      <c r="P104" s="38">
        <v>0.25347222222222221</v>
      </c>
      <c r="Q104" s="35">
        <v>179</v>
      </c>
      <c r="R104" s="39" t="s">
        <v>153</v>
      </c>
    </row>
    <row r="105" spans="1:18" ht="15" customHeight="1" x14ac:dyDescent="0.3">
      <c r="A105" s="65" t="s">
        <v>81</v>
      </c>
      <c r="B105" s="65" t="s">
        <v>89</v>
      </c>
      <c r="C105" s="66">
        <v>0.33333333333333331</v>
      </c>
      <c r="D105" s="65" t="s">
        <v>83</v>
      </c>
      <c r="E105" s="65" t="s">
        <v>70</v>
      </c>
      <c r="F105" s="65" t="s">
        <v>147</v>
      </c>
      <c r="G105" s="175"/>
      <c r="H105" s="67" t="s">
        <v>91</v>
      </c>
      <c r="I105" s="68">
        <v>0.83799999999999997</v>
      </c>
      <c r="J105" s="69">
        <v>150</v>
      </c>
      <c r="K105" s="70">
        <v>45980</v>
      </c>
      <c r="L105" s="69">
        <v>19</v>
      </c>
      <c r="M105" s="69">
        <v>1</v>
      </c>
      <c r="N105" s="69">
        <v>10</v>
      </c>
      <c r="O105" s="71" t="s">
        <v>149</v>
      </c>
      <c r="P105" s="72">
        <v>0.33333333333333331</v>
      </c>
      <c r="Q105" s="69">
        <v>179</v>
      </c>
      <c r="R105" s="73" t="s">
        <v>154</v>
      </c>
    </row>
    <row r="106" spans="1:18" ht="15" customHeight="1" x14ac:dyDescent="0.3">
      <c r="A106" s="40" t="s">
        <v>81</v>
      </c>
      <c r="B106" s="40" t="s">
        <v>155</v>
      </c>
      <c r="C106" s="41">
        <v>0.36458333333333331</v>
      </c>
      <c r="D106" s="40" t="s">
        <v>83</v>
      </c>
      <c r="E106" s="40" t="s">
        <v>39</v>
      </c>
      <c r="F106" s="40" t="s">
        <v>85</v>
      </c>
      <c r="G106" s="175"/>
      <c r="H106" s="42" t="s">
        <v>156</v>
      </c>
      <c r="I106" s="74">
        <v>0.56979999999999997</v>
      </c>
      <c r="J106" s="44">
        <v>102</v>
      </c>
      <c r="K106" s="45">
        <v>45978</v>
      </c>
      <c r="L106" s="44">
        <v>16</v>
      </c>
      <c r="M106" s="44">
        <v>0</v>
      </c>
      <c r="N106" s="44">
        <v>0</v>
      </c>
      <c r="O106" s="46" t="s">
        <v>157</v>
      </c>
      <c r="P106" s="47">
        <v>0.36458333333333331</v>
      </c>
      <c r="Q106" s="44">
        <v>179</v>
      </c>
      <c r="R106" s="48" t="s">
        <v>158</v>
      </c>
    </row>
    <row r="107" spans="1:18" ht="15" customHeight="1" x14ac:dyDescent="0.3">
      <c r="A107" s="75" t="s">
        <v>81</v>
      </c>
      <c r="B107" s="75" t="s">
        <v>159</v>
      </c>
      <c r="C107" s="76">
        <v>0.1145833333333333</v>
      </c>
      <c r="D107" s="75" t="s">
        <v>83</v>
      </c>
      <c r="E107" s="75" t="s">
        <v>90</v>
      </c>
      <c r="F107" s="75" t="s">
        <v>85</v>
      </c>
      <c r="G107" s="175"/>
      <c r="H107" s="77" t="s">
        <v>160</v>
      </c>
      <c r="I107" s="78">
        <v>0.96650000000000003</v>
      </c>
      <c r="J107" s="79">
        <v>173</v>
      </c>
      <c r="K107" s="80">
        <v>45979</v>
      </c>
      <c r="L107" s="79">
        <v>15</v>
      </c>
      <c r="M107" s="79">
        <v>0</v>
      </c>
      <c r="N107" s="79">
        <v>4</v>
      </c>
      <c r="O107" s="81" t="s">
        <v>92</v>
      </c>
      <c r="P107" s="82">
        <v>0.1145833333333333</v>
      </c>
      <c r="Q107" s="79">
        <v>179</v>
      </c>
      <c r="R107" s="83" t="s">
        <v>161</v>
      </c>
    </row>
    <row r="108" spans="1:18" ht="15" customHeight="1" x14ac:dyDescent="0.3">
      <c r="A108" s="84" t="s">
        <v>81</v>
      </c>
      <c r="B108" s="84" t="s">
        <v>94</v>
      </c>
      <c r="C108" s="85">
        <v>0.58333333333333337</v>
      </c>
      <c r="D108" s="84" t="s">
        <v>83</v>
      </c>
      <c r="E108" s="84" t="s">
        <v>39</v>
      </c>
      <c r="F108" s="84" t="s">
        <v>162</v>
      </c>
      <c r="G108" s="175"/>
      <c r="H108" s="86" t="s">
        <v>97</v>
      </c>
      <c r="I108" s="87">
        <v>0.96089999999999998</v>
      </c>
      <c r="J108" s="88">
        <v>172</v>
      </c>
      <c r="K108" s="89">
        <v>45977</v>
      </c>
      <c r="L108" s="88">
        <v>9</v>
      </c>
      <c r="M108" s="88">
        <v>0</v>
      </c>
      <c r="N108" s="88">
        <v>0</v>
      </c>
      <c r="O108" s="90" t="s">
        <v>163</v>
      </c>
      <c r="P108" s="91">
        <v>0.58333333333333337</v>
      </c>
      <c r="Q108" s="88">
        <v>179</v>
      </c>
      <c r="R108" s="92" t="s">
        <v>164</v>
      </c>
    </row>
    <row r="109" spans="1:18" ht="15" customHeight="1" x14ac:dyDescent="0.3">
      <c r="A109" s="65" t="s">
        <v>81</v>
      </c>
      <c r="B109" s="65" t="s">
        <v>165</v>
      </c>
      <c r="C109" s="66">
        <v>0.73958333333333337</v>
      </c>
      <c r="D109" s="65" t="s">
        <v>83</v>
      </c>
      <c r="E109" s="65" t="s">
        <v>90</v>
      </c>
      <c r="F109" s="65" t="s">
        <v>166</v>
      </c>
      <c r="G109" s="175"/>
      <c r="H109" s="67" t="s">
        <v>167</v>
      </c>
      <c r="I109" s="93">
        <v>0.96650000000000003</v>
      </c>
      <c r="J109" s="69">
        <v>173</v>
      </c>
      <c r="K109" s="70">
        <v>45978</v>
      </c>
      <c r="L109" s="69">
        <v>3</v>
      </c>
      <c r="M109" s="69">
        <v>0</v>
      </c>
      <c r="N109" s="69">
        <v>0</v>
      </c>
      <c r="O109" s="71" t="s">
        <v>168</v>
      </c>
      <c r="P109" s="72">
        <v>0.73958333333333337</v>
      </c>
      <c r="Q109" s="69">
        <v>179</v>
      </c>
      <c r="R109" s="73" t="s">
        <v>169</v>
      </c>
    </row>
    <row r="110" spans="1:18" ht="15" customHeight="1" x14ac:dyDescent="0.3">
      <c r="A110" s="18" t="s">
        <v>100</v>
      </c>
      <c r="B110" s="18" t="s">
        <v>101</v>
      </c>
      <c r="C110" s="19">
        <v>0.3298611111111111</v>
      </c>
      <c r="D110" s="18" t="s">
        <v>102</v>
      </c>
      <c r="E110" s="18" t="s">
        <v>170</v>
      </c>
      <c r="F110" s="18" t="s">
        <v>171</v>
      </c>
      <c r="G110" s="175"/>
      <c r="H110" s="11"/>
      <c r="I110" s="12"/>
      <c r="J110" s="12"/>
      <c r="K110" s="12"/>
      <c r="L110" s="12"/>
      <c r="M110" s="12"/>
      <c r="N110" s="12"/>
      <c r="O110" s="13"/>
      <c r="P110" s="12"/>
      <c r="Q110" s="14"/>
      <c r="R110" s="15"/>
    </row>
    <row r="111" spans="1:18" ht="15" customHeight="1" x14ac:dyDescent="0.3">
      <c r="A111" s="20" t="s">
        <v>100</v>
      </c>
      <c r="B111" s="20" t="s">
        <v>101</v>
      </c>
      <c r="C111" s="21">
        <v>0.3298611111111111</v>
      </c>
      <c r="D111" s="20" t="s">
        <v>48</v>
      </c>
      <c r="E111" s="20" t="s">
        <v>59</v>
      </c>
      <c r="F111" s="20" t="s">
        <v>172</v>
      </c>
      <c r="G111" s="175"/>
      <c r="H111" s="11"/>
      <c r="I111" s="12"/>
      <c r="J111" s="12"/>
      <c r="K111" s="12"/>
      <c r="L111" s="12"/>
      <c r="M111" s="12"/>
      <c r="N111" s="12"/>
      <c r="O111" s="13"/>
      <c r="P111" s="12"/>
      <c r="Q111" s="14"/>
      <c r="R111" s="15"/>
    </row>
    <row r="112" spans="1:18" ht="15" customHeight="1" x14ac:dyDescent="0.3">
      <c r="A112" s="18" t="s">
        <v>34</v>
      </c>
      <c r="B112" s="18" t="s">
        <v>35</v>
      </c>
      <c r="C112" s="19">
        <v>0.66666666666666663</v>
      </c>
      <c r="D112" s="18" t="s">
        <v>28</v>
      </c>
      <c r="E112" s="18" t="s">
        <v>36</v>
      </c>
      <c r="F112" s="18" t="s">
        <v>58</v>
      </c>
      <c r="G112" s="175"/>
      <c r="H112" s="11"/>
      <c r="I112" s="12"/>
      <c r="J112" s="12"/>
      <c r="K112" s="12"/>
      <c r="L112" s="12"/>
      <c r="M112" s="12"/>
      <c r="N112" s="12"/>
      <c r="O112" s="13"/>
      <c r="P112" s="12"/>
      <c r="Q112" s="14"/>
      <c r="R112" s="15"/>
    </row>
    <row r="113" spans="1:18" ht="15" customHeight="1" x14ac:dyDescent="0.3">
      <c r="A113" s="18" t="s">
        <v>115</v>
      </c>
      <c r="B113" s="18" t="s">
        <v>173</v>
      </c>
      <c r="C113" s="19">
        <v>0.24305555555555561</v>
      </c>
      <c r="D113" s="18" t="s">
        <v>117</v>
      </c>
      <c r="E113" s="18" t="s">
        <v>36</v>
      </c>
      <c r="F113" s="18" t="s">
        <v>118</v>
      </c>
      <c r="G113" s="175"/>
      <c r="H113" s="11"/>
      <c r="I113" s="12"/>
      <c r="J113" s="12"/>
      <c r="K113" s="12"/>
      <c r="L113" s="12"/>
      <c r="M113" s="12"/>
      <c r="N113" s="12"/>
      <c r="O113" s="13"/>
      <c r="P113" s="12"/>
      <c r="Q113" s="14"/>
      <c r="R113" s="15"/>
    </row>
    <row r="114" spans="1:18" ht="15" customHeight="1" x14ac:dyDescent="0.3">
      <c r="A114" s="20" t="s">
        <v>115</v>
      </c>
      <c r="B114" s="20" t="s">
        <v>173</v>
      </c>
      <c r="C114" s="21">
        <v>0.24305555555555561</v>
      </c>
      <c r="D114" s="20" t="s">
        <v>119</v>
      </c>
      <c r="E114" s="20" t="s">
        <v>120</v>
      </c>
      <c r="F114" s="20" t="s">
        <v>121</v>
      </c>
      <c r="G114" s="175"/>
      <c r="H114" s="11"/>
      <c r="I114" s="12"/>
      <c r="J114" s="12"/>
      <c r="K114" s="12"/>
      <c r="L114" s="12"/>
      <c r="M114" s="12"/>
      <c r="N114" s="12"/>
      <c r="O114" s="13"/>
      <c r="P114" s="12"/>
      <c r="Q114" s="14"/>
      <c r="R114" s="15"/>
    </row>
    <row r="115" spans="1:18" ht="15" customHeight="1" x14ac:dyDescent="0.3">
      <c r="A115" s="16" t="s">
        <v>115</v>
      </c>
      <c r="B115" s="16" t="s">
        <v>174</v>
      </c>
      <c r="C115" s="17">
        <v>0.1423611111111111</v>
      </c>
      <c r="D115" s="16" t="s">
        <v>117</v>
      </c>
      <c r="E115" s="16" t="s">
        <v>109</v>
      </c>
      <c r="F115" s="16" t="s">
        <v>118</v>
      </c>
      <c r="G115" s="175"/>
      <c r="H115" s="11"/>
      <c r="I115" s="12"/>
      <c r="J115" s="12"/>
      <c r="K115" s="12"/>
      <c r="L115" s="12"/>
      <c r="M115" s="12"/>
      <c r="N115" s="12"/>
      <c r="O115" s="13"/>
      <c r="P115" s="12"/>
      <c r="Q115" s="14"/>
      <c r="R115" s="15"/>
    </row>
    <row r="116" spans="1:18" ht="15" customHeight="1" x14ac:dyDescent="0.3">
      <c r="A116" s="20" t="s">
        <v>115</v>
      </c>
      <c r="B116" s="20" t="s">
        <v>174</v>
      </c>
      <c r="C116" s="21">
        <v>0.1423611111111111</v>
      </c>
      <c r="D116" s="20" t="s">
        <v>119</v>
      </c>
      <c r="E116" s="20" t="s">
        <v>120</v>
      </c>
      <c r="F116" s="20" t="s">
        <v>121</v>
      </c>
      <c r="G116" s="175"/>
      <c r="H116" s="11"/>
      <c r="I116" s="12"/>
      <c r="J116" s="12"/>
      <c r="K116" s="12"/>
      <c r="L116" s="12"/>
      <c r="M116" s="12"/>
      <c r="N116" s="12"/>
      <c r="O116" s="13"/>
      <c r="P116" s="12"/>
      <c r="Q116" s="14"/>
      <c r="R116" s="15"/>
    </row>
    <row r="117" spans="1:18" ht="15" customHeight="1" x14ac:dyDescent="0.3">
      <c r="A117" s="16" t="s">
        <v>115</v>
      </c>
      <c r="B117" s="16" t="s">
        <v>175</v>
      </c>
      <c r="C117" s="17">
        <v>6.9444444444444441E-3</v>
      </c>
      <c r="D117" s="16" t="s">
        <v>117</v>
      </c>
      <c r="E117" s="16" t="s">
        <v>109</v>
      </c>
      <c r="F117" s="16" t="s">
        <v>127</v>
      </c>
      <c r="G117" s="175"/>
      <c r="H117" s="11"/>
      <c r="I117" s="12"/>
      <c r="J117" s="12"/>
      <c r="K117" s="12"/>
      <c r="L117" s="12"/>
      <c r="M117" s="12"/>
      <c r="N117" s="12"/>
      <c r="O117" s="13"/>
      <c r="P117" s="12"/>
      <c r="Q117" s="14"/>
      <c r="R117" s="15"/>
    </row>
    <row r="118" spans="1:18" ht="15" customHeight="1" x14ac:dyDescent="0.3">
      <c r="A118" s="20" t="s">
        <v>115</v>
      </c>
      <c r="B118" s="20" t="s">
        <v>175</v>
      </c>
      <c r="C118" s="21">
        <v>6.9444444444444441E-3</v>
      </c>
      <c r="D118" s="20" t="s">
        <v>119</v>
      </c>
      <c r="E118" s="20" t="s">
        <v>120</v>
      </c>
      <c r="F118" s="20" t="s">
        <v>128</v>
      </c>
      <c r="G118" s="175"/>
      <c r="H118" s="11"/>
      <c r="I118" s="12"/>
      <c r="J118" s="12"/>
      <c r="K118" s="12"/>
      <c r="L118" s="12"/>
      <c r="M118" s="12"/>
      <c r="N118" s="12"/>
      <c r="O118" s="13"/>
      <c r="P118" s="12"/>
      <c r="Q118" s="14"/>
      <c r="R118" s="15"/>
    </row>
    <row r="119" spans="1:18" ht="15" customHeight="1" x14ac:dyDescent="0.3">
      <c r="A119" s="16" t="s">
        <v>115</v>
      </c>
      <c r="B119" s="16" t="s">
        <v>116</v>
      </c>
      <c r="C119" s="17">
        <v>0.37847222222222232</v>
      </c>
      <c r="D119" s="16" t="s">
        <v>117</v>
      </c>
      <c r="E119" s="16" t="s">
        <v>109</v>
      </c>
      <c r="F119" s="16" t="s">
        <v>176</v>
      </c>
      <c r="G119" s="175"/>
      <c r="H119" s="11"/>
      <c r="I119" s="12"/>
      <c r="J119" s="12"/>
      <c r="K119" s="12"/>
      <c r="L119" s="12"/>
      <c r="M119" s="12"/>
      <c r="N119" s="12"/>
      <c r="O119" s="13"/>
      <c r="P119" s="12"/>
      <c r="Q119" s="14"/>
      <c r="R119" s="15"/>
    </row>
    <row r="120" spans="1:18" ht="15" customHeight="1" x14ac:dyDescent="0.3">
      <c r="A120" s="20" t="s">
        <v>115</v>
      </c>
      <c r="B120" s="20" t="s">
        <v>116</v>
      </c>
      <c r="C120" s="21">
        <v>0.37847222222222232</v>
      </c>
      <c r="D120" s="20" t="s">
        <v>119</v>
      </c>
      <c r="E120" s="20" t="s">
        <v>120</v>
      </c>
      <c r="F120" s="20" t="s">
        <v>177</v>
      </c>
      <c r="G120" s="175"/>
      <c r="H120" s="11"/>
      <c r="I120" s="12"/>
      <c r="J120" s="12"/>
      <c r="K120" s="12"/>
      <c r="L120" s="12"/>
      <c r="M120" s="12"/>
      <c r="N120" s="12"/>
      <c r="O120" s="13"/>
      <c r="P120" s="12"/>
      <c r="Q120" s="14"/>
      <c r="R120" s="15"/>
    </row>
    <row r="121" spans="1:18" ht="15" customHeight="1" x14ac:dyDescent="0.3">
      <c r="A121" s="16" t="s">
        <v>115</v>
      </c>
      <c r="B121" s="16" t="s">
        <v>122</v>
      </c>
      <c r="C121" s="17">
        <v>0.93055555555555547</v>
      </c>
      <c r="D121" s="16" t="s">
        <v>117</v>
      </c>
      <c r="E121" s="16" t="s">
        <v>109</v>
      </c>
      <c r="F121" s="16" t="s">
        <v>176</v>
      </c>
      <c r="G121" s="175"/>
      <c r="H121" s="11"/>
      <c r="I121" s="12"/>
      <c r="J121" s="12"/>
      <c r="K121" s="12"/>
      <c r="L121" s="12"/>
      <c r="M121" s="12"/>
      <c r="N121" s="12"/>
      <c r="O121" s="13"/>
      <c r="P121" s="12"/>
      <c r="Q121" s="14"/>
      <c r="R121" s="15"/>
    </row>
    <row r="122" spans="1:18" ht="15" customHeight="1" x14ac:dyDescent="0.3">
      <c r="A122" s="20" t="s">
        <v>115</v>
      </c>
      <c r="B122" s="20" t="s">
        <v>122</v>
      </c>
      <c r="C122" s="21">
        <v>0.93055555555555547</v>
      </c>
      <c r="D122" s="20" t="s">
        <v>119</v>
      </c>
      <c r="E122" s="20" t="s">
        <v>120</v>
      </c>
      <c r="F122" s="20" t="s">
        <v>177</v>
      </c>
      <c r="G122" s="175"/>
      <c r="H122" s="11"/>
      <c r="I122" s="12"/>
      <c r="J122" s="12"/>
      <c r="K122" s="12"/>
      <c r="L122" s="12"/>
      <c r="M122" s="12"/>
      <c r="N122" s="12"/>
      <c r="O122" s="13"/>
      <c r="P122" s="12"/>
      <c r="Q122" s="14"/>
      <c r="R122" s="15"/>
    </row>
    <row r="123" spans="1:18" ht="15" customHeight="1" x14ac:dyDescent="0.3">
      <c r="A123" s="16" t="s">
        <v>115</v>
      </c>
      <c r="B123" s="16" t="s">
        <v>130</v>
      </c>
      <c r="C123" s="17">
        <v>0.88888888888888884</v>
      </c>
      <c r="D123" s="16" t="s">
        <v>119</v>
      </c>
      <c r="E123" s="16" t="s">
        <v>95</v>
      </c>
      <c r="F123" s="16" t="s">
        <v>131</v>
      </c>
      <c r="G123" s="175"/>
      <c r="H123" s="11"/>
      <c r="I123" s="12"/>
      <c r="J123" s="12"/>
      <c r="K123" s="12"/>
      <c r="L123" s="12"/>
      <c r="M123" s="12"/>
      <c r="N123" s="12"/>
      <c r="O123" s="13"/>
      <c r="P123" s="12"/>
      <c r="Q123" s="14"/>
      <c r="R123" s="15"/>
    </row>
    <row r="124" spans="1:18" ht="15" customHeight="1" x14ac:dyDescent="0.3">
      <c r="A124" s="16" t="s">
        <v>115</v>
      </c>
      <c r="B124" s="16" t="s">
        <v>178</v>
      </c>
      <c r="C124" s="17">
        <v>0.30208333333333331</v>
      </c>
      <c r="D124" s="16" t="s">
        <v>119</v>
      </c>
      <c r="E124" s="16" t="s">
        <v>95</v>
      </c>
      <c r="F124" s="16" t="s">
        <v>131</v>
      </c>
      <c r="G124" s="175"/>
      <c r="H124" s="11"/>
      <c r="I124" s="12"/>
      <c r="J124" s="12"/>
      <c r="K124" s="12"/>
      <c r="L124" s="12"/>
      <c r="M124" s="12"/>
      <c r="N124" s="12"/>
      <c r="O124" s="13"/>
      <c r="P124" s="12"/>
      <c r="Q124" s="14"/>
      <c r="R124" s="15"/>
    </row>
    <row r="125" spans="1:18" ht="15" customHeight="1" x14ac:dyDescent="0.3">
      <c r="A125" s="16" t="s">
        <v>115</v>
      </c>
      <c r="B125" s="16" t="s">
        <v>179</v>
      </c>
      <c r="C125" s="17">
        <v>0.12847222222222221</v>
      </c>
      <c r="D125" s="16" t="s">
        <v>119</v>
      </c>
      <c r="E125" s="16" t="s">
        <v>95</v>
      </c>
      <c r="F125" s="16" t="s">
        <v>131</v>
      </c>
      <c r="G125" s="175"/>
      <c r="H125" s="11"/>
      <c r="I125" s="12"/>
      <c r="J125" s="12"/>
      <c r="K125" s="12"/>
      <c r="L125" s="12"/>
      <c r="M125" s="12"/>
      <c r="N125" s="12"/>
      <c r="O125" s="13"/>
      <c r="P125" s="12"/>
      <c r="Q125" s="14"/>
      <c r="R125" s="15"/>
    </row>
    <row r="126" spans="1:18" ht="15" customHeight="1" x14ac:dyDescent="0.3">
      <c r="A126" s="16" t="s">
        <v>115</v>
      </c>
      <c r="B126" s="16" t="s">
        <v>132</v>
      </c>
      <c r="C126" s="17">
        <v>0.78819444444444453</v>
      </c>
      <c r="D126" s="16" t="s">
        <v>119</v>
      </c>
      <c r="E126" s="16" t="s">
        <v>95</v>
      </c>
      <c r="F126" s="16" t="s">
        <v>131</v>
      </c>
      <c r="G126" s="175"/>
      <c r="H126" s="11"/>
      <c r="I126" s="12"/>
      <c r="J126" s="12"/>
      <c r="K126" s="12"/>
      <c r="L126" s="12"/>
      <c r="M126" s="12"/>
      <c r="N126" s="12"/>
      <c r="O126" s="13"/>
      <c r="P126" s="12"/>
      <c r="Q126" s="14"/>
      <c r="R126" s="15"/>
    </row>
    <row r="127" spans="1:18" ht="15" customHeight="1" x14ac:dyDescent="0.3">
      <c r="A127" s="16" t="s">
        <v>115</v>
      </c>
      <c r="B127" s="16" t="s">
        <v>129</v>
      </c>
      <c r="C127" s="17">
        <v>0.61111111111111105</v>
      </c>
      <c r="D127" s="16" t="s">
        <v>117</v>
      </c>
      <c r="E127" s="16" t="s">
        <v>70</v>
      </c>
      <c r="F127" s="16" t="s">
        <v>180</v>
      </c>
      <c r="G127" s="175"/>
      <c r="H127" s="11"/>
      <c r="I127" s="12"/>
      <c r="J127" s="12"/>
      <c r="K127" s="12"/>
      <c r="L127" s="12"/>
      <c r="M127" s="12"/>
      <c r="N127" s="12"/>
      <c r="O127" s="13"/>
      <c r="P127" s="12"/>
      <c r="Q127" s="14"/>
      <c r="R127" s="15"/>
    </row>
    <row r="128" spans="1:18" ht="15" customHeight="1" x14ac:dyDescent="0.3">
      <c r="A128" s="20" t="s">
        <v>115</v>
      </c>
      <c r="B128" s="20" t="s">
        <v>129</v>
      </c>
      <c r="C128" s="21">
        <v>0.61111111111111105</v>
      </c>
      <c r="D128" s="20" t="s">
        <v>119</v>
      </c>
      <c r="E128" s="20" t="s">
        <v>71</v>
      </c>
      <c r="F128" s="20" t="s">
        <v>181</v>
      </c>
      <c r="G128" s="175"/>
      <c r="H128" s="11"/>
      <c r="I128" s="12"/>
      <c r="J128" s="12"/>
      <c r="K128" s="12"/>
      <c r="L128" s="12"/>
      <c r="M128" s="12"/>
      <c r="N128" s="12"/>
      <c r="O128" s="13"/>
      <c r="P128" s="12"/>
      <c r="Q128" s="14"/>
      <c r="R128" s="15"/>
    </row>
    <row r="129" spans="1:18" ht="15" customHeight="1" x14ac:dyDescent="0.3">
      <c r="A129" s="16" t="s">
        <v>115</v>
      </c>
      <c r="B129" s="16" t="s">
        <v>125</v>
      </c>
      <c r="C129" s="17">
        <v>0.82986111111111116</v>
      </c>
      <c r="D129" s="16" t="s">
        <v>117</v>
      </c>
      <c r="E129" s="16" t="s">
        <v>90</v>
      </c>
      <c r="F129" s="16" t="s">
        <v>182</v>
      </c>
      <c r="G129" s="175"/>
      <c r="H129" s="11"/>
      <c r="I129" s="12"/>
      <c r="J129" s="12"/>
      <c r="K129" s="12"/>
      <c r="L129" s="12"/>
      <c r="M129" s="12"/>
      <c r="N129" s="12"/>
      <c r="O129" s="13"/>
      <c r="P129" s="12"/>
      <c r="Q129" s="14"/>
      <c r="R129" s="15"/>
    </row>
    <row r="130" spans="1:18" ht="15" customHeight="1" x14ac:dyDescent="0.3">
      <c r="A130" s="20" t="s">
        <v>115</v>
      </c>
      <c r="B130" s="20" t="s">
        <v>125</v>
      </c>
      <c r="C130" s="21">
        <v>0.82986111111111116</v>
      </c>
      <c r="D130" s="20" t="s">
        <v>119</v>
      </c>
      <c r="E130" s="20" t="s">
        <v>46</v>
      </c>
      <c r="F130" s="20" t="s">
        <v>183</v>
      </c>
      <c r="G130" s="175"/>
      <c r="H130" s="11"/>
      <c r="I130" s="12"/>
      <c r="J130" s="12"/>
      <c r="K130" s="12"/>
      <c r="L130" s="12"/>
      <c r="M130" s="12"/>
      <c r="N130" s="12"/>
      <c r="O130" s="13"/>
      <c r="P130" s="12"/>
      <c r="Q130" s="14"/>
      <c r="R130" s="15"/>
    </row>
    <row r="131" spans="1:18" ht="15" customHeight="1" x14ac:dyDescent="0.3">
      <c r="A131" s="18" t="s">
        <v>104</v>
      </c>
      <c r="B131" s="18" t="s">
        <v>184</v>
      </c>
      <c r="C131" s="19">
        <v>1.388888888888889E-2</v>
      </c>
      <c r="D131" s="18" t="s">
        <v>106</v>
      </c>
      <c r="E131" s="18" t="s">
        <v>36</v>
      </c>
      <c r="F131" s="18" t="s">
        <v>113</v>
      </c>
      <c r="G131" s="175"/>
      <c r="H131" s="11"/>
      <c r="I131" s="12"/>
      <c r="J131" s="12"/>
      <c r="K131" s="12"/>
      <c r="L131" s="12"/>
      <c r="M131" s="12"/>
      <c r="N131" s="12"/>
      <c r="O131" s="13"/>
      <c r="P131" s="12"/>
      <c r="Q131" s="14"/>
      <c r="R131" s="15"/>
    </row>
    <row r="132" spans="1:18" ht="15" customHeight="1" x14ac:dyDescent="0.3">
      <c r="A132" s="16" t="s">
        <v>104</v>
      </c>
      <c r="B132" s="16" t="s">
        <v>105</v>
      </c>
      <c r="C132" s="17">
        <v>0.4861111111111111</v>
      </c>
      <c r="D132" s="16" t="s">
        <v>106</v>
      </c>
      <c r="E132" s="16" t="s">
        <v>109</v>
      </c>
      <c r="F132" s="16" t="s">
        <v>185</v>
      </c>
      <c r="G132" s="175"/>
      <c r="H132" s="11"/>
      <c r="I132" s="12"/>
      <c r="J132" s="12"/>
      <c r="K132" s="12"/>
      <c r="L132" s="12"/>
      <c r="M132" s="12"/>
      <c r="N132" s="12"/>
      <c r="O132" s="13"/>
      <c r="P132" s="12"/>
      <c r="Q132" s="14"/>
      <c r="R132" s="15"/>
    </row>
    <row r="133" spans="1:18" ht="15" customHeight="1" x14ac:dyDescent="0.3">
      <c r="A133" s="16" t="s">
        <v>104</v>
      </c>
      <c r="B133" s="16" t="s">
        <v>111</v>
      </c>
      <c r="C133" s="17">
        <v>0.51388888888888895</v>
      </c>
      <c r="D133" s="16" t="s">
        <v>106</v>
      </c>
      <c r="E133" s="16" t="s">
        <v>109</v>
      </c>
      <c r="F133" s="16" t="s">
        <v>185</v>
      </c>
      <c r="G133" s="175"/>
      <c r="H133" s="11"/>
      <c r="I133" s="12"/>
      <c r="J133" s="12"/>
      <c r="K133" s="12"/>
      <c r="L133" s="12"/>
      <c r="M133" s="12"/>
      <c r="N133" s="12"/>
      <c r="O133" s="13"/>
      <c r="P133" s="12"/>
      <c r="Q133" s="14"/>
      <c r="R133" s="15"/>
    </row>
    <row r="134" spans="1:18" ht="15" customHeight="1" x14ac:dyDescent="0.3">
      <c r="A134" s="16" t="s">
        <v>104</v>
      </c>
      <c r="B134" s="16" t="s">
        <v>186</v>
      </c>
      <c r="C134" s="17">
        <v>0.22222222222222221</v>
      </c>
      <c r="D134" s="16" t="s">
        <v>106</v>
      </c>
      <c r="E134" s="16" t="s">
        <v>109</v>
      </c>
      <c r="F134" s="16" t="s">
        <v>187</v>
      </c>
      <c r="G134" s="175"/>
      <c r="H134" s="11"/>
      <c r="I134" s="12"/>
      <c r="J134" s="12"/>
      <c r="K134" s="12"/>
      <c r="L134" s="12"/>
      <c r="M134" s="12"/>
      <c r="N134" s="12"/>
      <c r="O134" s="13"/>
      <c r="P134" s="12"/>
      <c r="Q134" s="14"/>
      <c r="R134" s="15"/>
    </row>
    <row r="135" spans="1:18" ht="15" customHeight="1" x14ac:dyDescent="0.3">
      <c r="A135" s="16" t="s">
        <v>104</v>
      </c>
      <c r="B135" s="16" t="s">
        <v>188</v>
      </c>
      <c r="C135" s="17">
        <v>0.14583333333333329</v>
      </c>
      <c r="D135" s="16" t="s">
        <v>106</v>
      </c>
      <c r="E135" s="16" t="s">
        <v>109</v>
      </c>
      <c r="F135" s="16" t="s">
        <v>189</v>
      </c>
      <c r="G135" s="175"/>
      <c r="H135" s="11"/>
      <c r="I135" s="12"/>
      <c r="J135" s="12"/>
      <c r="K135" s="12"/>
      <c r="L135" s="12"/>
      <c r="M135" s="12"/>
      <c r="N135" s="12"/>
      <c r="O135" s="13"/>
      <c r="P135" s="12"/>
      <c r="Q135" s="14"/>
      <c r="R135" s="15"/>
    </row>
    <row r="136" spans="1:18" ht="15" customHeight="1" x14ac:dyDescent="0.3">
      <c r="A136" s="16" t="s">
        <v>104</v>
      </c>
      <c r="B136" s="16" t="s">
        <v>108</v>
      </c>
      <c r="C136" s="17">
        <v>0.27777777777777779</v>
      </c>
      <c r="D136" s="16" t="s">
        <v>106</v>
      </c>
      <c r="E136" s="16" t="s">
        <v>109</v>
      </c>
      <c r="F136" s="16" t="s">
        <v>189</v>
      </c>
      <c r="G136" s="175"/>
      <c r="H136" s="11"/>
      <c r="I136" s="12"/>
      <c r="J136" s="12"/>
      <c r="K136" s="12"/>
      <c r="L136" s="12"/>
      <c r="M136" s="12"/>
      <c r="N136" s="12"/>
      <c r="O136" s="13"/>
      <c r="P136" s="12"/>
      <c r="Q136" s="14"/>
      <c r="R136" s="15"/>
    </row>
    <row r="137" spans="1:18" ht="15" customHeight="1" x14ac:dyDescent="0.3">
      <c r="A137" s="16" t="s">
        <v>104</v>
      </c>
      <c r="B137" s="16" t="s">
        <v>112</v>
      </c>
      <c r="C137" s="17">
        <v>0.95833333333333337</v>
      </c>
      <c r="D137" s="16" t="s">
        <v>106</v>
      </c>
      <c r="E137" s="16" t="s">
        <v>138</v>
      </c>
      <c r="F137" s="16" t="s">
        <v>189</v>
      </c>
      <c r="G137" s="175"/>
      <c r="H137" s="11"/>
      <c r="I137" s="12"/>
      <c r="J137" s="12"/>
      <c r="K137" s="12"/>
      <c r="L137" s="12"/>
      <c r="M137" s="12"/>
      <c r="N137" s="12"/>
      <c r="O137" s="13"/>
      <c r="P137" s="12"/>
      <c r="Q137" s="14"/>
      <c r="R137" s="15"/>
    </row>
    <row r="138" spans="1:18" ht="15" customHeight="1" thickBot="1" x14ac:dyDescent="0.35">
      <c r="A138" s="49" t="s">
        <v>104</v>
      </c>
      <c r="B138" s="49" t="s">
        <v>114</v>
      </c>
      <c r="C138" s="50">
        <v>0.77430555555555547</v>
      </c>
      <c r="D138" s="49" t="s">
        <v>106</v>
      </c>
      <c r="E138" s="49" t="s">
        <v>95</v>
      </c>
      <c r="F138" s="49" t="s">
        <v>189</v>
      </c>
      <c r="G138" s="176"/>
      <c r="H138" s="51"/>
      <c r="I138" s="52"/>
      <c r="J138" s="52"/>
      <c r="K138" s="52"/>
      <c r="L138" s="52"/>
      <c r="M138" s="52"/>
      <c r="N138" s="52"/>
      <c r="O138" s="53"/>
      <c r="P138" s="52"/>
      <c r="Q138" s="54"/>
      <c r="R138" s="55"/>
    </row>
    <row r="139" spans="1:18" ht="17.399999999999999" customHeight="1" thickBot="1" x14ac:dyDescent="0.35">
      <c r="A139" s="213"/>
      <c r="B139" s="214"/>
      <c r="C139" s="214"/>
      <c r="D139" s="214"/>
      <c r="E139" s="214"/>
      <c r="F139" s="214"/>
      <c r="G139" s="214"/>
      <c r="H139" s="214"/>
      <c r="I139" s="214"/>
      <c r="J139" s="214"/>
      <c r="K139" s="214"/>
      <c r="L139" s="214"/>
      <c r="M139" s="214"/>
      <c r="N139" s="214"/>
      <c r="O139" s="214"/>
      <c r="P139" s="214"/>
      <c r="Q139" s="214"/>
      <c r="R139" s="215"/>
    </row>
    <row r="140" spans="1:18" ht="22.05" customHeight="1" thickTop="1" thickBot="1" x14ac:dyDescent="0.55000000000000004">
      <c r="A140" s="189" t="s">
        <v>6</v>
      </c>
      <c r="B140" s="190"/>
      <c r="C140" s="190"/>
      <c r="D140" s="190"/>
      <c r="E140" s="190"/>
      <c r="F140" s="190"/>
      <c r="G140" s="56">
        <v>45982</v>
      </c>
      <c r="H140" s="172" t="s">
        <v>7</v>
      </c>
      <c r="I140" s="173"/>
      <c r="J140" s="173"/>
      <c r="K140" s="173"/>
      <c r="L140" s="173"/>
      <c r="M140" s="173"/>
      <c r="N140" s="173"/>
      <c r="O140" s="173"/>
      <c r="P140" s="173"/>
      <c r="Q140" s="173"/>
      <c r="R140" s="173"/>
    </row>
    <row r="141" spans="1:18" ht="24" customHeight="1" x14ac:dyDescent="0.3">
      <c r="A141" s="57" t="s">
        <v>8</v>
      </c>
      <c r="B141" s="57" t="s">
        <v>9</v>
      </c>
      <c r="C141" s="58" t="s">
        <v>10</v>
      </c>
      <c r="D141" s="57" t="s">
        <v>11</v>
      </c>
      <c r="E141" s="57" t="s">
        <v>12</v>
      </c>
      <c r="F141" s="59" t="s">
        <v>13</v>
      </c>
      <c r="G141" s="60" t="s">
        <v>14</v>
      </c>
      <c r="H141" s="57" t="s">
        <v>15</v>
      </c>
      <c r="I141" s="61" t="s">
        <v>16</v>
      </c>
      <c r="J141" s="62" t="s">
        <v>17</v>
      </c>
      <c r="K141" s="63" t="s">
        <v>18</v>
      </c>
      <c r="L141" s="62" t="s">
        <v>19</v>
      </c>
      <c r="M141" s="62" t="s">
        <v>20</v>
      </c>
      <c r="N141" s="62" t="s">
        <v>21</v>
      </c>
      <c r="O141" s="57" t="s">
        <v>22</v>
      </c>
      <c r="P141" s="58" t="s">
        <v>23</v>
      </c>
      <c r="Q141" s="62" t="s">
        <v>24</v>
      </c>
      <c r="R141" s="57" t="s">
        <v>25</v>
      </c>
    </row>
    <row r="142" spans="1:18" ht="15" customHeight="1" x14ac:dyDescent="0.3">
      <c r="A142" s="9" t="s">
        <v>41</v>
      </c>
      <c r="B142" s="9" t="s">
        <v>56</v>
      </c>
      <c r="C142" s="10">
        <v>0.88888888888888884</v>
      </c>
      <c r="D142" s="9" t="s">
        <v>43</v>
      </c>
      <c r="E142" s="9" t="s">
        <v>190</v>
      </c>
      <c r="F142" s="9" t="s">
        <v>44</v>
      </c>
      <c r="G142" s="181"/>
      <c r="H142" s="11"/>
      <c r="I142" s="12"/>
      <c r="J142" s="12"/>
      <c r="K142" s="12"/>
      <c r="L142" s="12"/>
      <c r="M142" s="12"/>
      <c r="N142" s="12"/>
      <c r="O142" s="13"/>
      <c r="P142" s="12"/>
      <c r="Q142" s="14"/>
      <c r="R142" s="15"/>
    </row>
    <row r="143" spans="1:18" ht="15" customHeight="1" x14ac:dyDescent="0.3">
      <c r="A143" s="20" t="s">
        <v>41</v>
      </c>
      <c r="B143" s="20" t="s">
        <v>56</v>
      </c>
      <c r="C143" s="21">
        <v>0.88888888888888884</v>
      </c>
      <c r="D143" s="20" t="s">
        <v>45</v>
      </c>
      <c r="E143" s="20" t="s">
        <v>191</v>
      </c>
      <c r="F143" s="20" t="s">
        <v>47</v>
      </c>
      <c r="G143" s="175"/>
      <c r="H143" s="11"/>
      <c r="I143" s="12"/>
      <c r="J143" s="12"/>
      <c r="K143" s="12"/>
      <c r="L143" s="12"/>
      <c r="M143" s="12"/>
      <c r="N143" s="12"/>
      <c r="O143" s="13"/>
      <c r="P143" s="12"/>
      <c r="Q143" s="14"/>
      <c r="R143" s="15"/>
    </row>
    <row r="144" spans="1:18" ht="15" customHeight="1" x14ac:dyDescent="0.3">
      <c r="A144" s="20" t="s">
        <v>41</v>
      </c>
      <c r="B144" s="20" t="s">
        <v>56</v>
      </c>
      <c r="C144" s="21">
        <v>0.88888888888888884</v>
      </c>
      <c r="D144" s="20" t="s">
        <v>48</v>
      </c>
      <c r="E144" s="20" t="s">
        <v>191</v>
      </c>
      <c r="F144" s="20" t="s">
        <v>49</v>
      </c>
      <c r="G144" s="175"/>
      <c r="H144" s="11"/>
      <c r="I144" s="12"/>
      <c r="J144" s="12"/>
      <c r="K144" s="12"/>
      <c r="L144" s="12"/>
      <c r="M144" s="12"/>
      <c r="N144" s="12"/>
      <c r="O144" s="13"/>
      <c r="P144" s="12"/>
      <c r="Q144" s="14"/>
      <c r="R144" s="15"/>
    </row>
    <row r="145" spans="1:18" ht="15" customHeight="1" x14ac:dyDescent="0.3">
      <c r="A145" s="16" t="s">
        <v>41</v>
      </c>
      <c r="B145" s="16" t="s">
        <v>42</v>
      </c>
      <c r="C145" s="17">
        <v>0.30208333333333331</v>
      </c>
      <c r="D145" s="16" t="s">
        <v>43</v>
      </c>
      <c r="E145" s="16" t="s">
        <v>51</v>
      </c>
      <c r="F145" s="16" t="s">
        <v>52</v>
      </c>
      <c r="G145" s="175"/>
      <c r="H145" s="11"/>
      <c r="I145" s="12"/>
      <c r="J145" s="12"/>
      <c r="K145" s="12"/>
      <c r="L145" s="12"/>
      <c r="M145" s="12"/>
      <c r="N145" s="12"/>
      <c r="O145" s="13"/>
      <c r="P145" s="12"/>
      <c r="Q145" s="14"/>
      <c r="R145" s="15"/>
    </row>
    <row r="146" spans="1:18" ht="15" customHeight="1" x14ac:dyDescent="0.3">
      <c r="A146" s="20" t="s">
        <v>41</v>
      </c>
      <c r="B146" s="20" t="s">
        <v>42</v>
      </c>
      <c r="C146" s="21">
        <v>0.30208333333333331</v>
      </c>
      <c r="D146" s="20" t="s">
        <v>45</v>
      </c>
      <c r="E146" s="20" t="s">
        <v>53</v>
      </c>
      <c r="F146" s="20" t="s">
        <v>54</v>
      </c>
      <c r="G146" s="175"/>
      <c r="H146" s="11"/>
      <c r="I146" s="12"/>
      <c r="J146" s="12"/>
      <c r="K146" s="12"/>
      <c r="L146" s="12"/>
      <c r="M146" s="12"/>
      <c r="N146" s="12"/>
      <c r="O146" s="13"/>
      <c r="P146" s="12"/>
      <c r="Q146" s="14"/>
      <c r="R146" s="15"/>
    </row>
    <row r="147" spans="1:18" ht="15" customHeight="1" x14ac:dyDescent="0.3">
      <c r="A147" s="20" t="s">
        <v>41</v>
      </c>
      <c r="B147" s="20" t="s">
        <v>42</v>
      </c>
      <c r="C147" s="21">
        <v>0.30208333333333331</v>
      </c>
      <c r="D147" s="20" t="s">
        <v>48</v>
      </c>
      <c r="E147" s="20" t="s">
        <v>53</v>
      </c>
      <c r="F147" s="20" t="s">
        <v>49</v>
      </c>
      <c r="G147" s="175"/>
      <c r="H147" s="11"/>
      <c r="I147" s="12"/>
      <c r="J147" s="12"/>
      <c r="K147" s="12"/>
      <c r="L147" s="12"/>
      <c r="M147" s="12"/>
      <c r="N147" s="12"/>
      <c r="O147" s="13"/>
      <c r="P147" s="12"/>
      <c r="Q147" s="14"/>
      <c r="R147" s="15"/>
    </row>
    <row r="148" spans="1:18" ht="15" customHeight="1" x14ac:dyDescent="0.3">
      <c r="A148" s="16" t="s">
        <v>41</v>
      </c>
      <c r="B148" s="16" t="s">
        <v>133</v>
      </c>
      <c r="C148" s="17">
        <v>0.12847222222222221</v>
      </c>
      <c r="D148" s="16" t="s">
        <v>43</v>
      </c>
      <c r="E148" s="16" t="s">
        <v>90</v>
      </c>
      <c r="F148" s="16" t="s">
        <v>52</v>
      </c>
      <c r="G148" s="175"/>
      <c r="H148" s="11"/>
      <c r="I148" s="12"/>
      <c r="J148" s="12"/>
      <c r="K148" s="12"/>
      <c r="L148" s="12"/>
      <c r="M148" s="12"/>
      <c r="N148" s="12"/>
      <c r="O148" s="13"/>
      <c r="P148" s="12"/>
      <c r="Q148" s="14"/>
      <c r="R148" s="15"/>
    </row>
    <row r="149" spans="1:18" ht="15" customHeight="1" x14ac:dyDescent="0.3">
      <c r="A149" s="20" t="s">
        <v>41</v>
      </c>
      <c r="B149" s="20" t="s">
        <v>133</v>
      </c>
      <c r="C149" s="21">
        <v>0.12847222222222221</v>
      </c>
      <c r="D149" s="20" t="s">
        <v>45</v>
      </c>
      <c r="E149" s="20" t="s">
        <v>46</v>
      </c>
      <c r="F149" s="20" t="s">
        <v>54</v>
      </c>
      <c r="G149" s="175"/>
      <c r="H149" s="11"/>
      <c r="I149" s="12"/>
      <c r="J149" s="12"/>
      <c r="K149" s="12"/>
      <c r="L149" s="12"/>
      <c r="M149" s="12"/>
      <c r="N149" s="12"/>
      <c r="O149" s="13"/>
      <c r="P149" s="12"/>
      <c r="Q149" s="14"/>
      <c r="R149" s="15"/>
    </row>
    <row r="150" spans="1:18" ht="15" customHeight="1" x14ac:dyDescent="0.3">
      <c r="A150" s="20" t="s">
        <v>41</v>
      </c>
      <c r="B150" s="20" t="s">
        <v>133</v>
      </c>
      <c r="C150" s="21">
        <v>0.12847222222222221</v>
      </c>
      <c r="D150" s="20" t="s">
        <v>48</v>
      </c>
      <c r="E150" s="20" t="s">
        <v>46</v>
      </c>
      <c r="F150" s="20" t="s">
        <v>49</v>
      </c>
      <c r="G150" s="175"/>
      <c r="H150" s="11"/>
      <c r="I150" s="12"/>
      <c r="J150" s="12"/>
      <c r="K150" s="12"/>
      <c r="L150" s="12"/>
      <c r="M150" s="12"/>
      <c r="N150" s="12"/>
      <c r="O150" s="13"/>
      <c r="P150" s="12"/>
      <c r="Q150" s="14"/>
      <c r="R150" s="15"/>
    </row>
    <row r="151" spans="1:18" ht="15" customHeight="1" x14ac:dyDescent="0.3">
      <c r="A151" s="16" t="s">
        <v>41</v>
      </c>
      <c r="B151" s="16" t="s">
        <v>50</v>
      </c>
      <c r="C151" s="17">
        <v>0.78819444444444453</v>
      </c>
      <c r="D151" s="16" t="s">
        <v>43</v>
      </c>
      <c r="E151" s="16" t="s">
        <v>135</v>
      </c>
      <c r="F151" s="16" t="s">
        <v>52</v>
      </c>
      <c r="G151" s="175"/>
      <c r="H151" s="11"/>
      <c r="I151" s="12"/>
      <c r="J151" s="12"/>
      <c r="K151" s="12"/>
      <c r="L151" s="12"/>
      <c r="M151" s="12"/>
      <c r="N151" s="12"/>
      <c r="O151" s="13"/>
      <c r="P151" s="12"/>
      <c r="Q151" s="14"/>
      <c r="R151" s="15"/>
    </row>
    <row r="152" spans="1:18" ht="15" customHeight="1" x14ac:dyDescent="0.3">
      <c r="A152" s="20" t="s">
        <v>41</v>
      </c>
      <c r="B152" s="20" t="s">
        <v>50</v>
      </c>
      <c r="C152" s="21">
        <v>0.78819444444444453</v>
      </c>
      <c r="D152" s="20" t="s">
        <v>45</v>
      </c>
      <c r="E152" s="20" t="s">
        <v>136</v>
      </c>
      <c r="F152" s="20" t="s">
        <v>54</v>
      </c>
      <c r="G152" s="175"/>
      <c r="H152" s="11"/>
      <c r="I152" s="12"/>
      <c r="J152" s="12"/>
      <c r="K152" s="12"/>
      <c r="L152" s="12"/>
      <c r="M152" s="12"/>
      <c r="N152" s="12"/>
      <c r="O152" s="13"/>
      <c r="P152" s="12"/>
      <c r="Q152" s="14"/>
      <c r="R152" s="15"/>
    </row>
    <row r="153" spans="1:18" ht="15" customHeight="1" x14ac:dyDescent="0.3">
      <c r="A153" s="20" t="s">
        <v>41</v>
      </c>
      <c r="B153" s="20" t="s">
        <v>50</v>
      </c>
      <c r="C153" s="21">
        <v>0.78819444444444453</v>
      </c>
      <c r="D153" s="20" t="s">
        <v>48</v>
      </c>
      <c r="E153" s="20" t="s">
        <v>136</v>
      </c>
      <c r="F153" s="20" t="s">
        <v>55</v>
      </c>
      <c r="G153" s="175"/>
      <c r="H153" s="11"/>
      <c r="I153" s="12"/>
      <c r="J153" s="12"/>
      <c r="K153" s="12"/>
      <c r="L153" s="12"/>
      <c r="M153" s="12"/>
      <c r="N153" s="12"/>
      <c r="O153" s="13"/>
      <c r="P153" s="12"/>
      <c r="Q153" s="14"/>
      <c r="R153" s="15"/>
    </row>
    <row r="154" spans="1:18" ht="15" customHeight="1" x14ac:dyDescent="0.3">
      <c r="A154" s="18" t="s">
        <v>61</v>
      </c>
      <c r="B154" s="18" t="s">
        <v>74</v>
      </c>
      <c r="C154" s="19">
        <v>0.90277777777777779</v>
      </c>
      <c r="D154" s="18" t="s">
        <v>63</v>
      </c>
      <c r="E154" s="18" t="s">
        <v>134</v>
      </c>
      <c r="F154" s="18" t="s">
        <v>64</v>
      </c>
      <c r="G154" s="175"/>
      <c r="H154" s="11"/>
      <c r="I154" s="12"/>
      <c r="J154" s="12"/>
      <c r="K154" s="12"/>
      <c r="L154" s="12"/>
      <c r="M154" s="12"/>
      <c r="N154" s="12"/>
      <c r="O154" s="13"/>
      <c r="P154" s="12"/>
      <c r="Q154" s="14"/>
      <c r="R154" s="15"/>
    </row>
    <row r="155" spans="1:18" ht="15" customHeight="1" x14ac:dyDescent="0.3">
      <c r="A155" s="20" t="s">
        <v>61</v>
      </c>
      <c r="B155" s="20" t="s">
        <v>74</v>
      </c>
      <c r="C155" s="21">
        <v>0.90277777777777779</v>
      </c>
      <c r="D155" s="20" t="s">
        <v>65</v>
      </c>
      <c r="E155" s="20" t="s">
        <v>71</v>
      </c>
      <c r="F155" s="20" t="s">
        <v>66</v>
      </c>
      <c r="G155" s="175"/>
      <c r="H155" s="11"/>
      <c r="I155" s="12"/>
      <c r="J155" s="12"/>
      <c r="K155" s="12"/>
      <c r="L155" s="12"/>
      <c r="M155" s="12"/>
      <c r="N155" s="12"/>
      <c r="O155" s="13"/>
      <c r="P155" s="12"/>
      <c r="Q155" s="14"/>
      <c r="R155" s="15"/>
    </row>
    <row r="156" spans="1:18" ht="15" customHeight="1" x14ac:dyDescent="0.3">
      <c r="A156" s="20" t="s">
        <v>61</v>
      </c>
      <c r="B156" s="20" t="s">
        <v>74</v>
      </c>
      <c r="C156" s="21">
        <v>0.90277777777777779</v>
      </c>
      <c r="D156" s="20" t="s">
        <v>67</v>
      </c>
      <c r="E156" s="20" t="s">
        <v>71</v>
      </c>
      <c r="F156" s="20" t="s">
        <v>68</v>
      </c>
      <c r="G156" s="175"/>
      <c r="H156" s="11"/>
      <c r="I156" s="12"/>
      <c r="J156" s="12"/>
      <c r="K156" s="12"/>
      <c r="L156" s="12"/>
      <c r="M156" s="12"/>
      <c r="N156" s="12"/>
      <c r="O156" s="13"/>
      <c r="P156" s="12"/>
      <c r="Q156" s="14"/>
      <c r="R156" s="15"/>
    </row>
    <row r="157" spans="1:18" ht="15" customHeight="1" x14ac:dyDescent="0.3">
      <c r="A157" s="16" t="s">
        <v>61</v>
      </c>
      <c r="B157" s="16" t="s">
        <v>72</v>
      </c>
      <c r="C157" s="17">
        <v>0.39583333333333331</v>
      </c>
      <c r="D157" s="16" t="s">
        <v>63</v>
      </c>
      <c r="E157" s="16" t="s">
        <v>32</v>
      </c>
      <c r="F157" s="16" t="s">
        <v>64</v>
      </c>
      <c r="G157" s="175"/>
      <c r="H157" s="11"/>
      <c r="I157" s="12"/>
      <c r="J157" s="12"/>
      <c r="K157" s="12"/>
      <c r="L157" s="12"/>
      <c r="M157" s="12"/>
      <c r="N157" s="12"/>
      <c r="O157" s="13"/>
      <c r="P157" s="12"/>
      <c r="Q157" s="14"/>
      <c r="R157" s="15"/>
    </row>
    <row r="158" spans="1:18" ht="15" customHeight="1" x14ac:dyDescent="0.3">
      <c r="A158" s="20" t="s">
        <v>61</v>
      </c>
      <c r="B158" s="20" t="s">
        <v>72</v>
      </c>
      <c r="C158" s="21">
        <v>0.39583333333333331</v>
      </c>
      <c r="D158" s="20" t="s">
        <v>65</v>
      </c>
      <c r="E158" s="20" t="s">
        <v>191</v>
      </c>
      <c r="F158" s="20" t="s">
        <v>66</v>
      </c>
      <c r="G158" s="175"/>
      <c r="H158" s="11"/>
      <c r="I158" s="12"/>
      <c r="J158" s="12"/>
      <c r="K158" s="12"/>
      <c r="L158" s="12"/>
      <c r="M158" s="12"/>
      <c r="N158" s="12"/>
      <c r="O158" s="13"/>
      <c r="P158" s="12"/>
      <c r="Q158" s="14"/>
      <c r="R158" s="15"/>
    </row>
    <row r="159" spans="1:18" ht="15" customHeight="1" x14ac:dyDescent="0.3">
      <c r="A159" s="20" t="s">
        <v>61</v>
      </c>
      <c r="B159" s="20" t="s">
        <v>72</v>
      </c>
      <c r="C159" s="21">
        <v>0.39583333333333331</v>
      </c>
      <c r="D159" s="20" t="s">
        <v>67</v>
      </c>
      <c r="E159" s="20" t="s">
        <v>191</v>
      </c>
      <c r="F159" s="20" t="s">
        <v>68</v>
      </c>
      <c r="G159" s="175"/>
      <c r="H159" s="11"/>
      <c r="I159" s="12"/>
      <c r="J159" s="12"/>
      <c r="K159" s="12"/>
      <c r="L159" s="12"/>
      <c r="M159" s="12"/>
      <c r="N159" s="12"/>
      <c r="O159" s="13"/>
      <c r="P159" s="12"/>
      <c r="Q159" s="14"/>
      <c r="R159" s="15"/>
    </row>
    <row r="160" spans="1:18" ht="15" customHeight="1" x14ac:dyDescent="0.3">
      <c r="A160" s="16" t="s">
        <v>61</v>
      </c>
      <c r="B160" s="16" t="s">
        <v>73</v>
      </c>
      <c r="C160" s="17">
        <v>0.79861111111111116</v>
      </c>
      <c r="D160" s="16" t="s">
        <v>63</v>
      </c>
      <c r="E160" s="16" t="s">
        <v>138</v>
      </c>
      <c r="F160" s="16" t="s">
        <v>64</v>
      </c>
      <c r="G160" s="175"/>
      <c r="H160" s="11"/>
      <c r="I160" s="12"/>
      <c r="J160" s="12"/>
      <c r="K160" s="12"/>
      <c r="L160" s="12"/>
      <c r="M160" s="12"/>
      <c r="N160" s="12"/>
      <c r="O160" s="13"/>
      <c r="P160" s="12"/>
      <c r="Q160" s="14"/>
      <c r="R160" s="15"/>
    </row>
    <row r="161" spans="1:18" ht="15" customHeight="1" x14ac:dyDescent="0.3">
      <c r="A161" s="20" t="s">
        <v>61</v>
      </c>
      <c r="B161" s="20" t="s">
        <v>73</v>
      </c>
      <c r="C161" s="21">
        <v>0.79861111111111116</v>
      </c>
      <c r="D161" s="20" t="s">
        <v>65</v>
      </c>
      <c r="E161" s="20" t="s">
        <v>140</v>
      </c>
      <c r="F161" s="20" t="s">
        <v>66</v>
      </c>
      <c r="G161" s="175"/>
      <c r="H161" s="11"/>
      <c r="I161" s="12"/>
      <c r="J161" s="12"/>
      <c r="K161" s="12"/>
      <c r="L161" s="12"/>
      <c r="M161" s="12"/>
      <c r="N161" s="12"/>
      <c r="O161" s="13"/>
      <c r="P161" s="12"/>
      <c r="Q161" s="14"/>
      <c r="R161" s="15"/>
    </row>
    <row r="162" spans="1:18" ht="15" customHeight="1" x14ac:dyDescent="0.3">
      <c r="A162" s="20" t="s">
        <v>61</v>
      </c>
      <c r="B162" s="20" t="s">
        <v>73</v>
      </c>
      <c r="C162" s="21">
        <v>0.79861111111111116</v>
      </c>
      <c r="D162" s="20" t="s">
        <v>67</v>
      </c>
      <c r="E162" s="20" t="s">
        <v>140</v>
      </c>
      <c r="F162" s="20" t="s">
        <v>68</v>
      </c>
      <c r="G162" s="175"/>
      <c r="H162" s="11"/>
      <c r="I162" s="12"/>
      <c r="J162" s="12"/>
      <c r="K162" s="12"/>
      <c r="L162" s="12"/>
      <c r="M162" s="12"/>
      <c r="N162" s="12"/>
      <c r="O162" s="13"/>
      <c r="P162" s="12"/>
      <c r="Q162" s="14"/>
      <c r="R162" s="15"/>
    </row>
    <row r="163" spans="1:18" ht="15" customHeight="1" x14ac:dyDescent="0.3">
      <c r="A163" s="16" t="s">
        <v>61</v>
      </c>
      <c r="B163" s="16" t="s">
        <v>78</v>
      </c>
      <c r="C163" s="17">
        <v>0.64583333333333337</v>
      </c>
      <c r="D163" s="16" t="s">
        <v>63</v>
      </c>
      <c r="E163" s="16" t="s">
        <v>57</v>
      </c>
      <c r="F163" s="16" t="s">
        <v>75</v>
      </c>
      <c r="G163" s="175"/>
      <c r="H163" s="11"/>
      <c r="I163" s="12"/>
      <c r="J163" s="12"/>
      <c r="K163" s="12"/>
      <c r="L163" s="12"/>
      <c r="M163" s="12"/>
      <c r="N163" s="12"/>
      <c r="O163" s="13"/>
      <c r="P163" s="12"/>
      <c r="Q163" s="14"/>
      <c r="R163" s="15"/>
    </row>
    <row r="164" spans="1:18" ht="15" customHeight="1" x14ac:dyDescent="0.3">
      <c r="A164" s="20" t="s">
        <v>61</v>
      </c>
      <c r="B164" s="20" t="s">
        <v>78</v>
      </c>
      <c r="C164" s="21">
        <v>0.64583333333333337</v>
      </c>
      <c r="D164" s="20" t="s">
        <v>65</v>
      </c>
      <c r="E164" s="20" t="s">
        <v>59</v>
      </c>
      <c r="F164" s="20" t="s">
        <v>76</v>
      </c>
      <c r="G164" s="175"/>
      <c r="H164" s="11"/>
      <c r="I164" s="12"/>
      <c r="J164" s="12"/>
      <c r="K164" s="12"/>
      <c r="L164" s="12"/>
      <c r="M164" s="12"/>
      <c r="N164" s="12"/>
      <c r="O164" s="13"/>
      <c r="P164" s="12"/>
      <c r="Q164" s="14"/>
      <c r="R164" s="15"/>
    </row>
    <row r="165" spans="1:18" ht="15" customHeight="1" x14ac:dyDescent="0.3">
      <c r="A165" s="20" t="s">
        <v>61</v>
      </c>
      <c r="B165" s="20" t="s">
        <v>78</v>
      </c>
      <c r="C165" s="21">
        <v>0.64583333333333337</v>
      </c>
      <c r="D165" s="20" t="s">
        <v>67</v>
      </c>
      <c r="E165" s="20" t="s">
        <v>59</v>
      </c>
      <c r="F165" s="20" t="s">
        <v>77</v>
      </c>
      <c r="G165" s="175"/>
      <c r="H165" s="11"/>
      <c r="I165" s="12"/>
      <c r="J165" s="12"/>
      <c r="K165" s="12"/>
      <c r="L165" s="12"/>
      <c r="M165" s="12"/>
      <c r="N165" s="12"/>
      <c r="O165" s="13"/>
      <c r="P165" s="12"/>
      <c r="Q165" s="14"/>
      <c r="R165" s="15"/>
    </row>
    <row r="166" spans="1:18" ht="15" customHeight="1" x14ac:dyDescent="0.3">
      <c r="A166" s="16" t="s">
        <v>61</v>
      </c>
      <c r="B166" s="16" t="s">
        <v>62</v>
      </c>
      <c r="C166" s="17">
        <v>0.51736111111111105</v>
      </c>
      <c r="D166" s="16" t="s">
        <v>63</v>
      </c>
      <c r="E166" s="16" t="s">
        <v>95</v>
      </c>
      <c r="F166" s="16" t="s">
        <v>75</v>
      </c>
      <c r="G166" s="175"/>
      <c r="H166" s="11"/>
      <c r="I166" s="12"/>
      <c r="J166" s="12"/>
      <c r="K166" s="12"/>
      <c r="L166" s="12"/>
      <c r="M166" s="12"/>
      <c r="N166" s="12"/>
      <c r="O166" s="13"/>
      <c r="P166" s="12"/>
      <c r="Q166" s="14"/>
      <c r="R166" s="15"/>
    </row>
    <row r="167" spans="1:18" ht="15" customHeight="1" x14ac:dyDescent="0.3">
      <c r="A167" s="20" t="s">
        <v>61</v>
      </c>
      <c r="B167" s="20" t="s">
        <v>62</v>
      </c>
      <c r="C167" s="21">
        <v>0.51736111111111105</v>
      </c>
      <c r="D167" s="20" t="s">
        <v>65</v>
      </c>
      <c r="E167" s="20" t="s">
        <v>192</v>
      </c>
      <c r="F167" s="20" t="s">
        <v>76</v>
      </c>
      <c r="G167" s="175"/>
      <c r="H167" s="11"/>
      <c r="I167" s="12"/>
      <c r="J167" s="12"/>
      <c r="K167" s="12"/>
      <c r="L167" s="12"/>
      <c r="M167" s="12"/>
      <c r="N167" s="12"/>
      <c r="O167" s="13"/>
      <c r="P167" s="12"/>
      <c r="Q167" s="14"/>
      <c r="R167" s="15"/>
    </row>
    <row r="168" spans="1:18" ht="15" customHeight="1" x14ac:dyDescent="0.3">
      <c r="A168" s="20" t="s">
        <v>61</v>
      </c>
      <c r="B168" s="20" t="s">
        <v>62</v>
      </c>
      <c r="C168" s="21">
        <v>0.51736111111111105</v>
      </c>
      <c r="D168" s="20" t="s">
        <v>67</v>
      </c>
      <c r="E168" s="20" t="s">
        <v>192</v>
      </c>
      <c r="F168" s="20" t="s">
        <v>77</v>
      </c>
      <c r="G168" s="175"/>
      <c r="H168" s="11"/>
      <c r="I168" s="12"/>
      <c r="J168" s="12"/>
      <c r="K168" s="12"/>
      <c r="L168" s="12"/>
      <c r="M168" s="12"/>
      <c r="N168" s="12"/>
      <c r="O168" s="13"/>
      <c r="P168" s="12"/>
      <c r="Q168" s="14"/>
      <c r="R168" s="15"/>
    </row>
    <row r="169" spans="1:18" ht="15" customHeight="1" x14ac:dyDescent="0.3">
      <c r="A169" s="16" t="s">
        <v>61</v>
      </c>
      <c r="B169" s="16" t="s">
        <v>69</v>
      </c>
      <c r="C169" s="17">
        <v>0.85416666666666663</v>
      </c>
      <c r="D169" s="16" t="s">
        <v>63</v>
      </c>
      <c r="E169" s="16" t="s">
        <v>57</v>
      </c>
      <c r="F169" s="16" t="s">
        <v>75</v>
      </c>
      <c r="G169" s="175"/>
      <c r="H169" s="11"/>
      <c r="I169" s="12"/>
      <c r="J169" s="12"/>
      <c r="K169" s="12"/>
      <c r="L169" s="12"/>
      <c r="M169" s="12"/>
      <c r="N169" s="12"/>
      <c r="O169" s="13"/>
      <c r="P169" s="12"/>
      <c r="Q169" s="14"/>
      <c r="R169" s="15"/>
    </row>
    <row r="170" spans="1:18" ht="15" customHeight="1" x14ac:dyDescent="0.3">
      <c r="A170" s="20" t="s">
        <v>61</v>
      </c>
      <c r="B170" s="20" t="s">
        <v>69</v>
      </c>
      <c r="C170" s="21">
        <v>0.85416666666666663</v>
      </c>
      <c r="D170" s="20" t="s">
        <v>65</v>
      </c>
      <c r="E170" s="20" t="s">
        <v>59</v>
      </c>
      <c r="F170" s="20" t="s">
        <v>76</v>
      </c>
      <c r="G170" s="175"/>
      <c r="H170" s="11"/>
      <c r="I170" s="12"/>
      <c r="J170" s="12"/>
      <c r="K170" s="12"/>
      <c r="L170" s="12"/>
      <c r="M170" s="12"/>
      <c r="N170" s="12"/>
      <c r="O170" s="13"/>
      <c r="P170" s="12"/>
      <c r="Q170" s="14"/>
      <c r="R170" s="15"/>
    </row>
    <row r="171" spans="1:18" ht="15" customHeight="1" x14ac:dyDescent="0.3">
      <c r="A171" s="20" t="s">
        <v>61</v>
      </c>
      <c r="B171" s="20" t="s">
        <v>69</v>
      </c>
      <c r="C171" s="21">
        <v>0.85416666666666663</v>
      </c>
      <c r="D171" s="20" t="s">
        <v>67</v>
      </c>
      <c r="E171" s="20" t="s">
        <v>59</v>
      </c>
      <c r="F171" s="20" t="s">
        <v>77</v>
      </c>
      <c r="G171" s="175"/>
      <c r="H171" s="11"/>
      <c r="I171" s="12"/>
      <c r="J171" s="12"/>
      <c r="K171" s="12"/>
      <c r="L171" s="12"/>
      <c r="M171" s="12"/>
      <c r="N171" s="12"/>
      <c r="O171" s="13"/>
      <c r="P171" s="12"/>
      <c r="Q171" s="14"/>
      <c r="R171" s="15"/>
    </row>
    <row r="172" spans="1:18" ht="15" customHeight="1" x14ac:dyDescent="0.3">
      <c r="A172" s="16" t="s">
        <v>61</v>
      </c>
      <c r="B172" s="16" t="s">
        <v>137</v>
      </c>
      <c r="C172" s="17">
        <v>0.25694444444444448</v>
      </c>
      <c r="D172" s="16" t="s">
        <v>63</v>
      </c>
      <c r="E172" s="16" t="s">
        <v>90</v>
      </c>
      <c r="F172" s="16" t="s">
        <v>139</v>
      </c>
      <c r="G172" s="175"/>
      <c r="H172" s="11"/>
      <c r="I172" s="12"/>
      <c r="J172" s="12"/>
      <c r="K172" s="12"/>
      <c r="L172" s="12"/>
      <c r="M172" s="12"/>
      <c r="N172" s="12"/>
      <c r="O172" s="13"/>
      <c r="P172" s="12"/>
      <c r="Q172" s="14"/>
      <c r="R172" s="15"/>
    </row>
    <row r="173" spans="1:18" ht="15" customHeight="1" x14ac:dyDescent="0.3">
      <c r="A173" s="20" t="s">
        <v>61</v>
      </c>
      <c r="B173" s="20" t="s">
        <v>137</v>
      </c>
      <c r="C173" s="21">
        <v>0.25694444444444448</v>
      </c>
      <c r="D173" s="20" t="s">
        <v>65</v>
      </c>
      <c r="E173" s="20" t="s">
        <v>46</v>
      </c>
      <c r="F173" s="20" t="s">
        <v>141</v>
      </c>
      <c r="G173" s="175"/>
      <c r="H173" s="11"/>
      <c r="I173" s="12"/>
      <c r="J173" s="12"/>
      <c r="K173" s="12"/>
      <c r="L173" s="12"/>
      <c r="M173" s="12"/>
      <c r="N173" s="12"/>
      <c r="O173" s="13"/>
      <c r="P173" s="12"/>
      <c r="Q173" s="14"/>
      <c r="R173" s="15"/>
    </row>
    <row r="174" spans="1:18" ht="15" customHeight="1" x14ac:dyDescent="0.3">
      <c r="A174" s="20" t="s">
        <v>61</v>
      </c>
      <c r="B174" s="20" t="s">
        <v>137</v>
      </c>
      <c r="C174" s="21">
        <v>0.25694444444444448</v>
      </c>
      <c r="D174" s="20" t="s">
        <v>67</v>
      </c>
      <c r="E174" s="20" t="s">
        <v>46</v>
      </c>
      <c r="F174" s="20" t="s">
        <v>142</v>
      </c>
      <c r="G174" s="175"/>
      <c r="H174" s="11"/>
      <c r="I174" s="12"/>
      <c r="J174" s="12"/>
      <c r="K174" s="12"/>
      <c r="L174" s="12"/>
      <c r="M174" s="12"/>
      <c r="N174" s="12"/>
      <c r="O174" s="13"/>
      <c r="P174" s="12"/>
      <c r="Q174" s="14"/>
      <c r="R174" s="15"/>
    </row>
    <row r="175" spans="1:18" ht="15" customHeight="1" x14ac:dyDescent="0.3">
      <c r="A175" s="18" t="s">
        <v>100</v>
      </c>
      <c r="B175" s="18" t="s">
        <v>193</v>
      </c>
      <c r="C175" s="19">
        <v>0.97569444444444453</v>
      </c>
      <c r="D175" s="18" t="s">
        <v>102</v>
      </c>
      <c r="E175" s="18" t="s">
        <v>170</v>
      </c>
      <c r="F175" s="18" t="s">
        <v>194</v>
      </c>
      <c r="G175" s="175"/>
      <c r="H175" s="11"/>
      <c r="I175" s="12"/>
      <c r="J175" s="12"/>
      <c r="K175" s="12"/>
      <c r="L175" s="12"/>
      <c r="M175" s="12"/>
      <c r="N175" s="12"/>
      <c r="O175" s="13"/>
      <c r="P175" s="12"/>
      <c r="Q175" s="14"/>
      <c r="R175" s="15"/>
    </row>
    <row r="176" spans="1:18" ht="15" customHeight="1" x14ac:dyDescent="0.3">
      <c r="A176" s="20" t="s">
        <v>100</v>
      </c>
      <c r="B176" s="20" t="s">
        <v>193</v>
      </c>
      <c r="C176" s="21">
        <v>0.97569444444444453</v>
      </c>
      <c r="D176" s="20" t="s">
        <v>48</v>
      </c>
      <c r="E176" s="20" t="s">
        <v>59</v>
      </c>
      <c r="F176" s="20" t="s">
        <v>195</v>
      </c>
      <c r="G176" s="175"/>
      <c r="H176" s="11"/>
      <c r="I176" s="12"/>
      <c r="J176" s="12"/>
      <c r="K176" s="12"/>
      <c r="L176" s="12"/>
      <c r="M176" s="12"/>
      <c r="N176" s="12"/>
      <c r="O176" s="13"/>
      <c r="P176" s="12"/>
      <c r="Q176" s="14"/>
      <c r="R176" s="15"/>
    </row>
    <row r="177" spans="1:18" ht="15" customHeight="1" x14ac:dyDescent="0.3">
      <c r="A177" s="16" t="s">
        <v>100</v>
      </c>
      <c r="B177" s="16" t="s">
        <v>101</v>
      </c>
      <c r="C177" s="17">
        <v>0.3923611111111111</v>
      </c>
      <c r="D177" s="16" t="s">
        <v>102</v>
      </c>
      <c r="E177" s="16" t="s">
        <v>57</v>
      </c>
      <c r="F177" s="16" t="s">
        <v>196</v>
      </c>
      <c r="G177" s="175"/>
      <c r="H177" s="11"/>
      <c r="I177" s="12"/>
      <c r="J177" s="12"/>
      <c r="K177" s="12"/>
      <c r="L177" s="12"/>
      <c r="M177" s="12"/>
      <c r="N177" s="12"/>
      <c r="O177" s="13"/>
      <c r="P177" s="12"/>
      <c r="Q177" s="14"/>
      <c r="R177" s="15"/>
    </row>
    <row r="178" spans="1:18" ht="15" customHeight="1" x14ac:dyDescent="0.3">
      <c r="A178" s="20" t="s">
        <v>100</v>
      </c>
      <c r="B178" s="20" t="s">
        <v>101</v>
      </c>
      <c r="C178" s="21">
        <v>0.3923611111111111</v>
      </c>
      <c r="D178" s="20" t="s">
        <v>48</v>
      </c>
      <c r="E178" s="20" t="s">
        <v>59</v>
      </c>
      <c r="F178" s="20" t="s">
        <v>197</v>
      </c>
      <c r="G178" s="175"/>
      <c r="H178" s="11"/>
      <c r="I178" s="12"/>
      <c r="J178" s="12"/>
      <c r="K178" s="12"/>
      <c r="L178" s="12"/>
      <c r="M178" s="12"/>
      <c r="N178" s="12"/>
      <c r="O178" s="13"/>
      <c r="P178" s="12"/>
      <c r="Q178" s="14"/>
      <c r="R178" s="15"/>
    </row>
    <row r="179" spans="1:18" ht="15" customHeight="1" x14ac:dyDescent="0.3">
      <c r="A179" s="18" t="s">
        <v>34</v>
      </c>
      <c r="B179" s="18" t="s">
        <v>35</v>
      </c>
      <c r="C179" s="19">
        <v>0.71527777777777779</v>
      </c>
      <c r="D179" s="18" t="s">
        <v>28</v>
      </c>
      <c r="E179" s="18" t="s">
        <v>134</v>
      </c>
      <c r="F179" s="18" t="s">
        <v>198</v>
      </c>
      <c r="G179" s="175"/>
      <c r="H179" s="11"/>
      <c r="I179" s="12"/>
      <c r="J179" s="12"/>
      <c r="K179" s="12"/>
      <c r="L179" s="12"/>
      <c r="M179" s="12"/>
      <c r="N179" s="12"/>
      <c r="O179" s="13"/>
      <c r="P179" s="12"/>
      <c r="Q179" s="14"/>
      <c r="R179" s="15"/>
    </row>
    <row r="180" spans="1:18" ht="15" customHeight="1" x14ac:dyDescent="0.3">
      <c r="A180" s="16" t="s">
        <v>34</v>
      </c>
      <c r="B180" s="16" t="s">
        <v>38</v>
      </c>
      <c r="C180" s="17">
        <v>0.41666666666666669</v>
      </c>
      <c r="D180" s="16" t="s">
        <v>28</v>
      </c>
      <c r="E180" s="16" t="s">
        <v>123</v>
      </c>
      <c r="F180" s="16" t="s">
        <v>198</v>
      </c>
      <c r="G180" s="175"/>
      <c r="H180" s="11"/>
      <c r="I180" s="12"/>
      <c r="J180" s="12"/>
      <c r="K180" s="12"/>
      <c r="L180" s="12"/>
      <c r="M180" s="12"/>
      <c r="N180" s="12"/>
      <c r="O180" s="13"/>
      <c r="P180" s="12"/>
      <c r="Q180" s="14"/>
      <c r="R180" s="15"/>
    </row>
    <row r="181" spans="1:18" ht="15" customHeight="1" x14ac:dyDescent="0.3">
      <c r="A181" s="94" t="s">
        <v>81</v>
      </c>
      <c r="B181" s="94" t="s">
        <v>146</v>
      </c>
      <c r="C181" s="95">
        <v>0.1145833333333333</v>
      </c>
      <c r="D181" s="94" t="s">
        <v>83</v>
      </c>
      <c r="E181" s="94" t="s">
        <v>103</v>
      </c>
      <c r="F181" s="94" t="s">
        <v>96</v>
      </c>
      <c r="G181" s="175"/>
      <c r="H181" s="33" t="s">
        <v>148</v>
      </c>
      <c r="I181" s="96">
        <v>0.50280000000000002</v>
      </c>
      <c r="J181" s="35">
        <v>90</v>
      </c>
      <c r="K181" s="36">
        <v>45979</v>
      </c>
      <c r="L181" s="35">
        <v>23</v>
      </c>
      <c r="M181" s="35">
        <v>0</v>
      </c>
      <c r="N181" s="35">
        <v>7</v>
      </c>
      <c r="O181" s="37" t="s">
        <v>98</v>
      </c>
      <c r="P181" s="38">
        <v>0.1145833333333333</v>
      </c>
      <c r="Q181" s="35">
        <v>179</v>
      </c>
      <c r="R181" s="39" t="s">
        <v>199</v>
      </c>
    </row>
    <row r="182" spans="1:18" ht="15" customHeight="1" x14ac:dyDescent="0.3">
      <c r="A182" s="84" t="s">
        <v>81</v>
      </c>
      <c r="B182" s="84" t="s">
        <v>159</v>
      </c>
      <c r="C182" s="85">
        <v>0.73611111111111116</v>
      </c>
      <c r="D182" s="84" t="s">
        <v>83</v>
      </c>
      <c r="E182" s="84" t="s">
        <v>138</v>
      </c>
      <c r="F182" s="84" t="s">
        <v>96</v>
      </c>
      <c r="G182" s="175"/>
      <c r="H182" s="86" t="s">
        <v>160</v>
      </c>
      <c r="I182" s="97">
        <v>0.5363</v>
      </c>
      <c r="J182" s="88">
        <v>96</v>
      </c>
      <c r="K182" s="89">
        <v>45979</v>
      </c>
      <c r="L182" s="88">
        <v>15</v>
      </c>
      <c r="M182" s="88">
        <v>0</v>
      </c>
      <c r="N182" s="88">
        <v>3</v>
      </c>
      <c r="O182" s="90" t="s">
        <v>200</v>
      </c>
      <c r="P182" s="91">
        <v>0.73611111111111116</v>
      </c>
      <c r="Q182" s="88">
        <v>179</v>
      </c>
      <c r="R182" s="92" t="s">
        <v>201</v>
      </c>
    </row>
    <row r="183" spans="1:18" ht="15" customHeight="1" x14ac:dyDescent="0.3">
      <c r="A183" s="65" t="s">
        <v>81</v>
      </c>
      <c r="B183" s="65" t="s">
        <v>94</v>
      </c>
      <c r="C183" s="66">
        <v>0.45833333333333331</v>
      </c>
      <c r="D183" s="65" t="s">
        <v>83</v>
      </c>
      <c r="E183" s="65" t="s">
        <v>39</v>
      </c>
      <c r="F183" s="65" t="s">
        <v>96</v>
      </c>
      <c r="G183" s="175"/>
      <c r="H183" s="67" t="s">
        <v>97</v>
      </c>
      <c r="I183" s="98">
        <v>0.54190000000000005</v>
      </c>
      <c r="J183" s="69">
        <v>97</v>
      </c>
      <c r="K183" s="70">
        <v>45976</v>
      </c>
      <c r="L183" s="69">
        <v>7</v>
      </c>
      <c r="M183" s="69">
        <v>0</v>
      </c>
      <c r="N183" s="69">
        <v>0</v>
      </c>
      <c r="O183" s="71" t="s">
        <v>202</v>
      </c>
      <c r="P183" s="72">
        <v>0.45833333333333331</v>
      </c>
      <c r="Q183" s="69">
        <v>179</v>
      </c>
      <c r="R183" s="73" t="s">
        <v>203</v>
      </c>
    </row>
    <row r="184" spans="1:18" ht="15" customHeight="1" x14ac:dyDescent="0.3">
      <c r="A184" s="84" t="s">
        <v>81</v>
      </c>
      <c r="B184" s="84" t="s">
        <v>165</v>
      </c>
      <c r="C184" s="85">
        <v>0.61458333333333337</v>
      </c>
      <c r="D184" s="84" t="s">
        <v>83</v>
      </c>
      <c r="E184" s="84" t="s">
        <v>90</v>
      </c>
      <c r="F184" s="84" t="s">
        <v>96</v>
      </c>
      <c r="G184" s="175"/>
      <c r="H184" s="86" t="s">
        <v>167</v>
      </c>
      <c r="I184" s="97">
        <v>0.53069999999999995</v>
      </c>
      <c r="J184" s="88">
        <v>95</v>
      </c>
      <c r="K184" s="89">
        <v>45979</v>
      </c>
      <c r="L184" s="88">
        <v>19</v>
      </c>
      <c r="M184" s="88">
        <v>0</v>
      </c>
      <c r="N184" s="88">
        <v>1</v>
      </c>
      <c r="O184" s="90" t="s">
        <v>204</v>
      </c>
      <c r="P184" s="91">
        <v>0.61458333333333337</v>
      </c>
      <c r="Q184" s="88">
        <v>179</v>
      </c>
      <c r="R184" s="92" t="s">
        <v>205</v>
      </c>
    </row>
    <row r="185" spans="1:18" ht="15" customHeight="1" x14ac:dyDescent="0.3">
      <c r="A185" s="40" t="s">
        <v>81</v>
      </c>
      <c r="B185" s="40" t="s">
        <v>89</v>
      </c>
      <c r="C185" s="41">
        <v>0.31944444444444448</v>
      </c>
      <c r="D185" s="40" t="s">
        <v>83</v>
      </c>
      <c r="E185" s="40" t="s">
        <v>39</v>
      </c>
      <c r="F185" s="40" t="s">
        <v>162</v>
      </c>
      <c r="G185" s="175"/>
      <c r="H185" s="42" t="s">
        <v>91</v>
      </c>
      <c r="I185" s="74">
        <v>0.5978</v>
      </c>
      <c r="J185" s="44">
        <v>107</v>
      </c>
      <c r="K185" s="45">
        <v>45978</v>
      </c>
      <c r="L185" s="44">
        <v>21</v>
      </c>
      <c r="M185" s="44">
        <v>0</v>
      </c>
      <c r="N185" s="44">
        <v>0</v>
      </c>
      <c r="O185" s="46" t="s">
        <v>163</v>
      </c>
      <c r="P185" s="47">
        <v>0.31944444444444448</v>
      </c>
      <c r="Q185" s="44">
        <v>179</v>
      </c>
      <c r="R185" s="48" t="s">
        <v>206</v>
      </c>
    </row>
    <row r="186" spans="1:18" ht="15" customHeight="1" x14ac:dyDescent="0.3">
      <c r="A186" s="84" t="s">
        <v>81</v>
      </c>
      <c r="B186" s="84" t="s">
        <v>86</v>
      </c>
      <c r="C186" s="85">
        <v>0.9375</v>
      </c>
      <c r="D186" s="84" t="s">
        <v>207</v>
      </c>
      <c r="E186" s="99"/>
      <c r="F186" s="84" t="s">
        <v>208</v>
      </c>
      <c r="G186" s="175"/>
      <c r="H186" s="86" t="s">
        <v>86</v>
      </c>
      <c r="I186" s="87">
        <v>1.0172000000000001</v>
      </c>
      <c r="J186" s="88">
        <v>177</v>
      </c>
      <c r="K186" s="89">
        <v>45979</v>
      </c>
      <c r="L186" s="88">
        <v>7</v>
      </c>
      <c r="M186" s="88">
        <v>0</v>
      </c>
      <c r="N186" s="88">
        <v>1</v>
      </c>
      <c r="O186" s="90" t="s">
        <v>209</v>
      </c>
      <c r="P186" s="91">
        <v>0.9375</v>
      </c>
      <c r="Q186" s="88">
        <v>174</v>
      </c>
      <c r="R186" s="92" t="s">
        <v>210</v>
      </c>
    </row>
    <row r="187" spans="1:18" ht="15" customHeight="1" x14ac:dyDescent="0.3">
      <c r="A187" s="18" t="s">
        <v>104</v>
      </c>
      <c r="B187" s="18" t="s">
        <v>186</v>
      </c>
      <c r="C187" s="19">
        <v>0.22916666666666671</v>
      </c>
      <c r="D187" s="18" t="s">
        <v>106</v>
      </c>
      <c r="E187" s="18" t="s">
        <v>36</v>
      </c>
      <c r="F187" s="18" t="s">
        <v>211</v>
      </c>
      <c r="G187" s="175"/>
      <c r="H187" s="11"/>
      <c r="I187" s="12"/>
      <c r="J187" s="12"/>
      <c r="K187" s="12"/>
      <c r="L187" s="12"/>
      <c r="M187" s="12"/>
      <c r="N187" s="12"/>
      <c r="O187" s="13"/>
      <c r="P187" s="12"/>
      <c r="Q187" s="14"/>
      <c r="R187" s="15"/>
    </row>
    <row r="188" spans="1:18" ht="15" customHeight="1" x14ac:dyDescent="0.3">
      <c r="A188" s="16" t="s">
        <v>104</v>
      </c>
      <c r="B188" s="16" t="s">
        <v>188</v>
      </c>
      <c r="C188" s="17">
        <v>0.14583333333333329</v>
      </c>
      <c r="D188" s="16" t="s">
        <v>106</v>
      </c>
      <c r="E188" s="16" t="s">
        <v>109</v>
      </c>
      <c r="F188" s="16" t="s">
        <v>185</v>
      </c>
      <c r="G188" s="175"/>
      <c r="H188" s="11"/>
      <c r="I188" s="12"/>
      <c r="J188" s="12"/>
      <c r="K188" s="12"/>
      <c r="L188" s="12"/>
      <c r="M188" s="12"/>
      <c r="N188" s="12"/>
      <c r="O188" s="13"/>
      <c r="P188" s="12"/>
      <c r="Q188" s="14"/>
      <c r="R188" s="15"/>
    </row>
    <row r="189" spans="1:18" ht="15" customHeight="1" x14ac:dyDescent="0.3">
      <c r="A189" s="16" t="s">
        <v>104</v>
      </c>
      <c r="B189" s="16" t="s">
        <v>112</v>
      </c>
      <c r="C189" s="17">
        <v>0.96527777777777779</v>
      </c>
      <c r="D189" s="16" t="s">
        <v>106</v>
      </c>
      <c r="E189" s="16" t="s">
        <v>109</v>
      </c>
      <c r="F189" s="16" t="s">
        <v>185</v>
      </c>
      <c r="G189" s="175"/>
      <c r="H189" s="11"/>
      <c r="I189" s="12"/>
      <c r="J189" s="12"/>
      <c r="K189" s="12"/>
      <c r="L189" s="12"/>
      <c r="M189" s="12"/>
      <c r="N189" s="12"/>
      <c r="O189" s="13"/>
      <c r="P189" s="12"/>
      <c r="Q189" s="14"/>
      <c r="R189" s="15"/>
    </row>
    <row r="190" spans="1:18" ht="15" customHeight="1" x14ac:dyDescent="0.3">
      <c r="A190" s="16" t="s">
        <v>104</v>
      </c>
      <c r="B190" s="16" t="s">
        <v>184</v>
      </c>
      <c r="C190" s="17">
        <v>1.388888888888889E-2</v>
      </c>
      <c r="D190" s="16" t="s">
        <v>106</v>
      </c>
      <c r="E190" s="16" t="s">
        <v>109</v>
      </c>
      <c r="F190" s="16" t="s">
        <v>187</v>
      </c>
      <c r="G190" s="175"/>
      <c r="H190" s="11"/>
      <c r="I190" s="12"/>
      <c r="J190" s="12"/>
      <c r="K190" s="12"/>
      <c r="L190" s="12"/>
      <c r="M190" s="12"/>
      <c r="N190" s="12"/>
      <c r="O190" s="13"/>
      <c r="P190" s="12"/>
      <c r="Q190" s="14"/>
      <c r="R190" s="15"/>
    </row>
    <row r="191" spans="1:18" ht="15" customHeight="1" x14ac:dyDescent="0.3">
      <c r="A191" s="16" t="s">
        <v>104</v>
      </c>
      <c r="B191" s="16" t="s">
        <v>108</v>
      </c>
      <c r="C191" s="17">
        <v>0.27777777777777779</v>
      </c>
      <c r="D191" s="16" t="s">
        <v>106</v>
      </c>
      <c r="E191" s="16" t="s">
        <v>109</v>
      </c>
      <c r="F191" s="16" t="s">
        <v>127</v>
      </c>
      <c r="G191" s="175"/>
      <c r="H191" s="11"/>
      <c r="I191" s="12"/>
      <c r="J191" s="12"/>
      <c r="K191" s="12"/>
      <c r="L191" s="12"/>
      <c r="M191" s="12"/>
      <c r="N191" s="12"/>
      <c r="O191" s="13"/>
      <c r="P191" s="12"/>
      <c r="Q191" s="14"/>
      <c r="R191" s="15"/>
    </row>
    <row r="192" spans="1:18" ht="15" customHeight="1" x14ac:dyDescent="0.3">
      <c r="A192" s="16" t="s">
        <v>104</v>
      </c>
      <c r="B192" s="16" t="s">
        <v>114</v>
      </c>
      <c r="C192" s="17">
        <v>0.79166666666666663</v>
      </c>
      <c r="D192" s="16" t="s">
        <v>106</v>
      </c>
      <c r="E192" s="16" t="s">
        <v>109</v>
      </c>
      <c r="F192" s="16" t="s">
        <v>127</v>
      </c>
      <c r="G192" s="175"/>
      <c r="H192" s="11"/>
      <c r="I192" s="12"/>
      <c r="J192" s="12"/>
      <c r="K192" s="12"/>
      <c r="L192" s="12"/>
      <c r="M192" s="12"/>
      <c r="N192" s="12"/>
      <c r="O192" s="13"/>
      <c r="P192" s="12"/>
      <c r="Q192" s="14"/>
      <c r="R192" s="15"/>
    </row>
    <row r="193" spans="1:18" ht="15" customHeight="1" x14ac:dyDescent="0.3">
      <c r="A193" s="16" t="s">
        <v>104</v>
      </c>
      <c r="B193" s="16" t="s">
        <v>105</v>
      </c>
      <c r="C193" s="17">
        <v>0.50694444444444442</v>
      </c>
      <c r="D193" s="16" t="s">
        <v>106</v>
      </c>
      <c r="E193" s="16" t="s">
        <v>109</v>
      </c>
      <c r="F193" s="16" t="s">
        <v>189</v>
      </c>
      <c r="G193" s="175"/>
      <c r="H193" s="11"/>
      <c r="I193" s="12"/>
      <c r="J193" s="12"/>
      <c r="K193" s="12"/>
      <c r="L193" s="12"/>
      <c r="M193" s="12"/>
      <c r="N193" s="12"/>
      <c r="O193" s="13"/>
      <c r="P193" s="12"/>
      <c r="Q193" s="14"/>
      <c r="R193" s="15"/>
    </row>
    <row r="194" spans="1:18" ht="15" customHeight="1" x14ac:dyDescent="0.3">
      <c r="A194" s="18" t="s">
        <v>115</v>
      </c>
      <c r="B194" s="18" t="s">
        <v>126</v>
      </c>
      <c r="C194" s="19">
        <v>0.71875</v>
      </c>
      <c r="D194" s="18" t="s">
        <v>117</v>
      </c>
      <c r="E194" s="18" t="s">
        <v>36</v>
      </c>
      <c r="F194" s="18" t="s">
        <v>127</v>
      </c>
      <c r="G194" s="175"/>
      <c r="H194" s="11"/>
      <c r="I194" s="12"/>
      <c r="J194" s="12"/>
      <c r="K194" s="12"/>
      <c r="L194" s="12"/>
      <c r="M194" s="12"/>
      <c r="N194" s="12"/>
      <c r="O194" s="13"/>
      <c r="P194" s="12"/>
      <c r="Q194" s="14"/>
      <c r="R194" s="15"/>
    </row>
    <row r="195" spans="1:18" ht="15" customHeight="1" x14ac:dyDescent="0.3">
      <c r="A195" s="20" t="s">
        <v>115</v>
      </c>
      <c r="B195" s="20" t="s">
        <v>126</v>
      </c>
      <c r="C195" s="21">
        <v>0.71875</v>
      </c>
      <c r="D195" s="20" t="s">
        <v>119</v>
      </c>
      <c r="E195" s="20" t="s">
        <v>120</v>
      </c>
      <c r="F195" s="20" t="s">
        <v>128</v>
      </c>
      <c r="G195" s="175"/>
      <c r="H195" s="11"/>
      <c r="I195" s="12"/>
      <c r="J195" s="12"/>
      <c r="K195" s="12"/>
      <c r="L195" s="12"/>
      <c r="M195" s="12"/>
      <c r="N195" s="12"/>
      <c r="O195" s="13"/>
      <c r="P195" s="12"/>
      <c r="Q195" s="14"/>
      <c r="R195" s="15"/>
    </row>
    <row r="196" spans="1:18" ht="15" customHeight="1" x14ac:dyDescent="0.3">
      <c r="A196" s="16" t="s">
        <v>115</v>
      </c>
      <c r="B196" s="16" t="s">
        <v>173</v>
      </c>
      <c r="C196" s="17">
        <v>0.23958333333333329</v>
      </c>
      <c r="D196" s="16" t="s">
        <v>117</v>
      </c>
      <c r="E196" s="16" t="s">
        <v>109</v>
      </c>
      <c r="F196" s="16" t="s">
        <v>127</v>
      </c>
      <c r="G196" s="175"/>
      <c r="H196" s="11"/>
      <c r="I196" s="12"/>
      <c r="J196" s="12"/>
      <c r="K196" s="12"/>
      <c r="L196" s="12"/>
      <c r="M196" s="12"/>
      <c r="N196" s="12"/>
      <c r="O196" s="13"/>
      <c r="P196" s="12"/>
      <c r="Q196" s="14"/>
      <c r="R196" s="15"/>
    </row>
    <row r="197" spans="1:18" ht="15" customHeight="1" x14ac:dyDescent="0.3">
      <c r="A197" s="20" t="s">
        <v>115</v>
      </c>
      <c r="B197" s="20" t="s">
        <v>173</v>
      </c>
      <c r="C197" s="21">
        <v>0.23958333333333329</v>
      </c>
      <c r="D197" s="20" t="s">
        <v>119</v>
      </c>
      <c r="E197" s="20" t="s">
        <v>120</v>
      </c>
      <c r="F197" s="20" t="s">
        <v>128</v>
      </c>
      <c r="G197" s="175"/>
      <c r="H197" s="11"/>
      <c r="I197" s="12"/>
      <c r="J197" s="12"/>
      <c r="K197" s="12"/>
      <c r="L197" s="12"/>
      <c r="M197" s="12"/>
      <c r="N197" s="12"/>
      <c r="O197" s="13"/>
      <c r="P197" s="12"/>
      <c r="Q197" s="14"/>
      <c r="R197" s="15"/>
    </row>
    <row r="198" spans="1:18" ht="15" customHeight="1" x14ac:dyDescent="0.3">
      <c r="A198" s="16" t="s">
        <v>115</v>
      </c>
      <c r="B198" s="16" t="s">
        <v>174</v>
      </c>
      <c r="C198" s="17">
        <v>0.1423611111111111</v>
      </c>
      <c r="D198" s="16" t="s">
        <v>117</v>
      </c>
      <c r="E198" s="16" t="s">
        <v>109</v>
      </c>
      <c r="F198" s="16" t="s">
        <v>127</v>
      </c>
      <c r="G198" s="175"/>
      <c r="H198" s="11"/>
      <c r="I198" s="12"/>
      <c r="J198" s="12"/>
      <c r="K198" s="12"/>
      <c r="L198" s="12"/>
      <c r="M198" s="12"/>
      <c r="N198" s="12"/>
      <c r="O198" s="13"/>
      <c r="P198" s="12"/>
      <c r="Q198" s="14"/>
      <c r="R198" s="15"/>
    </row>
    <row r="199" spans="1:18" ht="15" customHeight="1" x14ac:dyDescent="0.3">
      <c r="A199" s="20" t="s">
        <v>115</v>
      </c>
      <c r="B199" s="20" t="s">
        <v>174</v>
      </c>
      <c r="C199" s="21">
        <v>0.1423611111111111</v>
      </c>
      <c r="D199" s="20" t="s">
        <v>119</v>
      </c>
      <c r="E199" s="20" t="s">
        <v>120</v>
      </c>
      <c r="F199" s="20" t="s">
        <v>128</v>
      </c>
      <c r="G199" s="175"/>
      <c r="H199" s="11"/>
      <c r="I199" s="12"/>
      <c r="J199" s="12"/>
      <c r="K199" s="12"/>
      <c r="L199" s="12"/>
      <c r="M199" s="12"/>
      <c r="N199" s="12"/>
      <c r="O199" s="13"/>
      <c r="P199" s="12"/>
      <c r="Q199" s="14"/>
      <c r="R199" s="15"/>
    </row>
    <row r="200" spans="1:18" ht="15" customHeight="1" x14ac:dyDescent="0.3">
      <c r="A200" s="16" t="s">
        <v>115</v>
      </c>
      <c r="B200" s="16" t="s">
        <v>122</v>
      </c>
      <c r="C200" s="17">
        <v>0.93055555555555547</v>
      </c>
      <c r="D200" s="16" t="s">
        <v>117</v>
      </c>
      <c r="E200" s="16" t="s">
        <v>109</v>
      </c>
      <c r="F200" s="16" t="s">
        <v>127</v>
      </c>
      <c r="G200" s="175"/>
      <c r="H200" s="11"/>
      <c r="I200" s="12"/>
      <c r="J200" s="12"/>
      <c r="K200" s="12"/>
      <c r="L200" s="12"/>
      <c r="M200" s="12"/>
      <c r="N200" s="12"/>
      <c r="O200" s="13"/>
      <c r="P200" s="12"/>
      <c r="Q200" s="14"/>
      <c r="R200" s="15"/>
    </row>
    <row r="201" spans="1:18" ht="15" customHeight="1" x14ac:dyDescent="0.3">
      <c r="A201" s="20" t="s">
        <v>115</v>
      </c>
      <c r="B201" s="20" t="s">
        <v>122</v>
      </c>
      <c r="C201" s="21">
        <v>0.93055555555555547</v>
      </c>
      <c r="D201" s="20" t="s">
        <v>119</v>
      </c>
      <c r="E201" s="20" t="s">
        <v>120</v>
      </c>
      <c r="F201" s="20" t="s">
        <v>128</v>
      </c>
      <c r="G201" s="175"/>
      <c r="H201" s="11"/>
      <c r="I201" s="12"/>
      <c r="J201" s="12"/>
      <c r="K201" s="12"/>
      <c r="L201" s="12"/>
      <c r="M201" s="12"/>
      <c r="N201" s="12"/>
      <c r="O201" s="13"/>
      <c r="P201" s="12"/>
      <c r="Q201" s="14"/>
      <c r="R201" s="15"/>
    </row>
    <row r="202" spans="1:18" ht="15" customHeight="1" x14ac:dyDescent="0.3">
      <c r="A202" s="16" t="s">
        <v>115</v>
      </c>
      <c r="B202" s="16" t="s">
        <v>125</v>
      </c>
      <c r="C202" s="17">
        <v>0.82986111111111116</v>
      </c>
      <c r="D202" s="16" t="s">
        <v>117</v>
      </c>
      <c r="E202" s="16" t="s">
        <v>109</v>
      </c>
      <c r="F202" s="16" t="s">
        <v>127</v>
      </c>
      <c r="G202" s="175"/>
      <c r="H202" s="11"/>
      <c r="I202" s="12"/>
      <c r="J202" s="12"/>
      <c r="K202" s="12"/>
      <c r="L202" s="12"/>
      <c r="M202" s="12"/>
      <c r="N202" s="12"/>
      <c r="O202" s="13"/>
      <c r="P202" s="12"/>
      <c r="Q202" s="14"/>
      <c r="R202" s="15"/>
    </row>
    <row r="203" spans="1:18" ht="15" customHeight="1" x14ac:dyDescent="0.3">
      <c r="A203" s="20" t="s">
        <v>115</v>
      </c>
      <c r="B203" s="20" t="s">
        <v>125</v>
      </c>
      <c r="C203" s="21">
        <v>0.82986111111111116</v>
      </c>
      <c r="D203" s="20" t="s">
        <v>119</v>
      </c>
      <c r="E203" s="20" t="s">
        <v>120</v>
      </c>
      <c r="F203" s="20" t="s">
        <v>128</v>
      </c>
      <c r="G203" s="175"/>
      <c r="H203" s="11"/>
      <c r="I203" s="12"/>
      <c r="J203" s="12"/>
      <c r="K203" s="12"/>
      <c r="L203" s="12"/>
      <c r="M203" s="12"/>
      <c r="N203" s="12"/>
      <c r="O203" s="13"/>
      <c r="P203" s="12"/>
      <c r="Q203" s="14"/>
      <c r="R203" s="15"/>
    </row>
    <row r="204" spans="1:18" ht="15" customHeight="1" x14ac:dyDescent="0.3">
      <c r="A204" s="16" t="s">
        <v>115</v>
      </c>
      <c r="B204" s="16" t="s">
        <v>116</v>
      </c>
      <c r="C204" s="17">
        <v>0.37847222222222232</v>
      </c>
      <c r="D204" s="16" t="s">
        <v>117</v>
      </c>
      <c r="E204" s="16" t="s">
        <v>109</v>
      </c>
      <c r="F204" s="16" t="s">
        <v>176</v>
      </c>
      <c r="G204" s="175"/>
      <c r="H204" s="11"/>
      <c r="I204" s="12"/>
      <c r="J204" s="12"/>
      <c r="K204" s="12"/>
      <c r="L204" s="12"/>
      <c r="M204" s="12"/>
      <c r="N204" s="12"/>
      <c r="O204" s="13"/>
      <c r="P204" s="12"/>
      <c r="Q204" s="14"/>
      <c r="R204" s="15"/>
    </row>
    <row r="205" spans="1:18" ht="15" customHeight="1" x14ac:dyDescent="0.3">
      <c r="A205" s="20" t="s">
        <v>115</v>
      </c>
      <c r="B205" s="20" t="s">
        <v>116</v>
      </c>
      <c r="C205" s="21">
        <v>0.37847222222222232</v>
      </c>
      <c r="D205" s="20" t="s">
        <v>119</v>
      </c>
      <c r="E205" s="20" t="s">
        <v>120</v>
      </c>
      <c r="F205" s="20" t="s">
        <v>177</v>
      </c>
      <c r="G205" s="175"/>
      <c r="H205" s="11"/>
      <c r="I205" s="12"/>
      <c r="J205" s="12"/>
      <c r="K205" s="12"/>
      <c r="L205" s="12"/>
      <c r="M205" s="12"/>
      <c r="N205" s="12"/>
      <c r="O205" s="13"/>
      <c r="P205" s="12"/>
      <c r="Q205" s="14"/>
      <c r="R205" s="15"/>
    </row>
    <row r="206" spans="1:18" ht="15" customHeight="1" x14ac:dyDescent="0.3">
      <c r="A206" s="16" t="s">
        <v>115</v>
      </c>
      <c r="B206" s="16" t="s">
        <v>129</v>
      </c>
      <c r="C206" s="17">
        <v>0.61111111111111105</v>
      </c>
      <c r="D206" s="16" t="s">
        <v>117</v>
      </c>
      <c r="E206" s="16" t="s">
        <v>109</v>
      </c>
      <c r="F206" s="16" t="s">
        <v>176</v>
      </c>
      <c r="G206" s="175"/>
      <c r="H206" s="11"/>
      <c r="I206" s="12"/>
      <c r="J206" s="12"/>
      <c r="K206" s="12"/>
      <c r="L206" s="12"/>
      <c r="M206" s="12"/>
      <c r="N206" s="12"/>
      <c r="O206" s="13"/>
      <c r="P206" s="12"/>
      <c r="Q206" s="14"/>
      <c r="R206" s="15"/>
    </row>
    <row r="207" spans="1:18" ht="15" customHeight="1" x14ac:dyDescent="0.3">
      <c r="A207" s="20" t="s">
        <v>115</v>
      </c>
      <c r="B207" s="20" t="s">
        <v>129</v>
      </c>
      <c r="C207" s="21">
        <v>0.61111111111111105</v>
      </c>
      <c r="D207" s="20" t="s">
        <v>119</v>
      </c>
      <c r="E207" s="20" t="s">
        <v>120</v>
      </c>
      <c r="F207" s="20" t="s">
        <v>177</v>
      </c>
      <c r="G207" s="175"/>
      <c r="H207" s="11"/>
      <c r="I207" s="12"/>
      <c r="J207" s="12"/>
      <c r="K207" s="12"/>
      <c r="L207" s="12"/>
      <c r="M207" s="12"/>
      <c r="N207" s="12"/>
      <c r="O207" s="13"/>
      <c r="P207" s="12"/>
      <c r="Q207" s="14"/>
      <c r="R207" s="15"/>
    </row>
    <row r="208" spans="1:18" ht="15" customHeight="1" x14ac:dyDescent="0.3">
      <c r="A208" s="16" t="s">
        <v>115</v>
      </c>
      <c r="B208" s="16" t="s">
        <v>175</v>
      </c>
      <c r="C208" s="17">
        <v>6.9444444444444441E-3</v>
      </c>
      <c r="D208" s="16" t="s">
        <v>117</v>
      </c>
      <c r="E208" s="16" t="s">
        <v>109</v>
      </c>
      <c r="F208" s="16" t="s">
        <v>176</v>
      </c>
      <c r="G208" s="175"/>
      <c r="H208" s="11"/>
      <c r="I208" s="12"/>
      <c r="J208" s="12"/>
      <c r="K208" s="12"/>
      <c r="L208" s="12"/>
      <c r="M208" s="12"/>
      <c r="N208" s="12"/>
      <c r="O208" s="13"/>
      <c r="P208" s="12"/>
      <c r="Q208" s="14"/>
      <c r="R208" s="15"/>
    </row>
    <row r="209" spans="1:18" ht="15" customHeight="1" x14ac:dyDescent="0.3">
      <c r="A209" s="20" t="s">
        <v>115</v>
      </c>
      <c r="B209" s="20" t="s">
        <v>175</v>
      </c>
      <c r="C209" s="21">
        <v>6.9444444444444441E-3</v>
      </c>
      <c r="D209" s="20" t="s">
        <v>119</v>
      </c>
      <c r="E209" s="20" t="s">
        <v>120</v>
      </c>
      <c r="F209" s="20" t="s">
        <v>177</v>
      </c>
      <c r="G209" s="175"/>
      <c r="H209" s="11"/>
      <c r="I209" s="12"/>
      <c r="J209" s="12"/>
      <c r="K209" s="12"/>
      <c r="L209" s="12"/>
      <c r="M209" s="12"/>
      <c r="N209" s="12"/>
      <c r="O209" s="13"/>
      <c r="P209" s="12"/>
      <c r="Q209" s="14"/>
      <c r="R209" s="15"/>
    </row>
    <row r="210" spans="1:18" ht="15" customHeight="1" x14ac:dyDescent="0.3">
      <c r="A210" s="16" t="s">
        <v>115</v>
      </c>
      <c r="B210" s="16" t="s">
        <v>130</v>
      </c>
      <c r="C210" s="17">
        <v>0.88888888888888884</v>
      </c>
      <c r="D210" s="16" t="s">
        <v>119</v>
      </c>
      <c r="E210" s="16" t="s">
        <v>95</v>
      </c>
      <c r="F210" s="16" t="s">
        <v>131</v>
      </c>
      <c r="G210" s="175"/>
      <c r="H210" s="11"/>
      <c r="I210" s="12"/>
      <c r="J210" s="12"/>
      <c r="K210" s="12"/>
      <c r="L210" s="12"/>
      <c r="M210" s="12"/>
      <c r="N210" s="12"/>
      <c r="O210" s="13"/>
      <c r="P210" s="12"/>
      <c r="Q210" s="14"/>
      <c r="R210" s="15"/>
    </row>
    <row r="211" spans="1:18" ht="15" customHeight="1" x14ac:dyDescent="0.3">
      <c r="A211" s="16" t="s">
        <v>115</v>
      </c>
      <c r="B211" s="16" t="s">
        <v>178</v>
      </c>
      <c r="C211" s="17">
        <v>0.30208333333333331</v>
      </c>
      <c r="D211" s="16" t="s">
        <v>119</v>
      </c>
      <c r="E211" s="16" t="s">
        <v>95</v>
      </c>
      <c r="F211" s="16" t="s">
        <v>131</v>
      </c>
      <c r="G211" s="175"/>
      <c r="H211" s="11"/>
      <c r="I211" s="12"/>
      <c r="J211" s="12"/>
      <c r="K211" s="12"/>
      <c r="L211" s="12"/>
      <c r="M211" s="12"/>
      <c r="N211" s="12"/>
      <c r="O211" s="13"/>
      <c r="P211" s="12"/>
      <c r="Q211" s="14"/>
      <c r="R211" s="15"/>
    </row>
    <row r="212" spans="1:18" ht="15" customHeight="1" x14ac:dyDescent="0.3">
      <c r="A212" s="16" t="s">
        <v>115</v>
      </c>
      <c r="B212" s="16" t="s">
        <v>179</v>
      </c>
      <c r="C212" s="17">
        <v>0.12847222222222221</v>
      </c>
      <c r="D212" s="16" t="s">
        <v>119</v>
      </c>
      <c r="E212" s="16" t="s">
        <v>95</v>
      </c>
      <c r="F212" s="16" t="s">
        <v>131</v>
      </c>
      <c r="G212" s="175"/>
      <c r="H212" s="11"/>
      <c r="I212" s="12"/>
      <c r="J212" s="12"/>
      <c r="K212" s="12"/>
      <c r="L212" s="12"/>
      <c r="M212" s="12"/>
      <c r="N212" s="12"/>
      <c r="O212" s="13"/>
      <c r="P212" s="12"/>
      <c r="Q212" s="14"/>
      <c r="R212" s="15"/>
    </row>
    <row r="213" spans="1:18" ht="15" customHeight="1" thickBot="1" x14ac:dyDescent="0.35">
      <c r="A213" s="49" t="s">
        <v>115</v>
      </c>
      <c r="B213" s="49" t="s">
        <v>132</v>
      </c>
      <c r="C213" s="50">
        <v>0.78819444444444453</v>
      </c>
      <c r="D213" s="49" t="s">
        <v>119</v>
      </c>
      <c r="E213" s="49" t="s">
        <v>95</v>
      </c>
      <c r="F213" s="49" t="s">
        <v>131</v>
      </c>
      <c r="G213" s="176"/>
      <c r="H213" s="51"/>
      <c r="I213" s="52"/>
      <c r="J213" s="52"/>
      <c r="K213" s="52"/>
      <c r="L213" s="52"/>
      <c r="M213" s="52"/>
      <c r="N213" s="52"/>
      <c r="O213" s="53"/>
      <c r="P213" s="52"/>
      <c r="Q213" s="54"/>
      <c r="R213" s="55"/>
    </row>
    <row r="214" spans="1:18" ht="17.399999999999999" customHeight="1" thickBot="1" x14ac:dyDescent="0.35">
      <c r="A214" s="213"/>
      <c r="B214" s="214"/>
      <c r="C214" s="214"/>
      <c r="D214" s="214"/>
      <c r="E214" s="214"/>
      <c r="F214" s="214"/>
      <c r="G214" s="214"/>
      <c r="H214" s="214"/>
      <c r="I214" s="214"/>
      <c r="J214" s="214"/>
      <c r="K214" s="214"/>
      <c r="L214" s="214"/>
      <c r="M214" s="214"/>
      <c r="N214" s="214"/>
      <c r="O214" s="214"/>
      <c r="P214" s="214"/>
      <c r="Q214" s="214"/>
      <c r="R214" s="215"/>
    </row>
    <row r="215" spans="1:18" ht="22.05" customHeight="1" thickTop="1" thickBot="1" x14ac:dyDescent="0.55000000000000004">
      <c r="A215" s="189" t="s">
        <v>6</v>
      </c>
      <c r="B215" s="190"/>
      <c r="C215" s="190"/>
      <c r="D215" s="190"/>
      <c r="E215" s="190"/>
      <c r="F215" s="190"/>
      <c r="G215" s="56">
        <v>45983</v>
      </c>
      <c r="H215" s="172" t="s">
        <v>7</v>
      </c>
      <c r="I215" s="173"/>
      <c r="J215" s="173"/>
      <c r="K215" s="173"/>
      <c r="L215" s="173"/>
      <c r="M215" s="173"/>
      <c r="N215" s="173"/>
      <c r="O215" s="173"/>
      <c r="P215" s="173"/>
      <c r="Q215" s="173"/>
      <c r="R215" s="173"/>
    </row>
    <row r="216" spans="1:18" ht="24" customHeight="1" x14ac:dyDescent="0.3">
      <c r="A216" s="57" t="s">
        <v>8</v>
      </c>
      <c r="B216" s="57" t="s">
        <v>9</v>
      </c>
      <c r="C216" s="58" t="s">
        <v>10</v>
      </c>
      <c r="D216" s="57" t="s">
        <v>11</v>
      </c>
      <c r="E216" s="57" t="s">
        <v>12</v>
      </c>
      <c r="F216" s="59" t="s">
        <v>13</v>
      </c>
      <c r="G216" s="60" t="s">
        <v>14</v>
      </c>
      <c r="H216" s="57" t="s">
        <v>15</v>
      </c>
      <c r="I216" s="61" t="s">
        <v>16</v>
      </c>
      <c r="J216" s="62" t="s">
        <v>17</v>
      </c>
      <c r="K216" s="63" t="s">
        <v>18</v>
      </c>
      <c r="L216" s="62" t="s">
        <v>19</v>
      </c>
      <c r="M216" s="62" t="s">
        <v>20</v>
      </c>
      <c r="N216" s="62" t="s">
        <v>21</v>
      </c>
      <c r="O216" s="57" t="s">
        <v>22</v>
      </c>
      <c r="P216" s="58" t="s">
        <v>23</v>
      </c>
      <c r="Q216" s="62" t="s">
        <v>24</v>
      </c>
      <c r="R216" s="57" t="s">
        <v>25</v>
      </c>
    </row>
    <row r="217" spans="1:18" ht="15" customHeight="1" x14ac:dyDescent="0.3">
      <c r="A217" s="9" t="s">
        <v>41</v>
      </c>
      <c r="B217" s="9" t="s">
        <v>133</v>
      </c>
      <c r="C217" s="10">
        <v>0.12847222222222221</v>
      </c>
      <c r="D217" s="9" t="s">
        <v>43</v>
      </c>
      <c r="E217" s="9" t="s">
        <v>103</v>
      </c>
      <c r="F217" s="9" t="s">
        <v>212</v>
      </c>
      <c r="G217" s="174"/>
      <c r="H217" s="11"/>
      <c r="I217" s="12"/>
      <c r="J217" s="12"/>
      <c r="K217" s="12"/>
      <c r="L217" s="12"/>
      <c r="M217" s="12"/>
      <c r="N217" s="12"/>
      <c r="O217" s="13"/>
      <c r="P217" s="12"/>
      <c r="Q217" s="14"/>
      <c r="R217" s="15"/>
    </row>
    <row r="218" spans="1:18" ht="15" customHeight="1" x14ac:dyDescent="0.3">
      <c r="A218" s="20" t="s">
        <v>41</v>
      </c>
      <c r="B218" s="20" t="s">
        <v>133</v>
      </c>
      <c r="C218" s="21">
        <v>0.12847222222222221</v>
      </c>
      <c r="D218" s="20" t="s">
        <v>45</v>
      </c>
      <c r="E218" s="20" t="s">
        <v>192</v>
      </c>
      <c r="F218" s="20" t="s">
        <v>213</v>
      </c>
      <c r="G218" s="175"/>
      <c r="H218" s="11"/>
      <c r="I218" s="12"/>
      <c r="J218" s="12"/>
      <c r="K218" s="12"/>
      <c r="L218" s="12"/>
      <c r="M218" s="12"/>
      <c r="N218" s="12"/>
      <c r="O218" s="13"/>
      <c r="P218" s="12"/>
      <c r="Q218" s="14"/>
      <c r="R218" s="15"/>
    </row>
    <row r="219" spans="1:18" ht="15" customHeight="1" x14ac:dyDescent="0.3">
      <c r="A219" s="20" t="s">
        <v>41</v>
      </c>
      <c r="B219" s="20" t="s">
        <v>133</v>
      </c>
      <c r="C219" s="21">
        <v>0.12847222222222221</v>
      </c>
      <c r="D219" s="20" t="s">
        <v>48</v>
      </c>
      <c r="E219" s="20" t="s">
        <v>192</v>
      </c>
      <c r="F219" s="20" t="s">
        <v>49</v>
      </c>
      <c r="G219" s="175"/>
      <c r="H219" s="11"/>
      <c r="I219" s="12"/>
      <c r="J219" s="12"/>
      <c r="K219" s="12"/>
      <c r="L219" s="12"/>
      <c r="M219" s="12"/>
      <c r="N219" s="12"/>
      <c r="O219" s="13"/>
      <c r="P219" s="12"/>
      <c r="Q219" s="14"/>
      <c r="R219" s="15"/>
    </row>
    <row r="220" spans="1:18" ht="15" customHeight="1" x14ac:dyDescent="0.3">
      <c r="A220" s="16" t="s">
        <v>41</v>
      </c>
      <c r="B220" s="16" t="s">
        <v>42</v>
      </c>
      <c r="C220" s="17">
        <v>0.30208333333333331</v>
      </c>
      <c r="D220" s="16" t="s">
        <v>43</v>
      </c>
      <c r="E220" s="16" t="s">
        <v>39</v>
      </c>
      <c r="F220" s="16" t="s">
        <v>44</v>
      </c>
      <c r="G220" s="175"/>
      <c r="H220" s="11"/>
      <c r="I220" s="12"/>
      <c r="J220" s="12"/>
      <c r="K220" s="12"/>
      <c r="L220" s="12"/>
      <c r="M220" s="12"/>
      <c r="N220" s="12"/>
      <c r="O220" s="13"/>
      <c r="P220" s="12"/>
      <c r="Q220" s="14"/>
      <c r="R220" s="15"/>
    </row>
    <row r="221" spans="1:18" ht="15" customHeight="1" x14ac:dyDescent="0.3">
      <c r="A221" s="20" t="s">
        <v>41</v>
      </c>
      <c r="B221" s="20" t="s">
        <v>42</v>
      </c>
      <c r="C221" s="21">
        <v>0.30208333333333331</v>
      </c>
      <c r="D221" s="20" t="s">
        <v>45</v>
      </c>
      <c r="E221" s="20" t="s">
        <v>80</v>
      </c>
      <c r="F221" s="20" t="s">
        <v>47</v>
      </c>
      <c r="G221" s="175"/>
      <c r="H221" s="11"/>
      <c r="I221" s="12"/>
      <c r="J221" s="12"/>
      <c r="K221" s="12"/>
      <c r="L221" s="12"/>
      <c r="M221" s="12"/>
      <c r="N221" s="12"/>
      <c r="O221" s="13"/>
      <c r="P221" s="12"/>
      <c r="Q221" s="14"/>
      <c r="R221" s="15"/>
    </row>
    <row r="222" spans="1:18" ht="15" customHeight="1" x14ac:dyDescent="0.3">
      <c r="A222" s="20" t="s">
        <v>41</v>
      </c>
      <c r="B222" s="20" t="s">
        <v>42</v>
      </c>
      <c r="C222" s="21">
        <v>0.30208333333333331</v>
      </c>
      <c r="D222" s="20" t="s">
        <v>48</v>
      </c>
      <c r="E222" s="20" t="s">
        <v>80</v>
      </c>
      <c r="F222" s="20" t="s">
        <v>49</v>
      </c>
      <c r="G222" s="175"/>
      <c r="H222" s="11"/>
      <c r="I222" s="12"/>
      <c r="J222" s="12"/>
      <c r="K222" s="12"/>
      <c r="L222" s="12"/>
      <c r="M222" s="12"/>
      <c r="N222" s="12"/>
      <c r="O222" s="13"/>
      <c r="P222" s="12"/>
      <c r="Q222" s="14"/>
      <c r="R222" s="15"/>
    </row>
    <row r="223" spans="1:18" ht="15" customHeight="1" x14ac:dyDescent="0.3">
      <c r="A223" s="16" t="s">
        <v>41</v>
      </c>
      <c r="B223" s="16" t="s">
        <v>56</v>
      </c>
      <c r="C223" s="17">
        <v>0.88888888888888884</v>
      </c>
      <c r="D223" s="16" t="s">
        <v>43</v>
      </c>
      <c r="E223" s="16" t="s">
        <v>57</v>
      </c>
      <c r="F223" s="16" t="s">
        <v>52</v>
      </c>
      <c r="G223" s="175"/>
      <c r="H223" s="11"/>
      <c r="I223" s="12"/>
      <c r="J223" s="12"/>
      <c r="K223" s="12"/>
      <c r="L223" s="12"/>
      <c r="M223" s="12"/>
      <c r="N223" s="12"/>
      <c r="O223" s="13"/>
      <c r="P223" s="12"/>
      <c r="Q223" s="14"/>
      <c r="R223" s="15"/>
    </row>
    <row r="224" spans="1:18" ht="15" customHeight="1" x14ac:dyDescent="0.3">
      <c r="A224" s="20" t="s">
        <v>41</v>
      </c>
      <c r="B224" s="20" t="s">
        <v>56</v>
      </c>
      <c r="C224" s="21">
        <v>0.88888888888888884</v>
      </c>
      <c r="D224" s="20" t="s">
        <v>45</v>
      </c>
      <c r="E224" s="20" t="s">
        <v>59</v>
      </c>
      <c r="F224" s="20" t="s">
        <v>54</v>
      </c>
      <c r="G224" s="175"/>
      <c r="H224" s="11"/>
      <c r="I224" s="12"/>
      <c r="J224" s="12"/>
      <c r="K224" s="12"/>
      <c r="L224" s="12"/>
      <c r="M224" s="12"/>
      <c r="N224" s="12"/>
      <c r="O224" s="13"/>
      <c r="P224" s="12"/>
      <c r="Q224" s="14"/>
      <c r="R224" s="15"/>
    </row>
    <row r="225" spans="1:18" ht="15" customHeight="1" x14ac:dyDescent="0.3">
      <c r="A225" s="20" t="s">
        <v>41</v>
      </c>
      <c r="B225" s="20" t="s">
        <v>56</v>
      </c>
      <c r="C225" s="21">
        <v>0.88888888888888884</v>
      </c>
      <c r="D225" s="20" t="s">
        <v>48</v>
      </c>
      <c r="E225" s="20" t="s">
        <v>59</v>
      </c>
      <c r="F225" s="20" t="s">
        <v>49</v>
      </c>
      <c r="G225" s="175"/>
      <c r="H225" s="11"/>
      <c r="I225" s="12"/>
      <c r="J225" s="12"/>
      <c r="K225" s="12"/>
      <c r="L225" s="12"/>
      <c r="M225" s="12"/>
      <c r="N225" s="12"/>
      <c r="O225" s="13"/>
      <c r="P225" s="12"/>
      <c r="Q225" s="14"/>
      <c r="R225" s="15"/>
    </row>
    <row r="226" spans="1:18" ht="15" customHeight="1" x14ac:dyDescent="0.3">
      <c r="A226" s="16" t="s">
        <v>41</v>
      </c>
      <c r="B226" s="16" t="s">
        <v>50</v>
      </c>
      <c r="C226" s="17">
        <v>0.78819444444444453</v>
      </c>
      <c r="D226" s="16" t="s">
        <v>43</v>
      </c>
      <c r="E226" s="16" t="s">
        <v>57</v>
      </c>
      <c r="F226" s="16" t="s">
        <v>58</v>
      </c>
      <c r="G226" s="175"/>
      <c r="H226" s="11"/>
      <c r="I226" s="12"/>
      <c r="J226" s="12"/>
      <c r="K226" s="12"/>
      <c r="L226" s="12"/>
      <c r="M226" s="12"/>
      <c r="N226" s="12"/>
      <c r="O226" s="13"/>
      <c r="P226" s="12"/>
      <c r="Q226" s="14"/>
      <c r="R226" s="15"/>
    </row>
    <row r="227" spans="1:18" ht="15" customHeight="1" x14ac:dyDescent="0.3">
      <c r="A227" s="20" t="s">
        <v>41</v>
      </c>
      <c r="B227" s="20" t="s">
        <v>50</v>
      </c>
      <c r="C227" s="21">
        <v>0.78819444444444453</v>
      </c>
      <c r="D227" s="20" t="s">
        <v>45</v>
      </c>
      <c r="E227" s="20" t="s">
        <v>59</v>
      </c>
      <c r="F227" s="20" t="s">
        <v>60</v>
      </c>
      <c r="G227" s="175"/>
      <c r="H227" s="11"/>
      <c r="I227" s="12"/>
      <c r="J227" s="12"/>
      <c r="K227" s="12"/>
      <c r="L227" s="12"/>
      <c r="M227" s="12"/>
      <c r="N227" s="12"/>
      <c r="O227" s="13"/>
      <c r="P227" s="12"/>
      <c r="Q227" s="14"/>
      <c r="R227" s="15"/>
    </row>
    <row r="228" spans="1:18" ht="15" customHeight="1" x14ac:dyDescent="0.3">
      <c r="A228" s="20" t="s">
        <v>41</v>
      </c>
      <c r="B228" s="20" t="s">
        <v>50</v>
      </c>
      <c r="C228" s="21">
        <v>0.78819444444444453</v>
      </c>
      <c r="D228" s="20" t="s">
        <v>48</v>
      </c>
      <c r="E228" s="20" t="s">
        <v>59</v>
      </c>
      <c r="F228" s="20" t="s">
        <v>49</v>
      </c>
      <c r="G228" s="175"/>
      <c r="H228" s="11"/>
      <c r="I228" s="12"/>
      <c r="J228" s="12"/>
      <c r="K228" s="12"/>
      <c r="L228" s="12"/>
      <c r="M228" s="12"/>
      <c r="N228" s="12"/>
      <c r="O228" s="13"/>
      <c r="P228" s="12"/>
      <c r="Q228" s="14"/>
      <c r="R228" s="15"/>
    </row>
    <row r="229" spans="1:18" ht="15" customHeight="1" x14ac:dyDescent="0.3">
      <c r="A229" s="18" t="s">
        <v>61</v>
      </c>
      <c r="B229" s="18" t="s">
        <v>137</v>
      </c>
      <c r="C229" s="19">
        <v>0.25694444444444448</v>
      </c>
      <c r="D229" s="18" t="s">
        <v>63</v>
      </c>
      <c r="E229" s="18" t="s">
        <v>170</v>
      </c>
      <c r="F229" s="18" t="s">
        <v>64</v>
      </c>
      <c r="G229" s="175"/>
      <c r="H229" s="11"/>
      <c r="I229" s="12"/>
      <c r="J229" s="12"/>
      <c r="K229" s="12"/>
      <c r="L229" s="12"/>
      <c r="M229" s="12"/>
      <c r="N229" s="12"/>
      <c r="O229" s="13"/>
      <c r="P229" s="12"/>
      <c r="Q229" s="14"/>
      <c r="R229" s="15"/>
    </row>
    <row r="230" spans="1:18" ht="15" customHeight="1" x14ac:dyDescent="0.3">
      <c r="A230" s="20" t="s">
        <v>61</v>
      </c>
      <c r="B230" s="20" t="s">
        <v>137</v>
      </c>
      <c r="C230" s="21">
        <v>0.25694444444444448</v>
      </c>
      <c r="D230" s="20" t="s">
        <v>65</v>
      </c>
      <c r="E230" s="20" t="s">
        <v>59</v>
      </c>
      <c r="F230" s="20" t="s">
        <v>66</v>
      </c>
      <c r="G230" s="175"/>
      <c r="H230" s="11"/>
      <c r="I230" s="12"/>
      <c r="J230" s="12"/>
      <c r="K230" s="12"/>
      <c r="L230" s="12"/>
      <c r="M230" s="12"/>
      <c r="N230" s="12"/>
      <c r="O230" s="13"/>
      <c r="P230" s="12"/>
      <c r="Q230" s="14"/>
      <c r="R230" s="15"/>
    </row>
    <row r="231" spans="1:18" ht="15" customHeight="1" x14ac:dyDescent="0.3">
      <c r="A231" s="20" t="s">
        <v>61</v>
      </c>
      <c r="B231" s="20" t="s">
        <v>137</v>
      </c>
      <c r="C231" s="21">
        <v>0.25694444444444448</v>
      </c>
      <c r="D231" s="20" t="s">
        <v>67</v>
      </c>
      <c r="E231" s="20" t="s">
        <v>59</v>
      </c>
      <c r="F231" s="20" t="s">
        <v>68</v>
      </c>
      <c r="G231" s="175"/>
      <c r="H231" s="11"/>
      <c r="I231" s="12"/>
      <c r="J231" s="12"/>
      <c r="K231" s="12"/>
      <c r="L231" s="12"/>
      <c r="M231" s="12"/>
      <c r="N231" s="12"/>
      <c r="O231" s="13"/>
      <c r="P231" s="12"/>
      <c r="Q231" s="14"/>
      <c r="R231" s="15"/>
    </row>
    <row r="232" spans="1:18" ht="15" customHeight="1" x14ac:dyDescent="0.3">
      <c r="A232" s="16" t="s">
        <v>61</v>
      </c>
      <c r="B232" s="16" t="s">
        <v>78</v>
      </c>
      <c r="C232" s="17">
        <v>0.65972222222222221</v>
      </c>
      <c r="D232" s="16" t="s">
        <v>63</v>
      </c>
      <c r="E232" s="16" t="s">
        <v>57</v>
      </c>
      <c r="F232" s="16" t="s">
        <v>64</v>
      </c>
      <c r="G232" s="175"/>
      <c r="H232" s="11"/>
      <c r="I232" s="12"/>
      <c r="J232" s="12"/>
      <c r="K232" s="12"/>
      <c r="L232" s="12"/>
      <c r="M232" s="12"/>
      <c r="N232" s="12"/>
      <c r="O232" s="13"/>
      <c r="P232" s="12"/>
      <c r="Q232" s="14"/>
      <c r="R232" s="15"/>
    </row>
    <row r="233" spans="1:18" ht="15" customHeight="1" x14ac:dyDescent="0.3">
      <c r="A233" s="20" t="s">
        <v>61</v>
      </c>
      <c r="B233" s="20" t="s">
        <v>78</v>
      </c>
      <c r="C233" s="21">
        <v>0.65972222222222221</v>
      </c>
      <c r="D233" s="20" t="s">
        <v>65</v>
      </c>
      <c r="E233" s="20" t="s">
        <v>59</v>
      </c>
      <c r="F233" s="20" t="s">
        <v>66</v>
      </c>
      <c r="G233" s="175"/>
      <c r="H233" s="11"/>
      <c r="I233" s="12"/>
      <c r="J233" s="12"/>
      <c r="K233" s="12"/>
      <c r="L233" s="12"/>
      <c r="M233" s="12"/>
      <c r="N233" s="12"/>
      <c r="O233" s="13"/>
      <c r="P233" s="12"/>
      <c r="Q233" s="14"/>
      <c r="R233" s="15"/>
    </row>
    <row r="234" spans="1:18" ht="15" customHeight="1" x14ac:dyDescent="0.3">
      <c r="A234" s="20" t="s">
        <v>61</v>
      </c>
      <c r="B234" s="20" t="s">
        <v>78</v>
      </c>
      <c r="C234" s="21">
        <v>0.65972222222222221</v>
      </c>
      <c r="D234" s="20" t="s">
        <v>67</v>
      </c>
      <c r="E234" s="20" t="s">
        <v>59</v>
      </c>
      <c r="F234" s="20" t="s">
        <v>68</v>
      </c>
      <c r="G234" s="175"/>
      <c r="H234" s="11"/>
      <c r="I234" s="12"/>
      <c r="J234" s="12"/>
      <c r="K234" s="12"/>
      <c r="L234" s="12"/>
      <c r="M234" s="12"/>
      <c r="N234" s="12"/>
      <c r="O234" s="13"/>
      <c r="P234" s="12"/>
      <c r="Q234" s="14"/>
      <c r="R234" s="15"/>
    </row>
    <row r="235" spans="1:18" ht="15" customHeight="1" x14ac:dyDescent="0.3">
      <c r="A235" s="16" t="s">
        <v>61</v>
      </c>
      <c r="B235" s="16" t="s">
        <v>62</v>
      </c>
      <c r="C235" s="17">
        <v>0.51736111111111105</v>
      </c>
      <c r="D235" s="16" t="s">
        <v>63</v>
      </c>
      <c r="E235" s="16" t="s">
        <v>138</v>
      </c>
      <c r="F235" s="16" t="s">
        <v>64</v>
      </c>
      <c r="G235" s="175"/>
      <c r="H235" s="11"/>
      <c r="I235" s="12"/>
      <c r="J235" s="12"/>
      <c r="K235" s="12"/>
      <c r="L235" s="12"/>
      <c r="M235" s="12"/>
      <c r="N235" s="12"/>
      <c r="O235" s="13"/>
      <c r="P235" s="12"/>
      <c r="Q235" s="14"/>
      <c r="R235" s="15"/>
    </row>
    <row r="236" spans="1:18" ht="15" customHeight="1" x14ac:dyDescent="0.3">
      <c r="A236" s="20" t="s">
        <v>61</v>
      </c>
      <c r="B236" s="20" t="s">
        <v>62</v>
      </c>
      <c r="C236" s="21">
        <v>0.51736111111111105</v>
      </c>
      <c r="D236" s="20" t="s">
        <v>65</v>
      </c>
      <c r="E236" s="20" t="s">
        <v>140</v>
      </c>
      <c r="F236" s="20" t="s">
        <v>66</v>
      </c>
      <c r="G236" s="175"/>
      <c r="H236" s="11"/>
      <c r="I236" s="12"/>
      <c r="J236" s="12"/>
      <c r="K236" s="12"/>
      <c r="L236" s="12"/>
      <c r="M236" s="12"/>
      <c r="N236" s="12"/>
      <c r="O236" s="13"/>
      <c r="P236" s="12"/>
      <c r="Q236" s="14"/>
      <c r="R236" s="15"/>
    </row>
    <row r="237" spans="1:18" ht="15" customHeight="1" x14ac:dyDescent="0.3">
      <c r="A237" s="20" t="s">
        <v>61</v>
      </c>
      <c r="B237" s="20" t="s">
        <v>62</v>
      </c>
      <c r="C237" s="21">
        <v>0.51736111111111105</v>
      </c>
      <c r="D237" s="20" t="s">
        <v>67</v>
      </c>
      <c r="E237" s="20" t="s">
        <v>140</v>
      </c>
      <c r="F237" s="20" t="s">
        <v>68</v>
      </c>
      <c r="G237" s="175"/>
      <c r="H237" s="11"/>
      <c r="I237" s="12"/>
      <c r="J237" s="12"/>
      <c r="K237" s="12"/>
      <c r="L237" s="12"/>
      <c r="M237" s="12"/>
      <c r="N237" s="12"/>
      <c r="O237" s="13"/>
      <c r="P237" s="12"/>
      <c r="Q237" s="14"/>
      <c r="R237" s="15"/>
    </row>
    <row r="238" spans="1:18" ht="15" customHeight="1" x14ac:dyDescent="0.3">
      <c r="A238" s="16" t="s">
        <v>61</v>
      </c>
      <c r="B238" s="16" t="s">
        <v>69</v>
      </c>
      <c r="C238" s="17">
        <v>0.85416666666666663</v>
      </c>
      <c r="D238" s="16" t="s">
        <v>63</v>
      </c>
      <c r="E238" s="16" t="s">
        <v>39</v>
      </c>
      <c r="F238" s="16" t="s">
        <v>64</v>
      </c>
      <c r="G238" s="175"/>
      <c r="H238" s="11"/>
      <c r="I238" s="12"/>
      <c r="J238" s="12"/>
      <c r="K238" s="12"/>
      <c r="L238" s="12"/>
      <c r="M238" s="12"/>
      <c r="N238" s="12"/>
      <c r="O238" s="13"/>
      <c r="P238" s="12"/>
      <c r="Q238" s="14"/>
      <c r="R238" s="15"/>
    </row>
    <row r="239" spans="1:18" ht="15" customHeight="1" x14ac:dyDescent="0.3">
      <c r="A239" s="20" t="s">
        <v>61</v>
      </c>
      <c r="B239" s="20" t="s">
        <v>69</v>
      </c>
      <c r="C239" s="21">
        <v>0.85416666666666663</v>
      </c>
      <c r="D239" s="20" t="s">
        <v>65</v>
      </c>
      <c r="E239" s="20" t="s">
        <v>80</v>
      </c>
      <c r="F239" s="20" t="s">
        <v>66</v>
      </c>
      <c r="G239" s="175"/>
      <c r="H239" s="11"/>
      <c r="I239" s="12"/>
      <c r="J239" s="12"/>
      <c r="K239" s="12"/>
      <c r="L239" s="12"/>
      <c r="M239" s="12"/>
      <c r="N239" s="12"/>
      <c r="O239" s="13"/>
      <c r="P239" s="12"/>
      <c r="Q239" s="14"/>
      <c r="R239" s="15"/>
    </row>
    <row r="240" spans="1:18" ht="15" customHeight="1" x14ac:dyDescent="0.3">
      <c r="A240" s="20" t="s">
        <v>61</v>
      </c>
      <c r="B240" s="20" t="s">
        <v>69</v>
      </c>
      <c r="C240" s="21">
        <v>0.85416666666666663</v>
      </c>
      <c r="D240" s="20" t="s">
        <v>67</v>
      </c>
      <c r="E240" s="20" t="s">
        <v>80</v>
      </c>
      <c r="F240" s="20" t="s">
        <v>68</v>
      </c>
      <c r="G240" s="175"/>
      <c r="H240" s="11"/>
      <c r="I240" s="12"/>
      <c r="J240" s="12"/>
      <c r="K240" s="12"/>
      <c r="L240" s="12"/>
      <c r="M240" s="12"/>
      <c r="N240" s="12"/>
      <c r="O240" s="13"/>
      <c r="P240" s="12"/>
      <c r="Q240" s="14"/>
      <c r="R240" s="15"/>
    </row>
    <row r="241" spans="1:18" ht="15" customHeight="1" x14ac:dyDescent="0.3">
      <c r="A241" s="16" t="s">
        <v>61</v>
      </c>
      <c r="B241" s="16" t="s">
        <v>72</v>
      </c>
      <c r="C241" s="17">
        <v>0.39583333333333331</v>
      </c>
      <c r="D241" s="16" t="s">
        <v>63</v>
      </c>
      <c r="E241" s="16" t="s">
        <v>57</v>
      </c>
      <c r="F241" s="16" t="s">
        <v>64</v>
      </c>
      <c r="G241" s="175"/>
      <c r="H241" s="11"/>
      <c r="I241" s="12"/>
      <c r="J241" s="12"/>
      <c r="K241" s="12"/>
      <c r="L241" s="12"/>
      <c r="M241" s="12"/>
      <c r="N241" s="12"/>
      <c r="O241" s="13"/>
      <c r="P241" s="12"/>
      <c r="Q241" s="14"/>
      <c r="R241" s="15"/>
    </row>
    <row r="242" spans="1:18" ht="15" customHeight="1" x14ac:dyDescent="0.3">
      <c r="A242" s="20" t="s">
        <v>61</v>
      </c>
      <c r="B242" s="20" t="s">
        <v>72</v>
      </c>
      <c r="C242" s="21">
        <v>0.39583333333333331</v>
      </c>
      <c r="D242" s="20" t="s">
        <v>65</v>
      </c>
      <c r="E242" s="20" t="s">
        <v>59</v>
      </c>
      <c r="F242" s="20" t="s">
        <v>66</v>
      </c>
      <c r="G242" s="175"/>
      <c r="H242" s="11"/>
      <c r="I242" s="12"/>
      <c r="J242" s="12"/>
      <c r="K242" s="12"/>
      <c r="L242" s="12"/>
      <c r="M242" s="12"/>
      <c r="N242" s="12"/>
      <c r="O242" s="13"/>
      <c r="P242" s="12"/>
      <c r="Q242" s="14"/>
      <c r="R242" s="15"/>
    </row>
    <row r="243" spans="1:18" ht="15" customHeight="1" x14ac:dyDescent="0.3">
      <c r="A243" s="20" t="s">
        <v>61</v>
      </c>
      <c r="B243" s="20" t="s">
        <v>72</v>
      </c>
      <c r="C243" s="21">
        <v>0.39583333333333331</v>
      </c>
      <c r="D243" s="20" t="s">
        <v>67</v>
      </c>
      <c r="E243" s="20" t="s">
        <v>59</v>
      </c>
      <c r="F243" s="20" t="s">
        <v>68</v>
      </c>
      <c r="G243" s="175"/>
      <c r="H243" s="11"/>
      <c r="I243" s="12"/>
      <c r="J243" s="12"/>
      <c r="K243" s="12"/>
      <c r="L243" s="12"/>
      <c r="M243" s="12"/>
      <c r="N243" s="12"/>
      <c r="O243" s="13"/>
      <c r="P243" s="12"/>
      <c r="Q243" s="14"/>
      <c r="R243" s="15"/>
    </row>
    <row r="244" spans="1:18" ht="15" customHeight="1" x14ac:dyDescent="0.3">
      <c r="A244" s="16" t="s">
        <v>61</v>
      </c>
      <c r="B244" s="16" t="s">
        <v>74</v>
      </c>
      <c r="C244" s="17">
        <v>0.90277777777777779</v>
      </c>
      <c r="D244" s="16" t="s">
        <v>63</v>
      </c>
      <c r="E244" s="16" t="s">
        <v>57</v>
      </c>
      <c r="F244" s="16" t="s">
        <v>75</v>
      </c>
      <c r="G244" s="175"/>
      <c r="H244" s="11"/>
      <c r="I244" s="12"/>
      <c r="J244" s="12"/>
      <c r="K244" s="12"/>
      <c r="L244" s="12"/>
      <c r="M244" s="12"/>
      <c r="N244" s="12"/>
      <c r="O244" s="13"/>
      <c r="P244" s="12"/>
      <c r="Q244" s="14"/>
      <c r="R244" s="15"/>
    </row>
    <row r="245" spans="1:18" ht="15" customHeight="1" x14ac:dyDescent="0.3">
      <c r="A245" s="20" t="s">
        <v>61</v>
      </c>
      <c r="B245" s="20" t="s">
        <v>74</v>
      </c>
      <c r="C245" s="21">
        <v>0.90277777777777779</v>
      </c>
      <c r="D245" s="20" t="s">
        <v>65</v>
      </c>
      <c r="E245" s="20" t="s">
        <v>59</v>
      </c>
      <c r="F245" s="20" t="s">
        <v>76</v>
      </c>
      <c r="G245" s="175"/>
      <c r="H245" s="11"/>
      <c r="I245" s="12"/>
      <c r="J245" s="12"/>
      <c r="K245" s="12"/>
      <c r="L245" s="12"/>
      <c r="M245" s="12"/>
      <c r="N245" s="12"/>
      <c r="O245" s="13"/>
      <c r="P245" s="12"/>
      <c r="Q245" s="14"/>
      <c r="R245" s="15"/>
    </row>
    <row r="246" spans="1:18" ht="15" customHeight="1" x14ac:dyDescent="0.3">
      <c r="A246" s="20" t="s">
        <v>61</v>
      </c>
      <c r="B246" s="20" t="s">
        <v>74</v>
      </c>
      <c r="C246" s="21">
        <v>0.90277777777777779</v>
      </c>
      <c r="D246" s="20" t="s">
        <v>67</v>
      </c>
      <c r="E246" s="20" t="s">
        <v>59</v>
      </c>
      <c r="F246" s="20" t="s">
        <v>77</v>
      </c>
      <c r="G246" s="175"/>
      <c r="H246" s="11"/>
      <c r="I246" s="12"/>
      <c r="J246" s="12"/>
      <c r="K246" s="12"/>
      <c r="L246" s="12"/>
      <c r="M246" s="12"/>
      <c r="N246" s="12"/>
      <c r="O246" s="13"/>
      <c r="P246" s="12"/>
      <c r="Q246" s="14"/>
      <c r="R246" s="15"/>
    </row>
    <row r="247" spans="1:18" ht="15" customHeight="1" x14ac:dyDescent="0.3">
      <c r="A247" s="16" t="s">
        <v>61</v>
      </c>
      <c r="B247" s="16" t="s">
        <v>73</v>
      </c>
      <c r="C247" s="17">
        <v>0.79861111111111116</v>
      </c>
      <c r="D247" s="16" t="s">
        <v>63</v>
      </c>
      <c r="E247" s="16" t="s">
        <v>57</v>
      </c>
      <c r="F247" s="16" t="s">
        <v>75</v>
      </c>
      <c r="G247" s="175"/>
      <c r="H247" s="11"/>
      <c r="I247" s="12"/>
      <c r="J247" s="12"/>
      <c r="K247" s="12"/>
      <c r="L247" s="12"/>
      <c r="M247" s="12"/>
      <c r="N247" s="12"/>
      <c r="O247" s="13"/>
      <c r="P247" s="12"/>
      <c r="Q247" s="14"/>
      <c r="R247" s="15"/>
    </row>
    <row r="248" spans="1:18" ht="15" customHeight="1" x14ac:dyDescent="0.3">
      <c r="A248" s="20" t="s">
        <v>61</v>
      </c>
      <c r="B248" s="20" t="s">
        <v>73</v>
      </c>
      <c r="C248" s="21">
        <v>0.79861111111111116</v>
      </c>
      <c r="D248" s="20" t="s">
        <v>65</v>
      </c>
      <c r="E248" s="20" t="s">
        <v>59</v>
      </c>
      <c r="F248" s="20" t="s">
        <v>76</v>
      </c>
      <c r="G248" s="175"/>
      <c r="H248" s="11"/>
      <c r="I248" s="12"/>
      <c r="J248" s="12"/>
      <c r="K248" s="12"/>
      <c r="L248" s="12"/>
      <c r="M248" s="12"/>
      <c r="N248" s="12"/>
      <c r="O248" s="13"/>
      <c r="P248" s="12"/>
      <c r="Q248" s="14"/>
      <c r="R248" s="15"/>
    </row>
    <row r="249" spans="1:18" ht="15" customHeight="1" x14ac:dyDescent="0.3">
      <c r="A249" s="20" t="s">
        <v>61</v>
      </c>
      <c r="B249" s="20" t="s">
        <v>73</v>
      </c>
      <c r="C249" s="21">
        <v>0.79861111111111116</v>
      </c>
      <c r="D249" s="20" t="s">
        <v>67</v>
      </c>
      <c r="E249" s="20" t="s">
        <v>59</v>
      </c>
      <c r="F249" s="20" t="s">
        <v>77</v>
      </c>
      <c r="G249" s="175"/>
      <c r="H249" s="11"/>
      <c r="I249" s="12"/>
      <c r="J249" s="12"/>
      <c r="K249" s="12"/>
      <c r="L249" s="12"/>
      <c r="M249" s="12"/>
      <c r="N249" s="12"/>
      <c r="O249" s="13"/>
      <c r="P249" s="12"/>
      <c r="Q249" s="14"/>
      <c r="R249" s="15"/>
    </row>
    <row r="250" spans="1:18" ht="15" customHeight="1" x14ac:dyDescent="0.3">
      <c r="A250" s="18" t="s">
        <v>100</v>
      </c>
      <c r="B250" s="18" t="s">
        <v>101</v>
      </c>
      <c r="C250" s="19">
        <v>0.28819444444444448</v>
      </c>
      <c r="D250" s="18" t="s">
        <v>102</v>
      </c>
      <c r="E250" s="18" t="s">
        <v>170</v>
      </c>
      <c r="F250" s="18" t="s">
        <v>214</v>
      </c>
      <c r="G250" s="175"/>
      <c r="H250" s="11"/>
      <c r="I250" s="12"/>
      <c r="J250" s="12"/>
      <c r="K250" s="12"/>
      <c r="L250" s="12"/>
      <c r="M250" s="12"/>
      <c r="N250" s="12"/>
      <c r="O250" s="13"/>
      <c r="P250" s="12"/>
      <c r="Q250" s="14"/>
      <c r="R250" s="15"/>
    </row>
    <row r="251" spans="1:18" ht="15" customHeight="1" x14ac:dyDescent="0.3">
      <c r="A251" s="20" t="s">
        <v>100</v>
      </c>
      <c r="B251" s="20" t="s">
        <v>101</v>
      </c>
      <c r="C251" s="21">
        <v>0.28819444444444448</v>
      </c>
      <c r="D251" s="20" t="s">
        <v>48</v>
      </c>
      <c r="E251" s="20" t="s">
        <v>59</v>
      </c>
      <c r="F251" s="20" t="s">
        <v>215</v>
      </c>
      <c r="G251" s="175"/>
      <c r="H251" s="11"/>
      <c r="I251" s="12"/>
      <c r="J251" s="12"/>
      <c r="K251" s="12"/>
      <c r="L251" s="12"/>
      <c r="M251" s="12"/>
      <c r="N251" s="12"/>
      <c r="O251" s="13"/>
      <c r="P251" s="12"/>
      <c r="Q251" s="14"/>
      <c r="R251" s="15"/>
    </row>
    <row r="252" spans="1:18" ht="15" customHeight="1" x14ac:dyDescent="0.3">
      <c r="A252" s="16" t="s">
        <v>100</v>
      </c>
      <c r="B252" s="16" t="s">
        <v>216</v>
      </c>
      <c r="C252" s="17">
        <v>0.21527777777777779</v>
      </c>
      <c r="D252" s="16" t="s">
        <v>102</v>
      </c>
      <c r="E252" s="16" t="s">
        <v>57</v>
      </c>
      <c r="F252" s="16" t="s">
        <v>213</v>
      </c>
      <c r="G252" s="175"/>
      <c r="H252" s="11"/>
      <c r="I252" s="12"/>
      <c r="J252" s="12"/>
      <c r="K252" s="12"/>
      <c r="L252" s="12"/>
      <c r="M252" s="12"/>
      <c r="N252" s="12"/>
      <c r="O252" s="13"/>
      <c r="P252" s="12"/>
      <c r="Q252" s="14"/>
      <c r="R252" s="15"/>
    </row>
    <row r="253" spans="1:18" ht="15" customHeight="1" x14ac:dyDescent="0.3">
      <c r="A253" s="20" t="s">
        <v>100</v>
      </c>
      <c r="B253" s="20" t="s">
        <v>216</v>
      </c>
      <c r="C253" s="21">
        <v>0.21527777777777779</v>
      </c>
      <c r="D253" s="20" t="s">
        <v>48</v>
      </c>
      <c r="E253" s="20" t="s">
        <v>59</v>
      </c>
      <c r="F253" s="20" t="s">
        <v>217</v>
      </c>
      <c r="G253" s="175"/>
      <c r="H253" s="11"/>
      <c r="I253" s="12"/>
      <c r="J253" s="12"/>
      <c r="K253" s="12"/>
      <c r="L253" s="12"/>
      <c r="M253" s="12"/>
      <c r="N253" s="12"/>
      <c r="O253" s="13"/>
      <c r="P253" s="12"/>
      <c r="Q253" s="14"/>
      <c r="R253" s="15"/>
    </row>
    <row r="254" spans="1:18" ht="15" customHeight="1" x14ac:dyDescent="0.3">
      <c r="A254" s="18" t="s">
        <v>34</v>
      </c>
      <c r="B254" s="18" t="s">
        <v>35</v>
      </c>
      <c r="C254" s="19">
        <v>0.66666666666666663</v>
      </c>
      <c r="D254" s="18" t="s">
        <v>28</v>
      </c>
      <c r="E254" s="18" t="s">
        <v>218</v>
      </c>
      <c r="F254" s="18" t="s">
        <v>58</v>
      </c>
      <c r="G254" s="175"/>
      <c r="H254" s="11"/>
      <c r="I254" s="12"/>
      <c r="J254" s="12"/>
      <c r="K254" s="12"/>
      <c r="L254" s="12"/>
      <c r="M254" s="12"/>
      <c r="N254" s="12"/>
      <c r="O254" s="13"/>
      <c r="P254" s="12"/>
      <c r="Q254" s="14"/>
      <c r="R254" s="15"/>
    </row>
    <row r="255" spans="1:18" ht="15" customHeight="1" x14ac:dyDescent="0.3">
      <c r="A255" s="18" t="s">
        <v>26</v>
      </c>
      <c r="B255" s="18" t="s">
        <v>27</v>
      </c>
      <c r="C255" s="19">
        <v>0.27083333333333331</v>
      </c>
      <c r="D255" s="18" t="s">
        <v>28</v>
      </c>
      <c r="E255" s="18" t="s">
        <v>134</v>
      </c>
      <c r="F255" s="18" t="s">
        <v>145</v>
      </c>
      <c r="G255" s="175"/>
      <c r="H255" s="11"/>
      <c r="I255" s="12"/>
      <c r="J255" s="12"/>
      <c r="K255" s="12"/>
      <c r="L255" s="12"/>
      <c r="M255" s="12"/>
      <c r="N255" s="12"/>
      <c r="O255" s="13"/>
      <c r="P255" s="12"/>
      <c r="Q255" s="14"/>
      <c r="R255" s="15"/>
    </row>
    <row r="256" spans="1:18" ht="15" customHeight="1" x14ac:dyDescent="0.3">
      <c r="A256" s="100" t="s">
        <v>81</v>
      </c>
      <c r="B256" s="100" t="s">
        <v>94</v>
      </c>
      <c r="C256" s="101">
        <v>0.68055555555555547</v>
      </c>
      <c r="D256" s="100" t="s">
        <v>83</v>
      </c>
      <c r="E256" s="100" t="s">
        <v>134</v>
      </c>
      <c r="F256" s="100" t="s">
        <v>219</v>
      </c>
      <c r="G256" s="175"/>
      <c r="H256" s="102" t="s">
        <v>97</v>
      </c>
      <c r="I256" s="103">
        <v>0.99439999999999995</v>
      </c>
      <c r="J256" s="104">
        <v>178</v>
      </c>
      <c r="K256" s="105">
        <v>45977</v>
      </c>
      <c r="L256" s="104">
        <v>3</v>
      </c>
      <c r="M256" s="104">
        <v>0</v>
      </c>
      <c r="N256" s="104">
        <v>0</v>
      </c>
      <c r="O256" s="106" t="s">
        <v>220</v>
      </c>
      <c r="P256" s="107">
        <v>0.68055555555555547</v>
      </c>
      <c r="Q256" s="104">
        <v>179</v>
      </c>
      <c r="R256" s="108" t="s">
        <v>221</v>
      </c>
    </row>
    <row r="257" spans="1:18" ht="15" customHeight="1" x14ac:dyDescent="0.3">
      <c r="A257" s="84" t="s">
        <v>81</v>
      </c>
      <c r="B257" s="84" t="s">
        <v>152</v>
      </c>
      <c r="C257" s="85">
        <v>0.2361111111111111</v>
      </c>
      <c r="D257" s="84" t="s">
        <v>207</v>
      </c>
      <c r="E257" s="99"/>
      <c r="F257" s="84" t="s">
        <v>208</v>
      </c>
      <c r="G257" s="175"/>
      <c r="H257" s="86" t="s">
        <v>152</v>
      </c>
      <c r="I257" s="87">
        <v>1</v>
      </c>
      <c r="J257" s="88">
        <v>179</v>
      </c>
      <c r="K257" s="89">
        <v>45971</v>
      </c>
      <c r="L257" s="88">
        <v>0</v>
      </c>
      <c r="M257" s="88">
        <v>0</v>
      </c>
      <c r="N257" s="88">
        <v>0</v>
      </c>
      <c r="O257" s="90" t="s">
        <v>209</v>
      </c>
      <c r="P257" s="91">
        <v>0.2361111111111111</v>
      </c>
      <c r="Q257" s="88">
        <v>179</v>
      </c>
      <c r="R257" s="92" t="s">
        <v>222</v>
      </c>
    </row>
    <row r="258" spans="1:18" ht="15" customHeight="1" x14ac:dyDescent="0.3">
      <c r="A258" s="40" t="s">
        <v>81</v>
      </c>
      <c r="B258" s="40" t="s">
        <v>91</v>
      </c>
      <c r="C258" s="41">
        <v>0.33333333333333331</v>
      </c>
      <c r="D258" s="40" t="s">
        <v>207</v>
      </c>
      <c r="E258" s="109"/>
      <c r="F258" s="40" t="s">
        <v>208</v>
      </c>
      <c r="G258" s="175"/>
      <c r="H258" s="42" t="s">
        <v>91</v>
      </c>
      <c r="I258" s="43">
        <v>1</v>
      </c>
      <c r="J258" s="44">
        <v>179</v>
      </c>
      <c r="K258" s="45">
        <v>45979</v>
      </c>
      <c r="L258" s="44">
        <v>6</v>
      </c>
      <c r="M258" s="44">
        <v>0</v>
      </c>
      <c r="N258" s="44">
        <v>4</v>
      </c>
      <c r="O258" s="46" t="s">
        <v>209</v>
      </c>
      <c r="P258" s="47">
        <v>0.33333333333333331</v>
      </c>
      <c r="Q258" s="44">
        <v>179</v>
      </c>
      <c r="R258" s="48" t="s">
        <v>223</v>
      </c>
    </row>
    <row r="259" spans="1:18" ht="15" customHeight="1" x14ac:dyDescent="0.3">
      <c r="A259" s="18" t="s">
        <v>115</v>
      </c>
      <c r="B259" s="18" t="s">
        <v>175</v>
      </c>
      <c r="C259" s="19">
        <v>6.9444444444444441E-3</v>
      </c>
      <c r="D259" s="18" t="s">
        <v>117</v>
      </c>
      <c r="E259" s="18" t="s">
        <v>36</v>
      </c>
      <c r="F259" s="18" t="s">
        <v>118</v>
      </c>
      <c r="G259" s="175"/>
      <c r="H259" s="11"/>
      <c r="I259" s="12"/>
      <c r="J259" s="12"/>
      <c r="K259" s="12"/>
      <c r="L259" s="12"/>
      <c r="M259" s="12"/>
      <c r="N259" s="12"/>
      <c r="O259" s="13"/>
      <c r="P259" s="12"/>
      <c r="Q259" s="14"/>
      <c r="R259" s="15"/>
    </row>
    <row r="260" spans="1:18" ht="15" customHeight="1" x14ac:dyDescent="0.3">
      <c r="A260" s="20" t="s">
        <v>115</v>
      </c>
      <c r="B260" s="20" t="s">
        <v>175</v>
      </c>
      <c r="C260" s="21">
        <v>6.9444444444444441E-3</v>
      </c>
      <c r="D260" s="20" t="s">
        <v>119</v>
      </c>
      <c r="E260" s="20" t="s">
        <v>120</v>
      </c>
      <c r="F260" s="20" t="s">
        <v>121</v>
      </c>
      <c r="G260" s="175"/>
      <c r="H260" s="11"/>
      <c r="I260" s="12"/>
      <c r="J260" s="12"/>
      <c r="K260" s="12"/>
      <c r="L260" s="12"/>
      <c r="M260" s="12"/>
      <c r="N260" s="12"/>
      <c r="O260" s="13"/>
      <c r="P260" s="12"/>
      <c r="Q260" s="14"/>
      <c r="R260" s="15"/>
    </row>
    <row r="261" spans="1:18" ht="15" customHeight="1" x14ac:dyDescent="0.3">
      <c r="A261" s="16" t="s">
        <v>115</v>
      </c>
      <c r="B261" s="16" t="s">
        <v>173</v>
      </c>
      <c r="C261" s="17">
        <v>0.24305555555555561</v>
      </c>
      <c r="D261" s="16" t="s">
        <v>117</v>
      </c>
      <c r="E261" s="16" t="s">
        <v>109</v>
      </c>
      <c r="F261" s="16" t="s">
        <v>118</v>
      </c>
      <c r="G261" s="175"/>
      <c r="H261" s="11"/>
      <c r="I261" s="12"/>
      <c r="J261" s="12"/>
      <c r="K261" s="12"/>
      <c r="L261" s="12"/>
      <c r="M261" s="12"/>
      <c r="N261" s="12"/>
      <c r="O261" s="13"/>
      <c r="P261" s="12"/>
      <c r="Q261" s="14"/>
      <c r="R261" s="15"/>
    </row>
    <row r="262" spans="1:18" ht="15" customHeight="1" x14ac:dyDescent="0.3">
      <c r="A262" s="20" t="s">
        <v>115</v>
      </c>
      <c r="B262" s="20" t="s">
        <v>173</v>
      </c>
      <c r="C262" s="21">
        <v>0.24305555555555561</v>
      </c>
      <c r="D262" s="20" t="s">
        <v>119</v>
      </c>
      <c r="E262" s="20" t="s">
        <v>120</v>
      </c>
      <c r="F262" s="20" t="s">
        <v>121</v>
      </c>
      <c r="G262" s="175"/>
      <c r="H262" s="11"/>
      <c r="I262" s="12"/>
      <c r="J262" s="12"/>
      <c r="K262" s="12"/>
      <c r="L262" s="12"/>
      <c r="M262" s="12"/>
      <c r="N262" s="12"/>
      <c r="O262" s="13"/>
      <c r="P262" s="12"/>
      <c r="Q262" s="14"/>
      <c r="R262" s="15"/>
    </row>
    <row r="263" spans="1:18" ht="15" customHeight="1" x14ac:dyDescent="0.3">
      <c r="A263" s="16" t="s">
        <v>115</v>
      </c>
      <c r="B263" s="16" t="s">
        <v>174</v>
      </c>
      <c r="C263" s="17">
        <v>0.1423611111111111</v>
      </c>
      <c r="D263" s="16" t="s">
        <v>117</v>
      </c>
      <c r="E263" s="16" t="s">
        <v>109</v>
      </c>
      <c r="F263" s="16" t="s">
        <v>118</v>
      </c>
      <c r="G263" s="175"/>
      <c r="H263" s="11"/>
      <c r="I263" s="12"/>
      <c r="J263" s="12"/>
      <c r="K263" s="12"/>
      <c r="L263" s="12"/>
      <c r="M263" s="12"/>
      <c r="N263" s="12"/>
      <c r="O263" s="13"/>
      <c r="P263" s="12"/>
      <c r="Q263" s="14"/>
      <c r="R263" s="15"/>
    </row>
    <row r="264" spans="1:18" ht="15" customHeight="1" x14ac:dyDescent="0.3">
      <c r="A264" s="20" t="s">
        <v>115</v>
      </c>
      <c r="B264" s="20" t="s">
        <v>174</v>
      </c>
      <c r="C264" s="21">
        <v>0.1423611111111111</v>
      </c>
      <c r="D264" s="20" t="s">
        <v>119</v>
      </c>
      <c r="E264" s="20" t="s">
        <v>120</v>
      </c>
      <c r="F264" s="20" t="s">
        <v>121</v>
      </c>
      <c r="G264" s="175"/>
      <c r="H264" s="11"/>
      <c r="I264" s="12"/>
      <c r="J264" s="12"/>
      <c r="K264" s="12"/>
      <c r="L264" s="12"/>
      <c r="M264" s="12"/>
      <c r="N264" s="12"/>
      <c r="O264" s="13"/>
      <c r="P264" s="12"/>
      <c r="Q264" s="14"/>
      <c r="R264" s="15"/>
    </row>
    <row r="265" spans="1:18" ht="15" customHeight="1" x14ac:dyDescent="0.3">
      <c r="A265" s="16" t="s">
        <v>115</v>
      </c>
      <c r="B265" s="16" t="s">
        <v>122</v>
      </c>
      <c r="C265" s="17">
        <v>0.93055555555555547</v>
      </c>
      <c r="D265" s="16" t="s">
        <v>117</v>
      </c>
      <c r="E265" s="16" t="s">
        <v>109</v>
      </c>
      <c r="F265" s="16" t="s">
        <v>118</v>
      </c>
      <c r="G265" s="175"/>
      <c r="H265" s="11"/>
      <c r="I265" s="12"/>
      <c r="J265" s="12"/>
      <c r="K265" s="12"/>
      <c r="L265" s="12"/>
      <c r="M265" s="12"/>
      <c r="N265" s="12"/>
      <c r="O265" s="13"/>
      <c r="P265" s="12"/>
      <c r="Q265" s="14"/>
      <c r="R265" s="15"/>
    </row>
    <row r="266" spans="1:18" ht="15" customHeight="1" x14ac:dyDescent="0.3">
      <c r="A266" s="20" t="s">
        <v>115</v>
      </c>
      <c r="B266" s="20" t="s">
        <v>122</v>
      </c>
      <c r="C266" s="21">
        <v>0.93055555555555547</v>
      </c>
      <c r="D266" s="20" t="s">
        <v>119</v>
      </c>
      <c r="E266" s="20" t="s">
        <v>120</v>
      </c>
      <c r="F266" s="20" t="s">
        <v>121</v>
      </c>
      <c r="G266" s="175"/>
      <c r="H266" s="11"/>
      <c r="I266" s="12"/>
      <c r="J266" s="12"/>
      <c r="K266" s="12"/>
      <c r="L266" s="12"/>
      <c r="M266" s="12"/>
      <c r="N266" s="12"/>
      <c r="O266" s="13"/>
      <c r="P266" s="12"/>
      <c r="Q266" s="14"/>
      <c r="R266" s="15"/>
    </row>
    <row r="267" spans="1:18" ht="15" customHeight="1" x14ac:dyDescent="0.3">
      <c r="A267" s="16" t="s">
        <v>115</v>
      </c>
      <c r="B267" s="16" t="s">
        <v>116</v>
      </c>
      <c r="C267" s="17">
        <v>0.37847222222222232</v>
      </c>
      <c r="D267" s="16" t="s">
        <v>117</v>
      </c>
      <c r="E267" s="16" t="s">
        <v>109</v>
      </c>
      <c r="F267" s="16" t="s">
        <v>127</v>
      </c>
      <c r="G267" s="175"/>
      <c r="H267" s="11"/>
      <c r="I267" s="12"/>
      <c r="J267" s="12"/>
      <c r="K267" s="12"/>
      <c r="L267" s="12"/>
      <c r="M267" s="12"/>
      <c r="N267" s="12"/>
      <c r="O267" s="13"/>
      <c r="P267" s="12"/>
      <c r="Q267" s="14"/>
      <c r="R267" s="15"/>
    </row>
    <row r="268" spans="1:18" ht="15" customHeight="1" x14ac:dyDescent="0.3">
      <c r="A268" s="20" t="s">
        <v>115</v>
      </c>
      <c r="B268" s="20" t="s">
        <v>116</v>
      </c>
      <c r="C268" s="21">
        <v>0.37847222222222232</v>
      </c>
      <c r="D268" s="20" t="s">
        <v>119</v>
      </c>
      <c r="E268" s="20" t="s">
        <v>120</v>
      </c>
      <c r="F268" s="20" t="s">
        <v>128</v>
      </c>
      <c r="G268" s="175"/>
      <c r="H268" s="11"/>
      <c r="I268" s="12"/>
      <c r="J268" s="12"/>
      <c r="K268" s="12"/>
      <c r="L268" s="12"/>
      <c r="M268" s="12"/>
      <c r="N268" s="12"/>
      <c r="O268" s="13"/>
      <c r="P268" s="12"/>
      <c r="Q268" s="14"/>
      <c r="R268" s="15"/>
    </row>
    <row r="269" spans="1:18" ht="15" customHeight="1" x14ac:dyDescent="0.3">
      <c r="A269" s="16" t="s">
        <v>115</v>
      </c>
      <c r="B269" s="16" t="s">
        <v>126</v>
      </c>
      <c r="C269" s="17">
        <v>0.71875</v>
      </c>
      <c r="D269" s="16" t="s">
        <v>117</v>
      </c>
      <c r="E269" s="16" t="s">
        <v>109</v>
      </c>
      <c r="F269" s="16" t="s">
        <v>127</v>
      </c>
      <c r="G269" s="175"/>
      <c r="H269" s="11"/>
      <c r="I269" s="12"/>
      <c r="J269" s="12"/>
      <c r="K269" s="12"/>
      <c r="L269" s="12"/>
      <c r="M269" s="12"/>
      <c r="N269" s="12"/>
      <c r="O269" s="13"/>
      <c r="P269" s="12"/>
      <c r="Q269" s="14"/>
      <c r="R269" s="15"/>
    </row>
    <row r="270" spans="1:18" ht="15" customHeight="1" x14ac:dyDescent="0.3">
      <c r="A270" s="20" t="s">
        <v>115</v>
      </c>
      <c r="B270" s="20" t="s">
        <v>126</v>
      </c>
      <c r="C270" s="21">
        <v>0.71875</v>
      </c>
      <c r="D270" s="20" t="s">
        <v>119</v>
      </c>
      <c r="E270" s="20" t="s">
        <v>120</v>
      </c>
      <c r="F270" s="20" t="s">
        <v>128</v>
      </c>
      <c r="G270" s="175"/>
      <c r="H270" s="11"/>
      <c r="I270" s="12"/>
      <c r="J270" s="12"/>
      <c r="K270" s="12"/>
      <c r="L270" s="12"/>
      <c r="M270" s="12"/>
      <c r="N270" s="12"/>
      <c r="O270" s="13"/>
      <c r="P270" s="12"/>
      <c r="Q270" s="14"/>
      <c r="R270" s="15"/>
    </row>
    <row r="271" spans="1:18" ht="15" customHeight="1" x14ac:dyDescent="0.3">
      <c r="A271" s="16" t="s">
        <v>115</v>
      </c>
      <c r="B271" s="16" t="s">
        <v>129</v>
      </c>
      <c r="C271" s="17">
        <v>0.61111111111111105</v>
      </c>
      <c r="D271" s="16" t="s">
        <v>117</v>
      </c>
      <c r="E271" s="16" t="s">
        <v>109</v>
      </c>
      <c r="F271" s="16" t="s">
        <v>127</v>
      </c>
      <c r="G271" s="175"/>
      <c r="H271" s="11"/>
      <c r="I271" s="12"/>
      <c r="J271" s="12"/>
      <c r="K271" s="12"/>
      <c r="L271" s="12"/>
      <c r="M271" s="12"/>
      <c r="N271" s="12"/>
      <c r="O271" s="13"/>
      <c r="P271" s="12"/>
      <c r="Q271" s="14"/>
      <c r="R271" s="15"/>
    </row>
    <row r="272" spans="1:18" ht="15" customHeight="1" x14ac:dyDescent="0.3">
      <c r="A272" s="20" t="s">
        <v>115</v>
      </c>
      <c r="B272" s="20" t="s">
        <v>129</v>
      </c>
      <c r="C272" s="21">
        <v>0.61111111111111105</v>
      </c>
      <c r="D272" s="20" t="s">
        <v>119</v>
      </c>
      <c r="E272" s="20" t="s">
        <v>120</v>
      </c>
      <c r="F272" s="20" t="s">
        <v>128</v>
      </c>
      <c r="G272" s="175"/>
      <c r="H272" s="11"/>
      <c r="I272" s="12"/>
      <c r="J272" s="12"/>
      <c r="K272" s="12"/>
      <c r="L272" s="12"/>
      <c r="M272" s="12"/>
      <c r="N272" s="12"/>
      <c r="O272" s="13"/>
      <c r="P272" s="12"/>
      <c r="Q272" s="14"/>
      <c r="R272" s="15"/>
    </row>
    <row r="273" spans="1:18" ht="15" customHeight="1" x14ac:dyDescent="0.3">
      <c r="A273" s="16" t="s">
        <v>115</v>
      </c>
      <c r="B273" s="16" t="s">
        <v>178</v>
      </c>
      <c r="C273" s="17">
        <v>0.30208333333333331</v>
      </c>
      <c r="D273" s="16" t="s">
        <v>119</v>
      </c>
      <c r="E273" s="16" t="s">
        <v>95</v>
      </c>
      <c r="F273" s="16" t="s">
        <v>224</v>
      </c>
      <c r="G273" s="175"/>
      <c r="H273" s="11"/>
      <c r="I273" s="12"/>
      <c r="J273" s="12"/>
      <c r="K273" s="12"/>
      <c r="L273" s="12"/>
      <c r="M273" s="12"/>
      <c r="N273" s="12"/>
      <c r="O273" s="13"/>
      <c r="P273" s="12"/>
      <c r="Q273" s="14"/>
      <c r="R273" s="15"/>
    </row>
    <row r="274" spans="1:18" ht="15" customHeight="1" x14ac:dyDescent="0.3">
      <c r="A274" s="16" t="s">
        <v>115</v>
      </c>
      <c r="B274" s="16" t="s">
        <v>179</v>
      </c>
      <c r="C274" s="17">
        <v>0.12847222222222221</v>
      </c>
      <c r="D274" s="16" t="s">
        <v>119</v>
      </c>
      <c r="E274" s="16" t="s">
        <v>95</v>
      </c>
      <c r="F274" s="16" t="s">
        <v>224</v>
      </c>
      <c r="G274" s="175"/>
      <c r="H274" s="11"/>
      <c r="I274" s="12"/>
      <c r="J274" s="12"/>
      <c r="K274" s="12"/>
      <c r="L274" s="12"/>
      <c r="M274" s="12"/>
      <c r="N274" s="12"/>
      <c r="O274" s="13"/>
      <c r="P274" s="12"/>
      <c r="Q274" s="14"/>
      <c r="R274" s="15"/>
    </row>
    <row r="275" spans="1:18" ht="15" customHeight="1" x14ac:dyDescent="0.3">
      <c r="A275" s="16" t="s">
        <v>115</v>
      </c>
      <c r="B275" s="16" t="s">
        <v>125</v>
      </c>
      <c r="C275" s="17">
        <v>0.82986111111111116</v>
      </c>
      <c r="D275" s="16" t="s">
        <v>117</v>
      </c>
      <c r="E275" s="16" t="s">
        <v>109</v>
      </c>
      <c r="F275" s="16" t="s">
        <v>176</v>
      </c>
      <c r="G275" s="175"/>
      <c r="H275" s="11"/>
      <c r="I275" s="12"/>
      <c r="J275" s="12"/>
      <c r="K275" s="12"/>
      <c r="L275" s="12"/>
      <c r="M275" s="12"/>
      <c r="N275" s="12"/>
      <c r="O275" s="13"/>
      <c r="P275" s="12"/>
      <c r="Q275" s="14"/>
      <c r="R275" s="15"/>
    </row>
    <row r="276" spans="1:18" ht="15" customHeight="1" x14ac:dyDescent="0.3">
      <c r="A276" s="20" t="s">
        <v>115</v>
      </c>
      <c r="B276" s="20" t="s">
        <v>125</v>
      </c>
      <c r="C276" s="21">
        <v>0.82986111111111116</v>
      </c>
      <c r="D276" s="20" t="s">
        <v>119</v>
      </c>
      <c r="E276" s="20" t="s">
        <v>120</v>
      </c>
      <c r="F276" s="20" t="s">
        <v>177</v>
      </c>
      <c r="G276" s="175"/>
      <c r="H276" s="11"/>
      <c r="I276" s="12"/>
      <c r="J276" s="12"/>
      <c r="K276" s="12"/>
      <c r="L276" s="12"/>
      <c r="M276" s="12"/>
      <c r="N276" s="12"/>
      <c r="O276" s="13"/>
      <c r="P276" s="12"/>
      <c r="Q276" s="14"/>
      <c r="R276" s="15"/>
    </row>
    <row r="277" spans="1:18" ht="15" customHeight="1" x14ac:dyDescent="0.3">
      <c r="A277" s="16" t="s">
        <v>115</v>
      </c>
      <c r="B277" s="16" t="s">
        <v>130</v>
      </c>
      <c r="C277" s="17">
        <v>0.88888888888888884</v>
      </c>
      <c r="D277" s="16" t="s">
        <v>119</v>
      </c>
      <c r="E277" s="16" t="s">
        <v>95</v>
      </c>
      <c r="F277" s="16" t="s">
        <v>131</v>
      </c>
      <c r="G277" s="175"/>
      <c r="H277" s="11"/>
      <c r="I277" s="12"/>
      <c r="J277" s="12"/>
      <c r="K277" s="12"/>
      <c r="L277" s="12"/>
      <c r="M277" s="12"/>
      <c r="N277" s="12"/>
      <c r="O277" s="13"/>
      <c r="P277" s="12"/>
      <c r="Q277" s="14"/>
      <c r="R277" s="15"/>
    </row>
    <row r="278" spans="1:18" ht="15" customHeight="1" x14ac:dyDescent="0.3">
      <c r="A278" s="16" t="s">
        <v>115</v>
      </c>
      <c r="B278" s="16" t="s">
        <v>132</v>
      </c>
      <c r="C278" s="17">
        <v>0.78819444444444453</v>
      </c>
      <c r="D278" s="16" t="s">
        <v>119</v>
      </c>
      <c r="E278" s="16" t="s">
        <v>95</v>
      </c>
      <c r="F278" s="16" t="s">
        <v>131</v>
      </c>
      <c r="G278" s="175"/>
      <c r="H278" s="11"/>
      <c r="I278" s="12"/>
      <c r="J278" s="12"/>
      <c r="K278" s="12"/>
      <c r="L278" s="12"/>
      <c r="M278" s="12"/>
      <c r="N278" s="12"/>
      <c r="O278" s="13"/>
      <c r="P278" s="12"/>
      <c r="Q278" s="14"/>
      <c r="R278" s="15"/>
    </row>
    <row r="279" spans="1:18" ht="15" customHeight="1" x14ac:dyDescent="0.3">
      <c r="A279" s="18" t="s">
        <v>104</v>
      </c>
      <c r="B279" s="18" t="s">
        <v>108</v>
      </c>
      <c r="C279" s="19">
        <v>0.27777777777777779</v>
      </c>
      <c r="D279" s="18" t="s">
        <v>106</v>
      </c>
      <c r="E279" s="18" t="s">
        <v>36</v>
      </c>
      <c r="F279" s="18" t="s">
        <v>113</v>
      </c>
      <c r="G279" s="175"/>
      <c r="H279" s="11"/>
      <c r="I279" s="12"/>
      <c r="J279" s="12"/>
      <c r="K279" s="12"/>
      <c r="L279" s="12"/>
      <c r="M279" s="12"/>
      <c r="N279" s="12"/>
      <c r="O279" s="13"/>
      <c r="P279" s="12"/>
      <c r="Q279" s="14"/>
      <c r="R279" s="15"/>
    </row>
    <row r="280" spans="1:18" ht="15" customHeight="1" x14ac:dyDescent="0.3">
      <c r="A280" s="16" t="s">
        <v>104</v>
      </c>
      <c r="B280" s="16" t="s">
        <v>186</v>
      </c>
      <c r="C280" s="17">
        <v>0.22916666666666671</v>
      </c>
      <c r="D280" s="16" t="s">
        <v>106</v>
      </c>
      <c r="E280" s="16" t="s">
        <v>109</v>
      </c>
      <c r="F280" s="16" t="s">
        <v>113</v>
      </c>
      <c r="G280" s="175"/>
      <c r="H280" s="11"/>
      <c r="I280" s="12"/>
      <c r="J280" s="12"/>
      <c r="K280" s="12"/>
      <c r="L280" s="12"/>
      <c r="M280" s="12"/>
      <c r="N280" s="12"/>
      <c r="O280" s="13"/>
      <c r="P280" s="12"/>
      <c r="Q280" s="14"/>
      <c r="R280" s="15"/>
    </row>
    <row r="281" spans="1:18" ht="15" customHeight="1" x14ac:dyDescent="0.3">
      <c r="A281" s="16" t="s">
        <v>104</v>
      </c>
      <c r="B281" s="16" t="s">
        <v>184</v>
      </c>
      <c r="C281" s="17">
        <v>1.388888888888889E-2</v>
      </c>
      <c r="D281" s="16" t="s">
        <v>106</v>
      </c>
      <c r="E281" s="16" t="s">
        <v>109</v>
      </c>
      <c r="F281" s="16" t="s">
        <v>187</v>
      </c>
      <c r="G281" s="175"/>
      <c r="H281" s="11"/>
      <c r="I281" s="12"/>
      <c r="J281" s="12"/>
      <c r="K281" s="12"/>
      <c r="L281" s="12"/>
      <c r="M281" s="12"/>
      <c r="N281" s="12"/>
      <c r="O281" s="13"/>
      <c r="P281" s="12"/>
      <c r="Q281" s="14"/>
      <c r="R281" s="15"/>
    </row>
    <row r="282" spans="1:18" ht="15" customHeight="1" x14ac:dyDescent="0.3">
      <c r="A282" s="16" t="s">
        <v>104</v>
      </c>
      <c r="B282" s="16" t="s">
        <v>105</v>
      </c>
      <c r="C282" s="17">
        <v>0.4861111111111111</v>
      </c>
      <c r="D282" s="16" t="s">
        <v>106</v>
      </c>
      <c r="E282" s="16" t="s">
        <v>90</v>
      </c>
      <c r="F282" s="16" t="s">
        <v>189</v>
      </c>
      <c r="G282" s="175"/>
      <c r="H282" s="11"/>
      <c r="I282" s="12"/>
      <c r="J282" s="12"/>
      <c r="K282" s="12"/>
      <c r="L282" s="12"/>
      <c r="M282" s="12"/>
      <c r="N282" s="12"/>
      <c r="O282" s="13"/>
      <c r="P282" s="12"/>
      <c r="Q282" s="14"/>
      <c r="R282" s="15"/>
    </row>
    <row r="283" spans="1:18" ht="15" customHeight="1" x14ac:dyDescent="0.3">
      <c r="A283" s="16" t="s">
        <v>104</v>
      </c>
      <c r="B283" s="16" t="s">
        <v>188</v>
      </c>
      <c r="C283" s="17">
        <v>0.14583333333333329</v>
      </c>
      <c r="D283" s="16" t="s">
        <v>106</v>
      </c>
      <c r="E283" s="16" t="s">
        <v>32</v>
      </c>
      <c r="F283" s="16" t="s">
        <v>189</v>
      </c>
      <c r="G283" s="175"/>
      <c r="H283" s="11"/>
      <c r="I283" s="12"/>
      <c r="J283" s="12"/>
      <c r="K283" s="12"/>
      <c r="L283" s="12"/>
      <c r="M283" s="12"/>
      <c r="N283" s="12"/>
      <c r="O283" s="13"/>
      <c r="P283" s="12"/>
      <c r="Q283" s="14"/>
      <c r="R283" s="15"/>
    </row>
    <row r="284" spans="1:18" ht="15" customHeight="1" x14ac:dyDescent="0.3">
      <c r="A284" s="16" t="s">
        <v>104</v>
      </c>
      <c r="B284" s="16" t="s">
        <v>111</v>
      </c>
      <c r="C284" s="17">
        <v>0.54166666666666663</v>
      </c>
      <c r="D284" s="16" t="s">
        <v>106</v>
      </c>
      <c r="E284" s="16" t="s">
        <v>90</v>
      </c>
      <c r="F284" s="16" t="s">
        <v>189</v>
      </c>
      <c r="G284" s="175"/>
      <c r="H284" s="11"/>
      <c r="I284" s="12"/>
      <c r="J284" s="12"/>
      <c r="K284" s="12"/>
      <c r="L284" s="12"/>
      <c r="M284" s="12"/>
      <c r="N284" s="12"/>
      <c r="O284" s="13"/>
      <c r="P284" s="12"/>
      <c r="Q284" s="14"/>
      <c r="R284" s="15"/>
    </row>
    <row r="285" spans="1:18" ht="15" customHeight="1" thickBot="1" x14ac:dyDescent="0.35">
      <c r="A285" s="49" t="s">
        <v>104</v>
      </c>
      <c r="B285" s="49" t="s">
        <v>114</v>
      </c>
      <c r="C285" s="50">
        <v>0.77083333333333337</v>
      </c>
      <c r="D285" s="49" t="s">
        <v>106</v>
      </c>
      <c r="E285" s="49" t="s">
        <v>95</v>
      </c>
      <c r="F285" s="49" t="s">
        <v>189</v>
      </c>
      <c r="G285" s="176"/>
      <c r="H285" s="51"/>
      <c r="I285" s="52"/>
      <c r="J285" s="52"/>
      <c r="K285" s="52"/>
      <c r="L285" s="52"/>
      <c r="M285" s="52"/>
      <c r="N285" s="52"/>
      <c r="O285" s="53"/>
      <c r="P285" s="52"/>
      <c r="Q285" s="54"/>
      <c r="R285" s="55"/>
    </row>
    <row r="286" spans="1:18" ht="17.399999999999999" customHeight="1" thickBot="1" x14ac:dyDescent="0.35">
      <c r="A286" s="213"/>
      <c r="B286" s="214"/>
      <c r="C286" s="214"/>
      <c r="D286" s="214"/>
      <c r="E286" s="214"/>
      <c r="F286" s="214"/>
      <c r="G286" s="214"/>
      <c r="H286" s="214"/>
      <c r="I286" s="214"/>
      <c r="J286" s="214"/>
      <c r="K286" s="214"/>
      <c r="L286" s="214"/>
      <c r="M286" s="214"/>
      <c r="N286" s="214"/>
      <c r="O286" s="214"/>
      <c r="P286" s="214"/>
      <c r="Q286" s="214"/>
      <c r="R286" s="215"/>
    </row>
    <row r="287" spans="1:18" ht="22.05" customHeight="1" thickTop="1" thickBot="1" x14ac:dyDescent="0.55000000000000004">
      <c r="A287" s="189" t="s">
        <v>6</v>
      </c>
      <c r="B287" s="190"/>
      <c r="C287" s="190"/>
      <c r="D287" s="190"/>
      <c r="E287" s="190"/>
      <c r="F287" s="190"/>
      <c r="G287" s="56">
        <v>45984</v>
      </c>
      <c r="H287" s="172" t="s">
        <v>7</v>
      </c>
      <c r="I287" s="173"/>
      <c r="J287" s="173"/>
      <c r="K287" s="173"/>
      <c r="L287" s="173"/>
      <c r="M287" s="173"/>
      <c r="N287" s="173"/>
      <c r="O287" s="173"/>
      <c r="P287" s="173"/>
      <c r="Q287" s="173"/>
      <c r="R287" s="173"/>
    </row>
    <row r="288" spans="1:18" ht="24" customHeight="1" x14ac:dyDescent="0.3">
      <c r="A288" s="57" t="s">
        <v>8</v>
      </c>
      <c r="B288" s="57" t="s">
        <v>9</v>
      </c>
      <c r="C288" s="58" t="s">
        <v>10</v>
      </c>
      <c r="D288" s="57" t="s">
        <v>11</v>
      </c>
      <c r="E288" s="57" t="s">
        <v>12</v>
      </c>
      <c r="F288" s="59" t="s">
        <v>13</v>
      </c>
      <c r="G288" s="60" t="s">
        <v>14</v>
      </c>
      <c r="H288" s="57" t="s">
        <v>15</v>
      </c>
      <c r="I288" s="61" t="s">
        <v>16</v>
      </c>
      <c r="J288" s="62" t="s">
        <v>17</v>
      </c>
      <c r="K288" s="63" t="s">
        <v>18</v>
      </c>
      <c r="L288" s="62" t="s">
        <v>19</v>
      </c>
      <c r="M288" s="62" t="s">
        <v>20</v>
      </c>
      <c r="N288" s="62" t="s">
        <v>21</v>
      </c>
      <c r="O288" s="57" t="s">
        <v>22</v>
      </c>
      <c r="P288" s="58" t="s">
        <v>23</v>
      </c>
      <c r="Q288" s="62" t="s">
        <v>24</v>
      </c>
      <c r="R288" s="57" t="s">
        <v>25</v>
      </c>
    </row>
    <row r="289" spans="1:18" ht="15" customHeight="1" x14ac:dyDescent="0.3">
      <c r="A289" s="9" t="s">
        <v>41</v>
      </c>
      <c r="B289" s="9" t="s">
        <v>56</v>
      </c>
      <c r="C289" s="10">
        <v>0.88888888888888884</v>
      </c>
      <c r="D289" s="9" t="s">
        <v>43</v>
      </c>
      <c r="E289" s="9" t="s">
        <v>225</v>
      </c>
      <c r="F289" s="9" t="s">
        <v>226</v>
      </c>
      <c r="G289" s="181"/>
      <c r="H289" s="11"/>
      <c r="I289" s="12"/>
      <c r="J289" s="12"/>
      <c r="K289" s="12"/>
      <c r="L289" s="12"/>
      <c r="M289" s="12"/>
      <c r="N289" s="12"/>
      <c r="O289" s="13"/>
      <c r="P289" s="12"/>
      <c r="Q289" s="14"/>
      <c r="R289" s="15"/>
    </row>
    <row r="290" spans="1:18" ht="15" customHeight="1" x14ac:dyDescent="0.3">
      <c r="A290" s="20" t="s">
        <v>41</v>
      </c>
      <c r="B290" s="20" t="s">
        <v>56</v>
      </c>
      <c r="C290" s="21">
        <v>0.88888888888888884</v>
      </c>
      <c r="D290" s="20" t="s">
        <v>45</v>
      </c>
      <c r="E290" s="20" t="s">
        <v>53</v>
      </c>
      <c r="F290" s="20" t="s">
        <v>52</v>
      </c>
      <c r="G290" s="175"/>
      <c r="H290" s="11"/>
      <c r="I290" s="12"/>
      <c r="J290" s="12"/>
      <c r="K290" s="12"/>
      <c r="L290" s="12"/>
      <c r="M290" s="12"/>
      <c r="N290" s="12"/>
      <c r="O290" s="13"/>
      <c r="P290" s="12"/>
      <c r="Q290" s="14"/>
      <c r="R290" s="15"/>
    </row>
    <row r="291" spans="1:18" ht="15" customHeight="1" x14ac:dyDescent="0.3">
      <c r="A291" s="20" t="s">
        <v>41</v>
      </c>
      <c r="B291" s="20" t="s">
        <v>56</v>
      </c>
      <c r="C291" s="21">
        <v>0.88888888888888884</v>
      </c>
      <c r="D291" s="20" t="s">
        <v>48</v>
      </c>
      <c r="E291" s="20" t="s">
        <v>53</v>
      </c>
      <c r="F291" s="20" t="s">
        <v>49</v>
      </c>
      <c r="G291" s="175"/>
      <c r="H291" s="11"/>
      <c r="I291" s="12"/>
      <c r="J291" s="12"/>
      <c r="K291" s="12"/>
      <c r="L291" s="12"/>
      <c r="M291" s="12"/>
      <c r="N291" s="12"/>
      <c r="O291" s="13"/>
      <c r="P291" s="12"/>
      <c r="Q291" s="14"/>
      <c r="R291" s="15"/>
    </row>
    <row r="292" spans="1:18" ht="15" customHeight="1" x14ac:dyDescent="0.3">
      <c r="A292" s="16" t="s">
        <v>41</v>
      </c>
      <c r="B292" s="16" t="s">
        <v>50</v>
      </c>
      <c r="C292" s="17">
        <v>0.78819444444444453</v>
      </c>
      <c r="D292" s="16" t="s">
        <v>43</v>
      </c>
      <c r="E292" s="16" t="s">
        <v>57</v>
      </c>
      <c r="F292" s="16" t="s">
        <v>212</v>
      </c>
      <c r="G292" s="175"/>
      <c r="H292" s="11"/>
      <c r="I292" s="12"/>
      <c r="J292" s="12"/>
      <c r="K292" s="12"/>
      <c r="L292" s="12"/>
      <c r="M292" s="12"/>
      <c r="N292" s="12"/>
      <c r="O292" s="13"/>
      <c r="P292" s="12"/>
      <c r="Q292" s="14"/>
      <c r="R292" s="15"/>
    </row>
    <row r="293" spans="1:18" ht="15" customHeight="1" x14ac:dyDescent="0.3">
      <c r="A293" s="20" t="s">
        <v>41</v>
      </c>
      <c r="B293" s="20" t="s">
        <v>50</v>
      </c>
      <c r="C293" s="21">
        <v>0.78819444444444453</v>
      </c>
      <c r="D293" s="20" t="s">
        <v>45</v>
      </c>
      <c r="E293" s="20" t="s">
        <v>59</v>
      </c>
      <c r="F293" s="20" t="s">
        <v>213</v>
      </c>
      <c r="G293" s="175"/>
      <c r="H293" s="11"/>
      <c r="I293" s="12"/>
      <c r="J293" s="12"/>
      <c r="K293" s="12"/>
      <c r="L293" s="12"/>
      <c r="M293" s="12"/>
      <c r="N293" s="12"/>
      <c r="O293" s="13"/>
      <c r="P293" s="12"/>
      <c r="Q293" s="14"/>
      <c r="R293" s="15"/>
    </row>
    <row r="294" spans="1:18" ht="15" customHeight="1" x14ac:dyDescent="0.3">
      <c r="A294" s="20" t="s">
        <v>41</v>
      </c>
      <c r="B294" s="20" t="s">
        <v>50</v>
      </c>
      <c r="C294" s="21">
        <v>0.78819444444444453</v>
      </c>
      <c r="D294" s="20" t="s">
        <v>48</v>
      </c>
      <c r="E294" s="20" t="s">
        <v>59</v>
      </c>
      <c r="F294" s="20" t="s">
        <v>49</v>
      </c>
      <c r="G294" s="175"/>
      <c r="H294" s="11"/>
      <c r="I294" s="12"/>
      <c r="J294" s="12"/>
      <c r="K294" s="12"/>
      <c r="L294" s="12"/>
      <c r="M294" s="12"/>
      <c r="N294" s="12"/>
      <c r="O294" s="13"/>
      <c r="P294" s="12"/>
      <c r="Q294" s="14"/>
      <c r="R294" s="15"/>
    </row>
    <row r="295" spans="1:18" ht="15" customHeight="1" x14ac:dyDescent="0.3">
      <c r="A295" s="16" t="s">
        <v>41</v>
      </c>
      <c r="B295" s="16" t="s">
        <v>133</v>
      </c>
      <c r="C295" s="17">
        <v>0.12847222222222221</v>
      </c>
      <c r="D295" s="16" t="s">
        <v>43</v>
      </c>
      <c r="E295" s="16" t="s">
        <v>227</v>
      </c>
      <c r="F295" s="16" t="s">
        <v>44</v>
      </c>
      <c r="G295" s="175"/>
      <c r="H295" s="11"/>
      <c r="I295" s="12"/>
      <c r="J295" s="12"/>
      <c r="K295" s="12"/>
      <c r="L295" s="12"/>
      <c r="M295" s="12"/>
      <c r="N295" s="12"/>
      <c r="O295" s="13"/>
      <c r="P295" s="12"/>
      <c r="Q295" s="14"/>
      <c r="R295" s="15"/>
    </row>
    <row r="296" spans="1:18" ht="15" customHeight="1" x14ac:dyDescent="0.3">
      <c r="A296" s="20" t="s">
        <v>41</v>
      </c>
      <c r="B296" s="20" t="s">
        <v>133</v>
      </c>
      <c r="C296" s="21">
        <v>0.12847222222222221</v>
      </c>
      <c r="D296" s="20" t="s">
        <v>45</v>
      </c>
      <c r="E296" s="20" t="s">
        <v>228</v>
      </c>
      <c r="F296" s="20" t="s">
        <v>47</v>
      </c>
      <c r="G296" s="175"/>
      <c r="H296" s="11"/>
      <c r="I296" s="12"/>
      <c r="J296" s="12"/>
      <c r="K296" s="12"/>
      <c r="L296" s="12"/>
      <c r="M296" s="12"/>
      <c r="N296" s="12"/>
      <c r="O296" s="13"/>
      <c r="P296" s="12"/>
      <c r="Q296" s="14"/>
      <c r="R296" s="15"/>
    </row>
    <row r="297" spans="1:18" ht="15" customHeight="1" x14ac:dyDescent="0.3">
      <c r="A297" s="20" t="s">
        <v>41</v>
      </c>
      <c r="B297" s="20" t="s">
        <v>133</v>
      </c>
      <c r="C297" s="21">
        <v>0.12847222222222221</v>
      </c>
      <c r="D297" s="20" t="s">
        <v>48</v>
      </c>
      <c r="E297" s="20" t="s">
        <v>228</v>
      </c>
      <c r="F297" s="20" t="s">
        <v>49</v>
      </c>
      <c r="G297" s="175"/>
      <c r="H297" s="11"/>
      <c r="I297" s="12"/>
      <c r="J297" s="12"/>
      <c r="K297" s="12"/>
      <c r="L297" s="12"/>
      <c r="M297" s="12"/>
      <c r="N297" s="12"/>
      <c r="O297" s="13"/>
      <c r="P297" s="12"/>
      <c r="Q297" s="14"/>
      <c r="R297" s="15"/>
    </row>
    <row r="298" spans="1:18" ht="15" customHeight="1" x14ac:dyDescent="0.3">
      <c r="A298" s="16" t="s">
        <v>41</v>
      </c>
      <c r="B298" s="16" t="s">
        <v>42</v>
      </c>
      <c r="C298" s="17">
        <v>0.30208333333333331</v>
      </c>
      <c r="D298" s="16" t="s">
        <v>43</v>
      </c>
      <c r="E298" s="16" t="s">
        <v>138</v>
      </c>
      <c r="F298" s="16" t="s">
        <v>52</v>
      </c>
      <c r="G298" s="175"/>
      <c r="H298" s="11"/>
      <c r="I298" s="12"/>
      <c r="J298" s="12"/>
      <c r="K298" s="12"/>
      <c r="L298" s="12"/>
      <c r="M298" s="12"/>
      <c r="N298" s="12"/>
      <c r="O298" s="13"/>
      <c r="P298" s="12"/>
      <c r="Q298" s="14"/>
      <c r="R298" s="15"/>
    </row>
    <row r="299" spans="1:18" ht="15" customHeight="1" x14ac:dyDescent="0.3">
      <c r="A299" s="20" t="s">
        <v>41</v>
      </c>
      <c r="B299" s="20" t="s">
        <v>42</v>
      </c>
      <c r="C299" s="21">
        <v>0.30208333333333331</v>
      </c>
      <c r="D299" s="20" t="s">
        <v>45</v>
      </c>
      <c r="E299" s="20" t="s">
        <v>140</v>
      </c>
      <c r="F299" s="20" t="s">
        <v>54</v>
      </c>
      <c r="G299" s="175"/>
      <c r="H299" s="11"/>
      <c r="I299" s="12"/>
      <c r="J299" s="12"/>
      <c r="K299" s="12"/>
      <c r="L299" s="12"/>
      <c r="M299" s="12"/>
      <c r="N299" s="12"/>
      <c r="O299" s="13"/>
      <c r="P299" s="12"/>
      <c r="Q299" s="14"/>
      <c r="R299" s="15"/>
    </row>
    <row r="300" spans="1:18" ht="15" customHeight="1" x14ac:dyDescent="0.3">
      <c r="A300" s="20" t="s">
        <v>41</v>
      </c>
      <c r="B300" s="20" t="s">
        <v>42</v>
      </c>
      <c r="C300" s="21">
        <v>0.30208333333333331</v>
      </c>
      <c r="D300" s="20" t="s">
        <v>48</v>
      </c>
      <c r="E300" s="20" t="s">
        <v>140</v>
      </c>
      <c r="F300" s="20" t="s">
        <v>49</v>
      </c>
      <c r="G300" s="175"/>
      <c r="H300" s="11"/>
      <c r="I300" s="12"/>
      <c r="J300" s="12"/>
      <c r="K300" s="12"/>
      <c r="L300" s="12"/>
      <c r="M300" s="12"/>
      <c r="N300" s="12"/>
      <c r="O300" s="13"/>
      <c r="P300" s="12"/>
      <c r="Q300" s="14"/>
      <c r="R300" s="15"/>
    </row>
    <row r="301" spans="1:18" ht="15" customHeight="1" x14ac:dyDescent="0.3">
      <c r="A301" s="110" t="s">
        <v>81</v>
      </c>
      <c r="B301" s="110" t="s">
        <v>155</v>
      </c>
      <c r="C301" s="111">
        <v>0.33333333333333331</v>
      </c>
      <c r="D301" s="110" t="s">
        <v>83</v>
      </c>
      <c r="E301" s="110" t="s">
        <v>134</v>
      </c>
      <c r="F301" s="110" t="s">
        <v>229</v>
      </c>
      <c r="G301" s="175"/>
      <c r="H301" s="77" t="s">
        <v>156</v>
      </c>
      <c r="I301" s="112">
        <v>0.84519999999999995</v>
      </c>
      <c r="J301" s="79">
        <v>142</v>
      </c>
      <c r="K301" s="80">
        <v>45979</v>
      </c>
      <c r="L301" s="79">
        <v>24</v>
      </c>
      <c r="M301" s="79">
        <v>0</v>
      </c>
      <c r="N301" s="79">
        <v>10</v>
      </c>
      <c r="O301" s="81" t="s">
        <v>230</v>
      </c>
      <c r="P301" s="82">
        <v>0.33333333333333331</v>
      </c>
      <c r="Q301" s="79">
        <v>168</v>
      </c>
      <c r="R301" s="83" t="s">
        <v>231</v>
      </c>
    </row>
    <row r="302" spans="1:18" ht="15" customHeight="1" x14ac:dyDescent="0.3">
      <c r="A302" s="84" t="s">
        <v>81</v>
      </c>
      <c r="B302" s="84" t="s">
        <v>146</v>
      </c>
      <c r="C302" s="85">
        <v>8.3333333333333329E-2</v>
      </c>
      <c r="D302" s="84" t="s">
        <v>83</v>
      </c>
      <c r="E302" s="84" t="s">
        <v>90</v>
      </c>
      <c r="F302" s="84" t="s">
        <v>147</v>
      </c>
      <c r="G302" s="175"/>
      <c r="H302" s="86" t="s">
        <v>148</v>
      </c>
      <c r="I302" s="113">
        <v>0.59219999999999995</v>
      </c>
      <c r="J302" s="88">
        <v>106</v>
      </c>
      <c r="K302" s="89">
        <v>45979</v>
      </c>
      <c r="L302" s="88">
        <v>53</v>
      </c>
      <c r="M302" s="88">
        <v>0</v>
      </c>
      <c r="N302" s="88">
        <v>20</v>
      </c>
      <c r="O302" s="90" t="s">
        <v>232</v>
      </c>
      <c r="P302" s="91">
        <v>8.3333333333333329E-2</v>
      </c>
      <c r="Q302" s="88">
        <v>179</v>
      </c>
      <c r="R302" s="92" t="s">
        <v>233</v>
      </c>
    </row>
    <row r="303" spans="1:18" ht="15" customHeight="1" x14ac:dyDescent="0.3">
      <c r="A303" s="114" t="s">
        <v>81</v>
      </c>
      <c r="B303" s="114" t="s">
        <v>89</v>
      </c>
      <c r="C303" s="115">
        <v>0.31944444444444448</v>
      </c>
      <c r="D303" s="114" t="s">
        <v>83</v>
      </c>
      <c r="E303" s="114" t="s">
        <v>138</v>
      </c>
      <c r="F303" s="114" t="s">
        <v>147</v>
      </c>
      <c r="G303" s="175"/>
      <c r="H303" s="116" t="s">
        <v>91</v>
      </c>
      <c r="I303" s="117">
        <v>0.54190000000000005</v>
      </c>
      <c r="J303" s="118">
        <v>97</v>
      </c>
      <c r="K303" s="119">
        <v>45979</v>
      </c>
      <c r="L303" s="118">
        <v>35</v>
      </c>
      <c r="M303" s="118">
        <v>0</v>
      </c>
      <c r="N303" s="118">
        <v>11</v>
      </c>
      <c r="O303" s="120" t="s">
        <v>234</v>
      </c>
      <c r="P303" s="121">
        <v>0.31944444444444448</v>
      </c>
      <c r="Q303" s="118">
        <v>179</v>
      </c>
      <c r="R303" s="122" t="s">
        <v>235</v>
      </c>
    </row>
    <row r="304" spans="1:18" ht="15" customHeight="1" x14ac:dyDescent="0.3">
      <c r="A304" s="40" t="s">
        <v>81</v>
      </c>
      <c r="B304" s="40" t="s">
        <v>82</v>
      </c>
      <c r="C304" s="41">
        <v>0.51041666666666663</v>
      </c>
      <c r="D304" s="40" t="s">
        <v>83</v>
      </c>
      <c r="E304" s="40" t="s">
        <v>51</v>
      </c>
      <c r="F304" s="40" t="s">
        <v>85</v>
      </c>
      <c r="G304" s="175"/>
      <c r="H304" s="42" t="s">
        <v>86</v>
      </c>
      <c r="I304" s="43">
        <v>0.91059999999999997</v>
      </c>
      <c r="J304" s="44">
        <v>163</v>
      </c>
      <c r="K304" s="45">
        <v>45978</v>
      </c>
      <c r="L304" s="44">
        <v>5</v>
      </c>
      <c r="M304" s="44">
        <v>0</v>
      </c>
      <c r="N304" s="44">
        <v>0</v>
      </c>
      <c r="O304" s="46" t="s">
        <v>236</v>
      </c>
      <c r="P304" s="47">
        <v>0.51041666666666663</v>
      </c>
      <c r="Q304" s="44">
        <v>179</v>
      </c>
      <c r="R304" s="48" t="s">
        <v>237</v>
      </c>
    </row>
    <row r="305" spans="1:18" ht="15" customHeight="1" x14ac:dyDescent="0.3">
      <c r="A305" s="123" t="s">
        <v>81</v>
      </c>
      <c r="B305" s="123" t="s">
        <v>94</v>
      </c>
      <c r="C305" s="124">
        <v>0.63194444444444442</v>
      </c>
      <c r="D305" s="123" t="s">
        <v>83</v>
      </c>
      <c r="E305" s="123" t="s">
        <v>70</v>
      </c>
      <c r="F305" s="123" t="s">
        <v>85</v>
      </c>
      <c r="G305" s="175"/>
      <c r="H305" s="102" t="s">
        <v>97</v>
      </c>
      <c r="I305" s="103">
        <v>0.99439999999999995</v>
      </c>
      <c r="J305" s="104">
        <v>178</v>
      </c>
      <c r="K305" s="105">
        <v>45978</v>
      </c>
      <c r="L305" s="104">
        <v>10</v>
      </c>
      <c r="M305" s="104">
        <v>0</v>
      </c>
      <c r="N305" s="104">
        <v>0</v>
      </c>
      <c r="O305" s="106" t="s">
        <v>238</v>
      </c>
      <c r="P305" s="107">
        <v>0.63194444444444442</v>
      </c>
      <c r="Q305" s="104">
        <v>179</v>
      </c>
      <c r="R305" s="108" t="s">
        <v>239</v>
      </c>
    </row>
    <row r="306" spans="1:18" ht="15" customHeight="1" x14ac:dyDescent="0.3">
      <c r="A306" s="18" t="s">
        <v>61</v>
      </c>
      <c r="B306" s="18" t="s">
        <v>137</v>
      </c>
      <c r="C306" s="19">
        <v>0.25694444444444448</v>
      </c>
      <c r="D306" s="18" t="s">
        <v>63</v>
      </c>
      <c r="E306" s="18" t="s">
        <v>170</v>
      </c>
      <c r="F306" s="18" t="s">
        <v>212</v>
      </c>
      <c r="G306" s="175"/>
      <c r="H306" s="11"/>
      <c r="I306" s="12"/>
      <c r="J306" s="12"/>
      <c r="K306" s="12"/>
      <c r="L306" s="12"/>
      <c r="M306" s="12"/>
      <c r="N306" s="12"/>
      <c r="O306" s="13"/>
      <c r="P306" s="12"/>
      <c r="Q306" s="14"/>
      <c r="R306" s="15"/>
    </row>
    <row r="307" spans="1:18" ht="15" customHeight="1" x14ac:dyDescent="0.3">
      <c r="A307" s="20" t="s">
        <v>61</v>
      </c>
      <c r="B307" s="20" t="s">
        <v>137</v>
      </c>
      <c r="C307" s="21">
        <v>0.25694444444444448</v>
      </c>
      <c r="D307" s="20" t="s">
        <v>65</v>
      </c>
      <c r="E307" s="20" t="s">
        <v>59</v>
      </c>
      <c r="F307" s="20" t="s">
        <v>52</v>
      </c>
      <c r="G307" s="175"/>
      <c r="H307" s="11"/>
      <c r="I307" s="12"/>
      <c r="J307" s="12"/>
      <c r="K307" s="12"/>
      <c r="L307" s="12"/>
      <c r="M307" s="12"/>
      <c r="N307" s="12"/>
      <c r="O307" s="13"/>
      <c r="P307" s="12"/>
      <c r="Q307" s="14"/>
      <c r="R307" s="15"/>
    </row>
    <row r="308" spans="1:18" ht="15" customHeight="1" x14ac:dyDescent="0.3">
      <c r="A308" s="20" t="s">
        <v>61</v>
      </c>
      <c r="B308" s="20" t="s">
        <v>137</v>
      </c>
      <c r="C308" s="21">
        <v>0.25694444444444448</v>
      </c>
      <c r="D308" s="20" t="s">
        <v>67</v>
      </c>
      <c r="E308" s="20" t="s">
        <v>59</v>
      </c>
      <c r="F308" s="20" t="s">
        <v>240</v>
      </c>
      <c r="G308" s="175"/>
      <c r="H308" s="11"/>
      <c r="I308" s="12"/>
      <c r="J308" s="12"/>
      <c r="K308" s="12"/>
      <c r="L308" s="12"/>
      <c r="M308" s="12"/>
      <c r="N308" s="12"/>
      <c r="O308" s="13"/>
      <c r="P308" s="12"/>
      <c r="Q308" s="14"/>
      <c r="R308" s="15"/>
    </row>
    <row r="309" spans="1:18" ht="15" customHeight="1" x14ac:dyDescent="0.3">
      <c r="A309" s="16" t="s">
        <v>61</v>
      </c>
      <c r="B309" s="16" t="s">
        <v>74</v>
      </c>
      <c r="C309" s="17">
        <v>0.90277777777777779</v>
      </c>
      <c r="D309" s="16" t="s">
        <v>63</v>
      </c>
      <c r="E309" s="16" t="s">
        <v>57</v>
      </c>
      <c r="F309" s="16" t="s">
        <v>212</v>
      </c>
      <c r="G309" s="175"/>
      <c r="H309" s="11"/>
      <c r="I309" s="12"/>
      <c r="J309" s="12"/>
      <c r="K309" s="12"/>
      <c r="L309" s="12"/>
      <c r="M309" s="12"/>
      <c r="N309" s="12"/>
      <c r="O309" s="13"/>
      <c r="P309" s="12"/>
      <c r="Q309" s="14"/>
      <c r="R309" s="15"/>
    </row>
    <row r="310" spans="1:18" ht="15" customHeight="1" x14ac:dyDescent="0.3">
      <c r="A310" s="20" t="s">
        <v>61</v>
      </c>
      <c r="B310" s="20" t="s">
        <v>74</v>
      </c>
      <c r="C310" s="21">
        <v>0.90277777777777779</v>
      </c>
      <c r="D310" s="20" t="s">
        <v>65</v>
      </c>
      <c r="E310" s="20" t="s">
        <v>59</v>
      </c>
      <c r="F310" s="20" t="s">
        <v>52</v>
      </c>
      <c r="G310" s="175"/>
      <c r="H310" s="11"/>
      <c r="I310" s="12"/>
      <c r="J310" s="12"/>
      <c r="K310" s="12"/>
      <c r="L310" s="12"/>
      <c r="M310" s="12"/>
      <c r="N310" s="12"/>
      <c r="O310" s="13"/>
      <c r="P310" s="12"/>
      <c r="Q310" s="14"/>
      <c r="R310" s="15"/>
    </row>
    <row r="311" spans="1:18" ht="15" customHeight="1" x14ac:dyDescent="0.3">
      <c r="A311" s="20" t="s">
        <v>61</v>
      </c>
      <c r="B311" s="20" t="s">
        <v>74</v>
      </c>
      <c r="C311" s="21">
        <v>0.90277777777777779</v>
      </c>
      <c r="D311" s="20" t="s">
        <v>67</v>
      </c>
      <c r="E311" s="20" t="s">
        <v>59</v>
      </c>
      <c r="F311" s="20" t="s">
        <v>240</v>
      </c>
      <c r="G311" s="175"/>
      <c r="H311" s="11"/>
      <c r="I311" s="12"/>
      <c r="J311" s="12"/>
      <c r="K311" s="12"/>
      <c r="L311" s="12"/>
      <c r="M311" s="12"/>
      <c r="N311" s="12"/>
      <c r="O311" s="13"/>
      <c r="P311" s="12"/>
      <c r="Q311" s="14"/>
      <c r="R311" s="15"/>
    </row>
    <row r="312" spans="1:18" ht="15" customHeight="1" x14ac:dyDescent="0.3">
      <c r="A312" s="16" t="s">
        <v>61</v>
      </c>
      <c r="B312" s="16" t="s">
        <v>78</v>
      </c>
      <c r="C312" s="17">
        <v>0.64583333333333337</v>
      </c>
      <c r="D312" s="16" t="s">
        <v>63</v>
      </c>
      <c r="E312" s="16" t="s">
        <v>90</v>
      </c>
      <c r="F312" s="16" t="s">
        <v>212</v>
      </c>
      <c r="G312" s="175"/>
      <c r="H312" s="11"/>
      <c r="I312" s="12"/>
      <c r="J312" s="12"/>
      <c r="K312" s="12"/>
      <c r="L312" s="12"/>
      <c r="M312" s="12"/>
      <c r="N312" s="12"/>
      <c r="O312" s="13"/>
      <c r="P312" s="12"/>
      <c r="Q312" s="14"/>
      <c r="R312" s="15"/>
    </row>
    <row r="313" spans="1:18" ht="15" customHeight="1" x14ac:dyDescent="0.3">
      <c r="A313" s="20" t="s">
        <v>61</v>
      </c>
      <c r="B313" s="20" t="s">
        <v>78</v>
      </c>
      <c r="C313" s="21">
        <v>0.64583333333333337</v>
      </c>
      <c r="D313" s="20" t="s">
        <v>65</v>
      </c>
      <c r="E313" s="20" t="s">
        <v>46</v>
      </c>
      <c r="F313" s="20" t="s">
        <v>52</v>
      </c>
      <c r="G313" s="175"/>
      <c r="H313" s="11"/>
      <c r="I313" s="12"/>
      <c r="J313" s="12"/>
      <c r="K313" s="12"/>
      <c r="L313" s="12"/>
      <c r="M313" s="12"/>
      <c r="N313" s="12"/>
      <c r="O313" s="13"/>
      <c r="P313" s="12"/>
      <c r="Q313" s="14"/>
      <c r="R313" s="15"/>
    </row>
    <row r="314" spans="1:18" ht="15" customHeight="1" x14ac:dyDescent="0.3">
      <c r="A314" s="20" t="s">
        <v>61</v>
      </c>
      <c r="B314" s="20" t="s">
        <v>78</v>
      </c>
      <c r="C314" s="21">
        <v>0.64583333333333337</v>
      </c>
      <c r="D314" s="20" t="s">
        <v>67</v>
      </c>
      <c r="E314" s="20" t="s">
        <v>46</v>
      </c>
      <c r="F314" s="20" t="s">
        <v>240</v>
      </c>
      <c r="G314" s="175"/>
      <c r="H314" s="11"/>
      <c r="I314" s="12"/>
      <c r="J314" s="12"/>
      <c r="K314" s="12"/>
      <c r="L314" s="12"/>
      <c r="M314" s="12"/>
      <c r="N314" s="12"/>
      <c r="O314" s="13"/>
      <c r="P314" s="12"/>
      <c r="Q314" s="14"/>
      <c r="R314" s="15"/>
    </row>
    <row r="315" spans="1:18" ht="15" customHeight="1" x14ac:dyDescent="0.3">
      <c r="A315" s="16" t="s">
        <v>61</v>
      </c>
      <c r="B315" s="16" t="s">
        <v>69</v>
      </c>
      <c r="C315" s="17">
        <v>0.85416666666666663</v>
      </c>
      <c r="D315" s="16" t="s">
        <v>63</v>
      </c>
      <c r="E315" s="16" t="s">
        <v>57</v>
      </c>
      <c r="F315" s="16" t="s">
        <v>212</v>
      </c>
      <c r="G315" s="175"/>
      <c r="H315" s="11"/>
      <c r="I315" s="12"/>
      <c r="J315" s="12"/>
      <c r="K315" s="12"/>
      <c r="L315" s="12"/>
      <c r="M315" s="12"/>
      <c r="N315" s="12"/>
      <c r="O315" s="13"/>
      <c r="P315" s="12"/>
      <c r="Q315" s="14"/>
      <c r="R315" s="15"/>
    </row>
    <row r="316" spans="1:18" ht="15" customHeight="1" x14ac:dyDescent="0.3">
      <c r="A316" s="20" t="s">
        <v>61</v>
      </c>
      <c r="B316" s="20" t="s">
        <v>69</v>
      </c>
      <c r="C316" s="21">
        <v>0.85416666666666663</v>
      </c>
      <c r="D316" s="20" t="s">
        <v>65</v>
      </c>
      <c r="E316" s="20" t="s">
        <v>59</v>
      </c>
      <c r="F316" s="20" t="s">
        <v>52</v>
      </c>
      <c r="G316" s="175"/>
      <c r="H316" s="11"/>
      <c r="I316" s="12"/>
      <c r="J316" s="12"/>
      <c r="K316" s="12"/>
      <c r="L316" s="12"/>
      <c r="M316" s="12"/>
      <c r="N316" s="12"/>
      <c r="O316" s="13"/>
      <c r="P316" s="12"/>
      <c r="Q316" s="14"/>
      <c r="R316" s="15"/>
    </row>
    <row r="317" spans="1:18" ht="15" customHeight="1" x14ac:dyDescent="0.3">
      <c r="A317" s="20" t="s">
        <v>61</v>
      </c>
      <c r="B317" s="20" t="s">
        <v>69</v>
      </c>
      <c r="C317" s="21">
        <v>0.85416666666666663</v>
      </c>
      <c r="D317" s="20" t="s">
        <v>67</v>
      </c>
      <c r="E317" s="20" t="s">
        <v>59</v>
      </c>
      <c r="F317" s="20" t="s">
        <v>240</v>
      </c>
      <c r="G317" s="175"/>
      <c r="H317" s="11"/>
      <c r="I317" s="12"/>
      <c r="J317" s="12"/>
      <c r="K317" s="12"/>
      <c r="L317" s="12"/>
      <c r="M317" s="12"/>
      <c r="N317" s="12"/>
      <c r="O317" s="13"/>
      <c r="P317" s="12"/>
      <c r="Q317" s="14"/>
      <c r="R317" s="15"/>
    </row>
    <row r="318" spans="1:18" ht="15" customHeight="1" x14ac:dyDescent="0.3">
      <c r="A318" s="16" t="s">
        <v>61</v>
      </c>
      <c r="B318" s="16" t="s">
        <v>72</v>
      </c>
      <c r="C318" s="17">
        <v>0.39583333333333331</v>
      </c>
      <c r="D318" s="16" t="s">
        <v>63</v>
      </c>
      <c r="E318" s="16" t="s">
        <v>57</v>
      </c>
      <c r="F318" s="16" t="s">
        <v>212</v>
      </c>
      <c r="G318" s="175"/>
      <c r="H318" s="11"/>
      <c r="I318" s="12"/>
      <c r="J318" s="12"/>
      <c r="K318" s="12"/>
      <c r="L318" s="12"/>
      <c r="M318" s="12"/>
      <c r="N318" s="12"/>
      <c r="O318" s="13"/>
      <c r="P318" s="12"/>
      <c r="Q318" s="14"/>
      <c r="R318" s="15"/>
    </row>
    <row r="319" spans="1:18" ht="15" customHeight="1" x14ac:dyDescent="0.3">
      <c r="A319" s="20" t="s">
        <v>61</v>
      </c>
      <c r="B319" s="20" t="s">
        <v>72</v>
      </c>
      <c r="C319" s="21">
        <v>0.39583333333333331</v>
      </c>
      <c r="D319" s="20" t="s">
        <v>65</v>
      </c>
      <c r="E319" s="20" t="s">
        <v>59</v>
      </c>
      <c r="F319" s="20" t="s">
        <v>52</v>
      </c>
      <c r="G319" s="175"/>
      <c r="H319" s="11"/>
      <c r="I319" s="12"/>
      <c r="J319" s="12"/>
      <c r="K319" s="12"/>
      <c r="L319" s="12"/>
      <c r="M319" s="12"/>
      <c r="N319" s="12"/>
      <c r="O319" s="13"/>
      <c r="P319" s="12"/>
      <c r="Q319" s="14"/>
      <c r="R319" s="15"/>
    </row>
    <row r="320" spans="1:18" ht="15" customHeight="1" x14ac:dyDescent="0.3">
      <c r="A320" s="20" t="s">
        <v>61</v>
      </c>
      <c r="B320" s="20" t="s">
        <v>72</v>
      </c>
      <c r="C320" s="21">
        <v>0.39583333333333331</v>
      </c>
      <c r="D320" s="20" t="s">
        <v>67</v>
      </c>
      <c r="E320" s="20" t="s">
        <v>59</v>
      </c>
      <c r="F320" s="20" t="s">
        <v>240</v>
      </c>
      <c r="G320" s="175"/>
      <c r="H320" s="11"/>
      <c r="I320" s="12"/>
      <c r="J320" s="12"/>
      <c r="K320" s="12"/>
      <c r="L320" s="12"/>
      <c r="M320" s="12"/>
      <c r="N320" s="12"/>
      <c r="O320" s="13"/>
      <c r="P320" s="12"/>
      <c r="Q320" s="14"/>
      <c r="R320" s="15"/>
    </row>
    <row r="321" spans="1:18" ht="15" customHeight="1" x14ac:dyDescent="0.3">
      <c r="A321" s="16" t="s">
        <v>61</v>
      </c>
      <c r="B321" s="16" t="s">
        <v>79</v>
      </c>
      <c r="C321" s="17">
        <v>0.30208333333333331</v>
      </c>
      <c r="D321" s="16" t="s">
        <v>63</v>
      </c>
      <c r="E321" s="16" t="s">
        <v>57</v>
      </c>
      <c r="F321" s="16" t="s">
        <v>212</v>
      </c>
      <c r="G321" s="175"/>
      <c r="H321" s="11"/>
      <c r="I321" s="12"/>
      <c r="J321" s="12"/>
      <c r="K321" s="12"/>
      <c r="L321" s="12"/>
      <c r="M321" s="12"/>
      <c r="N321" s="12"/>
      <c r="O321" s="13"/>
      <c r="P321" s="12"/>
      <c r="Q321" s="14"/>
      <c r="R321" s="15"/>
    </row>
    <row r="322" spans="1:18" ht="15" customHeight="1" x14ac:dyDescent="0.3">
      <c r="A322" s="20" t="s">
        <v>61</v>
      </c>
      <c r="B322" s="20" t="s">
        <v>79</v>
      </c>
      <c r="C322" s="21">
        <v>0.30208333333333331</v>
      </c>
      <c r="D322" s="20" t="s">
        <v>65</v>
      </c>
      <c r="E322" s="20" t="s">
        <v>59</v>
      </c>
      <c r="F322" s="20" t="s">
        <v>52</v>
      </c>
      <c r="G322" s="175"/>
      <c r="H322" s="11"/>
      <c r="I322" s="12"/>
      <c r="J322" s="12"/>
      <c r="K322" s="12"/>
      <c r="L322" s="12"/>
      <c r="M322" s="12"/>
      <c r="N322" s="12"/>
      <c r="O322" s="13"/>
      <c r="P322" s="12"/>
      <c r="Q322" s="14"/>
      <c r="R322" s="15"/>
    </row>
    <row r="323" spans="1:18" ht="15" customHeight="1" x14ac:dyDescent="0.3">
      <c r="A323" s="20" t="s">
        <v>61</v>
      </c>
      <c r="B323" s="20" t="s">
        <v>79</v>
      </c>
      <c r="C323" s="21">
        <v>0.30208333333333331</v>
      </c>
      <c r="D323" s="20" t="s">
        <v>67</v>
      </c>
      <c r="E323" s="20" t="s">
        <v>59</v>
      </c>
      <c r="F323" s="20" t="s">
        <v>240</v>
      </c>
      <c r="G323" s="175"/>
      <c r="H323" s="11"/>
      <c r="I323" s="12"/>
      <c r="J323" s="12"/>
      <c r="K323" s="12"/>
      <c r="L323" s="12"/>
      <c r="M323" s="12"/>
      <c r="N323" s="12"/>
      <c r="O323" s="13"/>
      <c r="P323" s="12"/>
      <c r="Q323" s="14"/>
      <c r="R323" s="15"/>
    </row>
    <row r="324" spans="1:18" ht="15" customHeight="1" x14ac:dyDescent="0.3">
      <c r="A324" s="16" t="s">
        <v>61</v>
      </c>
      <c r="B324" s="16" t="s">
        <v>73</v>
      </c>
      <c r="C324" s="17">
        <v>0.79861111111111116</v>
      </c>
      <c r="D324" s="16" t="s">
        <v>63</v>
      </c>
      <c r="E324" s="16" t="s">
        <v>57</v>
      </c>
      <c r="F324" s="16" t="s">
        <v>212</v>
      </c>
      <c r="G324" s="175"/>
      <c r="H324" s="11"/>
      <c r="I324" s="12"/>
      <c r="J324" s="12"/>
      <c r="K324" s="12"/>
      <c r="L324" s="12"/>
      <c r="M324" s="12"/>
      <c r="N324" s="12"/>
      <c r="O324" s="13"/>
      <c r="P324" s="12"/>
      <c r="Q324" s="14"/>
      <c r="R324" s="15"/>
    </row>
    <row r="325" spans="1:18" ht="15" customHeight="1" x14ac:dyDescent="0.3">
      <c r="A325" s="20" t="s">
        <v>61</v>
      </c>
      <c r="B325" s="20" t="s">
        <v>73</v>
      </c>
      <c r="C325" s="21">
        <v>0.79861111111111116</v>
      </c>
      <c r="D325" s="20" t="s">
        <v>65</v>
      </c>
      <c r="E325" s="20" t="s">
        <v>59</v>
      </c>
      <c r="F325" s="20" t="s">
        <v>52</v>
      </c>
      <c r="G325" s="175"/>
      <c r="H325" s="11"/>
      <c r="I325" s="12"/>
      <c r="J325" s="12"/>
      <c r="K325" s="12"/>
      <c r="L325" s="12"/>
      <c r="M325" s="12"/>
      <c r="N325" s="12"/>
      <c r="O325" s="13"/>
      <c r="P325" s="12"/>
      <c r="Q325" s="14"/>
      <c r="R325" s="15"/>
    </row>
    <row r="326" spans="1:18" ht="15" customHeight="1" x14ac:dyDescent="0.3">
      <c r="A326" s="20" t="s">
        <v>61</v>
      </c>
      <c r="B326" s="20" t="s">
        <v>73</v>
      </c>
      <c r="C326" s="21">
        <v>0.79861111111111116</v>
      </c>
      <c r="D326" s="20" t="s">
        <v>67</v>
      </c>
      <c r="E326" s="20" t="s">
        <v>59</v>
      </c>
      <c r="F326" s="20" t="s">
        <v>240</v>
      </c>
      <c r="G326" s="175"/>
      <c r="H326" s="11"/>
      <c r="I326" s="12"/>
      <c r="J326" s="12"/>
      <c r="K326" s="12"/>
      <c r="L326" s="12"/>
      <c r="M326" s="12"/>
      <c r="N326" s="12"/>
      <c r="O326" s="13"/>
      <c r="P326" s="12"/>
      <c r="Q326" s="14"/>
      <c r="R326" s="15"/>
    </row>
    <row r="327" spans="1:18" ht="15" customHeight="1" x14ac:dyDescent="0.3">
      <c r="A327" s="16" t="s">
        <v>61</v>
      </c>
      <c r="B327" s="16" t="s">
        <v>62</v>
      </c>
      <c r="C327" s="17">
        <v>0.51736111111111105</v>
      </c>
      <c r="D327" s="16" t="s">
        <v>63</v>
      </c>
      <c r="E327" s="16" t="s">
        <v>57</v>
      </c>
      <c r="F327" s="16" t="s">
        <v>64</v>
      </c>
      <c r="G327" s="175"/>
      <c r="H327" s="11"/>
      <c r="I327" s="12"/>
      <c r="J327" s="12"/>
      <c r="K327" s="12"/>
      <c r="L327" s="12"/>
      <c r="M327" s="12"/>
      <c r="N327" s="12"/>
      <c r="O327" s="13"/>
      <c r="P327" s="12"/>
      <c r="Q327" s="14"/>
      <c r="R327" s="15"/>
    </row>
    <row r="328" spans="1:18" ht="15" customHeight="1" x14ac:dyDescent="0.3">
      <c r="A328" s="20" t="s">
        <v>61</v>
      </c>
      <c r="B328" s="20" t="s">
        <v>62</v>
      </c>
      <c r="C328" s="21">
        <v>0.51736111111111105</v>
      </c>
      <c r="D328" s="20" t="s">
        <v>65</v>
      </c>
      <c r="E328" s="20" t="s">
        <v>59</v>
      </c>
      <c r="F328" s="20" t="s">
        <v>66</v>
      </c>
      <c r="G328" s="175"/>
      <c r="H328" s="11"/>
      <c r="I328" s="12"/>
      <c r="J328" s="12"/>
      <c r="K328" s="12"/>
      <c r="L328" s="12"/>
      <c r="M328" s="12"/>
      <c r="N328" s="12"/>
      <c r="O328" s="13"/>
      <c r="P328" s="12"/>
      <c r="Q328" s="14"/>
      <c r="R328" s="15"/>
    </row>
    <row r="329" spans="1:18" ht="15" customHeight="1" x14ac:dyDescent="0.3">
      <c r="A329" s="20" t="s">
        <v>61</v>
      </c>
      <c r="B329" s="20" t="s">
        <v>62</v>
      </c>
      <c r="C329" s="21">
        <v>0.51736111111111105</v>
      </c>
      <c r="D329" s="20" t="s">
        <v>67</v>
      </c>
      <c r="E329" s="20" t="s">
        <v>59</v>
      </c>
      <c r="F329" s="20" t="s">
        <v>68</v>
      </c>
      <c r="G329" s="175"/>
      <c r="H329" s="11"/>
      <c r="I329" s="12"/>
      <c r="J329" s="12"/>
      <c r="K329" s="12"/>
      <c r="L329" s="12"/>
      <c r="M329" s="12"/>
      <c r="N329" s="12"/>
      <c r="O329" s="13"/>
      <c r="P329" s="12"/>
      <c r="Q329" s="14"/>
      <c r="R329" s="15"/>
    </row>
    <row r="330" spans="1:18" ht="15" customHeight="1" x14ac:dyDescent="0.3">
      <c r="A330" s="18" t="s">
        <v>26</v>
      </c>
      <c r="B330" s="18" t="s">
        <v>27</v>
      </c>
      <c r="C330" s="19">
        <v>0.27430555555555552</v>
      </c>
      <c r="D330" s="18" t="s">
        <v>28</v>
      </c>
      <c r="E330" s="18" t="s">
        <v>134</v>
      </c>
      <c r="F330" s="18" t="s">
        <v>30</v>
      </c>
      <c r="G330" s="175"/>
      <c r="H330" s="11"/>
      <c r="I330" s="12"/>
      <c r="J330" s="12"/>
      <c r="K330" s="12"/>
      <c r="L330" s="12"/>
      <c r="M330" s="12"/>
      <c r="N330" s="12"/>
      <c r="O330" s="13"/>
      <c r="P330" s="12"/>
      <c r="Q330" s="14"/>
      <c r="R330" s="15"/>
    </row>
    <row r="331" spans="1:18" ht="15" customHeight="1" x14ac:dyDescent="0.3">
      <c r="A331" s="16" t="s">
        <v>26</v>
      </c>
      <c r="B331" s="16" t="s">
        <v>241</v>
      </c>
      <c r="C331" s="17">
        <v>0.34722222222222232</v>
      </c>
      <c r="D331" s="16" t="s">
        <v>28</v>
      </c>
      <c r="E331" s="16" t="s">
        <v>138</v>
      </c>
      <c r="F331" s="16" t="s">
        <v>143</v>
      </c>
      <c r="G331" s="175"/>
      <c r="H331" s="11"/>
      <c r="I331" s="12"/>
      <c r="J331" s="12"/>
      <c r="K331" s="12"/>
      <c r="L331" s="12"/>
      <c r="M331" s="12"/>
      <c r="N331" s="12"/>
      <c r="O331" s="13"/>
      <c r="P331" s="12"/>
      <c r="Q331" s="14"/>
      <c r="R331" s="15"/>
    </row>
    <row r="332" spans="1:18" ht="15" customHeight="1" x14ac:dyDescent="0.3">
      <c r="A332" s="18" t="s">
        <v>100</v>
      </c>
      <c r="B332" s="18" t="s">
        <v>101</v>
      </c>
      <c r="C332" s="19">
        <v>0.3888888888888889</v>
      </c>
      <c r="D332" s="18" t="s">
        <v>102</v>
      </c>
      <c r="E332" s="18" t="s">
        <v>170</v>
      </c>
      <c r="F332" s="18" t="s">
        <v>242</v>
      </c>
      <c r="G332" s="175"/>
      <c r="H332" s="11"/>
      <c r="I332" s="12"/>
      <c r="J332" s="12"/>
      <c r="K332" s="12"/>
      <c r="L332" s="12"/>
      <c r="M332" s="12"/>
      <c r="N332" s="12"/>
      <c r="O332" s="13"/>
      <c r="P332" s="12"/>
      <c r="Q332" s="14"/>
      <c r="R332" s="15"/>
    </row>
    <row r="333" spans="1:18" ht="15" customHeight="1" x14ac:dyDescent="0.3">
      <c r="A333" s="20" t="s">
        <v>100</v>
      </c>
      <c r="B333" s="20" t="s">
        <v>101</v>
      </c>
      <c r="C333" s="21">
        <v>0.3888888888888889</v>
      </c>
      <c r="D333" s="20" t="s">
        <v>48</v>
      </c>
      <c r="E333" s="20" t="s">
        <v>59</v>
      </c>
      <c r="F333" s="20" t="s">
        <v>243</v>
      </c>
      <c r="G333" s="175"/>
      <c r="H333" s="11"/>
      <c r="I333" s="12"/>
      <c r="J333" s="12"/>
      <c r="K333" s="12"/>
      <c r="L333" s="12"/>
      <c r="M333" s="12"/>
      <c r="N333" s="12"/>
      <c r="O333" s="13"/>
      <c r="P333" s="12"/>
      <c r="Q333" s="14"/>
      <c r="R333" s="15"/>
    </row>
    <row r="334" spans="1:18" ht="15" customHeight="1" x14ac:dyDescent="0.3">
      <c r="A334" s="18" t="s">
        <v>34</v>
      </c>
      <c r="B334" s="18" t="s">
        <v>35</v>
      </c>
      <c r="C334" s="19">
        <v>0.66666666666666663</v>
      </c>
      <c r="D334" s="18" t="s">
        <v>28</v>
      </c>
      <c r="E334" s="18" t="s">
        <v>134</v>
      </c>
      <c r="F334" s="18" t="s">
        <v>37</v>
      </c>
      <c r="G334" s="175"/>
      <c r="H334" s="11"/>
      <c r="I334" s="12"/>
      <c r="J334" s="12"/>
      <c r="K334" s="12"/>
      <c r="L334" s="12"/>
      <c r="M334" s="12"/>
      <c r="N334" s="12"/>
      <c r="O334" s="13"/>
      <c r="P334" s="12"/>
      <c r="Q334" s="14"/>
      <c r="R334" s="15"/>
    </row>
    <row r="335" spans="1:18" ht="15" customHeight="1" x14ac:dyDescent="0.3">
      <c r="A335" s="16" t="s">
        <v>34</v>
      </c>
      <c r="B335" s="16" t="s">
        <v>38</v>
      </c>
      <c r="C335" s="17">
        <v>0.38194444444444442</v>
      </c>
      <c r="D335" s="16" t="s">
        <v>28</v>
      </c>
      <c r="E335" s="16" t="s">
        <v>32</v>
      </c>
      <c r="F335" s="16" t="s">
        <v>40</v>
      </c>
      <c r="G335" s="175"/>
      <c r="H335" s="11"/>
      <c r="I335" s="12"/>
      <c r="J335" s="12"/>
      <c r="K335" s="12"/>
      <c r="L335" s="12"/>
      <c r="M335" s="12"/>
      <c r="N335" s="12"/>
      <c r="O335" s="13"/>
      <c r="P335" s="12"/>
      <c r="Q335" s="14"/>
      <c r="R335" s="15"/>
    </row>
    <row r="336" spans="1:18" ht="15" customHeight="1" x14ac:dyDescent="0.3">
      <c r="A336" s="18" t="s">
        <v>115</v>
      </c>
      <c r="B336" s="18" t="s">
        <v>175</v>
      </c>
      <c r="C336" s="19">
        <v>6.9444444444444441E-3</v>
      </c>
      <c r="D336" s="18" t="s">
        <v>117</v>
      </c>
      <c r="E336" s="18" t="s">
        <v>36</v>
      </c>
      <c r="F336" s="18" t="s">
        <v>244</v>
      </c>
      <c r="G336" s="175"/>
      <c r="H336" s="11"/>
      <c r="I336" s="12"/>
      <c r="J336" s="12"/>
      <c r="K336" s="12"/>
      <c r="L336" s="12"/>
      <c r="M336" s="12"/>
      <c r="N336" s="12"/>
      <c r="O336" s="13"/>
      <c r="P336" s="12"/>
      <c r="Q336" s="14"/>
      <c r="R336" s="15"/>
    </row>
    <row r="337" spans="1:18" ht="15" customHeight="1" x14ac:dyDescent="0.3">
      <c r="A337" s="20" t="s">
        <v>115</v>
      </c>
      <c r="B337" s="20" t="s">
        <v>175</v>
      </c>
      <c r="C337" s="21">
        <v>6.9444444444444441E-3</v>
      </c>
      <c r="D337" s="20" t="s">
        <v>119</v>
      </c>
      <c r="E337" s="20" t="s">
        <v>120</v>
      </c>
      <c r="F337" s="20" t="s">
        <v>245</v>
      </c>
      <c r="G337" s="175"/>
      <c r="H337" s="11"/>
      <c r="I337" s="12"/>
      <c r="J337" s="12"/>
      <c r="K337" s="12"/>
      <c r="L337" s="12"/>
      <c r="M337" s="12"/>
      <c r="N337" s="12"/>
      <c r="O337" s="13"/>
      <c r="P337" s="12"/>
      <c r="Q337" s="14"/>
      <c r="R337" s="15"/>
    </row>
    <row r="338" spans="1:18" ht="15" customHeight="1" x14ac:dyDescent="0.3">
      <c r="A338" s="16" t="s">
        <v>115</v>
      </c>
      <c r="B338" s="16" t="s">
        <v>173</v>
      </c>
      <c r="C338" s="17">
        <v>0.23958333333333329</v>
      </c>
      <c r="D338" s="16" t="s">
        <v>117</v>
      </c>
      <c r="E338" s="16" t="s">
        <v>109</v>
      </c>
      <c r="F338" s="16" t="s">
        <v>244</v>
      </c>
      <c r="G338" s="175"/>
      <c r="H338" s="11"/>
      <c r="I338" s="12"/>
      <c r="J338" s="12"/>
      <c r="K338" s="12"/>
      <c r="L338" s="12"/>
      <c r="M338" s="12"/>
      <c r="N338" s="12"/>
      <c r="O338" s="13"/>
      <c r="P338" s="12"/>
      <c r="Q338" s="14"/>
      <c r="R338" s="15"/>
    </row>
    <row r="339" spans="1:18" ht="15" customHeight="1" x14ac:dyDescent="0.3">
      <c r="A339" s="20" t="s">
        <v>115</v>
      </c>
      <c r="B339" s="20" t="s">
        <v>173</v>
      </c>
      <c r="C339" s="21">
        <v>0.23958333333333329</v>
      </c>
      <c r="D339" s="20" t="s">
        <v>119</v>
      </c>
      <c r="E339" s="20" t="s">
        <v>120</v>
      </c>
      <c r="F339" s="20" t="s">
        <v>245</v>
      </c>
      <c r="G339" s="175"/>
      <c r="H339" s="11"/>
      <c r="I339" s="12"/>
      <c r="J339" s="12"/>
      <c r="K339" s="12"/>
      <c r="L339" s="12"/>
      <c r="M339" s="12"/>
      <c r="N339" s="12"/>
      <c r="O339" s="13"/>
      <c r="P339" s="12"/>
      <c r="Q339" s="14"/>
      <c r="R339" s="15"/>
    </row>
    <row r="340" spans="1:18" ht="15" customHeight="1" x14ac:dyDescent="0.3">
      <c r="A340" s="16" t="s">
        <v>115</v>
      </c>
      <c r="B340" s="16" t="s">
        <v>174</v>
      </c>
      <c r="C340" s="17">
        <v>0.1423611111111111</v>
      </c>
      <c r="D340" s="16" t="s">
        <v>117</v>
      </c>
      <c r="E340" s="16" t="s">
        <v>109</v>
      </c>
      <c r="F340" s="16" t="s">
        <v>244</v>
      </c>
      <c r="G340" s="175"/>
      <c r="H340" s="11"/>
      <c r="I340" s="12"/>
      <c r="J340" s="12"/>
      <c r="K340" s="12"/>
      <c r="L340" s="12"/>
      <c r="M340" s="12"/>
      <c r="N340" s="12"/>
      <c r="O340" s="13"/>
      <c r="P340" s="12"/>
      <c r="Q340" s="14"/>
      <c r="R340" s="15"/>
    </row>
    <row r="341" spans="1:18" ht="15" customHeight="1" x14ac:dyDescent="0.3">
      <c r="A341" s="20" t="s">
        <v>115</v>
      </c>
      <c r="B341" s="20" t="s">
        <v>174</v>
      </c>
      <c r="C341" s="21">
        <v>0.1423611111111111</v>
      </c>
      <c r="D341" s="20" t="s">
        <v>119</v>
      </c>
      <c r="E341" s="20" t="s">
        <v>120</v>
      </c>
      <c r="F341" s="20" t="s">
        <v>245</v>
      </c>
      <c r="G341" s="175"/>
      <c r="H341" s="11"/>
      <c r="I341" s="12"/>
      <c r="J341" s="12"/>
      <c r="K341" s="12"/>
      <c r="L341" s="12"/>
      <c r="M341" s="12"/>
      <c r="N341" s="12"/>
      <c r="O341" s="13"/>
      <c r="P341" s="12"/>
      <c r="Q341" s="14"/>
      <c r="R341" s="15"/>
    </row>
    <row r="342" spans="1:18" ht="15" customHeight="1" x14ac:dyDescent="0.3">
      <c r="A342" s="16" t="s">
        <v>115</v>
      </c>
      <c r="B342" s="16" t="s">
        <v>122</v>
      </c>
      <c r="C342" s="17">
        <v>0.93055555555555547</v>
      </c>
      <c r="D342" s="16" t="s">
        <v>117</v>
      </c>
      <c r="E342" s="16" t="s">
        <v>109</v>
      </c>
      <c r="F342" s="16" t="s">
        <v>244</v>
      </c>
      <c r="G342" s="175"/>
      <c r="H342" s="11"/>
      <c r="I342" s="12"/>
      <c r="J342" s="12"/>
      <c r="K342" s="12"/>
      <c r="L342" s="12"/>
      <c r="M342" s="12"/>
      <c r="N342" s="12"/>
      <c r="O342" s="13"/>
      <c r="P342" s="12"/>
      <c r="Q342" s="14"/>
      <c r="R342" s="15"/>
    </row>
    <row r="343" spans="1:18" ht="15" customHeight="1" x14ac:dyDescent="0.3">
      <c r="A343" s="20" t="s">
        <v>115</v>
      </c>
      <c r="B343" s="20" t="s">
        <v>122</v>
      </c>
      <c r="C343" s="21">
        <v>0.93055555555555547</v>
      </c>
      <c r="D343" s="20" t="s">
        <v>119</v>
      </c>
      <c r="E343" s="20" t="s">
        <v>120</v>
      </c>
      <c r="F343" s="20" t="s">
        <v>245</v>
      </c>
      <c r="G343" s="175"/>
      <c r="H343" s="11"/>
      <c r="I343" s="12"/>
      <c r="J343" s="12"/>
      <c r="K343" s="12"/>
      <c r="L343" s="12"/>
      <c r="M343" s="12"/>
      <c r="N343" s="12"/>
      <c r="O343" s="13"/>
      <c r="P343" s="12"/>
      <c r="Q343" s="14"/>
      <c r="R343" s="15"/>
    </row>
    <row r="344" spans="1:18" ht="15" customHeight="1" x14ac:dyDescent="0.3">
      <c r="A344" s="16" t="s">
        <v>115</v>
      </c>
      <c r="B344" s="16" t="s">
        <v>130</v>
      </c>
      <c r="C344" s="17">
        <v>0.88888888888888884</v>
      </c>
      <c r="D344" s="16" t="s">
        <v>119</v>
      </c>
      <c r="E344" s="16" t="s">
        <v>95</v>
      </c>
      <c r="F344" s="16" t="s">
        <v>246</v>
      </c>
      <c r="G344" s="175"/>
      <c r="H344" s="11"/>
      <c r="I344" s="12"/>
      <c r="J344" s="12"/>
      <c r="K344" s="12"/>
      <c r="L344" s="12"/>
      <c r="M344" s="12"/>
      <c r="N344" s="12"/>
      <c r="O344" s="13"/>
      <c r="P344" s="12"/>
      <c r="Q344" s="14"/>
      <c r="R344" s="15"/>
    </row>
    <row r="345" spans="1:18" ht="15" customHeight="1" x14ac:dyDescent="0.3">
      <c r="A345" s="16" t="s">
        <v>115</v>
      </c>
      <c r="B345" s="16" t="s">
        <v>179</v>
      </c>
      <c r="C345" s="17">
        <v>0.12847222222222221</v>
      </c>
      <c r="D345" s="16" t="s">
        <v>119</v>
      </c>
      <c r="E345" s="16" t="s">
        <v>95</v>
      </c>
      <c r="F345" s="16" t="s">
        <v>224</v>
      </c>
      <c r="G345" s="175"/>
      <c r="H345" s="11"/>
      <c r="I345" s="12"/>
      <c r="J345" s="12"/>
      <c r="K345" s="12"/>
      <c r="L345" s="12"/>
      <c r="M345" s="12"/>
      <c r="N345" s="12"/>
      <c r="O345" s="13"/>
      <c r="P345" s="12"/>
      <c r="Q345" s="14"/>
      <c r="R345" s="15"/>
    </row>
    <row r="346" spans="1:18" ht="15" customHeight="1" x14ac:dyDescent="0.3">
      <c r="A346" s="16" t="s">
        <v>115</v>
      </c>
      <c r="B346" s="16" t="s">
        <v>132</v>
      </c>
      <c r="C346" s="17">
        <v>0.78819444444444453</v>
      </c>
      <c r="D346" s="16" t="s">
        <v>119</v>
      </c>
      <c r="E346" s="16" t="s">
        <v>95</v>
      </c>
      <c r="F346" s="16" t="s">
        <v>224</v>
      </c>
      <c r="G346" s="175"/>
      <c r="H346" s="11"/>
      <c r="I346" s="12"/>
      <c r="J346" s="12"/>
      <c r="K346" s="12"/>
      <c r="L346" s="12"/>
      <c r="M346" s="12"/>
      <c r="N346" s="12"/>
      <c r="O346" s="13"/>
      <c r="P346" s="12"/>
      <c r="Q346" s="14"/>
      <c r="R346" s="15"/>
    </row>
    <row r="347" spans="1:18" ht="15" customHeight="1" x14ac:dyDescent="0.3">
      <c r="A347" s="16" t="s">
        <v>115</v>
      </c>
      <c r="B347" s="16" t="s">
        <v>116</v>
      </c>
      <c r="C347" s="17">
        <v>0.37847222222222232</v>
      </c>
      <c r="D347" s="16" t="s">
        <v>117</v>
      </c>
      <c r="E347" s="16" t="s">
        <v>32</v>
      </c>
      <c r="F347" s="16" t="s">
        <v>247</v>
      </c>
      <c r="G347" s="175"/>
      <c r="H347" s="11"/>
      <c r="I347" s="12"/>
      <c r="J347" s="12"/>
      <c r="K347" s="12"/>
      <c r="L347" s="12"/>
      <c r="M347" s="12"/>
      <c r="N347" s="12"/>
      <c r="O347" s="13"/>
      <c r="P347" s="12"/>
      <c r="Q347" s="14"/>
      <c r="R347" s="15"/>
    </row>
    <row r="348" spans="1:18" ht="15" customHeight="1" x14ac:dyDescent="0.3">
      <c r="A348" s="20" t="s">
        <v>115</v>
      </c>
      <c r="B348" s="20" t="s">
        <v>116</v>
      </c>
      <c r="C348" s="21">
        <v>0.37847222222222232</v>
      </c>
      <c r="D348" s="20" t="s">
        <v>119</v>
      </c>
      <c r="E348" s="20" t="s">
        <v>191</v>
      </c>
      <c r="F348" s="20" t="s">
        <v>248</v>
      </c>
      <c r="G348" s="175"/>
      <c r="H348" s="11"/>
      <c r="I348" s="12"/>
      <c r="J348" s="12"/>
      <c r="K348" s="12"/>
      <c r="L348" s="12"/>
      <c r="M348" s="12"/>
      <c r="N348" s="12"/>
      <c r="O348" s="13"/>
      <c r="P348" s="12"/>
      <c r="Q348" s="14"/>
      <c r="R348" s="15"/>
    </row>
    <row r="349" spans="1:18" ht="15" customHeight="1" x14ac:dyDescent="0.3">
      <c r="A349" s="16" t="s">
        <v>115</v>
      </c>
      <c r="B349" s="16" t="s">
        <v>129</v>
      </c>
      <c r="C349" s="17">
        <v>0.61111111111111105</v>
      </c>
      <c r="D349" s="16" t="s">
        <v>117</v>
      </c>
      <c r="E349" s="16" t="s">
        <v>109</v>
      </c>
      <c r="F349" s="16" t="s">
        <v>247</v>
      </c>
      <c r="G349" s="175"/>
      <c r="H349" s="11"/>
      <c r="I349" s="12"/>
      <c r="J349" s="12"/>
      <c r="K349" s="12"/>
      <c r="L349" s="12"/>
      <c r="M349" s="12"/>
      <c r="N349" s="12"/>
      <c r="O349" s="13"/>
      <c r="P349" s="12"/>
      <c r="Q349" s="14"/>
      <c r="R349" s="15"/>
    </row>
    <row r="350" spans="1:18" ht="15" customHeight="1" x14ac:dyDescent="0.3">
      <c r="A350" s="20" t="s">
        <v>115</v>
      </c>
      <c r="B350" s="20" t="s">
        <v>129</v>
      </c>
      <c r="C350" s="21">
        <v>0.61111111111111105</v>
      </c>
      <c r="D350" s="20" t="s">
        <v>119</v>
      </c>
      <c r="E350" s="20" t="s">
        <v>120</v>
      </c>
      <c r="F350" s="20" t="s">
        <v>248</v>
      </c>
      <c r="G350" s="175"/>
      <c r="H350" s="11"/>
      <c r="I350" s="12"/>
      <c r="J350" s="12"/>
      <c r="K350" s="12"/>
      <c r="L350" s="12"/>
      <c r="M350" s="12"/>
      <c r="N350" s="12"/>
      <c r="O350" s="13"/>
      <c r="P350" s="12"/>
      <c r="Q350" s="14"/>
      <c r="R350" s="15"/>
    </row>
    <row r="351" spans="1:18" ht="15" customHeight="1" x14ac:dyDescent="0.3">
      <c r="A351" s="16" t="s">
        <v>115</v>
      </c>
      <c r="B351" s="16" t="s">
        <v>125</v>
      </c>
      <c r="C351" s="17">
        <v>0.82986111111111116</v>
      </c>
      <c r="D351" s="16" t="s">
        <v>117</v>
      </c>
      <c r="E351" s="16" t="s">
        <v>109</v>
      </c>
      <c r="F351" s="16" t="s">
        <v>247</v>
      </c>
      <c r="G351" s="175"/>
      <c r="H351" s="11"/>
      <c r="I351" s="12"/>
      <c r="J351" s="12"/>
      <c r="K351" s="12"/>
      <c r="L351" s="12"/>
      <c r="M351" s="12"/>
      <c r="N351" s="12"/>
      <c r="O351" s="13"/>
      <c r="P351" s="12"/>
      <c r="Q351" s="14"/>
      <c r="R351" s="15"/>
    </row>
    <row r="352" spans="1:18" ht="15" customHeight="1" x14ac:dyDescent="0.3">
      <c r="A352" s="20" t="s">
        <v>115</v>
      </c>
      <c r="B352" s="20" t="s">
        <v>125</v>
      </c>
      <c r="C352" s="21">
        <v>0.82986111111111116</v>
      </c>
      <c r="D352" s="20" t="s">
        <v>119</v>
      </c>
      <c r="E352" s="20" t="s">
        <v>120</v>
      </c>
      <c r="F352" s="20" t="s">
        <v>248</v>
      </c>
      <c r="G352" s="175"/>
      <c r="H352" s="11"/>
      <c r="I352" s="12"/>
      <c r="J352" s="12"/>
      <c r="K352" s="12"/>
      <c r="L352" s="12"/>
      <c r="M352" s="12"/>
      <c r="N352" s="12"/>
      <c r="O352" s="13"/>
      <c r="P352" s="12"/>
      <c r="Q352" s="14"/>
      <c r="R352" s="15"/>
    </row>
    <row r="353" spans="1:18" ht="15" customHeight="1" x14ac:dyDescent="0.3">
      <c r="A353" s="16" t="s">
        <v>115</v>
      </c>
      <c r="B353" s="16" t="s">
        <v>178</v>
      </c>
      <c r="C353" s="17">
        <v>0.30208333333333331</v>
      </c>
      <c r="D353" s="16" t="s">
        <v>119</v>
      </c>
      <c r="E353" s="16" t="s">
        <v>95</v>
      </c>
      <c r="F353" s="16" t="s">
        <v>131</v>
      </c>
      <c r="G353" s="175"/>
      <c r="H353" s="11"/>
      <c r="I353" s="12"/>
      <c r="J353" s="12"/>
      <c r="K353" s="12"/>
      <c r="L353" s="12"/>
      <c r="M353" s="12"/>
      <c r="N353" s="12"/>
      <c r="O353" s="13"/>
      <c r="P353" s="12"/>
      <c r="Q353" s="14"/>
      <c r="R353" s="15"/>
    </row>
    <row r="354" spans="1:18" ht="15" customHeight="1" x14ac:dyDescent="0.3">
      <c r="A354" s="18" t="s">
        <v>104</v>
      </c>
      <c r="B354" s="18" t="s">
        <v>105</v>
      </c>
      <c r="C354" s="19">
        <v>0.4861111111111111</v>
      </c>
      <c r="D354" s="18" t="s">
        <v>106</v>
      </c>
      <c r="E354" s="18" t="s">
        <v>36</v>
      </c>
      <c r="F354" s="18" t="s">
        <v>185</v>
      </c>
      <c r="G354" s="175"/>
      <c r="H354" s="11"/>
      <c r="I354" s="12"/>
      <c r="J354" s="12"/>
      <c r="K354" s="12"/>
      <c r="L354" s="12"/>
      <c r="M354" s="12"/>
      <c r="N354" s="12"/>
      <c r="O354" s="13"/>
      <c r="P354" s="12"/>
      <c r="Q354" s="14"/>
      <c r="R354" s="15"/>
    </row>
    <row r="355" spans="1:18" ht="15" customHeight="1" x14ac:dyDescent="0.3">
      <c r="A355" s="16" t="s">
        <v>104</v>
      </c>
      <c r="B355" s="16" t="s">
        <v>108</v>
      </c>
      <c r="C355" s="17">
        <v>0.2638888888888889</v>
      </c>
      <c r="D355" s="16" t="s">
        <v>106</v>
      </c>
      <c r="E355" s="16" t="s">
        <v>109</v>
      </c>
      <c r="F355" s="16" t="s">
        <v>185</v>
      </c>
      <c r="G355" s="175"/>
      <c r="H355" s="11"/>
      <c r="I355" s="12"/>
      <c r="J355" s="12"/>
      <c r="K355" s="12"/>
      <c r="L355" s="12"/>
      <c r="M355" s="12"/>
      <c r="N355" s="12"/>
      <c r="O355" s="13"/>
      <c r="P355" s="12"/>
      <c r="Q355" s="14"/>
      <c r="R355" s="15"/>
    </row>
    <row r="356" spans="1:18" ht="15" customHeight="1" x14ac:dyDescent="0.3">
      <c r="A356" s="16" t="s">
        <v>104</v>
      </c>
      <c r="B356" s="16" t="s">
        <v>112</v>
      </c>
      <c r="C356" s="17">
        <v>0.97569444444444453</v>
      </c>
      <c r="D356" s="16" t="s">
        <v>106</v>
      </c>
      <c r="E356" s="16" t="s">
        <v>109</v>
      </c>
      <c r="F356" s="16" t="s">
        <v>185</v>
      </c>
      <c r="G356" s="175"/>
      <c r="H356" s="11"/>
      <c r="I356" s="12"/>
      <c r="J356" s="12"/>
      <c r="K356" s="12"/>
      <c r="L356" s="12"/>
      <c r="M356" s="12"/>
      <c r="N356" s="12"/>
      <c r="O356" s="13"/>
      <c r="P356" s="12"/>
      <c r="Q356" s="14"/>
      <c r="R356" s="15"/>
    </row>
    <row r="357" spans="1:18" ht="15" customHeight="1" x14ac:dyDescent="0.3">
      <c r="A357" s="16" t="s">
        <v>104</v>
      </c>
      <c r="B357" s="16" t="s">
        <v>186</v>
      </c>
      <c r="C357" s="17">
        <v>0.22222222222222221</v>
      </c>
      <c r="D357" s="16" t="s">
        <v>106</v>
      </c>
      <c r="E357" s="16" t="s">
        <v>109</v>
      </c>
      <c r="F357" s="16" t="s">
        <v>185</v>
      </c>
      <c r="G357" s="175"/>
      <c r="H357" s="11"/>
      <c r="I357" s="12"/>
      <c r="J357" s="12"/>
      <c r="K357" s="12"/>
      <c r="L357" s="12"/>
      <c r="M357" s="12"/>
      <c r="N357" s="12"/>
      <c r="O357" s="13"/>
      <c r="P357" s="12"/>
      <c r="Q357" s="14"/>
      <c r="R357" s="15"/>
    </row>
    <row r="358" spans="1:18" ht="15" customHeight="1" thickBot="1" x14ac:dyDescent="0.35">
      <c r="A358" s="49" t="s">
        <v>104</v>
      </c>
      <c r="B358" s="49" t="s">
        <v>114</v>
      </c>
      <c r="C358" s="50">
        <v>0.77430555555555547</v>
      </c>
      <c r="D358" s="49" t="s">
        <v>106</v>
      </c>
      <c r="E358" s="49" t="s">
        <v>109</v>
      </c>
      <c r="F358" s="49" t="s">
        <v>189</v>
      </c>
      <c r="G358" s="176"/>
      <c r="H358" s="51"/>
      <c r="I358" s="52"/>
      <c r="J358" s="52"/>
      <c r="K358" s="52"/>
      <c r="L358" s="52"/>
      <c r="M358" s="52"/>
      <c r="N358" s="52"/>
      <c r="O358" s="53"/>
      <c r="P358" s="52"/>
      <c r="Q358" s="54"/>
      <c r="R358" s="55"/>
    </row>
    <row r="359" spans="1:18" ht="17.399999999999999" customHeight="1" thickBot="1" x14ac:dyDescent="0.35">
      <c r="A359" s="213"/>
      <c r="B359" s="214"/>
      <c r="C359" s="214"/>
      <c r="D359" s="214"/>
      <c r="E359" s="214"/>
      <c r="F359" s="214"/>
      <c r="G359" s="214"/>
      <c r="H359" s="214"/>
      <c r="I359" s="214"/>
      <c r="J359" s="214"/>
      <c r="K359" s="214"/>
      <c r="L359" s="214"/>
      <c r="M359" s="214"/>
      <c r="N359" s="214"/>
      <c r="O359" s="214"/>
      <c r="P359" s="214"/>
      <c r="Q359" s="214"/>
      <c r="R359" s="215"/>
    </row>
    <row r="360" spans="1:18" ht="22.05" customHeight="1" thickTop="1" thickBot="1" x14ac:dyDescent="0.55000000000000004">
      <c r="A360" s="189" t="s">
        <v>6</v>
      </c>
      <c r="B360" s="190"/>
      <c r="C360" s="190"/>
      <c r="D360" s="190"/>
      <c r="E360" s="190"/>
      <c r="F360" s="190"/>
      <c r="G360" s="56">
        <v>45985</v>
      </c>
      <c r="H360" s="172" t="s">
        <v>7</v>
      </c>
      <c r="I360" s="173"/>
      <c r="J360" s="173"/>
      <c r="K360" s="173"/>
      <c r="L360" s="173"/>
      <c r="M360" s="173"/>
      <c r="N360" s="173"/>
      <c r="O360" s="173"/>
      <c r="P360" s="173"/>
      <c r="Q360" s="173"/>
      <c r="R360" s="173"/>
    </row>
    <row r="361" spans="1:18" ht="24" customHeight="1" x14ac:dyDescent="0.3">
      <c r="A361" s="57" t="s">
        <v>8</v>
      </c>
      <c r="B361" s="57" t="s">
        <v>9</v>
      </c>
      <c r="C361" s="58" t="s">
        <v>10</v>
      </c>
      <c r="D361" s="57" t="s">
        <v>11</v>
      </c>
      <c r="E361" s="57" t="s">
        <v>12</v>
      </c>
      <c r="F361" s="59" t="s">
        <v>13</v>
      </c>
      <c r="G361" s="60" t="s">
        <v>14</v>
      </c>
      <c r="H361" s="57" t="s">
        <v>15</v>
      </c>
      <c r="I361" s="61" t="s">
        <v>16</v>
      </c>
      <c r="J361" s="62" t="s">
        <v>17</v>
      </c>
      <c r="K361" s="63" t="s">
        <v>18</v>
      </c>
      <c r="L361" s="62" t="s">
        <v>19</v>
      </c>
      <c r="M361" s="62" t="s">
        <v>20</v>
      </c>
      <c r="N361" s="62" t="s">
        <v>21</v>
      </c>
      <c r="O361" s="57" t="s">
        <v>22</v>
      </c>
      <c r="P361" s="58" t="s">
        <v>23</v>
      </c>
      <c r="Q361" s="62" t="s">
        <v>24</v>
      </c>
      <c r="R361" s="57" t="s">
        <v>25</v>
      </c>
    </row>
    <row r="362" spans="1:18" ht="15" customHeight="1" x14ac:dyDescent="0.3">
      <c r="A362" s="9" t="s">
        <v>41</v>
      </c>
      <c r="B362" s="9" t="s">
        <v>42</v>
      </c>
      <c r="C362" s="10">
        <v>0.30208333333333331</v>
      </c>
      <c r="D362" s="9" t="s">
        <v>43</v>
      </c>
      <c r="E362" s="9" t="s">
        <v>134</v>
      </c>
      <c r="F362" s="9" t="s">
        <v>249</v>
      </c>
      <c r="G362" s="174"/>
      <c r="H362" s="11"/>
      <c r="I362" s="12"/>
      <c r="J362" s="12"/>
      <c r="K362" s="12"/>
      <c r="L362" s="12"/>
      <c r="M362" s="12"/>
      <c r="N362" s="12"/>
      <c r="O362" s="13"/>
      <c r="P362" s="12"/>
      <c r="Q362" s="14"/>
      <c r="R362" s="15"/>
    </row>
    <row r="363" spans="1:18" ht="15" customHeight="1" x14ac:dyDescent="0.3">
      <c r="A363" s="20" t="s">
        <v>41</v>
      </c>
      <c r="B363" s="20" t="s">
        <v>42</v>
      </c>
      <c r="C363" s="21">
        <v>0.30208333333333331</v>
      </c>
      <c r="D363" s="20" t="s">
        <v>45</v>
      </c>
      <c r="E363" s="20" t="s">
        <v>71</v>
      </c>
      <c r="F363" s="20" t="s">
        <v>250</v>
      </c>
      <c r="G363" s="175"/>
      <c r="H363" s="11"/>
      <c r="I363" s="12"/>
      <c r="J363" s="12"/>
      <c r="K363" s="12"/>
      <c r="L363" s="12"/>
      <c r="M363" s="12"/>
      <c r="N363" s="12"/>
      <c r="O363" s="13"/>
      <c r="P363" s="12"/>
      <c r="Q363" s="14"/>
      <c r="R363" s="15"/>
    </row>
    <row r="364" spans="1:18" ht="15" customHeight="1" x14ac:dyDescent="0.3">
      <c r="A364" s="20" t="s">
        <v>41</v>
      </c>
      <c r="B364" s="20" t="s">
        <v>42</v>
      </c>
      <c r="C364" s="21">
        <v>0.30208333333333331</v>
      </c>
      <c r="D364" s="20" t="s">
        <v>48</v>
      </c>
      <c r="E364" s="20" t="s">
        <v>71</v>
      </c>
      <c r="F364" s="20" t="s">
        <v>49</v>
      </c>
      <c r="G364" s="175"/>
      <c r="H364" s="11"/>
      <c r="I364" s="12"/>
      <c r="J364" s="12"/>
      <c r="K364" s="12"/>
      <c r="L364" s="12"/>
      <c r="M364" s="12"/>
      <c r="N364" s="12"/>
      <c r="O364" s="13"/>
      <c r="P364" s="12"/>
      <c r="Q364" s="14"/>
      <c r="R364" s="15"/>
    </row>
    <row r="365" spans="1:18" ht="15" customHeight="1" x14ac:dyDescent="0.3">
      <c r="A365" s="16" t="s">
        <v>41</v>
      </c>
      <c r="B365" s="16" t="s">
        <v>133</v>
      </c>
      <c r="C365" s="17">
        <v>0.12847222222222221</v>
      </c>
      <c r="D365" s="16" t="s">
        <v>43</v>
      </c>
      <c r="E365" s="16" t="s">
        <v>90</v>
      </c>
      <c r="F365" s="16" t="s">
        <v>249</v>
      </c>
      <c r="G365" s="175"/>
      <c r="H365" s="11"/>
      <c r="I365" s="12"/>
      <c r="J365" s="12"/>
      <c r="K365" s="12"/>
      <c r="L365" s="12"/>
      <c r="M365" s="12"/>
      <c r="N365" s="12"/>
      <c r="O365" s="13"/>
      <c r="P365" s="12"/>
      <c r="Q365" s="14"/>
      <c r="R365" s="15"/>
    </row>
    <row r="366" spans="1:18" ht="15" customHeight="1" x14ac:dyDescent="0.3">
      <c r="A366" s="20" t="s">
        <v>41</v>
      </c>
      <c r="B366" s="20" t="s">
        <v>133</v>
      </c>
      <c r="C366" s="21">
        <v>0.12847222222222221</v>
      </c>
      <c r="D366" s="20" t="s">
        <v>45</v>
      </c>
      <c r="E366" s="20" t="s">
        <v>46</v>
      </c>
      <c r="F366" s="20" t="s">
        <v>250</v>
      </c>
      <c r="G366" s="175"/>
      <c r="H366" s="11"/>
      <c r="I366" s="12"/>
      <c r="J366" s="12"/>
      <c r="K366" s="12"/>
      <c r="L366" s="12"/>
      <c r="M366" s="12"/>
      <c r="N366" s="12"/>
      <c r="O366" s="13"/>
      <c r="P366" s="12"/>
      <c r="Q366" s="14"/>
      <c r="R366" s="15"/>
    </row>
    <row r="367" spans="1:18" ht="15" customHeight="1" x14ac:dyDescent="0.3">
      <c r="A367" s="20" t="s">
        <v>41</v>
      </c>
      <c r="B367" s="20" t="s">
        <v>133</v>
      </c>
      <c r="C367" s="21">
        <v>0.12847222222222221</v>
      </c>
      <c r="D367" s="20" t="s">
        <v>48</v>
      </c>
      <c r="E367" s="20" t="s">
        <v>46</v>
      </c>
      <c r="F367" s="20" t="s">
        <v>49</v>
      </c>
      <c r="G367" s="175"/>
      <c r="H367" s="11"/>
      <c r="I367" s="12"/>
      <c r="J367" s="12"/>
      <c r="K367" s="12"/>
      <c r="L367" s="12"/>
      <c r="M367" s="12"/>
      <c r="N367" s="12"/>
      <c r="O367" s="13"/>
      <c r="P367" s="12"/>
      <c r="Q367" s="14"/>
      <c r="R367" s="15"/>
    </row>
    <row r="368" spans="1:18" ht="15" customHeight="1" x14ac:dyDescent="0.3">
      <c r="A368" s="16" t="s">
        <v>41</v>
      </c>
      <c r="B368" s="16" t="s">
        <v>56</v>
      </c>
      <c r="C368" s="17">
        <v>0.88888888888888884</v>
      </c>
      <c r="D368" s="16" t="s">
        <v>43</v>
      </c>
      <c r="E368" s="16" t="s">
        <v>123</v>
      </c>
      <c r="F368" s="16" t="s">
        <v>251</v>
      </c>
      <c r="G368" s="175"/>
      <c r="H368" s="11"/>
      <c r="I368" s="12"/>
      <c r="J368" s="12"/>
      <c r="K368" s="12"/>
      <c r="L368" s="12"/>
      <c r="M368" s="12"/>
      <c r="N368" s="12"/>
      <c r="O368" s="13"/>
      <c r="P368" s="12"/>
      <c r="Q368" s="14"/>
      <c r="R368" s="15"/>
    </row>
    <row r="369" spans="1:18" ht="15" customHeight="1" x14ac:dyDescent="0.3">
      <c r="A369" s="20" t="s">
        <v>41</v>
      </c>
      <c r="B369" s="20" t="s">
        <v>56</v>
      </c>
      <c r="C369" s="21">
        <v>0.88888888888888884</v>
      </c>
      <c r="D369" s="20" t="s">
        <v>45</v>
      </c>
      <c r="E369" s="20" t="s">
        <v>124</v>
      </c>
      <c r="F369" s="20" t="s">
        <v>40</v>
      </c>
      <c r="G369" s="175"/>
      <c r="H369" s="11"/>
      <c r="I369" s="12"/>
      <c r="J369" s="12"/>
      <c r="K369" s="12"/>
      <c r="L369" s="12"/>
      <c r="M369" s="12"/>
      <c r="N369" s="12"/>
      <c r="O369" s="13"/>
      <c r="P369" s="12"/>
      <c r="Q369" s="14"/>
      <c r="R369" s="15"/>
    </row>
    <row r="370" spans="1:18" ht="15" customHeight="1" x14ac:dyDescent="0.3">
      <c r="A370" s="20" t="s">
        <v>41</v>
      </c>
      <c r="B370" s="20" t="s">
        <v>56</v>
      </c>
      <c r="C370" s="21">
        <v>0.88888888888888884</v>
      </c>
      <c r="D370" s="20" t="s">
        <v>48</v>
      </c>
      <c r="E370" s="20" t="s">
        <v>124</v>
      </c>
      <c r="F370" s="20" t="s">
        <v>49</v>
      </c>
      <c r="G370" s="175"/>
      <c r="H370" s="11"/>
      <c r="I370" s="12"/>
      <c r="J370" s="12"/>
      <c r="K370" s="12"/>
      <c r="L370" s="12"/>
      <c r="M370" s="12"/>
      <c r="N370" s="12"/>
      <c r="O370" s="13"/>
      <c r="P370" s="12"/>
      <c r="Q370" s="14"/>
      <c r="R370" s="15"/>
    </row>
    <row r="371" spans="1:18" ht="15" customHeight="1" x14ac:dyDescent="0.3">
      <c r="A371" s="16" t="s">
        <v>41</v>
      </c>
      <c r="B371" s="16" t="s">
        <v>50</v>
      </c>
      <c r="C371" s="17">
        <v>0.78819444444444453</v>
      </c>
      <c r="D371" s="16" t="s">
        <v>43</v>
      </c>
      <c r="E371" s="16" t="s">
        <v>123</v>
      </c>
      <c r="F371" s="16" t="s">
        <v>44</v>
      </c>
      <c r="G371" s="175"/>
      <c r="H371" s="11"/>
      <c r="I371" s="12"/>
      <c r="J371" s="12"/>
      <c r="K371" s="12"/>
      <c r="L371" s="12"/>
      <c r="M371" s="12"/>
      <c r="N371" s="12"/>
      <c r="O371" s="13"/>
      <c r="P371" s="12"/>
      <c r="Q371" s="14"/>
      <c r="R371" s="15"/>
    </row>
    <row r="372" spans="1:18" ht="15" customHeight="1" x14ac:dyDescent="0.3">
      <c r="A372" s="20" t="s">
        <v>41</v>
      </c>
      <c r="B372" s="20" t="s">
        <v>50</v>
      </c>
      <c r="C372" s="21">
        <v>0.78819444444444453</v>
      </c>
      <c r="D372" s="20" t="s">
        <v>45</v>
      </c>
      <c r="E372" s="20" t="s">
        <v>124</v>
      </c>
      <c r="F372" s="20" t="s">
        <v>47</v>
      </c>
      <c r="G372" s="175"/>
      <c r="H372" s="11"/>
      <c r="I372" s="12"/>
      <c r="J372" s="12"/>
      <c r="K372" s="12"/>
      <c r="L372" s="12"/>
      <c r="M372" s="12"/>
      <c r="N372" s="12"/>
      <c r="O372" s="13"/>
      <c r="P372" s="12"/>
      <c r="Q372" s="14"/>
      <c r="R372" s="15"/>
    </row>
    <row r="373" spans="1:18" ht="15" customHeight="1" x14ac:dyDescent="0.3">
      <c r="A373" s="20" t="s">
        <v>41</v>
      </c>
      <c r="B373" s="20" t="s">
        <v>50</v>
      </c>
      <c r="C373" s="21">
        <v>0.78819444444444453</v>
      </c>
      <c r="D373" s="20" t="s">
        <v>48</v>
      </c>
      <c r="E373" s="20" t="s">
        <v>124</v>
      </c>
      <c r="F373" s="20" t="s">
        <v>49</v>
      </c>
      <c r="G373" s="175"/>
      <c r="H373" s="11"/>
      <c r="I373" s="12"/>
      <c r="J373" s="12"/>
      <c r="K373" s="12"/>
      <c r="L373" s="12"/>
      <c r="M373" s="12"/>
      <c r="N373" s="12"/>
      <c r="O373" s="13"/>
      <c r="P373" s="12"/>
      <c r="Q373" s="14"/>
      <c r="R373" s="15"/>
    </row>
    <row r="374" spans="1:18" ht="15" customHeight="1" x14ac:dyDescent="0.3">
      <c r="A374" s="18" t="s">
        <v>61</v>
      </c>
      <c r="B374" s="18" t="s">
        <v>74</v>
      </c>
      <c r="C374" s="19">
        <v>0.90277777777777779</v>
      </c>
      <c r="D374" s="18" t="s">
        <v>63</v>
      </c>
      <c r="E374" s="18" t="s">
        <v>84</v>
      </c>
      <c r="F374" s="18" t="s">
        <v>252</v>
      </c>
      <c r="G374" s="175"/>
      <c r="H374" s="11"/>
      <c r="I374" s="12"/>
      <c r="J374" s="12"/>
      <c r="K374" s="12"/>
      <c r="L374" s="12"/>
      <c r="M374" s="12"/>
      <c r="N374" s="12"/>
      <c r="O374" s="13"/>
      <c r="P374" s="12"/>
      <c r="Q374" s="14"/>
      <c r="R374" s="15"/>
    </row>
    <row r="375" spans="1:18" ht="15" customHeight="1" x14ac:dyDescent="0.3">
      <c r="A375" s="20" t="s">
        <v>61</v>
      </c>
      <c r="B375" s="20" t="s">
        <v>74</v>
      </c>
      <c r="C375" s="21">
        <v>0.90277777777777779</v>
      </c>
      <c r="D375" s="20" t="s">
        <v>65</v>
      </c>
      <c r="E375" s="20" t="s">
        <v>140</v>
      </c>
      <c r="F375" s="20" t="s">
        <v>253</v>
      </c>
      <c r="G375" s="175"/>
      <c r="H375" s="11"/>
      <c r="I375" s="12"/>
      <c r="J375" s="12"/>
      <c r="K375" s="12"/>
      <c r="L375" s="12"/>
      <c r="M375" s="12"/>
      <c r="N375" s="12"/>
      <c r="O375" s="13"/>
      <c r="P375" s="12"/>
      <c r="Q375" s="14"/>
      <c r="R375" s="15"/>
    </row>
    <row r="376" spans="1:18" ht="15" customHeight="1" x14ac:dyDescent="0.3">
      <c r="A376" s="20" t="s">
        <v>61</v>
      </c>
      <c r="B376" s="20" t="s">
        <v>74</v>
      </c>
      <c r="C376" s="21">
        <v>0.90277777777777779</v>
      </c>
      <c r="D376" s="20" t="s">
        <v>67</v>
      </c>
      <c r="E376" s="20" t="s">
        <v>140</v>
      </c>
      <c r="F376" s="20" t="s">
        <v>254</v>
      </c>
      <c r="G376" s="175"/>
      <c r="H376" s="11"/>
      <c r="I376" s="12"/>
      <c r="J376" s="12"/>
      <c r="K376" s="12"/>
      <c r="L376" s="12"/>
      <c r="M376" s="12"/>
      <c r="N376" s="12"/>
      <c r="O376" s="13"/>
      <c r="P376" s="12"/>
      <c r="Q376" s="14"/>
      <c r="R376" s="15"/>
    </row>
    <row r="377" spans="1:18" ht="15" customHeight="1" x14ac:dyDescent="0.3">
      <c r="A377" s="16" t="s">
        <v>61</v>
      </c>
      <c r="B377" s="16" t="s">
        <v>69</v>
      </c>
      <c r="C377" s="17">
        <v>0.85416666666666663</v>
      </c>
      <c r="D377" s="16" t="s">
        <v>63</v>
      </c>
      <c r="E377" s="16" t="s">
        <v>95</v>
      </c>
      <c r="F377" s="16" t="s">
        <v>252</v>
      </c>
      <c r="G377" s="175"/>
      <c r="H377" s="11"/>
      <c r="I377" s="12"/>
      <c r="J377" s="12"/>
      <c r="K377" s="12"/>
      <c r="L377" s="12"/>
      <c r="M377" s="12"/>
      <c r="N377" s="12"/>
      <c r="O377" s="13"/>
      <c r="P377" s="12"/>
      <c r="Q377" s="14"/>
      <c r="R377" s="15"/>
    </row>
    <row r="378" spans="1:18" ht="15" customHeight="1" x14ac:dyDescent="0.3">
      <c r="A378" s="20" t="s">
        <v>61</v>
      </c>
      <c r="B378" s="20" t="s">
        <v>69</v>
      </c>
      <c r="C378" s="21">
        <v>0.85416666666666663</v>
      </c>
      <c r="D378" s="20" t="s">
        <v>65</v>
      </c>
      <c r="E378" s="20" t="s">
        <v>192</v>
      </c>
      <c r="F378" s="20" t="s">
        <v>253</v>
      </c>
      <c r="G378" s="175"/>
      <c r="H378" s="11"/>
      <c r="I378" s="12"/>
      <c r="J378" s="12"/>
      <c r="K378" s="12"/>
      <c r="L378" s="12"/>
      <c r="M378" s="12"/>
      <c r="N378" s="12"/>
      <c r="O378" s="13"/>
      <c r="P378" s="12"/>
      <c r="Q378" s="14"/>
      <c r="R378" s="15"/>
    </row>
    <row r="379" spans="1:18" ht="15" customHeight="1" x14ac:dyDescent="0.3">
      <c r="A379" s="20" t="s">
        <v>61</v>
      </c>
      <c r="B379" s="20" t="s">
        <v>69</v>
      </c>
      <c r="C379" s="21">
        <v>0.85416666666666663</v>
      </c>
      <c r="D379" s="20" t="s">
        <v>67</v>
      </c>
      <c r="E379" s="20" t="s">
        <v>192</v>
      </c>
      <c r="F379" s="20" t="s">
        <v>254</v>
      </c>
      <c r="G379" s="175"/>
      <c r="H379" s="11"/>
      <c r="I379" s="12"/>
      <c r="J379" s="12"/>
      <c r="K379" s="12"/>
      <c r="L379" s="12"/>
      <c r="M379" s="12"/>
      <c r="N379" s="12"/>
      <c r="O379" s="13"/>
      <c r="P379" s="12"/>
      <c r="Q379" s="14"/>
      <c r="R379" s="15"/>
    </row>
    <row r="380" spans="1:18" ht="15" customHeight="1" x14ac:dyDescent="0.3">
      <c r="A380" s="16" t="s">
        <v>61</v>
      </c>
      <c r="B380" s="16" t="s">
        <v>72</v>
      </c>
      <c r="C380" s="17">
        <v>0.39583333333333331</v>
      </c>
      <c r="D380" s="16" t="s">
        <v>63</v>
      </c>
      <c r="E380" s="16" t="s">
        <v>70</v>
      </c>
      <c r="F380" s="16" t="s">
        <v>252</v>
      </c>
      <c r="G380" s="175"/>
      <c r="H380" s="11"/>
      <c r="I380" s="12"/>
      <c r="J380" s="12"/>
      <c r="K380" s="12"/>
      <c r="L380" s="12"/>
      <c r="M380" s="12"/>
      <c r="N380" s="12"/>
      <c r="O380" s="13"/>
      <c r="P380" s="12"/>
      <c r="Q380" s="14"/>
      <c r="R380" s="15"/>
    </row>
    <row r="381" spans="1:18" ht="15" customHeight="1" x14ac:dyDescent="0.3">
      <c r="A381" s="20" t="s">
        <v>61</v>
      </c>
      <c r="B381" s="20" t="s">
        <v>72</v>
      </c>
      <c r="C381" s="21">
        <v>0.39583333333333331</v>
      </c>
      <c r="D381" s="20" t="s">
        <v>65</v>
      </c>
      <c r="E381" s="20" t="s">
        <v>71</v>
      </c>
      <c r="F381" s="20" t="s">
        <v>253</v>
      </c>
      <c r="G381" s="175"/>
      <c r="H381" s="11"/>
      <c r="I381" s="12"/>
      <c r="J381" s="12"/>
      <c r="K381" s="12"/>
      <c r="L381" s="12"/>
      <c r="M381" s="12"/>
      <c r="N381" s="12"/>
      <c r="O381" s="13"/>
      <c r="P381" s="12"/>
      <c r="Q381" s="14"/>
      <c r="R381" s="15"/>
    </row>
    <row r="382" spans="1:18" ht="15" customHeight="1" x14ac:dyDescent="0.3">
      <c r="A382" s="20" t="s">
        <v>61</v>
      </c>
      <c r="B382" s="20" t="s">
        <v>72</v>
      </c>
      <c r="C382" s="21">
        <v>0.39583333333333331</v>
      </c>
      <c r="D382" s="20" t="s">
        <v>67</v>
      </c>
      <c r="E382" s="20" t="s">
        <v>71</v>
      </c>
      <c r="F382" s="20" t="s">
        <v>254</v>
      </c>
      <c r="G382" s="175"/>
      <c r="H382" s="11"/>
      <c r="I382" s="12"/>
      <c r="J382" s="12"/>
      <c r="K382" s="12"/>
      <c r="L382" s="12"/>
      <c r="M382" s="12"/>
      <c r="N382" s="12"/>
      <c r="O382" s="13"/>
      <c r="P382" s="12"/>
      <c r="Q382" s="14"/>
      <c r="R382" s="15"/>
    </row>
    <row r="383" spans="1:18" ht="15" customHeight="1" x14ac:dyDescent="0.3">
      <c r="A383" s="16" t="s">
        <v>61</v>
      </c>
      <c r="B383" s="16" t="s">
        <v>79</v>
      </c>
      <c r="C383" s="17">
        <v>0.46875</v>
      </c>
      <c r="D383" s="16" t="s">
        <v>63</v>
      </c>
      <c r="E383" s="16" t="s">
        <v>70</v>
      </c>
      <c r="F383" s="16" t="s">
        <v>252</v>
      </c>
      <c r="G383" s="175"/>
      <c r="H383" s="11"/>
      <c r="I383" s="12"/>
      <c r="J383" s="12"/>
      <c r="K383" s="12"/>
      <c r="L383" s="12"/>
      <c r="M383" s="12"/>
      <c r="N383" s="12"/>
      <c r="O383" s="13"/>
      <c r="P383" s="12"/>
      <c r="Q383" s="14"/>
      <c r="R383" s="15"/>
    </row>
    <row r="384" spans="1:18" ht="15" customHeight="1" x14ac:dyDescent="0.3">
      <c r="A384" s="20" t="s">
        <v>61</v>
      </c>
      <c r="B384" s="20" t="s">
        <v>79</v>
      </c>
      <c r="C384" s="21">
        <v>0.46875</v>
      </c>
      <c r="D384" s="20" t="s">
        <v>65</v>
      </c>
      <c r="E384" s="20" t="s">
        <v>71</v>
      </c>
      <c r="F384" s="20" t="s">
        <v>253</v>
      </c>
      <c r="G384" s="175"/>
      <c r="H384" s="11"/>
      <c r="I384" s="12"/>
      <c r="J384" s="12"/>
      <c r="K384" s="12"/>
      <c r="L384" s="12"/>
      <c r="M384" s="12"/>
      <c r="N384" s="12"/>
      <c r="O384" s="13"/>
      <c r="P384" s="12"/>
      <c r="Q384" s="14"/>
      <c r="R384" s="15"/>
    </row>
    <row r="385" spans="1:18" ht="15" customHeight="1" x14ac:dyDescent="0.3">
      <c r="A385" s="20" t="s">
        <v>61</v>
      </c>
      <c r="B385" s="20" t="s">
        <v>79</v>
      </c>
      <c r="C385" s="21">
        <v>0.46875</v>
      </c>
      <c r="D385" s="20" t="s">
        <v>67</v>
      </c>
      <c r="E385" s="20" t="s">
        <v>71</v>
      </c>
      <c r="F385" s="20" t="s">
        <v>254</v>
      </c>
      <c r="G385" s="175"/>
      <c r="H385" s="11"/>
      <c r="I385" s="12"/>
      <c r="J385" s="12"/>
      <c r="K385" s="12"/>
      <c r="L385" s="12"/>
      <c r="M385" s="12"/>
      <c r="N385" s="12"/>
      <c r="O385" s="13"/>
      <c r="P385" s="12"/>
      <c r="Q385" s="14"/>
      <c r="R385" s="15"/>
    </row>
    <row r="386" spans="1:18" ht="15" customHeight="1" x14ac:dyDescent="0.3">
      <c r="A386" s="16" t="s">
        <v>61</v>
      </c>
      <c r="B386" s="16" t="s">
        <v>73</v>
      </c>
      <c r="C386" s="17">
        <v>0.79861111111111116</v>
      </c>
      <c r="D386" s="16" t="s">
        <v>63</v>
      </c>
      <c r="E386" s="16" t="s">
        <v>32</v>
      </c>
      <c r="F386" s="16" t="s">
        <v>252</v>
      </c>
      <c r="G386" s="175"/>
      <c r="H386" s="11"/>
      <c r="I386" s="12"/>
      <c r="J386" s="12"/>
      <c r="K386" s="12"/>
      <c r="L386" s="12"/>
      <c r="M386" s="12"/>
      <c r="N386" s="12"/>
      <c r="O386" s="13"/>
      <c r="P386" s="12"/>
      <c r="Q386" s="14"/>
      <c r="R386" s="15"/>
    </row>
    <row r="387" spans="1:18" ht="15" customHeight="1" x14ac:dyDescent="0.3">
      <c r="A387" s="20" t="s">
        <v>61</v>
      </c>
      <c r="B387" s="20" t="s">
        <v>73</v>
      </c>
      <c r="C387" s="21">
        <v>0.79861111111111116</v>
      </c>
      <c r="D387" s="20" t="s">
        <v>65</v>
      </c>
      <c r="E387" s="20" t="s">
        <v>191</v>
      </c>
      <c r="F387" s="20" t="s">
        <v>253</v>
      </c>
      <c r="G387" s="175"/>
      <c r="H387" s="11"/>
      <c r="I387" s="12"/>
      <c r="J387" s="12"/>
      <c r="K387" s="12"/>
      <c r="L387" s="12"/>
      <c r="M387" s="12"/>
      <c r="N387" s="12"/>
      <c r="O387" s="13"/>
      <c r="P387" s="12"/>
      <c r="Q387" s="14"/>
      <c r="R387" s="15"/>
    </row>
    <row r="388" spans="1:18" ht="15" customHeight="1" x14ac:dyDescent="0.3">
      <c r="A388" s="20" t="s">
        <v>61</v>
      </c>
      <c r="B388" s="20" t="s">
        <v>73</v>
      </c>
      <c r="C388" s="21">
        <v>0.79861111111111116</v>
      </c>
      <c r="D388" s="20" t="s">
        <v>67</v>
      </c>
      <c r="E388" s="20" t="s">
        <v>191</v>
      </c>
      <c r="F388" s="20" t="s">
        <v>254</v>
      </c>
      <c r="G388" s="175"/>
      <c r="H388" s="11"/>
      <c r="I388" s="12"/>
      <c r="J388" s="12"/>
      <c r="K388" s="12"/>
      <c r="L388" s="12"/>
      <c r="M388" s="12"/>
      <c r="N388" s="12"/>
      <c r="O388" s="13"/>
      <c r="P388" s="12"/>
      <c r="Q388" s="14"/>
      <c r="R388" s="15"/>
    </row>
    <row r="389" spans="1:18" ht="15" customHeight="1" x14ac:dyDescent="0.3">
      <c r="A389" s="16" t="s">
        <v>61</v>
      </c>
      <c r="B389" s="16" t="s">
        <v>137</v>
      </c>
      <c r="C389" s="17">
        <v>0.25694444444444448</v>
      </c>
      <c r="D389" s="16" t="s">
        <v>63</v>
      </c>
      <c r="E389" s="16" t="s">
        <v>57</v>
      </c>
      <c r="F389" s="16" t="s">
        <v>255</v>
      </c>
      <c r="G389" s="175"/>
      <c r="H389" s="11"/>
      <c r="I389" s="12"/>
      <c r="J389" s="12"/>
      <c r="K389" s="12"/>
      <c r="L389" s="12"/>
      <c r="M389" s="12"/>
      <c r="N389" s="12"/>
      <c r="O389" s="13"/>
      <c r="P389" s="12"/>
      <c r="Q389" s="14"/>
      <c r="R389" s="15"/>
    </row>
    <row r="390" spans="1:18" ht="15" customHeight="1" x14ac:dyDescent="0.3">
      <c r="A390" s="20" t="s">
        <v>61</v>
      </c>
      <c r="B390" s="20" t="s">
        <v>137</v>
      </c>
      <c r="C390" s="21">
        <v>0.25694444444444448</v>
      </c>
      <c r="D390" s="20" t="s">
        <v>65</v>
      </c>
      <c r="E390" s="20" t="s">
        <v>59</v>
      </c>
      <c r="F390" s="20" t="s">
        <v>250</v>
      </c>
      <c r="G390" s="175"/>
      <c r="H390" s="11"/>
      <c r="I390" s="12"/>
      <c r="J390" s="12"/>
      <c r="K390" s="12"/>
      <c r="L390" s="12"/>
      <c r="M390" s="12"/>
      <c r="N390" s="12"/>
      <c r="O390" s="13"/>
      <c r="P390" s="12"/>
      <c r="Q390" s="14"/>
      <c r="R390" s="15"/>
    </row>
    <row r="391" spans="1:18" ht="15" customHeight="1" x14ac:dyDescent="0.3">
      <c r="A391" s="20" t="s">
        <v>61</v>
      </c>
      <c r="B391" s="20" t="s">
        <v>137</v>
      </c>
      <c r="C391" s="21">
        <v>0.25694444444444448</v>
      </c>
      <c r="D391" s="20" t="s">
        <v>67</v>
      </c>
      <c r="E391" s="20" t="s">
        <v>59</v>
      </c>
      <c r="F391" s="20" t="s">
        <v>256</v>
      </c>
      <c r="G391" s="175"/>
      <c r="H391" s="11"/>
      <c r="I391" s="12"/>
      <c r="J391" s="12"/>
      <c r="K391" s="12"/>
      <c r="L391" s="12"/>
      <c r="M391" s="12"/>
      <c r="N391" s="12"/>
      <c r="O391" s="13"/>
      <c r="P391" s="12"/>
      <c r="Q391" s="14"/>
      <c r="R391" s="15"/>
    </row>
    <row r="392" spans="1:18" ht="15" customHeight="1" x14ac:dyDescent="0.3">
      <c r="A392" s="16" t="s">
        <v>61</v>
      </c>
      <c r="B392" s="16" t="s">
        <v>78</v>
      </c>
      <c r="C392" s="17">
        <v>0.64583333333333337</v>
      </c>
      <c r="D392" s="16" t="s">
        <v>63</v>
      </c>
      <c r="E392" s="16" t="s">
        <v>51</v>
      </c>
      <c r="F392" s="16" t="s">
        <v>255</v>
      </c>
      <c r="G392" s="175"/>
      <c r="H392" s="11"/>
      <c r="I392" s="12"/>
      <c r="J392" s="12"/>
      <c r="K392" s="12"/>
      <c r="L392" s="12"/>
      <c r="M392" s="12"/>
      <c r="N392" s="12"/>
      <c r="O392" s="13"/>
      <c r="P392" s="12"/>
      <c r="Q392" s="14"/>
      <c r="R392" s="15"/>
    </row>
    <row r="393" spans="1:18" ht="15" customHeight="1" x14ac:dyDescent="0.3">
      <c r="A393" s="20" t="s">
        <v>61</v>
      </c>
      <c r="B393" s="20" t="s">
        <v>78</v>
      </c>
      <c r="C393" s="21">
        <v>0.64583333333333337</v>
      </c>
      <c r="D393" s="20" t="s">
        <v>65</v>
      </c>
      <c r="E393" s="20" t="s">
        <v>53</v>
      </c>
      <c r="F393" s="20" t="s">
        <v>250</v>
      </c>
      <c r="G393" s="175"/>
      <c r="H393" s="11"/>
      <c r="I393" s="12"/>
      <c r="J393" s="12"/>
      <c r="K393" s="12"/>
      <c r="L393" s="12"/>
      <c r="M393" s="12"/>
      <c r="N393" s="12"/>
      <c r="O393" s="13"/>
      <c r="P393" s="12"/>
      <c r="Q393" s="14"/>
      <c r="R393" s="15"/>
    </row>
    <row r="394" spans="1:18" ht="15" customHeight="1" x14ac:dyDescent="0.3">
      <c r="A394" s="20" t="s">
        <v>61</v>
      </c>
      <c r="B394" s="20" t="s">
        <v>78</v>
      </c>
      <c r="C394" s="21">
        <v>0.64583333333333337</v>
      </c>
      <c r="D394" s="20" t="s">
        <v>67</v>
      </c>
      <c r="E394" s="20" t="s">
        <v>53</v>
      </c>
      <c r="F394" s="20" t="s">
        <v>256</v>
      </c>
      <c r="G394" s="175"/>
      <c r="H394" s="11"/>
      <c r="I394" s="12"/>
      <c r="J394" s="12"/>
      <c r="K394" s="12"/>
      <c r="L394" s="12"/>
      <c r="M394" s="12"/>
      <c r="N394" s="12"/>
      <c r="O394" s="13"/>
      <c r="P394" s="12"/>
      <c r="Q394" s="14"/>
      <c r="R394" s="15"/>
    </row>
    <row r="395" spans="1:18" ht="15" customHeight="1" x14ac:dyDescent="0.3">
      <c r="A395" s="16" t="s">
        <v>61</v>
      </c>
      <c r="B395" s="16" t="s">
        <v>62</v>
      </c>
      <c r="C395" s="17">
        <v>0.51736111111111105</v>
      </c>
      <c r="D395" s="16" t="s">
        <v>63</v>
      </c>
      <c r="E395" s="16" t="s">
        <v>57</v>
      </c>
      <c r="F395" s="16" t="s">
        <v>255</v>
      </c>
      <c r="G395" s="175"/>
      <c r="H395" s="11"/>
      <c r="I395" s="12"/>
      <c r="J395" s="12"/>
      <c r="K395" s="12"/>
      <c r="L395" s="12"/>
      <c r="M395" s="12"/>
      <c r="N395" s="12"/>
      <c r="O395" s="13"/>
      <c r="P395" s="12"/>
      <c r="Q395" s="14"/>
      <c r="R395" s="15"/>
    </row>
    <row r="396" spans="1:18" ht="15" customHeight="1" x14ac:dyDescent="0.3">
      <c r="A396" s="20" t="s">
        <v>61</v>
      </c>
      <c r="B396" s="20" t="s">
        <v>62</v>
      </c>
      <c r="C396" s="21">
        <v>0.51736111111111105</v>
      </c>
      <c r="D396" s="20" t="s">
        <v>65</v>
      </c>
      <c r="E396" s="20" t="s">
        <v>59</v>
      </c>
      <c r="F396" s="20" t="s">
        <v>250</v>
      </c>
      <c r="G396" s="175"/>
      <c r="H396" s="11"/>
      <c r="I396" s="12"/>
      <c r="J396" s="12"/>
      <c r="K396" s="12"/>
      <c r="L396" s="12"/>
      <c r="M396" s="12"/>
      <c r="N396" s="12"/>
      <c r="O396" s="13"/>
      <c r="P396" s="12"/>
      <c r="Q396" s="14"/>
      <c r="R396" s="15"/>
    </row>
    <row r="397" spans="1:18" ht="15" customHeight="1" x14ac:dyDescent="0.3">
      <c r="A397" s="20" t="s">
        <v>61</v>
      </c>
      <c r="B397" s="20" t="s">
        <v>62</v>
      </c>
      <c r="C397" s="21">
        <v>0.51736111111111105</v>
      </c>
      <c r="D397" s="20" t="s">
        <v>67</v>
      </c>
      <c r="E397" s="20" t="s">
        <v>59</v>
      </c>
      <c r="F397" s="20" t="s">
        <v>256</v>
      </c>
      <c r="G397" s="175"/>
      <c r="H397" s="11"/>
      <c r="I397" s="12"/>
      <c r="J397" s="12"/>
      <c r="K397" s="12"/>
      <c r="L397" s="12"/>
      <c r="M397" s="12"/>
      <c r="N397" s="12"/>
      <c r="O397" s="13"/>
      <c r="P397" s="12"/>
      <c r="Q397" s="14"/>
      <c r="R397" s="15"/>
    </row>
    <row r="398" spans="1:18" ht="15" customHeight="1" x14ac:dyDescent="0.3">
      <c r="A398" s="110" t="s">
        <v>81</v>
      </c>
      <c r="B398" s="110" t="s">
        <v>89</v>
      </c>
      <c r="C398" s="111">
        <v>0.4236111111111111</v>
      </c>
      <c r="D398" s="110" t="s">
        <v>83</v>
      </c>
      <c r="E398" s="110" t="s">
        <v>134</v>
      </c>
      <c r="F398" s="110" t="s">
        <v>257</v>
      </c>
      <c r="G398" s="175"/>
      <c r="H398" s="77" t="s">
        <v>91</v>
      </c>
      <c r="I398" s="112">
        <v>0.82120000000000004</v>
      </c>
      <c r="J398" s="79">
        <v>147</v>
      </c>
      <c r="K398" s="80">
        <v>45980</v>
      </c>
      <c r="L398" s="79">
        <v>29</v>
      </c>
      <c r="M398" s="79">
        <v>2</v>
      </c>
      <c r="N398" s="79">
        <v>11</v>
      </c>
      <c r="O398" s="81" t="s">
        <v>258</v>
      </c>
      <c r="P398" s="82">
        <v>0.4236111111111111</v>
      </c>
      <c r="Q398" s="79">
        <v>179</v>
      </c>
      <c r="R398" s="83" t="s">
        <v>259</v>
      </c>
    </row>
    <row r="399" spans="1:18" ht="15" customHeight="1" x14ac:dyDescent="0.3">
      <c r="A399" s="123" t="s">
        <v>81</v>
      </c>
      <c r="B399" s="123" t="s">
        <v>82</v>
      </c>
      <c r="C399" s="124">
        <v>0.97916666666666663</v>
      </c>
      <c r="D399" s="123" t="s">
        <v>83</v>
      </c>
      <c r="E399" s="123" t="s">
        <v>123</v>
      </c>
      <c r="F399" s="123" t="s">
        <v>260</v>
      </c>
      <c r="G399" s="175"/>
      <c r="H399" s="102" t="s">
        <v>86</v>
      </c>
      <c r="I399" s="103">
        <v>0.87709999999999999</v>
      </c>
      <c r="J399" s="104">
        <v>157</v>
      </c>
      <c r="K399" s="105">
        <v>45979</v>
      </c>
      <c r="L399" s="104">
        <v>16</v>
      </c>
      <c r="M399" s="104">
        <v>0</v>
      </c>
      <c r="N399" s="104">
        <v>8</v>
      </c>
      <c r="O399" s="106" t="s">
        <v>261</v>
      </c>
      <c r="P399" s="107">
        <v>0.97916666666666663</v>
      </c>
      <c r="Q399" s="104">
        <v>179</v>
      </c>
      <c r="R399" s="108" t="s">
        <v>262</v>
      </c>
    </row>
    <row r="400" spans="1:18" ht="15" customHeight="1" x14ac:dyDescent="0.3">
      <c r="A400" s="84" t="s">
        <v>81</v>
      </c>
      <c r="B400" s="84" t="s">
        <v>94</v>
      </c>
      <c r="C400" s="85">
        <v>0.61458333333333337</v>
      </c>
      <c r="D400" s="84" t="s">
        <v>83</v>
      </c>
      <c r="E400" s="84" t="s">
        <v>123</v>
      </c>
      <c r="F400" s="84" t="s">
        <v>260</v>
      </c>
      <c r="G400" s="175"/>
      <c r="H400" s="86" t="s">
        <v>97</v>
      </c>
      <c r="I400" s="113">
        <v>0.80449999999999999</v>
      </c>
      <c r="J400" s="88">
        <v>144</v>
      </c>
      <c r="K400" s="89">
        <v>45979</v>
      </c>
      <c r="L400" s="88">
        <v>30</v>
      </c>
      <c r="M400" s="88">
        <v>0</v>
      </c>
      <c r="N400" s="88">
        <v>6</v>
      </c>
      <c r="O400" s="90" t="s">
        <v>261</v>
      </c>
      <c r="P400" s="91">
        <v>0.61458333333333337</v>
      </c>
      <c r="Q400" s="88">
        <v>179</v>
      </c>
      <c r="R400" s="92" t="s">
        <v>263</v>
      </c>
    </row>
    <row r="401" spans="1:18" ht="15" customHeight="1" x14ac:dyDescent="0.3">
      <c r="A401" s="125" t="s">
        <v>81</v>
      </c>
      <c r="B401" s="125" t="s">
        <v>165</v>
      </c>
      <c r="C401" s="126">
        <v>6.9444444444444441E-3</v>
      </c>
      <c r="D401" s="125" t="s">
        <v>83</v>
      </c>
      <c r="E401" s="125" t="s">
        <v>70</v>
      </c>
      <c r="F401" s="125" t="s">
        <v>260</v>
      </c>
      <c r="G401" s="175"/>
      <c r="H401" s="24" t="s">
        <v>167</v>
      </c>
      <c r="I401" s="127">
        <v>0.35199999999999998</v>
      </c>
      <c r="J401" s="26">
        <v>63</v>
      </c>
      <c r="K401" s="27">
        <v>45979</v>
      </c>
      <c r="L401" s="26">
        <v>41</v>
      </c>
      <c r="M401" s="26">
        <v>0</v>
      </c>
      <c r="N401" s="26">
        <v>11</v>
      </c>
      <c r="O401" s="28" t="s">
        <v>264</v>
      </c>
      <c r="P401" s="29">
        <v>6.9444444444444441E-3</v>
      </c>
      <c r="Q401" s="26">
        <v>179</v>
      </c>
      <c r="R401" s="30" t="s">
        <v>265</v>
      </c>
    </row>
    <row r="402" spans="1:18" ht="15" customHeight="1" x14ac:dyDescent="0.3">
      <c r="A402" s="18" t="s">
        <v>100</v>
      </c>
      <c r="B402" s="18" t="s">
        <v>216</v>
      </c>
      <c r="C402" s="19">
        <v>0.1736111111111111</v>
      </c>
      <c r="D402" s="18" t="s">
        <v>102</v>
      </c>
      <c r="E402" s="18" t="s">
        <v>170</v>
      </c>
      <c r="F402" s="18" t="s">
        <v>266</v>
      </c>
      <c r="G402" s="175"/>
      <c r="H402" s="11"/>
      <c r="I402" s="12"/>
      <c r="J402" s="12"/>
      <c r="K402" s="12"/>
      <c r="L402" s="12"/>
      <c r="M402" s="12"/>
      <c r="N402" s="12"/>
      <c r="O402" s="13"/>
      <c r="P402" s="12"/>
      <c r="Q402" s="14"/>
      <c r="R402" s="15"/>
    </row>
    <row r="403" spans="1:18" ht="15" customHeight="1" x14ac:dyDescent="0.3">
      <c r="A403" s="20" t="s">
        <v>100</v>
      </c>
      <c r="B403" s="20" t="s">
        <v>216</v>
      </c>
      <c r="C403" s="21">
        <v>0.1736111111111111</v>
      </c>
      <c r="D403" s="20" t="s">
        <v>48</v>
      </c>
      <c r="E403" s="20" t="s">
        <v>59</v>
      </c>
      <c r="F403" s="20" t="s">
        <v>267</v>
      </c>
      <c r="G403" s="175"/>
      <c r="H403" s="11"/>
      <c r="I403" s="12"/>
      <c r="J403" s="12"/>
      <c r="K403" s="12"/>
      <c r="L403" s="12"/>
      <c r="M403" s="12"/>
      <c r="N403" s="12"/>
      <c r="O403" s="13"/>
      <c r="P403" s="12"/>
      <c r="Q403" s="14"/>
      <c r="R403" s="15"/>
    </row>
    <row r="404" spans="1:18" ht="15" customHeight="1" x14ac:dyDescent="0.3">
      <c r="A404" s="16" t="s">
        <v>100</v>
      </c>
      <c r="B404" s="16" t="s">
        <v>101</v>
      </c>
      <c r="C404" s="17">
        <v>0.3923611111111111</v>
      </c>
      <c r="D404" s="16" t="s">
        <v>102</v>
      </c>
      <c r="E404" s="16" t="s">
        <v>39</v>
      </c>
      <c r="F404" s="16" t="s">
        <v>268</v>
      </c>
      <c r="G404" s="175"/>
      <c r="H404" s="11"/>
      <c r="I404" s="12"/>
      <c r="J404" s="12"/>
      <c r="K404" s="12"/>
      <c r="L404" s="12"/>
      <c r="M404" s="12"/>
      <c r="N404" s="12"/>
      <c r="O404" s="13"/>
      <c r="P404" s="12"/>
      <c r="Q404" s="14"/>
      <c r="R404" s="15"/>
    </row>
    <row r="405" spans="1:18" ht="15" customHeight="1" x14ac:dyDescent="0.3">
      <c r="A405" s="20" t="s">
        <v>100</v>
      </c>
      <c r="B405" s="20" t="s">
        <v>101</v>
      </c>
      <c r="C405" s="21">
        <v>0.3923611111111111</v>
      </c>
      <c r="D405" s="20" t="s">
        <v>48</v>
      </c>
      <c r="E405" s="20" t="s">
        <v>80</v>
      </c>
      <c r="F405" s="20" t="s">
        <v>269</v>
      </c>
      <c r="G405" s="175"/>
      <c r="H405" s="11"/>
      <c r="I405" s="12"/>
      <c r="J405" s="12"/>
      <c r="K405" s="12"/>
      <c r="L405" s="12"/>
      <c r="M405" s="12"/>
      <c r="N405" s="12"/>
      <c r="O405" s="13"/>
      <c r="P405" s="12"/>
      <c r="Q405" s="14"/>
      <c r="R405" s="15"/>
    </row>
    <row r="406" spans="1:18" ht="15" customHeight="1" x14ac:dyDescent="0.3">
      <c r="A406" s="18" t="s">
        <v>26</v>
      </c>
      <c r="B406" s="18" t="s">
        <v>31</v>
      </c>
      <c r="C406" s="19">
        <v>0.20833333333333329</v>
      </c>
      <c r="D406" s="18" t="s">
        <v>28</v>
      </c>
      <c r="E406" s="18" t="s">
        <v>270</v>
      </c>
      <c r="F406" s="18" t="s">
        <v>30</v>
      </c>
      <c r="G406" s="175"/>
      <c r="H406" s="11"/>
      <c r="I406" s="12"/>
      <c r="J406" s="12"/>
      <c r="K406" s="12"/>
      <c r="L406" s="12"/>
      <c r="M406" s="12"/>
      <c r="N406" s="12"/>
      <c r="O406" s="13"/>
      <c r="P406" s="12"/>
      <c r="Q406" s="14"/>
      <c r="R406" s="15"/>
    </row>
    <row r="407" spans="1:18" ht="15" customHeight="1" x14ac:dyDescent="0.3">
      <c r="A407" s="18" t="s">
        <v>34</v>
      </c>
      <c r="B407" s="18" t="s">
        <v>35</v>
      </c>
      <c r="C407" s="19">
        <v>0.66666666666666663</v>
      </c>
      <c r="D407" s="18" t="s">
        <v>28</v>
      </c>
      <c r="E407" s="18" t="s">
        <v>36</v>
      </c>
      <c r="F407" s="18" t="s">
        <v>37</v>
      </c>
      <c r="G407" s="175"/>
      <c r="H407" s="11"/>
      <c r="I407" s="12"/>
      <c r="J407" s="12"/>
      <c r="K407" s="12"/>
      <c r="L407" s="12"/>
      <c r="M407" s="12"/>
      <c r="N407" s="12"/>
      <c r="O407" s="13"/>
      <c r="P407" s="12"/>
      <c r="Q407" s="14"/>
      <c r="R407" s="15"/>
    </row>
    <row r="408" spans="1:18" ht="15" customHeight="1" x14ac:dyDescent="0.3">
      <c r="A408" s="16" t="s">
        <v>34</v>
      </c>
      <c r="B408" s="16" t="s">
        <v>38</v>
      </c>
      <c r="C408" s="17">
        <v>0.3125</v>
      </c>
      <c r="D408" s="16" t="s">
        <v>28</v>
      </c>
      <c r="E408" s="16" t="s">
        <v>109</v>
      </c>
      <c r="F408" s="16" t="s">
        <v>37</v>
      </c>
      <c r="G408" s="175"/>
      <c r="H408" s="11"/>
      <c r="I408" s="12"/>
      <c r="J408" s="12"/>
      <c r="K408" s="12"/>
      <c r="L408" s="12"/>
      <c r="M408" s="12"/>
      <c r="N408" s="12"/>
      <c r="O408" s="13"/>
      <c r="P408" s="12"/>
      <c r="Q408" s="14"/>
      <c r="R408" s="15"/>
    </row>
    <row r="409" spans="1:18" ht="15" customHeight="1" x14ac:dyDescent="0.3">
      <c r="A409" s="18" t="s">
        <v>115</v>
      </c>
      <c r="B409" s="18" t="s">
        <v>173</v>
      </c>
      <c r="C409" s="19">
        <v>0.23958333333333329</v>
      </c>
      <c r="D409" s="18" t="s">
        <v>117</v>
      </c>
      <c r="E409" s="18" t="s">
        <v>36</v>
      </c>
      <c r="F409" s="18" t="s">
        <v>271</v>
      </c>
      <c r="G409" s="175"/>
      <c r="H409" s="11"/>
      <c r="I409" s="12"/>
      <c r="J409" s="12"/>
      <c r="K409" s="12"/>
      <c r="L409" s="12"/>
      <c r="M409" s="12"/>
      <c r="N409" s="12"/>
      <c r="O409" s="13"/>
      <c r="P409" s="12"/>
      <c r="Q409" s="14"/>
      <c r="R409" s="15"/>
    </row>
    <row r="410" spans="1:18" ht="15" customHeight="1" x14ac:dyDescent="0.3">
      <c r="A410" s="20" t="s">
        <v>115</v>
      </c>
      <c r="B410" s="20" t="s">
        <v>173</v>
      </c>
      <c r="C410" s="21">
        <v>0.23958333333333329</v>
      </c>
      <c r="D410" s="20" t="s">
        <v>119</v>
      </c>
      <c r="E410" s="20" t="s">
        <v>120</v>
      </c>
      <c r="F410" s="20" t="s">
        <v>272</v>
      </c>
      <c r="G410" s="175"/>
      <c r="H410" s="11"/>
      <c r="I410" s="12"/>
      <c r="J410" s="12"/>
      <c r="K410" s="12"/>
      <c r="L410" s="12"/>
      <c r="M410" s="12"/>
      <c r="N410" s="12"/>
      <c r="O410" s="13"/>
      <c r="P410" s="12"/>
      <c r="Q410" s="14"/>
      <c r="R410" s="15"/>
    </row>
    <row r="411" spans="1:18" ht="15" customHeight="1" x14ac:dyDescent="0.3">
      <c r="A411" s="16" t="s">
        <v>115</v>
      </c>
      <c r="B411" s="16" t="s">
        <v>122</v>
      </c>
      <c r="C411" s="17">
        <v>0.93055555555555547</v>
      </c>
      <c r="D411" s="16" t="s">
        <v>117</v>
      </c>
      <c r="E411" s="16" t="s">
        <v>109</v>
      </c>
      <c r="F411" s="16" t="s">
        <v>271</v>
      </c>
      <c r="G411" s="175"/>
      <c r="H411" s="11"/>
      <c r="I411" s="12"/>
      <c r="J411" s="12"/>
      <c r="K411" s="12"/>
      <c r="L411" s="12"/>
      <c r="M411" s="12"/>
      <c r="N411" s="12"/>
      <c r="O411" s="13"/>
      <c r="P411" s="12"/>
      <c r="Q411" s="14"/>
      <c r="R411" s="15"/>
    </row>
    <row r="412" spans="1:18" ht="15" customHeight="1" x14ac:dyDescent="0.3">
      <c r="A412" s="20" t="s">
        <v>115</v>
      </c>
      <c r="B412" s="20" t="s">
        <v>122</v>
      </c>
      <c r="C412" s="21">
        <v>0.93055555555555547</v>
      </c>
      <c r="D412" s="20" t="s">
        <v>119</v>
      </c>
      <c r="E412" s="20" t="s">
        <v>120</v>
      </c>
      <c r="F412" s="20" t="s">
        <v>272</v>
      </c>
      <c r="G412" s="175"/>
      <c r="H412" s="11"/>
      <c r="I412" s="12"/>
      <c r="J412" s="12"/>
      <c r="K412" s="12"/>
      <c r="L412" s="12"/>
      <c r="M412" s="12"/>
      <c r="N412" s="12"/>
      <c r="O412" s="13"/>
      <c r="P412" s="12"/>
      <c r="Q412" s="14"/>
      <c r="R412" s="15"/>
    </row>
    <row r="413" spans="1:18" ht="15" customHeight="1" x14ac:dyDescent="0.3">
      <c r="A413" s="16" t="s">
        <v>115</v>
      </c>
      <c r="B413" s="16" t="s">
        <v>116</v>
      </c>
      <c r="C413" s="17">
        <v>0.37847222222222232</v>
      </c>
      <c r="D413" s="16" t="s">
        <v>117</v>
      </c>
      <c r="E413" s="16" t="s">
        <v>109</v>
      </c>
      <c r="F413" s="16" t="s">
        <v>244</v>
      </c>
      <c r="G413" s="175"/>
      <c r="H413" s="11"/>
      <c r="I413" s="12"/>
      <c r="J413" s="12"/>
      <c r="K413" s="12"/>
      <c r="L413" s="12"/>
      <c r="M413" s="12"/>
      <c r="N413" s="12"/>
      <c r="O413" s="13"/>
      <c r="P413" s="12"/>
      <c r="Q413" s="14"/>
      <c r="R413" s="15"/>
    </row>
    <row r="414" spans="1:18" ht="15" customHeight="1" x14ac:dyDescent="0.3">
      <c r="A414" s="20" t="s">
        <v>115</v>
      </c>
      <c r="B414" s="20" t="s">
        <v>116</v>
      </c>
      <c r="C414" s="21">
        <v>0.37847222222222232</v>
      </c>
      <c r="D414" s="20" t="s">
        <v>119</v>
      </c>
      <c r="E414" s="20" t="s">
        <v>120</v>
      </c>
      <c r="F414" s="20" t="s">
        <v>245</v>
      </c>
      <c r="G414" s="175"/>
      <c r="H414" s="11"/>
      <c r="I414" s="12"/>
      <c r="J414" s="12"/>
      <c r="K414" s="12"/>
      <c r="L414" s="12"/>
      <c r="M414" s="12"/>
      <c r="N414" s="12"/>
      <c r="O414" s="13"/>
      <c r="P414" s="12"/>
      <c r="Q414" s="14"/>
      <c r="R414" s="15"/>
    </row>
    <row r="415" spans="1:18" ht="15" customHeight="1" x14ac:dyDescent="0.3">
      <c r="A415" s="16" t="s">
        <v>115</v>
      </c>
      <c r="B415" s="16" t="s">
        <v>175</v>
      </c>
      <c r="C415" s="17">
        <v>6.9444444444444441E-3</v>
      </c>
      <c r="D415" s="16" t="s">
        <v>117</v>
      </c>
      <c r="E415" s="16" t="s">
        <v>109</v>
      </c>
      <c r="F415" s="16" t="s">
        <v>244</v>
      </c>
      <c r="G415" s="175"/>
      <c r="H415" s="11"/>
      <c r="I415" s="12"/>
      <c r="J415" s="12"/>
      <c r="K415" s="12"/>
      <c r="L415" s="12"/>
      <c r="M415" s="12"/>
      <c r="N415" s="12"/>
      <c r="O415" s="13"/>
      <c r="P415" s="12"/>
      <c r="Q415" s="14"/>
      <c r="R415" s="15"/>
    </row>
    <row r="416" spans="1:18" ht="15" customHeight="1" x14ac:dyDescent="0.3">
      <c r="A416" s="20" t="s">
        <v>115</v>
      </c>
      <c r="B416" s="20" t="s">
        <v>175</v>
      </c>
      <c r="C416" s="21">
        <v>6.9444444444444441E-3</v>
      </c>
      <c r="D416" s="20" t="s">
        <v>119</v>
      </c>
      <c r="E416" s="20" t="s">
        <v>120</v>
      </c>
      <c r="F416" s="20" t="s">
        <v>245</v>
      </c>
      <c r="G416" s="175"/>
      <c r="H416" s="11"/>
      <c r="I416" s="12"/>
      <c r="J416" s="12"/>
      <c r="K416" s="12"/>
      <c r="L416" s="12"/>
      <c r="M416" s="12"/>
      <c r="N416" s="12"/>
      <c r="O416" s="13"/>
      <c r="P416" s="12"/>
      <c r="Q416" s="14"/>
      <c r="R416" s="15"/>
    </row>
    <row r="417" spans="1:18" ht="15" customHeight="1" x14ac:dyDescent="0.3">
      <c r="A417" s="16" t="s">
        <v>115</v>
      </c>
      <c r="B417" s="16" t="s">
        <v>174</v>
      </c>
      <c r="C417" s="17">
        <v>0.1423611111111111</v>
      </c>
      <c r="D417" s="16" t="s">
        <v>117</v>
      </c>
      <c r="E417" s="16" t="s">
        <v>109</v>
      </c>
      <c r="F417" s="16" t="s">
        <v>244</v>
      </c>
      <c r="G417" s="175"/>
      <c r="H417" s="11"/>
      <c r="I417" s="12"/>
      <c r="J417" s="12"/>
      <c r="K417" s="12"/>
      <c r="L417" s="12"/>
      <c r="M417" s="12"/>
      <c r="N417" s="12"/>
      <c r="O417" s="13"/>
      <c r="P417" s="12"/>
      <c r="Q417" s="14"/>
      <c r="R417" s="15"/>
    </row>
    <row r="418" spans="1:18" ht="15" customHeight="1" x14ac:dyDescent="0.3">
      <c r="A418" s="20" t="s">
        <v>115</v>
      </c>
      <c r="B418" s="20" t="s">
        <v>174</v>
      </c>
      <c r="C418" s="21">
        <v>0.1423611111111111</v>
      </c>
      <c r="D418" s="20" t="s">
        <v>119</v>
      </c>
      <c r="E418" s="20" t="s">
        <v>120</v>
      </c>
      <c r="F418" s="20" t="s">
        <v>245</v>
      </c>
      <c r="G418" s="175"/>
      <c r="H418" s="11"/>
      <c r="I418" s="12"/>
      <c r="J418" s="12"/>
      <c r="K418" s="12"/>
      <c r="L418" s="12"/>
      <c r="M418" s="12"/>
      <c r="N418" s="12"/>
      <c r="O418" s="13"/>
      <c r="P418" s="12"/>
      <c r="Q418" s="14"/>
      <c r="R418" s="15"/>
    </row>
    <row r="419" spans="1:18" ht="15" customHeight="1" x14ac:dyDescent="0.3">
      <c r="A419" s="16" t="s">
        <v>115</v>
      </c>
      <c r="B419" s="16" t="s">
        <v>179</v>
      </c>
      <c r="C419" s="17">
        <v>0.12847222222222221</v>
      </c>
      <c r="D419" s="16" t="s">
        <v>119</v>
      </c>
      <c r="E419" s="16" t="s">
        <v>95</v>
      </c>
      <c r="F419" s="16" t="s">
        <v>273</v>
      </c>
      <c r="G419" s="175"/>
      <c r="H419" s="11"/>
      <c r="I419" s="12"/>
      <c r="J419" s="12"/>
      <c r="K419" s="12"/>
      <c r="L419" s="12"/>
      <c r="M419" s="12"/>
      <c r="N419" s="12"/>
      <c r="O419" s="13"/>
      <c r="P419" s="12"/>
      <c r="Q419" s="14"/>
      <c r="R419" s="15"/>
    </row>
    <row r="420" spans="1:18" ht="15" customHeight="1" x14ac:dyDescent="0.3">
      <c r="A420" s="16" t="s">
        <v>115</v>
      </c>
      <c r="B420" s="16" t="s">
        <v>129</v>
      </c>
      <c r="C420" s="17">
        <v>0.61111111111111105</v>
      </c>
      <c r="D420" s="16" t="s">
        <v>117</v>
      </c>
      <c r="E420" s="16" t="s">
        <v>109</v>
      </c>
      <c r="F420" s="16" t="s">
        <v>274</v>
      </c>
      <c r="G420" s="175"/>
      <c r="H420" s="11"/>
      <c r="I420" s="12"/>
      <c r="J420" s="12"/>
      <c r="K420" s="12"/>
      <c r="L420" s="12"/>
      <c r="M420" s="12"/>
      <c r="N420" s="12"/>
      <c r="O420" s="13"/>
      <c r="P420" s="12"/>
      <c r="Q420" s="14"/>
      <c r="R420" s="15"/>
    </row>
    <row r="421" spans="1:18" ht="15" customHeight="1" x14ac:dyDescent="0.3">
      <c r="A421" s="20" t="s">
        <v>115</v>
      </c>
      <c r="B421" s="20" t="s">
        <v>129</v>
      </c>
      <c r="C421" s="21">
        <v>0.61111111111111105</v>
      </c>
      <c r="D421" s="20" t="s">
        <v>119</v>
      </c>
      <c r="E421" s="20" t="s">
        <v>120</v>
      </c>
      <c r="F421" s="20" t="s">
        <v>275</v>
      </c>
      <c r="G421" s="175"/>
      <c r="H421" s="11"/>
      <c r="I421" s="12"/>
      <c r="J421" s="12"/>
      <c r="K421" s="12"/>
      <c r="L421" s="12"/>
      <c r="M421" s="12"/>
      <c r="N421" s="12"/>
      <c r="O421" s="13"/>
      <c r="P421" s="12"/>
      <c r="Q421" s="14"/>
      <c r="R421" s="15"/>
    </row>
    <row r="422" spans="1:18" ht="15" customHeight="1" x14ac:dyDescent="0.3">
      <c r="A422" s="16" t="s">
        <v>115</v>
      </c>
      <c r="B422" s="16" t="s">
        <v>130</v>
      </c>
      <c r="C422" s="17">
        <v>0.88888888888888884</v>
      </c>
      <c r="D422" s="16" t="s">
        <v>119</v>
      </c>
      <c r="E422" s="16" t="s">
        <v>95</v>
      </c>
      <c r="F422" s="16" t="s">
        <v>246</v>
      </c>
      <c r="G422" s="175"/>
      <c r="H422" s="11"/>
      <c r="I422" s="12"/>
      <c r="J422" s="12"/>
      <c r="K422" s="12"/>
      <c r="L422" s="12"/>
      <c r="M422" s="12"/>
      <c r="N422" s="12"/>
      <c r="O422" s="13"/>
      <c r="P422" s="12"/>
      <c r="Q422" s="14"/>
      <c r="R422" s="15"/>
    </row>
    <row r="423" spans="1:18" ht="15" customHeight="1" x14ac:dyDescent="0.3">
      <c r="A423" s="16" t="s">
        <v>115</v>
      </c>
      <c r="B423" s="16" t="s">
        <v>178</v>
      </c>
      <c r="C423" s="17">
        <v>0.30208333333333331</v>
      </c>
      <c r="D423" s="16" t="s">
        <v>119</v>
      </c>
      <c r="E423" s="16" t="s">
        <v>95</v>
      </c>
      <c r="F423" s="16" t="s">
        <v>246</v>
      </c>
      <c r="G423" s="175"/>
      <c r="H423" s="11"/>
      <c r="I423" s="12"/>
      <c r="J423" s="12"/>
      <c r="K423" s="12"/>
      <c r="L423" s="12"/>
      <c r="M423" s="12"/>
      <c r="N423" s="12"/>
      <c r="O423" s="13"/>
      <c r="P423" s="12"/>
      <c r="Q423" s="14"/>
      <c r="R423" s="15"/>
    </row>
    <row r="424" spans="1:18" ht="15" customHeight="1" x14ac:dyDescent="0.3">
      <c r="A424" s="16" t="s">
        <v>115</v>
      </c>
      <c r="B424" s="16" t="s">
        <v>126</v>
      </c>
      <c r="C424" s="17">
        <v>0.71875</v>
      </c>
      <c r="D424" s="16" t="s">
        <v>117</v>
      </c>
      <c r="E424" s="16" t="s">
        <v>109</v>
      </c>
      <c r="F424" s="16" t="s">
        <v>247</v>
      </c>
      <c r="G424" s="175"/>
      <c r="H424" s="11"/>
      <c r="I424" s="12"/>
      <c r="J424" s="12"/>
      <c r="K424" s="12"/>
      <c r="L424" s="12"/>
      <c r="M424" s="12"/>
      <c r="N424" s="12"/>
      <c r="O424" s="13"/>
      <c r="P424" s="12"/>
      <c r="Q424" s="14"/>
      <c r="R424" s="15"/>
    </row>
    <row r="425" spans="1:18" ht="15" customHeight="1" x14ac:dyDescent="0.3">
      <c r="A425" s="20" t="s">
        <v>115</v>
      </c>
      <c r="B425" s="20" t="s">
        <v>126</v>
      </c>
      <c r="C425" s="21">
        <v>0.71875</v>
      </c>
      <c r="D425" s="20" t="s">
        <v>119</v>
      </c>
      <c r="E425" s="20" t="s">
        <v>120</v>
      </c>
      <c r="F425" s="20" t="s">
        <v>248</v>
      </c>
      <c r="G425" s="175"/>
      <c r="H425" s="11"/>
      <c r="I425" s="12"/>
      <c r="J425" s="12"/>
      <c r="K425" s="12"/>
      <c r="L425" s="12"/>
      <c r="M425" s="12"/>
      <c r="N425" s="12"/>
      <c r="O425" s="13"/>
      <c r="P425" s="12"/>
      <c r="Q425" s="14"/>
      <c r="R425" s="15"/>
    </row>
    <row r="426" spans="1:18" ht="15" customHeight="1" x14ac:dyDescent="0.3">
      <c r="A426" s="16" t="s">
        <v>115</v>
      </c>
      <c r="B426" s="16" t="s">
        <v>125</v>
      </c>
      <c r="C426" s="17">
        <v>0.82986111111111116</v>
      </c>
      <c r="D426" s="16" t="s">
        <v>117</v>
      </c>
      <c r="E426" s="16" t="s">
        <v>109</v>
      </c>
      <c r="F426" s="16" t="s">
        <v>247</v>
      </c>
      <c r="G426" s="175"/>
      <c r="H426" s="11"/>
      <c r="I426" s="12"/>
      <c r="J426" s="12"/>
      <c r="K426" s="12"/>
      <c r="L426" s="12"/>
      <c r="M426" s="12"/>
      <c r="N426" s="12"/>
      <c r="O426" s="13"/>
      <c r="P426" s="12"/>
      <c r="Q426" s="14"/>
      <c r="R426" s="15"/>
    </row>
    <row r="427" spans="1:18" ht="15" customHeight="1" x14ac:dyDescent="0.3">
      <c r="A427" s="20" t="s">
        <v>115</v>
      </c>
      <c r="B427" s="20" t="s">
        <v>125</v>
      </c>
      <c r="C427" s="21">
        <v>0.82986111111111116</v>
      </c>
      <c r="D427" s="20" t="s">
        <v>119</v>
      </c>
      <c r="E427" s="20" t="s">
        <v>120</v>
      </c>
      <c r="F427" s="20" t="s">
        <v>248</v>
      </c>
      <c r="G427" s="175"/>
      <c r="H427" s="11"/>
      <c r="I427" s="12"/>
      <c r="J427" s="12"/>
      <c r="K427" s="12"/>
      <c r="L427" s="12"/>
      <c r="M427" s="12"/>
      <c r="N427" s="12"/>
      <c r="O427" s="13"/>
      <c r="P427" s="12"/>
      <c r="Q427" s="14"/>
      <c r="R427" s="15"/>
    </row>
    <row r="428" spans="1:18" ht="15" customHeight="1" x14ac:dyDescent="0.3">
      <c r="A428" s="16" t="s">
        <v>115</v>
      </c>
      <c r="B428" s="16" t="s">
        <v>132</v>
      </c>
      <c r="C428" s="17">
        <v>0.78819444444444453</v>
      </c>
      <c r="D428" s="16" t="s">
        <v>119</v>
      </c>
      <c r="E428" s="16" t="s">
        <v>95</v>
      </c>
      <c r="F428" s="16" t="s">
        <v>131</v>
      </c>
      <c r="G428" s="175"/>
      <c r="H428" s="11"/>
      <c r="I428" s="12"/>
      <c r="J428" s="12"/>
      <c r="K428" s="12"/>
      <c r="L428" s="12"/>
      <c r="M428" s="12"/>
      <c r="N428" s="12"/>
      <c r="O428" s="13"/>
      <c r="P428" s="12"/>
      <c r="Q428" s="14"/>
      <c r="R428" s="15"/>
    </row>
    <row r="429" spans="1:18" ht="15" customHeight="1" x14ac:dyDescent="0.3">
      <c r="A429" s="18" t="s">
        <v>104</v>
      </c>
      <c r="B429" s="18" t="s">
        <v>188</v>
      </c>
      <c r="C429" s="19">
        <v>0.14583333333333329</v>
      </c>
      <c r="D429" s="18" t="s">
        <v>106</v>
      </c>
      <c r="E429" s="18" t="s">
        <v>36</v>
      </c>
      <c r="F429" s="18" t="s">
        <v>107</v>
      </c>
      <c r="G429" s="175"/>
      <c r="H429" s="11"/>
      <c r="I429" s="12"/>
      <c r="J429" s="12"/>
      <c r="K429" s="12"/>
      <c r="L429" s="12"/>
      <c r="M429" s="12"/>
      <c r="N429" s="12"/>
      <c r="O429" s="13"/>
      <c r="P429" s="12"/>
      <c r="Q429" s="14"/>
      <c r="R429" s="15"/>
    </row>
    <row r="430" spans="1:18" ht="15" customHeight="1" x14ac:dyDescent="0.3">
      <c r="A430" s="16" t="s">
        <v>104</v>
      </c>
      <c r="B430" s="16" t="s">
        <v>186</v>
      </c>
      <c r="C430" s="17">
        <v>0.22916666666666671</v>
      </c>
      <c r="D430" s="16" t="s">
        <v>106</v>
      </c>
      <c r="E430" s="16" t="s">
        <v>109</v>
      </c>
      <c r="F430" s="16" t="s">
        <v>107</v>
      </c>
      <c r="G430" s="175"/>
      <c r="H430" s="11"/>
      <c r="I430" s="12"/>
      <c r="J430" s="12"/>
      <c r="K430" s="12"/>
      <c r="L430" s="12"/>
      <c r="M430" s="12"/>
      <c r="N430" s="12"/>
      <c r="O430" s="13"/>
      <c r="P430" s="12"/>
      <c r="Q430" s="14"/>
      <c r="R430" s="15"/>
    </row>
    <row r="431" spans="1:18" ht="15" customHeight="1" x14ac:dyDescent="0.3">
      <c r="A431" s="16" t="s">
        <v>104</v>
      </c>
      <c r="B431" s="16" t="s">
        <v>184</v>
      </c>
      <c r="C431" s="17">
        <v>1.388888888888889E-2</v>
      </c>
      <c r="D431" s="16" t="s">
        <v>106</v>
      </c>
      <c r="E431" s="16" t="s">
        <v>109</v>
      </c>
      <c r="F431" s="16" t="s">
        <v>110</v>
      </c>
      <c r="G431" s="175"/>
      <c r="H431" s="11"/>
      <c r="I431" s="12"/>
      <c r="J431" s="12"/>
      <c r="K431" s="12"/>
      <c r="L431" s="12"/>
      <c r="M431" s="12"/>
      <c r="N431" s="12"/>
      <c r="O431" s="13"/>
      <c r="P431" s="12"/>
      <c r="Q431" s="14"/>
      <c r="R431" s="15"/>
    </row>
    <row r="432" spans="1:18" ht="15" customHeight="1" x14ac:dyDescent="0.3">
      <c r="A432" s="16" t="s">
        <v>104</v>
      </c>
      <c r="B432" s="16" t="s">
        <v>111</v>
      </c>
      <c r="C432" s="17">
        <v>0.55208333333333337</v>
      </c>
      <c r="D432" s="16" t="s">
        <v>106</v>
      </c>
      <c r="E432" s="16" t="s">
        <v>109</v>
      </c>
      <c r="F432" s="16" t="s">
        <v>110</v>
      </c>
      <c r="G432" s="175"/>
      <c r="H432" s="11"/>
      <c r="I432" s="12"/>
      <c r="J432" s="12"/>
      <c r="K432" s="12"/>
      <c r="L432" s="12"/>
      <c r="M432" s="12"/>
      <c r="N432" s="12"/>
      <c r="O432" s="13"/>
      <c r="P432" s="12"/>
      <c r="Q432" s="14"/>
      <c r="R432" s="15"/>
    </row>
    <row r="433" spans="1:18" ht="15" customHeight="1" x14ac:dyDescent="0.3">
      <c r="A433" s="16" t="s">
        <v>104</v>
      </c>
      <c r="B433" s="16" t="s">
        <v>108</v>
      </c>
      <c r="C433" s="17">
        <v>0.27777777777777779</v>
      </c>
      <c r="D433" s="16" t="s">
        <v>106</v>
      </c>
      <c r="E433" s="16" t="s">
        <v>109</v>
      </c>
      <c r="F433" s="16" t="s">
        <v>113</v>
      </c>
      <c r="G433" s="175"/>
      <c r="H433" s="11"/>
      <c r="I433" s="12"/>
      <c r="J433" s="12"/>
      <c r="K433" s="12"/>
      <c r="L433" s="12"/>
      <c r="M433" s="12"/>
      <c r="N433" s="12"/>
      <c r="O433" s="13"/>
      <c r="P433" s="12"/>
      <c r="Q433" s="14"/>
      <c r="R433" s="15"/>
    </row>
    <row r="434" spans="1:18" ht="15" customHeight="1" x14ac:dyDescent="0.3">
      <c r="A434" s="16" t="s">
        <v>104</v>
      </c>
      <c r="B434" s="16" t="s">
        <v>114</v>
      </c>
      <c r="C434" s="17">
        <v>0.77430555555555547</v>
      </c>
      <c r="D434" s="16" t="s">
        <v>106</v>
      </c>
      <c r="E434" s="16" t="s">
        <v>109</v>
      </c>
      <c r="F434" s="16" t="s">
        <v>276</v>
      </c>
      <c r="G434" s="175"/>
      <c r="H434" s="11"/>
      <c r="I434" s="12"/>
      <c r="J434" s="12"/>
      <c r="K434" s="12"/>
      <c r="L434" s="12"/>
      <c r="M434" s="12"/>
      <c r="N434" s="12"/>
      <c r="O434" s="13"/>
      <c r="P434" s="12"/>
      <c r="Q434" s="14"/>
      <c r="R434" s="15"/>
    </row>
    <row r="435" spans="1:18" ht="15" customHeight="1" thickBot="1" x14ac:dyDescent="0.35">
      <c r="A435" s="49" t="s">
        <v>104</v>
      </c>
      <c r="B435" s="49" t="s">
        <v>112</v>
      </c>
      <c r="C435" s="50">
        <v>0.95833333333333337</v>
      </c>
      <c r="D435" s="49" t="s">
        <v>106</v>
      </c>
      <c r="E435" s="49" t="s">
        <v>90</v>
      </c>
      <c r="F435" s="49" t="s">
        <v>189</v>
      </c>
      <c r="G435" s="176"/>
      <c r="H435" s="51"/>
      <c r="I435" s="52"/>
      <c r="J435" s="52"/>
      <c r="K435" s="52"/>
      <c r="L435" s="52"/>
      <c r="M435" s="52"/>
      <c r="N435" s="52"/>
      <c r="O435" s="53"/>
      <c r="P435" s="52"/>
      <c r="Q435" s="54"/>
      <c r="R435" s="55"/>
    </row>
    <row r="436" spans="1:18" ht="17.399999999999999" customHeight="1" thickBot="1" x14ac:dyDescent="0.35">
      <c r="A436" s="213"/>
      <c r="B436" s="214"/>
      <c r="C436" s="214"/>
      <c r="D436" s="214"/>
      <c r="E436" s="214"/>
      <c r="F436" s="214"/>
      <c r="G436" s="214"/>
      <c r="H436" s="214"/>
      <c r="I436" s="214"/>
      <c r="J436" s="214"/>
      <c r="K436" s="214"/>
      <c r="L436" s="214"/>
      <c r="M436" s="214"/>
      <c r="N436" s="214"/>
      <c r="O436" s="214"/>
      <c r="P436" s="214"/>
      <c r="Q436" s="214"/>
      <c r="R436" s="215"/>
    </row>
    <row r="437" spans="1:18" ht="22.05" customHeight="1" thickTop="1" thickBot="1" x14ac:dyDescent="0.55000000000000004">
      <c r="A437" s="189" t="s">
        <v>6</v>
      </c>
      <c r="B437" s="190"/>
      <c r="C437" s="190"/>
      <c r="D437" s="190"/>
      <c r="E437" s="190"/>
      <c r="F437" s="190"/>
      <c r="G437" s="56">
        <v>45986</v>
      </c>
      <c r="H437" s="172" t="s">
        <v>7</v>
      </c>
      <c r="I437" s="173"/>
      <c r="J437" s="173"/>
      <c r="K437" s="173"/>
      <c r="L437" s="173"/>
      <c r="M437" s="173"/>
      <c r="N437" s="173"/>
      <c r="O437" s="173"/>
      <c r="P437" s="173"/>
      <c r="Q437" s="173"/>
      <c r="R437" s="173"/>
    </row>
    <row r="438" spans="1:18" ht="24" customHeight="1" x14ac:dyDescent="0.3">
      <c r="A438" s="57" t="s">
        <v>8</v>
      </c>
      <c r="B438" s="57" t="s">
        <v>9</v>
      </c>
      <c r="C438" s="58" t="s">
        <v>10</v>
      </c>
      <c r="D438" s="57" t="s">
        <v>11</v>
      </c>
      <c r="E438" s="57" t="s">
        <v>12</v>
      </c>
      <c r="F438" s="59" t="s">
        <v>13</v>
      </c>
      <c r="G438" s="60" t="s">
        <v>14</v>
      </c>
      <c r="H438" s="57" t="s">
        <v>15</v>
      </c>
      <c r="I438" s="61" t="s">
        <v>16</v>
      </c>
      <c r="J438" s="62" t="s">
        <v>17</v>
      </c>
      <c r="K438" s="63" t="s">
        <v>18</v>
      </c>
      <c r="L438" s="62" t="s">
        <v>19</v>
      </c>
      <c r="M438" s="62" t="s">
        <v>20</v>
      </c>
      <c r="N438" s="62" t="s">
        <v>21</v>
      </c>
      <c r="O438" s="57" t="s">
        <v>22</v>
      </c>
      <c r="P438" s="58" t="s">
        <v>23</v>
      </c>
      <c r="Q438" s="62" t="s">
        <v>24</v>
      </c>
      <c r="R438" s="57" t="s">
        <v>25</v>
      </c>
    </row>
    <row r="439" spans="1:18" ht="15" customHeight="1" x14ac:dyDescent="0.3">
      <c r="A439" s="9" t="s">
        <v>41</v>
      </c>
      <c r="B439" s="9" t="s">
        <v>133</v>
      </c>
      <c r="C439" s="10">
        <v>0.12847222222222221</v>
      </c>
      <c r="D439" s="9" t="s">
        <v>43</v>
      </c>
      <c r="E439" s="9" t="s">
        <v>277</v>
      </c>
      <c r="F439" s="9" t="s">
        <v>278</v>
      </c>
      <c r="G439" s="174"/>
      <c r="H439" s="11"/>
      <c r="I439" s="12"/>
      <c r="J439" s="12"/>
      <c r="K439" s="12"/>
      <c r="L439" s="12"/>
      <c r="M439" s="12"/>
      <c r="N439" s="12"/>
      <c r="O439" s="13"/>
      <c r="P439" s="12"/>
      <c r="Q439" s="14"/>
      <c r="R439" s="15"/>
    </row>
    <row r="440" spans="1:18" ht="15" customHeight="1" x14ac:dyDescent="0.3">
      <c r="A440" s="20" t="s">
        <v>41</v>
      </c>
      <c r="B440" s="20" t="s">
        <v>133</v>
      </c>
      <c r="C440" s="21">
        <v>0.12847222222222221</v>
      </c>
      <c r="D440" s="20" t="s">
        <v>45</v>
      </c>
      <c r="E440" s="20" t="s">
        <v>136</v>
      </c>
      <c r="F440" s="20" t="s">
        <v>253</v>
      </c>
      <c r="G440" s="175"/>
      <c r="H440" s="11"/>
      <c r="I440" s="12"/>
      <c r="J440" s="12"/>
      <c r="K440" s="12"/>
      <c r="L440" s="12"/>
      <c r="M440" s="12"/>
      <c r="N440" s="12"/>
      <c r="O440" s="13"/>
      <c r="P440" s="12"/>
      <c r="Q440" s="14"/>
      <c r="R440" s="15"/>
    </row>
    <row r="441" spans="1:18" ht="15" customHeight="1" x14ac:dyDescent="0.3">
      <c r="A441" s="20" t="s">
        <v>41</v>
      </c>
      <c r="B441" s="20" t="s">
        <v>133</v>
      </c>
      <c r="C441" s="21">
        <v>0.12847222222222221</v>
      </c>
      <c r="D441" s="20" t="s">
        <v>48</v>
      </c>
      <c r="E441" s="20" t="s">
        <v>136</v>
      </c>
      <c r="F441" s="20" t="s">
        <v>49</v>
      </c>
      <c r="G441" s="175"/>
      <c r="H441" s="11"/>
      <c r="I441" s="12"/>
      <c r="J441" s="12"/>
      <c r="K441" s="12"/>
      <c r="L441" s="12"/>
      <c r="M441" s="12"/>
      <c r="N441" s="12"/>
      <c r="O441" s="13"/>
      <c r="P441" s="12"/>
      <c r="Q441" s="14"/>
      <c r="R441" s="15"/>
    </row>
    <row r="442" spans="1:18" ht="15" customHeight="1" x14ac:dyDescent="0.3">
      <c r="A442" s="16" t="s">
        <v>41</v>
      </c>
      <c r="B442" s="16" t="s">
        <v>50</v>
      </c>
      <c r="C442" s="17">
        <v>0.78819444444444453</v>
      </c>
      <c r="D442" s="16" t="s">
        <v>43</v>
      </c>
      <c r="E442" s="16" t="s">
        <v>90</v>
      </c>
      <c r="F442" s="16" t="s">
        <v>278</v>
      </c>
      <c r="G442" s="175"/>
      <c r="H442" s="11"/>
      <c r="I442" s="12"/>
      <c r="J442" s="12"/>
      <c r="K442" s="12"/>
      <c r="L442" s="12"/>
      <c r="M442" s="12"/>
      <c r="N442" s="12"/>
      <c r="O442" s="13"/>
      <c r="P442" s="12"/>
      <c r="Q442" s="14"/>
      <c r="R442" s="15"/>
    </row>
    <row r="443" spans="1:18" ht="15" customHeight="1" x14ac:dyDescent="0.3">
      <c r="A443" s="20" t="s">
        <v>41</v>
      </c>
      <c r="B443" s="20" t="s">
        <v>50</v>
      </c>
      <c r="C443" s="21">
        <v>0.78819444444444453</v>
      </c>
      <c r="D443" s="20" t="s">
        <v>45</v>
      </c>
      <c r="E443" s="20" t="s">
        <v>46</v>
      </c>
      <c r="F443" s="20" t="s">
        <v>253</v>
      </c>
      <c r="G443" s="175"/>
      <c r="H443" s="11"/>
      <c r="I443" s="12"/>
      <c r="J443" s="12"/>
      <c r="K443" s="12"/>
      <c r="L443" s="12"/>
      <c r="M443" s="12"/>
      <c r="N443" s="12"/>
      <c r="O443" s="13"/>
      <c r="P443" s="12"/>
      <c r="Q443" s="14"/>
      <c r="R443" s="15"/>
    </row>
    <row r="444" spans="1:18" ht="15" customHeight="1" x14ac:dyDescent="0.3">
      <c r="A444" s="20" t="s">
        <v>41</v>
      </c>
      <c r="B444" s="20" t="s">
        <v>50</v>
      </c>
      <c r="C444" s="21">
        <v>0.78819444444444453</v>
      </c>
      <c r="D444" s="20" t="s">
        <v>48</v>
      </c>
      <c r="E444" s="20" t="s">
        <v>46</v>
      </c>
      <c r="F444" s="20" t="s">
        <v>49</v>
      </c>
      <c r="G444" s="175"/>
      <c r="H444" s="11"/>
      <c r="I444" s="12"/>
      <c r="J444" s="12"/>
      <c r="K444" s="12"/>
      <c r="L444" s="12"/>
      <c r="M444" s="12"/>
      <c r="N444" s="12"/>
      <c r="O444" s="13"/>
      <c r="P444" s="12"/>
      <c r="Q444" s="14"/>
      <c r="R444" s="15"/>
    </row>
    <row r="445" spans="1:18" ht="15" customHeight="1" x14ac:dyDescent="0.3">
      <c r="A445" s="16" t="s">
        <v>41</v>
      </c>
      <c r="B445" s="16" t="s">
        <v>56</v>
      </c>
      <c r="C445" s="17">
        <v>0.88888888888888884</v>
      </c>
      <c r="D445" s="16" t="s">
        <v>43</v>
      </c>
      <c r="E445" s="16" t="s">
        <v>57</v>
      </c>
      <c r="F445" s="16" t="s">
        <v>278</v>
      </c>
      <c r="G445" s="175"/>
      <c r="H445" s="11"/>
      <c r="I445" s="12"/>
      <c r="J445" s="12"/>
      <c r="K445" s="12"/>
      <c r="L445" s="12"/>
      <c r="M445" s="12"/>
      <c r="N445" s="12"/>
      <c r="O445" s="13"/>
      <c r="P445" s="12"/>
      <c r="Q445" s="14"/>
      <c r="R445" s="15"/>
    </row>
    <row r="446" spans="1:18" ht="15" customHeight="1" x14ac:dyDescent="0.3">
      <c r="A446" s="20" t="s">
        <v>41</v>
      </c>
      <c r="B446" s="20" t="s">
        <v>56</v>
      </c>
      <c r="C446" s="21">
        <v>0.88888888888888884</v>
      </c>
      <c r="D446" s="20" t="s">
        <v>45</v>
      </c>
      <c r="E446" s="20" t="s">
        <v>59</v>
      </c>
      <c r="F446" s="20" t="s">
        <v>253</v>
      </c>
      <c r="G446" s="175"/>
      <c r="H446" s="11"/>
      <c r="I446" s="12"/>
      <c r="J446" s="12"/>
      <c r="K446" s="12"/>
      <c r="L446" s="12"/>
      <c r="M446" s="12"/>
      <c r="N446" s="12"/>
      <c r="O446" s="13"/>
      <c r="P446" s="12"/>
      <c r="Q446" s="14"/>
      <c r="R446" s="15"/>
    </row>
    <row r="447" spans="1:18" ht="15" customHeight="1" x14ac:dyDescent="0.3">
      <c r="A447" s="20" t="s">
        <v>41</v>
      </c>
      <c r="B447" s="20" t="s">
        <v>56</v>
      </c>
      <c r="C447" s="21">
        <v>0.88888888888888884</v>
      </c>
      <c r="D447" s="20" t="s">
        <v>48</v>
      </c>
      <c r="E447" s="20" t="s">
        <v>59</v>
      </c>
      <c r="F447" s="20" t="s">
        <v>49</v>
      </c>
      <c r="G447" s="175"/>
      <c r="H447" s="11"/>
      <c r="I447" s="12"/>
      <c r="J447" s="12"/>
      <c r="K447" s="12"/>
      <c r="L447" s="12"/>
      <c r="M447" s="12"/>
      <c r="N447" s="12"/>
      <c r="O447" s="13"/>
      <c r="P447" s="12"/>
      <c r="Q447" s="14"/>
      <c r="R447" s="15"/>
    </row>
    <row r="448" spans="1:18" ht="15" customHeight="1" x14ac:dyDescent="0.3">
      <c r="A448" s="16" t="s">
        <v>41</v>
      </c>
      <c r="B448" s="16" t="s">
        <v>42</v>
      </c>
      <c r="C448" s="17">
        <v>0.30208333333333331</v>
      </c>
      <c r="D448" s="16" t="s">
        <v>43</v>
      </c>
      <c r="E448" s="16" t="s">
        <v>51</v>
      </c>
      <c r="F448" s="16" t="s">
        <v>226</v>
      </c>
      <c r="G448" s="175"/>
      <c r="H448" s="11"/>
      <c r="I448" s="12"/>
      <c r="J448" s="12"/>
      <c r="K448" s="12"/>
      <c r="L448" s="12"/>
      <c r="M448" s="12"/>
      <c r="N448" s="12"/>
      <c r="O448" s="13"/>
      <c r="P448" s="12"/>
      <c r="Q448" s="14"/>
      <c r="R448" s="15"/>
    </row>
    <row r="449" spans="1:18" ht="15" customHeight="1" x14ac:dyDescent="0.3">
      <c r="A449" s="20" t="s">
        <v>41</v>
      </c>
      <c r="B449" s="20" t="s">
        <v>42</v>
      </c>
      <c r="C449" s="21">
        <v>0.30208333333333331</v>
      </c>
      <c r="D449" s="20" t="s">
        <v>45</v>
      </c>
      <c r="E449" s="20" t="s">
        <v>53</v>
      </c>
      <c r="F449" s="20" t="s">
        <v>52</v>
      </c>
      <c r="G449" s="175"/>
      <c r="H449" s="11"/>
      <c r="I449" s="12"/>
      <c r="J449" s="12"/>
      <c r="K449" s="12"/>
      <c r="L449" s="12"/>
      <c r="M449" s="12"/>
      <c r="N449" s="12"/>
      <c r="O449" s="13"/>
      <c r="P449" s="12"/>
      <c r="Q449" s="14"/>
      <c r="R449" s="15"/>
    </row>
    <row r="450" spans="1:18" ht="15" customHeight="1" x14ac:dyDescent="0.3">
      <c r="A450" s="20" t="s">
        <v>41</v>
      </c>
      <c r="B450" s="20" t="s">
        <v>42</v>
      </c>
      <c r="C450" s="21">
        <v>0.30208333333333331</v>
      </c>
      <c r="D450" s="20" t="s">
        <v>48</v>
      </c>
      <c r="E450" s="20" t="s">
        <v>53</v>
      </c>
      <c r="F450" s="20" t="s">
        <v>49</v>
      </c>
      <c r="G450" s="175"/>
      <c r="H450" s="11"/>
      <c r="I450" s="12"/>
      <c r="J450" s="12"/>
      <c r="K450" s="12"/>
      <c r="L450" s="12"/>
      <c r="M450" s="12"/>
      <c r="N450" s="12"/>
      <c r="O450" s="13"/>
      <c r="P450" s="12"/>
      <c r="Q450" s="14"/>
      <c r="R450" s="15"/>
    </row>
    <row r="451" spans="1:18" ht="15" customHeight="1" x14ac:dyDescent="0.3">
      <c r="A451" s="18" t="s">
        <v>61</v>
      </c>
      <c r="B451" s="18" t="s">
        <v>137</v>
      </c>
      <c r="C451" s="19">
        <v>0.25694444444444448</v>
      </c>
      <c r="D451" s="18" t="s">
        <v>63</v>
      </c>
      <c r="E451" s="18" t="s">
        <v>134</v>
      </c>
      <c r="F451" s="18" t="s">
        <v>279</v>
      </c>
      <c r="G451" s="175"/>
      <c r="H451" s="11"/>
      <c r="I451" s="12"/>
      <c r="J451" s="12"/>
      <c r="K451" s="12"/>
      <c r="L451" s="12"/>
      <c r="M451" s="12"/>
      <c r="N451" s="12"/>
      <c r="O451" s="13"/>
      <c r="P451" s="12"/>
      <c r="Q451" s="14"/>
      <c r="R451" s="15"/>
    </row>
    <row r="452" spans="1:18" ht="15" customHeight="1" x14ac:dyDescent="0.3">
      <c r="A452" s="20" t="s">
        <v>61</v>
      </c>
      <c r="B452" s="20" t="s">
        <v>137</v>
      </c>
      <c r="C452" s="21">
        <v>0.25694444444444448</v>
      </c>
      <c r="D452" s="20" t="s">
        <v>65</v>
      </c>
      <c r="E452" s="20" t="s">
        <v>71</v>
      </c>
      <c r="F452" s="20" t="s">
        <v>280</v>
      </c>
      <c r="G452" s="175"/>
      <c r="H452" s="11"/>
      <c r="I452" s="12"/>
      <c r="J452" s="12"/>
      <c r="K452" s="12"/>
      <c r="L452" s="12"/>
      <c r="M452" s="12"/>
      <c r="N452" s="12"/>
      <c r="O452" s="13"/>
      <c r="P452" s="12"/>
      <c r="Q452" s="14"/>
      <c r="R452" s="15"/>
    </row>
    <row r="453" spans="1:18" ht="15" customHeight="1" x14ac:dyDescent="0.3">
      <c r="A453" s="20" t="s">
        <v>61</v>
      </c>
      <c r="B453" s="20" t="s">
        <v>137</v>
      </c>
      <c r="C453" s="21">
        <v>0.25694444444444448</v>
      </c>
      <c r="D453" s="20" t="s">
        <v>67</v>
      </c>
      <c r="E453" s="20" t="s">
        <v>71</v>
      </c>
      <c r="F453" s="20" t="s">
        <v>44</v>
      </c>
      <c r="G453" s="175"/>
      <c r="H453" s="11"/>
      <c r="I453" s="12"/>
      <c r="J453" s="12"/>
      <c r="K453" s="12"/>
      <c r="L453" s="12"/>
      <c r="M453" s="12"/>
      <c r="N453" s="12"/>
      <c r="O453" s="13"/>
      <c r="P453" s="12"/>
      <c r="Q453" s="14"/>
      <c r="R453" s="15"/>
    </row>
    <row r="454" spans="1:18" ht="15" customHeight="1" x14ac:dyDescent="0.3">
      <c r="A454" s="16" t="s">
        <v>61</v>
      </c>
      <c r="B454" s="16" t="s">
        <v>74</v>
      </c>
      <c r="C454" s="17">
        <v>0.90277777777777779</v>
      </c>
      <c r="D454" s="16" t="s">
        <v>63</v>
      </c>
      <c r="E454" s="16" t="s">
        <v>39</v>
      </c>
      <c r="F454" s="16" t="s">
        <v>279</v>
      </c>
      <c r="G454" s="175"/>
      <c r="H454" s="11"/>
      <c r="I454" s="12"/>
      <c r="J454" s="12"/>
      <c r="K454" s="12"/>
      <c r="L454" s="12"/>
      <c r="M454" s="12"/>
      <c r="N454" s="12"/>
      <c r="O454" s="13"/>
      <c r="P454" s="12"/>
      <c r="Q454" s="14"/>
      <c r="R454" s="15"/>
    </row>
    <row r="455" spans="1:18" ht="15" customHeight="1" x14ac:dyDescent="0.3">
      <c r="A455" s="20" t="s">
        <v>61</v>
      </c>
      <c r="B455" s="20" t="s">
        <v>74</v>
      </c>
      <c r="C455" s="21">
        <v>0.90277777777777779</v>
      </c>
      <c r="D455" s="20" t="s">
        <v>65</v>
      </c>
      <c r="E455" s="20" t="s">
        <v>80</v>
      </c>
      <c r="F455" s="20" t="s">
        <v>280</v>
      </c>
      <c r="G455" s="175"/>
      <c r="H455" s="11"/>
      <c r="I455" s="12"/>
      <c r="J455" s="12"/>
      <c r="K455" s="12"/>
      <c r="L455" s="12"/>
      <c r="M455" s="12"/>
      <c r="N455" s="12"/>
      <c r="O455" s="13"/>
      <c r="P455" s="12"/>
      <c r="Q455" s="14"/>
      <c r="R455" s="15"/>
    </row>
    <row r="456" spans="1:18" ht="15" customHeight="1" x14ac:dyDescent="0.3">
      <c r="A456" s="20" t="s">
        <v>61</v>
      </c>
      <c r="B456" s="20" t="s">
        <v>74</v>
      </c>
      <c r="C456" s="21">
        <v>0.90277777777777779</v>
      </c>
      <c r="D456" s="20" t="s">
        <v>67</v>
      </c>
      <c r="E456" s="20" t="s">
        <v>80</v>
      </c>
      <c r="F456" s="20" t="s">
        <v>44</v>
      </c>
      <c r="G456" s="175"/>
      <c r="H456" s="11"/>
      <c r="I456" s="12"/>
      <c r="J456" s="12"/>
      <c r="K456" s="12"/>
      <c r="L456" s="12"/>
      <c r="M456" s="12"/>
      <c r="N456" s="12"/>
      <c r="O456" s="13"/>
      <c r="P456" s="12"/>
      <c r="Q456" s="14"/>
      <c r="R456" s="15"/>
    </row>
    <row r="457" spans="1:18" ht="15" customHeight="1" x14ac:dyDescent="0.3">
      <c r="A457" s="16" t="s">
        <v>61</v>
      </c>
      <c r="B457" s="16" t="s">
        <v>78</v>
      </c>
      <c r="C457" s="17">
        <v>0.64583333333333337</v>
      </c>
      <c r="D457" s="16" t="s">
        <v>63</v>
      </c>
      <c r="E457" s="16" t="s">
        <v>57</v>
      </c>
      <c r="F457" s="16" t="s">
        <v>279</v>
      </c>
      <c r="G457" s="175"/>
      <c r="H457" s="11"/>
      <c r="I457" s="12"/>
      <c r="J457" s="12"/>
      <c r="K457" s="12"/>
      <c r="L457" s="12"/>
      <c r="M457" s="12"/>
      <c r="N457" s="12"/>
      <c r="O457" s="13"/>
      <c r="P457" s="12"/>
      <c r="Q457" s="14"/>
      <c r="R457" s="15"/>
    </row>
    <row r="458" spans="1:18" ht="15" customHeight="1" x14ac:dyDescent="0.3">
      <c r="A458" s="20" t="s">
        <v>61</v>
      </c>
      <c r="B458" s="20" t="s">
        <v>78</v>
      </c>
      <c r="C458" s="21">
        <v>0.64583333333333337</v>
      </c>
      <c r="D458" s="20" t="s">
        <v>65</v>
      </c>
      <c r="E458" s="20" t="s">
        <v>59</v>
      </c>
      <c r="F458" s="20" t="s">
        <v>280</v>
      </c>
      <c r="G458" s="175"/>
      <c r="H458" s="11"/>
      <c r="I458" s="12"/>
      <c r="J458" s="12"/>
      <c r="K458" s="12"/>
      <c r="L458" s="12"/>
      <c r="M458" s="12"/>
      <c r="N458" s="12"/>
      <c r="O458" s="13"/>
      <c r="P458" s="12"/>
      <c r="Q458" s="14"/>
      <c r="R458" s="15"/>
    </row>
    <row r="459" spans="1:18" ht="15" customHeight="1" x14ac:dyDescent="0.3">
      <c r="A459" s="20" t="s">
        <v>61</v>
      </c>
      <c r="B459" s="20" t="s">
        <v>78</v>
      </c>
      <c r="C459" s="21">
        <v>0.64583333333333337</v>
      </c>
      <c r="D459" s="20" t="s">
        <v>67</v>
      </c>
      <c r="E459" s="20" t="s">
        <v>59</v>
      </c>
      <c r="F459" s="20" t="s">
        <v>44</v>
      </c>
      <c r="G459" s="175"/>
      <c r="H459" s="11"/>
      <c r="I459" s="12"/>
      <c r="J459" s="12"/>
      <c r="K459" s="12"/>
      <c r="L459" s="12"/>
      <c r="M459" s="12"/>
      <c r="N459" s="12"/>
      <c r="O459" s="13"/>
      <c r="P459" s="12"/>
      <c r="Q459" s="14"/>
      <c r="R459" s="15"/>
    </row>
    <row r="460" spans="1:18" ht="15" customHeight="1" x14ac:dyDescent="0.3">
      <c r="A460" s="16" t="s">
        <v>61</v>
      </c>
      <c r="B460" s="16" t="s">
        <v>62</v>
      </c>
      <c r="C460" s="17">
        <v>0.51736111111111105</v>
      </c>
      <c r="D460" s="16" t="s">
        <v>63</v>
      </c>
      <c r="E460" s="16" t="s">
        <v>57</v>
      </c>
      <c r="F460" s="16" t="s">
        <v>279</v>
      </c>
      <c r="G460" s="175"/>
      <c r="H460" s="11"/>
      <c r="I460" s="12"/>
      <c r="J460" s="12"/>
      <c r="K460" s="12"/>
      <c r="L460" s="12"/>
      <c r="M460" s="12"/>
      <c r="N460" s="12"/>
      <c r="O460" s="13"/>
      <c r="P460" s="12"/>
      <c r="Q460" s="14"/>
      <c r="R460" s="15"/>
    </row>
    <row r="461" spans="1:18" ht="15" customHeight="1" x14ac:dyDescent="0.3">
      <c r="A461" s="20" t="s">
        <v>61</v>
      </c>
      <c r="B461" s="20" t="s">
        <v>62</v>
      </c>
      <c r="C461" s="21">
        <v>0.51736111111111105</v>
      </c>
      <c r="D461" s="20" t="s">
        <v>65</v>
      </c>
      <c r="E461" s="20" t="s">
        <v>59</v>
      </c>
      <c r="F461" s="20" t="s">
        <v>280</v>
      </c>
      <c r="G461" s="175"/>
      <c r="H461" s="11"/>
      <c r="I461" s="12"/>
      <c r="J461" s="12"/>
      <c r="K461" s="12"/>
      <c r="L461" s="12"/>
      <c r="M461" s="12"/>
      <c r="N461" s="12"/>
      <c r="O461" s="13"/>
      <c r="P461" s="12"/>
      <c r="Q461" s="14"/>
      <c r="R461" s="15"/>
    </row>
    <row r="462" spans="1:18" ht="15" customHeight="1" x14ac:dyDescent="0.3">
      <c r="A462" s="20" t="s">
        <v>61</v>
      </c>
      <c r="B462" s="20" t="s">
        <v>62</v>
      </c>
      <c r="C462" s="21">
        <v>0.51736111111111105</v>
      </c>
      <c r="D462" s="20" t="s">
        <v>67</v>
      </c>
      <c r="E462" s="20" t="s">
        <v>59</v>
      </c>
      <c r="F462" s="20" t="s">
        <v>44</v>
      </c>
      <c r="G462" s="175"/>
      <c r="H462" s="11"/>
      <c r="I462" s="12"/>
      <c r="J462" s="12"/>
      <c r="K462" s="12"/>
      <c r="L462" s="12"/>
      <c r="M462" s="12"/>
      <c r="N462" s="12"/>
      <c r="O462" s="13"/>
      <c r="P462" s="12"/>
      <c r="Q462" s="14"/>
      <c r="R462" s="15"/>
    </row>
    <row r="463" spans="1:18" ht="15" customHeight="1" x14ac:dyDescent="0.3">
      <c r="A463" s="16" t="s">
        <v>61</v>
      </c>
      <c r="B463" s="16" t="s">
        <v>69</v>
      </c>
      <c r="C463" s="17">
        <v>0.85416666666666663</v>
      </c>
      <c r="D463" s="16" t="s">
        <v>63</v>
      </c>
      <c r="E463" s="16" t="s">
        <v>57</v>
      </c>
      <c r="F463" s="16" t="s">
        <v>279</v>
      </c>
      <c r="G463" s="175"/>
      <c r="H463" s="11"/>
      <c r="I463" s="12"/>
      <c r="J463" s="12"/>
      <c r="K463" s="12"/>
      <c r="L463" s="12"/>
      <c r="M463" s="12"/>
      <c r="N463" s="12"/>
      <c r="O463" s="13"/>
      <c r="P463" s="12"/>
      <c r="Q463" s="14"/>
      <c r="R463" s="15"/>
    </row>
    <row r="464" spans="1:18" ht="15" customHeight="1" x14ac:dyDescent="0.3">
      <c r="A464" s="20" t="s">
        <v>61</v>
      </c>
      <c r="B464" s="20" t="s">
        <v>69</v>
      </c>
      <c r="C464" s="21">
        <v>0.85416666666666663</v>
      </c>
      <c r="D464" s="20" t="s">
        <v>65</v>
      </c>
      <c r="E464" s="20" t="s">
        <v>59</v>
      </c>
      <c r="F464" s="20" t="s">
        <v>280</v>
      </c>
      <c r="G464" s="175"/>
      <c r="H464" s="11"/>
      <c r="I464" s="12"/>
      <c r="J464" s="12"/>
      <c r="K464" s="12"/>
      <c r="L464" s="12"/>
      <c r="M464" s="12"/>
      <c r="N464" s="12"/>
      <c r="O464" s="13"/>
      <c r="P464" s="12"/>
      <c r="Q464" s="14"/>
      <c r="R464" s="15"/>
    </row>
    <row r="465" spans="1:18" ht="15" customHeight="1" x14ac:dyDescent="0.3">
      <c r="A465" s="20" t="s">
        <v>61</v>
      </c>
      <c r="B465" s="20" t="s">
        <v>69</v>
      </c>
      <c r="C465" s="21">
        <v>0.85416666666666663</v>
      </c>
      <c r="D465" s="20" t="s">
        <v>67</v>
      </c>
      <c r="E465" s="20" t="s">
        <v>59</v>
      </c>
      <c r="F465" s="20" t="s">
        <v>44</v>
      </c>
      <c r="G465" s="175"/>
      <c r="H465" s="11"/>
      <c r="I465" s="12"/>
      <c r="J465" s="12"/>
      <c r="K465" s="12"/>
      <c r="L465" s="12"/>
      <c r="M465" s="12"/>
      <c r="N465" s="12"/>
      <c r="O465" s="13"/>
      <c r="P465" s="12"/>
      <c r="Q465" s="14"/>
      <c r="R465" s="15"/>
    </row>
    <row r="466" spans="1:18" ht="15" customHeight="1" x14ac:dyDescent="0.3">
      <c r="A466" s="16" t="s">
        <v>61</v>
      </c>
      <c r="B466" s="16" t="s">
        <v>79</v>
      </c>
      <c r="C466" s="17">
        <v>0.30208333333333331</v>
      </c>
      <c r="D466" s="16" t="s">
        <v>63</v>
      </c>
      <c r="E466" s="16" t="s">
        <v>32</v>
      </c>
      <c r="F466" s="16" t="s">
        <v>279</v>
      </c>
      <c r="G466" s="175"/>
      <c r="H466" s="11"/>
      <c r="I466" s="12"/>
      <c r="J466" s="12"/>
      <c r="K466" s="12"/>
      <c r="L466" s="12"/>
      <c r="M466" s="12"/>
      <c r="N466" s="12"/>
      <c r="O466" s="13"/>
      <c r="P466" s="12"/>
      <c r="Q466" s="14"/>
      <c r="R466" s="15"/>
    </row>
    <row r="467" spans="1:18" ht="15" customHeight="1" x14ac:dyDescent="0.3">
      <c r="A467" s="20" t="s">
        <v>61</v>
      </c>
      <c r="B467" s="20" t="s">
        <v>79</v>
      </c>
      <c r="C467" s="21">
        <v>0.30208333333333331</v>
      </c>
      <c r="D467" s="20" t="s">
        <v>65</v>
      </c>
      <c r="E467" s="20" t="s">
        <v>191</v>
      </c>
      <c r="F467" s="20" t="s">
        <v>280</v>
      </c>
      <c r="G467" s="175"/>
      <c r="H467" s="11"/>
      <c r="I467" s="12"/>
      <c r="J467" s="12"/>
      <c r="K467" s="12"/>
      <c r="L467" s="12"/>
      <c r="M467" s="12"/>
      <c r="N467" s="12"/>
      <c r="O467" s="13"/>
      <c r="P467" s="12"/>
      <c r="Q467" s="14"/>
      <c r="R467" s="15"/>
    </row>
    <row r="468" spans="1:18" ht="15" customHeight="1" x14ac:dyDescent="0.3">
      <c r="A468" s="20" t="s">
        <v>61</v>
      </c>
      <c r="B468" s="20" t="s">
        <v>79</v>
      </c>
      <c r="C468" s="21">
        <v>0.30208333333333331</v>
      </c>
      <c r="D468" s="20" t="s">
        <v>67</v>
      </c>
      <c r="E468" s="20" t="s">
        <v>191</v>
      </c>
      <c r="F468" s="20" t="s">
        <v>44</v>
      </c>
      <c r="G468" s="175"/>
      <c r="H468" s="11"/>
      <c r="I468" s="12"/>
      <c r="J468" s="12"/>
      <c r="K468" s="12"/>
      <c r="L468" s="12"/>
      <c r="M468" s="12"/>
      <c r="N468" s="12"/>
      <c r="O468" s="13"/>
      <c r="P468" s="12"/>
      <c r="Q468" s="14"/>
      <c r="R468" s="15"/>
    </row>
    <row r="469" spans="1:18" ht="15" customHeight="1" x14ac:dyDescent="0.3">
      <c r="A469" s="16" t="s">
        <v>61</v>
      </c>
      <c r="B469" s="16" t="s">
        <v>73</v>
      </c>
      <c r="C469" s="17">
        <v>0.79861111111111116</v>
      </c>
      <c r="D469" s="16" t="s">
        <v>63</v>
      </c>
      <c r="E469" s="16" t="s">
        <v>51</v>
      </c>
      <c r="F469" s="16" t="s">
        <v>279</v>
      </c>
      <c r="G469" s="175"/>
      <c r="H469" s="11"/>
      <c r="I469" s="12"/>
      <c r="J469" s="12"/>
      <c r="K469" s="12"/>
      <c r="L469" s="12"/>
      <c r="M469" s="12"/>
      <c r="N469" s="12"/>
      <c r="O469" s="13"/>
      <c r="P469" s="12"/>
      <c r="Q469" s="14"/>
      <c r="R469" s="15"/>
    </row>
    <row r="470" spans="1:18" ht="15" customHeight="1" x14ac:dyDescent="0.3">
      <c r="A470" s="20" t="s">
        <v>61</v>
      </c>
      <c r="B470" s="20" t="s">
        <v>73</v>
      </c>
      <c r="C470" s="21">
        <v>0.79861111111111116</v>
      </c>
      <c r="D470" s="20" t="s">
        <v>65</v>
      </c>
      <c r="E470" s="20" t="s">
        <v>53</v>
      </c>
      <c r="F470" s="20" t="s">
        <v>280</v>
      </c>
      <c r="G470" s="175"/>
      <c r="H470" s="11"/>
      <c r="I470" s="12"/>
      <c r="J470" s="12"/>
      <c r="K470" s="12"/>
      <c r="L470" s="12"/>
      <c r="M470" s="12"/>
      <c r="N470" s="12"/>
      <c r="O470" s="13"/>
      <c r="P470" s="12"/>
      <c r="Q470" s="14"/>
      <c r="R470" s="15"/>
    </row>
    <row r="471" spans="1:18" ht="15" customHeight="1" x14ac:dyDescent="0.3">
      <c r="A471" s="20" t="s">
        <v>61</v>
      </c>
      <c r="B471" s="20" t="s">
        <v>73</v>
      </c>
      <c r="C471" s="21">
        <v>0.79861111111111116</v>
      </c>
      <c r="D471" s="20" t="s">
        <v>67</v>
      </c>
      <c r="E471" s="20" t="s">
        <v>53</v>
      </c>
      <c r="F471" s="20" t="s">
        <v>44</v>
      </c>
      <c r="G471" s="175"/>
      <c r="H471" s="11"/>
      <c r="I471" s="12"/>
      <c r="J471" s="12"/>
      <c r="K471" s="12"/>
      <c r="L471" s="12"/>
      <c r="M471" s="12"/>
      <c r="N471" s="12"/>
      <c r="O471" s="13"/>
      <c r="P471" s="12"/>
      <c r="Q471" s="14"/>
      <c r="R471" s="15"/>
    </row>
    <row r="472" spans="1:18" ht="15" customHeight="1" x14ac:dyDescent="0.3">
      <c r="A472" s="16" t="s">
        <v>61</v>
      </c>
      <c r="B472" s="16" t="s">
        <v>72</v>
      </c>
      <c r="C472" s="17">
        <v>0.39583333333333331</v>
      </c>
      <c r="D472" s="16" t="s">
        <v>63</v>
      </c>
      <c r="E472" s="16" t="s">
        <v>32</v>
      </c>
      <c r="F472" s="16" t="s">
        <v>281</v>
      </c>
      <c r="G472" s="175"/>
      <c r="H472" s="11"/>
      <c r="I472" s="12"/>
      <c r="J472" s="12"/>
      <c r="K472" s="12"/>
      <c r="L472" s="12"/>
      <c r="M472" s="12"/>
      <c r="N472" s="12"/>
      <c r="O472" s="13"/>
      <c r="P472" s="12"/>
      <c r="Q472" s="14"/>
      <c r="R472" s="15"/>
    </row>
    <row r="473" spans="1:18" ht="15" customHeight="1" x14ac:dyDescent="0.3">
      <c r="A473" s="20" t="s">
        <v>61</v>
      </c>
      <c r="B473" s="20" t="s">
        <v>72</v>
      </c>
      <c r="C473" s="21">
        <v>0.39583333333333331</v>
      </c>
      <c r="D473" s="20" t="s">
        <v>65</v>
      </c>
      <c r="E473" s="20" t="s">
        <v>191</v>
      </c>
      <c r="F473" s="20" t="s">
        <v>282</v>
      </c>
      <c r="G473" s="175"/>
      <c r="H473" s="11"/>
      <c r="I473" s="12"/>
      <c r="J473" s="12"/>
      <c r="K473" s="12"/>
      <c r="L473" s="12"/>
      <c r="M473" s="12"/>
      <c r="N473" s="12"/>
      <c r="O473" s="13"/>
      <c r="P473" s="12"/>
      <c r="Q473" s="14"/>
      <c r="R473" s="15"/>
    </row>
    <row r="474" spans="1:18" ht="15" customHeight="1" x14ac:dyDescent="0.3">
      <c r="A474" s="20" t="s">
        <v>61</v>
      </c>
      <c r="B474" s="20" t="s">
        <v>72</v>
      </c>
      <c r="C474" s="21">
        <v>0.39583333333333331</v>
      </c>
      <c r="D474" s="20" t="s">
        <v>67</v>
      </c>
      <c r="E474" s="20" t="s">
        <v>191</v>
      </c>
      <c r="F474" s="20" t="s">
        <v>75</v>
      </c>
      <c r="G474" s="175"/>
      <c r="H474" s="11"/>
      <c r="I474" s="12"/>
      <c r="J474" s="12"/>
      <c r="K474" s="12"/>
      <c r="L474" s="12"/>
      <c r="M474" s="12"/>
      <c r="N474" s="12"/>
      <c r="O474" s="13"/>
      <c r="P474" s="12"/>
      <c r="Q474" s="14"/>
      <c r="R474" s="15"/>
    </row>
    <row r="475" spans="1:18" ht="15" customHeight="1" x14ac:dyDescent="0.3">
      <c r="A475" s="128" t="s">
        <v>81</v>
      </c>
      <c r="B475" s="128" t="s">
        <v>82</v>
      </c>
      <c r="C475" s="129">
        <v>0.72916666666666663</v>
      </c>
      <c r="D475" s="128" t="s">
        <v>83</v>
      </c>
      <c r="E475" s="128" t="s">
        <v>103</v>
      </c>
      <c r="F475" s="128" t="s">
        <v>257</v>
      </c>
      <c r="G475" s="175"/>
      <c r="H475" s="42" t="s">
        <v>86</v>
      </c>
      <c r="I475" s="43">
        <v>0.89939999999999998</v>
      </c>
      <c r="J475" s="44">
        <v>161</v>
      </c>
      <c r="K475" s="45">
        <v>45979</v>
      </c>
      <c r="L475" s="44">
        <v>23</v>
      </c>
      <c r="M475" s="44">
        <v>0</v>
      </c>
      <c r="N475" s="44">
        <v>4</v>
      </c>
      <c r="O475" s="46" t="s">
        <v>283</v>
      </c>
      <c r="P475" s="47">
        <v>0.72916666666666663</v>
      </c>
      <c r="Q475" s="44">
        <v>179</v>
      </c>
      <c r="R475" s="48" t="s">
        <v>284</v>
      </c>
    </row>
    <row r="476" spans="1:18" ht="15" customHeight="1" x14ac:dyDescent="0.3">
      <c r="A476" s="123" t="s">
        <v>81</v>
      </c>
      <c r="B476" s="123" t="s">
        <v>159</v>
      </c>
      <c r="C476" s="124">
        <v>0.22916666666666671</v>
      </c>
      <c r="D476" s="123" t="s">
        <v>83</v>
      </c>
      <c r="E476" s="123" t="s">
        <v>70</v>
      </c>
      <c r="F476" s="123" t="s">
        <v>257</v>
      </c>
      <c r="G476" s="175"/>
      <c r="H476" s="102" t="s">
        <v>160</v>
      </c>
      <c r="I476" s="130">
        <v>0.30170000000000002</v>
      </c>
      <c r="J476" s="104">
        <v>54</v>
      </c>
      <c r="K476" s="105">
        <v>45979</v>
      </c>
      <c r="L476" s="104">
        <v>37</v>
      </c>
      <c r="M476" s="104">
        <v>0</v>
      </c>
      <c r="N476" s="104">
        <v>5</v>
      </c>
      <c r="O476" s="106" t="s">
        <v>258</v>
      </c>
      <c r="P476" s="107">
        <v>0.22916666666666671</v>
      </c>
      <c r="Q476" s="104">
        <v>179</v>
      </c>
      <c r="R476" s="108" t="s">
        <v>285</v>
      </c>
    </row>
    <row r="477" spans="1:18" ht="15" customHeight="1" x14ac:dyDescent="0.3">
      <c r="A477" s="84" t="s">
        <v>81</v>
      </c>
      <c r="B477" s="84" t="s">
        <v>89</v>
      </c>
      <c r="C477" s="85">
        <v>0.96875</v>
      </c>
      <c r="D477" s="84" t="s">
        <v>83</v>
      </c>
      <c r="E477" s="84" t="s">
        <v>51</v>
      </c>
      <c r="F477" s="84" t="s">
        <v>257</v>
      </c>
      <c r="G477" s="175"/>
      <c r="H477" s="86" t="s">
        <v>91</v>
      </c>
      <c r="I477" s="97">
        <v>0.51959999999999995</v>
      </c>
      <c r="J477" s="88">
        <v>93</v>
      </c>
      <c r="K477" s="89">
        <v>45979</v>
      </c>
      <c r="L477" s="88">
        <v>30</v>
      </c>
      <c r="M477" s="88">
        <v>0</v>
      </c>
      <c r="N477" s="88">
        <v>3</v>
      </c>
      <c r="O477" s="90" t="s">
        <v>286</v>
      </c>
      <c r="P477" s="91">
        <v>0.96875</v>
      </c>
      <c r="Q477" s="88">
        <v>179</v>
      </c>
      <c r="R477" s="92" t="s">
        <v>287</v>
      </c>
    </row>
    <row r="478" spans="1:18" ht="15" customHeight="1" x14ac:dyDescent="0.3">
      <c r="A478" s="65" t="s">
        <v>81</v>
      </c>
      <c r="B478" s="65" t="s">
        <v>146</v>
      </c>
      <c r="C478" s="66">
        <v>0.93402777777777779</v>
      </c>
      <c r="D478" s="65" t="s">
        <v>83</v>
      </c>
      <c r="E478" s="65" t="s">
        <v>138</v>
      </c>
      <c r="F478" s="65" t="s">
        <v>260</v>
      </c>
      <c r="G478" s="175"/>
      <c r="H478" s="67" t="s">
        <v>148</v>
      </c>
      <c r="I478" s="68">
        <v>0.6704</v>
      </c>
      <c r="J478" s="69">
        <v>120</v>
      </c>
      <c r="K478" s="70">
        <v>45979</v>
      </c>
      <c r="L478" s="69">
        <v>25</v>
      </c>
      <c r="M478" s="69">
        <v>0</v>
      </c>
      <c r="N478" s="69">
        <v>2</v>
      </c>
      <c r="O478" s="71" t="s">
        <v>288</v>
      </c>
      <c r="P478" s="72">
        <v>0.93402777777777779</v>
      </c>
      <c r="Q478" s="69">
        <v>179</v>
      </c>
      <c r="R478" s="73" t="s">
        <v>289</v>
      </c>
    </row>
    <row r="479" spans="1:18" ht="15" customHeight="1" x14ac:dyDescent="0.3">
      <c r="A479" s="84" t="s">
        <v>81</v>
      </c>
      <c r="B479" s="84" t="s">
        <v>94</v>
      </c>
      <c r="C479" s="85">
        <v>0.61458333333333337</v>
      </c>
      <c r="D479" s="84" t="s">
        <v>83</v>
      </c>
      <c r="E479" s="84" t="s">
        <v>39</v>
      </c>
      <c r="F479" s="84" t="s">
        <v>260</v>
      </c>
      <c r="G479" s="175"/>
      <c r="H479" s="86" t="s">
        <v>97</v>
      </c>
      <c r="I479" s="113">
        <v>0.74860000000000004</v>
      </c>
      <c r="J479" s="88">
        <v>134</v>
      </c>
      <c r="K479" s="89">
        <v>45979</v>
      </c>
      <c r="L479" s="88">
        <v>28</v>
      </c>
      <c r="M479" s="88">
        <v>0</v>
      </c>
      <c r="N479" s="88">
        <v>10</v>
      </c>
      <c r="O479" s="90" t="s">
        <v>290</v>
      </c>
      <c r="P479" s="91">
        <v>0.61458333333333337</v>
      </c>
      <c r="Q479" s="88">
        <v>179</v>
      </c>
      <c r="R479" s="92" t="s">
        <v>291</v>
      </c>
    </row>
    <row r="480" spans="1:18" ht="15" customHeight="1" x14ac:dyDescent="0.3">
      <c r="A480" s="114" t="s">
        <v>81</v>
      </c>
      <c r="B480" s="114" t="s">
        <v>167</v>
      </c>
      <c r="C480" s="115">
        <v>0.55902777777777779</v>
      </c>
      <c r="D480" s="114" t="s">
        <v>207</v>
      </c>
      <c r="E480" s="131"/>
      <c r="F480" s="114" t="s">
        <v>208</v>
      </c>
      <c r="G480" s="175"/>
      <c r="H480" s="116" t="s">
        <v>167</v>
      </c>
      <c r="I480" s="132">
        <v>0.9385</v>
      </c>
      <c r="J480" s="118">
        <v>168</v>
      </c>
      <c r="K480" s="119">
        <v>45979</v>
      </c>
      <c r="L480" s="118">
        <v>38</v>
      </c>
      <c r="M480" s="118">
        <v>0</v>
      </c>
      <c r="N480" s="118">
        <v>8</v>
      </c>
      <c r="O480" s="120" t="s">
        <v>209</v>
      </c>
      <c r="P480" s="121">
        <v>0.55902777777777779</v>
      </c>
      <c r="Q480" s="118">
        <v>179</v>
      </c>
      <c r="R480" s="122" t="s">
        <v>292</v>
      </c>
    </row>
    <row r="481" spans="1:18" ht="15" customHeight="1" x14ac:dyDescent="0.3">
      <c r="A481" s="18" t="s">
        <v>100</v>
      </c>
      <c r="B481" s="18" t="s">
        <v>216</v>
      </c>
      <c r="C481" s="19">
        <v>0.22222222222222221</v>
      </c>
      <c r="D481" s="18" t="s">
        <v>102</v>
      </c>
      <c r="E481" s="18" t="s">
        <v>170</v>
      </c>
      <c r="F481" s="18" t="s">
        <v>281</v>
      </c>
      <c r="G481" s="175"/>
      <c r="H481" s="11"/>
      <c r="I481" s="12"/>
      <c r="J481" s="12"/>
      <c r="K481" s="12"/>
      <c r="L481" s="12"/>
      <c r="M481" s="12"/>
      <c r="N481" s="12"/>
      <c r="O481" s="13"/>
      <c r="P481" s="12"/>
      <c r="Q481" s="14"/>
      <c r="R481" s="15"/>
    </row>
    <row r="482" spans="1:18" ht="15" customHeight="1" x14ac:dyDescent="0.3">
      <c r="A482" s="20" t="s">
        <v>100</v>
      </c>
      <c r="B482" s="20" t="s">
        <v>216</v>
      </c>
      <c r="C482" s="21">
        <v>0.22222222222222221</v>
      </c>
      <c r="D482" s="20" t="s">
        <v>48</v>
      </c>
      <c r="E482" s="20" t="s">
        <v>59</v>
      </c>
      <c r="F482" s="20" t="s">
        <v>293</v>
      </c>
      <c r="G482" s="175"/>
      <c r="H482" s="11"/>
      <c r="I482" s="12"/>
      <c r="J482" s="12"/>
      <c r="K482" s="12"/>
      <c r="L482" s="12"/>
      <c r="M482" s="12"/>
      <c r="N482" s="12"/>
      <c r="O482" s="13"/>
      <c r="P482" s="12"/>
      <c r="Q482" s="14"/>
      <c r="R482" s="15"/>
    </row>
    <row r="483" spans="1:18" ht="15" customHeight="1" x14ac:dyDescent="0.3">
      <c r="A483" s="18" t="s">
        <v>26</v>
      </c>
      <c r="B483" s="18" t="s">
        <v>27</v>
      </c>
      <c r="C483" s="19">
        <v>0.27430555555555552</v>
      </c>
      <c r="D483" s="18" t="s">
        <v>28</v>
      </c>
      <c r="E483" s="18" t="s">
        <v>36</v>
      </c>
      <c r="F483" s="18" t="s">
        <v>30</v>
      </c>
      <c r="G483" s="175"/>
      <c r="H483" s="11"/>
      <c r="I483" s="12"/>
      <c r="J483" s="12"/>
      <c r="K483" s="12"/>
      <c r="L483" s="12"/>
      <c r="M483" s="12"/>
      <c r="N483" s="12"/>
      <c r="O483" s="13"/>
      <c r="P483" s="12"/>
      <c r="Q483" s="14"/>
      <c r="R483" s="15"/>
    </row>
    <row r="484" spans="1:18" ht="15" customHeight="1" x14ac:dyDescent="0.3">
      <c r="A484" s="16" t="s">
        <v>26</v>
      </c>
      <c r="B484" s="16" t="s">
        <v>31</v>
      </c>
      <c r="C484" s="17">
        <v>0.73958333333333337</v>
      </c>
      <c r="D484" s="16" t="s">
        <v>28</v>
      </c>
      <c r="E484" s="16" t="s">
        <v>39</v>
      </c>
      <c r="F484" s="16" t="s">
        <v>30</v>
      </c>
      <c r="G484" s="175"/>
      <c r="H484" s="11"/>
      <c r="I484" s="12"/>
      <c r="J484" s="12"/>
      <c r="K484" s="12"/>
      <c r="L484" s="12"/>
      <c r="M484" s="12"/>
      <c r="N484" s="12"/>
      <c r="O484" s="13"/>
      <c r="P484" s="12"/>
      <c r="Q484" s="14"/>
      <c r="R484" s="15"/>
    </row>
    <row r="485" spans="1:18" ht="15" customHeight="1" x14ac:dyDescent="0.3">
      <c r="A485" s="18" t="s">
        <v>34</v>
      </c>
      <c r="B485" s="18" t="s">
        <v>35</v>
      </c>
      <c r="C485" s="19">
        <v>0.66666666666666663</v>
      </c>
      <c r="D485" s="18" t="s">
        <v>28</v>
      </c>
      <c r="E485" s="18" t="s">
        <v>270</v>
      </c>
      <c r="F485" s="18" t="s">
        <v>37</v>
      </c>
      <c r="G485" s="175"/>
      <c r="H485" s="11"/>
      <c r="I485" s="12"/>
      <c r="J485" s="12"/>
      <c r="K485" s="12"/>
      <c r="L485" s="12"/>
      <c r="M485" s="12"/>
      <c r="N485" s="12"/>
      <c r="O485" s="13"/>
      <c r="P485" s="12"/>
      <c r="Q485" s="14"/>
      <c r="R485" s="15"/>
    </row>
    <row r="486" spans="1:18" ht="15" customHeight="1" x14ac:dyDescent="0.3">
      <c r="A486" s="16" t="s">
        <v>34</v>
      </c>
      <c r="B486" s="16" t="s">
        <v>38</v>
      </c>
      <c r="C486" s="17">
        <v>0.36458333333333331</v>
      </c>
      <c r="D486" s="16" t="s">
        <v>28</v>
      </c>
      <c r="E486" s="16" t="s">
        <v>109</v>
      </c>
      <c r="F486" s="16" t="s">
        <v>37</v>
      </c>
      <c r="G486" s="175"/>
      <c r="H486" s="11"/>
      <c r="I486" s="12"/>
      <c r="J486" s="12"/>
      <c r="K486" s="12"/>
      <c r="L486" s="12"/>
      <c r="M486" s="12"/>
      <c r="N486" s="12"/>
      <c r="O486" s="13"/>
      <c r="P486" s="12"/>
      <c r="Q486" s="14"/>
      <c r="R486" s="15"/>
    </row>
    <row r="487" spans="1:18" ht="15" customHeight="1" x14ac:dyDescent="0.3">
      <c r="A487" s="16" t="s">
        <v>34</v>
      </c>
      <c r="B487" s="16" t="s">
        <v>294</v>
      </c>
      <c r="C487" s="17">
        <v>4.5138888888888888E-2</v>
      </c>
      <c r="D487" s="16" t="s">
        <v>28</v>
      </c>
      <c r="E487" s="16" t="s">
        <v>90</v>
      </c>
      <c r="F487" s="16" t="s">
        <v>37</v>
      </c>
      <c r="G487" s="175"/>
      <c r="H487" s="11"/>
      <c r="I487" s="12"/>
      <c r="J487" s="12"/>
      <c r="K487" s="12"/>
      <c r="L487" s="12"/>
      <c r="M487" s="12"/>
      <c r="N487" s="12"/>
      <c r="O487" s="13"/>
      <c r="P487" s="12"/>
      <c r="Q487" s="14"/>
      <c r="R487" s="15"/>
    </row>
    <row r="488" spans="1:18" ht="15" customHeight="1" x14ac:dyDescent="0.3">
      <c r="A488" s="18" t="s">
        <v>115</v>
      </c>
      <c r="B488" s="18" t="s">
        <v>116</v>
      </c>
      <c r="C488" s="19">
        <v>0.37847222222222232</v>
      </c>
      <c r="D488" s="18" t="s">
        <v>117</v>
      </c>
      <c r="E488" s="18" t="s">
        <v>36</v>
      </c>
      <c r="F488" s="18" t="s">
        <v>271</v>
      </c>
      <c r="G488" s="175"/>
      <c r="H488" s="11"/>
      <c r="I488" s="12"/>
      <c r="J488" s="12"/>
      <c r="K488" s="12"/>
      <c r="L488" s="12"/>
      <c r="M488" s="12"/>
      <c r="N488" s="12"/>
      <c r="O488" s="13"/>
      <c r="P488" s="12"/>
      <c r="Q488" s="14"/>
      <c r="R488" s="15"/>
    </row>
    <row r="489" spans="1:18" ht="15" customHeight="1" x14ac:dyDescent="0.3">
      <c r="A489" s="20" t="s">
        <v>115</v>
      </c>
      <c r="B489" s="20" t="s">
        <v>116</v>
      </c>
      <c r="C489" s="21">
        <v>0.37847222222222232</v>
      </c>
      <c r="D489" s="20" t="s">
        <v>119</v>
      </c>
      <c r="E489" s="20" t="s">
        <v>120</v>
      </c>
      <c r="F489" s="20" t="s">
        <v>272</v>
      </c>
      <c r="G489" s="175"/>
      <c r="H489" s="11"/>
      <c r="I489" s="12"/>
      <c r="J489" s="12"/>
      <c r="K489" s="12"/>
      <c r="L489" s="12"/>
      <c r="M489" s="12"/>
      <c r="N489" s="12"/>
      <c r="O489" s="13"/>
      <c r="P489" s="12"/>
      <c r="Q489" s="14"/>
      <c r="R489" s="15"/>
    </row>
    <row r="490" spans="1:18" ht="15" customHeight="1" x14ac:dyDescent="0.3">
      <c r="A490" s="16" t="s">
        <v>115</v>
      </c>
      <c r="B490" s="16" t="s">
        <v>175</v>
      </c>
      <c r="C490" s="17">
        <v>6.9444444444444441E-3</v>
      </c>
      <c r="D490" s="16" t="s">
        <v>117</v>
      </c>
      <c r="E490" s="16" t="s">
        <v>109</v>
      </c>
      <c r="F490" s="16" t="s">
        <v>271</v>
      </c>
      <c r="G490" s="175"/>
      <c r="H490" s="11"/>
      <c r="I490" s="12"/>
      <c r="J490" s="12"/>
      <c r="K490" s="12"/>
      <c r="L490" s="12"/>
      <c r="M490" s="12"/>
      <c r="N490" s="12"/>
      <c r="O490" s="13"/>
      <c r="P490" s="12"/>
      <c r="Q490" s="14"/>
      <c r="R490" s="15"/>
    </row>
    <row r="491" spans="1:18" ht="15" customHeight="1" x14ac:dyDescent="0.3">
      <c r="A491" s="20" t="s">
        <v>115</v>
      </c>
      <c r="B491" s="20" t="s">
        <v>175</v>
      </c>
      <c r="C491" s="21">
        <v>6.9444444444444441E-3</v>
      </c>
      <c r="D491" s="20" t="s">
        <v>119</v>
      </c>
      <c r="E491" s="20" t="s">
        <v>120</v>
      </c>
      <c r="F491" s="20" t="s">
        <v>272</v>
      </c>
      <c r="G491" s="175"/>
      <c r="H491" s="11"/>
      <c r="I491" s="12"/>
      <c r="J491" s="12"/>
      <c r="K491" s="12"/>
      <c r="L491" s="12"/>
      <c r="M491" s="12"/>
      <c r="N491" s="12"/>
      <c r="O491" s="13"/>
      <c r="P491" s="12"/>
      <c r="Q491" s="14"/>
      <c r="R491" s="15"/>
    </row>
    <row r="492" spans="1:18" ht="15" customHeight="1" x14ac:dyDescent="0.3">
      <c r="A492" s="16" t="s">
        <v>115</v>
      </c>
      <c r="B492" s="16" t="s">
        <v>173</v>
      </c>
      <c r="C492" s="17">
        <v>0.23958333333333329</v>
      </c>
      <c r="D492" s="16" t="s">
        <v>117</v>
      </c>
      <c r="E492" s="16" t="s">
        <v>109</v>
      </c>
      <c r="F492" s="16" t="s">
        <v>271</v>
      </c>
      <c r="G492" s="175"/>
      <c r="H492" s="11"/>
      <c r="I492" s="12"/>
      <c r="J492" s="12"/>
      <c r="K492" s="12"/>
      <c r="L492" s="12"/>
      <c r="M492" s="12"/>
      <c r="N492" s="12"/>
      <c r="O492" s="13"/>
      <c r="P492" s="12"/>
      <c r="Q492" s="14"/>
      <c r="R492" s="15"/>
    </row>
    <row r="493" spans="1:18" ht="15" customHeight="1" x14ac:dyDescent="0.3">
      <c r="A493" s="20" t="s">
        <v>115</v>
      </c>
      <c r="B493" s="20" t="s">
        <v>173</v>
      </c>
      <c r="C493" s="21">
        <v>0.23958333333333329</v>
      </c>
      <c r="D493" s="20" t="s">
        <v>119</v>
      </c>
      <c r="E493" s="20" t="s">
        <v>120</v>
      </c>
      <c r="F493" s="20" t="s">
        <v>272</v>
      </c>
      <c r="G493" s="175"/>
      <c r="H493" s="11"/>
      <c r="I493" s="12"/>
      <c r="J493" s="12"/>
      <c r="K493" s="12"/>
      <c r="L493" s="12"/>
      <c r="M493" s="12"/>
      <c r="N493" s="12"/>
      <c r="O493" s="13"/>
      <c r="P493" s="12"/>
      <c r="Q493" s="14"/>
      <c r="R493" s="15"/>
    </row>
    <row r="494" spans="1:18" ht="15" customHeight="1" x14ac:dyDescent="0.3">
      <c r="A494" s="16" t="s">
        <v>115</v>
      </c>
      <c r="B494" s="16" t="s">
        <v>174</v>
      </c>
      <c r="C494" s="17">
        <v>0.1423611111111111</v>
      </c>
      <c r="D494" s="16" t="s">
        <v>117</v>
      </c>
      <c r="E494" s="16" t="s">
        <v>109</v>
      </c>
      <c r="F494" s="16" t="s">
        <v>271</v>
      </c>
      <c r="G494" s="175"/>
      <c r="H494" s="11"/>
      <c r="I494" s="12"/>
      <c r="J494" s="12"/>
      <c r="K494" s="12"/>
      <c r="L494" s="12"/>
      <c r="M494" s="12"/>
      <c r="N494" s="12"/>
      <c r="O494" s="13"/>
      <c r="P494" s="12"/>
      <c r="Q494" s="14"/>
      <c r="R494" s="15"/>
    </row>
    <row r="495" spans="1:18" ht="15" customHeight="1" x14ac:dyDescent="0.3">
      <c r="A495" s="20" t="s">
        <v>115</v>
      </c>
      <c r="B495" s="20" t="s">
        <v>174</v>
      </c>
      <c r="C495" s="21">
        <v>0.1423611111111111</v>
      </c>
      <c r="D495" s="20" t="s">
        <v>119</v>
      </c>
      <c r="E495" s="20" t="s">
        <v>120</v>
      </c>
      <c r="F495" s="20" t="s">
        <v>272</v>
      </c>
      <c r="G495" s="175"/>
      <c r="H495" s="11"/>
      <c r="I495" s="12"/>
      <c r="J495" s="12"/>
      <c r="K495" s="12"/>
      <c r="L495" s="12"/>
      <c r="M495" s="12"/>
      <c r="N495" s="12"/>
      <c r="O495" s="13"/>
      <c r="P495" s="12"/>
      <c r="Q495" s="14"/>
      <c r="R495" s="15"/>
    </row>
    <row r="496" spans="1:18" ht="15" customHeight="1" x14ac:dyDescent="0.3">
      <c r="A496" s="16" t="s">
        <v>115</v>
      </c>
      <c r="B496" s="16" t="s">
        <v>122</v>
      </c>
      <c r="C496" s="17">
        <v>0.93055555555555547</v>
      </c>
      <c r="D496" s="16" t="s">
        <v>117</v>
      </c>
      <c r="E496" s="16" t="s">
        <v>109</v>
      </c>
      <c r="F496" s="16" t="s">
        <v>271</v>
      </c>
      <c r="G496" s="175"/>
      <c r="H496" s="11"/>
      <c r="I496" s="12"/>
      <c r="J496" s="12"/>
      <c r="K496" s="12"/>
      <c r="L496" s="12"/>
      <c r="M496" s="12"/>
      <c r="N496" s="12"/>
      <c r="O496" s="13"/>
      <c r="P496" s="12"/>
      <c r="Q496" s="14"/>
      <c r="R496" s="15"/>
    </row>
    <row r="497" spans="1:18" ht="15" customHeight="1" x14ac:dyDescent="0.3">
      <c r="A497" s="20" t="s">
        <v>115</v>
      </c>
      <c r="B497" s="20" t="s">
        <v>122</v>
      </c>
      <c r="C497" s="21">
        <v>0.93055555555555547</v>
      </c>
      <c r="D497" s="20" t="s">
        <v>119</v>
      </c>
      <c r="E497" s="20" t="s">
        <v>120</v>
      </c>
      <c r="F497" s="20" t="s">
        <v>272</v>
      </c>
      <c r="G497" s="175"/>
      <c r="H497" s="11"/>
      <c r="I497" s="12"/>
      <c r="J497" s="12"/>
      <c r="K497" s="12"/>
      <c r="L497" s="12"/>
      <c r="M497" s="12"/>
      <c r="N497" s="12"/>
      <c r="O497" s="13"/>
      <c r="P497" s="12"/>
      <c r="Q497" s="14"/>
      <c r="R497" s="15"/>
    </row>
    <row r="498" spans="1:18" ht="15" customHeight="1" x14ac:dyDescent="0.3">
      <c r="A498" s="16" t="s">
        <v>115</v>
      </c>
      <c r="B498" s="16" t="s">
        <v>125</v>
      </c>
      <c r="C498" s="17">
        <v>0.82986111111111116</v>
      </c>
      <c r="D498" s="16" t="s">
        <v>117</v>
      </c>
      <c r="E498" s="16" t="s">
        <v>109</v>
      </c>
      <c r="F498" s="16" t="s">
        <v>295</v>
      </c>
      <c r="G498" s="175"/>
      <c r="H498" s="11"/>
      <c r="I498" s="12"/>
      <c r="J498" s="12"/>
      <c r="K498" s="12"/>
      <c r="L498" s="12"/>
      <c r="M498" s="12"/>
      <c r="N498" s="12"/>
      <c r="O498" s="13"/>
      <c r="P498" s="12"/>
      <c r="Q498" s="14"/>
      <c r="R498" s="15"/>
    </row>
    <row r="499" spans="1:18" ht="15" customHeight="1" x14ac:dyDescent="0.3">
      <c r="A499" s="20" t="s">
        <v>115</v>
      </c>
      <c r="B499" s="20" t="s">
        <v>125</v>
      </c>
      <c r="C499" s="21">
        <v>0.82986111111111116</v>
      </c>
      <c r="D499" s="20" t="s">
        <v>119</v>
      </c>
      <c r="E499" s="20" t="s">
        <v>120</v>
      </c>
      <c r="F499" s="20" t="s">
        <v>296</v>
      </c>
      <c r="G499" s="175"/>
      <c r="H499" s="11"/>
      <c r="I499" s="12"/>
      <c r="J499" s="12"/>
      <c r="K499" s="12"/>
      <c r="L499" s="12"/>
      <c r="M499" s="12"/>
      <c r="N499" s="12"/>
      <c r="O499" s="13"/>
      <c r="P499" s="12"/>
      <c r="Q499" s="14"/>
      <c r="R499" s="15"/>
    </row>
    <row r="500" spans="1:18" ht="15" customHeight="1" x14ac:dyDescent="0.3">
      <c r="A500" s="16" t="s">
        <v>115</v>
      </c>
      <c r="B500" s="16" t="s">
        <v>130</v>
      </c>
      <c r="C500" s="17">
        <v>0.88888888888888884</v>
      </c>
      <c r="D500" s="16" t="s">
        <v>119</v>
      </c>
      <c r="E500" s="16" t="s">
        <v>95</v>
      </c>
      <c r="F500" s="16" t="s">
        <v>273</v>
      </c>
      <c r="G500" s="175"/>
      <c r="H500" s="11"/>
      <c r="I500" s="12"/>
      <c r="J500" s="12"/>
      <c r="K500" s="12"/>
      <c r="L500" s="12"/>
      <c r="M500" s="12"/>
      <c r="N500" s="12"/>
      <c r="O500" s="13"/>
      <c r="P500" s="12"/>
      <c r="Q500" s="14"/>
      <c r="R500" s="15"/>
    </row>
    <row r="501" spans="1:18" ht="15" customHeight="1" x14ac:dyDescent="0.3">
      <c r="A501" s="16" t="s">
        <v>115</v>
      </c>
      <c r="B501" s="16" t="s">
        <v>179</v>
      </c>
      <c r="C501" s="17">
        <v>0.12847222222222221</v>
      </c>
      <c r="D501" s="16" t="s">
        <v>119</v>
      </c>
      <c r="E501" s="16" t="s">
        <v>95</v>
      </c>
      <c r="F501" s="16" t="s">
        <v>273</v>
      </c>
      <c r="G501" s="175"/>
      <c r="H501" s="11"/>
      <c r="I501" s="12"/>
      <c r="J501" s="12"/>
      <c r="K501" s="12"/>
      <c r="L501" s="12"/>
      <c r="M501" s="12"/>
      <c r="N501" s="12"/>
      <c r="O501" s="13"/>
      <c r="P501" s="12"/>
      <c r="Q501" s="14"/>
      <c r="R501" s="15"/>
    </row>
    <row r="502" spans="1:18" ht="15" customHeight="1" x14ac:dyDescent="0.3">
      <c r="A502" s="16" t="s">
        <v>115</v>
      </c>
      <c r="B502" s="16" t="s">
        <v>132</v>
      </c>
      <c r="C502" s="17">
        <v>0.78819444444444453</v>
      </c>
      <c r="D502" s="16" t="s">
        <v>119</v>
      </c>
      <c r="E502" s="16" t="s">
        <v>95</v>
      </c>
      <c r="F502" s="16" t="s">
        <v>273</v>
      </c>
      <c r="G502" s="175"/>
      <c r="H502" s="11"/>
      <c r="I502" s="12"/>
      <c r="J502" s="12"/>
      <c r="K502" s="12"/>
      <c r="L502" s="12"/>
      <c r="M502" s="12"/>
      <c r="N502" s="12"/>
      <c r="O502" s="13"/>
      <c r="P502" s="12"/>
      <c r="Q502" s="14"/>
      <c r="R502" s="15"/>
    </row>
    <row r="503" spans="1:18" ht="15" customHeight="1" x14ac:dyDescent="0.3">
      <c r="A503" s="16" t="s">
        <v>115</v>
      </c>
      <c r="B503" s="16" t="s">
        <v>126</v>
      </c>
      <c r="C503" s="17">
        <v>0.71875</v>
      </c>
      <c r="D503" s="16" t="s">
        <v>117</v>
      </c>
      <c r="E503" s="16" t="s">
        <v>109</v>
      </c>
      <c r="F503" s="16" t="s">
        <v>274</v>
      </c>
      <c r="G503" s="175"/>
      <c r="H503" s="11"/>
      <c r="I503" s="12"/>
      <c r="J503" s="12"/>
      <c r="K503" s="12"/>
      <c r="L503" s="12"/>
      <c r="M503" s="12"/>
      <c r="N503" s="12"/>
      <c r="O503" s="13"/>
      <c r="P503" s="12"/>
      <c r="Q503" s="14"/>
      <c r="R503" s="15"/>
    </row>
    <row r="504" spans="1:18" ht="15" customHeight="1" x14ac:dyDescent="0.3">
      <c r="A504" s="20" t="s">
        <v>115</v>
      </c>
      <c r="B504" s="20" t="s">
        <v>126</v>
      </c>
      <c r="C504" s="21">
        <v>0.71875</v>
      </c>
      <c r="D504" s="20" t="s">
        <v>119</v>
      </c>
      <c r="E504" s="20" t="s">
        <v>120</v>
      </c>
      <c r="F504" s="20" t="s">
        <v>275</v>
      </c>
      <c r="G504" s="175"/>
      <c r="H504" s="11"/>
      <c r="I504" s="12"/>
      <c r="J504" s="12"/>
      <c r="K504" s="12"/>
      <c r="L504" s="12"/>
      <c r="M504" s="12"/>
      <c r="N504" s="12"/>
      <c r="O504" s="13"/>
      <c r="P504" s="12"/>
      <c r="Q504" s="14"/>
      <c r="R504" s="15"/>
    </row>
    <row r="505" spans="1:18" ht="15" customHeight="1" x14ac:dyDescent="0.3">
      <c r="A505" s="16" t="s">
        <v>115</v>
      </c>
      <c r="B505" s="16" t="s">
        <v>129</v>
      </c>
      <c r="C505" s="17">
        <v>0.61111111111111105</v>
      </c>
      <c r="D505" s="16" t="s">
        <v>117</v>
      </c>
      <c r="E505" s="16" t="s">
        <v>109</v>
      </c>
      <c r="F505" s="16" t="s">
        <v>274</v>
      </c>
      <c r="G505" s="175"/>
      <c r="H505" s="11"/>
      <c r="I505" s="12"/>
      <c r="J505" s="12"/>
      <c r="K505" s="12"/>
      <c r="L505" s="12"/>
      <c r="M505" s="12"/>
      <c r="N505" s="12"/>
      <c r="O505" s="13"/>
      <c r="P505" s="12"/>
      <c r="Q505" s="14"/>
      <c r="R505" s="15"/>
    </row>
    <row r="506" spans="1:18" ht="15" customHeight="1" x14ac:dyDescent="0.3">
      <c r="A506" s="20" t="s">
        <v>115</v>
      </c>
      <c r="B506" s="20" t="s">
        <v>129</v>
      </c>
      <c r="C506" s="21">
        <v>0.61111111111111105</v>
      </c>
      <c r="D506" s="20" t="s">
        <v>119</v>
      </c>
      <c r="E506" s="20" t="s">
        <v>120</v>
      </c>
      <c r="F506" s="20" t="s">
        <v>275</v>
      </c>
      <c r="G506" s="175"/>
      <c r="H506" s="11"/>
      <c r="I506" s="12"/>
      <c r="J506" s="12"/>
      <c r="K506" s="12"/>
      <c r="L506" s="12"/>
      <c r="M506" s="12"/>
      <c r="N506" s="12"/>
      <c r="O506" s="13"/>
      <c r="P506" s="12"/>
      <c r="Q506" s="14"/>
      <c r="R506" s="15"/>
    </row>
    <row r="507" spans="1:18" ht="15" customHeight="1" x14ac:dyDescent="0.3">
      <c r="A507" s="16" t="s">
        <v>115</v>
      </c>
      <c r="B507" s="16" t="s">
        <v>178</v>
      </c>
      <c r="C507" s="17">
        <v>0.30208333333333331</v>
      </c>
      <c r="D507" s="16" t="s">
        <v>119</v>
      </c>
      <c r="E507" s="16" t="s">
        <v>95</v>
      </c>
      <c r="F507" s="16" t="s">
        <v>246</v>
      </c>
      <c r="G507" s="175"/>
      <c r="H507" s="11"/>
      <c r="I507" s="12"/>
      <c r="J507" s="12"/>
      <c r="K507" s="12"/>
      <c r="L507" s="12"/>
      <c r="M507" s="12"/>
      <c r="N507" s="12"/>
      <c r="O507" s="13"/>
      <c r="P507" s="12"/>
      <c r="Q507" s="14"/>
      <c r="R507" s="15"/>
    </row>
    <row r="508" spans="1:18" ht="15" customHeight="1" x14ac:dyDescent="0.3">
      <c r="A508" s="18" t="s">
        <v>104</v>
      </c>
      <c r="B508" s="18" t="s">
        <v>105</v>
      </c>
      <c r="C508" s="19">
        <v>0.4861111111111111</v>
      </c>
      <c r="D508" s="18" t="s">
        <v>106</v>
      </c>
      <c r="E508" s="18" t="s">
        <v>36</v>
      </c>
      <c r="F508" s="18" t="s">
        <v>110</v>
      </c>
      <c r="G508" s="175"/>
      <c r="H508" s="11"/>
      <c r="I508" s="12"/>
      <c r="J508" s="12"/>
      <c r="K508" s="12"/>
      <c r="L508" s="12"/>
      <c r="M508" s="12"/>
      <c r="N508" s="12"/>
      <c r="O508" s="13"/>
      <c r="P508" s="12"/>
      <c r="Q508" s="14"/>
      <c r="R508" s="15"/>
    </row>
    <row r="509" spans="1:18" ht="15" customHeight="1" x14ac:dyDescent="0.3">
      <c r="A509" s="16" t="s">
        <v>104</v>
      </c>
      <c r="B509" s="16" t="s">
        <v>111</v>
      </c>
      <c r="C509" s="17">
        <v>0.51388888888888895</v>
      </c>
      <c r="D509" s="16" t="s">
        <v>106</v>
      </c>
      <c r="E509" s="16" t="s">
        <v>109</v>
      </c>
      <c r="F509" s="16" t="s">
        <v>113</v>
      </c>
      <c r="G509" s="175"/>
      <c r="H509" s="11"/>
      <c r="I509" s="12"/>
      <c r="J509" s="12"/>
      <c r="K509" s="12"/>
      <c r="L509" s="12"/>
      <c r="M509" s="12"/>
      <c r="N509" s="12"/>
      <c r="O509" s="13"/>
      <c r="P509" s="12"/>
      <c r="Q509" s="14"/>
      <c r="R509" s="15"/>
    </row>
    <row r="510" spans="1:18" ht="15" customHeight="1" x14ac:dyDescent="0.3">
      <c r="A510" s="16" t="s">
        <v>104</v>
      </c>
      <c r="B510" s="16" t="s">
        <v>184</v>
      </c>
      <c r="C510" s="17">
        <v>1.388888888888889E-2</v>
      </c>
      <c r="D510" s="16" t="s">
        <v>106</v>
      </c>
      <c r="E510" s="16" t="s">
        <v>109</v>
      </c>
      <c r="F510" s="16" t="s">
        <v>185</v>
      </c>
      <c r="G510" s="175"/>
      <c r="H510" s="11"/>
      <c r="I510" s="12"/>
      <c r="J510" s="12"/>
      <c r="K510" s="12"/>
      <c r="L510" s="12"/>
      <c r="M510" s="12"/>
      <c r="N510" s="12"/>
      <c r="O510" s="13"/>
      <c r="P510" s="12"/>
      <c r="Q510" s="14"/>
      <c r="R510" s="15"/>
    </row>
    <row r="511" spans="1:18" ht="15" customHeight="1" x14ac:dyDescent="0.3">
      <c r="A511" s="16" t="s">
        <v>104</v>
      </c>
      <c r="B511" s="16" t="s">
        <v>188</v>
      </c>
      <c r="C511" s="17">
        <v>0.14583333333333329</v>
      </c>
      <c r="D511" s="16" t="s">
        <v>106</v>
      </c>
      <c r="E511" s="16" t="s">
        <v>109</v>
      </c>
      <c r="F511" s="16" t="s">
        <v>185</v>
      </c>
      <c r="G511" s="175"/>
      <c r="H511" s="11"/>
      <c r="I511" s="12"/>
      <c r="J511" s="12"/>
      <c r="K511" s="12"/>
      <c r="L511" s="12"/>
      <c r="M511" s="12"/>
      <c r="N511" s="12"/>
      <c r="O511" s="13"/>
      <c r="P511" s="12"/>
      <c r="Q511" s="14"/>
      <c r="R511" s="15"/>
    </row>
    <row r="512" spans="1:18" ht="15" customHeight="1" x14ac:dyDescent="0.3">
      <c r="A512" s="16" t="s">
        <v>104</v>
      </c>
      <c r="B512" s="16" t="s">
        <v>186</v>
      </c>
      <c r="C512" s="17">
        <v>0.22222222222222221</v>
      </c>
      <c r="D512" s="16" t="s">
        <v>106</v>
      </c>
      <c r="E512" s="16" t="s">
        <v>109</v>
      </c>
      <c r="F512" s="16" t="s">
        <v>185</v>
      </c>
      <c r="G512" s="175"/>
      <c r="H512" s="11"/>
      <c r="I512" s="12"/>
      <c r="J512" s="12"/>
      <c r="K512" s="12"/>
      <c r="L512" s="12"/>
      <c r="M512" s="12"/>
      <c r="N512" s="12"/>
      <c r="O512" s="13"/>
      <c r="P512" s="12"/>
      <c r="Q512" s="14"/>
      <c r="R512" s="15"/>
    </row>
    <row r="513" spans="1:18" ht="15" customHeight="1" x14ac:dyDescent="0.3">
      <c r="A513" s="16" t="s">
        <v>104</v>
      </c>
      <c r="B513" s="16" t="s">
        <v>108</v>
      </c>
      <c r="C513" s="17">
        <v>0.27777777777777779</v>
      </c>
      <c r="D513" s="16" t="s">
        <v>106</v>
      </c>
      <c r="E513" s="16" t="s">
        <v>109</v>
      </c>
      <c r="F513" s="16" t="s">
        <v>127</v>
      </c>
      <c r="G513" s="175"/>
      <c r="H513" s="11"/>
      <c r="I513" s="12"/>
      <c r="J513" s="12"/>
      <c r="K513" s="12"/>
      <c r="L513" s="12"/>
      <c r="M513" s="12"/>
      <c r="N513" s="12"/>
      <c r="O513" s="13"/>
      <c r="P513" s="12"/>
      <c r="Q513" s="14"/>
      <c r="R513" s="15"/>
    </row>
    <row r="514" spans="1:18" ht="15" customHeight="1" x14ac:dyDescent="0.3">
      <c r="A514" s="49" t="s">
        <v>104</v>
      </c>
      <c r="B514" s="49" t="s">
        <v>114</v>
      </c>
      <c r="C514" s="50">
        <v>0.77430555555555547</v>
      </c>
      <c r="D514" s="49" t="s">
        <v>106</v>
      </c>
      <c r="E514" s="49" t="s">
        <v>109</v>
      </c>
      <c r="F514" s="49" t="s">
        <v>189</v>
      </c>
      <c r="G514" s="176"/>
      <c r="H514" s="51"/>
      <c r="I514" s="52"/>
      <c r="J514" s="52"/>
      <c r="K514" s="52"/>
      <c r="L514" s="52"/>
      <c r="M514" s="52"/>
      <c r="N514" s="52"/>
      <c r="O514" s="53"/>
      <c r="P514" s="52"/>
      <c r="Q514" s="54"/>
      <c r="R514" s="55"/>
    </row>
  </sheetData>
  <mergeCells count="34">
    <mergeCell ref="H437:R437"/>
    <mergeCell ref="A436:R436"/>
    <mergeCell ref="K2:R2"/>
    <mergeCell ref="H287:R287"/>
    <mergeCell ref="A360:F360"/>
    <mergeCell ref="G142:G213"/>
    <mergeCell ref="A437:F437"/>
    <mergeCell ref="H140:R140"/>
    <mergeCell ref="H360:R360"/>
    <mergeCell ref="A287:F287"/>
    <mergeCell ref="H62:R62"/>
    <mergeCell ref="A61:R61"/>
    <mergeCell ref="A359:R359"/>
    <mergeCell ref="A62:F62"/>
    <mergeCell ref="G217:G285"/>
    <mergeCell ref="A140:F140"/>
    <mergeCell ref="A215:F215"/>
    <mergeCell ref="N1:R1"/>
    <mergeCell ref="H215:R215"/>
    <mergeCell ref="G439:G514"/>
    <mergeCell ref="H1:L1"/>
    <mergeCell ref="A1:E1"/>
    <mergeCell ref="A286:R286"/>
    <mergeCell ref="H4:R4"/>
    <mergeCell ref="G6:G60"/>
    <mergeCell ref="A214:R214"/>
    <mergeCell ref="G362:G435"/>
    <mergeCell ref="A2:F2"/>
    <mergeCell ref="A3:R3"/>
    <mergeCell ref="A139:R139"/>
    <mergeCell ref="G289:G358"/>
    <mergeCell ref="G64:G138"/>
    <mergeCell ref="G2:J2"/>
    <mergeCell ref="A4:F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6"/>
  <sheetViews>
    <sheetView workbookViewId="0"/>
  </sheetViews>
  <sheetFormatPr defaultRowHeight="15.6" outlineLevelCol="1" x14ac:dyDescent="0.3"/>
  <cols>
    <col min="1" max="1" width="11.5546875" style="195" bestFit="1" customWidth="1"/>
    <col min="2" max="2" width="10.44140625" style="195" bestFit="1" customWidth="1"/>
    <col min="3" max="3" width="6.77734375" style="195" bestFit="1" customWidth="1"/>
    <col min="4" max="4" width="5.5546875" style="195" bestFit="1" customWidth="1"/>
    <col min="5" max="5" width="7.5546875" style="195" bestFit="1" customWidth="1"/>
    <col min="6" max="6" width="4.21875" style="195" bestFit="1" customWidth="1"/>
    <col min="7" max="7" width="10" style="195" bestFit="1" customWidth="1"/>
    <col min="8" max="10" width="8.5546875" style="195" bestFit="1" customWidth="1"/>
    <col min="11" max="11" width="10.5546875" style="195" bestFit="1" customWidth="1"/>
    <col min="12" max="12" width="9.109375" style="195" bestFit="1" customWidth="1"/>
    <col min="13" max="13" width="7.6640625" style="195" bestFit="1" customWidth="1" outlineLevel="1"/>
    <col min="14" max="14" width="7" style="195" bestFit="1" customWidth="1" outlineLevel="1"/>
    <col min="15" max="15" width="8" style="195" bestFit="1" customWidth="1" outlineLevel="1"/>
    <col min="16" max="16" width="13.6640625" style="195" bestFit="1" customWidth="1"/>
    <col min="17" max="22" width="3.88671875" style="195" bestFit="1" customWidth="1"/>
    <col min="23" max="23" width="4.33203125" style="195" bestFit="1" customWidth="1"/>
    <col min="24" max="24" width="4.109375" style="195" bestFit="1" customWidth="1"/>
    <col min="25" max="25" width="4.44140625" style="195" bestFit="1" customWidth="1"/>
    <col min="26" max="26" width="4.109375" style="195" bestFit="1" customWidth="1"/>
    <col min="27" max="27" width="5" style="195" bestFit="1" customWidth="1"/>
    <col min="28" max="29" width="4.21875" style="195" bestFit="1" customWidth="1"/>
    <col min="30" max="31" width="4.5546875" style="195" bestFit="1" customWidth="1"/>
    <col min="32" max="32" width="3.88671875" style="195" bestFit="1" customWidth="1"/>
    <col min="33" max="33" width="4.21875" style="195" bestFit="1" customWidth="1"/>
    <col min="34" max="34" width="3.88671875" style="195" bestFit="1" customWidth="1"/>
    <col min="35" max="35" width="5.21875" style="195" bestFit="1" customWidth="1"/>
    <col min="36" max="36" width="3.88671875" style="195" bestFit="1" customWidth="1"/>
    <col min="37" max="16384" width="8.88671875" style="195"/>
  </cols>
  <sheetData>
    <row r="1" spans="1:36" x14ac:dyDescent="0.3">
      <c r="A1" s="194" t="s">
        <v>297</v>
      </c>
      <c r="B1" s="194" t="s">
        <v>298</v>
      </c>
      <c r="C1" s="194" t="s">
        <v>299</v>
      </c>
      <c r="D1" s="194" t="s">
        <v>23</v>
      </c>
      <c r="E1" s="194" t="s">
        <v>300</v>
      </c>
      <c r="F1" s="194" t="s">
        <v>301</v>
      </c>
      <c r="G1" s="194" t="s">
        <v>16</v>
      </c>
      <c r="H1" s="194" t="s">
        <v>302</v>
      </c>
      <c r="I1" s="194" t="s">
        <v>303</v>
      </c>
      <c r="J1" s="194" t="s">
        <v>304</v>
      </c>
      <c r="K1" s="194" t="s">
        <v>305</v>
      </c>
      <c r="L1" s="194" t="s">
        <v>18</v>
      </c>
      <c r="M1" s="194" t="s">
        <v>20</v>
      </c>
      <c r="N1" s="194" t="s">
        <v>21</v>
      </c>
      <c r="O1" s="194" t="s">
        <v>19</v>
      </c>
      <c r="P1" s="194" t="s">
        <v>22</v>
      </c>
      <c r="Q1" s="194" t="s">
        <v>306</v>
      </c>
      <c r="R1" s="194" t="s">
        <v>307</v>
      </c>
      <c r="S1" s="194" t="s">
        <v>308</v>
      </c>
      <c r="T1" s="194" t="s">
        <v>309</v>
      </c>
      <c r="U1" s="194" t="s">
        <v>310</v>
      </c>
      <c r="V1" s="194" t="s">
        <v>311</v>
      </c>
      <c r="W1" s="194" t="s">
        <v>312</v>
      </c>
      <c r="X1" s="194" t="s">
        <v>313</v>
      </c>
      <c r="Y1" s="194" t="s">
        <v>314</v>
      </c>
      <c r="Z1" s="194" t="s">
        <v>315</v>
      </c>
      <c r="AA1" s="194" t="s">
        <v>316</v>
      </c>
      <c r="AB1" s="194" t="s">
        <v>317</v>
      </c>
      <c r="AC1" s="194" t="s">
        <v>318</v>
      </c>
      <c r="AD1" s="194" t="s">
        <v>319</v>
      </c>
      <c r="AE1" s="194" t="s">
        <v>320</v>
      </c>
      <c r="AF1" s="194" t="s">
        <v>321</v>
      </c>
      <c r="AG1" s="194" t="s">
        <v>322</v>
      </c>
      <c r="AH1" s="194" t="s">
        <v>323</v>
      </c>
      <c r="AI1" s="194" t="s">
        <v>324</v>
      </c>
      <c r="AJ1" s="194" t="s">
        <v>325</v>
      </c>
    </row>
    <row r="2" spans="1:36" x14ac:dyDescent="0.3">
      <c r="A2" s="196" t="s">
        <v>326</v>
      </c>
      <c r="B2" s="197">
        <v>45980</v>
      </c>
      <c r="C2" s="198" t="s">
        <v>91</v>
      </c>
      <c r="D2" s="199" t="s">
        <v>327</v>
      </c>
      <c r="E2" s="198" t="s">
        <v>1</v>
      </c>
      <c r="F2" s="198" t="s">
        <v>328</v>
      </c>
      <c r="G2" s="200">
        <v>0.88829999999999998</v>
      </c>
      <c r="H2" s="201">
        <v>179</v>
      </c>
      <c r="I2" s="201">
        <v>159</v>
      </c>
      <c r="J2" s="201">
        <v>48</v>
      </c>
      <c r="K2" s="198" t="s">
        <v>329</v>
      </c>
      <c r="L2" s="202">
        <v>45979</v>
      </c>
      <c r="M2" s="201">
        <v>0</v>
      </c>
      <c r="N2" s="201">
        <v>3</v>
      </c>
      <c r="O2" s="201">
        <v>15</v>
      </c>
      <c r="P2" s="198" t="s">
        <v>92</v>
      </c>
      <c r="Q2" s="194"/>
      <c r="R2" s="194"/>
      <c r="S2" s="194"/>
      <c r="T2" s="194"/>
      <c r="U2" s="194"/>
      <c r="V2" s="194"/>
      <c r="W2" s="194"/>
      <c r="X2" s="201" t="s">
        <v>202</v>
      </c>
      <c r="Y2" s="201" t="s">
        <v>330</v>
      </c>
      <c r="Z2" s="201" t="s">
        <v>331</v>
      </c>
      <c r="AA2" s="201" t="s">
        <v>332</v>
      </c>
      <c r="AB2" s="201" t="s">
        <v>333</v>
      </c>
      <c r="AC2" s="201" t="s">
        <v>334</v>
      </c>
      <c r="AD2" s="201" t="s">
        <v>335</v>
      </c>
      <c r="AE2" s="201" t="s">
        <v>336</v>
      </c>
      <c r="AF2" s="201" t="s">
        <v>337</v>
      </c>
      <c r="AG2" s="194"/>
      <c r="AH2" s="194"/>
      <c r="AI2" s="201" t="s">
        <v>338</v>
      </c>
      <c r="AJ2" s="194"/>
    </row>
    <row r="3" spans="1:36" x14ac:dyDescent="0.3">
      <c r="A3" s="196" t="s">
        <v>326</v>
      </c>
      <c r="B3" s="197">
        <v>45980</v>
      </c>
      <c r="C3" s="198" t="s">
        <v>86</v>
      </c>
      <c r="D3" s="199" t="s">
        <v>339</v>
      </c>
      <c r="E3" s="198" t="s">
        <v>1</v>
      </c>
      <c r="F3" s="198" t="s">
        <v>328</v>
      </c>
      <c r="G3" s="200">
        <v>0.90500000000000003</v>
      </c>
      <c r="H3" s="201">
        <v>179</v>
      </c>
      <c r="I3" s="201">
        <v>162</v>
      </c>
      <c r="J3" s="201">
        <v>49</v>
      </c>
      <c r="K3" s="198" t="s">
        <v>329</v>
      </c>
      <c r="L3" s="202">
        <v>45979</v>
      </c>
      <c r="M3" s="201">
        <v>0</v>
      </c>
      <c r="N3" s="201">
        <v>8</v>
      </c>
      <c r="O3" s="201">
        <v>24</v>
      </c>
      <c r="P3" s="198" t="s">
        <v>87</v>
      </c>
      <c r="Q3" s="194"/>
      <c r="R3" s="201" t="s">
        <v>340</v>
      </c>
      <c r="S3" s="194"/>
      <c r="T3" s="194"/>
      <c r="U3" s="194"/>
      <c r="V3" s="194"/>
      <c r="W3" s="194"/>
      <c r="X3" s="201" t="s">
        <v>341</v>
      </c>
      <c r="Y3" s="201" t="s">
        <v>342</v>
      </c>
      <c r="Z3" s="201" t="s">
        <v>343</v>
      </c>
      <c r="AA3" s="201" t="s">
        <v>344</v>
      </c>
      <c r="AB3" s="201" t="s">
        <v>345</v>
      </c>
      <c r="AC3" s="201" t="s">
        <v>346</v>
      </c>
      <c r="AD3" s="201" t="s">
        <v>347</v>
      </c>
      <c r="AE3" s="201" t="s">
        <v>348</v>
      </c>
      <c r="AF3" s="201" t="s">
        <v>349</v>
      </c>
      <c r="AG3" s="194"/>
      <c r="AH3" s="194"/>
      <c r="AI3" s="201" t="s">
        <v>350</v>
      </c>
      <c r="AJ3" s="194"/>
    </row>
    <row r="4" spans="1:36" x14ac:dyDescent="0.3">
      <c r="A4" s="196" t="s">
        <v>326</v>
      </c>
      <c r="B4" s="197">
        <v>45980</v>
      </c>
      <c r="C4" s="198" t="s">
        <v>97</v>
      </c>
      <c r="D4" s="199" t="s">
        <v>351</v>
      </c>
      <c r="E4" s="198" t="s">
        <v>1</v>
      </c>
      <c r="F4" s="198" t="s">
        <v>328</v>
      </c>
      <c r="G4" s="200">
        <v>0.91620000000000001</v>
      </c>
      <c r="H4" s="201">
        <v>179</v>
      </c>
      <c r="I4" s="201">
        <v>164</v>
      </c>
      <c r="J4" s="201">
        <v>45</v>
      </c>
      <c r="K4" s="198" t="s">
        <v>329</v>
      </c>
      <c r="L4" s="202">
        <v>45976</v>
      </c>
      <c r="M4" s="201">
        <v>0</v>
      </c>
      <c r="N4" s="201">
        <v>0</v>
      </c>
      <c r="O4" s="201">
        <v>6</v>
      </c>
      <c r="P4" s="198" t="s">
        <v>98</v>
      </c>
      <c r="Q4" s="194"/>
      <c r="R4" s="194"/>
      <c r="S4" s="194"/>
      <c r="T4" s="194"/>
      <c r="U4" s="194"/>
      <c r="V4" s="194"/>
      <c r="W4" s="194"/>
      <c r="X4" s="201" t="s">
        <v>200</v>
      </c>
      <c r="Y4" s="201" t="s">
        <v>330</v>
      </c>
      <c r="Z4" s="201" t="s">
        <v>352</v>
      </c>
      <c r="AA4" s="201" t="s">
        <v>332</v>
      </c>
      <c r="AB4" s="201" t="s">
        <v>353</v>
      </c>
      <c r="AC4" s="201" t="s">
        <v>354</v>
      </c>
      <c r="AD4" s="201" t="s">
        <v>355</v>
      </c>
      <c r="AE4" s="201" t="s">
        <v>356</v>
      </c>
      <c r="AF4" s="201" t="s">
        <v>357</v>
      </c>
      <c r="AG4" s="194"/>
      <c r="AH4" s="194"/>
      <c r="AI4" s="201" t="s">
        <v>358</v>
      </c>
      <c r="AJ4" s="201" t="s">
        <v>359</v>
      </c>
    </row>
    <row r="5" spans="1:36" x14ac:dyDescent="0.3">
      <c r="A5" s="196" t="s">
        <v>360</v>
      </c>
      <c r="B5" s="197">
        <v>45981</v>
      </c>
      <c r="C5" s="198" t="s">
        <v>148</v>
      </c>
      <c r="D5" s="199" t="s">
        <v>361</v>
      </c>
      <c r="E5" s="198" t="s">
        <v>1</v>
      </c>
      <c r="F5" s="198" t="s">
        <v>328</v>
      </c>
      <c r="G5" s="200">
        <v>0.75980000000000003</v>
      </c>
      <c r="H5" s="201">
        <v>179</v>
      </c>
      <c r="I5" s="201">
        <v>136</v>
      </c>
      <c r="J5" s="201">
        <v>28</v>
      </c>
      <c r="K5" s="198" t="s">
        <v>329</v>
      </c>
      <c r="L5" s="202">
        <v>45979</v>
      </c>
      <c r="M5" s="201">
        <v>0</v>
      </c>
      <c r="N5" s="201">
        <v>9</v>
      </c>
      <c r="O5" s="201">
        <v>35</v>
      </c>
      <c r="P5" s="198" t="s">
        <v>149</v>
      </c>
      <c r="Q5" s="194"/>
      <c r="R5" s="194"/>
      <c r="S5" s="194"/>
      <c r="T5" s="194"/>
      <c r="U5" s="194"/>
      <c r="V5" s="194"/>
      <c r="W5" s="194"/>
      <c r="X5" s="201" t="s">
        <v>362</v>
      </c>
      <c r="Y5" s="201" t="s">
        <v>363</v>
      </c>
      <c r="Z5" s="201" t="s">
        <v>364</v>
      </c>
      <c r="AA5" s="201" t="s">
        <v>365</v>
      </c>
      <c r="AB5" s="194"/>
      <c r="AC5" s="194"/>
      <c r="AD5" s="194"/>
      <c r="AE5" s="194"/>
      <c r="AF5" s="194"/>
      <c r="AG5" s="194"/>
      <c r="AH5" s="194"/>
      <c r="AI5" s="201" t="s">
        <v>366</v>
      </c>
      <c r="AJ5" s="194"/>
    </row>
    <row r="6" spans="1:36" x14ac:dyDescent="0.3">
      <c r="A6" s="196" t="s">
        <v>360</v>
      </c>
      <c r="B6" s="197">
        <v>45981</v>
      </c>
      <c r="C6" s="198" t="s">
        <v>160</v>
      </c>
      <c r="D6" s="199" t="s">
        <v>367</v>
      </c>
      <c r="E6" s="198" t="s">
        <v>1</v>
      </c>
      <c r="F6" s="198" t="s">
        <v>328</v>
      </c>
      <c r="G6" s="200">
        <v>0.96650000000000003</v>
      </c>
      <c r="H6" s="201">
        <v>179</v>
      </c>
      <c r="I6" s="201">
        <v>173</v>
      </c>
      <c r="J6" s="201">
        <v>60</v>
      </c>
      <c r="K6" s="198" t="s">
        <v>329</v>
      </c>
      <c r="L6" s="202">
        <v>45979</v>
      </c>
      <c r="M6" s="201">
        <v>0</v>
      </c>
      <c r="N6" s="201">
        <v>4</v>
      </c>
      <c r="O6" s="201">
        <v>15</v>
      </c>
      <c r="P6" s="198" t="s">
        <v>92</v>
      </c>
      <c r="Q6" s="194"/>
      <c r="R6" s="194"/>
      <c r="S6" s="194"/>
      <c r="T6" s="194"/>
      <c r="U6" s="194"/>
      <c r="V6" s="194"/>
      <c r="W6" s="194"/>
      <c r="X6" s="201" t="s">
        <v>368</v>
      </c>
      <c r="Y6" s="201" t="s">
        <v>369</v>
      </c>
      <c r="Z6" s="201" t="s">
        <v>370</v>
      </c>
      <c r="AA6" s="201" t="s">
        <v>371</v>
      </c>
      <c r="AB6" s="201" t="s">
        <v>333</v>
      </c>
      <c r="AC6" s="201" t="s">
        <v>288</v>
      </c>
      <c r="AD6" s="201" t="s">
        <v>347</v>
      </c>
      <c r="AE6" s="201" t="s">
        <v>348</v>
      </c>
      <c r="AF6" s="201" t="s">
        <v>337</v>
      </c>
      <c r="AG6" s="194"/>
      <c r="AH6" s="194"/>
      <c r="AI6" s="201" t="s">
        <v>372</v>
      </c>
      <c r="AJ6" s="194"/>
    </row>
    <row r="7" spans="1:36" x14ac:dyDescent="0.3">
      <c r="A7" s="196" t="s">
        <v>360</v>
      </c>
      <c r="B7" s="197">
        <v>45981</v>
      </c>
      <c r="C7" s="198" t="s">
        <v>152</v>
      </c>
      <c r="D7" s="199" t="s">
        <v>373</v>
      </c>
      <c r="E7" s="198" t="s">
        <v>1</v>
      </c>
      <c r="F7" s="198" t="s">
        <v>328</v>
      </c>
      <c r="G7" s="200">
        <v>0.87709999999999999</v>
      </c>
      <c r="H7" s="201">
        <v>179</v>
      </c>
      <c r="I7" s="201">
        <v>157</v>
      </c>
      <c r="J7" s="201">
        <v>72</v>
      </c>
      <c r="K7" s="198" t="s">
        <v>329</v>
      </c>
      <c r="L7" s="202">
        <v>45979</v>
      </c>
      <c r="M7" s="201">
        <v>0</v>
      </c>
      <c r="N7" s="201">
        <v>7</v>
      </c>
      <c r="O7" s="201">
        <v>13</v>
      </c>
      <c r="P7" s="198" t="s">
        <v>149</v>
      </c>
      <c r="Q7" s="194"/>
      <c r="R7" s="194"/>
      <c r="S7" s="194"/>
      <c r="T7" s="194"/>
      <c r="U7" s="194"/>
      <c r="V7" s="194"/>
      <c r="W7" s="201" t="s">
        <v>374</v>
      </c>
      <c r="X7" s="201" t="s">
        <v>375</v>
      </c>
      <c r="Y7" s="201" t="s">
        <v>376</v>
      </c>
      <c r="Z7" s="201" t="s">
        <v>377</v>
      </c>
      <c r="AA7" s="201" t="s">
        <v>378</v>
      </c>
      <c r="AB7" s="194"/>
      <c r="AC7" s="194"/>
      <c r="AD7" s="194"/>
      <c r="AE7" s="194"/>
      <c r="AF7" s="194"/>
      <c r="AG7" s="201" t="s">
        <v>379</v>
      </c>
      <c r="AH7" s="194"/>
      <c r="AI7" s="201" t="s">
        <v>380</v>
      </c>
      <c r="AJ7" s="201" t="s">
        <v>381</v>
      </c>
    </row>
    <row r="8" spans="1:36" x14ac:dyDescent="0.3">
      <c r="A8" s="196" t="s">
        <v>360</v>
      </c>
      <c r="B8" s="197">
        <v>45981</v>
      </c>
      <c r="C8" s="198" t="s">
        <v>91</v>
      </c>
      <c r="D8" s="199" t="s">
        <v>382</v>
      </c>
      <c r="E8" s="198" t="s">
        <v>1</v>
      </c>
      <c r="F8" s="198" t="s">
        <v>328</v>
      </c>
      <c r="G8" s="200">
        <v>0.83799999999999997</v>
      </c>
      <c r="H8" s="201">
        <v>179</v>
      </c>
      <c r="I8" s="201">
        <v>150</v>
      </c>
      <c r="J8" s="201">
        <v>104</v>
      </c>
      <c r="K8" s="198" t="s">
        <v>329</v>
      </c>
      <c r="L8" s="202">
        <v>45980</v>
      </c>
      <c r="M8" s="201">
        <v>1</v>
      </c>
      <c r="N8" s="201">
        <v>10</v>
      </c>
      <c r="O8" s="201">
        <v>19</v>
      </c>
      <c r="P8" s="198" t="s">
        <v>149</v>
      </c>
      <c r="Q8" s="194"/>
      <c r="R8" s="194"/>
      <c r="S8" s="194"/>
      <c r="T8" s="194"/>
      <c r="U8" s="194"/>
      <c r="V8" s="194"/>
      <c r="W8" s="201" t="s">
        <v>374</v>
      </c>
      <c r="X8" s="201" t="s">
        <v>383</v>
      </c>
      <c r="Y8" s="201" t="s">
        <v>384</v>
      </c>
      <c r="Z8" s="201" t="s">
        <v>385</v>
      </c>
      <c r="AA8" s="201" t="s">
        <v>332</v>
      </c>
      <c r="AB8" s="194"/>
      <c r="AC8" s="194"/>
      <c r="AD8" s="194"/>
      <c r="AE8" s="194"/>
      <c r="AF8" s="194"/>
      <c r="AG8" s="194"/>
      <c r="AH8" s="194"/>
      <c r="AI8" s="201" t="s">
        <v>386</v>
      </c>
      <c r="AJ8" s="194"/>
    </row>
    <row r="9" spans="1:36" x14ac:dyDescent="0.3">
      <c r="A9" s="196" t="s">
        <v>360</v>
      </c>
      <c r="B9" s="197">
        <v>45981</v>
      </c>
      <c r="C9" s="198" t="s">
        <v>156</v>
      </c>
      <c r="D9" s="199" t="s">
        <v>387</v>
      </c>
      <c r="E9" s="198" t="s">
        <v>1</v>
      </c>
      <c r="F9" s="198" t="s">
        <v>328</v>
      </c>
      <c r="G9" s="200">
        <v>0.56979999999999997</v>
      </c>
      <c r="H9" s="201">
        <v>179</v>
      </c>
      <c r="I9" s="201">
        <v>102</v>
      </c>
      <c r="J9" s="201">
        <v>2</v>
      </c>
      <c r="K9" s="198" t="s">
        <v>329</v>
      </c>
      <c r="L9" s="202">
        <v>45978</v>
      </c>
      <c r="M9" s="201">
        <v>0</v>
      </c>
      <c r="N9" s="201">
        <v>0</v>
      </c>
      <c r="O9" s="201">
        <v>16</v>
      </c>
      <c r="P9" s="198" t="s">
        <v>157</v>
      </c>
      <c r="Q9" s="194"/>
      <c r="R9" s="194"/>
      <c r="S9" s="194"/>
      <c r="T9" s="194"/>
      <c r="U9" s="194"/>
      <c r="V9" s="194"/>
      <c r="W9" s="201" t="s">
        <v>388</v>
      </c>
      <c r="X9" s="201" t="s">
        <v>389</v>
      </c>
      <c r="Y9" s="201" t="s">
        <v>342</v>
      </c>
      <c r="Z9" s="201" t="s">
        <v>390</v>
      </c>
      <c r="AA9" s="201" t="s">
        <v>344</v>
      </c>
      <c r="AB9" s="201" t="s">
        <v>391</v>
      </c>
      <c r="AC9" s="201" t="s">
        <v>392</v>
      </c>
      <c r="AD9" s="201" t="s">
        <v>258</v>
      </c>
      <c r="AE9" s="201" t="s">
        <v>348</v>
      </c>
      <c r="AF9" s="201" t="s">
        <v>393</v>
      </c>
      <c r="AG9" s="194"/>
      <c r="AH9" s="194"/>
      <c r="AI9" s="201" t="s">
        <v>394</v>
      </c>
      <c r="AJ9" s="201" t="s">
        <v>381</v>
      </c>
    </row>
    <row r="10" spans="1:36" x14ac:dyDescent="0.3">
      <c r="A10" s="196" t="s">
        <v>360</v>
      </c>
      <c r="B10" s="197">
        <v>45981</v>
      </c>
      <c r="C10" s="198" t="s">
        <v>97</v>
      </c>
      <c r="D10" s="199" t="s">
        <v>395</v>
      </c>
      <c r="E10" s="198" t="s">
        <v>1</v>
      </c>
      <c r="F10" s="198" t="s">
        <v>328</v>
      </c>
      <c r="G10" s="200">
        <v>0.96089999999999998</v>
      </c>
      <c r="H10" s="201">
        <v>179</v>
      </c>
      <c r="I10" s="201">
        <v>172</v>
      </c>
      <c r="J10" s="201">
        <v>98</v>
      </c>
      <c r="K10" s="198" t="s">
        <v>329</v>
      </c>
      <c r="L10" s="202">
        <v>45977</v>
      </c>
      <c r="M10" s="201">
        <v>0</v>
      </c>
      <c r="N10" s="201">
        <v>0</v>
      </c>
      <c r="O10" s="201">
        <v>9</v>
      </c>
      <c r="P10" s="198" t="s">
        <v>163</v>
      </c>
      <c r="Q10" s="194"/>
      <c r="R10" s="194"/>
      <c r="S10" s="194"/>
      <c r="T10" s="194"/>
      <c r="U10" s="201" t="s">
        <v>396</v>
      </c>
      <c r="V10" s="201" t="s">
        <v>397</v>
      </c>
      <c r="W10" s="201" t="s">
        <v>398</v>
      </c>
      <c r="X10" s="201" t="s">
        <v>362</v>
      </c>
      <c r="Y10" s="201" t="s">
        <v>399</v>
      </c>
      <c r="Z10" s="201" t="s">
        <v>400</v>
      </c>
      <c r="AA10" s="201" t="s">
        <v>401</v>
      </c>
      <c r="AB10" s="194"/>
      <c r="AC10" s="194"/>
      <c r="AD10" s="194"/>
      <c r="AE10" s="194"/>
      <c r="AF10" s="194"/>
      <c r="AG10" s="201" t="s">
        <v>402</v>
      </c>
      <c r="AH10" s="194"/>
      <c r="AI10" s="201" t="s">
        <v>403</v>
      </c>
      <c r="AJ10" s="194"/>
    </row>
    <row r="11" spans="1:36" x14ac:dyDescent="0.3">
      <c r="A11" s="196" t="s">
        <v>360</v>
      </c>
      <c r="B11" s="197">
        <v>45981</v>
      </c>
      <c r="C11" s="198" t="s">
        <v>167</v>
      </c>
      <c r="D11" s="199" t="s">
        <v>404</v>
      </c>
      <c r="E11" s="198" t="s">
        <v>1</v>
      </c>
      <c r="F11" s="198" t="s">
        <v>328</v>
      </c>
      <c r="G11" s="200">
        <v>0.96650000000000003</v>
      </c>
      <c r="H11" s="201">
        <v>179</v>
      </c>
      <c r="I11" s="201">
        <v>173</v>
      </c>
      <c r="J11" s="201">
        <v>90</v>
      </c>
      <c r="K11" s="198" t="s">
        <v>329</v>
      </c>
      <c r="L11" s="202">
        <v>45978</v>
      </c>
      <c r="M11" s="201">
        <v>0</v>
      </c>
      <c r="N11" s="201">
        <v>0</v>
      </c>
      <c r="O11" s="201">
        <v>3</v>
      </c>
      <c r="P11" s="198" t="s">
        <v>168</v>
      </c>
      <c r="Q11" s="194"/>
      <c r="R11" s="194"/>
      <c r="S11" s="201" t="s">
        <v>405</v>
      </c>
      <c r="T11" s="194"/>
      <c r="U11" s="201" t="s">
        <v>406</v>
      </c>
      <c r="V11" s="201" t="s">
        <v>407</v>
      </c>
      <c r="W11" s="201" t="s">
        <v>408</v>
      </c>
      <c r="X11" s="201" t="s">
        <v>362</v>
      </c>
      <c r="Y11" s="201" t="s">
        <v>384</v>
      </c>
      <c r="Z11" s="201" t="s">
        <v>400</v>
      </c>
      <c r="AA11" s="201" t="s">
        <v>332</v>
      </c>
      <c r="AB11" s="194"/>
      <c r="AC11" s="194"/>
      <c r="AD11" s="194"/>
      <c r="AE11" s="194"/>
      <c r="AF11" s="201" t="s">
        <v>409</v>
      </c>
      <c r="AG11" s="194"/>
      <c r="AH11" s="194"/>
      <c r="AI11" s="201" t="s">
        <v>410</v>
      </c>
      <c r="AJ11" s="194"/>
    </row>
    <row r="12" spans="1:36" x14ac:dyDescent="0.3">
      <c r="A12" s="196" t="s">
        <v>411</v>
      </c>
      <c r="B12" s="197">
        <v>45982</v>
      </c>
      <c r="C12" s="198" t="s">
        <v>148</v>
      </c>
      <c r="D12" s="199" t="s">
        <v>367</v>
      </c>
      <c r="E12" s="198" t="s">
        <v>1</v>
      </c>
      <c r="F12" s="198" t="s">
        <v>328</v>
      </c>
      <c r="G12" s="200">
        <v>0.50280000000000002</v>
      </c>
      <c r="H12" s="201">
        <v>179</v>
      </c>
      <c r="I12" s="201">
        <v>90</v>
      </c>
      <c r="J12" s="201">
        <v>0</v>
      </c>
      <c r="K12" s="198" t="s">
        <v>329</v>
      </c>
      <c r="L12" s="202">
        <v>45979</v>
      </c>
      <c r="M12" s="201">
        <v>0</v>
      </c>
      <c r="N12" s="201">
        <v>7</v>
      </c>
      <c r="O12" s="201">
        <v>23</v>
      </c>
      <c r="P12" s="198" t="s">
        <v>98</v>
      </c>
      <c r="Q12" s="194"/>
      <c r="R12" s="194"/>
      <c r="S12" s="194"/>
      <c r="T12" s="194"/>
      <c r="U12" s="194"/>
      <c r="V12" s="201" t="s">
        <v>412</v>
      </c>
      <c r="W12" s="201" t="s">
        <v>413</v>
      </c>
      <c r="X12" s="201" t="s">
        <v>414</v>
      </c>
      <c r="Y12" s="201" t="s">
        <v>415</v>
      </c>
      <c r="Z12" s="201" t="s">
        <v>400</v>
      </c>
      <c r="AA12" s="201" t="s">
        <v>332</v>
      </c>
      <c r="AB12" s="194"/>
      <c r="AC12" s="194"/>
      <c r="AD12" s="194"/>
      <c r="AE12" s="194"/>
      <c r="AF12" s="194"/>
      <c r="AG12" s="194"/>
      <c r="AH12" s="194"/>
      <c r="AI12" s="194"/>
      <c r="AJ12" s="194"/>
    </row>
    <row r="13" spans="1:36" x14ac:dyDescent="0.3">
      <c r="A13" s="196" t="s">
        <v>411</v>
      </c>
      <c r="B13" s="197">
        <v>45982</v>
      </c>
      <c r="C13" s="198" t="s">
        <v>91</v>
      </c>
      <c r="D13" s="199" t="s">
        <v>416</v>
      </c>
      <c r="E13" s="198" t="s">
        <v>1</v>
      </c>
      <c r="F13" s="198" t="s">
        <v>328</v>
      </c>
      <c r="G13" s="200">
        <v>0.5978</v>
      </c>
      <c r="H13" s="201">
        <v>179</v>
      </c>
      <c r="I13" s="201">
        <v>107</v>
      </c>
      <c r="J13" s="201">
        <v>1</v>
      </c>
      <c r="K13" s="198" t="s">
        <v>329</v>
      </c>
      <c r="L13" s="202">
        <v>45978</v>
      </c>
      <c r="M13" s="201">
        <v>0</v>
      </c>
      <c r="N13" s="201">
        <v>0</v>
      </c>
      <c r="O13" s="201">
        <v>21</v>
      </c>
      <c r="P13" s="198" t="s">
        <v>163</v>
      </c>
      <c r="Q13" s="194"/>
      <c r="R13" s="194"/>
      <c r="S13" s="194"/>
      <c r="T13" s="194"/>
      <c r="U13" s="194"/>
      <c r="V13" s="201" t="s">
        <v>397</v>
      </c>
      <c r="W13" s="201" t="s">
        <v>413</v>
      </c>
      <c r="X13" s="201" t="s">
        <v>417</v>
      </c>
      <c r="Y13" s="201" t="s">
        <v>415</v>
      </c>
      <c r="Z13" s="201" t="s">
        <v>418</v>
      </c>
      <c r="AA13" s="201" t="s">
        <v>332</v>
      </c>
      <c r="AB13" s="201" t="s">
        <v>419</v>
      </c>
      <c r="AC13" s="201" t="s">
        <v>288</v>
      </c>
      <c r="AD13" s="201" t="s">
        <v>420</v>
      </c>
      <c r="AE13" s="201" t="s">
        <v>336</v>
      </c>
      <c r="AF13" s="201" t="s">
        <v>337</v>
      </c>
      <c r="AG13" s="194"/>
      <c r="AH13" s="194"/>
      <c r="AI13" s="201" t="s">
        <v>380</v>
      </c>
      <c r="AJ13" s="194"/>
    </row>
    <row r="14" spans="1:36" x14ac:dyDescent="0.3">
      <c r="A14" s="196" t="s">
        <v>411</v>
      </c>
      <c r="B14" s="197">
        <v>45982</v>
      </c>
      <c r="C14" s="198" t="s">
        <v>97</v>
      </c>
      <c r="D14" s="199" t="s">
        <v>421</v>
      </c>
      <c r="E14" s="198" t="s">
        <v>1</v>
      </c>
      <c r="F14" s="198" t="s">
        <v>328</v>
      </c>
      <c r="G14" s="200">
        <v>0.54190000000000005</v>
      </c>
      <c r="H14" s="201">
        <v>179</v>
      </c>
      <c r="I14" s="201">
        <v>97</v>
      </c>
      <c r="J14" s="201">
        <v>0</v>
      </c>
      <c r="K14" s="198" t="s">
        <v>329</v>
      </c>
      <c r="L14" s="202">
        <v>45976</v>
      </c>
      <c r="M14" s="201">
        <v>0</v>
      </c>
      <c r="N14" s="201">
        <v>0</v>
      </c>
      <c r="O14" s="201">
        <v>7</v>
      </c>
      <c r="P14" s="198" t="s">
        <v>202</v>
      </c>
      <c r="Q14" s="194"/>
      <c r="R14" s="194"/>
      <c r="S14" s="194"/>
      <c r="T14" s="194"/>
      <c r="U14" s="194"/>
      <c r="V14" s="194"/>
      <c r="W14" s="201" t="s">
        <v>422</v>
      </c>
      <c r="X14" s="201" t="s">
        <v>362</v>
      </c>
      <c r="Y14" s="201" t="s">
        <v>423</v>
      </c>
      <c r="Z14" s="201" t="s">
        <v>352</v>
      </c>
      <c r="AA14" s="201" t="s">
        <v>332</v>
      </c>
      <c r="AB14" s="194"/>
      <c r="AC14" s="194"/>
      <c r="AD14" s="194"/>
      <c r="AE14" s="194"/>
      <c r="AF14" s="194"/>
      <c r="AG14" s="194"/>
      <c r="AH14" s="194"/>
      <c r="AI14" s="194"/>
      <c r="AJ14" s="194"/>
    </row>
    <row r="15" spans="1:36" x14ac:dyDescent="0.3">
      <c r="A15" s="196" t="s">
        <v>411</v>
      </c>
      <c r="B15" s="197">
        <v>45982</v>
      </c>
      <c r="C15" s="198" t="s">
        <v>167</v>
      </c>
      <c r="D15" s="199" t="s">
        <v>351</v>
      </c>
      <c r="E15" s="198" t="s">
        <v>1</v>
      </c>
      <c r="F15" s="198" t="s">
        <v>328</v>
      </c>
      <c r="G15" s="200">
        <v>0.53069999999999995</v>
      </c>
      <c r="H15" s="201">
        <v>179</v>
      </c>
      <c r="I15" s="201">
        <v>95</v>
      </c>
      <c r="J15" s="201">
        <v>0</v>
      </c>
      <c r="K15" s="198" t="s">
        <v>329</v>
      </c>
      <c r="L15" s="202">
        <v>45979</v>
      </c>
      <c r="M15" s="201">
        <v>0</v>
      </c>
      <c r="N15" s="201">
        <v>1</v>
      </c>
      <c r="O15" s="201">
        <v>19</v>
      </c>
      <c r="P15" s="198" t="s">
        <v>204</v>
      </c>
      <c r="Q15" s="194"/>
      <c r="R15" s="194"/>
      <c r="S15" s="194"/>
      <c r="T15" s="194"/>
      <c r="U15" s="194"/>
      <c r="V15" s="194"/>
      <c r="W15" s="201" t="s">
        <v>424</v>
      </c>
      <c r="X15" s="201" t="s">
        <v>425</v>
      </c>
      <c r="Y15" s="201" t="s">
        <v>415</v>
      </c>
      <c r="Z15" s="201" t="s">
        <v>426</v>
      </c>
      <c r="AA15" s="201" t="s">
        <v>332</v>
      </c>
      <c r="AB15" s="194"/>
      <c r="AC15" s="194"/>
      <c r="AD15" s="194"/>
      <c r="AE15" s="194"/>
      <c r="AF15" s="194"/>
      <c r="AG15" s="194"/>
      <c r="AH15" s="194"/>
      <c r="AI15" s="194"/>
      <c r="AJ15" s="194"/>
    </row>
    <row r="16" spans="1:36" x14ac:dyDescent="0.3">
      <c r="A16" s="196" t="s">
        <v>411</v>
      </c>
      <c r="B16" s="197">
        <v>45982</v>
      </c>
      <c r="C16" s="198" t="s">
        <v>160</v>
      </c>
      <c r="D16" s="199" t="s">
        <v>427</v>
      </c>
      <c r="E16" s="198" t="s">
        <v>1</v>
      </c>
      <c r="F16" s="198" t="s">
        <v>328</v>
      </c>
      <c r="G16" s="200">
        <v>0.5363</v>
      </c>
      <c r="H16" s="201">
        <v>179</v>
      </c>
      <c r="I16" s="201">
        <v>96</v>
      </c>
      <c r="J16" s="201">
        <v>0</v>
      </c>
      <c r="K16" s="198" t="s">
        <v>329</v>
      </c>
      <c r="L16" s="202">
        <v>45979</v>
      </c>
      <c r="M16" s="201">
        <v>0</v>
      </c>
      <c r="N16" s="201">
        <v>3</v>
      </c>
      <c r="O16" s="201">
        <v>15</v>
      </c>
      <c r="P16" s="198" t="s">
        <v>200</v>
      </c>
      <c r="Q16" s="194"/>
      <c r="R16" s="194"/>
      <c r="S16" s="194"/>
      <c r="T16" s="194"/>
      <c r="U16" s="194"/>
      <c r="V16" s="194"/>
      <c r="W16" s="201" t="s">
        <v>428</v>
      </c>
      <c r="X16" s="201" t="s">
        <v>362</v>
      </c>
      <c r="Y16" s="201" t="s">
        <v>429</v>
      </c>
      <c r="Z16" s="201" t="s">
        <v>331</v>
      </c>
      <c r="AA16" s="201" t="s">
        <v>332</v>
      </c>
      <c r="AB16" s="194"/>
      <c r="AC16" s="194"/>
      <c r="AD16" s="194"/>
      <c r="AE16" s="194"/>
      <c r="AF16" s="194"/>
      <c r="AG16" s="194"/>
      <c r="AH16" s="194"/>
      <c r="AI16" s="194"/>
      <c r="AJ16" s="194"/>
    </row>
    <row r="17" spans="1:36" x14ac:dyDescent="0.3">
      <c r="A17" s="196" t="s">
        <v>411</v>
      </c>
      <c r="B17" s="197">
        <v>45982</v>
      </c>
      <c r="C17" s="198" t="s">
        <v>86</v>
      </c>
      <c r="D17" s="199" t="s">
        <v>430</v>
      </c>
      <c r="E17" s="198" t="s">
        <v>1</v>
      </c>
      <c r="F17" s="198" t="s">
        <v>328</v>
      </c>
      <c r="G17" s="200">
        <v>1.0172000000000001</v>
      </c>
      <c r="H17" s="201">
        <v>174</v>
      </c>
      <c r="I17" s="201">
        <v>177</v>
      </c>
      <c r="J17" s="201">
        <v>92</v>
      </c>
      <c r="K17" s="198" t="s">
        <v>329</v>
      </c>
      <c r="L17" s="202">
        <v>45979</v>
      </c>
      <c r="M17" s="201">
        <v>0</v>
      </c>
      <c r="N17" s="201">
        <v>1</v>
      </c>
      <c r="O17" s="201">
        <v>7</v>
      </c>
      <c r="P17" s="198" t="s">
        <v>209</v>
      </c>
      <c r="Q17" s="194"/>
      <c r="R17" s="194"/>
      <c r="S17" s="194"/>
      <c r="T17" s="194"/>
      <c r="U17" s="194"/>
      <c r="V17" s="194"/>
      <c r="W17" s="201" t="s">
        <v>163</v>
      </c>
      <c r="X17" s="194"/>
      <c r="Y17" s="201" t="s">
        <v>238</v>
      </c>
      <c r="Z17" s="201" t="s">
        <v>431</v>
      </c>
      <c r="AA17" s="201" t="s">
        <v>344</v>
      </c>
      <c r="AB17" s="201" t="s">
        <v>333</v>
      </c>
      <c r="AC17" s="201" t="s">
        <v>432</v>
      </c>
      <c r="AD17" s="201" t="s">
        <v>433</v>
      </c>
      <c r="AE17" s="201" t="s">
        <v>434</v>
      </c>
      <c r="AF17" s="201" t="s">
        <v>435</v>
      </c>
      <c r="AG17" s="194"/>
      <c r="AH17" s="194"/>
      <c r="AI17" s="201" t="s">
        <v>436</v>
      </c>
      <c r="AJ17" s="194"/>
    </row>
    <row r="18" spans="1:36" x14ac:dyDescent="0.3">
      <c r="A18" s="196" t="s">
        <v>437</v>
      </c>
      <c r="B18" s="197">
        <v>45983</v>
      </c>
      <c r="C18" s="198" t="s">
        <v>152</v>
      </c>
      <c r="D18" s="199" t="s">
        <v>438</v>
      </c>
      <c r="E18" s="198" t="s">
        <v>1</v>
      </c>
      <c r="F18" s="198" t="s">
        <v>328</v>
      </c>
      <c r="G18" s="200">
        <v>1</v>
      </c>
      <c r="H18" s="201">
        <v>179</v>
      </c>
      <c r="I18" s="201">
        <v>179</v>
      </c>
      <c r="J18" s="201">
        <v>50</v>
      </c>
      <c r="K18" s="198" t="s">
        <v>329</v>
      </c>
      <c r="L18" s="202">
        <v>45971</v>
      </c>
      <c r="M18" s="201">
        <v>0</v>
      </c>
      <c r="N18" s="201">
        <v>0</v>
      </c>
      <c r="O18" s="201">
        <v>0</v>
      </c>
      <c r="P18" s="198" t="s">
        <v>209</v>
      </c>
      <c r="Q18" s="194"/>
      <c r="R18" s="194"/>
      <c r="S18" s="194"/>
      <c r="T18" s="194"/>
      <c r="U18" s="194"/>
      <c r="V18" s="194"/>
      <c r="W18" s="201" t="s">
        <v>439</v>
      </c>
      <c r="X18" s="194"/>
      <c r="Y18" s="201" t="s">
        <v>384</v>
      </c>
      <c r="Z18" s="201" t="s">
        <v>431</v>
      </c>
      <c r="AA18" s="201" t="s">
        <v>440</v>
      </c>
      <c r="AB18" s="201" t="s">
        <v>333</v>
      </c>
      <c r="AC18" s="201" t="s">
        <v>432</v>
      </c>
      <c r="AD18" s="201" t="s">
        <v>441</v>
      </c>
      <c r="AE18" s="201" t="s">
        <v>442</v>
      </c>
      <c r="AF18" s="201" t="s">
        <v>443</v>
      </c>
      <c r="AG18" s="194"/>
      <c r="AH18" s="194"/>
      <c r="AI18" s="201" t="s">
        <v>444</v>
      </c>
      <c r="AJ18" s="194"/>
    </row>
    <row r="19" spans="1:36" x14ac:dyDescent="0.3">
      <c r="A19" s="196" t="s">
        <v>437</v>
      </c>
      <c r="B19" s="197">
        <v>45983</v>
      </c>
      <c r="C19" s="198" t="s">
        <v>91</v>
      </c>
      <c r="D19" s="199" t="s">
        <v>382</v>
      </c>
      <c r="E19" s="198" t="s">
        <v>1</v>
      </c>
      <c r="F19" s="198" t="s">
        <v>328</v>
      </c>
      <c r="G19" s="200">
        <v>1</v>
      </c>
      <c r="H19" s="201">
        <v>179</v>
      </c>
      <c r="I19" s="201">
        <v>179</v>
      </c>
      <c r="J19" s="201">
        <v>134</v>
      </c>
      <c r="K19" s="198" t="s">
        <v>329</v>
      </c>
      <c r="L19" s="202">
        <v>45979</v>
      </c>
      <c r="M19" s="201">
        <v>0</v>
      </c>
      <c r="N19" s="201">
        <v>4</v>
      </c>
      <c r="O19" s="201">
        <v>6</v>
      </c>
      <c r="P19" s="198" t="s">
        <v>209</v>
      </c>
      <c r="Q19" s="194"/>
      <c r="R19" s="194"/>
      <c r="S19" s="194"/>
      <c r="T19" s="194"/>
      <c r="U19" s="194"/>
      <c r="V19" s="201" t="s">
        <v>445</v>
      </c>
      <c r="W19" s="194"/>
      <c r="X19" s="201" t="s">
        <v>204</v>
      </c>
      <c r="Y19" s="194"/>
      <c r="Z19" s="201" t="s">
        <v>446</v>
      </c>
      <c r="AA19" s="201" t="s">
        <v>332</v>
      </c>
      <c r="AB19" s="194"/>
      <c r="AC19" s="194"/>
      <c r="AD19" s="194"/>
      <c r="AE19" s="194"/>
      <c r="AF19" s="194"/>
      <c r="AG19" s="194"/>
      <c r="AH19" s="194"/>
      <c r="AI19" s="201" t="s">
        <v>447</v>
      </c>
      <c r="AJ19" s="201" t="s">
        <v>448</v>
      </c>
    </row>
    <row r="20" spans="1:36" x14ac:dyDescent="0.3">
      <c r="A20" s="196" t="s">
        <v>437</v>
      </c>
      <c r="B20" s="197">
        <v>45983</v>
      </c>
      <c r="C20" s="198" t="s">
        <v>97</v>
      </c>
      <c r="D20" s="199" t="s">
        <v>449</v>
      </c>
      <c r="E20" s="198" t="s">
        <v>1</v>
      </c>
      <c r="F20" s="198" t="s">
        <v>328</v>
      </c>
      <c r="G20" s="200">
        <v>0.99439999999999995</v>
      </c>
      <c r="H20" s="201">
        <v>179</v>
      </c>
      <c r="I20" s="201">
        <v>178</v>
      </c>
      <c r="J20" s="201">
        <v>127</v>
      </c>
      <c r="K20" s="198" t="s">
        <v>329</v>
      </c>
      <c r="L20" s="202">
        <v>45977</v>
      </c>
      <c r="M20" s="201">
        <v>0</v>
      </c>
      <c r="N20" s="201">
        <v>0</v>
      </c>
      <c r="O20" s="201">
        <v>3</v>
      </c>
      <c r="P20" s="198" t="s">
        <v>220</v>
      </c>
      <c r="Q20" s="194"/>
      <c r="R20" s="194"/>
      <c r="S20" s="194"/>
      <c r="T20" s="194"/>
      <c r="U20" s="194"/>
      <c r="V20" s="201" t="s">
        <v>450</v>
      </c>
      <c r="W20" s="194"/>
      <c r="X20" s="201" t="s">
        <v>451</v>
      </c>
      <c r="Y20" s="201" t="s">
        <v>452</v>
      </c>
      <c r="Z20" s="201" t="s">
        <v>453</v>
      </c>
      <c r="AA20" s="201" t="s">
        <v>401</v>
      </c>
      <c r="AB20" s="201" t="s">
        <v>333</v>
      </c>
      <c r="AC20" s="201" t="s">
        <v>454</v>
      </c>
      <c r="AD20" s="201" t="s">
        <v>347</v>
      </c>
      <c r="AE20" s="201" t="s">
        <v>455</v>
      </c>
      <c r="AF20" s="201" t="s">
        <v>456</v>
      </c>
      <c r="AG20" s="201" t="s">
        <v>457</v>
      </c>
      <c r="AH20" s="194"/>
      <c r="AI20" s="201" t="s">
        <v>458</v>
      </c>
      <c r="AJ20" s="201" t="s">
        <v>459</v>
      </c>
    </row>
    <row r="21" spans="1:36" x14ac:dyDescent="0.3">
      <c r="A21" s="196" t="s">
        <v>460</v>
      </c>
      <c r="B21" s="197">
        <v>45984</v>
      </c>
      <c r="C21" s="198" t="s">
        <v>148</v>
      </c>
      <c r="D21" s="199" t="s">
        <v>461</v>
      </c>
      <c r="E21" s="198" t="s">
        <v>1</v>
      </c>
      <c r="F21" s="198" t="s">
        <v>328</v>
      </c>
      <c r="G21" s="200">
        <v>0.59219999999999995</v>
      </c>
      <c r="H21" s="201">
        <v>179</v>
      </c>
      <c r="I21" s="201">
        <v>106</v>
      </c>
      <c r="J21" s="201">
        <v>28</v>
      </c>
      <c r="K21" s="198" t="s">
        <v>329</v>
      </c>
      <c r="L21" s="202">
        <v>45979</v>
      </c>
      <c r="M21" s="201">
        <v>0</v>
      </c>
      <c r="N21" s="201">
        <v>20</v>
      </c>
      <c r="O21" s="201">
        <v>53</v>
      </c>
      <c r="P21" s="198" t="s">
        <v>232</v>
      </c>
      <c r="Q21" s="194"/>
      <c r="R21" s="194"/>
      <c r="S21" s="194"/>
      <c r="T21" s="194"/>
      <c r="U21" s="194"/>
      <c r="V21" s="194"/>
      <c r="W21" s="194"/>
      <c r="X21" s="194"/>
      <c r="Y21" s="194"/>
      <c r="Z21" s="201" t="s">
        <v>462</v>
      </c>
      <c r="AA21" s="201" t="s">
        <v>463</v>
      </c>
      <c r="AB21" s="201" t="s">
        <v>464</v>
      </c>
      <c r="AC21" s="201" t="s">
        <v>465</v>
      </c>
      <c r="AD21" s="201" t="s">
        <v>347</v>
      </c>
      <c r="AE21" s="201" t="s">
        <v>336</v>
      </c>
      <c r="AF21" s="201" t="s">
        <v>456</v>
      </c>
      <c r="AG21" s="194"/>
      <c r="AH21" s="194"/>
      <c r="AI21" s="201" t="s">
        <v>366</v>
      </c>
      <c r="AJ21" s="201" t="s">
        <v>381</v>
      </c>
    </row>
    <row r="22" spans="1:36" x14ac:dyDescent="0.3">
      <c r="A22" s="196" t="s">
        <v>460</v>
      </c>
      <c r="B22" s="197">
        <v>45984</v>
      </c>
      <c r="C22" s="198" t="s">
        <v>91</v>
      </c>
      <c r="D22" s="199" t="s">
        <v>416</v>
      </c>
      <c r="E22" s="198" t="s">
        <v>1</v>
      </c>
      <c r="F22" s="198" t="s">
        <v>328</v>
      </c>
      <c r="G22" s="200">
        <v>0.54190000000000005</v>
      </c>
      <c r="H22" s="201">
        <v>179</v>
      </c>
      <c r="I22" s="201">
        <v>97</v>
      </c>
      <c r="J22" s="201">
        <v>0</v>
      </c>
      <c r="K22" s="198" t="s">
        <v>329</v>
      </c>
      <c r="L22" s="202">
        <v>45979</v>
      </c>
      <c r="M22" s="201">
        <v>0</v>
      </c>
      <c r="N22" s="201">
        <v>11</v>
      </c>
      <c r="O22" s="201">
        <v>35</v>
      </c>
      <c r="P22" s="198" t="s">
        <v>234</v>
      </c>
      <c r="Q22" s="194"/>
      <c r="R22" s="194"/>
      <c r="S22" s="194"/>
      <c r="T22" s="194"/>
      <c r="U22" s="194"/>
      <c r="V22" s="194"/>
      <c r="W22" s="194"/>
      <c r="X22" s="194"/>
      <c r="Y22" s="201" t="s">
        <v>87</v>
      </c>
      <c r="Z22" s="201" t="s">
        <v>352</v>
      </c>
      <c r="AA22" s="201" t="s">
        <v>466</v>
      </c>
      <c r="AB22" s="201" t="s">
        <v>467</v>
      </c>
      <c r="AC22" s="201" t="s">
        <v>468</v>
      </c>
      <c r="AD22" s="201" t="s">
        <v>347</v>
      </c>
      <c r="AE22" s="201" t="s">
        <v>348</v>
      </c>
      <c r="AF22" s="201" t="s">
        <v>337</v>
      </c>
      <c r="AG22" s="194"/>
      <c r="AH22" s="194"/>
      <c r="AI22" s="194"/>
      <c r="AJ22" s="194"/>
    </row>
    <row r="23" spans="1:36" x14ac:dyDescent="0.3">
      <c r="A23" s="196" t="s">
        <v>460</v>
      </c>
      <c r="B23" s="197">
        <v>45984</v>
      </c>
      <c r="C23" s="198" t="s">
        <v>156</v>
      </c>
      <c r="D23" s="199" t="s">
        <v>382</v>
      </c>
      <c r="E23" s="198" t="s">
        <v>1</v>
      </c>
      <c r="F23" s="198" t="s">
        <v>328</v>
      </c>
      <c r="G23" s="200">
        <v>0.84519999999999995</v>
      </c>
      <c r="H23" s="201">
        <v>168</v>
      </c>
      <c r="I23" s="201">
        <v>142</v>
      </c>
      <c r="J23" s="201">
        <v>62</v>
      </c>
      <c r="K23" s="198" t="s">
        <v>329</v>
      </c>
      <c r="L23" s="202">
        <v>45979</v>
      </c>
      <c r="M23" s="201">
        <v>0</v>
      </c>
      <c r="N23" s="201">
        <v>10</v>
      </c>
      <c r="O23" s="201">
        <v>24</v>
      </c>
      <c r="P23" s="198" t="s">
        <v>230</v>
      </c>
      <c r="Q23" s="194"/>
      <c r="R23" s="194"/>
      <c r="S23" s="194"/>
      <c r="T23" s="194"/>
      <c r="U23" s="194"/>
      <c r="V23" s="194"/>
      <c r="W23" s="194"/>
      <c r="X23" s="194"/>
      <c r="Y23" s="201" t="s">
        <v>238</v>
      </c>
      <c r="Z23" s="201" t="s">
        <v>469</v>
      </c>
      <c r="AA23" s="201" t="s">
        <v>463</v>
      </c>
      <c r="AB23" s="201" t="s">
        <v>470</v>
      </c>
      <c r="AC23" s="201" t="s">
        <v>468</v>
      </c>
      <c r="AD23" s="201" t="s">
        <v>335</v>
      </c>
      <c r="AE23" s="201" t="s">
        <v>336</v>
      </c>
      <c r="AF23" s="201" t="s">
        <v>337</v>
      </c>
      <c r="AG23" s="194"/>
      <c r="AH23" s="194"/>
      <c r="AI23" s="201" t="s">
        <v>471</v>
      </c>
      <c r="AJ23" s="194"/>
    </row>
    <row r="24" spans="1:36" x14ac:dyDescent="0.3">
      <c r="A24" s="196" t="s">
        <v>460</v>
      </c>
      <c r="B24" s="197">
        <v>45984</v>
      </c>
      <c r="C24" s="198" t="s">
        <v>86</v>
      </c>
      <c r="D24" s="199" t="s">
        <v>472</v>
      </c>
      <c r="E24" s="198" t="s">
        <v>1</v>
      </c>
      <c r="F24" s="198" t="s">
        <v>328</v>
      </c>
      <c r="G24" s="200">
        <v>0.91059999999999997</v>
      </c>
      <c r="H24" s="201">
        <v>179</v>
      </c>
      <c r="I24" s="201">
        <v>163</v>
      </c>
      <c r="J24" s="201">
        <v>129</v>
      </c>
      <c r="K24" s="198" t="s">
        <v>329</v>
      </c>
      <c r="L24" s="202">
        <v>45978</v>
      </c>
      <c r="M24" s="201">
        <v>0</v>
      </c>
      <c r="N24" s="201">
        <v>0</v>
      </c>
      <c r="O24" s="201">
        <v>5</v>
      </c>
      <c r="P24" s="198" t="s">
        <v>236</v>
      </c>
      <c r="Q24" s="194"/>
      <c r="R24" s="194"/>
      <c r="S24" s="194"/>
      <c r="T24" s="194"/>
      <c r="U24" s="194"/>
      <c r="V24" s="194"/>
      <c r="W24" s="194"/>
      <c r="X24" s="201" t="s">
        <v>204</v>
      </c>
      <c r="Y24" s="194"/>
      <c r="Z24" s="201" t="s">
        <v>426</v>
      </c>
      <c r="AA24" s="194"/>
      <c r="AB24" s="194"/>
      <c r="AC24" s="194"/>
      <c r="AD24" s="201" t="s">
        <v>473</v>
      </c>
      <c r="AE24" s="201" t="s">
        <v>348</v>
      </c>
      <c r="AF24" s="201" t="s">
        <v>349</v>
      </c>
      <c r="AG24" s="194"/>
      <c r="AH24" s="194"/>
      <c r="AI24" s="201" t="s">
        <v>474</v>
      </c>
      <c r="AJ24" s="194"/>
    </row>
    <row r="25" spans="1:36" x14ac:dyDescent="0.3">
      <c r="A25" s="196" t="s">
        <v>460</v>
      </c>
      <c r="B25" s="197">
        <v>45984</v>
      </c>
      <c r="C25" s="198" t="s">
        <v>97</v>
      </c>
      <c r="D25" s="199" t="s">
        <v>475</v>
      </c>
      <c r="E25" s="198" t="s">
        <v>1</v>
      </c>
      <c r="F25" s="198" t="s">
        <v>328</v>
      </c>
      <c r="G25" s="200">
        <v>0.99439999999999995</v>
      </c>
      <c r="H25" s="201">
        <v>179</v>
      </c>
      <c r="I25" s="201">
        <v>178</v>
      </c>
      <c r="J25" s="201">
        <v>128</v>
      </c>
      <c r="K25" s="198" t="s">
        <v>329</v>
      </c>
      <c r="L25" s="202">
        <v>45978</v>
      </c>
      <c r="M25" s="201">
        <v>0</v>
      </c>
      <c r="N25" s="201">
        <v>0</v>
      </c>
      <c r="O25" s="201">
        <v>10</v>
      </c>
      <c r="P25" s="198" t="s">
        <v>238</v>
      </c>
      <c r="Q25" s="194"/>
      <c r="R25" s="194"/>
      <c r="S25" s="194"/>
      <c r="T25" s="194"/>
      <c r="U25" s="194"/>
      <c r="V25" s="194"/>
      <c r="W25" s="194"/>
      <c r="X25" s="194"/>
      <c r="Y25" s="201" t="s">
        <v>476</v>
      </c>
      <c r="Z25" s="201" t="s">
        <v>418</v>
      </c>
      <c r="AA25" s="194"/>
      <c r="AB25" s="201" t="s">
        <v>477</v>
      </c>
      <c r="AC25" s="201" t="s">
        <v>454</v>
      </c>
      <c r="AD25" s="201" t="s">
        <v>347</v>
      </c>
      <c r="AE25" s="201" t="s">
        <v>348</v>
      </c>
      <c r="AF25" s="201" t="s">
        <v>337</v>
      </c>
      <c r="AG25" s="194"/>
      <c r="AH25" s="194"/>
      <c r="AI25" s="201" t="s">
        <v>474</v>
      </c>
      <c r="AJ25" s="194"/>
    </row>
    <row r="26" spans="1:36" x14ac:dyDescent="0.3">
      <c r="A26" s="196" t="s">
        <v>478</v>
      </c>
      <c r="B26" s="197">
        <v>45985</v>
      </c>
      <c r="C26" s="198" t="s">
        <v>167</v>
      </c>
      <c r="D26" s="199" t="s">
        <v>479</v>
      </c>
      <c r="E26" s="198" t="s">
        <v>1</v>
      </c>
      <c r="F26" s="198" t="s">
        <v>328</v>
      </c>
      <c r="G26" s="200">
        <v>0.35199999999999998</v>
      </c>
      <c r="H26" s="201">
        <v>179</v>
      </c>
      <c r="I26" s="201">
        <v>63</v>
      </c>
      <c r="J26" s="201">
        <v>0</v>
      </c>
      <c r="K26" s="198" t="s">
        <v>329</v>
      </c>
      <c r="L26" s="202">
        <v>45979</v>
      </c>
      <c r="M26" s="201">
        <v>0</v>
      </c>
      <c r="N26" s="201">
        <v>11</v>
      </c>
      <c r="O26" s="201">
        <v>41</v>
      </c>
      <c r="P26" s="198" t="s">
        <v>264</v>
      </c>
      <c r="Q26" s="194"/>
      <c r="R26" s="194"/>
      <c r="S26" s="194"/>
      <c r="T26" s="194"/>
      <c r="U26" s="194"/>
      <c r="V26" s="194"/>
      <c r="W26" s="194"/>
      <c r="X26" s="194"/>
      <c r="Y26" s="194"/>
      <c r="Z26" s="201" t="s">
        <v>480</v>
      </c>
      <c r="AA26" s="194"/>
      <c r="AB26" s="194"/>
      <c r="AC26" s="201" t="s">
        <v>481</v>
      </c>
      <c r="AD26" s="201" t="s">
        <v>482</v>
      </c>
      <c r="AE26" s="201" t="s">
        <v>434</v>
      </c>
      <c r="AF26" s="201" t="s">
        <v>435</v>
      </c>
      <c r="AG26" s="194"/>
      <c r="AH26" s="194"/>
      <c r="AI26" s="194"/>
      <c r="AJ26" s="194"/>
    </row>
    <row r="27" spans="1:36" x14ac:dyDescent="0.3">
      <c r="A27" s="196" t="s">
        <v>478</v>
      </c>
      <c r="B27" s="197">
        <v>45985</v>
      </c>
      <c r="C27" s="198" t="s">
        <v>91</v>
      </c>
      <c r="D27" s="199" t="s">
        <v>483</v>
      </c>
      <c r="E27" s="198" t="s">
        <v>1</v>
      </c>
      <c r="F27" s="198" t="s">
        <v>328</v>
      </c>
      <c r="G27" s="200">
        <v>0.82120000000000004</v>
      </c>
      <c r="H27" s="201">
        <v>179</v>
      </c>
      <c r="I27" s="201">
        <v>147</v>
      </c>
      <c r="J27" s="201">
        <v>84</v>
      </c>
      <c r="K27" s="198" t="s">
        <v>329</v>
      </c>
      <c r="L27" s="202">
        <v>45980</v>
      </c>
      <c r="M27" s="201">
        <v>2</v>
      </c>
      <c r="N27" s="201">
        <v>11</v>
      </c>
      <c r="O27" s="201">
        <v>29</v>
      </c>
      <c r="P27" s="198" t="s">
        <v>258</v>
      </c>
      <c r="Q27" s="194"/>
      <c r="R27" s="194"/>
      <c r="S27" s="194"/>
      <c r="T27" s="194"/>
      <c r="U27" s="194"/>
      <c r="V27" s="194"/>
      <c r="W27" s="194"/>
      <c r="X27" s="194"/>
      <c r="Y27" s="194"/>
      <c r="Z27" s="201" t="s">
        <v>480</v>
      </c>
      <c r="AA27" s="194"/>
      <c r="AB27" s="201" t="s">
        <v>484</v>
      </c>
      <c r="AC27" s="201" t="s">
        <v>432</v>
      </c>
      <c r="AD27" s="201" t="s">
        <v>441</v>
      </c>
      <c r="AE27" s="201" t="s">
        <v>485</v>
      </c>
      <c r="AF27" s="201" t="s">
        <v>357</v>
      </c>
      <c r="AG27" s="194"/>
      <c r="AH27" s="194"/>
      <c r="AI27" s="201" t="s">
        <v>486</v>
      </c>
      <c r="AJ27" s="201" t="s">
        <v>448</v>
      </c>
    </row>
    <row r="28" spans="1:36" x14ac:dyDescent="0.3">
      <c r="A28" s="196" t="s">
        <v>478</v>
      </c>
      <c r="B28" s="197">
        <v>45985</v>
      </c>
      <c r="C28" s="198" t="s">
        <v>97</v>
      </c>
      <c r="D28" s="199" t="s">
        <v>351</v>
      </c>
      <c r="E28" s="198" t="s">
        <v>1</v>
      </c>
      <c r="F28" s="198" t="s">
        <v>328</v>
      </c>
      <c r="G28" s="200">
        <v>0.80449999999999999</v>
      </c>
      <c r="H28" s="201">
        <v>179</v>
      </c>
      <c r="I28" s="201">
        <v>144</v>
      </c>
      <c r="J28" s="201">
        <v>93</v>
      </c>
      <c r="K28" s="198" t="s">
        <v>329</v>
      </c>
      <c r="L28" s="202">
        <v>45979</v>
      </c>
      <c r="M28" s="201">
        <v>0</v>
      </c>
      <c r="N28" s="201">
        <v>6</v>
      </c>
      <c r="O28" s="201">
        <v>30</v>
      </c>
      <c r="P28" s="198" t="s">
        <v>261</v>
      </c>
      <c r="Q28" s="194"/>
      <c r="R28" s="194"/>
      <c r="S28" s="194"/>
      <c r="T28" s="194"/>
      <c r="U28" s="194"/>
      <c r="V28" s="194"/>
      <c r="W28" s="194"/>
      <c r="X28" s="194"/>
      <c r="Y28" s="194"/>
      <c r="Z28" s="201" t="s">
        <v>234</v>
      </c>
      <c r="AA28" s="194"/>
      <c r="AB28" s="194"/>
      <c r="AC28" s="201" t="s">
        <v>487</v>
      </c>
      <c r="AD28" s="201" t="s">
        <v>433</v>
      </c>
      <c r="AE28" s="201" t="s">
        <v>434</v>
      </c>
      <c r="AF28" s="201" t="s">
        <v>337</v>
      </c>
      <c r="AG28" s="194"/>
      <c r="AH28" s="194"/>
      <c r="AI28" s="201" t="s">
        <v>488</v>
      </c>
      <c r="AJ28" s="201" t="s">
        <v>381</v>
      </c>
    </row>
    <row r="29" spans="1:36" x14ac:dyDescent="0.3">
      <c r="A29" s="196" t="s">
        <v>478</v>
      </c>
      <c r="B29" s="197">
        <v>45985</v>
      </c>
      <c r="C29" s="198" t="s">
        <v>86</v>
      </c>
      <c r="D29" s="199" t="s">
        <v>489</v>
      </c>
      <c r="E29" s="198" t="s">
        <v>1</v>
      </c>
      <c r="F29" s="198" t="s">
        <v>328</v>
      </c>
      <c r="G29" s="200">
        <v>0.87709999999999999</v>
      </c>
      <c r="H29" s="201">
        <v>179</v>
      </c>
      <c r="I29" s="201">
        <v>157</v>
      </c>
      <c r="J29" s="201">
        <v>108</v>
      </c>
      <c r="K29" s="198" t="s">
        <v>329</v>
      </c>
      <c r="L29" s="202">
        <v>45979</v>
      </c>
      <c r="M29" s="201">
        <v>0</v>
      </c>
      <c r="N29" s="201">
        <v>8</v>
      </c>
      <c r="O29" s="201">
        <v>16</v>
      </c>
      <c r="P29" s="198" t="s">
        <v>261</v>
      </c>
      <c r="Q29" s="194"/>
      <c r="R29" s="194"/>
      <c r="S29" s="194"/>
      <c r="T29" s="194"/>
      <c r="U29" s="194"/>
      <c r="V29" s="194"/>
      <c r="W29" s="194"/>
      <c r="X29" s="194"/>
      <c r="Y29" s="194"/>
      <c r="Z29" s="194"/>
      <c r="AA29" s="194"/>
      <c r="AB29" s="194"/>
      <c r="AC29" s="201" t="s">
        <v>490</v>
      </c>
      <c r="AD29" s="201" t="s">
        <v>433</v>
      </c>
      <c r="AE29" s="201" t="s">
        <v>434</v>
      </c>
      <c r="AF29" s="201" t="s">
        <v>491</v>
      </c>
      <c r="AG29" s="194"/>
      <c r="AH29" s="194"/>
      <c r="AI29" s="201" t="s">
        <v>492</v>
      </c>
      <c r="AJ29" s="194"/>
    </row>
    <row r="30" spans="1:36" x14ac:dyDescent="0.3">
      <c r="A30" s="196" t="s">
        <v>493</v>
      </c>
      <c r="B30" s="197">
        <v>45986</v>
      </c>
      <c r="C30" s="198" t="s">
        <v>160</v>
      </c>
      <c r="D30" s="199" t="s">
        <v>494</v>
      </c>
      <c r="E30" s="198" t="s">
        <v>1</v>
      </c>
      <c r="F30" s="198" t="s">
        <v>328</v>
      </c>
      <c r="G30" s="200">
        <v>0.30170000000000002</v>
      </c>
      <c r="H30" s="201">
        <v>179</v>
      </c>
      <c r="I30" s="201">
        <v>54</v>
      </c>
      <c r="J30" s="201">
        <v>0</v>
      </c>
      <c r="K30" s="198" t="s">
        <v>329</v>
      </c>
      <c r="L30" s="202">
        <v>45979</v>
      </c>
      <c r="M30" s="201">
        <v>0</v>
      </c>
      <c r="N30" s="201">
        <v>5</v>
      </c>
      <c r="O30" s="201">
        <v>37</v>
      </c>
      <c r="P30" s="198" t="s">
        <v>258</v>
      </c>
      <c r="Q30" s="194"/>
      <c r="R30" s="194"/>
      <c r="S30" s="194"/>
      <c r="T30" s="194"/>
      <c r="U30" s="194"/>
      <c r="V30" s="194"/>
      <c r="W30" s="194"/>
      <c r="X30" s="194"/>
      <c r="Y30" s="194"/>
      <c r="Z30" s="201" t="s">
        <v>453</v>
      </c>
      <c r="AA30" s="194"/>
      <c r="AB30" s="194"/>
      <c r="AC30" s="201" t="s">
        <v>495</v>
      </c>
      <c r="AD30" s="201" t="s">
        <v>355</v>
      </c>
      <c r="AE30" s="201" t="s">
        <v>434</v>
      </c>
      <c r="AF30" s="201" t="s">
        <v>496</v>
      </c>
      <c r="AG30" s="194"/>
      <c r="AH30" s="194"/>
      <c r="AI30" s="194"/>
      <c r="AJ30" s="194"/>
    </row>
    <row r="31" spans="1:36" x14ac:dyDescent="0.3">
      <c r="A31" s="196" t="s">
        <v>493</v>
      </c>
      <c r="B31" s="197">
        <v>45986</v>
      </c>
      <c r="C31" s="198" t="s">
        <v>167</v>
      </c>
      <c r="D31" s="199" t="s">
        <v>497</v>
      </c>
      <c r="E31" s="198" t="s">
        <v>1</v>
      </c>
      <c r="F31" s="198" t="s">
        <v>328</v>
      </c>
      <c r="G31" s="200">
        <v>0.9385</v>
      </c>
      <c r="H31" s="201">
        <v>179</v>
      </c>
      <c r="I31" s="201">
        <v>168</v>
      </c>
      <c r="J31" s="201">
        <v>117</v>
      </c>
      <c r="K31" s="198" t="s">
        <v>329</v>
      </c>
      <c r="L31" s="202">
        <v>45979</v>
      </c>
      <c r="M31" s="201">
        <v>0</v>
      </c>
      <c r="N31" s="201">
        <v>8</v>
      </c>
      <c r="O31" s="201">
        <v>38</v>
      </c>
      <c r="P31" s="198" t="s">
        <v>209</v>
      </c>
      <c r="Q31" s="194"/>
      <c r="R31" s="194"/>
      <c r="S31" s="194"/>
      <c r="T31" s="194"/>
      <c r="U31" s="194"/>
      <c r="V31" s="194"/>
      <c r="W31" s="194"/>
      <c r="X31" s="194"/>
      <c r="Y31" s="194"/>
      <c r="Z31" s="201" t="s">
        <v>480</v>
      </c>
      <c r="AA31" s="194"/>
      <c r="AB31" s="194"/>
      <c r="AC31" s="201" t="s">
        <v>264</v>
      </c>
      <c r="AD31" s="201" t="s">
        <v>498</v>
      </c>
      <c r="AE31" s="201" t="s">
        <v>499</v>
      </c>
      <c r="AF31" s="201" t="s">
        <v>491</v>
      </c>
      <c r="AG31" s="194"/>
      <c r="AH31" s="194"/>
      <c r="AI31" s="201" t="s">
        <v>500</v>
      </c>
      <c r="AJ31" s="201" t="s">
        <v>359</v>
      </c>
    </row>
    <row r="32" spans="1:36" x14ac:dyDescent="0.3">
      <c r="A32" s="196" t="s">
        <v>493</v>
      </c>
      <c r="B32" s="197">
        <v>45986</v>
      </c>
      <c r="C32" s="198" t="s">
        <v>97</v>
      </c>
      <c r="D32" s="199" t="s">
        <v>351</v>
      </c>
      <c r="E32" s="198" t="s">
        <v>1</v>
      </c>
      <c r="F32" s="198" t="s">
        <v>328</v>
      </c>
      <c r="G32" s="200">
        <v>0.74860000000000004</v>
      </c>
      <c r="H32" s="201">
        <v>179</v>
      </c>
      <c r="I32" s="201">
        <v>134</v>
      </c>
      <c r="J32" s="201">
        <v>82</v>
      </c>
      <c r="K32" s="198" t="s">
        <v>329</v>
      </c>
      <c r="L32" s="202">
        <v>45979</v>
      </c>
      <c r="M32" s="201">
        <v>0</v>
      </c>
      <c r="N32" s="201">
        <v>10</v>
      </c>
      <c r="O32" s="201">
        <v>28</v>
      </c>
      <c r="P32" s="198" t="s">
        <v>290</v>
      </c>
      <c r="Q32" s="194"/>
      <c r="R32" s="194"/>
      <c r="S32" s="194"/>
      <c r="T32" s="194"/>
      <c r="U32" s="194"/>
      <c r="V32" s="194"/>
      <c r="W32" s="194"/>
      <c r="X32" s="194"/>
      <c r="Y32" s="194"/>
      <c r="Z32" s="201" t="s">
        <v>232</v>
      </c>
      <c r="AA32" s="194"/>
      <c r="AB32" s="194"/>
      <c r="AC32" s="201" t="s">
        <v>261</v>
      </c>
      <c r="AD32" s="201" t="s">
        <v>501</v>
      </c>
      <c r="AE32" s="201" t="s">
        <v>499</v>
      </c>
      <c r="AF32" s="201" t="s">
        <v>491</v>
      </c>
      <c r="AG32" s="194"/>
      <c r="AH32" s="194"/>
      <c r="AI32" s="201" t="s">
        <v>458</v>
      </c>
      <c r="AJ32" s="194"/>
    </row>
    <row r="33" spans="1:36" x14ac:dyDescent="0.3">
      <c r="A33" s="196" t="s">
        <v>493</v>
      </c>
      <c r="B33" s="197">
        <v>45986</v>
      </c>
      <c r="C33" s="198" t="s">
        <v>86</v>
      </c>
      <c r="D33" s="199" t="s">
        <v>502</v>
      </c>
      <c r="E33" s="198" t="s">
        <v>1</v>
      </c>
      <c r="F33" s="198" t="s">
        <v>328</v>
      </c>
      <c r="G33" s="200">
        <v>0.89939999999999998</v>
      </c>
      <c r="H33" s="201">
        <v>179</v>
      </c>
      <c r="I33" s="201">
        <v>161</v>
      </c>
      <c r="J33" s="201">
        <v>117</v>
      </c>
      <c r="K33" s="198" t="s">
        <v>329</v>
      </c>
      <c r="L33" s="202">
        <v>45979</v>
      </c>
      <c r="M33" s="201">
        <v>0</v>
      </c>
      <c r="N33" s="201">
        <v>4</v>
      </c>
      <c r="O33" s="201">
        <v>23</v>
      </c>
      <c r="P33" s="198" t="s">
        <v>283</v>
      </c>
      <c r="Q33" s="194"/>
      <c r="R33" s="194"/>
      <c r="S33" s="194"/>
      <c r="T33" s="194"/>
      <c r="U33" s="194"/>
      <c r="V33" s="194"/>
      <c r="W33" s="194"/>
      <c r="X33" s="194"/>
      <c r="Y33" s="194"/>
      <c r="Z33" s="201" t="s">
        <v>149</v>
      </c>
      <c r="AA33" s="201" t="s">
        <v>503</v>
      </c>
      <c r="AB33" s="194"/>
      <c r="AC33" s="201" t="s">
        <v>465</v>
      </c>
      <c r="AD33" s="201" t="s">
        <v>501</v>
      </c>
      <c r="AE33" s="201" t="s">
        <v>499</v>
      </c>
      <c r="AF33" s="201" t="s">
        <v>504</v>
      </c>
      <c r="AG33" s="194"/>
      <c r="AH33" s="194"/>
      <c r="AI33" s="201" t="s">
        <v>500</v>
      </c>
      <c r="AJ33" s="194"/>
    </row>
    <row r="34" spans="1:36" x14ac:dyDescent="0.3">
      <c r="A34" s="196" t="s">
        <v>493</v>
      </c>
      <c r="B34" s="197">
        <v>45986</v>
      </c>
      <c r="C34" s="198" t="s">
        <v>148</v>
      </c>
      <c r="D34" s="199" t="s">
        <v>505</v>
      </c>
      <c r="E34" s="198" t="s">
        <v>1</v>
      </c>
      <c r="F34" s="198" t="s">
        <v>328</v>
      </c>
      <c r="G34" s="200">
        <v>0.6704</v>
      </c>
      <c r="H34" s="201">
        <v>179</v>
      </c>
      <c r="I34" s="201">
        <v>120</v>
      </c>
      <c r="J34" s="201">
        <v>88</v>
      </c>
      <c r="K34" s="198" t="s">
        <v>329</v>
      </c>
      <c r="L34" s="202">
        <v>45979</v>
      </c>
      <c r="M34" s="201">
        <v>0</v>
      </c>
      <c r="N34" s="201">
        <v>2</v>
      </c>
      <c r="O34" s="201">
        <v>25</v>
      </c>
      <c r="P34" s="198" t="s">
        <v>288</v>
      </c>
      <c r="Q34" s="194"/>
      <c r="R34" s="194"/>
      <c r="S34" s="194"/>
      <c r="T34" s="194"/>
      <c r="U34" s="194"/>
      <c r="V34" s="194"/>
      <c r="W34" s="194"/>
      <c r="X34" s="194"/>
      <c r="Y34" s="194"/>
      <c r="Z34" s="201" t="s">
        <v>480</v>
      </c>
      <c r="AA34" s="194"/>
      <c r="AB34" s="194"/>
      <c r="AC34" s="194"/>
      <c r="AD34" s="201" t="s">
        <v>347</v>
      </c>
      <c r="AE34" s="201" t="s">
        <v>434</v>
      </c>
      <c r="AF34" s="201" t="s">
        <v>491</v>
      </c>
      <c r="AG34" s="194"/>
      <c r="AH34" s="194"/>
      <c r="AI34" s="201" t="s">
        <v>506</v>
      </c>
      <c r="AJ34" s="194"/>
    </row>
    <row r="35" spans="1:36" x14ac:dyDescent="0.3">
      <c r="A35" s="196" t="s">
        <v>493</v>
      </c>
      <c r="B35" s="197">
        <v>45986</v>
      </c>
      <c r="C35" s="198" t="s">
        <v>91</v>
      </c>
      <c r="D35" s="199" t="s">
        <v>507</v>
      </c>
      <c r="E35" s="198" t="s">
        <v>1</v>
      </c>
      <c r="F35" s="198" t="s">
        <v>328</v>
      </c>
      <c r="G35" s="200">
        <v>0.51959999999999995</v>
      </c>
      <c r="H35" s="201">
        <v>179</v>
      </c>
      <c r="I35" s="201">
        <v>93</v>
      </c>
      <c r="J35" s="201">
        <v>46</v>
      </c>
      <c r="K35" s="198" t="s">
        <v>329</v>
      </c>
      <c r="L35" s="202">
        <v>45979</v>
      </c>
      <c r="M35" s="201">
        <v>0</v>
      </c>
      <c r="N35" s="201">
        <v>3</v>
      </c>
      <c r="O35" s="201">
        <v>30</v>
      </c>
      <c r="P35" s="198" t="s">
        <v>286</v>
      </c>
      <c r="Q35" s="194"/>
      <c r="R35" s="194"/>
      <c r="S35" s="194"/>
      <c r="T35" s="194"/>
      <c r="U35" s="194"/>
      <c r="V35" s="194"/>
      <c r="W35" s="194"/>
      <c r="X35" s="194"/>
      <c r="Y35" s="194"/>
      <c r="Z35" s="194"/>
      <c r="AA35" s="194"/>
      <c r="AB35" s="194"/>
      <c r="AC35" s="194"/>
      <c r="AD35" s="201" t="s">
        <v>508</v>
      </c>
      <c r="AE35" s="201" t="s">
        <v>499</v>
      </c>
      <c r="AF35" s="201" t="s">
        <v>496</v>
      </c>
      <c r="AG35" s="194"/>
      <c r="AH35" s="194"/>
      <c r="AI35" s="201" t="s">
        <v>509</v>
      </c>
      <c r="AJ35" s="194"/>
    </row>
    <row r="36" spans="1:36" ht="21" x14ac:dyDescent="0.3">
      <c r="A36" s="203" t="s">
        <v>525</v>
      </c>
      <c r="B36" s="204"/>
      <c r="C36" s="203">
        <f>SUBTOTAL(103,JED_CAI_LF_LEGACY[Flt])</f>
        <v>34</v>
      </c>
      <c r="D36" s="203"/>
      <c r="E36" s="203">
        <f>SUBTOTAL(103,JED_CAI_LF_LEGACY[Brd-Off])</f>
        <v>34</v>
      </c>
      <c r="F36" s="203"/>
      <c r="G36" s="205">
        <f>SUBTOTAL(101,JED_CAI_LF_LEGACY[LF%])</f>
        <v>0.77019117647058832</v>
      </c>
      <c r="H36" s="206">
        <f>SUBTOTAL(109,JED_CAI_LF_LEGACY[CAP])</f>
        <v>6070</v>
      </c>
      <c r="I36" s="206">
        <f>SUBTOTAL(109,JED_CAI_LF_LEGACY[BKG(Y)])</f>
        <v>4673</v>
      </c>
      <c r="J36" s="206">
        <f>SUBTOTAL(109,JED_CAI_LF_LEGACY[GRP(Y)])</f>
        <v>2082</v>
      </c>
      <c r="K36" s="203"/>
      <c r="L36" s="204"/>
      <c r="M36" s="206">
        <f>SUBTOTAL(109,JED_CAI_LF_LEGACY[TO-DAY])</f>
        <v>3</v>
      </c>
      <c r="N36" s="206">
        <f>SUBTOTAL(109,JED_CAI_LF_LEGACY[Y-DAY])</f>
        <v>166</v>
      </c>
      <c r="O36" s="206">
        <f>SUBTOTAL(109,JED_CAI_LF_LEGACY[WEEKLY])</f>
        <v>680</v>
      </c>
      <c r="P36" s="207"/>
      <c r="Q36" s="206">
        <f>SUBTOTAL(109,JED_CAI_LF_LEGACY[Y])</f>
        <v>0</v>
      </c>
      <c r="R36" s="206">
        <f>SUBTOTAL(109,JED_CAI_LF_LEGACY[B])</f>
        <v>0</v>
      </c>
      <c r="S36" s="206">
        <f>SUBTOTAL(109,JED_CAI_LF_LEGACY[M])</f>
        <v>0</v>
      </c>
      <c r="T36" s="206">
        <f>SUBTOTAL(109,JED_CAI_LF_LEGACY[H])</f>
        <v>0</v>
      </c>
      <c r="U36" s="206">
        <f>SUBTOTAL(109,JED_CAI_LF_LEGACY[Q])</f>
        <v>0</v>
      </c>
      <c r="V36" s="206">
        <f>SUBTOTAL(109,JED_CAI_LF_LEGACY[K])</f>
        <v>0</v>
      </c>
      <c r="W36" s="206">
        <f>SUBTOTAL(109,JED_CAI_LF_LEGACY[V])</f>
        <v>0</v>
      </c>
      <c r="X36" s="206">
        <f>SUBTOTAL(109,JED_CAI_LF_LEGACY[L])</f>
        <v>0</v>
      </c>
      <c r="Y36" s="206">
        <f>SUBTOTAL(109,JED_CAI_LF_LEGACY[G])</f>
        <v>0</v>
      </c>
      <c r="Z36" s="206">
        <f>SUBTOTAL(109,JED_CAI_LF_LEGACY[S])</f>
        <v>0</v>
      </c>
      <c r="AA36" s="206">
        <f>SUBTOTAL(109,JED_CAI_LF_LEGACY[W])</f>
        <v>0</v>
      </c>
      <c r="AB36" s="206">
        <f>SUBTOTAL(109,JED_CAI_LF_LEGACY[T])</f>
        <v>0</v>
      </c>
      <c r="AC36" s="206">
        <f>SUBTOTAL(109,JED_CAI_LF_LEGACY[X])</f>
        <v>0</v>
      </c>
      <c r="AD36" s="206">
        <f>SUBTOTAL(109,JED_CAI_LF_LEGACY[U])</f>
        <v>0</v>
      </c>
      <c r="AE36" s="206">
        <f>SUBTOTAL(109,JED_CAI_LF_LEGACY[O])</f>
        <v>0</v>
      </c>
      <c r="AF36" s="206">
        <f>SUBTOTAL(109,JED_CAI_LF_LEGACY[I])</f>
        <v>0</v>
      </c>
      <c r="AG36" s="206">
        <f>SUBTOTAL(109,JED_CAI_LF_LEGACY[E])</f>
        <v>0</v>
      </c>
      <c r="AH36" s="206">
        <f>SUBTOTAL(109,JED_CAI_LF_LEGACY[A])</f>
        <v>0</v>
      </c>
      <c r="AI36" s="206">
        <f>SUBTOTAL(109,JED_CAI_LF_LEGACY[P])</f>
        <v>0</v>
      </c>
      <c r="AJ36" s="206">
        <f>SUBTOTAL(103,JED_CAI_LF_LEGACY[N])</f>
        <v>9</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9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5.88671875" hidden="1" customWidth="1"/>
  </cols>
  <sheetData>
    <row r="1" spans="1:9" ht="18" x14ac:dyDescent="0.3">
      <c r="A1" s="140" t="s">
        <v>510</v>
      </c>
      <c r="B1" s="141" t="s">
        <v>8</v>
      </c>
      <c r="C1" s="141" t="s">
        <v>9</v>
      </c>
      <c r="D1" s="141" t="s">
        <v>511</v>
      </c>
      <c r="E1" s="141" t="s">
        <v>10</v>
      </c>
      <c r="F1" s="141" t="s">
        <v>11</v>
      </c>
      <c r="G1" s="141" t="s">
        <v>12</v>
      </c>
      <c r="H1" s="142" t="s">
        <v>13</v>
      </c>
      <c r="I1" s="2"/>
    </row>
    <row r="2" spans="1:9" ht="19.8" customHeight="1" x14ac:dyDescent="0.3">
      <c r="A2" s="143" t="s">
        <v>512</v>
      </c>
      <c r="B2" s="144" t="s">
        <v>26</v>
      </c>
      <c r="C2" s="145" t="s">
        <v>27</v>
      </c>
      <c r="D2" s="144" t="s">
        <v>1</v>
      </c>
      <c r="E2" s="144" t="s">
        <v>513</v>
      </c>
      <c r="F2" s="144" t="s">
        <v>28</v>
      </c>
      <c r="G2" s="146">
        <v>6</v>
      </c>
      <c r="H2" s="147">
        <v>595</v>
      </c>
      <c r="I2" s="2"/>
    </row>
    <row r="3" spans="1:9" ht="19.8" customHeight="1" x14ac:dyDescent="0.3">
      <c r="A3" s="143" t="s">
        <v>512</v>
      </c>
      <c r="B3" s="144" t="s">
        <v>34</v>
      </c>
      <c r="C3" s="145" t="s">
        <v>35</v>
      </c>
      <c r="D3" s="144" t="s">
        <v>1</v>
      </c>
      <c r="E3" s="144" t="s">
        <v>514</v>
      </c>
      <c r="F3" s="144" t="s">
        <v>28</v>
      </c>
      <c r="G3" s="146">
        <v>9</v>
      </c>
      <c r="H3" s="147">
        <v>599</v>
      </c>
      <c r="I3" s="2"/>
    </row>
    <row r="4" spans="1:9" ht="19.8" customHeight="1" x14ac:dyDescent="0.3">
      <c r="A4" s="143" t="s">
        <v>512</v>
      </c>
      <c r="B4" s="144" t="s">
        <v>41</v>
      </c>
      <c r="C4" s="145" t="s">
        <v>42</v>
      </c>
      <c r="D4" s="144" t="s">
        <v>1</v>
      </c>
      <c r="E4" s="144" t="s">
        <v>515</v>
      </c>
      <c r="F4" s="144" t="s">
        <v>43</v>
      </c>
      <c r="G4" s="146">
        <v>6</v>
      </c>
      <c r="H4" s="147">
        <v>639</v>
      </c>
      <c r="I4" s="2"/>
    </row>
    <row r="5" spans="1:9" ht="19.8" customHeight="1" x14ac:dyDescent="0.3">
      <c r="A5" s="143" t="s">
        <v>512</v>
      </c>
      <c r="B5" s="144" t="s">
        <v>34</v>
      </c>
      <c r="C5" s="145" t="s">
        <v>38</v>
      </c>
      <c r="D5" s="144" t="s">
        <v>1</v>
      </c>
      <c r="E5" s="144" t="s">
        <v>516</v>
      </c>
      <c r="F5" s="144" t="s">
        <v>28</v>
      </c>
      <c r="G5" s="146">
        <v>7</v>
      </c>
      <c r="H5" s="147">
        <v>649</v>
      </c>
      <c r="I5" s="2"/>
    </row>
    <row r="6" spans="1:9" ht="19.8" customHeight="1" x14ac:dyDescent="0.3">
      <c r="A6" s="143" t="s">
        <v>512</v>
      </c>
      <c r="B6" s="144" t="s">
        <v>61</v>
      </c>
      <c r="C6" s="145" t="s">
        <v>62</v>
      </c>
      <c r="D6" s="144" t="s">
        <v>1</v>
      </c>
      <c r="E6" s="144" t="s">
        <v>327</v>
      </c>
      <c r="F6" s="144" t="s">
        <v>63</v>
      </c>
      <c r="G6" s="146">
        <v>6</v>
      </c>
      <c r="H6" s="147">
        <v>669</v>
      </c>
      <c r="I6" s="2"/>
    </row>
    <row r="7" spans="1:9" ht="19.8" customHeight="1" x14ac:dyDescent="0.3">
      <c r="A7" s="143" t="s">
        <v>512</v>
      </c>
      <c r="B7" s="144" t="s">
        <v>61</v>
      </c>
      <c r="C7" s="145" t="s">
        <v>69</v>
      </c>
      <c r="D7" s="144" t="s">
        <v>1</v>
      </c>
      <c r="E7" s="144" t="s">
        <v>517</v>
      </c>
      <c r="F7" s="144" t="s">
        <v>63</v>
      </c>
      <c r="G7" s="146">
        <v>1</v>
      </c>
      <c r="H7" s="147">
        <v>669</v>
      </c>
      <c r="I7" s="2"/>
    </row>
    <row r="8" spans="1:9" ht="19.8" customHeight="1" x14ac:dyDescent="0.3">
      <c r="A8" s="143" t="s">
        <v>512</v>
      </c>
      <c r="B8" s="144" t="s">
        <v>61</v>
      </c>
      <c r="C8" s="145" t="s">
        <v>72</v>
      </c>
      <c r="D8" s="144" t="s">
        <v>1</v>
      </c>
      <c r="E8" s="144" t="s">
        <v>518</v>
      </c>
      <c r="F8" s="144" t="s">
        <v>63</v>
      </c>
      <c r="G8" s="146">
        <v>9</v>
      </c>
      <c r="H8" s="147">
        <v>669</v>
      </c>
      <c r="I8" s="2"/>
    </row>
    <row r="9" spans="1:9" ht="19.8" customHeight="1" x14ac:dyDescent="0.3">
      <c r="A9" s="143" t="s">
        <v>512</v>
      </c>
      <c r="B9" s="144" t="s">
        <v>61</v>
      </c>
      <c r="C9" s="145" t="s">
        <v>73</v>
      </c>
      <c r="D9" s="144" t="s">
        <v>1</v>
      </c>
      <c r="E9" s="144" t="s">
        <v>519</v>
      </c>
      <c r="F9" s="144" t="s">
        <v>63</v>
      </c>
      <c r="G9" s="146">
        <v>9</v>
      </c>
      <c r="H9" s="147">
        <v>669</v>
      </c>
      <c r="I9" s="2"/>
    </row>
    <row r="10" spans="1:9" ht="19.8" customHeight="1" x14ac:dyDescent="0.3">
      <c r="A10" s="143" t="s">
        <v>512</v>
      </c>
      <c r="B10" s="144" t="s">
        <v>41</v>
      </c>
      <c r="C10" s="145" t="s">
        <v>50</v>
      </c>
      <c r="D10" s="144" t="s">
        <v>1</v>
      </c>
      <c r="E10" s="144" t="s">
        <v>520</v>
      </c>
      <c r="F10" s="144" t="s">
        <v>43</v>
      </c>
      <c r="G10" s="146">
        <v>8</v>
      </c>
      <c r="H10" s="147">
        <v>689</v>
      </c>
      <c r="I10" s="2"/>
    </row>
    <row r="11" spans="1:9" ht="19.8" customHeight="1" x14ac:dyDescent="0.3">
      <c r="A11" s="143" t="s">
        <v>512</v>
      </c>
      <c r="B11" s="144" t="s">
        <v>61</v>
      </c>
      <c r="C11" s="145" t="s">
        <v>74</v>
      </c>
      <c r="D11" s="144" t="s">
        <v>1</v>
      </c>
      <c r="E11" s="144" t="s">
        <v>521</v>
      </c>
      <c r="F11" s="144" t="s">
        <v>63</v>
      </c>
      <c r="G11" s="146">
        <v>9</v>
      </c>
      <c r="H11" s="147">
        <v>719</v>
      </c>
      <c r="I11" s="2"/>
    </row>
    <row r="12" spans="1:9" ht="19.8" customHeight="1" x14ac:dyDescent="0.3">
      <c r="A12" s="143" t="s">
        <v>512</v>
      </c>
      <c r="B12" s="144" t="s">
        <v>61</v>
      </c>
      <c r="C12" s="145" t="s">
        <v>78</v>
      </c>
      <c r="D12" s="144" t="s">
        <v>1</v>
      </c>
      <c r="E12" s="144" t="s">
        <v>522</v>
      </c>
      <c r="F12" s="144" t="s">
        <v>63</v>
      </c>
      <c r="G12" s="146">
        <v>8</v>
      </c>
      <c r="H12" s="147">
        <v>719</v>
      </c>
      <c r="I12" s="2"/>
    </row>
    <row r="13" spans="1:9" ht="19.8" customHeight="1" x14ac:dyDescent="0.3">
      <c r="A13" s="143" t="s">
        <v>512</v>
      </c>
      <c r="B13" s="144" t="s">
        <v>61</v>
      </c>
      <c r="C13" s="145" t="s">
        <v>79</v>
      </c>
      <c r="D13" s="144" t="s">
        <v>1</v>
      </c>
      <c r="E13" s="144" t="s">
        <v>515</v>
      </c>
      <c r="F13" s="144" t="s">
        <v>63</v>
      </c>
      <c r="G13" s="146">
        <v>7</v>
      </c>
      <c r="H13" s="147">
        <v>719</v>
      </c>
      <c r="I13" s="2"/>
    </row>
    <row r="14" spans="1:9" ht="19.8" customHeight="1" x14ac:dyDescent="0.3">
      <c r="A14" s="143" t="s">
        <v>512</v>
      </c>
      <c r="B14" s="144" t="s">
        <v>26</v>
      </c>
      <c r="C14" s="145" t="s">
        <v>31</v>
      </c>
      <c r="D14" s="144" t="s">
        <v>1</v>
      </c>
      <c r="E14" s="144" t="s">
        <v>523</v>
      </c>
      <c r="F14" s="144" t="s">
        <v>28</v>
      </c>
      <c r="G14" s="146">
        <v>2</v>
      </c>
      <c r="H14" s="147">
        <v>745</v>
      </c>
      <c r="I14" s="2"/>
    </row>
    <row r="15" spans="1:9" ht="19.8" customHeight="1" x14ac:dyDescent="0.3">
      <c r="A15" s="143" t="s">
        <v>512</v>
      </c>
      <c r="B15" s="144" t="s">
        <v>41</v>
      </c>
      <c r="C15" s="145" t="s">
        <v>56</v>
      </c>
      <c r="D15" s="144" t="s">
        <v>1</v>
      </c>
      <c r="E15" s="144" t="s">
        <v>524</v>
      </c>
      <c r="F15" s="144" t="s">
        <v>43</v>
      </c>
      <c r="G15" s="146">
        <v>9</v>
      </c>
      <c r="H15" s="147">
        <v>749</v>
      </c>
      <c r="I15" s="2"/>
    </row>
    <row r="16" spans="1:9" ht="19.8" customHeight="1" x14ac:dyDescent="0.3">
      <c r="A16" s="143" t="s">
        <v>512</v>
      </c>
      <c r="B16" s="144" t="s">
        <v>61</v>
      </c>
      <c r="C16" s="145" t="s">
        <v>62</v>
      </c>
      <c r="D16" s="144" t="s">
        <v>1</v>
      </c>
      <c r="E16" s="144" t="s">
        <v>327</v>
      </c>
      <c r="F16" s="144" t="s">
        <v>65</v>
      </c>
      <c r="G16" s="146">
        <v>6</v>
      </c>
      <c r="H16" s="147">
        <v>769</v>
      </c>
      <c r="I16" s="2"/>
    </row>
    <row r="17" spans="1:9" ht="19.8" customHeight="1" x14ac:dyDescent="0.3">
      <c r="A17" s="143" t="s">
        <v>512</v>
      </c>
      <c r="B17" s="144" t="s">
        <v>61</v>
      </c>
      <c r="C17" s="145" t="s">
        <v>69</v>
      </c>
      <c r="D17" s="144" t="s">
        <v>1</v>
      </c>
      <c r="E17" s="144" t="s">
        <v>517</v>
      </c>
      <c r="F17" s="144" t="s">
        <v>65</v>
      </c>
      <c r="G17" s="146">
        <v>1</v>
      </c>
      <c r="H17" s="147">
        <v>769</v>
      </c>
      <c r="I17" s="2"/>
    </row>
    <row r="18" spans="1:9" ht="19.8" customHeight="1" x14ac:dyDescent="0.3">
      <c r="A18" s="143" t="s">
        <v>512</v>
      </c>
      <c r="B18" s="144" t="s">
        <v>61</v>
      </c>
      <c r="C18" s="145" t="s">
        <v>72</v>
      </c>
      <c r="D18" s="144" t="s">
        <v>1</v>
      </c>
      <c r="E18" s="144" t="s">
        <v>518</v>
      </c>
      <c r="F18" s="144" t="s">
        <v>65</v>
      </c>
      <c r="G18" s="146">
        <v>9</v>
      </c>
      <c r="H18" s="147">
        <v>769</v>
      </c>
      <c r="I18" s="2"/>
    </row>
    <row r="19" spans="1:9" ht="19.8" customHeight="1" x14ac:dyDescent="0.3">
      <c r="A19" s="143" t="s">
        <v>512</v>
      </c>
      <c r="B19" s="144" t="s">
        <v>61</v>
      </c>
      <c r="C19" s="145" t="s">
        <v>73</v>
      </c>
      <c r="D19" s="144" t="s">
        <v>1</v>
      </c>
      <c r="E19" s="144" t="s">
        <v>519</v>
      </c>
      <c r="F19" s="144" t="s">
        <v>65</v>
      </c>
      <c r="G19" s="146">
        <v>9</v>
      </c>
      <c r="H19" s="147">
        <v>769</v>
      </c>
      <c r="I19" s="2"/>
    </row>
    <row r="20" spans="1:9" ht="19.8" customHeight="1" x14ac:dyDescent="0.3">
      <c r="A20" s="148" t="s">
        <v>512</v>
      </c>
      <c r="B20" s="149" t="s">
        <v>81</v>
      </c>
      <c r="C20" s="150" t="s">
        <v>82</v>
      </c>
      <c r="D20" s="149" t="s">
        <v>1</v>
      </c>
      <c r="E20" s="149" t="s">
        <v>339</v>
      </c>
      <c r="F20" s="149" t="s">
        <v>83</v>
      </c>
      <c r="G20" s="151">
        <v>5</v>
      </c>
      <c r="H20" s="152">
        <v>781</v>
      </c>
      <c r="I20" s="2"/>
    </row>
    <row r="21" spans="1:9" ht="19.8" customHeight="1" x14ac:dyDescent="0.3">
      <c r="A21" s="153">
        <v>45980</v>
      </c>
      <c r="B21" s="149" t="s">
        <v>81</v>
      </c>
      <c r="C21" s="150" t="s">
        <v>89</v>
      </c>
      <c r="D21" s="149" t="s">
        <v>1</v>
      </c>
      <c r="E21" s="154">
        <v>1.5173611111111109</v>
      </c>
      <c r="F21" s="149" t="s">
        <v>83</v>
      </c>
      <c r="G21" s="151">
        <v>6</v>
      </c>
      <c r="H21" s="152">
        <v>781</v>
      </c>
      <c r="I21" s="2"/>
    </row>
    <row r="22" spans="1:9" ht="19.8" customHeight="1" x14ac:dyDescent="0.3">
      <c r="A22" s="155">
        <v>45980</v>
      </c>
      <c r="B22" s="144" t="s">
        <v>41</v>
      </c>
      <c r="C22" s="145" t="s">
        <v>42</v>
      </c>
      <c r="D22" s="144" t="s">
        <v>1</v>
      </c>
      <c r="E22" s="156">
        <v>1.302083333333333</v>
      </c>
      <c r="F22" s="144" t="s">
        <v>45</v>
      </c>
      <c r="G22" s="146">
        <v>6</v>
      </c>
      <c r="H22" s="147">
        <v>789</v>
      </c>
      <c r="I22" s="2"/>
    </row>
    <row r="23" spans="1:9" ht="19.8" customHeight="1" x14ac:dyDescent="0.3">
      <c r="A23" s="155">
        <v>45980</v>
      </c>
      <c r="B23" s="144" t="s">
        <v>61</v>
      </c>
      <c r="C23" s="145" t="s">
        <v>74</v>
      </c>
      <c r="D23" s="144" t="s">
        <v>1</v>
      </c>
      <c r="E23" s="156">
        <v>1.9027777777777779</v>
      </c>
      <c r="F23" s="144" t="s">
        <v>65</v>
      </c>
      <c r="G23" s="146">
        <v>9</v>
      </c>
      <c r="H23" s="147">
        <v>819</v>
      </c>
      <c r="I23" s="2"/>
    </row>
    <row r="24" spans="1:9" ht="19.8" customHeight="1" x14ac:dyDescent="0.3">
      <c r="A24" s="155">
        <v>45980</v>
      </c>
      <c r="B24" s="144" t="s">
        <v>61</v>
      </c>
      <c r="C24" s="145" t="s">
        <v>78</v>
      </c>
      <c r="D24" s="144" t="s">
        <v>1</v>
      </c>
      <c r="E24" s="156">
        <v>1.645833333333333</v>
      </c>
      <c r="F24" s="144" t="s">
        <v>65</v>
      </c>
      <c r="G24" s="146">
        <v>8</v>
      </c>
      <c r="H24" s="147">
        <v>819</v>
      </c>
      <c r="I24" s="2"/>
    </row>
    <row r="25" spans="1:9" ht="19.8" customHeight="1" x14ac:dyDescent="0.3">
      <c r="A25" s="155">
        <v>45980</v>
      </c>
      <c r="B25" s="144" t="s">
        <v>61</v>
      </c>
      <c r="C25" s="145" t="s">
        <v>79</v>
      </c>
      <c r="D25" s="144" t="s">
        <v>1</v>
      </c>
      <c r="E25" s="156">
        <v>1.302083333333333</v>
      </c>
      <c r="F25" s="144" t="s">
        <v>65</v>
      </c>
      <c r="G25" s="146">
        <v>7</v>
      </c>
      <c r="H25" s="147">
        <v>819</v>
      </c>
      <c r="I25" s="2"/>
    </row>
    <row r="26" spans="1:9" ht="19.8" customHeight="1" x14ac:dyDescent="0.3">
      <c r="A26" s="155">
        <v>45980</v>
      </c>
      <c r="B26" s="144" t="s">
        <v>41</v>
      </c>
      <c r="C26" s="145" t="s">
        <v>50</v>
      </c>
      <c r="D26" s="144" t="s">
        <v>1</v>
      </c>
      <c r="E26" s="156">
        <v>1.788194444444444</v>
      </c>
      <c r="F26" s="144" t="s">
        <v>45</v>
      </c>
      <c r="G26" s="146">
        <v>8</v>
      </c>
      <c r="H26" s="147">
        <v>839</v>
      </c>
      <c r="I26" s="2"/>
    </row>
    <row r="27" spans="1:9" ht="19.8" customHeight="1" x14ac:dyDescent="0.3">
      <c r="A27" s="155">
        <v>45980</v>
      </c>
      <c r="B27" s="144" t="s">
        <v>100</v>
      </c>
      <c r="C27" s="145" t="s">
        <v>101</v>
      </c>
      <c r="D27" s="144" t="s">
        <v>1</v>
      </c>
      <c r="E27" s="156">
        <v>1.3923611111111109</v>
      </c>
      <c r="F27" s="144" t="s">
        <v>102</v>
      </c>
      <c r="G27" s="146">
        <v>4</v>
      </c>
      <c r="H27" s="147">
        <v>839</v>
      </c>
      <c r="I27" s="2"/>
    </row>
    <row r="28" spans="1:9" ht="19.8" customHeight="1" x14ac:dyDescent="0.3">
      <c r="A28" s="153">
        <v>45980</v>
      </c>
      <c r="B28" s="149" t="s">
        <v>81</v>
      </c>
      <c r="C28" s="150" t="s">
        <v>94</v>
      </c>
      <c r="D28" s="149" t="s">
        <v>1</v>
      </c>
      <c r="E28" s="154">
        <v>1.614583333333333</v>
      </c>
      <c r="F28" s="149" t="s">
        <v>83</v>
      </c>
      <c r="G28" s="151">
        <v>4</v>
      </c>
      <c r="H28" s="152">
        <v>856</v>
      </c>
      <c r="I28" s="2"/>
    </row>
    <row r="29" spans="1:9" ht="19.8" customHeight="1" x14ac:dyDescent="0.3">
      <c r="A29" s="155">
        <v>45980</v>
      </c>
      <c r="B29" s="144" t="s">
        <v>61</v>
      </c>
      <c r="C29" s="145" t="s">
        <v>62</v>
      </c>
      <c r="D29" s="144" t="s">
        <v>1</v>
      </c>
      <c r="E29" s="156">
        <v>1.5173611111111109</v>
      </c>
      <c r="F29" s="144" t="s">
        <v>67</v>
      </c>
      <c r="G29" s="146">
        <v>6</v>
      </c>
      <c r="H29" s="147">
        <v>859</v>
      </c>
      <c r="I29" s="2"/>
    </row>
    <row r="30" spans="1:9" ht="19.8" customHeight="1" x14ac:dyDescent="0.3">
      <c r="A30" s="155">
        <v>45980</v>
      </c>
      <c r="B30" s="144" t="s">
        <v>61</v>
      </c>
      <c r="C30" s="145" t="s">
        <v>69</v>
      </c>
      <c r="D30" s="144" t="s">
        <v>1</v>
      </c>
      <c r="E30" s="156">
        <v>1.854166666666667</v>
      </c>
      <c r="F30" s="144" t="s">
        <v>67</v>
      </c>
      <c r="G30" s="146">
        <v>1</v>
      </c>
      <c r="H30" s="147">
        <v>859</v>
      </c>
      <c r="I30" s="2"/>
    </row>
    <row r="31" spans="1:9" ht="19.8" customHeight="1" x14ac:dyDescent="0.3">
      <c r="A31" s="155">
        <v>45980</v>
      </c>
      <c r="B31" s="144" t="s">
        <v>61</v>
      </c>
      <c r="C31" s="145" t="s">
        <v>72</v>
      </c>
      <c r="D31" s="144" t="s">
        <v>1</v>
      </c>
      <c r="E31" s="156">
        <v>1.395833333333333</v>
      </c>
      <c r="F31" s="144" t="s">
        <v>67</v>
      </c>
      <c r="G31" s="146">
        <v>9</v>
      </c>
      <c r="H31" s="147">
        <v>859</v>
      </c>
      <c r="I31" s="2"/>
    </row>
    <row r="32" spans="1:9" ht="19.8" customHeight="1" x14ac:dyDescent="0.3">
      <c r="A32" s="155">
        <v>45980</v>
      </c>
      <c r="B32" s="144" t="s">
        <v>61</v>
      </c>
      <c r="C32" s="145" t="s">
        <v>73</v>
      </c>
      <c r="D32" s="144" t="s">
        <v>1</v>
      </c>
      <c r="E32" s="156">
        <v>1.7986111111111109</v>
      </c>
      <c r="F32" s="144" t="s">
        <v>67</v>
      </c>
      <c r="G32" s="146">
        <v>9</v>
      </c>
      <c r="H32" s="147">
        <v>859</v>
      </c>
      <c r="I32" s="2"/>
    </row>
    <row r="33" spans="1:9" ht="19.8" customHeight="1" x14ac:dyDescent="0.3">
      <c r="A33" s="155">
        <v>45980</v>
      </c>
      <c r="B33" s="144" t="s">
        <v>41</v>
      </c>
      <c r="C33" s="145" t="s">
        <v>56</v>
      </c>
      <c r="D33" s="144" t="s">
        <v>1</v>
      </c>
      <c r="E33" s="156">
        <v>1.8888888888888891</v>
      </c>
      <c r="F33" s="144" t="s">
        <v>45</v>
      </c>
      <c r="G33" s="146">
        <v>9</v>
      </c>
      <c r="H33" s="147">
        <v>899</v>
      </c>
      <c r="I33" s="2"/>
    </row>
    <row r="34" spans="1:9" ht="19.8" customHeight="1" x14ac:dyDescent="0.3">
      <c r="A34" s="155">
        <v>45980</v>
      </c>
      <c r="B34" s="144" t="s">
        <v>61</v>
      </c>
      <c r="C34" s="145" t="s">
        <v>74</v>
      </c>
      <c r="D34" s="144" t="s">
        <v>1</v>
      </c>
      <c r="E34" s="156">
        <v>1.9027777777777779</v>
      </c>
      <c r="F34" s="144" t="s">
        <v>67</v>
      </c>
      <c r="G34" s="146">
        <v>9</v>
      </c>
      <c r="H34" s="147">
        <v>909</v>
      </c>
      <c r="I34" s="2"/>
    </row>
    <row r="35" spans="1:9" ht="19.8" customHeight="1" x14ac:dyDescent="0.3">
      <c r="A35" s="155">
        <v>45980</v>
      </c>
      <c r="B35" s="144" t="s">
        <v>61</v>
      </c>
      <c r="C35" s="145" t="s">
        <v>78</v>
      </c>
      <c r="D35" s="144" t="s">
        <v>1</v>
      </c>
      <c r="E35" s="156">
        <v>1.645833333333333</v>
      </c>
      <c r="F35" s="144" t="s">
        <v>67</v>
      </c>
      <c r="G35" s="146">
        <v>8</v>
      </c>
      <c r="H35" s="147">
        <v>909</v>
      </c>
      <c r="I35" s="2"/>
    </row>
    <row r="36" spans="1:9" ht="19.8" customHeight="1" x14ac:dyDescent="0.3">
      <c r="A36" s="155">
        <v>45980</v>
      </c>
      <c r="B36" s="144" t="s">
        <v>61</v>
      </c>
      <c r="C36" s="145" t="s">
        <v>79</v>
      </c>
      <c r="D36" s="144" t="s">
        <v>1</v>
      </c>
      <c r="E36" s="156">
        <v>1.302083333333333</v>
      </c>
      <c r="F36" s="144" t="s">
        <v>67</v>
      </c>
      <c r="G36" s="146">
        <v>7</v>
      </c>
      <c r="H36" s="147">
        <v>909</v>
      </c>
      <c r="I36" s="2"/>
    </row>
    <row r="37" spans="1:9" ht="19.8" customHeight="1" x14ac:dyDescent="0.3">
      <c r="A37" s="155">
        <v>45980</v>
      </c>
      <c r="B37" s="144" t="s">
        <v>104</v>
      </c>
      <c r="C37" s="145" t="s">
        <v>105</v>
      </c>
      <c r="D37" s="144" t="s">
        <v>1</v>
      </c>
      <c r="E37" s="156">
        <v>1.4861111111111109</v>
      </c>
      <c r="F37" s="144" t="s">
        <v>106</v>
      </c>
      <c r="G37" s="146">
        <v>9</v>
      </c>
      <c r="H37" s="147">
        <v>993</v>
      </c>
      <c r="I37" s="2"/>
    </row>
    <row r="38" spans="1:9" ht="19.8" customHeight="1" x14ac:dyDescent="0.3">
      <c r="A38" s="155">
        <v>45980</v>
      </c>
      <c r="B38" s="144" t="s">
        <v>41</v>
      </c>
      <c r="C38" s="145" t="s">
        <v>42</v>
      </c>
      <c r="D38" s="144" t="s">
        <v>1</v>
      </c>
      <c r="E38" s="156">
        <v>1.302083333333333</v>
      </c>
      <c r="F38" s="144" t="s">
        <v>48</v>
      </c>
      <c r="G38" s="146">
        <v>6</v>
      </c>
      <c r="H38" s="157" t="s">
        <v>49</v>
      </c>
      <c r="I38" s="2"/>
    </row>
    <row r="39" spans="1:9" ht="19.8" customHeight="1" x14ac:dyDescent="0.3">
      <c r="A39" s="155">
        <v>45980</v>
      </c>
      <c r="B39" s="144" t="s">
        <v>104</v>
      </c>
      <c r="C39" s="145" t="s">
        <v>108</v>
      </c>
      <c r="D39" s="144" t="s">
        <v>1</v>
      </c>
      <c r="E39" s="156">
        <v>1.2777777777777779</v>
      </c>
      <c r="F39" s="144" t="s">
        <v>106</v>
      </c>
      <c r="G39" s="146">
        <v>9</v>
      </c>
      <c r="H39" s="157" t="s">
        <v>110</v>
      </c>
      <c r="I39" s="2"/>
    </row>
    <row r="40" spans="1:9" ht="19.8" customHeight="1" x14ac:dyDescent="0.3">
      <c r="A40" s="155">
        <v>45980</v>
      </c>
      <c r="B40" s="144" t="s">
        <v>104</v>
      </c>
      <c r="C40" s="145" t="s">
        <v>111</v>
      </c>
      <c r="D40" s="144" t="s">
        <v>1</v>
      </c>
      <c r="E40" s="156">
        <v>1.520833333333333</v>
      </c>
      <c r="F40" s="144" t="s">
        <v>106</v>
      </c>
      <c r="G40" s="146">
        <v>9</v>
      </c>
      <c r="H40" s="157" t="s">
        <v>110</v>
      </c>
      <c r="I40" s="2"/>
    </row>
    <row r="41" spans="1:9" ht="19.8" customHeight="1" x14ac:dyDescent="0.3">
      <c r="A41" s="155">
        <v>45980</v>
      </c>
      <c r="B41" s="144" t="s">
        <v>115</v>
      </c>
      <c r="C41" s="145" t="s">
        <v>116</v>
      </c>
      <c r="D41" s="144" t="s">
        <v>1</v>
      </c>
      <c r="E41" s="156">
        <v>1.3784722222222221</v>
      </c>
      <c r="F41" s="144" t="s">
        <v>117</v>
      </c>
      <c r="G41" s="146">
        <v>9</v>
      </c>
      <c r="H41" s="157" t="s">
        <v>118</v>
      </c>
      <c r="I41" s="2"/>
    </row>
    <row r="42" spans="1:9" ht="19.8" customHeight="1" x14ac:dyDescent="0.3">
      <c r="A42" s="155">
        <v>45980</v>
      </c>
      <c r="B42" s="144" t="s">
        <v>115</v>
      </c>
      <c r="C42" s="145" t="s">
        <v>122</v>
      </c>
      <c r="D42" s="144" t="s">
        <v>1</v>
      </c>
      <c r="E42" s="156">
        <v>1.930555555555556</v>
      </c>
      <c r="F42" s="144" t="s">
        <v>117</v>
      </c>
      <c r="G42" s="146">
        <v>3</v>
      </c>
      <c r="H42" s="157" t="s">
        <v>118</v>
      </c>
      <c r="I42" s="2"/>
    </row>
    <row r="43" spans="1:9" ht="19.8" customHeight="1" x14ac:dyDescent="0.3">
      <c r="A43" s="155">
        <v>45980</v>
      </c>
      <c r="B43" s="144" t="s">
        <v>115</v>
      </c>
      <c r="C43" s="145" t="s">
        <v>125</v>
      </c>
      <c r="D43" s="144" t="s">
        <v>1</v>
      </c>
      <c r="E43" s="156">
        <v>1.8298611111111109</v>
      </c>
      <c r="F43" s="144" t="s">
        <v>117</v>
      </c>
      <c r="G43" s="146">
        <v>9</v>
      </c>
      <c r="H43" s="157" t="s">
        <v>118</v>
      </c>
      <c r="I43" s="2"/>
    </row>
    <row r="44" spans="1:9" ht="19.8" customHeight="1" x14ac:dyDescent="0.3">
      <c r="A44" s="155">
        <v>45980</v>
      </c>
      <c r="B44" s="144" t="s">
        <v>104</v>
      </c>
      <c r="C44" s="145" t="s">
        <v>112</v>
      </c>
      <c r="D44" s="144" t="s">
        <v>1</v>
      </c>
      <c r="E44" s="156">
        <v>1.958333333333333</v>
      </c>
      <c r="F44" s="144" t="s">
        <v>106</v>
      </c>
      <c r="G44" s="146">
        <v>9</v>
      </c>
      <c r="H44" s="157" t="s">
        <v>113</v>
      </c>
      <c r="I44" s="2"/>
    </row>
    <row r="45" spans="1:9" ht="19.8" customHeight="1" x14ac:dyDescent="0.3">
      <c r="A45" s="155">
        <v>45980</v>
      </c>
      <c r="B45" s="144" t="s">
        <v>104</v>
      </c>
      <c r="C45" s="145" t="s">
        <v>114</v>
      </c>
      <c r="D45" s="144" t="s">
        <v>1</v>
      </c>
      <c r="E45" s="156">
        <v>1.774305555555556</v>
      </c>
      <c r="F45" s="144" t="s">
        <v>106</v>
      </c>
      <c r="G45" s="146">
        <v>9</v>
      </c>
      <c r="H45" s="157" t="s">
        <v>113</v>
      </c>
      <c r="I45" s="2"/>
    </row>
    <row r="46" spans="1:9" ht="19.8" customHeight="1" x14ac:dyDescent="0.3">
      <c r="A46" s="155">
        <v>45980</v>
      </c>
      <c r="B46" s="144" t="s">
        <v>115</v>
      </c>
      <c r="C46" s="145" t="s">
        <v>116</v>
      </c>
      <c r="D46" s="144" t="s">
        <v>1</v>
      </c>
      <c r="E46" s="156">
        <v>1.3784722222222221</v>
      </c>
      <c r="F46" s="144" t="s">
        <v>119</v>
      </c>
      <c r="G46" s="146">
        <v>9</v>
      </c>
      <c r="H46" s="157" t="s">
        <v>121</v>
      </c>
      <c r="I46" s="2"/>
    </row>
    <row r="47" spans="1:9" ht="19.8" customHeight="1" x14ac:dyDescent="0.3">
      <c r="A47" s="155">
        <v>45980</v>
      </c>
      <c r="B47" s="144" t="s">
        <v>115</v>
      </c>
      <c r="C47" s="145" t="s">
        <v>122</v>
      </c>
      <c r="D47" s="144" t="s">
        <v>1</v>
      </c>
      <c r="E47" s="156">
        <v>1.930555555555556</v>
      </c>
      <c r="F47" s="144" t="s">
        <v>119</v>
      </c>
      <c r="G47" s="146">
        <v>3</v>
      </c>
      <c r="H47" s="157" t="s">
        <v>121</v>
      </c>
      <c r="I47" s="2"/>
    </row>
    <row r="48" spans="1:9" ht="19.8" customHeight="1" x14ac:dyDescent="0.3">
      <c r="A48" s="155">
        <v>45980</v>
      </c>
      <c r="B48" s="144" t="s">
        <v>115</v>
      </c>
      <c r="C48" s="145" t="s">
        <v>125</v>
      </c>
      <c r="D48" s="144" t="s">
        <v>1</v>
      </c>
      <c r="E48" s="156">
        <v>1.8298611111111109</v>
      </c>
      <c r="F48" s="144" t="s">
        <v>119</v>
      </c>
      <c r="G48" s="146">
        <v>9</v>
      </c>
      <c r="H48" s="157" t="s">
        <v>121</v>
      </c>
      <c r="I48" s="2"/>
    </row>
    <row r="49" spans="1:9" ht="19.8" customHeight="1" x14ac:dyDescent="0.3">
      <c r="A49" s="155">
        <v>45980</v>
      </c>
      <c r="B49" s="144" t="s">
        <v>41</v>
      </c>
      <c r="C49" s="145" t="s">
        <v>50</v>
      </c>
      <c r="D49" s="144" t="s">
        <v>1</v>
      </c>
      <c r="E49" s="156">
        <v>1.788194444444444</v>
      </c>
      <c r="F49" s="144" t="s">
        <v>48</v>
      </c>
      <c r="G49" s="146">
        <v>8</v>
      </c>
      <c r="H49" s="157" t="s">
        <v>55</v>
      </c>
      <c r="I49" s="2"/>
    </row>
    <row r="50" spans="1:9" ht="19.8" customHeight="1" x14ac:dyDescent="0.3">
      <c r="A50" s="155">
        <v>45980</v>
      </c>
      <c r="B50" s="144" t="s">
        <v>41</v>
      </c>
      <c r="C50" s="145" t="s">
        <v>56</v>
      </c>
      <c r="D50" s="144" t="s">
        <v>1</v>
      </c>
      <c r="E50" s="156">
        <v>1.8888888888888891</v>
      </c>
      <c r="F50" s="144" t="s">
        <v>48</v>
      </c>
      <c r="G50" s="146">
        <v>9</v>
      </c>
      <c r="H50" s="157" t="s">
        <v>55</v>
      </c>
      <c r="I50" s="2"/>
    </row>
    <row r="51" spans="1:9" ht="19.8" customHeight="1" x14ac:dyDescent="0.3">
      <c r="A51" s="155">
        <v>45980</v>
      </c>
      <c r="B51" s="144" t="s">
        <v>115</v>
      </c>
      <c r="C51" s="145" t="s">
        <v>126</v>
      </c>
      <c r="D51" s="144" t="s">
        <v>1</v>
      </c>
      <c r="E51" s="156">
        <v>1.71875</v>
      </c>
      <c r="F51" s="144" t="s">
        <v>117</v>
      </c>
      <c r="G51" s="146">
        <v>9</v>
      </c>
      <c r="H51" s="157" t="s">
        <v>127</v>
      </c>
      <c r="I51" s="2"/>
    </row>
    <row r="52" spans="1:9" ht="19.8" customHeight="1" x14ac:dyDescent="0.3">
      <c r="A52" s="155">
        <v>45980</v>
      </c>
      <c r="B52" s="144" t="s">
        <v>115</v>
      </c>
      <c r="C52" s="145" t="s">
        <v>129</v>
      </c>
      <c r="D52" s="144" t="s">
        <v>1</v>
      </c>
      <c r="E52" s="156">
        <v>1.6111111111111109</v>
      </c>
      <c r="F52" s="144" t="s">
        <v>117</v>
      </c>
      <c r="G52" s="146">
        <v>9</v>
      </c>
      <c r="H52" s="157" t="s">
        <v>127</v>
      </c>
      <c r="I52" s="2"/>
    </row>
    <row r="53" spans="1:9" ht="19.8" customHeight="1" x14ac:dyDescent="0.3">
      <c r="A53" s="155">
        <v>45980</v>
      </c>
      <c r="B53" s="144" t="s">
        <v>115</v>
      </c>
      <c r="C53" s="145" t="s">
        <v>126</v>
      </c>
      <c r="D53" s="144" t="s">
        <v>1</v>
      </c>
      <c r="E53" s="156">
        <v>1.71875</v>
      </c>
      <c r="F53" s="144" t="s">
        <v>119</v>
      </c>
      <c r="G53" s="146">
        <v>9</v>
      </c>
      <c r="H53" s="157" t="s">
        <v>128</v>
      </c>
      <c r="I53" s="2"/>
    </row>
    <row r="54" spans="1:9" ht="19.8" customHeight="1" x14ac:dyDescent="0.3">
      <c r="A54" s="155">
        <v>45980</v>
      </c>
      <c r="B54" s="144" t="s">
        <v>115</v>
      </c>
      <c r="C54" s="145" t="s">
        <v>129</v>
      </c>
      <c r="D54" s="144" t="s">
        <v>1</v>
      </c>
      <c r="E54" s="156">
        <v>1.6111111111111109</v>
      </c>
      <c r="F54" s="144" t="s">
        <v>119</v>
      </c>
      <c r="G54" s="146">
        <v>9</v>
      </c>
      <c r="H54" s="157" t="s">
        <v>128</v>
      </c>
      <c r="I54" s="2"/>
    </row>
    <row r="55" spans="1:9" ht="19.8" customHeight="1" x14ac:dyDescent="0.3">
      <c r="A55" s="155">
        <v>45980</v>
      </c>
      <c r="B55" s="144" t="s">
        <v>115</v>
      </c>
      <c r="C55" s="145" t="s">
        <v>130</v>
      </c>
      <c r="D55" s="144" t="s">
        <v>1</v>
      </c>
      <c r="E55" s="156">
        <v>1.8888888888888891</v>
      </c>
      <c r="F55" s="144" t="s">
        <v>119</v>
      </c>
      <c r="G55" s="146">
        <v>4</v>
      </c>
      <c r="H55" s="157" t="s">
        <v>131</v>
      </c>
      <c r="I55" s="2"/>
    </row>
    <row r="56" spans="1:9" ht="19.8" customHeight="1" x14ac:dyDescent="0.3">
      <c r="A56" s="158">
        <v>45980</v>
      </c>
      <c r="B56" s="159" t="s">
        <v>115</v>
      </c>
      <c r="C56" s="160" t="s">
        <v>132</v>
      </c>
      <c r="D56" s="159" t="s">
        <v>1</v>
      </c>
      <c r="E56" s="161">
        <v>1.788194444444444</v>
      </c>
      <c r="F56" s="159" t="s">
        <v>119</v>
      </c>
      <c r="G56" s="162">
        <v>4</v>
      </c>
      <c r="H56" s="163" t="s">
        <v>131</v>
      </c>
      <c r="I56" s="2"/>
    </row>
    <row r="57" spans="1:9" ht="19.8" customHeight="1" x14ac:dyDescent="0.3">
      <c r="A57" s="155">
        <v>45981</v>
      </c>
      <c r="B57" s="144" t="s">
        <v>41</v>
      </c>
      <c r="C57" s="145" t="s">
        <v>133</v>
      </c>
      <c r="D57" s="144" t="s">
        <v>1</v>
      </c>
      <c r="E57" s="156">
        <v>1.1284722222222221</v>
      </c>
      <c r="F57" s="144" t="s">
        <v>43</v>
      </c>
      <c r="G57" s="146">
        <v>1</v>
      </c>
      <c r="H57" s="147">
        <v>639</v>
      </c>
      <c r="I57" s="2"/>
    </row>
    <row r="58" spans="1:9" ht="19.8" customHeight="1" x14ac:dyDescent="0.3">
      <c r="A58" s="155">
        <v>45981</v>
      </c>
      <c r="B58" s="144" t="s">
        <v>61</v>
      </c>
      <c r="C58" s="145" t="s">
        <v>137</v>
      </c>
      <c r="D58" s="144" t="s">
        <v>1</v>
      </c>
      <c r="E58" s="156">
        <v>1.256944444444444</v>
      </c>
      <c r="F58" s="144" t="s">
        <v>63</v>
      </c>
      <c r="G58" s="146">
        <v>6</v>
      </c>
      <c r="H58" s="147">
        <v>669</v>
      </c>
      <c r="I58" s="2"/>
    </row>
    <row r="59" spans="1:9" ht="19.8" customHeight="1" x14ac:dyDescent="0.3">
      <c r="A59" s="155">
        <v>45981</v>
      </c>
      <c r="B59" s="144" t="s">
        <v>61</v>
      </c>
      <c r="C59" s="145" t="s">
        <v>72</v>
      </c>
      <c r="D59" s="144" t="s">
        <v>1</v>
      </c>
      <c r="E59" s="156">
        <v>1.395833333333333</v>
      </c>
      <c r="F59" s="144" t="s">
        <v>63</v>
      </c>
      <c r="G59" s="146">
        <v>1</v>
      </c>
      <c r="H59" s="147">
        <v>669</v>
      </c>
      <c r="I59" s="2"/>
    </row>
    <row r="60" spans="1:9" ht="19.8" customHeight="1" x14ac:dyDescent="0.3">
      <c r="A60" s="155">
        <v>45981</v>
      </c>
      <c r="B60" s="144" t="s">
        <v>61</v>
      </c>
      <c r="C60" s="145" t="s">
        <v>79</v>
      </c>
      <c r="D60" s="144" t="s">
        <v>1</v>
      </c>
      <c r="E60" s="156">
        <v>1.302083333333333</v>
      </c>
      <c r="F60" s="144" t="s">
        <v>63</v>
      </c>
      <c r="G60" s="146">
        <v>7</v>
      </c>
      <c r="H60" s="147">
        <v>669</v>
      </c>
      <c r="I60" s="2"/>
    </row>
    <row r="61" spans="1:9" ht="19.8" customHeight="1" x14ac:dyDescent="0.3">
      <c r="A61" s="155">
        <v>45981</v>
      </c>
      <c r="B61" s="144" t="s">
        <v>41</v>
      </c>
      <c r="C61" s="145" t="s">
        <v>42</v>
      </c>
      <c r="D61" s="144" t="s">
        <v>1</v>
      </c>
      <c r="E61" s="156">
        <v>1.302083333333333</v>
      </c>
      <c r="F61" s="144" t="s">
        <v>43</v>
      </c>
      <c r="G61" s="146">
        <v>9</v>
      </c>
      <c r="H61" s="147">
        <v>689</v>
      </c>
      <c r="I61" s="2"/>
    </row>
    <row r="62" spans="1:9" ht="19.8" customHeight="1" x14ac:dyDescent="0.3">
      <c r="A62" s="155">
        <v>45981</v>
      </c>
      <c r="B62" s="144" t="s">
        <v>41</v>
      </c>
      <c r="C62" s="145" t="s">
        <v>56</v>
      </c>
      <c r="D62" s="144" t="s">
        <v>1</v>
      </c>
      <c r="E62" s="156">
        <v>1.8888888888888891</v>
      </c>
      <c r="F62" s="144" t="s">
        <v>43</v>
      </c>
      <c r="G62" s="146">
        <v>1</v>
      </c>
      <c r="H62" s="147">
        <v>689</v>
      </c>
      <c r="I62" s="2"/>
    </row>
    <row r="63" spans="1:9" ht="19.8" customHeight="1" x14ac:dyDescent="0.3">
      <c r="A63" s="155">
        <v>45981</v>
      </c>
      <c r="B63" s="144" t="s">
        <v>26</v>
      </c>
      <c r="C63" s="145" t="s">
        <v>31</v>
      </c>
      <c r="D63" s="144" t="s">
        <v>1</v>
      </c>
      <c r="E63" s="156">
        <v>1.59375</v>
      </c>
      <c r="F63" s="144" t="s">
        <v>28</v>
      </c>
      <c r="G63" s="146">
        <v>1</v>
      </c>
      <c r="H63" s="147">
        <v>695</v>
      </c>
      <c r="I63" s="2"/>
    </row>
    <row r="64" spans="1:9" ht="19.8" customHeight="1" x14ac:dyDescent="0.3">
      <c r="A64" s="153">
        <v>45981</v>
      </c>
      <c r="B64" s="149" t="s">
        <v>81</v>
      </c>
      <c r="C64" s="150" t="s">
        <v>146</v>
      </c>
      <c r="D64" s="149" t="s">
        <v>1</v>
      </c>
      <c r="E64" s="154">
        <v>1.0486111111111109</v>
      </c>
      <c r="F64" s="149" t="s">
        <v>83</v>
      </c>
      <c r="G64" s="151">
        <v>1</v>
      </c>
      <c r="H64" s="152">
        <v>706</v>
      </c>
      <c r="I64" s="2"/>
    </row>
    <row r="65" spans="1:9" ht="19.8" customHeight="1" x14ac:dyDescent="0.3">
      <c r="A65" s="153">
        <v>45981</v>
      </c>
      <c r="B65" s="149" t="s">
        <v>81</v>
      </c>
      <c r="C65" s="150" t="s">
        <v>151</v>
      </c>
      <c r="D65" s="149" t="s">
        <v>1</v>
      </c>
      <c r="E65" s="154">
        <v>1.2534722222222221</v>
      </c>
      <c r="F65" s="149" t="s">
        <v>83</v>
      </c>
      <c r="G65" s="151">
        <v>1</v>
      </c>
      <c r="H65" s="152">
        <v>706</v>
      </c>
      <c r="I65" s="2"/>
    </row>
    <row r="66" spans="1:9" ht="19.8" customHeight="1" x14ac:dyDescent="0.3">
      <c r="A66" s="153">
        <v>45981</v>
      </c>
      <c r="B66" s="149" t="s">
        <v>81</v>
      </c>
      <c r="C66" s="150" t="s">
        <v>89</v>
      </c>
      <c r="D66" s="149" t="s">
        <v>1</v>
      </c>
      <c r="E66" s="154">
        <v>1.333333333333333</v>
      </c>
      <c r="F66" s="149" t="s">
        <v>83</v>
      </c>
      <c r="G66" s="151">
        <v>1</v>
      </c>
      <c r="H66" s="152">
        <v>706</v>
      </c>
      <c r="I66" s="2"/>
    </row>
    <row r="67" spans="1:9" ht="19.8" customHeight="1" x14ac:dyDescent="0.3">
      <c r="A67" s="155">
        <v>45981</v>
      </c>
      <c r="B67" s="144" t="s">
        <v>61</v>
      </c>
      <c r="C67" s="145" t="s">
        <v>74</v>
      </c>
      <c r="D67" s="144" t="s">
        <v>1</v>
      </c>
      <c r="E67" s="156">
        <v>1.9027777777777779</v>
      </c>
      <c r="F67" s="144" t="s">
        <v>63</v>
      </c>
      <c r="G67" s="146">
        <v>7</v>
      </c>
      <c r="H67" s="147">
        <v>719</v>
      </c>
      <c r="I67" s="2"/>
    </row>
    <row r="68" spans="1:9" ht="19.8" customHeight="1" x14ac:dyDescent="0.3">
      <c r="A68" s="155">
        <v>45981</v>
      </c>
      <c r="B68" s="144" t="s">
        <v>61</v>
      </c>
      <c r="C68" s="145" t="s">
        <v>62</v>
      </c>
      <c r="D68" s="144" t="s">
        <v>1</v>
      </c>
      <c r="E68" s="156">
        <v>1.5173611111111109</v>
      </c>
      <c r="F68" s="144" t="s">
        <v>63</v>
      </c>
      <c r="G68" s="146">
        <v>6</v>
      </c>
      <c r="H68" s="147">
        <v>719</v>
      </c>
      <c r="I68" s="2"/>
    </row>
    <row r="69" spans="1:9" ht="19.8" customHeight="1" x14ac:dyDescent="0.3">
      <c r="A69" s="155">
        <v>45981</v>
      </c>
      <c r="B69" s="144" t="s">
        <v>61</v>
      </c>
      <c r="C69" s="145" t="s">
        <v>69</v>
      </c>
      <c r="D69" s="144" t="s">
        <v>1</v>
      </c>
      <c r="E69" s="156">
        <v>1.854166666666667</v>
      </c>
      <c r="F69" s="144" t="s">
        <v>63</v>
      </c>
      <c r="G69" s="146">
        <v>7</v>
      </c>
      <c r="H69" s="147">
        <v>719</v>
      </c>
      <c r="I69" s="2"/>
    </row>
    <row r="70" spans="1:9" ht="19.8" customHeight="1" x14ac:dyDescent="0.3">
      <c r="A70" s="155">
        <v>45981</v>
      </c>
      <c r="B70" s="144" t="s">
        <v>61</v>
      </c>
      <c r="C70" s="145" t="s">
        <v>73</v>
      </c>
      <c r="D70" s="144" t="s">
        <v>1</v>
      </c>
      <c r="E70" s="156">
        <v>1.7986111111111109</v>
      </c>
      <c r="F70" s="144" t="s">
        <v>63</v>
      </c>
      <c r="G70" s="146">
        <v>7</v>
      </c>
      <c r="H70" s="147">
        <v>719</v>
      </c>
      <c r="I70" s="2"/>
    </row>
    <row r="71" spans="1:9" ht="19.8" customHeight="1" x14ac:dyDescent="0.3">
      <c r="A71" s="155">
        <v>45981</v>
      </c>
      <c r="B71" s="144" t="s">
        <v>100</v>
      </c>
      <c r="C71" s="145" t="s">
        <v>101</v>
      </c>
      <c r="D71" s="144" t="s">
        <v>1</v>
      </c>
      <c r="E71" s="156">
        <v>1.3298611111111109</v>
      </c>
      <c r="F71" s="144" t="s">
        <v>102</v>
      </c>
      <c r="G71" s="146">
        <v>9</v>
      </c>
      <c r="H71" s="147">
        <v>737</v>
      </c>
      <c r="I71" s="2"/>
    </row>
    <row r="72" spans="1:9" ht="19.8" customHeight="1" x14ac:dyDescent="0.3">
      <c r="A72" s="155">
        <v>45981</v>
      </c>
      <c r="B72" s="144" t="s">
        <v>26</v>
      </c>
      <c r="C72" s="145" t="s">
        <v>27</v>
      </c>
      <c r="D72" s="144" t="s">
        <v>1</v>
      </c>
      <c r="E72" s="156">
        <v>1.291666666666667</v>
      </c>
      <c r="F72" s="144" t="s">
        <v>28</v>
      </c>
      <c r="G72" s="146">
        <v>6</v>
      </c>
      <c r="H72" s="147">
        <v>745</v>
      </c>
      <c r="I72" s="2"/>
    </row>
    <row r="73" spans="1:9" ht="19.8" customHeight="1" x14ac:dyDescent="0.3">
      <c r="A73" s="155">
        <v>45981</v>
      </c>
      <c r="B73" s="144" t="s">
        <v>34</v>
      </c>
      <c r="C73" s="145" t="s">
        <v>35</v>
      </c>
      <c r="D73" s="144" t="s">
        <v>1</v>
      </c>
      <c r="E73" s="156">
        <v>1.666666666666667</v>
      </c>
      <c r="F73" s="144" t="s">
        <v>28</v>
      </c>
      <c r="G73" s="146">
        <v>9</v>
      </c>
      <c r="H73" s="147">
        <v>749</v>
      </c>
      <c r="I73" s="2"/>
    </row>
    <row r="74" spans="1:9" ht="19.8" customHeight="1" x14ac:dyDescent="0.3">
      <c r="A74" s="155">
        <v>45981</v>
      </c>
      <c r="B74" s="144" t="s">
        <v>41</v>
      </c>
      <c r="C74" s="145" t="s">
        <v>50</v>
      </c>
      <c r="D74" s="144" t="s">
        <v>1</v>
      </c>
      <c r="E74" s="156">
        <v>1.788194444444444</v>
      </c>
      <c r="F74" s="144" t="s">
        <v>43</v>
      </c>
      <c r="G74" s="146">
        <v>10</v>
      </c>
      <c r="H74" s="147">
        <v>749</v>
      </c>
      <c r="I74" s="2"/>
    </row>
    <row r="75" spans="1:9" ht="19.8" customHeight="1" x14ac:dyDescent="0.3">
      <c r="A75" s="155">
        <v>45981</v>
      </c>
      <c r="B75" s="144" t="s">
        <v>61</v>
      </c>
      <c r="C75" s="145" t="s">
        <v>137</v>
      </c>
      <c r="D75" s="144" t="s">
        <v>1</v>
      </c>
      <c r="E75" s="156">
        <v>1.256944444444444</v>
      </c>
      <c r="F75" s="144" t="s">
        <v>65</v>
      </c>
      <c r="G75" s="146">
        <v>6</v>
      </c>
      <c r="H75" s="147">
        <v>769</v>
      </c>
      <c r="I75" s="2"/>
    </row>
    <row r="76" spans="1:9" ht="19.8" customHeight="1" x14ac:dyDescent="0.3">
      <c r="A76" s="155">
        <v>45981</v>
      </c>
      <c r="B76" s="144" t="s">
        <v>61</v>
      </c>
      <c r="C76" s="145" t="s">
        <v>72</v>
      </c>
      <c r="D76" s="144" t="s">
        <v>1</v>
      </c>
      <c r="E76" s="156">
        <v>1.395833333333333</v>
      </c>
      <c r="F76" s="144" t="s">
        <v>65</v>
      </c>
      <c r="G76" s="146">
        <v>1</v>
      </c>
      <c r="H76" s="147">
        <v>769</v>
      </c>
      <c r="I76" s="2"/>
    </row>
    <row r="77" spans="1:9" ht="19.8" customHeight="1" x14ac:dyDescent="0.3">
      <c r="A77" s="155">
        <v>45981</v>
      </c>
      <c r="B77" s="144" t="s">
        <v>61</v>
      </c>
      <c r="C77" s="145" t="s">
        <v>79</v>
      </c>
      <c r="D77" s="144" t="s">
        <v>1</v>
      </c>
      <c r="E77" s="156">
        <v>1.302083333333333</v>
      </c>
      <c r="F77" s="144" t="s">
        <v>65</v>
      </c>
      <c r="G77" s="146">
        <v>7</v>
      </c>
      <c r="H77" s="147">
        <v>769</v>
      </c>
      <c r="I77" s="2"/>
    </row>
    <row r="78" spans="1:9" ht="19.8" customHeight="1" x14ac:dyDescent="0.3">
      <c r="A78" s="153">
        <v>45981</v>
      </c>
      <c r="B78" s="149" t="s">
        <v>81</v>
      </c>
      <c r="C78" s="150" t="s">
        <v>155</v>
      </c>
      <c r="D78" s="149" t="s">
        <v>1</v>
      </c>
      <c r="E78" s="154">
        <v>1.364583333333333</v>
      </c>
      <c r="F78" s="149" t="s">
        <v>83</v>
      </c>
      <c r="G78" s="151">
        <v>7</v>
      </c>
      <c r="H78" s="152">
        <v>781</v>
      </c>
      <c r="I78" s="2"/>
    </row>
    <row r="79" spans="1:9" ht="19.8" customHeight="1" x14ac:dyDescent="0.3">
      <c r="A79" s="153">
        <v>45981</v>
      </c>
      <c r="B79" s="149" t="s">
        <v>81</v>
      </c>
      <c r="C79" s="150" t="s">
        <v>159</v>
      </c>
      <c r="D79" s="149" t="s">
        <v>1</v>
      </c>
      <c r="E79" s="154">
        <v>1.114583333333333</v>
      </c>
      <c r="F79" s="149" t="s">
        <v>83</v>
      </c>
      <c r="G79" s="151">
        <v>6</v>
      </c>
      <c r="H79" s="152">
        <v>781</v>
      </c>
      <c r="I79" s="2"/>
    </row>
    <row r="80" spans="1:9" ht="19.8" customHeight="1" x14ac:dyDescent="0.3">
      <c r="A80" s="155">
        <v>45981</v>
      </c>
      <c r="B80" s="144" t="s">
        <v>41</v>
      </c>
      <c r="C80" s="145" t="s">
        <v>133</v>
      </c>
      <c r="D80" s="144" t="s">
        <v>1</v>
      </c>
      <c r="E80" s="156">
        <v>1.1284722222222221</v>
      </c>
      <c r="F80" s="144" t="s">
        <v>45</v>
      </c>
      <c r="G80" s="146">
        <v>1</v>
      </c>
      <c r="H80" s="147">
        <v>789</v>
      </c>
      <c r="I80" s="2"/>
    </row>
    <row r="81" spans="1:9" ht="19.8" customHeight="1" x14ac:dyDescent="0.3">
      <c r="A81" s="155">
        <v>45981</v>
      </c>
      <c r="B81" s="144" t="s">
        <v>61</v>
      </c>
      <c r="C81" s="145" t="s">
        <v>74</v>
      </c>
      <c r="D81" s="144" t="s">
        <v>1</v>
      </c>
      <c r="E81" s="156">
        <v>1.9027777777777779</v>
      </c>
      <c r="F81" s="144" t="s">
        <v>65</v>
      </c>
      <c r="G81" s="146">
        <v>7</v>
      </c>
      <c r="H81" s="147">
        <v>819</v>
      </c>
      <c r="I81" s="2"/>
    </row>
    <row r="82" spans="1:9" ht="19.8" customHeight="1" x14ac:dyDescent="0.3">
      <c r="A82" s="155">
        <v>45981</v>
      </c>
      <c r="B82" s="144" t="s">
        <v>61</v>
      </c>
      <c r="C82" s="145" t="s">
        <v>62</v>
      </c>
      <c r="D82" s="144" t="s">
        <v>1</v>
      </c>
      <c r="E82" s="156">
        <v>1.5173611111111109</v>
      </c>
      <c r="F82" s="144" t="s">
        <v>65</v>
      </c>
      <c r="G82" s="146">
        <v>6</v>
      </c>
      <c r="H82" s="147">
        <v>819</v>
      </c>
      <c r="I82" s="2"/>
    </row>
    <row r="83" spans="1:9" ht="19.8" customHeight="1" x14ac:dyDescent="0.3">
      <c r="A83" s="155">
        <v>45981</v>
      </c>
      <c r="B83" s="144" t="s">
        <v>61</v>
      </c>
      <c r="C83" s="145" t="s">
        <v>69</v>
      </c>
      <c r="D83" s="144" t="s">
        <v>1</v>
      </c>
      <c r="E83" s="156">
        <v>1.854166666666667</v>
      </c>
      <c r="F83" s="144" t="s">
        <v>65</v>
      </c>
      <c r="G83" s="146">
        <v>7</v>
      </c>
      <c r="H83" s="147">
        <v>819</v>
      </c>
      <c r="I83" s="2"/>
    </row>
    <row r="84" spans="1:9" ht="19.8" customHeight="1" x14ac:dyDescent="0.3">
      <c r="A84" s="155">
        <v>45981</v>
      </c>
      <c r="B84" s="144" t="s">
        <v>61</v>
      </c>
      <c r="C84" s="145" t="s">
        <v>73</v>
      </c>
      <c r="D84" s="144" t="s">
        <v>1</v>
      </c>
      <c r="E84" s="156">
        <v>1.7986111111111109</v>
      </c>
      <c r="F84" s="144" t="s">
        <v>65</v>
      </c>
      <c r="G84" s="146">
        <v>7</v>
      </c>
      <c r="H84" s="147">
        <v>819</v>
      </c>
      <c r="I84" s="2"/>
    </row>
    <row r="85" spans="1:9" ht="19.8" customHeight="1" x14ac:dyDescent="0.3">
      <c r="A85" s="155">
        <v>45981</v>
      </c>
      <c r="B85" s="144" t="s">
        <v>61</v>
      </c>
      <c r="C85" s="145" t="s">
        <v>78</v>
      </c>
      <c r="D85" s="144" t="s">
        <v>1</v>
      </c>
      <c r="E85" s="156">
        <v>1.6597222222222221</v>
      </c>
      <c r="F85" s="144" t="s">
        <v>63</v>
      </c>
      <c r="G85" s="146">
        <v>5</v>
      </c>
      <c r="H85" s="147">
        <v>829</v>
      </c>
      <c r="I85" s="2"/>
    </row>
    <row r="86" spans="1:9" ht="19.8" customHeight="1" x14ac:dyDescent="0.3">
      <c r="A86" s="155">
        <v>45981</v>
      </c>
      <c r="B86" s="144" t="s">
        <v>26</v>
      </c>
      <c r="C86" s="145" t="s">
        <v>144</v>
      </c>
      <c r="D86" s="144" t="s">
        <v>1</v>
      </c>
      <c r="E86" s="156">
        <v>1.850694444444444</v>
      </c>
      <c r="F86" s="144" t="s">
        <v>28</v>
      </c>
      <c r="G86" s="146">
        <v>2</v>
      </c>
      <c r="H86" s="147">
        <v>835</v>
      </c>
      <c r="I86" s="2"/>
    </row>
    <row r="87" spans="1:9" ht="19.8" customHeight="1" x14ac:dyDescent="0.3">
      <c r="A87" s="155">
        <v>45981</v>
      </c>
      <c r="B87" s="144" t="s">
        <v>41</v>
      </c>
      <c r="C87" s="145" t="s">
        <v>42</v>
      </c>
      <c r="D87" s="144" t="s">
        <v>1</v>
      </c>
      <c r="E87" s="156">
        <v>1.302083333333333</v>
      </c>
      <c r="F87" s="144" t="s">
        <v>45</v>
      </c>
      <c r="G87" s="146">
        <v>9</v>
      </c>
      <c r="H87" s="147">
        <v>839</v>
      </c>
      <c r="I87" s="2"/>
    </row>
    <row r="88" spans="1:9" ht="19.8" customHeight="1" x14ac:dyDescent="0.3">
      <c r="A88" s="155">
        <v>45981</v>
      </c>
      <c r="B88" s="144" t="s">
        <v>41</v>
      </c>
      <c r="C88" s="145" t="s">
        <v>56</v>
      </c>
      <c r="D88" s="144" t="s">
        <v>1</v>
      </c>
      <c r="E88" s="156">
        <v>1.8888888888888891</v>
      </c>
      <c r="F88" s="144" t="s">
        <v>45</v>
      </c>
      <c r="G88" s="146">
        <v>1</v>
      </c>
      <c r="H88" s="147">
        <v>839</v>
      </c>
      <c r="I88" s="2"/>
    </row>
    <row r="89" spans="1:9" ht="19.8" customHeight="1" x14ac:dyDescent="0.3">
      <c r="A89" s="155">
        <v>45981</v>
      </c>
      <c r="B89" s="144" t="s">
        <v>61</v>
      </c>
      <c r="C89" s="145" t="s">
        <v>137</v>
      </c>
      <c r="D89" s="144" t="s">
        <v>1</v>
      </c>
      <c r="E89" s="156">
        <v>1.256944444444444</v>
      </c>
      <c r="F89" s="144" t="s">
        <v>67</v>
      </c>
      <c r="G89" s="146">
        <v>6</v>
      </c>
      <c r="H89" s="147">
        <v>859</v>
      </c>
      <c r="I89" s="2"/>
    </row>
    <row r="90" spans="1:9" ht="19.8" customHeight="1" x14ac:dyDescent="0.3">
      <c r="A90" s="155">
        <v>45981</v>
      </c>
      <c r="B90" s="144" t="s">
        <v>61</v>
      </c>
      <c r="C90" s="145" t="s">
        <v>72</v>
      </c>
      <c r="D90" s="144" t="s">
        <v>1</v>
      </c>
      <c r="E90" s="156">
        <v>1.395833333333333</v>
      </c>
      <c r="F90" s="144" t="s">
        <v>67</v>
      </c>
      <c r="G90" s="146">
        <v>1</v>
      </c>
      <c r="H90" s="147">
        <v>859</v>
      </c>
      <c r="I90" s="2"/>
    </row>
    <row r="91" spans="1:9" ht="19.8" customHeight="1" x14ac:dyDescent="0.3">
      <c r="A91" s="155">
        <v>45981</v>
      </c>
      <c r="B91" s="144" t="s">
        <v>61</v>
      </c>
      <c r="C91" s="145" t="s">
        <v>79</v>
      </c>
      <c r="D91" s="144" t="s">
        <v>1</v>
      </c>
      <c r="E91" s="156">
        <v>1.302083333333333</v>
      </c>
      <c r="F91" s="144" t="s">
        <v>67</v>
      </c>
      <c r="G91" s="146">
        <v>7</v>
      </c>
      <c r="H91" s="147">
        <v>859</v>
      </c>
      <c r="I91" s="2"/>
    </row>
    <row r="92" spans="1:9" ht="19.8" customHeight="1" x14ac:dyDescent="0.3">
      <c r="A92" s="155">
        <v>45981</v>
      </c>
      <c r="B92" s="144" t="s">
        <v>100</v>
      </c>
      <c r="C92" s="145" t="s">
        <v>101</v>
      </c>
      <c r="D92" s="144" t="s">
        <v>1</v>
      </c>
      <c r="E92" s="156">
        <v>1.3298611111111109</v>
      </c>
      <c r="F92" s="144" t="s">
        <v>48</v>
      </c>
      <c r="G92" s="146">
        <v>9</v>
      </c>
      <c r="H92" s="147">
        <v>860</v>
      </c>
      <c r="I92" s="2"/>
    </row>
    <row r="93" spans="1:9" ht="19.8" customHeight="1" x14ac:dyDescent="0.3">
      <c r="A93" s="155">
        <v>45981</v>
      </c>
      <c r="B93" s="144" t="s">
        <v>41</v>
      </c>
      <c r="C93" s="145" t="s">
        <v>50</v>
      </c>
      <c r="D93" s="144" t="s">
        <v>1</v>
      </c>
      <c r="E93" s="156">
        <v>1.788194444444444</v>
      </c>
      <c r="F93" s="144" t="s">
        <v>45</v>
      </c>
      <c r="G93" s="146">
        <v>10</v>
      </c>
      <c r="H93" s="147">
        <v>899</v>
      </c>
      <c r="I93" s="2"/>
    </row>
    <row r="94" spans="1:9" ht="19.8" customHeight="1" x14ac:dyDescent="0.3">
      <c r="A94" s="155">
        <v>45981</v>
      </c>
      <c r="B94" s="144" t="s">
        <v>61</v>
      </c>
      <c r="C94" s="145" t="s">
        <v>74</v>
      </c>
      <c r="D94" s="144" t="s">
        <v>1</v>
      </c>
      <c r="E94" s="156">
        <v>1.9027777777777779</v>
      </c>
      <c r="F94" s="144" t="s">
        <v>67</v>
      </c>
      <c r="G94" s="146">
        <v>7</v>
      </c>
      <c r="H94" s="147">
        <v>909</v>
      </c>
      <c r="I94" s="2"/>
    </row>
    <row r="95" spans="1:9" ht="19.8" customHeight="1" x14ac:dyDescent="0.3">
      <c r="A95" s="155">
        <v>45981</v>
      </c>
      <c r="B95" s="144" t="s">
        <v>61</v>
      </c>
      <c r="C95" s="145" t="s">
        <v>62</v>
      </c>
      <c r="D95" s="144" t="s">
        <v>1</v>
      </c>
      <c r="E95" s="156">
        <v>1.5173611111111109</v>
      </c>
      <c r="F95" s="144" t="s">
        <v>67</v>
      </c>
      <c r="G95" s="146">
        <v>6</v>
      </c>
      <c r="H95" s="147">
        <v>909</v>
      </c>
      <c r="I95" s="2"/>
    </row>
    <row r="96" spans="1:9" ht="19.8" customHeight="1" x14ac:dyDescent="0.3">
      <c r="A96" s="155">
        <v>45981</v>
      </c>
      <c r="B96" s="144" t="s">
        <v>61</v>
      </c>
      <c r="C96" s="145" t="s">
        <v>69</v>
      </c>
      <c r="D96" s="144" t="s">
        <v>1</v>
      </c>
      <c r="E96" s="156">
        <v>1.854166666666667</v>
      </c>
      <c r="F96" s="144" t="s">
        <v>67</v>
      </c>
      <c r="G96" s="146">
        <v>7</v>
      </c>
      <c r="H96" s="147">
        <v>909</v>
      </c>
      <c r="I96" s="2"/>
    </row>
    <row r="97" spans="1:9" ht="19.8" customHeight="1" x14ac:dyDescent="0.3">
      <c r="A97" s="155">
        <v>45981</v>
      </c>
      <c r="B97" s="144" t="s">
        <v>61</v>
      </c>
      <c r="C97" s="145" t="s">
        <v>73</v>
      </c>
      <c r="D97" s="144" t="s">
        <v>1</v>
      </c>
      <c r="E97" s="156">
        <v>1.7986111111111109</v>
      </c>
      <c r="F97" s="144" t="s">
        <v>67</v>
      </c>
      <c r="G97" s="146">
        <v>7</v>
      </c>
      <c r="H97" s="147">
        <v>909</v>
      </c>
      <c r="I97" s="2"/>
    </row>
    <row r="98" spans="1:9" ht="19.8" customHeight="1" x14ac:dyDescent="0.3">
      <c r="A98" s="155">
        <v>45981</v>
      </c>
      <c r="B98" s="144" t="s">
        <v>61</v>
      </c>
      <c r="C98" s="145" t="s">
        <v>78</v>
      </c>
      <c r="D98" s="144" t="s">
        <v>1</v>
      </c>
      <c r="E98" s="156">
        <v>1.6597222222222221</v>
      </c>
      <c r="F98" s="144" t="s">
        <v>65</v>
      </c>
      <c r="G98" s="146">
        <v>5</v>
      </c>
      <c r="H98" s="147">
        <v>929</v>
      </c>
      <c r="I98" s="2"/>
    </row>
    <row r="99" spans="1:9" ht="19.8" customHeight="1" x14ac:dyDescent="0.3">
      <c r="A99" s="153">
        <v>45981</v>
      </c>
      <c r="B99" s="149" t="s">
        <v>81</v>
      </c>
      <c r="C99" s="150" t="s">
        <v>94</v>
      </c>
      <c r="D99" s="149" t="s">
        <v>1</v>
      </c>
      <c r="E99" s="154">
        <v>1.583333333333333</v>
      </c>
      <c r="F99" s="149" t="s">
        <v>83</v>
      </c>
      <c r="G99" s="151">
        <v>7</v>
      </c>
      <c r="H99" s="152">
        <v>952</v>
      </c>
      <c r="I99" s="2"/>
    </row>
    <row r="100" spans="1:9" ht="19.8" customHeight="1" x14ac:dyDescent="0.3">
      <c r="A100" s="155">
        <v>45981</v>
      </c>
      <c r="B100" s="144" t="s">
        <v>61</v>
      </c>
      <c r="C100" s="145" t="s">
        <v>78</v>
      </c>
      <c r="D100" s="144" t="s">
        <v>1</v>
      </c>
      <c r="E100" s="156">
        <v>1.6597222222222221</v>
      </c>
      <c r="F100" s="144" t="s">
        <v>67</v>
      </c>
      <c r="G100" s="146">
        <v>5</v>
      </c>
      <c r="H100" s="157" t="s">
        <v>142</v>
      </c>
      <c r="I100" s="2"/>
    </row>
    <row r="101" spans="1:9" ht="19.8" customHeight="1" x14ac:dyDescent="0.3">
      <c r="A101" s="155">
        <v>45981</v>
      </c>
      <c r="B101" s="144" t="s">
        <v>41</v>
      </c>
      <c r="C101" s="145" t="s">
        <v>42</v>
      </c>
      <c r="D101" s="144" t="s">
        <v>1</v>
      </c>
      <c r="E101" s="156">
        <v>1.302083333333333</v>
      </c>
      <c r="F101" s="144" t="s">
        <v>48</v>
      </c>
      <c r="G101" s="146">
        <v>9</v>
      </c>
      <c r="H101" s="157" t="s">
        <v>49</v>
      </c>
      <c r="I101" s="2"/>
    </row>
    <row r="102" spans="1:9" ht="19.8" customHeight="1" x14ac:dyDescent="0.3">
      <c r="A102" s="155">
        <v>45981</v>
      </c>
      <c r="B102" s="144" t="s">
        <v>41</v>
      </c>
      <c r="C102" s="145" t="s">
        <v>50</v>
      </c>
      <c r="D102" s="144" t="s">
        <v>1</v>
      </c>
      <c r="E102" s="156">
        <v>1.788194444444444</v>
      </c>
      <c r="F102" s="144" t="s">
        <v>48</v>
      </c>
      <c r="G102" s="146">
        <v>10</v>
      </c>
      <c r="H102" s="157" t="s">
        <v>49</v>
      </c>
      <c r="I102" s="2"/>
    </row>
    <row r="103" spans="1:9" ht="19.8" customHeight="1" x14ac:dyDescent="0.3">
      <c r="A103" s="155">
        <v>45981</v>
      </c>
      <c r="B103" s="144" t="s">
        <v>41</v>
      </c>
      <c r="C103" s="145" t="s">
        <v>56</v>
      </c>
      <c r="D103" s="144" t="s">
        <v>1</v>
      </c>
      <c r="E103" s="156">
        <v>1.8888888888888891</v>
      </c>
      <c r="F103" s="144" t="s">
        <v>48</v>
      </c>
      <c r="G103" s="146">
        <v>1</v>
      </c>
      <c r="H103" s="157" t="s">
        <v>49</v>
      </c>
      <c r="I103" s="2"/>
    </row>
    <row r="104" spans="1:9" ht="19.8" customHeight="1" x14ac:dyDescent="0.3">
      <c r="A104" s="155">
        <v>45981</v>
      </c>
      <c r="B104" s="144" t="s">
        <v>115</v>
      </c>
      <c r="C104" s="145" t="s">
        <v>173</v>
      </c>
      <c r="D104" s="144" t="s">
        <v>1</v>
      </c>
      <c r="E104" s="156">
        <v>1.243055555555556</v>
      </c>
      <c r="F104" s="144" t="s">
        <v>117</v>
      </c>
      <c r="G104" s="146">
        <v>9</v>
      </c>
      <c r="H104" s="157" t="s">
        <v>118</v>
      </c>
      <c r="I104" s="2"/>
    </row>
    <row r="105" spans="1:9" ht="19.8" customHeight="1" x14ac:dyDescent="0.3">
      <c r="A105" s="155">
        <v>45981</v>
      </c>
      <c r="B105" s="144" t="s">
        <v>115</v>
      </c>
      <c r="C105" s="145" t="s">
        <v>174</v>
      </c>
      <c r="D105" s="144" t="s">
        <v>1</v>
      </c>
      <c r="E105" s="156">
        <v>1.1423611111111109</v>
      </c>
      <c r="F105" s="144" t="s">
        <v>117</v>
      </c>
      <c r="G105" s="146">
        <v>9</v>
      </c>
      <c r="H105" s="157" t="s">
        <v>118</v>
      </c>
      <c r="I105" s="2"/>
    </row>
    <row r="106" spans="1:9" ht="19.8" customHeight="1" x14ac:dyDescent="0.3">
      <c r="A106" s="155">
        <v>45981</v>
      </c>
      <c r="B106" s="144" t="s">
        <v>104</v>
      </c>
      <c r="C106" s="145" t="s">
        <v>184</v>
      </c>
      <c r="D106" s="144" t="s">
        <v>1</v>
      </c>
      <c r="E106" s="156">
        <v>1.0138888888888891</v>
      </c>
      <c r="F106" s="144" t="s">
        <v>106</v>
      </c>
      <c r="G106" s="146">
        <v>9</v>
      </c>
      <c r="H106" s="157" t="s">
        <v>113</v>
      </c>
      <c r="I106" s="2"/>
    </row>
    <row r="107" spans="1:9" ht="19.8" customHeight="1" x14ac:dyDescent="0.3">
      <c r="A107" s="155">
        <v>45981</v>
      </c>
      <c r="B107" s="144" t="s">
        <v>115</v>
      </c>
      <c r="C107" s="145" t="s">
        <v>173</v>
      </c>
      <c r="D107" s="144" t="s">
        <v>1</v>
      </c>
      <c r="E107" s="156">
        <v>1.243055555555556</v>
      </c>
      <c r="F107" s="144" t="s">
        <v>119</v>
      </c>
      <c r="G107" s="146">
        <v>9</v>
      </c>
      <c r="H107" s="157" t="s">
        <v>121</v>
      </c>
      <c r="I107" s="2"/>
    </row>
    <row r="108" spans="1:9" ht="19.8" customHeight="1" x14ac:dyDescent="0.3">
      <c r="A108" s="155">
        <v>45981</v>
      </c>
      <c r="B108" s="144" t="s">
        <v>115</v>
      </c>
      <c r="C108" s="145" t="s">
        <v>174</v>
      </c>
      <c r="D108" s="144" t="s">
        <v>1</v>
      </c>
      <c r="E108" s="156">
        <v>1.1423611111111109</v>
      </c>
      <c r="F108" s="144" t="s">
        <v>119</v>
      </c>
      <c r="G108" s="146">
        <v>9</v>
      </c>
      <c r="H108" s="157" t="s">
        <v>121</v>
      </c>
      <c r="I108" s="2"/>
    </row>
    <row r="109" spans="1:9" ht="19.8" customHeight="1" x14ac:dyDescent="0.3">
      <c r="A109" s="153">
        <v>45981</v>
      </c>
      <c r="B109" s="149" t="s">
        <v>81</v>
      </c>
      <c r="C109" s="150" t="s">
        <v>165</v>
      </c>
      <c r="D109" s="149" t="s">
        <v>1</v>
      </c>
      <c r="E109" s="154">
        <v>1.739583333333333</v>
      </c>
      <c r="F109" s="149" t="s">
        <v>83</v>
      </c>
      <c r="G109" s="151">
        <v>6</v>
      </c>
      <c r="H109" s="164" t="s">
        <v>166</v>
      </c>
      <c r="I109" s="2"/>
    </row>
    <row r="110" spans="1:9" ht="19.8" customHeight="1" x14ac:dyDescent="0.3">
      <c r="A110" s="155">
        <v>45981</v>
      </c>
      <c r="B110" s="144" t="s">
        <v>104</v>
      </c>
      <c r="C110" s="145" t="s">
        <v>105</v>
      </c>
      <c r="D110" s="144" t="s">
        <v>1</v>
      </c>
      <c r="E110" s="156">
        <v>1.4861111111111109</v>
      </c>
      <c r="F110" s="144" t="s">
        <v>106</v>
      </c>
      <c r="G110" s="146">
        <v>9</v>
      </c>
      <c r="H110" s="157" t="s">
        <v>185</v>
      </c>
      <c r="I110" s="2"/>
    </row>
    <row r="111" spans="1:9" ht="19.8" customHeight="1" x14ac:dyDescent="0.3">
      <c r="A111" s="155">
        <v>45981</v>
      </c>
      <c r="B111" s="144" t="s">
        <v>104</v>
      </c>
      <c r="C111" s="145" t="s">
        <v>111</v>
      </c>
      <c r="D111" s="144" t="s">
        <v>1</v>
      </c>
      <c r="E111" s="156">
        <v>1.5138888888888891</v>
      </c>
      <c r="F111" s="144" t="s">
        <v>106</v>
      </c>
      <c r="G111" s="146">
        <v>9</v>
      </c>
      <c r="H111" s="157" t="s">
        <v>185</v>
      </c>
      <c r="I111" s="2"/>
    </row>
    <row r="112" spans="1:9" ht="19.8" customHeight="1" x14ac:dyDescent="0.3">
      <c r="A112" s="155">
        <v>45981</v>
      </c>
      <c r="B112" s="144" t="s">
        <v>104</v>
      </c>
      <c r="C112" s="145" t="s">
        <v>186</v>
      </c>
      <c r="D112" s="144" t="s">
        <v>1</v>
      </c>
      <c r="E112" s="156">
        <v>1.2222222222222221</v>
      </c>
      <c r="F112" s="144" t="s">
        <v>106</v>
      </c>
      <c r="G112" s="146">
        <v>9</v>
      </c>
      <c r="H112" s="157" t="s">
        <v>187</v>
      </c>
      <c r="I112" s="2"/>
    </row>
    <row r="113" spans="1:9" ht="19.8" customHeight="1" x14ac:dyDescent="0.3">
      <c r="A113" s="155">
        <v>45981</v>
      </c>
      <c r="B113" s="144" t="s">
        <v>41</v>
      </c>
      <c r="C113" s="145" t="s">
        <v>133</v>
      </c>
      <c r="D113" s="144" t="s">
        <v>1</v>
      </c>
      <c r="E113" s="156">
        <v>1.1284722222222221</v>
      </c>
      <c r="F113" s="144" t="s">
        <v>48</v>
      </c>
      <c r="G113" s="146">
        <v>1</v>
      </c>
      <c r="H113" s="157" t="s">
        <v>55</v>
      </c>
      <c r="I113" s="2"/>
    </row>
    <row r="114" spans="1:9" ht="19.8" customHeight="1" x14ac:dyDescent="0.3">
      <c r="A114" s="155">
        <v>45981</v>
      </c>
      <c r="B114" s="144" t="s">
        <v>115</v>
      </c>
      <c r="C114" s="145" t="s">
        <v>175</v>
      </c>
      <c r="D114" s="144" t="s">
        <v>1</v>
      </c>
      <c r="E114" s="156">
        <v>1.006944444444444</v>
      </c>
      <c r="F114" s="144" t="s">
        <v>117</v>
      </c>
      <c r="G114" s="146">
        <v>9</v>
      </c>
      <c r="H114" s="157" t="s">
        <v>127</v>
      </c>
      <c r="I114" s="2"/>
    </row>
    <row r="115" spans="1:9" ht="19.8" customHeight="1" x14ac:dyDescent="0.3">
      <c r="A115" s="155">
        <v>45981</v>
      </c>
      <c r="B115" s="144" t="s">
        <v>115</v>
      </c>
      <c r="C115" s="145" t="s">
        <v>175</v>
      </c>
      <c r="D115" s="144" t="s">
        <v>1</v>
      </c>
      <c r="E115" s="156">
        <v>1.006944444444444</v>
      </c>
      <c r="F115" s="144" t="s">
        <v>119</v>
      </c>
      <c r="G115" s="146">
        <v>9</v>
      </c>
      <c r="H115" s="157" t="s">
        <v>128</v>
      </c>
      <c r="I115" s="2"/>
    </row>
    <row r="116" spans="1:9" ht="19.8" customHeight="1" x14ac:dyDescent="0.3">
      <c r="A116" s="155">
        <v>45981</v>
      </c>
      <c r="B116" s="144" t="s">
        <v>115</v>
      </c>
      <c r="C116" s="145" t="s">
        <v>116</v>
      </c>
      <c r="D116" s="144" t="s">
        <v>1</v>
      </c>
      <c r="E116" s="156">
        <v>1.3784722222222221</v>
      </c>
      <c r="F116" s="144" t="s">
        <v>117</v>
      </c>
      <c r="G116" s="146">
        <v>9</v>
      </c>
      <c r="H116" s="157" t="s">
        <v>176</v>
      </c>
      <c r="I116" s="2"/>
    </row>
    <row r="117" spans="1:9" ht="19.8" customHeight="1" x14ac:dyDescent="0.3">
      <c r="A117" s="155">
        <v>45981</v>
      </c>
      <c r="B117" s="144" t="s">
        <v>115</v>
      </c>
      <c r="C117" s="145" t="s">
        <v>122</v>
      </c>
      <c r="D117" s="144" t="s">
        <v>1</v>
      </c>
      <c r="E117" s="156">
        <v>1.930555555555556</v>
      </c>
      <c r="F117" s="144" t="s">
        <v>117</v>
      </c>
      <c r="G117" s="146">
        <v>9</v>
      </c>
      <c r="H117" s="157" t="s">
        <v>176</v>
      </c>
      <c r="I117" s="2"/>
    </row>
    <row r="118" spans="1:9" ht="19.8" customHeight="1" x14ac:dyDescent="0.3">
      <c r="A118" s="155">
        <v>45981</v>
      </c>
      <c r="B118" s="144" t="s">
        <v>115</v>
      </c>
      <c r="C118" s="145" t="s">
        <v>130</v>
      </c>
      <c r="D118" s="144" t="s">
        <v>1</v>
      </c>
      <c r="E118" s="156">
        <v>1.8888888888888891</v>
      </c>
      <c r="F118" s="144" t="s">
        <v>119</v>
      </c>
      <c r="G118" s="146">
        <v>4</v>
      </c>
      <c r="H118" s="157" t="s">
        <v>131</v>
      </c>
      <c r="I118" s="2"/>
    </row>
    <row r="119" spans="1:9" ht="19.8" customHeight="1" x14ac:dyDescent="0.3">
      <c r="A119" s="155">
        <v>45981</v>
      </c>
      <c r="B119" s="144" t="s">
        <v>115</v>
      </c>
      <c r="C119" s="145" t="s">
        <v>178</v>
      </c>
      <c r="D119" s="144" t="s">
        <v>1</v>
      </c>
      <c r="E119" s="156">
        <v>1.302083333333333</v>
      </c>
      <c r="F119" s="144" t="s">
        <v>119</v>
      </c>
      <c r="G119" s="146">
        <v>4</v>
      </c>
      <c r="H119" s="157" t="s">
        <v>131</v>
      </c>
      <c r="I119" s="2"/>
    </row>
    <row r="120" spans="1:9" ht="19.8" customHeight="1" x14ac:dyDescent="0.3">
      <c r="A120" s="155">
        <v>45981</v>
      </c>
      <c r="B120" s="144" t="s">
        <v>115</v>
      </c>
      <c r="C120" s="145" t="s">
        <v>179</v>
      </c>
      <c r="D120" s="144" t="s">
        <v>1</v>
      </c>
      <c r="E120" s="156">
        <v>1.1284722222222221</v>
      </c>
      <c r="F120" s="144" t="s">
        <v>119</v>
      </c>
      <c r="G120" s="146">
        <v>4</v>
      </c>
      <c r="H120" s="157" t="s">
        <v>131</v>
      </c>
      <c r="I120" s="2"/>
    </row>
    <row r="121" spans="1:9" ht="19.8" customHeight="1" x14ac:dyDescent="0.3">
      <c r="A121" s="155">
        <v>45981</v>
      </c>
      <c r="B121" s="144" t="s">
        <v>115</v>
      </c>
      <c r="C121" s="145" t="s">
        <v>132</v>
      </c>
      <c r="D121" s="144" t="s">
        <v>1</v>
      </c>
      <c r="E121" s="156">
        <v>1.788194444444444</v>
      </c>
      <c r="F121" s="144" t="s">
        <v>119</v>
      </c>
      <c r="G121" s="146">
        <v>4</v>
      </c>
      <c r="H121" s="157" t="s">
        <v>131</v>
      </c>
      <c r="I121" s="2"/>
    </row>
    <row r="122" spans="1:9" ht="19.8" customHeight="1" x14ac:dyDescent="0.3">
      <c r="A122" s="155">
        <v>45981</v>
      </c>
      <c r="B122" s="144" t="s">
        <v>115</v>
      </c>
      <c r="C122" s="145" t="s">
        <v>116</v>
      </c>
      <c r="D122" s="144" t="s">
        <v>1</v>
      </c>
      <c r="E122" s="156">
        <v>1.3784722222222221</v>
      </c>
      <c r="F122" s="144" t="s">
        <v>119</v>
      </c>
      <c r="G122" s="146">
        <v>9</v>
      </c>
      <c r="H122" s="157" t="s">
        <v>177</v>
      </c>
      <c r="I122" s="2"/>
    </row>
    <row r="123" spans="1:9" ht="19.8" customHeight="1" x14ac:dyDescent="0.3">
      <c r="A123" s="155">
        <v>45981</v>
      </c>
      <c r="B123" s="144" t="s">
        <v>115</v>
      </c>
      <c r="C123" s="145" t="s">
        <v>122</v>
      </c>
      <c r="D123" s="144" t="s">
        <v>1</v>
      </c>
      <c r="E123" s="156">
        <v>1.930555555555556</v>
      </c>
      <c r="F123" s="144" t="s">
        <v>119</v>
      </c>
      <c r="G123" s="146">
        <v>9</v>
      </c>
      <c r="H123" s="157" t="s">
        <v>177</v>
      </c>
      <c r="I123" s="2"/>
    </row>
    <row r="124" spans="1:9" ht="19.8" customHeight="1" x14ac:dyDescent="0.3">
      <c r="A124" s="155">
        <v>45981</v>
      </c>
      <c r="B124" s="144" t="s">
        <v>104</v>
      </c>
      <c r="C124" s="145" t="s">
        <v>188</v>
      </c>
      <c r="D124" s="144" t="s">
        <v>1</v>
      </c>
      <c r="E124" s="156">
        <v>1.145833333333333</v>
      </c>
      <c r="F124" s="144" t="s">
        <v>106</v>
      </c>
      <c r="G124" s="146">
        <v>9</v>
      </c>
      <c r="H124" s="157" t="s">
        <v>189</v>
      </c>
      <c r="I124" s="2"/>
    </row>
    <row r="125" spans="1:9" ht="19.8" customHeight="1" x14ac:dyDescent="0.3">
      <c r="A125" s="155">
        <v>45981</v>
      </c>
      <c r="B125" s="144" t="s">
        <v>104</v>
      </c>
      <c r="C125" s="145" t="s">
        <v>108</v>
      </c>
      <c r="D125" s="144" t="s">
        <v>1</v>
      </c>
      <c r="E125" s="156">
        <v>1.2777777777777779</v>
      </c>
      <c r="F125" s="144" t="s">
        <v>106</v>
      </c>
      <c r="G125" s="146">
        <v>9</v>
      </c>
      <c r="H125" s="157" t="s">
        <v>189</v>
      </c>
      <c r="I125" s="2"/>
    </row>
    <row r="126" spans="1:9" ht="19.8" customHeight="1" x14ac:dyDescent="0.3">
      <c r="A126" s="155">
        <v>45981</v>
      </c>
      <c r="B126" s="144" t="s">
        <v>104</v>
      </c>
      <c r="C126" s="145" t="s">
        <v>112</v>
      </c>
      <c r="D126" s="144" t="s">
        <v>1</v>
      </c>
      <c r="E126" s="156">
        <v>1.958333333333333</v>
      </c>
      <c r="F126" s="144" t="s">
        <v>106</v>
      </c>
      <c r="G126" s="146">
        <v>5</v>
      </c>
      <c r="H126" s="157" t="s">
        <v>189</v>
      </c>
      <c r="I126" s="2"/>
    </row>
    <row r="127" spans="1:9" ht="19.8" customHeight="1" x14ac:dyDescent="0.3">
      <c r="A127" s="155">
        <v>45981</v>
      </c>
      <c r="B127" s="144" t="s">
        <v>104</v>
      </c>
      <c r="C127" s="145" t="s">
        <v>114</v>
      </c>
      <c r="D127" s="144" t="s">
        <v>1</v>
      </c>
      <c r="E127" s="156">
        <v>1.774305555555556</v>
      </c>
      <c r="F127" s="144" t="s">
        <v>106</v>
      </c>
      <c r="G127" s="146">
        <v>4</v>
      </c>
      <c r="H127" s="157" t="s">
        <v>189</v>
      </c>
      <c r="I127" s="2"/>
    </row>
    <row r="128" spans="1:9" ht="19.8" customHeight="1" x14ac:dyDescent="0.3">
      <c r="A128" s="155">
        <v>45981</v>
      </c>
      <c r="B128" s="144" t="s">
        <v>115</v>
      </c>
      <c r="C128" s="145" t="s">
        <v>129</v>
      </c>
      <c r="D128" s="144" t="s">
        <v>1</v>
      </c>
      <c r="E128" s="156">
        <v>1.6111111111111109</v>
      </c>
      <c r="F128" s="144" t="s">
        <v>117</v>
      </c>
      <c r="G128" s="146">
        <v>1</v>
      </c>
      <c r="H128" s="157" t="s">
        <v>180</v>
      </c>
      <c r="I128" s="2"/>
    </row>
    <row r="129" spans="1:9" ht="19.8" customHeight="1" x14ac:dyDescent="0.3">
      <c r="A129" s="155">
        <v>45981</v>
      </c>
      <c r="B129" s="144" t="s">
        <v>115</v>
      </c>
      <c r="C129" s="145" t="s">
        <v>125</v>
      </c>
      <c r="D129" s="144" t="s">
        <v>1</v>
      </c>
      <c r="E129" s="156">
        <v>1.8298611111111109</v>
      </c>
      <c r="F129" s="144" t="s">
        <v>117</v>
      </c>
      <c r="G129" s="146">
        <v>6</v>
      </c>
      <c r="H129" s="157" t="s">
        <v>182</v>
      </c>
      <c r="I129" s="2"/>
    </row>
    <row r="130" spans="1:9" ht="19.8" customHeight="1" x14ac:dyDescent="0.3">
      <c r="A130" s="155">
        <v>45981</v>
      </c>
      <c r="B130" s="144" t="s">
        <v>115</v>
      </c>
      <c r="C130" s="145" t="s">
        <v>129</v>
      </c>
      <c r="D130" s="144" t="s">
        <v>1</v>
      </c>
      <c r="E130" s="156">
        <v>1.6111111111111109</v>
      </c>
      <c r="F130" s="144" t="s">
        <v>119</v>
      </c>
      <c r="G130" s="146">
        <v>1</v>
      </c>
      <c r="H130" s="157" t="s">
        <v>181</v>
      </c>
      <c r="I130" s="2"/>
    </row>
    <row r="131" spans="1:9" ht="19.8" customHeight="1" x14ac:dyDescent="0.3">
      <c r="A131" s="158">
        <v>45981</v>
      </c>
      <c r="B131" s="159" t="s">
        <v>115</v>
      </c>
      <c r="C131" s="160" t="s">
        <v>125</v>
      </c>
      <c r="D131" s="159" t="s">
        <v>1</v>
      </c>
      <c r="E131" s="161">
        <v>1.8298611111111109</v>
      </c>
      <c r="F131" s="159" t="s">
        <v>119</v>
      </c>
      <c r="G131" s="162">
        <v>6</v>
      </c>
      <c r="H131" s="163" t="s">
        <v>183</v>
      </c>
      <c r="I131" s="2"/>
    </row>
    <row r="132" spans="1:9" ht="19.8" customHeight="1" x14ac:dyDescent="0.3">
      <c r="A132" s="155">
        <v>45982</v>
      </c>
      <c r="B132" s="144" t="s">
        <v>41</v>
      </c>
      <c r="C132" s="145" t="s">
        <v>56</v>
      </c>
      <c r="D132" s="144" t="s">
        <v>1</v>
      </c>
      <c r="E132" s="156">
        <v>1.8888888888888891</v>
      </c>
      <c r="F132" s="144" t="s">
        <v>43</v>
      </c>
      <c r="G132" s="146">
        <v>2</v>
      </c>
      <c r="H132" s="147">
        <v>639</v>
      </c>
      <c r="I132" s="2"/>
    </row>
    <row r="133" spans="1:9" ht="19.8" customHeight="1" x14ac:dyDescent="0.3">
      <c r="A133" s="155">
        <v>45982</v>
      </c>
      <c r="B133" s="144" t="s">
        <v>61</v>
      </c>
      <c r="C133" s="145" t="s">
        <v>74</v>
      </c>
      <c r="D133" s="144" t="s">
        <v>1</v>
      </c>
      <c r="E133" s="156">
        <v>1.9027777777777779</v>
      </c>
      <c r="F133" s="144" t="s">
        <v>63</v>
      </c>
      <c r="G133" s="146">
        <v>1</v>
      </c>
      <c r="H133" s="147">
        <v>669</v>
      </c>
      <c r="I133" s="2"/>
    </row>
    <row r="134" spans="1:9" ht="19.8" customHeight="1" x14ac:dyDescent="0.3">
      <c r="A134" s="155">
        <v>45982</v>
      </c>
      <c r="B134" s="144" t="s">
        <v>61</v>
      </c>
      <c r="C134" s="145" t="s">
        <v>72</v>
      </c>
      <c r="D134" s="144" t="s">
        <v>1</v>
      </c>
      <c r="E134" s="156">
        <v>1.395833333333333</v>
      </c>
      <c r="F134" s="144" t="s">
        <v>63</v>
      </c>
      <c r="G134" s="146">
        <v>2</v>
      </c>
      <c r="H134" s="147">
        <v>669</v>
      </c>
      <c r="I134" s="2"/>
    </row>
    <row r="135" spans="1:9" ht="19.8" customHeight="1" x14ac:dyDescent="0.3">
      <c r="A135" s="155">
        <v>45982</v>
      </c>
      <c r="B135" s="144" t="s">
        <v>61</v>
      </c>
      <c r="C135" s="145" t="s">
        <v>73</v>
      </c>
      <c r="D135" s="144" t="s">
        <v>1</v>
      </c>
      <c r="E135" s="156">
        <v>1.7986111111111109</v>
      </c>
      <c r="F135" s="144" t="s">
        <v>63</v>
      </c>
      <c r="G135" s="146">
        <v>5</v>
      </c>
      <c r="H135" s="147">
        <v>669</v>
      </c>
      <c r="I135" s="2"/>
    </row>
    <row r="136" spans="1:9" ht="19.8" customHeight="1" x14ac:dyDescent="0.3">
      <c r="A136" s="155">
        <v>45982</v>
      </c>
      <c r="B136" s="144" t="s">
        <v>41</v>
      </c>
      <c r="C136" s="145" t="s">
        <v>42</v>
      </c>
      <c r="D136" s="144" t="s">
        <v>1</v>
      </c>
      <c r="E136" s="156">
        <v>1.302083333333333</v>
      </c>
      <c r="F136" s="144" t="s">
        <v>43</v>
      </c>
      <c r="G136" s="146">
        <v>8</v>
      </c>
      <c r="H136" s="147">
        <v>689</v>
      </c>
      <c r="I136" s="2"/>
    </row>
    <row r="137" spans="1:9" ht="19.8" customHeight="1" x14ac:dyDescent="0.3">
      <c r="A137" s="155">
        <v>45982</v>
      </c>
      <c r="B137" s="144" t="s">
        <v>41</v>
      </c>
      <c r="C137" s="145" t="s">
        <v>133</v>
      </c>
      <c r="D137" s="144" t="s">
        <v>1</v>
      </c>
      <c r="E137" s="156">
        <v>1.1284722222222221</v>
      </c>
      <c r="F137" s="144" t="s">
        <v>43</v>
      </c>
      <c r="G137" s="146">
        <v>6</v>
      </c>
      <c r="H137" s="147">
        <v>689</v>
      </c>
      <c r="I137" s="2"/>
    </row>
    <row r="138" spans="1:9" ht="19.8" customHeight="1" x14ac:dyDescent="0.3">
      <c r="A138" s="155">
        <v>45982</v>
      </c>
      <c r="B138" s="144" t="s">
        <v>41</v>
      </c>
      <c r="C138" s="145" t="s">
        <v>50</v>
      </c>
      <c r="D138" s="144" t="s">
        <v>1</v>
      </c>
      <c r="E138" s="156">
        <v>1.788194444444444</v>
      </c>
      <c r="F138" s="144" t="s">
        <v>43</v>
      </c>
      <c r="G138" s="146">
        <v>10</v>
      </c>
      <c r="H138" s="147">
        <v>689</v>
      </c>
      <c r="I138" s="2"/>
    </row>
    <row r="139" spans="1:9" ht="19.8" customHeight="1" x14ac:dyDescent="0.3">
      <c r="A139" s="155">
        <v>45982</v>
      </c>
      <c r="B139" s="144" t="s">
        <v>61</v>
      </c>
      <c r="C139" s="145" t="s">
        <v>78</v>
      </c>
      <c r="D139" s="144" t="s">
        <v>1</v>
      </c>
      <c r="E139" s="156">
        <v>1.645833333333333</v>
      </c>
      <c r="F139" s="144" t="s">
        <v>63</v>
      </c>
      <c r="G139" s="146">
        <v>9</v>
      </c>
      <c r="H139" s="147">
        <v>719</v>
      </c>
      <c r="I139" s="2"/>
    </row>
    <row r="140" spans="1:9" ht="19.8" customHeight="1" x14ac:dyDescent="0.3">
      <c r="A140" s="155">
        <v>45982</v>
      </c>
      <c r="B140" s="144" t="s">
        <v>61</v>
      </c>
      <c r="C140" s="145" t="s">
        <v>62</v>
      </c>
      <c r="D140" s="144" t="s">
        <v>1</v>
      </c>
      <c r="E140" s="156">
        <v>1.5173611111111109</v>
      </c>
      <c r="F140" s="144" t="s">
        <v>63</v>
      </c>
      <c r="G140" s="146">
        <v>4</v>
      </c>
      <c r="H140" s="147">
        <v>719</v>
      </c>
      <c r="I140" s="2"/>
    </row>
    <row r="141" spans="1:9" ht="19.8" customHeight="1" x14ac:dyDescent="0.3">
      <c r="A141" s="155">
        <v>45982</v>
      </c>
      <c r="B141" s="144" t="s">
        <v>61</v>
      </c>
      <c r="C141" s="145" t="s">
        <v>69</v>
      </c>
      <c r="D141" s="144" t="s">
        <v>1</v>
      </c>
      <c r="E141" s="156">
        <v>1.854166666666667</v>
      </c>
      <c r="F141" s="144" t="s">
        <v>63</v>
      </c>
      <c r="G141" s="146">
        <v>9</v>
      </c>
      <c r="H141" s="147">
        <v>719</v>
      </c>
      <c r="I141" s="2"/>
    </row>
    <row r="142" spans="1:9" ht="19.8" customHeight="1" x14ac:dyDescent="0.3">
      <c r="A142" s="155">
        <v>45982</v>
      </c>
      <c r="B142" s="144" t="s">
        <v>100</v>
      </c>
      <c r="C142" s="145" t="s">
        <v>193</v>
      </c>
      <c r="D142" s="144" t="s">
        <v>1</v>
      </c>
      <c r="E142" s="156">
        <v>1.975694444444444</v>
      </c>
      <c r="F142" s="144" t="s">
        <v>102</v>
      </c>
      <c r="G142" s="146">
        <v>9</v>
      </c>
      <c r="H142" s="147">
        <v>720</v>
      </c>
      <c r="I142" s="2"/>
    </row>
    <row r="143" spans="1:9" ht="19.8" customHeight="1" x14ac:dyDescent="0.3">
      <c r="A143" s="155">
        <v>45982</v>
      </c>
      <c r="B143" s="144" t="s">
        <v>61</v>
      </c>
      <c r="C143" s="145" t="s">
        <v>74</v>
      </c>
      <c r="D143" s="144" t="s">
        <v>1</v>
      </c>
      <c r="E143" s="156">
        <v>1.9027777777777779</v>
      </c>
      <c r="F143" s="144" t="s">
        <v>65</v>
      </c>
      <c r="G143" s="146">
        <v>1</v>
      </c>
      <c r="H143" s="147">
        <v>769</v>
      </c>
      <c r="I143" s="2"/>
    </row>
    <row r="144" spans="1:9" ht="19.8" customHeight="1" x14ac:dyDescent="0.3">
      <c r="A144" s="155">
        <v>45982</v>
      </c>
      <c r="B144" s="144" t="s">
        <v>61</v>
      </c>
      <c r="C144" s="145" t="s">
        <v>72</v>
      </c>
      <c r="D144" s="144" t="s">
        <v>1</v>
      </c>
      <c r="E144" s="156">
        <v>1.395833333333333</v>
      </c>
      <c r="F144" s="144" t="s">
        <v>65</v>
      </c>
      <c r="G144" s="146">
        <v>2</v>
      </c>
      <c r="H144" s="147">
        <v>769</v>
      </c>
      <c r="I144" s="2"/>
    </row>
    <row r="145" spans="1:9" ht="19.8" customHeight="1" x14ac:dyDescent="0.3">
      <c r="A145" s="155">
        <v>45982</v>
      </c>
      <c r="B145" s="144" t="s">
        <v>61</v>
      </c>
      <c r="C145" s="145" t="s">
        <v>73</v>
      </c>
      <c r="D145" s="144" t="s">
        <v>1</v>
      </c>
      <c r="E145" s="156">
        <v>1.7986111111111109</v>
      </c>
      <c r="F145" s="144" t="s">
        <v>65</v>
      </c>
      <c r="G145" s="146">
        <v>5</v>
      </c>
      <c r="H145" s="147">
        <v>769</v>
      </c>
      <c r="I145" s="2"/>
    </row>
    <row r="146" spans="1:9" ht="19.8" customHeight="1" x14ac:dyDescent="0.3">
      <c r="A146" s="155">
        <v>45982</v>
      </c>
      <c r="B146" s="144" t="s">
        <v>41</v>
      </c>
      <c r="C146" s="145" t="s">
        <v>56</v>
      </c>
      <c r="D146" s="144" t="s">
        <v>1</v>
      </c>
      <c r="E146" s="156">
        <v>1.8888888888888891</v>
      </c>
      <c r="F146" s="144" t="s">
        <v>45</v>
      </c>
      <c r="G146" s="146">
        <v>2</v>
      </c>
      <c r="H146" s="147">
        <v>789</v>
      </c>
      <c r="I146" s="2"/>
    </row>
    <row r="147" spans="1:9" ht="19.8" customHeight="1" x14ac:dyDescent="0.3">
      <c r="A147" s="155">
        <v>45982</v>
      </c>
      <c r="B147" s="144" t="s">
        <v>100</v>
      </c>
      <c r="C147" s="145" t="s">
        <v>101</v>
      </c>
      <c r="D147" s="144" t="s">
        <v>1</v>
      </c>
      <c r="E147" s="156">
        <v>1.3923611111111109</v>
      </c>
      <c r="F147" s="144" t="s">
        <v>102</v>
      </c>
      <c r="G147" s="146">
        <v>9</v>
      </c>
      <c r="H147" s="147">
        <v>815</v>
      </c>
      <c r="I147" s="2"/>
    </row>
    <row r="148" spans="1:9" ht="19.8" customHeight="1" x14ac:dyDescent="0.3">
      <c r="A148" s="155">
        <v>45982</v>
      </c>
      <c r="B148" s="144" t="s">
        <v>61</v>
      </c>
      <c r="C148" s="145" t="s">
        <v>78</v>
      </c>
      <c r="D148" s="144" t="s">
        <v>1</v>
      </c>
      <c r="E148" s="156">
        <v>1.645833333333333</v>
      </c>
      <c r="F148" s="144" t="s">
        <v>65</v>
      </c>
      <c r="G148" s="146">
        <v>9</v>
      </c>
      <c r="H148" s="147">
        <v>819</v>
      </c>
      <c r="I148" s="2"/>
    </row>
    <row r="149" spans="1:9" ht="19.8" customHeight="1" x14ac:dyDescent="0.3">
      <c r="A149" s="155">
        <v>45982</v>
      </c>
      <c r="B149" s="144" t="s">
        <v>61</v>
      </c>
      <c r="C149" s="145" t="s">
        <v>62</v>
      </c>
      <c r="D149" s="144" t="s">
        <v>1</v>
      </c>
      <c r="E149" s="156">
        <v>1.5173611111111109</v>
      </c>
      <c r="F149" s="144" t="s">
        <v>65</v>
      </c>
      <c r="G149" s="146">
        <v>4</v>
      </c>
      <c r="H149" s="147">
        <v>819</v>
      </c>
      <c r="I149" s="2"/>
    </row>
    <row r="150" spans="1:9" ht="19.8" customHeight="1" x14ac:dyDescent="0.3">
      <c r="A150" s="155">
        <v>45982</v>
      </c>
      <c r="B150" s="144" t="s">
        <v>61</v>
      </c>
      <c r="C150" s="145" t="s">
        <v>69</v>
      </c>
      <c r="D150" s="144" t="s">
        <v>1</v>
      </c>
      <c r="E150" s="156">
        <v>1.854166666666667</v>
      </c>
      <c r="F150" s="144" t="s">
        <v>65</v>
      </c>
      <c r="G150" s="146">
        <v>9</v>
      </c>
      <c r="H150" s="147">
        <v>819</v>
      </c>
      <c r="I150" s="2"/>
    </row>
    <row r="151" spans="1:9" ht="19.8" customHeight="1" x14ac:dyDescent="0.3">
      <c r="A151" s="155">
        <v>45982</v>
      </c>
      <c r="B151" s="144" t="s">
        <v>61</v>
      </c>
      <c r="C151" s="145" t="s">
        <v>137</v>
      </c>
      <c r="D151" s="144" t="s">
        <v>1</v>
      </c>
      <c r="E151" s="156">
        <v>1.256944444444444</v>
      </c>
      <c r="F151" s="144" t="s">
        <v>63</v>
      </c>
      <c r="G151" s="146">
        <v>6</v>
      </c>
      <c r="H151" s="147">
        <v>829</v>
      </c>
      <c r="I151" s="2"/>
    </row>
    <row r="152" spans="1:9" ht="19.8" customHeight="1" x14ac:dyDescent="0.3">
      <c r="A152" s="155">
        <v>45982</v>
      </c>
      <c r="B152" s="144" t="s">
        <v>34</v>
      </c>
      <c r="C152" s="145" t="s">
        <v>35</v>
      </c>
      <c r="D152" s="144" t="s">
        <v>1</v>
      </c>
      <c r="E152" s="156">
        <v>1.7152777777777779</v>
      </c>
      <c r="F152" s="144" t="s">
        <v>28</v>
      </c>
      <c r="G152" s="146">
        <v>1</v>
      </c>
      <c r="H152" s="147">
        <v>834</v>
      </c>
      <c r="I152" s="2"/>
    </row>
    <row r="153" spans="1:9" ht="19.8" customHeight="1" x14ac:dyDescent="0.3">
      <c r="A153" s="155">
        <v>45982</v>
      </c>
      <c r="B153" s="144" t="s">
        <v>34</v>
      </c>
      <c r="C153" s="145" t="s">
        <v>38</v>
      </c>
      <c r="D153" s="144" t="s">
        <v>1</v>
      </c>
      <c r="E153" s="156">
        <v>1.416666666666667</v>
      </c>
      <c r="F153" s="144" t="s">
        <v>28</v>
      </c>
      <c r="G153" s="146">
        <v>3</v>
      </c>
      <c r="H153" s="147">
        <v>834</v>
      </c>
      <c r="I153" s="2"/>
    </row>
    <row r="154" spans="1:9" ht="19.8" customHeight="1" x14ac:dyDescent="0.3">
      <c r="A154" s="155">
        <v>45982</v>
      </c>
      <c r="B154" s="144" t="s">
        <v>41</v>
      </c>
      <c r="C154" s="145" t="s">
        <v>42</v>
      </c>
      <c r="D154" s="144" t="s">
        <v>1</v>
      </c>
      <c r="E154" s="156">
        <v>1.302083333333333</v>
      </c>
      <c r="F154" s="144" t="s">
        <v>45</v>
      </c>
      <c r="G154" s="146">
        <v>8</v>
      </c>
      <c r="H154" s="147">
        <v>839</v>
      </c>
      <c r="I154" s="2"/>
    </row>
    <row r="155" spans="1:9" ht="19.8" customHeight="1" x14ac:dyDescent="0.3">
      <c r="A155" s="155">
        <v>45982</v>
      </c>
      <c r="B155" s="144" t="s">
        <v>41</v>
      </c>
      <c r="C155" s="145" t="s">
        <v>133</v>
      </c>
      <c r="D155" s="144" t="s">
        <v>1</v>
      </c>
      <c r="E155" s="156">
        <v>1.1284722222222221</v>
      </c>
      <c r="F155" s="144" t="s">
        <v>45</v>
      </c>
      <c r="G155" s="146">
        <v>6</v>
      </c>
      <c r="H155" s="147">
        <v>839</v>
      </c>
      <c r="I155" s="2"/>
    </row>
    <row r="156" spans="1:9" ht="19.8" customHeight="1" x14ac:dyDescent="0.3">
      <c r="A156" s="155">
        <v>45982</v>
      </c>
      <c r="B156" s="144" t="s">
        <v>41</v>
      </c>
      <c r="C156" s="145" t="s">
        <v>50</v>
      </c>
      <c r="D156" s="144" t="s">
        <v>1</v>
      </c>
      <c r="E156" s="156">
        <v>1.788194444444444</v>
      </c>
      <c r="F156" s="144" t="s">
        <v>45</v>
      </c>
      <c r="G156" s="146">
        <v>10</v>
      </c>
      <c r="H156" s="147">
        <v>839</v>
      </c>
      <c r="I156" s="2"/>
    </row>
    <row r="157" spans="1:9" ht="19.8" customHeight="1" x14ac:dyDescent="0.3">
      <c r="A157" s="153">
        <v>45982</v>
      </c>
      <c r="B157" s="149" t="s">
        <v>81</v>
      </c>
      <c r="C157" s="150" t="s">
        <v>146</v>
      </c>
      <c r="D157" s="149" t="s">
        <v>1</v>
      </c>
      <c r="E157" s="154">
        <v>1.114583333333333</v>
      </c>
      <c r="F157" s="149" t="s">
        <v>83</v>
      </c>
      <c r="G157" s="151">
        <v>4</v>
      </c>
      <c r="H157" s="152">
        <v>856</v>
      </c>
      <c r="I157" s="2"/>
    </row>
    <row r="158" spans="1:9" ht="19.8" customHeight="1" x14ac:dyDescent="0.3">
      <c r="A158" s="153">
        <v>45982</v>
      </c>
      <c r="B158" s="149" t="s">
        <v>81</v>
      </c>
      <c r="C158" s="150" t="s">
        <v>159</v>
      </c>
      <c r="D158" s="149" t="s">
        <v>1</v>
      </c>
      <c r="E158" s="154">
        <v>1.7361111111111109</v>
      </c>
      <c r="F158" s="149" t="s">
        <v>83</v>
      </c>
      <c r="G158" s="151">
        <v>5</v>
      </c>
      <c r="H158" s="152">
        <v>856</v>
      </c>
      <c r="I158" s="2"/>
    </row>
    <row r="159" spans="1:9" ht="19.8" customHeight="1" x14ac:dyDescent="0.3">
      <c r="A159" s="153">
        <v>45982</v>
      </c>
      <c r="B159" s="149" t="s">
        <v>81</v>
      </c>
      <c r="C159" s="150" t="s">
        <v>94</v>
      </c>
      <c r="D159" s="149" t="s">
        <v>1</v>
      </c>
      <c r="E159" s="154">
        <v>1.458333333333333</v>
      </c>
      <c r="F159" s="149" t="s">
        <v>83</v>
      </c>
      <c r="G159" s="151">
        <v>7</v>
      </c>
      <c r="H159" s="152">
        <v>856</v>
      </c>
      <c r="I159" s="2"/>
    </row>
    <row r="160" spans="1:9" ht="19.8" customHeight="1" x14ac:dyDescent="0.3">
      <c r="A160" s="153">
        <v>45982</v>
      </c>
      <c r="B160" s="149" t="s">
        <v>81</v>
      </c>
      <c r="C160" s="150" t="s">
        <v>165</v>
      </c>
      <c r="D160" s="149" t="s">
        <v>1</v>
      </c>
      <c r="E160" s="154">
        <v>1.614583333333333</v>
      </c>
      <c r="F160" s="149" t="s">
        <v>83</v>
      </c>
      <c r="G160" s="151">
        <v>6</v>
      </c>
      <c r="H160" s="152">
        <v>856</v>
      </c>
      <c r="I160" s="2"/>
    </row>
    <row r="161" spans="1:9" ht="19.8" customHeight="1" x14ac:dyDescent="0.3">
      <c r="A161" s="155">
        <v>45982</v>
      </c>
      <c r="B161" s="144" t="s">
        <v>61</v>
      </c>
      <c r="C161" s="145" t="s">
        <v>74</v>
      </c>
      <c r="D161" s="144" t="s">
        <v>1</v>
      </c>
      <c r="E161" s="156">
        <v>1.9027777777777779</v>
      </c>
      <c r="F161" s="144" t="s">
        <v>67</v>
      </c>
      <c r="G161" s="146">
        <v>1</v>
      </c>
      <c r="H161" s="147">
        <v>859</v>
      </c>
      <c r="I161" s="2"/>
    </row>
    <row r="162" spans="1:9" ht="19.8" customHeight="1" x14ac:dyDescent="0.3">
      <c r="A162" s="155">
        <v>45982</v>
      </c>
      <c r="B162" s="144" t="s">
        <v>61</v>
      </c>
      <c r="C162" s="145" t="s">
        <v>72</v>
      </c>
      <c r="D162" s="144" t="s">
        <v>1</v>
      </c>
      <c r="E162" s="156">
        <v>1.395833333333333</v>
      </c>
      <c r="F162" s="144" t="s">
        <v>67</v>
      </c>
      <c r="G162" s="146">
        <v>2</v>
      </c>
      <c r="H162" s="147">
        <v>859</v>
      </c>
      <c r="I162" s="2"/>
    </row>
    <row r="163" spans="1:9" ht="19.8" customHeight="1" x14ac:dyDescent="0.3">
      <c r="A163" s="155">
        <v>45982</v>
      </c>
      <c r="B163" s="144" t="s">
        <v>61</v>
      </c>
      <c r="C163" s="145" t="s">
        <v>73</v>
      </c>
      <c r="D163" s="144" t="s">
        <v>1</v>
      </c>
      <c r="E163" s="156">
        <v>1.7986111111111109</v>
      </c>
      <c r="F163" s="144" t="s">
        <v>67</v>
      </c>
      <c r="G163" s="146">
        <v>5</v>
      </c>
      <c r="H163" s="147">
        <v>859</v>
      </c>
      <c r="I163" s="2"/>
    </row>
    <row r="164" spans="1:9" ht="19.8" customHeight="1" x14ac:dyDescent="0.3">
      <c r="A164" s="155">
        <v>45982</v>
      </c>
      <c r="B164" s="144" t="s">
        <v>61</v>
      </c>
      <c r="C164" s="145" t="s">
        <v>78</v>
      </c>
      <c r="D164" s="144" t="s">
        <v>1</v>
      </c>
      <c r="E164" s="156">
        <v>1.645833333333333</v>
      </c>
      <c r="F164" s="144" t="s">
        <v>67</v>
      </c>
      <c r="G164" s="146">
        <v>9</v>
      </c>
      <c r="H164" s="147">
        <v>909</v>
      </c>
      <c r="I164" s="2"/>
    </row>
    <row r="165" spans="1:9" ht="19.8" customHeight="1" x14ac:dyDescent="0.3">
      <c r="A165" s="155">
        <v>45982</v>
      </c>
      <c r="B165" s="144" t="s">
        <v>61</v>
      </c>
      <c r="C165" s="145" t="s">
        <v>62</v>
      </c>
      <c r="D165" s="144" t="s">
        <v>1</v>
      </c>
      <c r="E165" s="156">
        <v>1.5173611111111109</v>
      </c>
      <c r="F165" s="144" t="s">
        <v>67</v>
      </c>
      <c r="G165" s="146">
        <v>4</v>
      </c>
      <c r="H165" s="147">
        <v>909</v>
      </c>
      <c r="I165" s="2"/>
    </row>
    <row r="166" spans="1:9" ht="19.8" customHeight="1" x14ac:dyDescent="0.3">
      <c r="A166" s="155">
        <v>45982</v>
      </c>
      <c r="B166" s="144" t="s">
        <v>61</v>
      </c>
      <c r="C166" s="145" t="s">
        <v>69</v>
      </c>
      <c r="D166" s="144" t="s">
        <v>1</v>
      </c>
      <c r="E166" s="156">
        <v>1.854166666666667</v>
      </c>
      <c r="F166" s="144" t="s">
        <v>67</v>
      </c>
      <c r="G166" s="146">
        <v>9</v>
      </c>
      <c r="H166" s="147">
        <v>909</v>
      </c>
      <c r="I166" s="2"/>
    </row>
    <row r="167" spans="1:9" ht="19.8" customHeight="1" x14ac:dyDescent="0.3">
      <c r="A167" s="155">
        <v>45982</v>
      </c>
      <c r="B167" s="144" t="s">
        <v>61</v>
      </c>
      <c r="C167" s="145" t="s">
        <v>137</v>
      </c>
      <c r="D167" s="144" t="s">
        <v>1</v>
      </c>
      <c r="E167" s="156">
        <v>1.256944444444444</v>
      </c>
      <c r="F167" s="144" t="s">
        <v>65</v>
      </c>
      <c r="G167" s="146">
        <v>6</v>
      </c>
      <c r="H167" s="147">
        <v>929</v>
      </c>
      <c r="I167" s="2"/>
    </row>
    <row r="168" spans="1:9" ht="19.8" customHeight="1" x14ac:dyDescent="0.3">
      <c r="A168" s="155">
        <v>45982</v>
      </c>
      <c r="B168" s="144" t="s">
        <v>100</v>
      </c>
      <c r="C168" s="145" t="s">
        <v>193</v>
      </c>
      <c r="D168" s="144" t="s">
        <v>1</v>
      </c>
      <c r="E168" s="156">
        <v>1.975694444444444</v>
      </c>
      <c r="F168" s="144" t="s">
        <v>48</v>
      </c>
      <c r="G168" s="146">
        <v>9</v>
      </c>
      <c r="H168" s="147">
        <v>947</v>
      </c>
      <c r="I168" s="2"/>
    </row>
    <row r="169" spans="1:9" ht="19.8" customHeight="1" x14ac:dyDescent="0.3">
      <c r="A169" s="153">
        <v>45982</v>
      </c>
      <c r="B169" s="149" t="s">
        <v>81</v>
      </c>
      <c r="C169" s="150" t="s">
        <v>89</v>
      </c>
      <c r="D169" s="149" t="s">
        <v>1</v>
      </c>
      <c r="E169" s="154">
        <v>1.319444444444444</v>
      </c>
      <c r="F169" s="149" t="s">
        <v>83</v>
      </c>
      <c r="G169" s="151">
        <v>7</v>
      </c>
      <c r="H169" s="152">
        <v>952</v>
      </c>
      <c r="I169" s="2"/>
    </row>
    <row r="170" spans="1:9" ht="19.8" customHeight="1" x14ac:dyDescent="0.3">
      <c r="A170" s="155">
        <v>45982</v>
      </c>
      <c r="B170" s="144" t="s">
        <v>61</v>
      </c>
      <c r="C170" s="145" t="s">
        <v>137</v>
      </c>
      <c r="D170" s="144" t="s">
        <v>1</v>
      </c>
      <c r="E170" s="156">
        <v>1.256944444444444</v>
      </c>
      <c r="F170" s="144" t="s">
        <v>67</v>
      </c>
      <c r="G170" s="146">
        <v>6</v>
      </c>
      <c r="H170" s="157" t="s">
        <v>142</v>
      </c>
      <c r="I170" s="2"/>
    </row>
    <row r="171" spans="1:9" ht="19.8" customHeight="1" x14ac:dyDescent="0.3">
      <c r="A171" s="155">
        <v>45982</v>
      </c>
      <c r="B171" s="144" t="s">
        <v>100</v>
      </c>
      <c r="C171" s="145" t="s">
        <v>101</v>
      </c>
      <c r="D171" s="144" t="s">
        <v>1</v>
      </c>
      <c r="E171" s="156">
        <v>1.3923611111111109</v>
      </c>
      <c r="F171" s="144" t="s">
        <v>48</v>
      </c>
      <c r="G171" s="146">
        <v>9</v>
      </c>
      <c r="H171" s="157" t="s">
        <v>197</v>
      </c>
      <c r="I171" s="2"/>
    </row>
    <row r="172" spans="1:9" ht="19.8" customHeight="1" x14ac:dyDescent="0.3">
      <c r="A172" s="155">
        <v>45982</v>
      </c>
      <c r="B172" s="144" t="s">
        <v>41</v>
      </c>
      <c r="C172" s="145" t="s">
        <v>42</v>
      </c>
      <c r="D172" s="144" t="s">
        <v>1</v>
      </c>
      <c r="E172" s="156">
        <v>1.302083333333333</v>
      </c>
      <c r="F172" s="144" t="s">
        <v>48</v>
      </c>
      <c r="G172" s="146">
        <v>8</v>
      </c>
      <c r="H172" s="157" t="s">
        <v>49</v>
      </c>
      <c r="I172" s="2"/>
    </row>
    <row r="173" spans="1:9" ht="19.8" customHeight="1" x14ac:dyDescent="0.3">
      <c r="A173" s="155">
        <v>45982</v>
      </c>
      <c r="B173" s="144" t="s">
        <v>41</v>
      </c>
      <c r="C173" s="145" t="s">
        <v>133</v>
      </c>
      <c r="D173" s="144" t="s">
        <v>1</v>
      </c>
      <c r="E173" s="156">
        <v>1.1284722222222221</v>
      </c>
      <c r="F173" s="144" t="s">
        <v>48</v>
      </c>
      <c r="G173" s="146">
        <v>6</v>
      </c>
      <c r="H173" s="157" t="s">
        <v>49</v>
      </c>
      <c r="I173" s="2"/>
    </row>
    <row r="174" spans="1:9" ht="19.8" customHeight="1" x14ac:dyDescent="0.3">
      <c r="A174" s="155">
        <v>45982</v>
      </c>
      <c r="B174" s="144" t="s">
        <v>41</v>
      </c>
      <c r="C174" s="145" t="s">
        <v>56</v>
      </c>
      <c r="D174" s="144" t="s">
        <v>1</v>
      </c>
      <c r="E174" s="156">
        <v>1.8888888888888891</v>
      </c>
      <c r="F174" s="144" t="s">
        <v>48</v>
      </c>
      <c r="G174" s="146">
        <v>2</v>
      </c>
      <c r="H174" s="157" t="s">
        <v>49</v>
      </c>
      <c r="I174" s="2"/>
    </row>
    <row r="175" spans="1:9" ht="19.8" customHeight="1" x14ac:dyDescent="0.3">
      <c r="A175" s="155">
        <v>45982</v>
      </c>
      <c r="B175" s="144" t="s">
        <v>104</v>
      </c>
      <c r="C175" s="145" t="s">
        <v>186</v>
      </c>
      <c r="D175" s="144" t="s">
        <v>1</v>
      </c>
      <c r="E175" s="156">
        <v>1.229166666666667</v>
      </c>
      <c r="F175" s="144" t="s">
        <v>106</v>
      </c>
      <c r="G175" s="146">
        <v>9</v>
      </c>
      <c r="H175" s="157" t="s">
        <v>211</v>
      </c>
      <c r="I175" s="2"/>
    </row>
    <row r="176" spans="1:9" ht="19.8" customHeight="1" x14ac:dyDescent="0.3">
      <c r="A176" s="155">
        <v>45982</v>
      </c>
      <c r="B176" s="144" t="s">
        <v>104</v>
      </c>
      <c r="C176" s="145" t="s">
        <v>188</v>
      </c>
      <c r="D176" s="144" t="s">
        <v>1</v>
      </c>
      <c r="E176" s="156">
        <v>1.145833333333333</v>
      </c>
      <c r="F176" s="144" t="s">
        <v>106</v>
      </c>
      <c r="G176" s="146">
        <v>9</v>
      </c>
      <c r="H176" s="157" t="s">
        <v>185</v>
      </c>
      <c r="I176" s="2"/>
    </row>
    <row r="177" spans="1:9" ht="19.8" customHeight="1" x14ac:dyDescent="0.3">
      <c r="A177" s="155">
        <v>45982</v>
      </c>
      <c r="B177" s="144" t="s">
        <v>104</v>
      </c>
      <c r="C177" s="145" t="s">
        <v>112</v>
      </c>
      <c r="D177" s="144" t="s">
        <v>1</v>
      </c>
      <c r="E177" s="156">
        <v>1.9652777777777779</v>
      </c>
      <c r="F177" s="144" t="s">
        <v>106</v>
      </c>
      <c r="G177" s="146">
        <v>9</v>
      </c>
      <c r="H177" s="157" t="s">
        <v>185</v>
      </c>
      <c r="I177" s="2"/>
    </row>
    <row r="178" spans="1:9" ht="19.8" customHeight="1" x14ac:dyDescent="0.3">
      <c r="A178" s="155">
        <v>45982</v>
      </c>
      <c r="B178" s="144" t="s">
        <v>104</v>
      </c>
      <c r="C178" s="145" t="s">
        <v>184</v>
      </c>
      <c r="D178" s="144" t="s">
        <v>1</v>
      </c>
      <c r="E178" s="156">
        <v>1.0138888888888891</v>
      </c>
      <c r="F178" s="144" t="s">
        <v>106</v>
      </c>
      <c r="G178" s="146">
        <v>9</v>
      </c>
      <c r="H178" s="157" t="s">
        <v>187</v>
      </c>
      <c r="I178" s="2"/>
    </row>
    <row r="179" spans="1:9" ht="19.8" customHeight="1" x14ac:dyDescent="0.3">
      <c r="A179" s="155">
        <v>45982</v>
      </c>
      <c r="B179" s="144" t="s">
        <v>41</v>
      </c>
      <c r="C179" s="145" t="s">
        <v>50</v>
      </c>
      <c r="D179" s="144" t="s">
        <v>1</v>
      </c>
      <c r="E179" s="156">
        <v>1.788194444444444</v>
      </c>
      <c r="F179" s="144" t="s">
        <v>48</v>
      </c>
      <c r="G179" s="146">
        <v>10</v>
      </c>
      <c r="H179" s="157" t="s">
        <v>55</v>
      </c>
      <c r="I179" s="2"/>
    </row>
    <row r="180" spans="1:9" ht="19.8" customHeight="1" x14ac:dyDescent="0.3">
      <c r="A180" s="155">
        <v>45982</v>
      </c>
      <c r="B180" s="144" t="s">
        <v>104</v>
      </c>
      <c r="C180" s="145" t="s">
        <v>108</v>
      </c>
      <c r="D180" s="144" t="s">
        <v>1</v>
      </c>
      <c r="E180" s="156">
        <v>1.2777777777777779</v>
      </c>
      <c r="F180" s="144" t="s">
        <v>106</v>
      </c>
      <c r="G180" s="146">
        <v>9</v>
      </c>
      <c r="H180" s="157" t="s">
        <v>127</v>
      </c>
      <c r="I180" s="2"/>
    </row>
    <row r="181" spans="1:9" ht="19.8" customHeight="1" x14ac:dyDescent="0.3">
      <c r="A181" s="155">
        <v>45982</v>
      </c>
      <c r="B181" s="144" t="s">
        <v>104</v>
      </c>
      <c r="C181" s="145" t="s">
        <v>114</v>
      </c>
      <c r="D181" s="144" t="s">
        <v>1</v>
      </c>
      <c r="E181" s="156">
        <v>1.791666666666667</v>
      </c>
      <c r="F181" s="144" t="s">
        <v>106</v>
      </c>
      <c r="G181" s="146">
        <v>9</v>
      </c>
      <c r="H181" s="157" t="s">
        <v>127</v>
      </c>
      <c r="I181" s="2"/>
    </row>
    <row r="182" spans="1:9" ht="19.8" customHeight="1" x14ac:dyDescent="0.3">
      <c r="A182" s="155">
        <v>45982</v>
      </c>
      <c r="B182" s="144" t="s">
        <v>115</v>
      </c>
      <c r="C182" s="145" t="s">
        <v>126</v>
      </c>
      <c r="D182" s="144" t="s">
        <v>1</v>
      </c>
      <c r="E182" s="156">
        <v>1.71875</v>
      </c>
      <c r="F182" s="144" t="s">
        <v>117</v>
      </c>
      <c r="G182" s="146">
        <v>9</v>
      </c>
      <c r="H182" s="157" t="s">
        <v>127</v>
      </c>
      <c r="I182" s="2"/>
    </row>
    <row r="183" spans="1:9" ht="19.8" customHeight="1" x14ac:dyDescent="0.3">
      <c r="A183" s="155">
        <v>45982</v>
      </c>
      <c r="B183" s="144" t="s">
        <v>115</v>
      </c>
      <c r="C183" s="145" t="s">
        <v>173</v>
      </c>
      <c r="D183" s="144" t="s">
        <v>1</v>
      </c>
      <c r="E183" s="156">
        <v>1.239583333333333</v>
      </c>
      <c r="F183" s="144" t="s">
        <v>117</v>
      </c>
      <c r="G183" s="146">
        <v>9</v>
      </c>
      <c r="H183" s="157" t="s">
        <v>127</v>
      </c>
      <c r="I183" s="2"/>
    </row>
    <row r="184" spans="1:9" ht="19.8" customHeight="1" x14ac:dyDescent="0.3">
      <c r="A184" s="155">
        <v>45982</v>
      </c>
      <c r="B184" s="144" t="s">
        <v>115</v>
      </c>
      <c r="C184" s="145" t="s">
        <v>174</v>
      </c>
      <c r="D184" s="144" t="s">
        <v>1</v>
      </c>
      <c r="E184" s="156">
        <v>1.1423611111111109</v>
      </c>
      <c r="F184" s="144" t="s">
        <v>117</v>
      </c>
      <c r="G184" s="146">
        <v>9</v>
      </c>
      <c r="H184" s="157" t="s">
        <v>127</v>
      </c>
      <c r="I184" s="2"/>
    </row>
    <row r="185" spans="1:9" ht="19.8" customHeight="1" x14ac:dyDescent="0.3">
      <c r="A185" s="155">
        <v>45982</v>
      </c>
      <c r="B185" s="144" t="s">
        <v>115</v>
      </c>
      <c r="C185" s="145" t="s">
        <v>122</v>
      </c>
      <c r="D185" s="144" t="s">
        <v>1</v>
      </c>
      <c r="E185" s="156">
        <v>1.930555555555556</v>
      </c>
      <c r="F185" s="144" t="s">
        <v>117</v>
      </c>
      <c r="G185" s="146">
        <v>9</v>
      </c>
      <c r="H185" s="157" t="s">
        <v>127</v>
      </c>
      <c r="I185" s="2"/>
    </row>
    <row r="186" spans="1:9" ht="19.8" customHeight="1" x14ac:dyDescent="0.3">
      <c r="A186" s="155">
        <v>45982</v>
      </c>
      <c r="B186" s="144" t="s">
        <v>115</v>
      </c>
      <c r="C186" s="145" t="s">
        <v>125</v>
      </c>
      <c r="D186" s="144" t="s">
        <v>1</v>
      </c>
      <c r="E186" s="156">
        <v>1.8298611111111109</v>
      </c>
      <c r="F186" s="144" t="s">
        <v>117</v>
      </c>
      <c r="G186" s="146">
        <v>9</v>
      </c>
      <c r="H186" s="157" t="s">
        <v>127</v>
      </c>
      <c r="I186" s="2"/>
    </row>
    <row r="187" spans="1:9" ht="19.8" customHeight="1" x14ac:dyDescent="0.3">
      <c r="A187" s="155">
        <v>45982</v>
      </c>
      <c r="B187" s="144" t="s">
        <v>115</v>
      </c>
      <c r="C187" s="145" t="s">
        <v>126</v>
      </c>
      <c r="D187" s="144" t="s">
        <v>1</v>
      </c>
      <c r="E187" s="156">
        <v>1.71875</v>
      </c>
      <c r="F187" s="144" t="s">
        <v>119</v>
      </c>
      <c r="G187" s="146">
        <v>9</v>
      </c>
      <c r="H187" s="157" t="s">
        <v>128</v>
      </c>
      <c r="I187" s="2"/>
    </row>
    <row r="188" spans="1:9" ht="19.8" customHeight="1" x14ac:dyDescent="0.3">
      <c r="A188" s="155">
        <v>45982</v>
      </c>
      <c r="B188" s="144" t="s">
        <v>115</v>
      </c>
      <c r="C188" s="145" t="s">
        <v>173</v>
      </c>
      <c r="D188" s="144" t="s">
        <v>1</v>
      </c>
      <c r="E188" s="156">
        <v>1.239583333333333</v>
      </c>
      <c r="F188" s="144" t="s">
        <v>119</v>
      </c>
      <c r="G188" s="146">
        <v>9</v>
      </c>
      <c r="H188" s="157" t="s">
        <v>128</v>
      </c>
      <c r="I188" s="2"/>
    </row>
    <row r="189" spans="1:9" ht="19.8" customHeight="1" x14ac:dyDescent="0.3">
      <c r="A189" s="155">
        <v>45982</v>
      </c>
      <c r="B189" s="144" t="s">
        <v>115</v>
      </c>
      <c r="C189" s="145" t="s">
        <v>174</v>
      </c>
      <c r="D189" s="144" t="s">
        <v>1</v>
      </c>
      <c r="E189" s="156">
        <v>1.1423611111111109</v>
      </c>
      <c r="F189" s="144" t="s">
        <v>119</v>
      </c>
      <c r="G189" s="146">
        <v>9</v>
      </c>
      <c r="H189" s="157" t="s">
        <v>128</v>
      </c>
      <c r="I189" s="2"/>
    </row>
    <row r="190" spans="1:9" ht="19.8" customHeight="1" x14ac:dyDescent="0.3">
      <c r="A190" s="155">
        <v>45982</v>
      </c>
      <c r="B190" s="144" t="s">
        <v>115</v>
      </c>
      <c r="C190" s="145" t="s">
        <v>122</v>
      </c>
      <c r="D190" s="144" t="s">
        <v>1</v>
      </c>
      <c r="E190" s="156">
        <v>1.930555555555556</v>
      </c>
      <c r="F190" s="144" t="s">
        <v>119</v>
      </c>
      <c r="G190" s="146">
        <v>9</v>
      </c>
      <c r="H190" s="157" t="s">
        <v>128</v>
      </c>
      <c r="I190" s="2"/>
    </row>
    <row r="191" spans="1:9" ht="19.8" customHeight="1" x14ac:dyDescent="0.3">
      <c r="A191" s="155">
        <v>45982</v>
      </c>
      <c r="B191" s="144" t="s">
        <v>115</v>
      </c>
      <c r="C191" s="145" t="s">
        <v>125</v>
      </c>
      <c r="D191" s="144" t="s">
        <v>1</v>
      </c>
      <c r="E191" s="156">
        <v>1.8298611111111109</v>
      </c>
      <c r="F191" s="144" t="s">
        <v>119</v>
      </c>
      <c r="G191" s="146">
        <v>9</v>
      </c>
      <c r="H191" s="157" t="s">
        <v>128</v>
      </c>
      <c r="I191" s="2"/>
    </row>
    <row r="192" spans="1:9" ht="19.8" customHeight="1" x14ac:dyDescent="0.3">
      <c r="A192" s="155">
        <v>45982</v>
      </c>
      <c r="B192" s="144" t="s">
        <v>115</v>
      </c>
      <c r="C192" s="145" t="s">
        <v>116</v>
      </c>
      <c r="D192" s="144" t="s">
        <v>1</v>
      </c>
      <c r="E192" s="156">
        <v>1.3784722222222221</v>
      </c>
      <c r="F192" s="144" t="s">
        <v>117</v>
      </c>
      <c r="G192" s="146">
        <v>9</v>
      </c>
      <c r="H192" s="157" t="s">
        <v>176</v>
      </c>
      <c r="I192" s="2"/>
    </row>
    <row r="193" spans="1:9" ht="19.8" customHeight="1" x14ac:dyDescent="0.3">
      <c r="A193" s="155">
        <v>45982</v>
      </c>
      <c r="B193" s="144" t="s">
        <v>115</v>
      </c>
      <c r="C193" s="145" t="s">
        <v>129</v>
      </c>
      <c r="D193" s="144" t="s">
        <v>1</v>
      </c>
      <c r="E193" s="156">
        <v>1.6111111111111109</v>
      </c>
      <c r="F193" s="144" t="s">
        <v>117</v>
      </c>
      <c r="G193" s="146">
        <v>9</v>
      </c>
      <c r="H193" s="157" t="s">
        <v>176</v>
      </c>
      <c r="I193" s="2"/>
    </row>
    <row r="194" spans="1:9" ht="19.8" customHeight="1" x14ac:dyDescent="0.3">
      <c r="A194" s="155">
        <v>45982</v>
      </c>
      <c r="B194" s="144" t="s">
        <v>115</v>
      </c>
      <c r="C194" s="145" t="s">
        <v>175</v>
      </c>
      <c r="D194" s="144" t="s">
        <v>1</v>
      </c>
      <c r="E194" s="156">
        <v>1.006944444444444</v>
      </c>
      <c r="F194" s="144" t="s">
        <v>117</v>
      </c>
      <c r="G194" s="146">
        <v>9</v>
      </c>
      <c r="H194" s="157" t="s">
        <v>176</v>
      </c>
      <c r="I194" s="2"/>
    </row>
    <row r="195" spans="1:9" ht="19.8" customHeight="1" x14ac:dyDescent="0.3">
      <c r="A195" s="155">
        <v>45982</v>
      </c>
      <c r="B195" s="144" t="s">
        <v>115</v>
      </c>
      <c r="C195" s="145" t="s">
        <v>130</v>
      </c>
      <c r="D195" s="144" t="s">
        <v>1</v>
      </c>
      <c r="E195" s="156">
        <v>1.8888888888888891</v>
      </c>
      <c r="F195" s="144" t="s">
        <v>119</v>
      </c>
      <c r="G195" s="146">
        <v>4</v>
      </c>
      <c r="H195" s="157" t="s">
        <v>131</v>
      </c>
      <c r="I195" s="2"/>
    </row>
    <row r="196" spans="1:9" ht="19.8" customHeight="1" x14ac:dyDescent="0.3">
      <c r="A196" s="155">
        <v>45982</v>
      </c>
      <c r="B196" s="144" t="s">
        <v>115</v>
      </c>
      <c r="C196" s="145" t="s">
        <v>178</v>
      </c>
      <c r="D196" s="144" t="s">
        <v>1</v>
      </c>
      <c r="E196" s="156">
        <v>1.302083333333333</v>
      </c>
      <c r="F196" s="144" t="s">
        <v>119</v>
      </c>
      <c r="G196" s="146">
        <v>4</v>
      </c>
      <c r="H196" s="157" t="s">
        <v>131</v>
      </c>
      <c r="I196" s="2"/>
    </row>
    <row r="197" spans="1:9" ht="19.8" customHeight="1" x14ac:dyDescent="0.3">
      <c r="A197" s="155">
        <v>45982</v>
      </c>
      <c r="B197" s="144" t="s">
        <v>115</v>
      </c>
      <c r="C197" s="145" t="s">
        <v>179</v>
      </c>
      <c r="D197" s="144" t="s">
        <v>1</v>
      </c>
      <c r="E197" s="156">
        <v>1.1284722222222221</v>
      </c>
      <c r="F197" s="144" t="s">
        <v>119</v>
      </c>
      <c r="G197" s="146">
        <v>4</v>
      </c>
      <c r="H197" s="157" t="s">
        <v>131</v>
      </c>
      <c r="I197" s="2"/>
    </row>
    <row r="198" spans="1:9" ht="19.8" customHeight="1" x14ac:dyDescent="0.3">
      <c r="A198" s="155">
        <v>45982</v>
      </c>
      <c r="B198" s="144" t="s">
        <v>115</v>
      </c>
      <c r="C198" s="145" t="s">
        <v>132</v>
      </c>
      <c r="D198" s="144" t="s">
        <v>1</v>
      </c>
      <c r="E198" s="156">
        <v>1.788194444444444</v>
      </c>
      <c r="F198" s="144" t="s">
        <v>119</v>
      </c>
      <c r="G198" s="146">
        <v>4</v>
      </c>
      <c r="H198" s="157" t="s">
        <v>131</v>
      </c>
      <c r="I198" s="2"/>
    </row>
    <row r="199" spans="1:9" ht="19.8" customHeight="1" x14ac:dyDescent="0.3">
      <c r="A199" s="155">
        <v>45982</v>
      </c>
      <c r="B199" s="144" t="s">
        <v>115</v>
      </c>
      <c r="C199" s="145" t="s">
        <v>116</v>
      </c>
      <c r="D199" s="144" t="s">
        <v>1</v>
      </c>
      <c r="E199" s="156">
        <v>1.3784722222222221</v>
      </c>
      <c r="F199" s="144" t="s">
        <v>119</v>
      </c>
      <c r="G199" s="146">
        <v>9</v>
      </c>
      <c r="H199" s="157" t="s">
        <v>177</v>
      </c>
      <c r="I199" s="2"/>
    </row>
    <row r="200" spans="1:9" ht="19.8" customHeight="1" x14ac:dyDescent="0.3">
      <c r="A200" s="155">
        <v>45982</v>
      </c>
      <c r="B200" s="144" t="s">
        <v>115</v>
      </c>
      <c r="C200" s="145" t="s">
        <v>129</v>
      </c>
      <c r="D200" s="144" t="s">
        <v>1</v>
      </c>
      <c r="E200" s="156">
        <v>1.6111111111111109</v>
      </c>
      <c r="F200" s="144" t="s">
        <v>119</v>
      </c>
      <c r="G200" s="146">
        <v>9</v>
      </c>
      <c r="H200" s="157" t="s">
        <v>177</v>
      </c>
      <c r="I200" s="2"/>
    </row>
    <row r="201" spans="1:9" ht="19.8" customHeight="1" x14ac:dyDescent="0.3">
      <c r="A201" s="155">
        <v>45982</v>
      </c>
      <c r="B201" s="144" t="s">
        <v>115</v>
      </c>
      <c r="C201" s="145" t="s">
        <v>175</v>
      </c>
      <c r="D201" s="144" t="s">
        <v>1</v>
      </c>
      <c r="E201" s="156">
        <v>1.006944444444444</v>
      </c>
      <c r="F201" s="144" t="s">
        <v>119</v>
      </c>
      <c r="G201" s="146">
        <v>9</v>
      </c>
      <c r="H201" s="157" t="s">
        <v>177</v>
      </c>
      <c r="I201" s="2"/>
    </row>
    <row r="202" spans="1:9" ht="19.8" customHeight="1" x14ac:dyDescent="0.3">
      <c r="A202" s="155">
        <v>45982</v>
      </c>
      <c r="B202" s="144" t="s">
        <v>104</v>
      </c>
      <c r="C202" s="145" t="s">
        <v>105</v>
      </c>
      <c r="D202" s="144" t="s">
        <v>1</v>
      </c>
      <c r="E202" s="156">
        <v>1.506944444444444</v>
      </c>
      <c r="F202" s="144" t="s">
        <v>106</v>
      </c>
      <c r="G202" s="146">
        <v>9</v>
      </c>
      <c r="H202" s="157" t="s">
        <v>189</v>
      </c>
      <c r="I202" s="2"/>
    </row>
    <row r="203" spans="1:9" ht="19.8" customHeight="1" x14ac:dyDescent="0.3">
      <c r="A203" s="165">
        <v>45982</v>
      </c>
      <c r="B203" s="166" t="s">
        <v>81</v>
      </c>
      <c r="C203" s="167" t="s">
        <v>86</v>
      </c>
      <c r="D203" s="166" t="s">
        <v>1</v>
      </c>
      <c r="E203" s="168">
        <v>1.9375</v>
      </c>
      <c r="F203" s="166" t="s">
        <v>207</v>
      </c>
      <c r="G203" s="166"/>
      <c r="H203" s="169" t="s">
        <v>208</v>
      </c>
      <c r="I203" s="2"/>
    </row>
    <row r="204" spans="1:9" ht="19.8" customHeight="1" x14ac:dyDescent="0.3">
      <c r="A204" s="155">
        <v>45983</v>
      </c>
      <c r="B204" s="144" t="s">
        <v>41</v>
      </c>
      <c r="C204" s="145" t="s">
        <v>133</v>
      </c>
      <c r="D204" s="144" t="s">
        <v>1</v>
      </c>
      <c r="E204" s="156">
        <v>1.1284722222222221</v>
      </c>
      <c r="F204" s="144" t="s">
        <v>43</v>
      </c>
      <c r="G204" s="146">
        <v>4</v>
      </c>
      <c r="H204" s="147">
        <v>589</v>
      </c>
      <c r="I204" s="2"/>
    </row>
    <row r="205" spans="1:9" ht="19.8" customHeight="1" x14ac:dyDescent="0.3">
      <c r="A205" s="155">
        <v>45983</v>
      </c>
      <c r="B205" s="144" t="s">
        <v>41</v>
      </c>
      <c r="C205" s="145" t="s">
        <v>42</v>
      </c>
      <c r="D205" s="144" t="s">
        <v>1</v>
      </c>
      <c r="E205" s="156">
        <v>1.302083333333333</v>
      </c>
      <c r="F205" s="144" t="s">
        <v>43</v>
      </c>
      <c r="G205" s="146">
        <v>7</v>
      </c>
      <c r="H205" s="147">
        <v>639</v>
      </c>
      <c r="I205" s="2"/>
    </row>
    <row r="206" spans="1:9" ht="19.8" customHeight="1" x14ac:dyDescent="0.3">
      <c r="A206" s="155">
        <v>45983</v>
      </c>
      <c r="B206" s="144" t="s">
        <v>61</v>
      </c>
      <c r="C206" s="145" t="s">
        <v>137</v>
      </c>
      <c r="D206" s="144" t="s">
        <v>1</v>
      </c>
      <c r="E206" s="156">
        <v>1.256944444444444</v>
      </c>
      <c r="F206" s="144" t="s">
        <v>63</v>
      </c>
      <c r="G206" s="146">
        <v>9</v>
      </c>
      <c r="H206" s="147">
        <v>669</v>
      </c>
      <c r="I206" s="2"/>
    </row>
    <row r="207" spans="1:9" ht="19.8" customHeight="1" x14ac:dyDescent="0.3">
      <c r="A207" s="155">
        <v>45983</v>
      </c>
      <c r="B207" s="144" t="s">
        <v>61</v>
      </c>
      <c r="C207" s="145" t="s">
        <v>78</v>
      </c>
      <c r="D207" s="144" t="s">
        <v>1</v>
      </c>
      <c r="E207" s="156">
        <v>1.6597222222222221</v>
      </c>
      <c r="F207" s="144" t="s">
        <v>63</v>
      </c>
      <c r="G207" s="146">
        <v>9</v>
      </c>
      <c r="H207" s="147">
        <v>669</v>
      </c>
      <c r="I207" s="2"/>
    </row>
    <row r="208" spans="1:9" ht="19.8" customHeight="1" x14ac:dyDescent="0.3">
      <c r="A208" s="155">
        <v>45983</v>
      </c>
      <c r="B208" s="144" t="s">
        <v>61</v>
      </c>
      <c r="C208" s="145" t="s">
        <v>62</v>
      </c>
      <c r="D208" s="144" t="s">
        <v>1</v>
      </c>
      <c r="E208" s="156">
        <v>1.5173611111111109</v>
      </c>
      <c r="F208" s="144" t="s">
        <v>63</v>
      </c>
      <c r="G208" s="146">
        <v>5</v>
      </c>
      <c r="H208" s="147">
        <v>669</v>
      </c>
      <c r="I208" s="2"/>
    </row>
    <row r="209" spans="1:9" ht="19.8" customHeight="1" x14ac:dyDescent="0.3">
      <c r="A209" s="155">
        <v>45983</v>
      </c>
      <c r="B209" s="144" t="s">
        <v>61</v>
      </c>
      <c r="C209" s="145" t="s">
        <v>69</v>
      </c>
      <c r="D209" s="144" t="s">
        <v>1</v>
      </c>
      <c r="E209" s="156">
        <v>1.854166666666667</v>
      </c>
      <c r="F209" s="144" t="s">
        <v>63</v>
      </c>
      <c r="G209" s="146">
        <v>7</v>
      </c>
      <c r="H209" s="147">
        <v>669</v>
      </c>
      <c r="I209" s="2"/>
    </row>
    <row r="210" spans="1:9" ht="19.8" customHeight="1" x14ac:dyDescent="0.3">
      <c r="A210" s="155">
        <v>45983</v>
      </c>
      <c r="B210" s="144" t="s">
        <v>61</v>
      </c>
      <c r="C210" s="145" t="s">
        <v>72</v>
      </c>
      <c r="D210" s="144" t="s">
        <v>1</v>
      </c>
      <c r="E210" s="156">
        <v>1.395833333333333</v>
      </c>
      <c r="F210" s="144" t="s">
        <v>63</v>
      </c>
      <c r="G210" s="146">
        <v>9</v>
      </c>
      <c r="H210" s="147">
        <v>669</v>
      </c>
      <c r="I210" s="2"/>
    </row>
    <row r="211" spans="1:9" ht="19.8" customHeight="1" x14ac:dyDescent="0.3">
      <c r="A211" s="155">
        <v>45983</v>
      </c>
      <c r="B211" s="144" t="s">
        <v>100</v>
      </c>
      <c r="C211" s="145" t="s">
        <v>101</v>
      </c>
      <c r="D211" s="144" t="s">
        <v>1</v>
      </c>
      <c r="E211" s="156">
        <v>1.288194444444444</v>
      </c>
      <c r="F211" s="144" t="s">
        <v>102</v>
      </c>
      <c r="G211" s="146">
        <v>9</v>
      </c>
      <c r="H211" s="147">
        <v>677</v>
      </c>
      <c r="I211" s="2"/>
    </row>
    <row r="212" spans="1:9" ht="19.8" customHeight="1" x14ac:dyDescent="0.3">
      <c r="A212" s="155">
        <v>45983</v>
      </c>
      <c r="B212" s="144" t="s">
        <v>41</v>
      </c>
      <c r="C212" s="145" t="s">
        <v>56</v>
      </c>
      <c r="D212" s="144" t="s">
        <v>1</v>
      </c>
      <c r="E212" s="156">
        <v>1.8888888888888891</v>
      </c>
      <c r="F212" s="144" t="s">
        <v>43</v>
      </c>
      <c r="G212" s="146">
        <v>9</v>
      </c>
      <c r="H212" s="147">
        <v>689</v>
      </c>
      <c r="I212" s="2"/>
    </row>
    <row r="213" spans="1:9" ht="19.8" customHeight="1" x14ac:dyDescent="0.3">
      <c r="A213" s="155">
        <v>45983</v>
      </c>
      <c r="B213" s="144" t="s">
        <v>61</v>
      </c>
      <c r="C213" s="145" t="s">
        <v>74</v>
      </c>
      <c r="D213" s="144" t="s">
        <v>1</v>
      </c>
      <c r="E213" s="156">
        <v>1.9027777777777779</v>
      </c>
      <c r="F213" s="144" t="s">
        <v>63</v>
      </c>
      <c r="G213" s="146">
        <v>9</v>
      </c>
      <c r="H213" s="147">
        <v>719</v>
      </c>
      <c r="I213" s="2"/>
    </row>
    <row r="214" spans="1:9" ht="19.8" customHeight="1" x14ac:dyDescent="0.3">
      <c r="A214" s="155">
        <v>45983</v>
      </c>
      <c r="B214" s="144" t="s">
        <v>61</v>
      </c>
      <c r="C214" s="145" t="s">
        <v>73</v>
      </c>
      <c r="D214" s="144" t="s">
        <v>1</v>
      </c>
      <c r="E214" s="156">
        <v>1.7986111111111109</v>
      </c>
      <c r="F214" s="144" t="s">
        <v>63</v>
      </c>
      <c r="G214" s="146">
        <v>9</v>
      </c>
      <c r="H214" s="147">
        <v>719</v>
      </c>
      <c r="I214" s="2"/>
    </row>
    <row r="215" spans="1:9" ht="19.8" customHeight="1" x14ac:dyDescent="0.3">
      <c r="A215" s="155">
        <v>45983</v>
      </c>
      <c r="B215" s="144" t="s">
        <v>41</v>
      </c>
      <c r="C215" s="145" t="s">
        <v>133</v>
      </c>
      <c r="D215" s="144" t="s">
        <v>1</v>
      </c>
      <c r="E215" s="156">
        <v>1.1284722222222221</v>
      </c>
      <c r="F215" s="144" t="s">
        <v>45</v>
      </c>
      <c r="G215" s="146">
        <v>4</v>
      </c>
      <c r="H215" s="147">
        <v>739</v>
      </c>
      <c r="I215" s="2"/>
    </row>
    <row r="216" spans="1:9" ht="19.8" customHeight="1" x14ac:dyDescent="0.3">
      <c r="A216" s="155">
        <v>45983</v>
      </c>
      <c r="B216" s="144" t="s">
        <v>100</v>
      </c>
      <c r="C216" s="145" t="s">
        <v>216</v>
      </c>
      <c r="D216" s="144" t="s">
        <v>1</v>
      </c>
      <c r="E216" s="156">
        <v>1.2152777777777779</v>
      </c>
      <c r="F216" s="144" t="s">
        <v>102</v>
      </c>
      <c r="G216" s="146">
        <v>9</v>
      </c>
      <c r="H216" s="147">
        <v>739</v>
      </c>
      <c r="I216" s="2"/>
    </row>
    <row r="217" spans="1:9" ht="19.8" customHeight="1" x14ac:dyDescent="0.3">
      <c r="A217" s="155">
        <v>45983</v>
      </c>
      <c r="B217" s="144" t="s">
        <v>34</v>
      </c>
      <c r="C217" s="145" t="s">
        <v>35</v>
      </c>
      <c r="D217" s="144" t="s">
        <v>1</v>
      </c>
      <c r="E217" s="156">
        <v>1.666666666666667</v>
      </c>
      <c r="F217" s="144" t="s">
        <v>28</v>
      </c>
      <c r="G217" s="146">
        <v>3</v>
      </c>
      <c r="H217" s="147">
        <v>749</v>
      </c>
      <c r="I217" s="2"/>
    </row>
    <row r="218" spans="1:9" ht="19.8" customHeight="1" x14ac:dyDescent="0.3">
      <c r="A218" s="155">
        <v>45983</v>
      </c>
      <c r="B218" s="144" t="s">
        <v>41</v>
      </c>
      <c r="C218" s="145" t="s">
        <v>50</v>
      </c>
      <c r="D218" s="144" t="s">
        <v>1</v>
      </c>
      <c r="E218" s="156">
        <v>1.788194444444444</v>
      </c>
      <c r="F218" s="144" t="s">
        <v>43</v>
      </c>
      <c r="G218" s="146">
        <v>9</v>
      </c>
      <c r="H218" s="147">
        <v>749</v>
      </c>
      <c r="I218" s="2"/>
    </row>
    <row r="219" spans="1:9" ht="19.8" customHeight="1" x14ac:dyDescent="0.3">
      <c r="A219" s="155">
        <v>45983</v>
      </c>
      <c r="B219" s="144" t="s">
        <v>61</v>
      </c>
      <c r="C219" s="145" t="s">
        <v>137</v>
      </c>
      <c r="D219" s="144" t="s">
        <v>1</v>
      </c>
      <c r="E219" s="156">
        <v>1.256944444444444</v>
      </c>
      <c r="F219" s="144" t="s">
        <v>65</v>
      </c>
      <c r="G219" s="146">
        <v>9</v>
      </c>
      <c r="H219" s="147">
        <v>769</v>
      </c>
      <c r="I219" s="2"/>
    </row>
    <row r="220" spans="1:9" ht="19.8" customHeight="1" x14ac:dyDescent="0.3">
      <c r="A220" s="155">
        <v>45983</v>
      </c>
      <c r="B220" s="144" t="s">
        <v>61</v>
      </c>
      <c r="C220" s="145" t="s">
        <v>78</v>
      </c>
      <c r="D220" s="144" t="s">
        <v>1</v>
      </c>
      <c r="E220" s="156">
        <v>1.6597222222222221</v>
      </c>
      <c r="F220" s="144" t="s">
        <v>65</v>
      </c>
      <c r="G220" s="146">
        <v>9</v>
      </c>
      <c r="H220" s="147">
        <v>769</v>
      </c>
      <c r="I220" s="2"/>
    </row>
    <row r="221" spans="1:9" ht="19.8" customHeight="1" x14ac:dyDescent="0.3">
      <c r="A221" s="155">
        <v>45983</v>
      </c>
      <c r="B221" s="144" t="s">
        <v>61</v>
      </c>
      <c r="C221" s="145" t="s">
        <v>62</v>
      </c>
      <c r="D221" s="144" t="s">
        <v>1</v>
      </c>
      <c r="E221" s="156">
        <v>1.5173611111111109</v>
      </c>
      <c r="F221" s="144" t="s">
        <v>65</v>
      </c>
      <c r="G221" s="146">
        <v>5</v>
      </c>
      <c r="H221" s="147">
        <v>769</v>
      </c>
      <c r="I221" s="2"/>
    </row>
    <row r="222" spans="1:9" ht="19.8" customHeight="1" x14ac:dyDescent="0.3">
      <c r="A222" s="155">
        <v>45983</v>
      </c>
      <c r="B222" s="144" t="s">
        <v>61</v>
      </c>
      <c r="C222" s="145" t="s">
        <v>69</v>
      </c>
      <c r="D222" s="144" t="s">
        <v>1</v>
      </c>
      <c r="E222" s="156">
        <v>1.854166666666667</v>
      </c>
      <c r="F222" s="144" t="s">
        <v>65</v>
      </c>
      <c r="G222" s="146">
        <v>7</v>
      </c>
      <c r="H222" s="147">
        <v>769</v>
      </c>
      <c r="I222" s="2"/>
    </row>
    <row r="223" spans="1:9" ht="19.8" customHeight="1" x14ac:dyDescent="0.3">
      <c r="A223" s="155">
        <v>45983</v>
      </c>
      <c r="B223" s="144" t="s">
        <v>61</v>
      </c>
      <c r="C223" s="145" t="s">
        <v>72</v>
      </c>
      <c r="D223" s="144" t="s">
        <v>1</v>
      </c>
      <c r="E223" s="156">
        <v>1.395833333333333</v>
      </c>
      <c r="F223" s="144" t="s">
        <v>65</v>
      </c>
      <c r="G223" s="146">
        <v>9</v>
      </c>
      <c r="H223" s="147">
        <v>769</v>
      </c>
      <c r="I223" s="2"/>
    </row>
    <row r="224" spans="1:9" ht="19.8" customHeight="1" x14ac:dyDescent="0.3">
      <c r="A224" s="155">
        <v>45983</v>
      </c>
      <c r="B224" s="144" t="s">
        <v>41</v>
      </c>
      <c r="C224" s="145" t="s">
        <v>42</v>
      </c>
      <c r="D224" s="144" t="s">
        <v>1</v>
      </c>
      <c r="E224" s="156">
        <v>1.302083333333333</v>
      </c>
      <c r="F224" s="144" t="s">
        <v>45</v>
      </c>
      <c r="G224" s="146">
        <v>7</v>
      </c>
      <c r="H224" s="147">
        <v>789</v>
      </c>
      <c r="I224" s="2"/>
    </row>
    <row r="225" spans="1:9" ht="19.8" customHeight="1" x14ac:dyDescent="0.3">
      <c r="A225" s="155">
        <v>45983</v>
      </c>
      <c r="B225" s="144" t="s">
        <v>61</v>
      </c>
      <c r="C225" s="145" t="s">
        <v>74</v>
      </c>
      <c r="D225" s="144" t="s">
        <v>1</v>
      </c>
      <c r="E225" s="156">
        <v>1.9027777777777779</v>
      </c>
      <c r="F225" s="144" t="s">
        <v>65</v>
      </c>
      <c r="G225" s="146">
        <v>9</v>
      </c>
      <c r="H225" s="147">
        <v>819</v>
      </c>
      <c r="I225" s="2"/>
    </row>
    <row r="226" spans="1:9" ht="19.8" customHeight="1" x14ac:dyDescent="0.3">
      <c r="A226" s="155">
        <v>45983</v>
      </c>
      <c r="B226" s="144" t="s">
        <v>61</v>
      </c>
      <c r="C226" s="145" t="s">
        <v>73</v>
      </c>
      <c r="D226" s="144" t="s">
        <v>1</v>
      </c>
      <c r="E226" s="156">
        <v>1.7986111111111109</v>
      </c>
      <c r="F226" s="144" t="s">
        <v>65</v>
      </c>
      <c r="G226" s="146">
        <v>9</v>
      </c>
      <c r="H226" s="147">
        <v>819</v>
      </c>
      <c r="I226" s="2"/>
    </row>
    <row r="227" spans="1:9" ht="19.8" customHeight="1" x14ac:dyDescent="0.3">
      <c r="A227" s="155">
        <v>45983</v>
      </c>
      <c r="B227" s="144" t="s">
        <v>26</v>
      </c>
      <c r="C227" s="145" t="s">
        <v>27</v>
      </c>
      <c r="D227" s="144" t="s">
        <v>1</v>
      </c>
      <c r="E227" s="156">
        <v>1.270833333333333</v>
      </c>
      <c r="F227" s="144" t="s">
        <v>28</v>
      </c>
      <c r="G227" s="146">
        <v>1</v>
      </c>
      <c r="H227" s="147">
        <v>835</v>
      </c>
      <c r="I227" s="2"/>
    </row>
    <row r="228" spans="1:9" ht="19.8" customHeight="1" x14ac:dyDescent="0.3">
      <c r="A228" s="155">
        <v>45983</v>
      </c>
      <c r="B228" s="144" t="s">
        <v>41</v>
      </c>
      <c r="C228" s="145" t="s">
        <v>56</v>
      </c>
      <c r="D228" s="144" t="s">
        <v>1</v>
      </c>
      <c r="E228" s="156">
        <v>1.8888888888888891</v>
      </c>
      <c r="F228" s="144" t="s">
        <v>45</v>
      </c>
      <c r="G228" s="146">
        <v>9</v>
      </c>
      <c r="H228" s="147">
        <v>839</v>
      </c>
      <c r="I228" s="2"/>
    </row>
    <row r="229" spans="1:9" ht="19.8" customHeight="1" x14ac:dyDescent="0.3">
      <c r="A229" s="155">
        <v>45983</v>
      </c>
      <c r="B229" s="144" t="s">
        <v>61</v>
      </c>
      <c r="C229" s="145" t="s">
        <v>137</v>
      </c>
      <c r="D229" s="144" t="s">
        <v>1</v>
      </c>
      <c r="E229" s="156">
        <v>1.256944444444444</v>
      </c>
      <c r="F229" s="144" t="s">
        <v>67</v>
      </c>
      <c r="G229" s="146">
        <v>9</v>
      </c>
      <c r="H229" s="147">
        <v>859</v>
      </c>
      <c r="I229" s="2"/>
    </row>
    <row r="230" spans="1:9" ht="19.8" customHeight="1" x14ac:dyDescent="0.3">
      <c r="A230" s="155">
        <v>45983</v>
      </c>
      <c r="B230" s="144" t="s">
        <v>61</v>
      </c>
      <c r="C230" s="145" t="s">
        <v>78</v>
      </c>
      <c r="D230" s="144" t="s">
        <v>1</v>
      </c>
      <c r="E230" s="156">
        <v>1.6597222222222221</v>
      </c>
      <c r="F230" s="144" t="s">
        <v>67</v>
      </c>
      <c r="G230" s="146">
        <v>9</v>
      </c>
      <c r="H230" s="147">
        <v>859</v>
      </c>
      <c r="I230" s="2"/>
    </row>
    <row r="231" spans="1:9" ht="19.8" customHeight="1" x14ac:dyDescent="0.3">
      <c r="A231" s="155">
        <v>45983</v>
      </c>
      <c r="B231" s="144" t="s">
        <v>61</v>
      </c>
      <c r="C231" s="145" t="s">
        <v>62</v>
      </c>
      <c r="D231" s="144" t="s">
        <v>1</v>
      </c>
      <c r="E231" s="156">
        <v>1.5173611111111109</v>
      </c>
      <c r="F231" s="144" t="s">
        <v>67</v>
      </c>
      <c r="G231" s="146">
        <v>5</v>
      </c>
      <c r="H231" s="147">
        <v>859</v>
      </c>
      <c r="I231" s="2"/>
    </row>
    <row r="232" spans="1:9" ht="19.8" customHeight="1" x14ac:dyDescent="0.3">
      <c r="A232" s="155">
        <v>45983</v>
      </c>
      <c r="B232" s="144" t="s">
        <v>61</v>
      </c>
      <c r="C232" s="145" t="s">
        <v>69</v>
      </c>
      <c r="D232" s="144" t="s">
        <v>1</v>
      </c>
      <c r="E232" s="156">
        <v>1.854166666666667</v>
      </c>
      <c r="F232" s="144" t="s">
        <v>67</v>
      </c>
      <c r="G232" s="146">
        <v>7</v>
      </c>
      <c r="H232" s="147">
        <v>859</v>
      </c>
      <c r="I232" s="2"/>
    </row>
    <row r="233" spans="1:9" ht="19.8" customHeight="1" x14ac:dyDescent="0.3">
      <c r="A233" s="155">
        <v>45983</v>
      </c>
      <c r="B233" s="144" t="s">
        <v>61</v>
      </c>
      <c r="C233" s="145" t="s">
        <v>72</v>
      </c>
      <c r="D233" s="144" t="s">
        <v>1</v>
      </c>
      <c r="E233" s="156">
        <v>1.395833333333333</v>
      </c>
      <c r="F233" s="144" t="s">
        <v>67</v>
      </c>
      <c r="G233" s="146">
        <v>9</v>
      </c>
      <c r="H233" s="147">
        <v>859</v>
      </c>
      <c r="I233" s="2"/>
    </row>
    <row r="234" spans="1:9" ht="19.8" customHeight="1" x14ac:dyDescent="0.3">
      <c r="A234" s="155">
        <v>45983</v>
      </c>
      <c r="B234" s="144" t="s">
        <v>41</v>
      </c>
      <c r="C234" s="145" t="s">
        <v>50</v>
      </c>
      <c r="D234" s="144" t="s">
        <v>1</v>
      </c>
      <c r="E234" s="156">
        <v>1.788194444444444</v>
      </c>
      <c r="F234" s="144" t="s">
        <v>45</v>
      </c>
      <c r="G234" s="146">
        <v>9</v>
      </c>
      <c r="H234" s="147">
        <v>899</v>
      </c>
      <c r="I234" s="2"/>
    </row>
    <row r="235" spans="1:9" ht="19.8" customHeight="1" x14ac:dyDescent="0.3">
      <c r="A235" s="155">
        <v>45983</v>
      </c>
      <c r="B235" s="144" t="s">
        <v>100</v>
      </c>
      <c r="C235" s="145" t="s">
        <v>101</v>
      </c>
      <c r="D235" s="144" t="s">
        <v>1</v>
      </c>
      <c r="E235" s="156">
        <v>1.288194444444444</v>
      </c>
      <c r="F235" s="144" t="s">
        <v>48</v>
      </c>
      <c r="G235" s="146">
        <v>9</v>
      </c>
      <c r="H235" s="147">
        <v>903</v>
      </c>
      <c r="I235" s="2"/>
    </row>
    <row r="236" spans="1:9" ht="19.8" customHeight="1" x14ac:dyDescent="0.3">
      <c r="A236" s="155">
        <v>45983</v>
      </c>
      <c r="B236" s="144" t="s">
        <v>61</v>
      </c>
      <c r="C236" s="145" t="s">
        <v>74</v>
      </c>
      <c r="D236" s="144" t="s">
        <v>1</v>
      </c>
      <c r="E236" s="156">
        <v>1.9027777777777779</v>
      </c>
      <c r="F236" s="144" t="s">
        <v>67</v>
      </c>
      <c r="G236" s="146">
        <v>9</v>
      </c>
      <c r="H236" s="147">
        <v>909</v>
      </c>
      <c r="I236" s="2"/>
    </row>
    <row r="237" spans="1:9" ht="19.8" customHeight="1" x14ac:dyDescent="0.3">
      <c r="A237" s="155">
        <v>45983</v>
      </c>
      <c r="B237" s="144" t="s">
        <v>61</v>
      </c>
      <c r="C237" s="145" t="s">
        <v>73</v>
      </c>
      <c r="D237" s="144" t="s">
        <v>1</v>
      </c>
      <c r="E237" s="156">
        <v>1.7986111111111109</v>
      </c>
      <c r="F237" s="144" t="s">
        <v>67</v>
      </c>
      <c r="G237" s="146">
        <v>9</v>
      </c>
      <c r="H237" s="147">
        <v>909</v>
      </c>
      <c r="I237" s="2"/>
    </row>
    <row r="238" spans="1:9" ht="19.8" customHeight="1" x14ac:dyDescent="0.3">
      <c r="A238" s="155">
        <v>45983</v>
      </c>
      <c r="B238" s="144" t="s">
        <v>100</v>
      </c>
      <c r="C238" s="145" t="s">
        <v>216</v>
      </c>
      <c r="D238" s="144" t="s">
        <v>1</v>
      </c>
      <c r="E238" s="156">
        <v>1.2152777777777779</v>
      </c>
      <c r="F238" s="144" t="s">
        <v>48</v>
      </c>
      <c r="G238" s="146">
        <v>9</v>
      </c>
      <c r="H238" s="147">
        <v>965</v>
      </c>
      <c r="I238" s="2"/>
    </row>
    <row r="239" spans="1:9" ht="19.8" customHeight="1" x14ac:dyDescent="0.3">
      <c r="A239" s="153">
        <v>45983</v>
      </c>
      <c r="B239" s="149" t="s">
        <v>81</v>
      </c>
      <c r="C239" s="150" t="s">
        <v>94</v>
      </c>
      <c r="D239" s="149" t="s">
        <v>1</v>
      </c>
      <c r="E239" s="154">
        <v>1.680555555555556</v>
      </c>
      <c r="F239" s="149" t="s">
        <v>83</v>
      </c>
      <c r="G239" s="151">
        <v>1</v>
      </c>
      <c r="H239" s="164" t="s">
        <v>219</v>
      </c>
      <c r="I239" s="2"/>
    </row>
    <row r="240" spans="1:9" ht="19.8" customHeight="1" x14ac:dyDescent="0.3">
      <c r="A240" s="155">
        <v>45983</v>
      </c>
      <c r="B240" s="144" t="s">
        <v>41</v>
      </c>
      <c r="C240" s="145" t="s">
        <v>42</v>
      </c>
      <c r="D240" s="144" t="s">
        <v>1</v>
      </c>
      <c r="E240" s="156">
        <v>1.302083333333333</v>
      </c>
      <c r="F240" s="144" t="s">
        <v>48</v>
      </c>
      <c r="G240" s="146">
        <v>7</v>
      </c>
      <c r="H240" s="157" t="s">
        <v>49</v>
      </c>
      <c r="I240" s="2"/>
    </row>
    <row r="241" spans="1:9" ht="19.8" customHeight="1" x14ac:dyDescent="0.3">
      <c r="A241" s="155">
        <v>45983</v>
      </c>
      <c r="B241" s="144" t="s">
        <v>41</v>
      </c>
      <c r="C241" s="145" t="s">
        <v>133</v>
      </c>
      <c r="D241" s="144" t="s">
        <v>1</v>
      </c>
      <c r="E241" s="156">
        <v>1.1284722222222221</v>
      </c>
      <c r="F241" s="144" t="s">
        <v>48</v>
      </c>
      <c r="G241" s="146">
        <v>4</v>
      </c>
      <c r="H241" s="157" t="s">
        <v>49</v>
      </c>
      <c r="I241" s="2"/>
    </row>
    <row r="242" spans="1:9" ht="19.8" customHeight="1" x14ac:dyDescent="0.3">
      <c r="A242" s="155">
        <v>45983</v>
      </c>
      <c r="B242" s="144" t="s">
        <v>41</v>
      </c>
      <c r="C242" s="145" t="s">
        <v>50</v>
      </c>
      <c r="D242" s="144" t="s">
        <v>1</v>
      </c>
      <c r="E242" s="156">
        <v>1.788194444444444</v>
      </c>
      <c r="F242" s="144" t="s">
        <v>48</v>
      </c>
      <c r="G242" s="146">
        <v>9</v>
      </c>
      <c r="H242" s="157" t="s">
        <v>49</v>
      </c>
      <c r="I242" s="2"/>
    </row>
    <row r="243" spans="1:9" ht="19.8" customHeight="1" x14ac:dyDescent="0.3">
      <c r="A243" s="155">
        <v>45983</v>
      </c>
      <c r="B243" s="144" t="s">
        <v>41</v>
      </c>
      <c r="C243" s="145" t="s">
        <v>56</v>
      </c>
      <c r="D243" s="144" t="s">
        <v>1</v>
      </c>
      <c r="E243" s="156">
        <v>1.8888888888888891</v>
      </c>
      <c r="F243" s="144" t="s">
        <v>48</v>
      </c>
      <c r="G243" s="146">
        <v>9</v>
      </c>
      <c r="H243" s="157" t="s">
        <v>49</v>
      </c>
      <c r="I243" s="2"/>
    </row>
    <row r="244" spans="1:9" ht="19.8" customHeight="1" x14ac:dyDescent="0.3">
      <c r="A244" s="155">
        <v>45983</v>
      </c>
      <c r="B244" s="144" t="s">
        <v>115</v>
      </c>
      <c r="C244" s="145" t="s">
        <v>175</v>
      </c>
      <c r="D244" s="144" t="s">
        <v>1</v>
      </c>
      <c r="E244" s="156">
        <v>1.006944444444444</v>
      </c>
      <c r="F244" s="144" t="s">
        <v>117</v>
      </c>
      <c r="G244" s="146">
        <v>9</v>
      </c>
      <c r="H244" s="157" t="s">
        <v>118</v>
      </c>
      <c r="I244" s="2"/>
    </row>
    <row r="245" spans="1:9" ht="19.8" customHeight="1" x14ac:dyDescent="0.3">
      <c r="A245" s="155">
        <v>45983</v>
      </c>
      <c r="B245" s="144" t="s">
        <v>115</v>
      </c>
      <c r="C245" s="145" t="s">
        <v>173</v>
      </c>
      <c r="D245" s="144" t="s">
        <v>1</v>
      </c>
      <c r="E245" s="156">
        <v>1.243055555555556</v>
      </c>
      <c r="F245" s="144" t="s">
        <v>117</v>
      </c>
      <c r="G245" s="146">
        <v>9</v>
      </c>
      <c r="H245" s="157" t="s">
        <v>118</v>
      </c>
      <c r="I245" s="2"/>
    </row>
    <row r="246" spans="1:9" ht="19.8" customHeight="1" x14ac:dyDescent="0.3">
      <c r="A246" s="155">
        <v>45983</v>
      </c>
      <c r="B246" s="144" t="s">
        <v>115</v>
      </c>
      <c r="C246" s="145" t="s">
        <v>174</v>
      </c>
      <c r="D246" s="144" t="s">
        <v>1</v>
      </c>
      <c r="E246" s="156">
        <v>1.1423611111111109</v>
      </c>
      <c r="F246" s="144" t="s">
        <v>117</v>
      </c>
      <c r="G246" s="146">
        <v>9</v>
      </c>
      <c r="H246" s="157" t="s">
        <v>118</v>
      </c>
      <c r="I246" s="2"/>
    </row>
    <row r="247" spans="1:9" ht="19.8" customHeight="1" x14ac:dyDescent="0.3">
      <c r="A247" s="155">
        <v>45983</v>
      </c>
      <c r="B247" s="144" t="s">
        <v>115</v>
      </c>
      <c r="C247" s="145" t="s">
        <v>122</v>
      </c>
      <c r="D247" s="144" t="s">
        <v>1</v>
      </c>
      <c r="E247" s="156">
        <v>1.930555555555556</v>
      </c>
      <c r="F247" s="144" t="s">
        <v>117</v>
      </c>
      <c r="G247" s="146">
        <v>9</v>
      </c>
      <c r="H247" s="157" t="s">
        <v>118</v>
      </c>
      <c r="I247" s="2"/>
    </row>
    <row r="248" spans="1:9" ht="19.8" customHeight="1" x14ac:dyDescent="0.3">
      <c r="A248" s="155">
        <v>45983</v>
      </c>
      <c r="B248" s="144" t="s">
        <v>104</v>
      </c>
      <c r="C248" s="145" t="s">
        <v>108</v>
      </c>
      <c r="D248" s="144" t="s">
        <v>1</v>
      </c>
      <c r="E248" s="156">
        <v>1.2777777777777779</v>
      </c>
      <c r="F248" s="144" t="s">
        <v>106</v>
      </c>
      <c r="G248" s="146">
        <v>9</v>
      </c>
      <c r="H248" s="157" t="s">
        <v>113</v>
      </c>
      <c r="I248" s="2"/>
    </row>
    <row r="249" spans="1:9" ht="19.8" customHeight="1" x14ac:dyDescent="0.3">
      <c r="A249" s="155">
        <v>45983</v>
      </c>
      <c r="B249" s="144" t="s">
        <v>104</v>
      </c>
      <c r="C249" s="145" t="s">
        <v>186</v>
      </c>
      <c r="D249" s="144" t="s">
        <v>1</v>
      </c>
      <c r="E249" s="156">
        <v>1.229166666666667</v>
      </c>
      <c r="F249" s="144" t="s">
        <v>106</v>
      </c>
      <c r="G249" s="146">
        <v>9</v>
      </c>
      <c r="H249" s="157" t="s">
        <v>113</v>
      </c>
      <c r="I249" s="2"/>
    </row>
    <row r="250" spans="1:9" ht="19.8" customHeight="1" x14ac:dyDescent="0.3">
      <c r="A250" s="155">
        <v>45983</v>
      </c>
      <c r="B250" s="144" t="s">
        <v>115</v>
      </c>
      <c r="C250" s="145" t="s">
        <v>175</v>
      </c>
      <c r="D250" s="144" t="s">
        <v>1</v>
      </c>
      <c r="E250" s="156">
        <v>1.006944444444444</v>
      </c>
      <c r="F250" s="144" t="s">
        <v>119</v>
      </c>
      <c r="G250" s="146">
        <v>9</v>
      </c>
      <c r="H250" s="157" t="s">
        <v>121</v>
      </c>
      <c r="I250" s="2"/>
    </row>
    <row r="251" spans="1:9" ht="19.8" customHeight="1" x14ac:dyDescent="0.3">
      <c r="A251" s="155">
        <v>45983</v>
      </c>
      <c r="B251" s="144" t="s">
        <v>115</v>
      </c>
      <c r="C251" s="145" t="s">
        <v>173</v>
      </c>
      <c r="D251" s="144" t="s">
        <v>1</v>
      </c>
      <c r="E251" s="156">
        <v>1.243055555555556</v>
      </c>
      <c r="F251" s="144" t="s">
        <v>119</v>
      </c>
      <c r="G251" s="146">
        <v>9</v>
      </c>
      <c r="H251" s="157" t="s">
        <v>121</v>
      </c>
      <c r="I251" s="2"/>
    </row>
    <row r="252" spans="1:9" ht="19.8" customHeight="1" x14ac:dyDescent="0.3">
      <c r="A252" s="155">
        <v>45983</v>
      </c>
      <c r="B252" s="144" t="s">
        <v>115</v>
      </c>
      <c r="C252" s="145" t="s">
        <v>174</v>
      </c>
      <c r="D252" s="144" t="s">
        <v>1</v>
      </c>
      <c r="E252" s="156">
        <v>1.1423611111111109</v>
      </c>
      <c r="F252" s="144" t="s">
        <v>119</v>
      </c>
      <c r="G252" s="146">
        <v>9</v>
      </c>
      <c r="H252" s="157" t="s">
        <v>121</v>
      </c>
      <c r="I252" s="2"/>
    </row>
    <row r="253" spans="1:9" ht="19.8" customHeight="1" x14ac:dyDescent="0.3">
      <c r="A253" s="155">
        <v>45983</v>
      </c>
      <c r="B253" s="144" t="s">
        <v>115</v>
      </c>
      <c r="C253" s="145" t="s">
        <v>122</v>
      </c>
      <c r="D253" s="144" t="s">
        <v>1</v>
      </c>
      <c r="E253" s="156">
        <v>1.930555555555556</v>
      </c>
      <c r="F253" s="144" t="s">
        <v>119</v>
      </c>
      <c r="G253" s="146">
        <v>9</v>
      </c>
      <c r="H253" s="157" t="s">
        <v>121</v>
      </c>
      <c r="I253" s="2"/>
    </row>
    <row r="254" spans="1:9" ht="19.8" customHeight="1" x14ac:dyDescent="0.3">
      <c r="A254" s="155">
        <v>45983</v>
      </c>
      <c r="B254" s="144" t="s">
        <v>104</v>
      </c>
      <c r="C254" s="145" t="s">
        <v>184</v>
      </c>
      <c r="D254" s="144" t="s">
        <v>1</v>
      </c>
      <c r="E254" s="156">
        <v>1.0138888888888891</v>
      </c>
      <c r="F254" s="144" t="s">
        <v>106</v>
      </c>
      <c r="G254" s="146">
        <v>9</v>
      </c>
      <c r="H254" s="157" t="s">
        <v>187</v>
      </c>
      <c r="I254" s="2"/>
    </row>
    <row r="255" spans="1:9" ht="19.8" customHeight="1" x14ac:dyDescent="0.3">
      <c r="A255" s="155">
        <v>45983</v>
      </c>
      <c r="B255" s="144" t="s">
        <v>115</v>
      </c>
      <c r="C255" s="145" t="s">
        <v>116</v>
      </c>
      <c r="D255" s="144" t="s">
        <v>1</v>
      </c>
      <c r="E255" s="156">
        <v>1.3784722222222221</v>
      </c>
      <c r="F255" s="144" t="s">
        <v>117</v>
      </c>
      <c r="G255" s="146">
        <v>9</v>
      </c>
      <c r="H255" s="157" t="s">
        <v>127</v>
      </c>
      <c r="I255" s="2"/>
    </row>
    <row r="256" spans="1:9" ht="19.8" customHeight="1" x14ac:dyDescent="0.3">
      <c r="A256" s="155">
        <v>45983</v>
      </c>
      <c r="B256" s="144" t="s">
        <v>115</v>
      </c>
      <c r="C256" s="145" t="s">
        <v>126</v>
      </c>
      <c r="D256" s="144" t="s">
        <v>1</v>
      </c>
      <c r="E256" s="156">
        <v>1.71875</v>
      </c>
      <c r="F256" s="144" t="s">
        <v>117</v>
      </c>
      <c r="G256" s="146">
        <v>9</v>
      </c>
      <c r="H256" s="157" t="s">
        <v>127</v>
      </c>
      <c r="I256" s="2"/>
    </row>
    <row r="257" spans="1:9" ht="19.8" customHeight="1" x14ac:dyDescent="0.3">
      <c r="A257" s="155">
        <v>45983</v>
      </c>
      <c r="B257" s="144" t="s">
        <v>115</v>
      </c>
      <c r="C257" s="145" t="s">
        <v>129</v>
      </c>
      <c r="D257" s="144" t="s">
        <v>1</v>
      </c>
      <c r="E257" s="156">
        <v>1.6111111111111109</v>
      </c>
      <c r="F257" s="144" t="s">
        <v>117</v>
      </c>
      <c r="G257" s="146">
        <v>9</v>
      </c>
      <c r="H257" s="157" t="s">
        <v>127</v>
      </c>
      <c r="I257" s="2"/>
    </row>
    <row r="258" spans="1:9" ht="19.8" customHeight="1" x14ac:dyDescent="0.3">
      <c r="A258" s="155">
        <v>45983</v>
      </c>
      <c r="B258" s="144" t="s">
        <v>115</v>
      </c>
      <c r="C258" s="145" t="s">
        <v>116</v>
      </c>
      <c r="D258" s="144" t="s">
        <v>1</v>
      </c>
      <c r="E258" s="156">
        <v>1.3784722222222221</v>
      </c>
      <c r="F258" s="144" t="s">
        <v>119</v>
      </c>
      <c r="G258" s="146">
        <v>9</v>
      </c>
      <c r="H258" s="157" t="s">
        <v>128</v>
      </c>
      <c r="I258" s="2"/>
    </row>
    <row r="259" spans="1:9" ht="19.8" customHeight="1" x14ac:dyDescent="0.3">
      <c r="A259" s="155">
        <v>45983</v>
      </c>
      <c r="B259" s="144" t="s">
        <v>115</v>
      </c>
      <c r="C259" s="145" t="s">
        <v>126</v>
      </c>
      <c r="D259" s="144" t="s">
        <v>1</v>
      </c>
      <c r="E259" s="156">
        <v>1.71875</v>
      </c>
      <c r="F259" s="144" t="s">
        <v>119</v>
      </c>
      <c r="G259" s="146">
        <v>9</v>
      </c>
      <c r="H259" s="157" t="s">
        <v>128</v>
      </c>
      <c r="I259" s="2"/>
    </row>
    <row r="260" spans="1:9" ht="19.8" customHeight="1" x14ac:dyDescent="0.3">
      <c r="A260" s="155">
        <v>45983</v>
      </c>
      <c r="B260" s="144" t="s">
        <v>115</v>
      </c>
      <c r="C260" s="145" t="s">
        <v>129</v>
      </c>
      <c r="D260" s="144" t="s">
        <v>1</v>
      </c>
      <c r="E260" s="156">
        <v>1.6111111111111109</v>
      </c>
      <c r="F260" s="144" t="s">
        <v>119</v>
      </c>
      <c r="G260" s="146">
        <v>9</v>
      </c>
      <c r="H260" s="157" t="s">
        <v>128</v>
      </c>
      <c r="I260" s="2"/>
    </row>
    <row r="261" spans="1:9" ht="19.8" customHeight="1" x14ac:dyDescent="0.3">
      <c r="A261" s="155">
        <v>45983</v>
      </c>
      <c r="B261" s="144" t="s">
        <v>115</v>
      </c>
      <c r="C261" s="145" t="s">
        <v>178</v>
      </c>
      <c r="D261" s="144" t="s">
        <v>1</v>
      </c>
      <c r="E261" s="156">
        <v>1.302083333333333</v>
      </c>
      <c r="F261" s="144" t="s">
        <v>119</v>
      </c>
      <c r="G261" s="146">
        <v>4</v>
      </c>
      <c r="H261" s="157" t="s">
        <v>224</v>
      </c>
      <c r="I261" s="2"/>
    </row>
    <row r="262" spans="1:9" ht="19.8" customHeight="1" x14ac:dyDescent="0.3">
      <c r="A262" s="155">
        <v>45983</v>
      </c>
      <c r="B262" s="144" t="s">
        <v>115</v>
      </c>
      <c r="C262" s="145" t="s">
        <v>179</v>
      </c>
      <c r="D262" s="144" t="s">
        <v>1</v>
      </c>
      <c r="E262" s="156">
        <v>1.1284722222222221</v>
      </c>
      <c r="F262" s="144" t="s">
        <v>119</v>
      </c>
      <c r="G262" s="146">
        <v>4</v>
      </c>
      <c r="H262" s="157" t="s">
        <v>224</v>
      </c>
      <c r="I262" s="2"/>
    </row>
    <row r="263" spans="1:9" ht="19.8" customHeight="1" x14ac:dyDescent="0.3">
      <c r="A263" s="155">
        <v>45983</v>
      </c>
      <c r="B263" s="144" t="s">
        <v>115</v>
      </c>
      <c r="C263" s="145" t="s">
        <v>125</v>
      </c>
      <c r="D263" s="144" t="s">
        <v>1</v>
      </c>
      <c r="E263" s="156">
        <v>1.8298611111111109</v>
      </c>
      <c r="F263" s="144" t="s">
        <v>117</v>
      </c>
      <c r="G263" s="146">
        <v>9</v>
      </c>
      <c r="H263" s="157" t="s">
        <v>176</v>
      </c>
      <c r="I263" s="2"/>
    </row>
    <row r="264" spans="1:9" ht="19.8" customHeight="1" x14ac:dyDescent="0.3">
      <c r="A264" s="155">
        <v>45983</v>
      </c>
      <c r="B264" s="144" t="s">
        <v>115</v>
      </c>
      <c r="C264" s="145" t="s">
        <v>130</v>
      </c>
      <c r="D264" s="144" t="s">
        <v>1</v>
      </c>
      <c r="E264" s="156">
        <v>1.8888888888888891</v>
      </c>
      <c r="F264" s="144" t="s">
        <v>119</v>
      </c>
      <c r="G264" s="146">
        <v>4</v>
      </c>
      <c r="H264" s="157" t="s">
        <v>131</v>
      </c>
      <c r="I264" s="2"/>
    </row>
    <row r="265" spans="1:9" ht="19.8" customHeight="1" x14ac:dyDescent="0.3">
      <c r="A265" s="155">
        <v>45983</v>
      </c>
      <c r="B265" s="144" t="s">
        <v>115</v>
      </c>
      <c r="C265" s="145" t="s">
        <v>132</v>
      </c>
      <c r="D265" s="144" t="s">
        <v>1</v>
      </c>
      <c r="E265" s="156">
        <v>1.788194444444444</v>
      </c>
      <c r="F265" s="144" t="s">
        <v>119</v>
      </c>
      <c r="G265" s="146">
        <v>4</v>
      </c>
      <c r="H265" s="157" t="s">
        <v>131</v>
      </c>
      <c r="I265" s="2"/>
    </row>
    <row r="266" spans="1:9" ht="19.8" customHeight="1" x14ac:dyDescent="0.3">
      <c r="A266" s="155">
        <v>45983</v>
      </c>
      <c r="B266" s="144" t="s">
        <v>115</v>
      </c>
      <c r="C266" s="145" t="s">
        <v>125</v>
      </c>
      <c r="D266" s="144" t="s">
        <v>1</v>
      </c>
      <c r="E266" s="156">
        <v>1.8298611111111109</v>
      </c>
      <c r="F266" s="144" t="s">
        <v>119</v>
      </c>
      <c r="G266" s="146">
        <v>9</v>
      </c>
      <c r="H266" s="157" t="s">
        <v>177</v>
      </c>
      <c r="I266" s="2"/>
    </row>
    <row r="267" spans="1:9" ht="19.8" customHeight="1" x14ac:dyDescent="0.3">
      <c r="A267" s="155">
        <v>45983</v>
      </c>
      <c r="B267" s="144" t="s">
        <v>104</v>
      </c>
      <c r="C267" s="145" t="s">
        <v>105</v>
      </c>
      <c r="D267" s="144" t="s">
        <v>1</v>
      </c>
      <c r="E267" s="156">
        <v>1.4861111111111109</v>
      </c>
      <c r="F267" s="144" t="s">
        <v>106</v>
      </c>
      <c r="G267" s="146">
        <v>6</v>
      </c>
      <c r="H267" s="157" t="s">
        <v>189</v>
      </c>
      <c r="I267" s="2"/>
    </row>
    <row r="268" spans="1:9" ht="19.8" customHeight="1" x14ac:dyDescent="0.3">
      <c r="A268" s="155">
        <v>45983</v>
      </c>
      <c r="B268" s="144" t="s">
        <v>104</v>
      </c>
      <c r="C268" s="145" t="s">
        <v>188</v>
      </c>
      <c r="D268" s="144" t="s">
        <v>1</v>
      </c>
      <c r="E268" s="156">
        <v>1.145833333333333</v>
      </c>
      <c r="F268" s="144" t="s">
        <v>106</v>
      </c>
      <c r="G268" s="146">
        <v>2</v>
      </c>
      <c r="H268" s="157" t="s">
        <v>189</v>
      </c>
      <c r="I268" s="2"/>
    </row>
    <row r="269" spans="1:9" ht="19.8" customHeight="1" x14ac:dyDescent="0.3">
      <c r="A269" s="155">
        <v>45983</v>
      </c>
      <c r="B269" s="144" t="s">
        <v>104</v>
      </c>
      <c r="C269" s="145" t="s">
        <v>111</v>
      </c>
      <c r="D269" s="144" t="s">
        <v>1</v>
      </c>
      <c r="E269" s="156">
        <v>1.541666666666667</v>
      </c>
      <c r="F269" s="144" t="s">
        <v>106</v>
      </c>
      <c r="G269" s="146">
        <v>6</v>
      </c>
      <c r="H269" s="157" t="s">
        <v>189</v>
      </c>
      <c r="I269" s="2"/>
    </row>
    <row r="270" spans="1:9" ht="19.8" customHeight="1" x14ac:dyDescent="0.3">
      <c r="A270" s="155">
        <v>45983</v>
      </c>
      <c r="B270" s="144" t="s">
        <v>104</v>
      </c>
      <c r="C270" s="145" t="s">
        <v>114</v>
      </c>
      <c r="D270" s="144" t="s">
        <v>1</v>
      </c>
      <c r="E270" s="156">
        <v>1.770833333333333</v>
      </c>
      <c r="F270" s="144" t="s">
        <v>106</v>
      </c>
      <c r="G270" s="146">
        <v>4</v>
      </c>
      <c r="H270" s="157" t="s">
        <v>189</v>
      </c>
      <c r="I270" s="2"/>
    </row>
    <row r="271" spans="1:9" ht="19.8" customHeight="1" x14ac:dyDescent="0.3">
      <c r="A271" s="153">
        <v>45983</v>
      </c>
      <c r="B271" s="149" t="s">
        <v>81</v>
      </c>
      <c r="C271" s="150" t="s">
        <v>152</v>
      </c>
      <c r="D271" s="149" t="s">
        <v>1</v>
      </c>
      <c r="E271" s="154">
        <v>1.2361111111111109</v>
      </c>
      <c r="F271" s="149" t="s">
        <v>207</v>
      </c>
      <c r="G271" s="149"/>
      <c r="H271" s="164" t="s">
        <v>208</v>
      </c>
      <c r="I271" s="2"/>
    </row>
    <row r="272" spans="1:9" ht="19.8" customHeight="1" x14ac:dyDescent="0.3">
      <c r="A272" s="165">
        <v>45983</v>
      </c>
      <c r="B272" s="166" t="s">
        <v>81</v>
      </c>
      <c r="C272" s="167" t="s">
        <v>91</v>
      </c>
      <c r="D272" s="166" t="s">
        <v>1</v>
      </c>
      <c r="E272" s="168">
        <v>1.333333333333333</v>
      </c>
      <c r="F272" s="166" t="s">
        <v>207</v>
      </c>
      <c r="G272" s="166"/>
      <c r="H272" s="169" t="s">
        <v>208</v>
      </c>
      <c r="I272" s="2"/>
    </row>
    <row r="273" spans="1:9" ht="19.8" customHeight="1" x14ac:dyDescent="0.3">
      <c r="A273" s="155">
        <v>45984</v>
      </c>
      <c r="B273" s="144" t="s">
        <v>41</v>
      </c>
      <c r="C273" s="145" t="s">
        <v>56</v>
      </c>
      <c r="D273" s="144" t="s">
        <v>1</v>
      </c>
      <c r="E273" s="156">
        <v>1.8888888888888891</v>
      </c>
      <c r="F273" s="144" t="s">
        <v>43</v>
      </c>
      <c r="G273" s="146">
        <v>8</v>
      </c>
      <c r="H273" s="147">
        <v>539</v>
      </c>
      <c r="I273" s="2"/>
    </row>
    <row r="274" spans="1:9" ht="19.8" customHeight="1" x14ac:dyDescent="0.3">
      <c r="A274" s="153">
        <v>45984</v>
      </c>
      <c r="B274" s="149" t="s">
        <v>81</v>
      </c>
      <c r="C274" s="150" t="s">
        <v>155</v>
      </c>
      <c r="D274" s="149" t="s">
        <v>1</v>
      </c>
      <c r="E274" s="154">
        <v>1.333333333333333</v>
      </c>
      <c r="F274" s="149" t="s">
        <v>83</v>
      </c>
      <c r="G274" s="151">
        <v>1</v>
      </c>
      <c r="H274" s="152">
        <v>586</v>
      </c>
      <c r="I274" s="2"/>
    </row>
    <row r="275" spans="1:9" ht="19.8" customHeight="1" x14ac:dyDescent="0.3">
      <c r="A275" s="155">
        <v>45984</v>
      </c>
      <c r="B275" s="144" t="s">
        <v>41</v>
      </c>
      <c r="C275" s="145" t="s">
        <v>50</v>
      </c>
      <c r="D275" s="144" t="s">
        <v>1</v>
      </c>
      <c r="E275" s="156">
        <v>1.788194444444444</v>
      </c>
      <c r="F275" s="144" t="s">
        <v>43</v>
      </c>
      <c r="G275" s="146">
        <v>9</v>
      </c>
      <c r="H275" s="147">
        <v>589</v>
      </c>
      <c r="I275" s="2"/>
    </row>
    <row r="276" spans="1:9" ht="19.8" customHeight="1" x14ac:dyDescent="0.3">
      <c r="A276" s="155">
        <v>45984</v>
      </c>
      <c r="B276" s="144" t="s">
        <v>61</v>
      </c>
      <c r="C276" s="145" t="s">
        <v>137</v>
      </c>
      <c r="D276" s="144" t="s">
        <v>1</v>
      </c>
      <c r="E276" s="156">
        <v>1.256944444444444</v>
      </c>
      <c r="F276" s="144" t="s">
        <v>63</v>
      </c>
      <c r="G276" s="146">
        <v>9</v>
      </c>
      <c r="H276" s="147">
        <v>589</v>
      </c>
      <c r="I276" s="2"/>
    </row>
    <row r="277" spans="1:9" ht="19.8" customHeight="1" x14ac:dyDescent="0.3">
      <c r="A277" s="155">
        <v>45984</v>
      </c>
      <c r="B277" s="144" t="s">
        <v>61</v>
      </c>
      <c r="C277" s="145" t="s">
        <v>74</v>
      </c>
      <c r="D277" s="144" t="s">
        <v>1</v>
      </c>
      <c r="E277" s="156">
        <v>1.9027777777777779</v>
      </c>
      <c r="F277" s="144" t="s">
        <v>63</v>
      </c>
      <c r="G277" s="146">
        <v>9</v>
      </c>
      <c r="H277" s="147">
        <v>589</v>
      </c>
      <c r="I277" s="2"/>
    </row>
    <row r="278" spans="1:9" ht="19.8" customHeight="1" x14ac:dyDescent="0.3">
      <c r="A278" s="155">
        <v>45984</v>
      </c>
      <c r="B278" s="144" t="s">
        <v>61</v>
      </c>
      <c r="C278" s="145" t="s">
        <v>78</v>
      </c>
      <c r="D278" s="144" t="s">
        <v>1</v>
      </c>
      <c r="E278" s="156">
        <v>1.645833333333333</v>
      </c>
      <c r="F278" s="144" t="s">
        <v>63</v>
      </c>
      <c r="G278" s="146">
        <v>6</v>
      </c>
      <c r="H278" s="147">
        <v>589</v>
      </c>
      <c r="I278" s="2"/>
    </row>
    <row r="279" spans="1:9" ht="19.8" customHeight="1" x14ac:dyDescent="0.3">
      <c r="A279" s="155">
        <v>45984</v>
      </c>
      <c r="B279" s="144" t="s">
        <v>61</v>
      </c>
      <c r="C279" s="145" t="s">
        <v>69</v>
      </c>
      <c r="D279" s="144" t="s">
        <v>1</v>
      </c>
      <c r="E279" s="156">
        <v>1.854166666666667</v>
      </c>
      <c r="F279" s="144" t="s">
        <v>63</v>
      </c>
      <c r="G279" s="146">
        <v>9</v>
      </c>
      <c r="H279" s="147">
        <v>589</v>
      </c>
      <c r="I279" s="2"/>
    </row>
    <row r="280" spans="1:9" ht="19.8" customHeight="1" x14ac:dyDescent="0.3">
      <c r="A280" s="155">
        <v>45984</v>
      </c>
      <c r="B280" s="144" t="s">
        <v>61</v>
      </c>
      <c r="C280" s="145" t="s">
        <v>72</v>
      </c>
      <c r="D280" s="144" t="s">
        <v>1</v>
      </c>
      <c r="E280" s="156">
        <v>1.395833333333333</v>
      </c>
      <c r="F280" s="144" t="s">
        <v>63</v>
      </c>
      <c r="G280" s="146">
        <v>9</v>
      </c>
      <c r="H280" s="147">
        <v>589</v>
      </c>
      <c r="I280" s="2"/>
    </row>
    <row r="281" spans="1:9" ht="19.8" customHeight="1" x14ac:dyDescent="0.3">
      <c r="A281" s="155">
        <v>45984</v>
      </c>
      <c r="B281" s="144" t="s">
        <v>61</v>
      </c>
      <c r="C281" s="145" t="s">
        <v>79</v>
      </c>
      <c r="D281" s="144" t="s">
        <v>1</v>
      </c>
      <c r="E281" s="156">
        <v>1.302083333333333</v>
      </c>
      <c r="F281" s="144" t="s">
        <v>63</v>
      </c>
      <c r="G281" s="146">
        <v>9</v>
      </c>
      <c r="H281" s="147">
        <v>589</v>
      </c>
      <c r="I281" s="2"/>
    </row>
    <row r="282" spans="1:9" ht="19.8" customHeight="1" x14ac:dyDescent="0.3">
      <c r="A282" s="155">
        <v>45984</v>
      </c>
      <c r="B282" s="144" t="s">
        <v>61</v>
      </c>
      <c r="C282" s="145" t="s">
        <v>73</v>
      </c>
      <c r="D282" s="144" t="s">
        <v>1</v>
      </c>
      <c r="E282" s="156">
        <v>1.7986111111111109</v>
      </c>
      <c r="F282" s="144" t="s">
        <v>63</v>
      </c>
      <c r="G282" s="146">
        <v>9</v>
      </c>
      <c r="H282" s="147">
        <v>589</v>
      </c>
      <c r="I282" s="2"/>
    </row>
    <row r="283" spans="1:9" ht="19.8" customHeight="1" x14ac:dyDescent="0.3">
      <c r="A283" s="155">
        <v>45984</v>
      </c>
      <c r="B283" s="144" t="s">
        <v>26</v>
      </c>
      <c r="C283" s="145" t="s">
        <v>27</v>
      </c>
      <c r="D283" s="144" t="s">
        <v>1</v>
      </c>
      <c r="E283" s="156">
        <v>1.274305555555556</v>
      </c>
      <c r="F283" s="144" t="s">
        <v>28</v>
      </c>
      <c r="G283" s="146">
        <v>1</v>
      </c>
      <c r="H283" s="147">
        <v>595</v>
      </c>
      <c r="I283" s="2"/>
    </row>
    <row r="284" spans="1:9" ht="19.8" customHeight="1" x14ac:dyDescent="0.3">
      <c r="A284" s="155">
        <v>45984</v>
      </c>
      <c r="B284" s="144" t="s">
        <v>100</v>
      </c>
      <c r="C284" s="145" t="s">
        <v>101</v>
      </c>
      <c r="D284" s="144" t="s">
        <v>1</v>
      </c>
      <c r="E284" s="156">
        <v>1.3888888888888891</v>
      </c>
      <c r="F284" s="144" t="s">
        <v>102</v>
      </c>
      <c r="G284" s="146">
        <v>9</v>
      </c>
      <c r="H284" s="147">
        <v>598</v>
      </c>
      <c r="I284" s="2"/>
    </row>
    <row r="285" spans="1:9" ht="19.8" customHeight="1" x14ac:dyDescent="0.3">
      <c r="A285" s="155">
        <v>45984</v>
      </c>
      <c r="B285" s="144" t="s">
        <v>34</v>
      </c>
      <c r="C285" s="145" t="s">
        <v>35</v>
      </c>
      <c r="D285" s="144" t="s">
        <v>1</v>
      </c>
      <c r="E285" s="156">
        <v>1.666666666666667</v>
      </c>
      <c r="F285" s="144" t="s">
        <v>28</v>
      </c>
      <c r="G285" s="146">
        <v>1</v>
      </c>
      <c r="H285" s="147">
        <v>599</v>
      </c>
      <c r="I285" s="2"/>
    </row>
    <row r="286" spans="1:9" ht="19.8" customHeight="1" x14ac:dyDescent="0.3">
      <c r="A286" s="155">
        <v>45984</v>
      </c>
      <c r="B286" s="144" t="s">
        <v>41</v>
      </c>
      <c r="C286" s="145" t="s">
        <v>133</v>
      </c>
      <c r="D286" s="144" t="s">
        <v>1</v>
      </c>
      <c r="E286" s="156">
        <v>1.1284722222222221</v>
      </c>
      <c r="F286" s="144" t="s">
        <v>43</v>
      </c>
      <c r="G286" s="146">
        <v>11</v>
      </c>
      <c r="H286" s="147">
        <v>639</v>
      </c>
      <c r="I286" s="2"/>
    </row>
    <row r="287" spans="1:9" ht="19.8" customHeight="1" x14ac:dyDescent="0.3">
      <c r="A287" s="155">
        <v>45984</v>
      </c>
      <c r="B287" s="144" t="s">
        <v>34</v>
      </c>
      <c r="C287" s="145" t="s">
        <v>38</v>
      </c>
      <c r="D287" s="144" t="s">
        <v>1</v>
      </c>
      <c r="E287" s="156">
        <v>1.381944444444444</v>
      </c>
      <c r="F287" s="144" t="s">
        <v>28</v>
      </c>
      <c r="G287" s="146">
        <v>2</v>
      </c>
      <c r="H287" s="147">
        <v>649</v>
      </c>
      <c r="I287" s="2"/>
    </row>
    <row r="288" spans="1:9" ht="19.8" customHeight="1" x14ac:dyDescent="0.3">
      <c r="A288" s="155">
        <v>45984</v>
      </c>
      <c r="B288" s="144" t="s">
        <v>61</v>
      </c>
      <c r="C288" s="145" t="s">
        <v>62</v>
      </c>
      <c r="D288" s="144" t="s">
        <v>1</v>
      </c>
      <c r="E288" s="156">
        <v>1.5173611111111109</v>
      </c>
      <c r="F288" s="144" t="s">
        <v>63</v>
      </c>
      <c r="G288" s="146">
        <v>9</v>
      </c>
      <c r="H288" s="147">
        <v>669</v>
      </c>
      <c r="I288" s="2"/>
    </row>
    <row r="289" spans="1:9" ht="19.8" customHeight="1" x14ac:dyDescent="0.3">
      <c r="A289" s="155">
        <v>45984</v>
      </c>
      <c r="B289" s="144" t="s">
        <v>41</v>
      </c>
      <c r="C289" s="145" t="s">
        <v>42</v>
      </c>
      <c r="D289" s="144" t="s">
        <v>1</v>
      </c>
      <c r="E289" s="156">
        <v>1.302083333333333</v>
      </c>
      <c r="F289" s="144" t="s">
        <v>43</v>
      </c>
      <c r="G289" s="146">
        <v>5</v>
      </c>
      <c r="H289" s="147">
        <v>689</v>
      </c>
      <c r="I289" s="2"/>
    </row>
    <row r="290" spans="1:9" ht="19.8" customHeight="1" x14ac:dyDescent="0.3">
      <c r="A290" s="155">
        <v>45984</v>
      </c>
      <c r="B290" s="144" t="s">
        <v>41</v>
      </c>
      <c r="C290" s="145" t="s">
        <v>56</v>
      </c>
      <c r="D290" s="144" t="s">
        <v>1</v>
      </c>
      <c r="E290" s="156">
        <v>1.8888888888888891</v>
      </c>
      <c r="F290" s="144" t="s">
        <v>45</v>
      </c>
      <c r="G290" s="146">
        <v>8</v>
      </c>
      <c r="H290" s="147">
        <v>689</v>
      </c>
      <c r="I290" s="2"/>
    </row>
    <row r="291" spans="1:9" ht="19.8" customHeight="1" x14ac:dyDescent="0.3">
      <c r="A291" s="155">
        <v>45984</v>
      </c>
      <c r="B291" s="144" t="s">
        <v>61</v>
      </c>
      <c r="C291" s="145" t="s">
        <v>137</v>
      </c>
      <c r="D291" s="144" t="s">
        <v>1</v>
      </c>
      <c r="E291" s="156">
        <v>1.256944444444444</v>
      </c>
      <c r="F291" s="144" t="s">
        <v>65</v>
      </c>
      <c r="G291" s="146">
        <v>9</v>
      </c>
      <c r="H291" s="147">
        <v>689</v>
      </c>
      <c r="I291" s="2"/>
    </row>
    <row r="292" spans="1:9" ht="19.8" customHeight="1" x14ac:dyDescent="0.3">
      <c r="A292" s="155">
        <v>45984</v>
      </c>
      <c r="B292" s="144" t="s">
        <v>61</v>
      </c>
      <c r="C292" s="145" t="s">
        <v>74</v>
      </c>
      <c r="D292" s="144" t="s">
        <v>1</v>
      </c>
      <c r="E292" s="156">
        <v>1.9027777777777779</v>
      </c>
      <c r="F292" s="144" t="s">
        <v>65</v>
      </c>
      <c r="G292" s="146">
        <v>9</v>
      </c>
      <c r="H292" s="147">
        <v>689</v>
      </c>
      <c r="I292" s="2"/>
    </row>
    <row r="293" spans="1:9" ht="19.8" customHeight="1" x14ac:dyDescent="0.3">
      <c r="A293" s="155">
        <v>45984</v>
      </c>
      <c r="B293" s="144" t="s">
        <v>61</v>
      </c>
      <c r="C293" s="145" t="s">
        <v>78</v>
      </c>
      <c r="D293" s="144" t="s">
        <v>1</v>
      </c>
      <c r="E293" s="156">
        <v>1.645833333333333</v>
      </c>
      <c r="F293" s="144" t="s">
        <v>65</v>
      </c>
      <c r="G293" s="146">
        <v>6</v>
      </c>
      <c r="H293" s="147">
        <v>689</v>
      </c>
      <c r="I293" s="2"/>
    </row>
    <row r="294" spans="1:9" ht="19.8" customHeight="1" x14ac:dyDescent="0.3">
      <c r="A294" s="155">
        <v>45984</v>
      </c>
      <c r="B294" s="144" t="s">
        <v>61</v>
      </c>
      <c r="C294" s="145" t="s">
        <v>69</v>
      </c>
      <c r="D294" s="144" t="s">
        <v>1</v>
      </c>
      <c r="E294" s="156">
        <v>1.854166666666667</v>
      </c>
      <c r="F294" s="144" t="s">
        <v>65</v>
      </c>
      <c r="G294" s="146">
        <v>9</v>
      </c>
      <c r="H294" s="147">
        <v>689</v>
      </c>
      <c r="I294" s="2"/>
    </row>
    <row r="295" spans="1:9" ht="19.8" customHeight="1" x14ac:dyDescent="0.3">
      <c r="A295" s="155">
        <v>45984</v>
      </c>
      <c r="B295" s="144" t="s">
        <v>61</v>
      </c>
      <c r="C295" s="145" t="s">
        <v>72</v>
      </c>
      <c r="D295" s="144" t="s">
        <v>1</v>
      </c>
      <c r="E295" s="156">
        <v>1.395833333333333</v>
      </c>
      <c r="F295" s="144" t="s">
        <v>65</v>
      </c>
      <c r="G295" s="146">
        <v>9</v>
      </c>
      <c r="H295" s="147">
        <v>689</v>
      </c>
      <c r="I295" s="2"/>
    </row>
    <row r="296" spans="1:9" ht="19.8" customHeight="1" x14ac:dyDescent="0.3">
      <c r="A296" s="155">
        <v>45984</v>
      </c>
      <c r="B296" s="144" t="s">
        <v>61</v>
      </c>
      <c r="C296" s="145" t="s">
        <v>79</v>
      </c>
      <c r="D296" s="144" t="s">
        <v>1</v>
      </c>
      <c r="E296" s="156">
        <v>1.302083333333333</v>
      </c>
      <c r="F296" s="144" t="s">
        <v>65</v>
      </c>
      <c r="G296" s="146">
        <v>9</v>
      </c>
      <c r="H296" s="147">
        <v>689</v>
      </c>
      <c r="I296" s="2"/>
    </row>
    <row r="297" spans="1:9" ht="19.8" customHeight="1" x14ac:dyDescent="0.3">
      <c r="A297" s="155">
        <v>45984</v>
      </c>
      <c r="B297" s="144" t="s">
        <v>61</v>
      </c>
      <c r="C297" s="145" t="s">
        <v>73</v>
      </c>
      <c r="D297" s="144" t="s">
        <v>1</v>
      </c>
      <c r="E297" s="156">
        <v>1.7986111111111109</v>
      </c>
      <c r="F297" s="144" t="s">
        <v>65</v>
      </c>
      <c r="G297" s="146">
        <v>9</v>
      </c>
      <c r="H297" s="147">
        <v>689</v>
      </c>
      <c r="I297" s="2"/>
    </row>
    <row r="298" spans="1:9" ht="19.8" customHeight="1" x14ac:dyDescent="0.3">
      <c r="A298" s="155">
        <v>45984</v>
      </c>
      <c r="B298" s="144" t="s">
        <v>26</v>
      </c>
      <c r="C298" s="145" t="s">
        <v>241</v>
      </c>
      <c r="D298" s="144" t="s">
        <v>1</v>
      </c>
      <c r="E298" s="156">
        <v>1.3472222222222221</v>
      </c>
      <c r="F298" s="144" t="s">
        <v>28</v>
      </c>
      <c r="G298" s="146">
        <v>5</v>
      </c>
      <c r="H298" s="147">
        <v>695</v>
      </c>
      <c r="I298" s="2"/>
    </row>
    <row r="299" spans="1:9" ht="19.8" customHeight="1" x14ac:dyDescent="0.3">
      <c r="A299" s="153">
        <v>45984</v>
      </c>
      <c r="B299" s="149" t="s">
        <v>81</v>
      </c>
      <c r="C299" s="150" t="s">
        <v>146</v>
      </c>
      <c r="D299" s="149" t="s">
        <v>1</v>
      </c>
      <c r="E299" s="154">
        <v>1.083333333333333</v>
      </c>
      <c r="F299" s="149" t="s">
        <v>83</v>
      </c>
      <c r="G299" s="151">
        <v>6</v>
      </c>
      <c r="H299" s="152">
        <v>706</v>
      </c>
      <c r="I299" s="2"/>
    </row>
    <row r="300" spans="1:9" ht="19.8" customHeight="1" x14ac:dyDescent="0.3">
      <c r="A300" s="153">
        <v>45984</v>
      </c>
      <c r="B300" s="149" t="s">
        <v>81</v>
      </c>
      <c r="C300" s="150" t="s">
        <v>89</v>
      </c>
      <c r="D300" s="149" t="s">
        <v>1</v>
      </c>
      <c r="E300" s="154">
        <v>1.319444444444444</v>
      </c>
      <c r="F300" s="149" t="s">
        <v>83</v>
      </c>
      <c r="G300" s="151">
        <v>5</v>
      </c>
      <c r="H300" s="152">
        <v>706</v>
      </c>
      <c r="I300" s="2"/>
    </row>
    <row r="301" spans="1:9" ht="19.8" customHeight="1" x14ac:dyDescent="0.3">
      <c r="A301" s="155">
        <v>45984</v>
      </c>
      <c r="B301" s="144" t="s">
        <v>41</v>
      </c>
      <c r="C301" s="145" t="s">
        <v>50</v>
      </c>
      <c r="D301" s="144" t="s">
        <v>1</v>
      </c>
      <c r="E301" s="156">
        <v>1.788194444444444</v>
      </c>
      <c r="F301" s="144" t="s">
        <v>45</v>
      </c>
      <c r="G301" s="146">
        <v>9</v>
      </c>
      <c r="H301" s="147">
        <v>739</v>
      </c>
      <c r="I301" s="2"/>
    </row>
    <row r="302" spans="1:9" ht="19.8" customHeight="1" x14ac:dyDescent="0.3">
      <c r="A302" s="155">
        <v>45984</v>
      </c>
      <c r="B302" s="144" t="s">
        <v>61</v>
      </c>
      <c r="C302" s="145" t="s">
        <v>62</v>
      </c>
      <c r="D302" s="144" t="s">
        <v>1</v>
      </c>
      <c r="E302" s="156">
        <v>1.5173611111111109</v>
      </c>
      <c r="F302" s="144" t="s">
        <v>65</v>
      </c>
      <c r="G302" s="146">
        <v>9</v>
      </c>
      <c r="H302" s="147">
        <v>769</v>
      </c>
      <c r="I302" s="2"/>
    </row>
    <row r="303" spans="1:9" ht="19.8" customHeight="1" x14ac:dyDescent="0.3">
      <c r="A303" s="155">
        <v>45984</v>
      </c>
      <c r="B303" s="144" t="s">
        <v>61</v>
      </c>
      <c r="C303" s="145" t="s">
        <v>137</v>
      </c>
      <c r="D303" s="144" t="s">
        <v>1</v>
      </c>
      <c r="E303" s="156">
        <v>1.256944444444444</v>
      </c>
      <c r="F303" s="144" t="s">
        <v>67</v>
      </c>
      <c r="G303" s="146">
        <v>9</v>
      </c>
      <c r="H303" s="147">
        <v>779</v>
      </c>
      <c r="I303" s="2"/>
    </row>
    <row r="304" spans="1:9" ht="19.8" customHeight="1" x14ac:dyDescent="0.3">
      <c r="A304" s="155">
        <v>45984</v>
      </c>
      <c r="B304" s="144" t="s">
        <v>61</v>
      </c>
      <c r="C304" s="145" t="s">
        <v>74</v>
      </c>
      <c r="D304" s="144" t="s">
        <v>1</v>
      </c>
      <c r="E304" s="156">
        <v>1.9027777777777779</v>
      </c>
      <c r="F304" s="144" t="s">
        <v>67</v>
      </c>
      <c r="G304" s="146">
        <v>9</v>
      </c>
      <c r="H304" s="147">
        <v>779</v>
      </c>
      <c r="I304" s="2"/>
    </row>
    <row r="305" spans="1:9" ht="19.8" customHeight="1" x14ac:dyDescent="0.3">
      <c r="A305" s="155">
        <v>45984</v>
      </c>
      <c r="B305" s="144" t="s">
        <v>61</v>
      </c>
      <c r="C305" s="145" t="s">
        <v>78</v>
      </c>
      <c r="D305" s="144" t="s">
        <v>1</v>
      </c>
      <c r="E305" s="156">
        <v>1.645833333333333</v>
      </c>
      <c r="F305" s="144" t="s">
        <v>67</v>
      </c>
      <c r="G305" s="146">
        <v>6</v>
      </c>
      <c r="H305" s="147">
        <v>779</v>
      </c>
      <c r="I305" s="2"/>
    </row>
    <row r="306" spans="1:9" ht="19.8" customHeight="1" x14ac:dyDescent="0.3">
      <c r="A306" s="155">
        <v>45984</v>
      </c>
      <c r="B306" s="144" t="s">
        <v>61</v>
      </c>
      <c r="C306" s="145" t="s">
        <v>69</v>
      </c>
      <c r="D306" s="144" t="s">
        <v>1</v>
      </c>
      <c r="E306" s="156">
        <v>1.854166666666667</v>
      </c>
      <c r="F306" s="144" t="s">
        <v>67</v>
      </c>
      <c r="G306" s="146">
        <v>9</v>
      </c>
      <c r="H306" s="147">
        <v>779</v>
      </c>
      <c r="I306" s="2"/>
    </row>
    <row r="307" spans="1:9" ht="19.8" customHeight="1" x14ac:dyDescent="0.3">
      <c r="A307" s="155">
        <v>45984</v>
      </c>
      <c r="B307" s="144" t="s">
        <v>61</v>
      </c>
      <c r="C307" s="145" t="s">
        <v>72</v>
      </c>
      <c r="D307" s="144" t="s">
        <v>1</v>
      </c>
      <c r="E307" s="156">
        <v>1.395833333333333</v>
      </c>
      <c r="F307" s="144" t="s">
        <v>67</v>
      </c>
      <c r="G307" s="146">
        <v>9</v>
      </c>
      <c r="H307" s="147">
        <v>779</v>
      </c>
      <c r="I307" s="2"/>
    </row>
    <row r="308" spans="1:9" ht="19.8" customHeight="1" x14ac:dyDescent="0.3">
      <c r="A308" s="155">
        <v>45984</v>
      </c>
      <c r="B308" s="144" t="s">
        <v>61</v>
      </c>
      <c r="C308" s="145" t="s">
        <v>79</v>
      </c>
      <c r="D308" s="144" t="s">
        <v>1</v>
      </c>
      <c r="E308" s="156">
        <v>1.302083333333333</v>
      </c>
      <c r="F308" s="144" t="s">
        <v>67</v>
      </c>
      <c r="G308" s="146">
        <v>9</v>
      </c>
      <c r="H308" s="147">
        <v>779</v>
      </c>
      <c r="I308" s="2"/>
    </row>
    <row r="309" spans="1:9" ht="19.8" customHeight="1" x14ac:dyDescent="0.3">
      <c r="A309" s="155">
        <v>45984</v>
      </c>
      <c r="B309" s="144" t="s">
        <v>61</v>
      </c>
      <c r="C309" s="145" t="s">
        <v>73</v>
      </c>
      <c r="D309" s="144" t="s">
        <v>1</v>
      </c>
      <c r="E309" s="156">
        <v>1.7986111111111109</v>
      </c>
      <c r="F309" s="144" t="s">
        <v>67</v>
      </c>
      <c r="G309" s="146">
        <v>9</v>
      </c>
      <c r="H309" s="147">
        <v>779</v>
      </c>
      <c r="I309" s="2"/>
    </row>
    <row r="310" spans="1:9" ht="19.8" customHeight="1" x14ac:dyDescent="0.3">
      <c r="A310" s="153">
        <v>45984</v>
      </c>
      <c r="B310" s="149" t="s">
        <v>81</v>
      </c>
      <c r="C310" s="150" t="s">
        <v>82</v>
      </c>
      <c r="D310" s="149" t="s">
        <v>1</v>
      </c>
      <c r="E310" s="154">
        <v>1.510416666666667</v>
      </c>
      <c r="F310" s="149" t="s">
        <v>83</v>
      </c>
      <c r="G310" s="151">
        <v>8</v>
      </c>
      <c r="H310" s="152">
        <v>781</v>
      </c>
      <c r="I310" s="2"/>
    </row>
    <row r="311" spans="1:9" ht="19.8" customHeight="1" x14ac:dyDescent="0.3">
      <c r="A311" s="153">
        <v>45984</v>
      </c>
      <c r="B311" s="149" t="s">
        <v>81</v>
      </c>
      <c r="C311" s="150" t="s">
        <v>94</v>
      </c>
      <c r="D311" s="149" t="s">
        <v>1</v>
      </c>
      <c r="E311" s="154">
        <v>1.631944444444444</v>
      </c>
      <c r="F311" s="149" t="s">
        <v>83</v>
      </c>
      <c r="G311" s="151">
        <v>1</v>
      </c>
      <c r="H311" s="152">
        <v>781</v>
      </c>
      <c r="I311" s="2"/>
    </row>
    <row r="312" spans="1:9" ht="19.8" customHeight="1" x14ac:dyDescent="0.3">
      <c r="A312" s="155">
        <v>45984</v>
      </c>
      <c r="B312" s="144" t="s">
        <v>41</v>
      </c>
      <c r="C312" s="145" t="s">
        <v>133</v>
      </c>
      <c r="D312" s="144" t="s">
        <v>1</v>
      </c>
      <c r="E312" s="156">
        <v>1.1284722222222221</v>
      </c>
      <c r="F312" s="144" t="s">
        <v>45</v>
      </c>
      <c r="G312" s="146">
        <v>11</v>
      </c>
      <c r="H312" s="147">
        <v>789</v>
      </c>
      <c r="I312" s="2"/>
    </row>
    <row r="313" spans="1:9" ht="19.8" customHeight="1" x14ac:dyDescent="0.3">
      <c r="A313" s="155">
        <v>45984</v>
      </c>
      <c r="B313" s="144" t="s">
        <v>100</v>
      </c>
      <c r="C313" s="145" t="s">
        <v>101</v>
      </c>
      <c r="D313" s="144" t="s">
        <v>1</v>
      </c>
      <c r="E313" s="156">
        <v>1.3888888888888891</v>
      </c>
      <c r="F313" s="144" t="s">
        <v>48</v>
      </c>
      <c r="G313" s="146">
        <v>9</v>
      </c>
      <c r="H313" s="147">
        <v>824</v>
      </c>
      <c r="I313" s="2"/>
    </row>
    <row r="314" spans="1:9" ht="19.8" customHeight="1" x14ac:dyDescent="0.3">
      <c r="A314" s="155">
        <v>45984</v>
      </c>
      <c r="B314" s="144" t="s">
        <v>41</v>
      </c>
      <c r="C314" s="145" t="s">
        <v>42</v>
      </c>
      <c r="D314" s="144" t="s">
        <v>1</v>
      </c>
      <c r="E314" s="156">
        <v>1.302083333333333</v>
      </c>
      <c r="F314" s="144" t="s">
        <v>45</v>
      </c>
      <c r="G314" s="146">
        <v>5</v>
      </c>
      <c r="H314" s="147">
        <v>839</v>
      </c>
      <c r="I314" s="2"/>
    </row>
    <row r="315" spans="1:9" ht="19.8" customHeight="1" x14ac:dyDescent="0.3">
      <c r="A315" s="155">
        <v>45984</v>
      </c>
      <c r="B315" s="144" t="s">
        <v>61</v>
      </c>
      <c r="C315" s="145" t="s">
        <v>62</v>
      </c>
      <c r="D315" s="144" t="s">
        <v>1</v>
      </c>
      <c r="E315" s="156">
        <v>1.5173611111111109</v>
      </c>
      <c r="F315" s="144" t="s">
        <v>67</v>
      </c>
      <c r="G315" s="146">
        <v>9</v>
      </c>
      <c r="H315" s="147">
        <v>859</v>
      </c>
      <c r="I315" s="2"/>
    </row>
    <row r="316" spans="1:9" ht="19.8" customHeight="1" x14ac:dyDescent="0.3">
      <c r="A316" s="155">
        <v>45984</v>
      </c>
      <c r="B316" s="144" t="s">
        <v>41</v>
      </c>
      <c r="C316" s="145" t="s">
        <v>42</v>
      </c>
      <c r="D316" s="144" t="s">
        <v>1</v>
      </c>
      <c r="E316" s="156">
        <v>1.302083333333333</v>
      </c>
      <c r="F316" s="144" t="s">
        <v>48</v>
      </c>
      <c r="G316" s="146">
        <v>5</v>
      </c>
      <c r="H316" s="157" t="s">
        <v>49</v>
      </c>
      <c r="I316" s="2"/>
    </row>
    <row r="317" spans="1:9" ht="19.8" customHeight="1" x14ac:dyDescent="0.3">
      <c r="A317" s="155">
        <v>45984</v>
      </c>
      <c r="B317" s="144" t="s">
        <v>41</v>
      </c>
      <c r="C317" s="145" t="s">
        <v>133</v>
      </c>
      <c r="D317" s="144" t="s">
        <v>1</v>
      </c>
      <c r="E317" s="156">
        <v>1.1284722222222221</v>
      </c>
      <c r="F317" s="144" t="s">
        <v>48</v>
      </c>
      <c r="G317" s="146">
        <v>11</v>
      </c>
      <c r="H317" s="157" t="s">
        <v>49</v>
      </c>
      <c r="I317" s="2"/>
    </row>
    <row r="318" spans="1:9" ht="19.8" customHeight="1" x14ac:dyDescent="0.3">
      <c r="A318" s="155">
        <v>45984</v>
      </c>
      <c r="B318" s="144" t="s">
        <v>41</v>
      </c>
      <c r="C318" s="145" t="s">
        <v>50</v>
      </c>
      <c r="D318" s="144" t="s">
        <v>1</v>
      </c>
      <c r="E318" s="156">
        <v>1.788194444444444</v>
      </c>
      <c r="F318" s="144" t="s">
        <v>48</v>
      </c>
      <c r="G318" s="146">
        <v>9</v>
      </c>
      <c r="H318" s="157" t="s">
        <v>49</v>
      </c>
      <c r="I318" s="2"/>
    </row>
    <row r="319" spans="1:9" ht="19.8" customHeight="1" x14ac:dyDescent="0.3">
      <c r="A319" s="155">
        <v>45984</v>
      </c>
      <c r="B319" s="144" t="s">
        <v>41</v>
      </c>
      <c r="C319" s="145" t="s">
        <v>56</v>
      </c>
      <c r="D319" s="144" t="s">
        <v>1</v>
      </c>
      <c r="E319" s="156">
        <v>1.8888888888888891</v>
      </c>
      <c r="F319" s="144" t="s">
        <v>48</v>
      </c>
      <c r="G319" s="146">
        <v>8</v>
      </c>
      <c r="H319" s="157" t="s">
        <v>49</v>
      </c>
      <c r="I319" s="2"/>
    </row>
    <row r="320" spans="1:9" ht="19.8" customHeight="1" x14ac:dyDescent="0.3">
      <c r="A320" s="155">
        <v>45984</v>
      </c>
      <c r="B320" s="144" t="s">
        <v>115</v>
      </c>
      <c r="C320" s="145" t="s">
        <v>175</v>
      </c>
      <c r="D320" s="144" t="s">
        <v>1</v>
      </c>
      <c r="E320" s="156">
        <v>1.006944444444444</v>
      </c>
      <c r="F320" s="144" t="s">
        <v>117</v>
      </c>
      <c r="G320" s="146">
        <v>9</v>
      </c>
      <c r="H320" s="157" t="s">
        <v>244</v>
      </c>
      <c r="I320" s="2"/>
    </row>
    <row r="321" spans="1:9" ht="19.8" customHeight="1" x14ac:dyDescent="0.3">
      <c r="A321" s="155">
        <v>45984</v>
      </c>
      <c r="B321" s="144" t="s">
        <v>115</v>
      </c>
      <c r="C321" s="145" t="s">
        <v>173</v>
      </c>
      <c r="D321" s="144" t="s">
        <v>1</v>
      </c>
      <c r="E321" s="156">
        <v>1.239583333333333</v>
      </c>
      <c r="F321" s="144" t="s">
        <v>117</v>
      </c>
      <c r="G321" s="146">
        <v>9</v>
      </c>
      <c r="H321" s="157" t="s">
        <v>244</v>
      </c>
      <c r="I321" s="2"/>
    </row>
    <row r="322" spans="1:9" ht="19.8" customHeight="1" x14ac:dyDescent="0.3">
      <c r="A322" s="155">
        <v>45984</v>
      </c>
      <c r="B322" s="144" t="s">
        <v>115</v>
      </c>
      <c r="C322" s="145" t="s">
        <v>174</v>
      </c>
      <c r="D322" s="144" t="s">
        <v>1</v>
      </c>
      <c r="E322" s="156">
        <v>1.1423611111111109</v>
      </c>
      <c r="F322" s="144" t="s">
        <v>117</v>
      </c>
      <c r="G322" s="146">
        <v>9</v>
      </c>
      <c r="H322" s="157" t="s">
        <v>244</v>
      </c>
      <c r="I322" s="2"/>
    </row>
    <row r="323" spans="1:9" ht="19.8" customHeight="1" x14ac:dyDescent="0.3">
      <c r="A323" s="155">
        <v>45984</v>
      </c>
      <c r="B323" s="144" t="s">
        <v>115</v>
      </c>
      <c r="C323" s="145" t="s">
        <v>122</v>
      </c>
      <c r="D323" s="144" t="s">
        <v>1</v>
      </c>
      <c r="E323" s="156">
        <v>1.930555555555556</v>
      </c>
      <c r="F323" s="144" t="s">
        <v>117</v>
      </c>
      <c r="G323" s="146">
        <v>9</v>
      </c>
      <c r="H323" s="157" t="s">
        <v>244</v>
      </c>
      <c r="I323" s="2"/>
    </row>
    <row r="324" spans="1:9" ht="19.8" customHeight="1" x14ac:dyDescent="0.3">
      <c r="A324" s="155">
        <v>45984</v>
      </c>
      <c r="B324" s="144" t="s">
        <v>115</v>
      </c>
      <c r="C324" s="145" t="s">
        <v>175</v>
      </c>
      <c r="D324" s="144" t="s">
        <v>1</v>
      </c>
      <c r="E324" s="156">
        <v>1.006944444444444</v>
      </c>
      <c r="F324" s="144" t="s">
        <v>119</v>
      </c>
      <c r="G324" s="146">
        <v>9</v>
      </c>
      <c r="H324" s="157" t="s">
        <v>245</v>
      </c>
      <c r="I324" s="2"/>
    </row>
    <row r="325" spans="1:9" ht="19.8" customHeight="1" x14ac:dyDescent="0.3">
      <c r="A325" s="155">
        <v>45984</v>
      </c>
      <c r="B325" s="144" t="s">
        <v>115</v>
      </c>
      <c r="C325" s="145" t="s">
        <v>173</v>
      </c>
      <c r="D325" s="144" t="s">
        <v>1</v>
      </c>
      <c r="E325" s="156">
        <v>1.239583333333333</v>
      </c>
      <c r="F325" s="144" t="s">
        <v>119</v>
      </c>
      <c r="G325" s="146">
        <v>9</v>
      </c>
      <c r="H325" s="157" t="s">
        <v>245</v>
      </c>
      <c r="I325" s="2"/>
    </row>
    <row r="326" spans="1:9" ht="19.8" customHeight="1" x14ac:dyDescent="0.3">
      <c r="A326" s="155">
        <v>45984</v>
      </c>
      <c r="B326" s="144" t="s">
        <v>115</v>
      </c>
      <c r="C326" s="145" t="s">
        <v>174</v>
      </c>
      <c r="D326" s="144" t="s">
        <v>1</v>
      </c>
      <c r="E326" s="156">
        <v>1.1423611111111109</v>
      </c>
      <c r="F326" s="144" t="s">
        <v>119</v>
      </c>
      <c r="G326" s="146">
        <v>9</v>
      </c>
      <c r="H326" s="157" t="s">
        <v>245</v>
      </c>
      <c r="I326" s="2"/>
    </row>
    <row r="327" spans="1:9" ht="19.8" customHeight="1" x14ac:dyDescent="0.3">
      <c r="A327" s="155">
        <v>45984</v>
      </c>
      <c r="B327" s="144" t="s">
        <v>115</v>
      </c>
      <c r="C327" s="145" t="s">
        <v>122</v>
      </c>
      <c r="D327" s="144" t="s">
        <v>1</v>
      </c>
      <c r="E327" s="156">
        <v>1.930555555555556</v>
      </c>
      <c r="F327" s="144" t="s">
        <v>119</v>
      </c>
      <c r="G327" s="146">
        <v>9</v>
      </c>
      <c r="H327" s="157" t="s">
        <v>245</v>
      </c>
      <c r="I327" s="2"/>
    </row>
    <row r="328" spans="1:9" ht="19.8" customHeight="1" x14ac:dyDescent="0.3">
      <c r="A328" s="155">
        <v>45984</v>
      </c>
      <c r="B328" s="144" t="s">
        <v>104</v>
      </c>
      <c r="C328" s="145" t="s">
        <v>105</v>
      </c>
      <c r="D328" s="144" t="s">
        <v>1</v>
      </c>
      <c r="E328" s="156">
        <v>1.4861111111111109</v>
      </c>
      <c r="F328" s="144" t="s">
        <v>106</v>
      </c>
      <c r="G328" s="146">
        <v>9</v>
      </c>
      <c r="H328" s="157" t="s">
        <v>185</v>
      </c>
      <c r="I328" s="2"/>
    </row>
    <row r="329" spans="1:9" ht="19.8" customHeight="1" x14ac:dyDescent="0.3">
      <c r="A329" s="155">
        <v>45984</v>
      </c>
      <c r="B329" s="144" t="s">
        <v>104</v>
      </c>
      <c r="C329" s="145" t="s">
        <v>108</v>
      </c>
      <c r="D329" s="144" t="s">
        <v>1</v>
      </c>
      <c r="E329" s="156">
        <v>1.2638888888888891</v>
      </c>
      <c r="F329" s="144" t="s">
        <v>106</v>
      </c>
      <c r="G329" s="146">
        <v>9</v>
      </c>
      <c r="H329" s="157" t="s">
        <v>185</v>
      </c>
      <c r="I329" s="2"/>
    </row>
    <row r="330" spans="1:9" ht="19.8" customHeight="1" x14ac:dyDescent="0.3">
      <c r="A330" s="155">
        <v>45984</v>
      </c>
      <c r="B330" s="144" t="s">
        <v>104</v>
      </c>
      <c r="C330" s="145" t="s">
        <v>112</v>
      </c>
      <c r="D330" s="144" t="s">
        <v>1</v>
      </c>
      <c r="E330" s="156">
        <v>1.975694444444444</v>
      </c>
      <c r="F330" s="144" t="s">
        <v>106</v>
      </c>
      <c r="G330" s="146">
        <v>9</v>
      </c>
      <c r="H330" s="157" t="s">
        <v>185</v>
      </c>
      <c r="I330" s="2"/>
    </row>
    <row r="331" spans="1:9" ht="19.8" customHeight="1" x14ac:dyDescent="0.3">
      <c r="A331" s="155">
        <v>45984</v>
      </c>
      <c r="B331" s="144" t="s">
        <v>104</v>
      </c>
      <c r="C331" s="145" t="s">
        <v>186</v>
      </c>
      <c r="D331" s="144" t="s">
        <v>1</v>
      </c>
      <c r="E331" s="156">
        <v>1.2222222222222221</v>
      </c>
      <c r="F331" s="144" t="s">
        <v>106</v>
      </c>
      <c r="G331" s="146">
        <v>9</v>
      </c>
      <c r="H331" s="157" t="s">
        <v>185</v>
      </c>
      <c r="I331" s="2"/>
    </row>
    <row r="332" spans="1:9" ht="19.8" customHeight="1" x14ac:dyDescent="0.3">
      <c r="A332" s="155">
        <v>45984</v>
      </c>
      <c r="B332" s="144" t="s">
        <v>115</v>
      </c>
      <c r="C332" s="145" t="s">
        <v>130</v>
      </c>
      <c r="D332" s="144" t="s">
        <v>1</v>
      </c>
      <c r="E332" s="156">
        <v>1.8888888888888891</v>
      </c>
      <c r="F332" s="144" t="s">
        <v>119</v>
      </c>
      <c r="G332" s="146">
        <v>4</v>
      </c>
      <c r="H332" s="157" t="s">
        <v>246</v>
      </c>
      <c r="I332" s="2"/>
    </row>
    <row r="333" spans="1:9" ht="19.8" customHeight="1" x14ac:dyDescent="0.3">
      <c r="A333" s="155">
        <v>45984</v>
      </c>
      <c r="B333" s="144" t="s">
        <v>115</v>
      </c>
      <c r="C333" s="145" t="s">
        <v>179</v>
      </c>
      <c r="D333" s="144" t="s">
        <v>1</v>
      </c>
      <c r="E333" s="156">
        <v>1.1284722222222221</v>
      </c>
      <c r="F333" s="144" t="s">
        <v>119</v>
      </c>
      <c r="G333" s="146">
        <v>4</v>
      </c>
      <c r="H333" s="157" t="s">
        <v>224</v>
      </c>
      <c r="I333" s="2"/>
    </row>
    <row r="334" spans="1:9" ht="19.8" customHeight="1" x14ac:dyDescent="0.3">
      <c r="A334" s="155">
        <v>45984</v>
      </c>
      <c r="B334" s="144" t="s">
        <v>115</v>
      </c>
      <c r="C334" s="145" t="s">
        <v>132</v>
      </c>
      <c r="D334" s="144" t="s">
        <v>1</v>
      </c>
      <c r="E334" s="156">
        <v>1.788194444444444</v>
      </c>
      <c r="F334" s="144" t="s">
        <v>119</v>
      </c>
      <c r="G334" s="146">
        <v>4</v>
      </c>
      <c r="H334" s="157" t="s">
        <v>224</v>
      </c>
      <c r="I334" s="2"/>
    </row>
    <row r="335" spans="1:9" ht="19.8" customHeight="1" x14ac:dyDescent="0.3">
      <c r="A335" s="155">
        <v>45984</v>
      </c>
      <c r="B335" s="144" t="s">
        <v>115</v>
      </c>
      <c r="C335" s="145" t="s">
        <v>116</v>
      </c>
      <c r="D335" s="144" t="s">
        <v>1</v>
      </c>
      <c r="E335" s="156">
        <v>1.3784722222222221</v>
      </c>
      <c r="F335" s="144" t="s">
        <v>117</v>
      </c>
      <c r="G335" s="146">
        <v>2</v>
      </c>
      <c r="H335" s="157" t="s">
        <v>247</v>
      </c>
      <c r="I335" s="2"/>
    </row>
    <row r="336" spans="1:9" ht="19.8" customHeight="1" x14ac:dyDescent="0.3">
      <c r="A336" s="155">
        <v>45984</v>
      </c>
      <c r="B336" s="144" t="s">
        <v>115</v>
      </c>
      <c r="C336" s="145" t="s">
        <v>129</v>
      </c>
      <c r="D336" s="144" t="s">
        <v>1</v>
      </c>
      <c r="E336" s="156">
        <v>1.6111111111111109</v>
      </c>
      <c r="F336" s="144" t="s">
        <v>117</v>
      </c>
      <c r="G336" s="146">
        <v>9</v>
      </c>
      <c r="H336" s="157" t="s">
        <v>247</v>
      </c>
      <c r="I336" s="2"/>
    </row>
    <row r="337" spans="1:9" ht="19.8" customHeight="1" x14ac:dyDescent="0.3">
      <c r="A337" s="155">
        <v>45984</v>
      </c>
      <c r="B337" s="144" t="s">
        <v>115</v>
      </c>
      <c r="C337" s="145" t="s">
        <v>125</v>
      </c>
      <c r="D337" s="144" t="s">
        <v>1</v>
      </c>
      <c r="E337" s="156">
        <v>1.8298611111111109</v>
      </c>
      <c r="F337" s="144" t="s">
        <v>117</v>
      </c>
      <c r="G337" s="146">
        <v>9</v>
      </c>
      <c r="H337" s="157" t="s">
        <v>247</v>
      </c>
      <c r="I337" s="2"/>
    </row>
    <row r="338" spans="1:9" ht="19.8" customHeight="1" x14ac:dyDescent="0.3">
      <c r="A338" s="155">
        <v>45984</v>
      </c>
      <c r="B338" s="144" t="s">
        <v>115</v>
      </c>
      <c r="C338" s="145" t="s">
        <v>116</v>
      </c>
      <c r="D338" s="144" t="s">
        <v>1</v>
      </c>
      <c r="E338" s="156">
        <v>1.3784722222222221</v>
      </c>
      <c r="F338" s="144" t="s">
        <v>119</v>
      </c>
      <c r="G338" s="146">
        <v>2</v>
      </c>
      <c r="H338" s="157" t="s">
        <v>248</v>
      </c>
      <c r="I338" s="2"/>
    </row>
    <row r="339" spans="1:9" ht="19.8" customHeight="1" x14ac:dyDescent="0.3">
      <c r="A339" s="155">
        <v>45984</v>
      </c>
      <c r="B339" s="144" t="s">
        <v>115</v>
      </c>
      <c r="C339" s="145" t="s">
        <v>129</v>
      </c>
      <c r="D339" s="144" t="s">
        <v>1</v>
      </c>
      <c r="E339" s="156">
        <v>1.6111111111111109</v>
      </c>
      <c r="F339" s="144" t="s">
        <v>119</v>
      </c>
      <c r="G339" s="146">
        <v>9</v>
      </c>
      <c r="H339" s="157" t="s">
        <v>248</v>
      </c>
      <c r="I339" s="2"/>
    </row>
    <row r="340" spans="1:9" ht="19.8" customHeight="1" x14ac:dyDescent="0.3">
      <c r="A340" s="155">
        <v>45984</v>
      </c>
      <c r="B340" s="144" t="s">
        <v>115</v>
      </c>
      <c r="C340" s="145" t="s">
        <v>125</v>
      </c>
      <c r="D340" s="144" t="s">
        <v>1</v>
      </c>
      <c r="E340" s="156">
        <v>1.8298611111111109</v>
      </c>
      <c r="F340" s="144" t="s">
        <v>119</v>
      </c>
      <c r="G340" s="146">
        <v>9</v>
      </c>
      <c r="H340" s="157" t="s">
        <v>248</v>
      </c>
      <c r="I340" s="2"/>
    </row>
    <row r="341" spans="1:9" ht="19.8" customHeight="1" x14ac:dyDescent="0.3">
      <c r="A341" s="155">
        <v>45984</v>
      </c>
      <c r="B341" s="144" t="s">
        <v>115</v>
      </c>
      <c r="C341" s="145" t="s">
        <v>178</v>
      </c>
      <c r="D341" s="144" t="s">
        <v>1</v>
      </c>
      <c r="E341" s="156">
        <v>1.302083333333333</v>
      </c>
      <c r="F341" s="144" t="s">
        <v>119</v>
      </c>
      <c r="G341" s="146">
        <v>4</v>
      </c>
      <c r="H341" s="157" t="s">
        <v>131</v>
      </c>
      <c r="I341" s="2"/>
    </row>
    <row r="342" spans="1:9" ht="19.8" customHeight="1" x14ac:dyDescent="0.3">
      <c r="A342" s="158">
        <v>45984</v>
      </c>
      <c r="B342" s="159" t="s">
        <v>104</v>
      </c>
      <c r="C342" s="160" t="s">
        <v>114</v>
      </c>
      <c r="D342" s="159" t="s">
        <v>1</v>
      </c>
      <c r="E342" s="161">
        <v>1.774305555555556</v>
      </c>
      <c r="F342" s="159" t="s">
        <v>106</v>
      </c>
      <c r="G342" s="162">
        <v>9</v>
      </c>
      <c r="H342" s="163" t="s">
        <v>189</v>
      </c>
      <c r="I342" s="2"/>
    </row>
    <row r="343" spans="1:9" ht="19.8" customHeight="1" x14ac:dyDescent="0.3">
      <c r="A343" s="155">
        <v>45985</v>
      </c>
      <c r="B343" s="144" t="s">
        <v>41</v>
      </c>
      <c r="C343" s="145" t="s">
        <v>42</v>
      </c>
      <c r="D343" s="144" t="s">
        <v>1</v>
      </c>
      <c r="E343" s="156">
        <v>1.302083333333333</v>
      </c>
      <c r="F343" s="144" t="s">
        <v>43</v>
      </c>
      <c r="G343" s="146">
        <v>1</v>
      </c>
      <c r="H343" s="147">
        <v>459</v>
      </c>
      <c r="I343" s="2"/>
    </row>
    <row r="344" spans="1:9" ht="19.8" customHeight="1" x14ac:dyDescent="0.3">
      <c r="A344" s="155">
        <v>45985</v>
      </c>
      <c r="B344" s="144" t="s">
        <v>41</v>
      </c>
      <c r="C344" s="145" t="s">
        <v>133</v>
      </c>
      <c r="D344" s="144" t="s">
        <v>1</v>
      </c>
      <c r="E344" s="156">
        <v>1.1284722222222221</v>
      </c>
      <c r="F344" s="144" t="s">
        <v>43</v>
      </c>
      <c r="G344" s="146">
        <v>6</v>
      </c>
      <c r="H344" s="147">
        <v>459</v>
      </c>
      <c r="I344" s="2"/>
    </row>
    <row r="345" spans="1:9" ht="19.8" customHeight="1" x14ac:dyDescent="0.3">
      <c r="A345" s="155">
        <v>45985</v>
      </c>
      <c r="B345" s="144" t="s">
        <v>61</v>
      </c>
      <c r="C345" s="145" t="s">
        <v>74</v>
      </c>
      <c r="D345" s="144" t="s">
        <v>1</v>
      </c>
      <c r="E345" s="156">
        <v>1.9027777777777779</v>
      </c>
      <c r="F345" s="144" t="s">
        <v>63</v>
      </c>
      <c r="G345" s="146">
        <v>5</v>
      </c>
      <c r="H345" s="147">
        <v>469</v>
      </c>
      <c r="I345" s="2"/>
    </row>
    <row r="346" spans="1:9" ht="19.8" customHeight="1" x14ac:dyDescent="0.3">
      <c r="A346" s="155">
        <v>45985</v>
      </c>
      <c r="B346" s="144" t="s">
        <v>61</v>
      </c>
      <c r="C346" s="145" t="s">
        <v>69</v>
      </c>
      <c r="D346" s="144" t="s">
        <v>1</v>
      </c>
      <c r="E346" s="156">
        <v>1.854166666666667</v>
      </c>
      <c r="F346" s="144" t="s">
        <v>63</v>
      </c>
      <c r="G346" s="146">
        <v>4</v>
      </c>
      <c r="H346" s="147">
        <v>469</v>
      </c>
      <c r="I346" s="2"/>
    </row>
    <row r="347" spans="1:9" ht="19.8" customHeight="1" x14ac:dyDescent="0.3">
      <c r="A347" s="155">
        <v>45985</v>
      </c>
      <c r="B347" s="144" t="s">
        <v>61</v>
      </c>
      <c r="C347" s="145" t="s">
        <v>72</v>
      </c>
      <c r="D347" s="144" t="s">
        <v>1</v>
      </c>
      <c r="E347" s="156">
        <v>1.395833333333333</v>
      </c>
      <c r="F347" s="144" t="s">
        <v>63</v>
      </c>
      <c r="G347" s="146">
        <v>1</v>
      </c>
      <c r="H347" s="147">
        <v>469</v>
      </c>
      <c r="I347" s="2"/>
    </row>
    <row r="348" spans="1:9" ht="19.8" customHeight="1" x14ac:dyDescent="0.3">
      <c r="A348" s="155">
        <v>45985</v>
      </c>
      <c r="B348" s="144" t="s">
        <v>61</v>
      </c>
      <c r="C348" s="145" t="s">
        <v>79</v>
      </c>
      <c r="D348" s="144" t="s">
        <v>1</v>
      </c>
      <c r="E348" s="156">
        <v>1.46875</v>
      </c>
      <c r="F348" s="144" t="s">
        <v>63</v>
      </c>
      <c r="G348" s="146">
        <v>1</v>
      </c>
      <c r="H348" s="147">
        <v>469</v>
      </c>
      <c r="I348" s="2"/>
    </row>
    <row r="349" spans="1:9" ht="19.8" customHeight="1" x14ac:dyDescent="0.3">
      <c r="A349" s="155">
        <v>45985</v>
      </c>
      <c r="B349" s="144" t="s">
        <v>61</v>
      </c>
      <c r="C349" s="145" t="s">
        <v>73</v>
      </c>
      <c r="D349" s="144" t="s">
        <v>1</v>
      </c>
      <c r="E349" s="156">
        <v>1.7986111111111109</v>
      </c>
      <c r="F349" s="144" t="s">
        <v>63</v>
      </c>
      <c r="G349" s="146">
        <v>2</v>
      </c>
      <c r="H349" s="147">
        <v>469</v>
      </c>
      <c r="I349" s="2"/>
    </row>
    <row r="350" spans="1:9" ht="19.8" customHeight="1" x14ac:dyDescent="0.3">
      <c r="A350" s="153">
        <v>45985</v>
      </c>
      <c r="B350" s="149" t="s">
        <v>81</v>
      </c>
      <c r="C350" s="150" t="s">
        <v>89</v>
      </c>
      <c r="D350" s="149" t="s">
        <v>1</v>
      </c>
      <c r="E350" s="154">
        <v>1.4236111111111109</v>
      </c>
      <c r="F350" s="149" t="s">
        <v>83</v>
      </c>
      <c r="G350" s="151">
        <v>1</v>
      </c>
      <c r="H350" s="152">
        <v>471</v>
      </c>
      <c r="I350" s="2"/>
    </row>
    <row r="351" spans="1:9" ht="19.8" customHeight="1" x14ac:dyDescent="0.3">
      <c r="A351" s="155">
        <v>45985</v>
      </c>
      <c r="B351" s="144" t="s">
        <v>41</v>
      </c>
      <c r="C351" s="145" t="s">
        <v>56</v>
      </c>
      <c r="D351" s="144" t="s">
        <v>1</v>
      </c>
      <c r="E351" s="156">
        <v>1.8888888888888891</v>
      </c>
      <c r="F351" s="144" t="s">
        <v>43</v>
      </c>
      <c r="G351" s="146">
        <v>3</v>
      </c>
      <c r="H351" s="147">
        <v>499</v>
      </c>
      <c r="I351" s="2"/>
    </row>
    <row r="352" spans="1:9" ht="19.8" customHeight="1" x14ac:dyDescent="0.3">
      <c r="A352" s="155">
        <v>45985</v>
      </c>
      <c r="B352" s="144" t="s">
        <v>61</v>
      </c>
      <c r="C352" s="145" t="s">
        <v>137</v>
      </c>
      <c r="D352" s="144" t="s">
        <v>1</v>
      </c>
      <c r="E352" s="156">
        <v>1.256944444444444</v>
      </c>
      <c r="F352" s="144" t="s">
        <v>63</v>
      </c>
      <c r="G352" s="146">
        <v>9</v>
      </c>
      <c r="H352" s="147">
        <v>509</v>
      </c>
      <c r="I352" s="2"/>
    </row>
    <row r="353" spans="1:9" ht="19.8" customHeight="1" x14ac:dyDescent="0.3">
      <c r="A353" s="155">
        <v>45985</v>
      </c>
      <c r="B353" s="144" t="s">
        <v>61</v>
      </c>
      <c r="C353" s="145" t="s">
        <v>78</v>
      </c>
      <c r="D353" s="144" t="s">
        <v>1</v>
      </c>
      <c r="E353" s="156">
        <v>1.645833333333333</v>
      </c>
      <c r="F353" s="144" t="s">
        <v>63</v>
      </c>
      <c r="G353" s="146">
        <v>8</v>
      </c>
      <c r="H353" s="147">
        <v>509</v>
      </c>
      <c r="I353" s="2"/>
    </row>
    <row r="354" spans="1:9" ht="19.8" customHeight="1" x14ac:dyDescent="0.3">
      <c r="A354" s="155">
        <v>45985</v>
      </c>
      <c r="B354" s="144" t="s">
        <v>61</v>
      </c>
      <c r="C354" s="145" t="s">
        <v>62</v>
      </c>
      <c r="D354" s="144" t="s">
        <v>1</v>
      </c>
      <c r="E354" s="156">
        <v>1.5173611111111109</v>
      </c>
      <c r="F354" s="144" t="s">
        <v>63</v>
      </c>
      <c r="G354" s="146">
        <v>9</v>
      </c>
      <c r="H354" s="147">
        <v>509</v>
      </c>
      <c r="I354" s="2"/>
    </row>
    <row r="355" spans="1:9" ht="19.8" customHeight="1" x14ac:dyDescent="0.3">
      <c r="A355" s="153">
        <v>45985</v>
      </c>
      <c r="B355" s="149" t="s">
        <v>81</v>
      </c>
      <c r="C355" s="150" t="s">
        <v>82</v>
      </c>
      <c r="D355" s="149" t="s">
        <v>1</v>
      </c>
      <c r="E355" s="154">
        <v>1.979166666666667</v>
      </c>
      <c r="F355" s="149" t="s">
        <v>83</v>
      </c>
      <c r="G355" s="151">
        <v>3</v>
      </c>
      <c r="H355" s="152">
        <v>526</v>
      </c>
      <c r="I355" s="2"/>
    </row>
    <row r="356" spans="1:9" ht="19.8" customHeight="1" x14ac:dyDescent="0.3">
      <c r="A356" s="153">
        <v>45985</v>
      </c>
      <c r="B356" s="149" t="s">
        <v>81</v>
      </c>
      <c r="C356" s="150" t="s">
        <v>94</v>
      </c>
      <c r="D356" s="149" t="s">
        <v>1</v>
      </c>
      <c r="E356" s="154">
        <v>1.614583333333333</v>
      </c>
      <c r="F356" s="149" t="s">
        <v>83</v>
      </c>
      <c r="G356" s="151">
        <v>3</v>
      </c>
      <c r="H356" s="152">
        <v>526</v>
      </c>
      <c r="I356" s="2"/>
    </row>
    <row r="357" spans="1:9" ht="19.8" customHeight="1" x14ac:dyDescent="0.3">
      <c r="A357" s="153">
        <v>45985</v>
      </c>
      <c r="B357" s="149" t="s">
        <v>81</v>
      </c>
      <c r="C357" s="150" t="s">
        <v>165</v>
      </c>
      <c r="D357" s="149" t="s">
        <v>1</v>
      </c>
      <c r="E357" s="154">
        <v>1.006944444444444</v>
      </c>
      <c r="F357" s="149" t="s">
        <v>83</v>
      </c>
      <c r="G357" s="151">
        <v>1</v>
      </c>
      <c r="H357" s="152">
        <v>526</v>
      </c>
      <c r="I357" s="2"/>
    </row>
    <row r="358" spans="1:9" ht="19.8" customHeight="1" x14ac:dyDescent="0.3">
      <c r="A358" s="155">
        <v>45985</v>
      </c>
      <c r="B358" s="144" t="s">
        <v>100</v>
      </c>
      <c r="C358" s="145" t="s">
        <v>216</v>
      </c>
      <c r="D358" s="144" t="s">
        <v>1</v>
      </c>
      <c r="E358" s="156">
        <v>1.1736111111111109</v>
      </c>
      <c r="F358" s="144" t="s">
        <v>102</v>
      </c>
      <c r="G358" s="146">
        <v>9</v>
      </c>
      <c r="H358" s="147">
        <v>568</v>
      </c>
      <c r="I358" s="2"/>
    </row>
    <row r="359" spans="1:9" ht="19.8" customHeight="1" x14ac:dyDescent="0.3">
      <c r="A359" s="155">
        <v>45985</v>
      </c>
      <c r="B359" s="144" t="s">
        <v>61</v>
      </c>
      <c r="C359" s="145" t="s">
        <v>74</v>
      </c>
      <c r="D359" s="144" t="s">
        <v>1</v>
      </c>
      <c r="E359" s="156">
        <v>1.9027777777777779</v>
      </c>
      <c r="F359" s="144" t="s">
        <v>65</v>
      </c>
      <c r="G359" s="146">
        <v>5</v>
      </c>
      <c r="H359" s="147">
        <v>569</v>
      </c>
      <c r="I359" s="2"/>
    </row>
    <row r="360" spans="1:9" ht="19.8" customHeight="1" x14ac:dyDescent="0.3">
      <c r="A360" s="155">
        <v>45985</v>
      </c>
      <c r="B360" s="144" t="s">
        <v>61</v>
      </c>
      <c r="C360" s="145" t="s">
        <v>69</v>
      </c>
      <c r="D360" s="144" t="s">
        <v>1</v>
      </c>
      <c r="E360" s="156">
        <v>1.854166666666667</v>
      </c>
      <c r="F360" s="144" t="s">
        <v>65</v>
      </c>
      <c r="G360" s="146">
        <v>4</v>
      </c>
      <c r="H360" s="147">
        <v>569</v>
      </c>
      <c r="I360" s="2"/>
    </row>
    <row r="361" spans="1:9" ht="19.8" customHeight="1" x14ac:dyDescent="0.3">
      <c r="A361" s="155">
        <v>45985</v>
      </c>
      <c r="B361" s="144" t="s">
        <v>61</v>
      </c>
      <c r="C361" s="145" t="s">
        <v>72</v>
      </c>
      <c r="D361" s="144" t="s">
        <v>1</v>
      </c>
      <c r="E361" s="156">
        <v>1.395833333333333</v>
      </c>
      <c r="F361" s="144" t="s">
        <v>65</v>
      </c>
      <c r="G361" s="146">
        <v>1</v>
      </c>
      <c r="H361" s="147">
        <v>569</v>
      </c>
      <c r="I361" s="2"/>
    </row>
    <row r="362" spans="1:9" ht="19.8" customHeight="1" x14ac:dyDescent="0.3">
      <c r="A362" s="155">
        <v>45985</v>
      </c>
      <c r="B362" s="144" t="s">
        <v>61</v>
      </c>
      <c r="C362" s="145" t="s">
        <v>79</v>
      </c>
      <c r="D362" s="144" t="s">
        <v>1</v>
      </c>
      <c r="E362" s="156">
        <v>1.46875</v>
      </c>
      <c r="F362" s="144" t="s">
        <v>65</v>
      </c>
      <c r="G362" s="146">
        <v>1</v>
      </c>
      <c r="H362" s="147">
        <v>569</v>
      </c>
      <c r="I362" s="2"/>
    </row>
    <row r="363" spans="1:9" ht="19.8" customHeight="1" x14ac:dyDescent="0.3">
      <c r="A363" s="155">
        <v>45985</v>
      </c>
      <c r="B363" s="144" t="s">
        <v>61</v>
      </c>
      <c r="C363" s="145" t="s">
        <v>73</v>
      </c>
      <c r="D363" s="144" t="s">
        <v>1</v>
      </c>
      <c r="E363" s="156">
        <v>1.7986111111111109</v>
      </c>
      <c r="F363" s="144" t="s">
        <v>65</v>
      </c>
      <c r="G363" s="146">
        <v>2</v>
      </c>
      <c r="H363" s="147">
        <v>569</v>
      </c>
      <c r="I363" s="2"/>
    </row>
    <row r="364" spans="1:9" ht="19.8" customHeight="1" x14ac:dyDescent="0.3">
      <c r="A364" s="155">
        <v>45985</v>
      </c>
      <c r="B364" s="144" t="s">
        <v>100</v>
      </c>
      <c r="C364" s="145" t="s">
        <v>101</v>
      </c>
      <c r="D364" s="144" t="s">
        <v>1</v>
      </c>
      <c r="E364" s="156">
        <v>1.3923611111111109</v>
      </c>
      <c r="F364" s="144" t="s">
        <v>102</v>
      </c>
      <c r="G364" s="146">
        <v>7</v>
      </c>
      <c r="H364" s="147">
        <v>592</v>
      </c>
      <c r="I364" s="2"/>
    </row>
    <row r="365" spans="1:9" ht="19.8" customHeight="1" x14ac:dyDescent="0.3">
      <c r="A365" s="155">
        <v>45985</v>
      </c>
      <c r="B365" s="144" t="s">
        <v>26</v>
      </c>
      <c r="C365" s="145" t="s">
        <v>31</v>
      </c>
      <c r="D365" s="144" t="s">
        <v>1</v>
      </c>
      <c r="E365" s="156">
        <v>1.208333333333333</v>
      </c>
      <c r="F365" s="144" t="s">
        <v>28</v>
      </c>
      <c r="G365" s="146">
        <v>7</v>
      </c>
      <c r="H365" s="147">
        <v>595</v>
      </c>
      <c r="I365" s="2"/>
    </row>
    <row r="366" spans="1:9" ht="19.8" customHeight="1" x14ac:dyDescent="0.3">
      <c r="A366" s="155">
        <v>45985</v>
      </c>
      <c r="B366" s="144" t="s">
        <v>34</v>
      </c>
      <c r="C366" s="145" t="s">
        <v>35</v>
      </c>
      <c r="D366" s="144" t="s">
        <v>1</v>
      </c>
      <c r="E366" s="156">
        <v>1.666666666666667</v>
      </c>
      <c r="F366" s="144" t="s">
        <v>28</v>
      </c>
      <c r="G366" s="146">
        <v>9</v>
      </c>
      <c r="H366" s="147">
        <v>599</v>
      </c>
      <c r="I366" s="2"/>
    </row>
    <row r="367" spans="1:9" ht="19.8" customHeight="1" x14ac:dyDescent="0.3">
      <c r="A367" s="155">
        <v>45985</v>
      </c>
      <c r="B367" s="144" t="s">
        <v>34</v>
      </c>
      <c r="C367" s="145" t="s">
        <v>38</v>
      </c>
      <c r="D367" s="144" t="s">
        <v>1</v>
      </c>
      <c r="E367" s="156">
        <v>1.3125</v>
      </c>
      <c r="F367" s="144" t="s">
        <v>28</v>
      </c>
      <c r="G367" s="146">
        <v>9</v>
      </c>
      <c r="H367" s="147">
        <v>599</v>
      </c>
      <c r="I367" s="2"/>
    </row>
    <row r="368" spans="1:9" ht="19.8" customHeight="1" x14ac:dyDescent="0.3">
      <c r="A368" s="155">
        <v>45985</v>
      </c>
      <c r="B368" s="144" t="s">
        <v>41</v>
      </c>
      <c r="C368" s="145" t="s">
        <v>42</v>
      </c>
      <c r="D368" s="144" t="s">
        <v>1</v>
      </c>
      <c r="E368" s="156">
        <v>1.302083333333333</v>
      </c>
      <c r="F368" s="144" t="s">
        <v>45</v>
      </c>
      <c r="G368" s="146">
        <v>1</v>
      </c>
      <c r="H368" s="147">
        <v>609</v>
      </c>
      <c r="I368" s="2"/>
    </row>
    <row r="369" spans="1:9" ht="19.8" customHeight="1" x14ac:dyDescent="0.3">
      <c r="A369" s="155">
        <v>45985</v>
      </c>
      <c r="B369" s="144" t="s">
        <v>41</v>
      </c>
      <c r="C369" s="145" t="s">
        <v>133</v>
      </c>
      <c r="D369" s="144" t="s">
        <v>1</v>
      </c>
      <c r="E369" s="156">
        <v>1.1284722222222221</v>
      </c>
      <c r="F369" s="144" t="s">
        <v>45</v>
      </c>
      <c r="G369" s="146">
        <v>6</v>
      </c>
      <c r="H369" s="147">
        <v>609</v>
      </c>
      <c r="I369" s="2"/>
    </row>
    <row r="370" spans="1:9" ht="19.8" customHeight="1" x14ac:dyDescent="0.3">
      <c r="A370" s="155">
        <v>45985</v>
      </c>
      <c r="B370" s="144" t="s">
        <v>61</v>
      </c>
      <c r="C370" s="145" t="s">
        <v>137</v>
      </c>
      <c r="D370" s="144" t="s">
        <v>1</v>
      </c>
      <c r="E370" s="156">
        <v>1.256944444444444</v>
      </c>
      <c r="F370" s="144" t="s">
        <v>65</v>
      </c>
      <c r="G370" s="146">
        <v>9</v>
      </c>
      <c r="H370" s="147">
        <v>609</v>
      </c>
      <c r="I370" s="2"/>
    </row>
    <row r="371" spans="1:9" ht="19.8" customHeight="1" x14ac:dyDescent="0.3">
      <c r="A371" s="155">
        <v>45985</v>
      </c>
      <c r="B371" s="144" t="s">
        <v>61</v>
      </c>
      <c r="C371" s="145" t="s">
        <v>78</v>
      </c>
      <c r="D371" s="144" t="s">
        <v>1</v>
      </c>
      <c r="E371" s="156">
        <v>1.645833333333333</v>
      </c>
      <c r="F371" s="144" t="s">
        <v>65</v>
      </c>
      <c r="G371" s="146">
        <v>8</v>
      </c>
      <c r="H371" s="147">
        <v>609</v>
      </c>
      <c r="I371" s="2"/>
    </row>
    <row r="372" spans="1:9" ht="19.8" customHeight="1" x14ac:dyDescent="0.3">
      <c r="A372" s="155">
        <v>45985</v>
      </c>
      <c r="B372" s="144" t="s">
        <v>61</v>
      </c>
      <c r="C372" s="145" t="s">
        <v>62</v>
      </c>
      <c r="D372" s="144" t="s">
        <v>1</v>
      </c>
      <c r="E372" s="156">
        <v>1.5173611111111109</v>
      </c>
      <c r="F372" s="144" t="s">
        <v>65</v>
      </c>
      <c r="G372" s="146">
        <v>9</v>
      </c>
      <c r="H372" s="147">
        <v>609</v>
      </c>
      <c r="I372" s="2"/>
    </row>
    <row r="373" spans="1:9" ht="19.8" customHeight="1" x14ac:dyDescent="0.3">
      <c r="A373" s="155">
        <v>45985</v>
      </c>
      <c r="B373" s="144" t="s">
        <v>41</v>
      </c>
      <c r="C373" s="145" t="s">
        <v>50</v>
      </c>
      <c r="D373" s="144" t="s">
        <v>1</v>
      </c>
      <c r="E373" s="156">
        <v>1.788194444444444</v>
      </c>
      <c r="F373" s="144" t="s">
        <v>43</v>
      </c>
      <c r="G373" s="146">
        <v>3</v>
      </c>
      <c r="H373" s="147">
        <v>639</v>
      </c>
      <c r="I373" s="2"/>
    </row>
    <row r="374" spans="1:9" ht="19.8" customHeight="1" x14ac:dyDescent="0.3">
      <c r="A374" s="155">
        <v>45985</v>
      </c>
      <c r="B374" s="144" t="s">
        <v>41</v>
      </c>
      <c r="C374" s="145" t="s">
        <v>56</v>
      </c>
      <c r="D374" s="144" t="s">
        <v>1</v>
      </c>
      <c r="E374" s="156">
        <v>1.8888888888888891</v>
      </c>
      <c r="F374" s="144" t="s">
        <v>45</v>
      </c>
      <c r="G374" s="146">
        <v>3</v>
      </c>
      <c r="H374" s="147">
        <v>649</v>
      </c>
      <c r="I374" s="2"/>
    </row>
    <row r="375" spans="1:9" ht="19.8" customHeight="1" x14ac:dyDescent="0.3">
      <c r="A375" s="155">
        <v>45985</v>
      </c>
      <c r="B375" s="144" t="s">
        <v>61</v>
      </c>
      <c r="C375" s="145" t="s">
        <v>74</v>
      </c>
      <c r="D375" s="144" t="s">
        <v>1</v>
      </c>
      <c r="E375" s="156">
        <v>1.9027777777777779</v>
      </c>
      <c r="F375" s="144" t="s">
        <v>67</v>
      </c>
      <c r="G375" s="146">
        <v>5</v>
      </c>
      <c r="H375" s="147">
        <v>659</v>
      </c>
      <c r="I375" s="2"/>
    </row>
    <row r="376" spans="1:9" ht="19.8" customHeight="1" x14ac:dyDescent="0.3">
      <c r="A376" s="155">
        <v>45985</v>
      </c>
      <c r="B376" s="144" t="s">
        <v>61</v>
      </c>
      <c r="C376" s="145" t="s">
        <v>69</v>
      </c>
      <c r="D376" s="144" t="s">
        <v>1</v>
      </c>
      <c r="E376" s="156">
        <v>1.854166666666667</v>
      </c>
      <c r="F376" s="144" t="s">
        <v>67</v>
      </c>
      <c r="G376" s="146">
        <v>4</v>
      </c>
      <c r="H376" s="147">
        <v>659</v>
      </c>
      <c r="I376" s="2"/>
    </row>
    <row r="377" spans="1:9" ht="19.8" customHeight="1" x14ac:dyDescent="0.3">
      <c r="A377" s="155">
        <v>45985</v>
      </c>
      <c r="B377" s="144" t="s">
        <v>61</v>
      </c>
      <c r="C377" s="145" t="s">
        <v>72</v>
      </c>
      <c r="D377" s="144" t="s">
        <v>1</v>
      </c>
      <c r="E377" s="156">
        <v>1.395833333333333</v>
      </c>
      <c r="F377" s="144" t="s">
        <v>67</v>
      </c>
      <c r="G377" s="146">
        <v>1</v>
      </c>
      <c r="H377" s="147">
        <v>659</v>
      </c>
      <c r="I377" s="2"/>
    </row>
    <row r="378" spans="1:9" ht="19.8" customHeight="1" x14ac:dyDescent="0.3">
      <c r="A378" s="155">
        <v>45985</v>
      </c>
      <c r="B378" s="144" t="s">
        <v>61</v>
      </c>
      <c r="C378" s="145" t="s">
        <v>79</v>
      </c>
      <c r="D378" s="144" t="s">
        <v>1</v>
      </c>
      <c r="E378" s="156">
        <v>1.46875</v>
      </c>
      <c r="F378" s="144" t="s">
        <v>67</v>
      </c>
      <c r="G378" s="146">
        <v>1</v>
      </c>
      <c r="H378" s="147">
        <v>659</v>
      </c>
      <c r="I378" s="2"/>
    </row>
    <row r="379" spans="1:9" ht="19.8" customHeight="1" x14ac:dyDescent="0.3">
      <c r="A379" s="155">
        <v>45985</v>
      </c>
      <c r="B379" s="144" t="s">
        <v>61</v>
      </c>
      <c r="C379" s="145" t="s">
        <v>73</v>
      </c>
      <c r="D379" s="144" t="s">
        <v>1</v>
      </c>
      <c r="E379" s="156">
        <v>1.7986111111111109</v>
      </c>
      <c r="F379" s="144" t="s">
        <v>67</v>
      </c>
      <c r="G379" s="146">
        <v>2</v>
      </c>
      <c r="H379" s="147">
        <v>659</v>
      </c>
      <c r="I379" s="2"/>
    </row>
    <row r="380" spans="1:9" ht="19.8" customHeight="1" x14ac:dyDescent="0.3">
      <c r="A380" s="155">
        <v>45985</v>
      </c>
      <c r="B380" s="144" t="s">
        <v>100</v>
      </c>
      <c r="C380" s="145" t="s">
        <v>216</v>
      </c>
      <c r="D380" s="144" t="s">
        <v>1</v>
      </c>
      <c r="E380" s="156">
        <v>1.1736111111111109</v>
      </c>
      <c r="F380" s="144" t="s">
        <v>48</v>
      </c>
      <c r="G380" s="146">
        <v>9</v>
      </c>
      <c r="H380" s="147">
        <v>692</v>
      </c>
      <c r="I380" s="2"/>
    </row>
    <row r="381" spans="1:9" ht="19.8" customHeight="1" x14ac:dyDescent="0.3">
      <c r="A381" s="155">
        <v>45985</v>
      </c>
      <c r="B381" s="144" t="s">
        <v>61</v>
      </c>
      <c r="C381" s="145" t="s">
        <v>137</v>
      </c>
      <c r="D381" s="144" t="s">
        <v>1</v>
      </c>
      <c r="E381" s="156">
        <v>1.256944444444444</v>
      </c>
      <c r="F381" s="144" t="s">
        <v>67</v>
      </c>
      <c r="G381" s="146">
        <v>9</v>
      </c>
      <c r="H381" s="147">
        <v>699</v>
      </c>
      <c r="I381" s="2"/>
    </row>
    <row r="382" spans="1:9" ht="19.8" customHeight="1" x14ac:dyDescent="0.3">
      <c r="A382" s="155">
        <v>45985</v>
      </c>
      <c r="B382" s="144" t="s">
        <v>61</v>
      </c>
      <c r="C382" s="145" t="s">
        <v>78</v>
      </c>
      <c r="D382" s="144" t="s">
        <v>1</v>
      </c>
      <c r="E382" s="156">
        <v>1.645833333333333</v>
      </c>
      <c r="F382" s="144" t="s">
        <v>67</v>
      </c>
      <c r="G382" s="146">
        <v>8</v>
      </c>
      <c r="H382" s="147">
        <v>699</v>
      </c>
      <c r="I382" s="2"/>
    </row>
    <row r="383" spans="1:9" ht="19.8" customHeight="1" x14ac:dyDescent="0.3">
      <c r="A383" s="155">
        <v>45985</v>
      </c>
      <c r="B383" s="144" t="s">
        <v>61</v>
      </c>
      <c r="C383" s="145" t="s">
        <v>62</v>
      </c>
      <c r="D383" s="144" t="s">
        <v>1</v>
      </c>
      <c r="E383" s="156">
        <v>1.5173611111111109</v>
      </c>
      <c r="F383" s="144" t="s">
        <v>67</v>
      </c>
      <c r="G383" s="146">
        <v>9</v>
      </c>
      <c r="H383" s="147">
        <v>699</v>
      </c>
      <c r="I383" s="2"/>
    </row>
    <row r="384" spans="1:9" ht="19.8" customHeight="1" x14ac:dyDescent="0.3">
      <c r="A384" s="155">
        <v>45985</v>
      </c>
      <c r="B384" s="144" t="s">
        <v>100</v>
      </c>
      <c r="C384" s="145" t="s">
        <v>101</v>
      </c>
      <c r="D384" s="144" t="s">
        <v>1</v>
      </c>
      <c r="E384" s="156">
        <v>1.3923611111111109</v>
      </c>
      <c r="F384" s="144" t="s">
        <v>48</v>
      </c>
      <c r="G384" s="146">
        <v>7</v>
      </c>
      <c r="H384" s="147">
        <v>716</v>
      </c>
      <c r="I384" s="2"/>
    </row>
    <row r="385" spans="1:9" ht="19.8" customHeight="1" x14ac:dyDescent="0.3">
      <c r="A385" s="155">
        <v>45985</v>
      </c>
      <c r="B385" s="144" t="s">
        <v>41</v>
      </c>
      <c r="C385" s="145" t="s">
        <v>50</v>
      </c>
      <c r="D385" s="144" t="s">
        <v>1</v>
      </c>
      <c r="E385" s="156">
        <v>1.788194444444444</v>
      </c>
      <c r="F385" s="144" t="s">
        <v>45</v>
      </c>
      <c r="G385" s="146">
        <v>3</v>
      </c>
      <c r="H385" s="147">
        <v>789</v>
      </c>
      <c r="I385" s="2"/>
    </row>
    <row r="386" spans="1:9" ht="19.8" customHeight="1" x14ac:dyDescent="0.3">
      <c r="A386" s="155">
        <v>45985</v>
      </c>
      <c r="B386" s="144" t="s">
        <v>115</v>
      </c>
      <c r="C386" s="145" t="s">
        <v>173</v>
      </c>
      <c r="D386" s="144" t="s">
        <v>1</v>
      </c>
      <c r="E386" s="156">
        <v>1.239583333333333</v>
      </c>
      <c r="F386" s="144" t="s">
        <v>117</v>
      </c>
      <c r="G386" s="146">
        <v>9</v>
      </c>
      <c r="H386" s="147">
        <v>935</v>
      </c>
      <c r="I386" s="2"/>
    </row>
    <row r="387" spans="1:9" ht="19.8" customHeight="1" x14ac:dyDescent="0.3">
      <c r="A387" s="155">
        <v>45985</v>
      </c>
      <c r="B387" s="144" t="s">
        <v>115</v>
      </c>
      <c r="C387" s="145" t="s">
        <v>122</v>
      </c>
      <c r="D387" s="144" t="s">
        <v>1</v>
      </c>
      <c r="E387" s="156">
        <v>1.930555555555556</v>
      </c>
      <c r="F387" s="144" t="s">
        <v>117</v>
      </c>
      <c r="G387" s="146">
        <v>9</v>
      </c>
      <c r="H387" s="147">
        <v>935</v>
      </c>
      <c r="I387" s="2"/>
    </row>
    <row r="388" spans="1:9" ht="19.8" customHeight="1" x14ac:dyDescent="0.3">
      <c r="A388" s="155">
        <v>45985</v>
      </c>
      <c r="B388" s="144" t="s">
        <v>115</v>
      </c>
      <c r="C388" s="145" t="s">
        <v>173</v>
      </c>
      <c r="D388" s="144" t="s">
        <v>1</v>
      </c>
      <c r="E388" s="156">
        <v>1.239583333333333</v>
      </c>
      <c r="F388" s="144" t="s">
        <v>119</v>
      </c>
      <c r="G388" s="146">
        <v>9</v>
      </c>
      <c r="H388" s="147">
        <v>980</v>
      </c>
      <c r="I388" s="2"/>
    </row>
    <row r="389" spans="1:9" ht="19.8" customHeight="1" x14ac:dyDescent="0.3">
      <c r="A389" s="155">
        <v>45985</v>
      </c>
      <c r="B389" s="144" t="s">
        <v>115</v>
      </c>
      <c r="C389" s="145" t="s">
        <v>122</v>
      </c>
      <c r="D389" s="144" t="s">
        <v>1</v>
      </c>
      <c r="E389" s="156">
        <v>1.930555555555556</v>
      </c>
      <c r="F389" s="144" t="s">
        <v>119</v>
      </c>
      <c r="G389" s="146">
        <v>9</v>
      </c>
      <c r="H389" s="147">
        <v>980</v>
      </c>
      <c r="I389" s="2"/>
    </row>
    <row r="390" spans="1:9" ht="19.8" customHeight="1" x14ac:dyDescent="0.3">
      <c r="A390" s="155">
        <v>45985</v>
      </c>
      <c r="B390" s="144" t="s">
        <v>104</v>
      </c>
      <c r="C390" s="145" t="s">
        <v>188</v>
      </c>
      <c r="D390" s="144" t="s">
        <v>1</v>
      </c>
      <c r="E390" s="156">
        <v>1.145833333333333</v>
      </c>
      <c r="F390" s="144" t="s">
        <v>106</v>
      </c>
      <c r="G390" s="146">
        <v>9</v>
      </c>
      <c r="H390" s="147">
        <v>993</v>
      </c>
      <c r="I390" s="2"/>
    </row>
    <row r="391" spans="1:9" ht="19.8" customHeight="1" x14ac:dyDescent="0.3">
      <c r="A391" s="155">
        <v>45985</v>
      </c>
      <c r="B391" s="144" t="s">
        <v>104</v>
      </c>
      <c r="C391" s="145" t="s">
        <v>186</v>
      </c>
      <c r="D391" s="144" t="s">
        <v>1</v>
      </c>
      <c r="E391" s="156">
        <v>1.229166666666667</v>
      </c>
      <c r="F391" s="144" t="s">
        <v>106</v>
      </c>
      <c r="G391" s="146">
        <v>9</v>
      </c>
      <c r="H391" s="147">
        <v>993</v>
      </c>
      <c r="I391" s="2"/>
    </row>
    <row r="392" spans="1:9" ht="19.8" customHeight="1" x14ac:dyDescent="0.3">
      <c r="A392" s="155">
        <v>45985</v>
      </c>
      <c r="B392" s="144" t="s">
        <v>41</v>
      </c>
      <c r="C392" s="145" t="s">
        <v>42</v>
      </c>
      <c r="D392" s="144" t="s">
        <v>1</v>
      </c>
      <c r="E392" s="156">
        <v>1.302083333333333</v>
      </c>
      <c r="F392" s="144" t="s">
        <v>48</v>
      </c>
      <c r="G392" s="146">
        <v>1</v>
      </c>
      <c r="H392" s="157" t="s">
        <v>49</v>
      </c>
      <c r="I392" s="2"/>
    </row>
    <row r="393" spans="1:9" ht="19.8" customHeight="1" x14ac:dyDescent="0.3">
      <c r="A393" s="155">
        <v>45985</v>
      </c>
      <c r="B393" s="144" t="s">
        <v>41</v>
      </c>
      <c r="C393" s="145" t="s">
        <v>133</v>
      </c>
      <c r="D393" s="144" t="s">
        <v>1</v>
      </c>
      <c r="E393" s="156">
        <v>1.1284722222222221</v>
      </c>
      <c r="F393" s="144" t="s">
        <v>48</v>
      </c>
      <c r="G393" s="146">
        <v>6</v>
      </c>
      <c r="H393" s="157" t="s">
        <v>49</v>
      </c>
      <c r="I393" s="2"/>
    </row>
    <row r="394" spans="1:9" ht="19.8" customHeight="1" x14ac:dyDescent="0.3">
      <c r="A394" s="155">
        <v>45985</v>
      </c>
      <c r="B394" s="144" t="s">
        <v>41</v>
      </c>
      <c r="C394" s="145" t="s">
        <v>50</v>
      </c>
      <c r="D394" s="144" t="s">
        <v>1</v>
      </c>
      <c r="E394" s="156">
        <v>1.788194444444444</v>
      </c>
      <c r="F394" s="144" t="s">
        <v>48</v>
      </c>
      <c r="G394" s="146">
        <v>3</v>
      </c>
      <c r="H394" s="157" t="s">
        <v>49</v>
      </c>
      <c r="I394" s="2"/>
    </row>
    <row r="395" spans="1:9" ht="19.8" customHeight="1" x14ac:dyDescent="0.3">
      <c r="A395" s="155">
        <v>45985</v>
      </c>
      <c r="B395" s="144" t="s">
        <v>41</v>
      </c>
      <c r="C395" s="145" t="s">
        <v>56</v>
      </c>
      <c r="D395" s="144" t="s">
        <v>1</v>
      </c>
      <c r="E395" s="156">
        <v>1.8888888888888891</v>
      </c>
      <c r="F395" s="144" t="s">
        <v>48</v>
      </c>
      <c r="G395" s="146">
        <v>3</v>
      </c>
      <c r="H395" s="157" t="s">
        <v>49</v>
      </c>
      <c r="I395" s="2"/>
    </row>
    <row r="396" spans="1:9" ht="19.8" customHeight="1" x14ac:dyDescent="0.3">
      <c r="A396" s="155">
        <v>45985</v>
      </c>
      <c r="B396" s="144" t="s">
        <v>104</v>
      </c>
      <c r="C396" s="145" t="s">
        <v>184</v>
      </c>
      <c r="D396" s="144" t="s">
        <v>1</v>
      </c>
      <c r="E396" s="156">
        <v>1.0138888888888891</v>
      </c>
      <c r="F396" s="144" t="s">
        <v>106</v>
      </c>
      <c r="G396" s="146">
        <v>9</v>
      </c>
      <c r="H396" s="157" t="s">
        <v>110</v>
      </c>
      <c r="I396" s="2"/>
    </row>
    <row r="397" spans="1:9" ht="19.8" customHeight="1" x14ac:dyDescent="0.3">
      <c r="A397" s="155">
        <v>45985</v>
      </c>
      <c r="B397" s="144" t="s">
        <v>104</v>
      </c>
      <c r="C397" s="145" t="s">
        <v>111</v>
      </c>
      <c r="D397" s="144" t="s">
        <v>1</v>
      </c>
      <c r="E397" s="156">
        <v>1.552083333333333</v>
      </c>
      <c r="F397" s="144" t="s">
        <v>106</v>
      </c>
      <c r="G397" s="146">
        <v>9</v>
      </c>
      <c r="H397" s="157" t="s">
        <v>110</v>
      </c>
      <c r="I397" s="2"/>
    </row>
    <row r="398" spans="1:9" ht="19.8" customHeight="1" x14ac:dyDescent="0.3">
      <c r="A398" s="155">
        <v>45985</v>
      </c>
      <c r="B398" s="144" t="s">
        <v>104</v>
      </c>
      <c r="C398" s="145" t="s">
        <v>108</v>
      </c>
      <c r="D398" s="144" t="s">
        <v>1</v>
      </c>
      <c r="E398" s="156">
        <v>1.2777777777777779</v>
      </c>
      <c r="F398" s="144" t="s">
        <v>106</v>
      </c>
      <c r="G398" s="146">
        <v>9</v>
      </c>
      <c r="H398" s="157" t="s">
        <v>113</v>
      </c>
      <c r="I398" s="2"/>
    </row>
    <row r="399" spans="1:9" ht="19.8" customHeight="1" x14ac:dyDescent="0.3">
      <c r="A399" s="155">
        <v>45985</v>
      </c>
      <c r="B399" s="144" t="s">
        <v>115</v>
      </c>
      <c r="C399" s="145" t="s">
        <v>116</v>
      </c>
      <c r="D399" s="144" t="s">
        <v>1</v>
      </c>
      <c r="E399" s="156">
        <v>1.3784722222222221</v>
      </c>
      <c r="F399" s="144" t="s">
        <v>117</v>
      </c>
      <c r="G399" s="146">
        <v>9</v>
      </c>
      <c r="H399" s="157" t="s">
        <v>244</v>
      </c>
      <c r="I399" s="2"/>
    </row>
    <row r="400" spans="1:9" ht="19.8" customHeight="1" x14ac:dyDescent="0.3">
      <c r="A400" s="155">
        <v>45985</v>
      </c>
      <c r="B400" s="144" t="s">
        <v>115</v>
      </c>
      <c r="C400" s="145" t="s">
        <v>175</v>
      </c>
      <c r="D400" s="144" t="s">
        <v>1</v>
      </c>
      <c r="E400" s="156">
        <v>1.006944444444444</v>
      </c>
      <c r="F400" s="144" t="s">
        <v>117</v>
      </c>
      <c r="G400" s="146">
        <v>9</v>
      </c>
      <c r="H400" s="157" t="s">
        <v>244</v>
      </c>
      <c r="I400" s="2"/>
    </row>
    <row r="401" spans="1:9" ht="19.8" customHeight="1" x14ac:dyDescent="0.3">
      <c r="A401" s="155">
        <v>45985</v>
      </c>
      <c r="B401" s="144" t="s">
        <v>115</v>
      </c>
      <c r="C401" s="145" t="s">
        <v>174</v>
      </c>
      <c r="D401" s="144" t="s">
        <v>1</v>
      </c>
      <c r="E401" s="156">
        <v>1.1423611111111109</v>
      </c>
      <c r="F401" s="144" t="s">
        <v>117</v>
      </c>
      <c r="G401" s="146">
        <v>9</v>
      </c>
      <c r="H401" s="157" t="s">
        <v>244</v>
      </c>
      <c r="I401" s="2"/>
    </row>
    <row r="402" spans="1:9" ht="19.8" customHeight="1" x14ac:dyDescent="0.3">
      <c r="A402" s="155">
        <v>45985</v>
      </c>
      <c r="B402" s="144" t="s">
        <v>115</v>
      </c>
      <c r="C402" s="145" t="s">
        <v>116</v>
      </c>
      <c r="D402" s="144" t="s">
        <v>1</v>
      </c>
      <c r="E402" s="156">
        <v>1.3784722222222221</v>
      </c>
      <c r="F402" s="144" t="s">
        <v>119</v>
      </c>
      <c r="G402" s="146">
        <v>9</v>
      </c>
      <c r="H402" s="157" t="s">
        <v>245</v>
      </c>
      <c r="I402" s="2"/>
    </row>
    <row r="403" spans="1:9" ht="19.8" customHeight="1" x14ac:dyDescent="0.3">
      <c r="A403" s="155">
        <v>45985</v>
      </c>
      <c r="B403" s="144" t="s">
        <v>115</v>
      </c>
      <c r="C403" s="145" t="s">
        <v>175</v>
      </c>
      <c r="D403" s="144" t="s">
        <v>1</v>
      </c>
      <c r="E403" s="156">
        <v>1.006944444444444</v>
      </c>
      <c r="F403" s="144" t="s">
        <v>119</v>
      </c>
      <c r="G403" s="146">
        <v>9</v>
      </c>
      <c r="H403" s="157" t="s">
        <v>245</v>
      </c>
      <c r="I403" s="2"/>
    </row>
    <row r="404" spans="1:9" ht="19.8" customHeight="1" x14ac:dyDescent="0.3">
      <c r="A404" s="155">
        <v>45985</v>
      </c>
      <c r="B404" s="144" t="s">
        <v>115</v>
      </c>
      <c r="C404" s="145" t="s">
        <v>174</v>
      </c>
      <c r="D404" s="144" t="s">
        <v>1</v>
      </c>
      <c r="E404" s="156">
        <v>1.1423611111111109</v>
      </c>
      <c r="F404" s="144" t="s">
        <v>119</v>
      </c>
      <c r="G404" s="146">
        <v>9</v>
      </c>
      <c r="H404" s="157" t="s">
        <v>245</v>
      </c>
      <c r="I404" s="2"/>
    </row>
    <row r="405" spans="1:9" ht="19.8" customHeight="1" x14ac:dyDescent="0.3">
      <c r="A405" s="155">
        <v>45985</v>
      </c>
      <c r="B405" s="144" t="s">
        <v>115</v>
      </c>
      <c r="C405" s="145" t="s">
        <v>179</v>
      </c>
      <c r="D405" s="144" t="s">
        <v>1</v>
      </c>
      <c r="E405" s="156">
        <v>1.1284722222222221</v>
      </c>
      <c r="F405" s="144" t="s">
        <v>119</v>
      </c>
      <c r="G405" s="146">
        <v>4</v>
      </c>
      <c r="H405" s="157" t="s">
        <v>273</v>
      </c>
      <c r="I405" s="2"/>
    </row>
    <row r="406" spans="1:9" ht="19.8" customHeight="1" x14ac:dyDescent="0.3">
      <c r="A406" s="155">
        <v>45985</v>
      </c>
      <c r="B406" s="144" t="s">
        <v>115</v>
      </c>
      <c r="C406" s="145" t="s">
        <v>129</v>
      </c>
      <c r="D406" s="144" t="s">
        <v>1</v>
      </c>
      <c r="E406" s="156">
        <v>1.6111111111111109</v>
      </c>
      <c r="F406" s="144" t="s">
        <v>117</v>
      </c>
      <c r="G406" s="146">
        <v>9</v>
      </c>
      <c r="H406" s="157" t="s">
        <v>274</v>
      </c>
      <c r="I406" s="2"/>
    </row>
    <row r="407" spans="1:9" ht="19.8" customHeight="1" x14ac:dyDescent="0.3">
      <c r="A407" s="155">
        <v>45985</v>
      </c>
      <c r="B407" s="144" t="s">
        <v>115</v>
      </c>
      <c r="C407" s="145" t="s">
        <v>130</v>
      </c>
      <c r="D407" s="144" t="s">
        <v>1</v>
      </c>
      <c r="E407" s="156">
        <v>1.8888888888888891</v>
      </c>
      <c r="F407" s="144" t="s">
        <v>119</v>
      </c>
      <c r="G407" s="146">
        <v>4</v>
      </c>
      <c r="H407" s="157" t="s">
        <v>246</v>
      </c>
      <c r="I407" s="2"/>
    </row>
    <row r="408" spans="1:9" ht="19.8" customHeight="1" x14ac:dyDescent="0.3">
      <c r="A408" s="155">
        <v>45985</v>
      </c>
      <c r="B408" s="144" t="s">
        <v>115</v>
      </c>
      <c r="C408" s="145" t="s">
        <v>178</v>
      </c>
      <c r="D408" s="144" t="s">
        <v>1</v>
      </c>
      <c r="E408" s="156">
        <v>1.302083333333333</v>
      </c>
      <c r="F408" s="144" t="s">
        <v>119</v>
      </c>
      <c r="G408" s="146">
        <v>4</v>
      </c>
      <c r="H408" s="157" t="s">
        <v>246</v>
      </c>
      <c r="I408" s="2"/>
    </row>
    <row r="409" spans="1:9" ht="19.8" customHeight="1" x14ac:dyDescent="0.3">
      <c r="A409" s="155">
        <v>45985</v>
      </c>
      <c r="B409" s="144" t="s">
        <v>115</v>
      </c>
      <c r="C409" s="145" t="s">
        <v>129</v>
      </c>
      <c r="D409" s="144" t="s">
        <v>1</v>
      </c>
      <c r="E409" s="156">
        <v>1.6111111111111109</v>
      </c>
      <c r="F409" s="144" t="s">
        <v>119</v>
      </c>
      <c r="G409" s="146">
        <v>9</v>
      </c>
      <c r="H409" s="157" t="s">
        <v>275</v>
      </c>
      <c r="I409" s="2"/>
    </row>
    <row r="410" spans="1:9" ht="19.8" customHeight="1" x14ac:dyDescent="0.3">
      <c r="A410" s="155">
        <v>45985</v>
      </c>
      <c r="B410" s="144" t="s">
        <v>115</v>
      </c>
      <c r="C410" s="145" t="s">
        <v>126</v>
      </c>
      <c r="D410" s="144" t="s">
        <v>1</v>
      </c>
      <c r="E410" s="156">
        <v>1.71875</v>
      </c>
      <c r="F410" s="144" t="s">
        <v>117</v>
      </c>
      <c r="G410" s="146">
        <v>9</v>
      </c>
      <c r="H410" s="157" t="s">
        <v>247</v>
      </c>
      <c r="I410" s="2"/>
    </row>
    <row r="411" spans="1:9" ht="19.8" customHeight="1" x14ac:dyDescent="0.3">
      <c r="A411" s="155">
        <v>45985</v>
      </c>
      <c r="B411" s="144" t="s">
        <v>115</v>
      </c>
      <c r="C411" s="145" t="s">
        <v>125</v>
      </c>
      <c r="D411" s="144" t="s">
        <v>1</v>
      </c>
      <c r="E411" s="156">
        <v>1.8298611111111109</v>
      </c>
      <c r="F411" s="144" t="s">
        <v>117</v>
      </c>
      <c r="G411" s="146">
        <v>9</v>
      </c>
      <c r="H411" s="157" t="s">
        <v>247</v>
      </c>
      <c r="I411" s="2"/>
    </row>
    <row r="412" spans="1:9" ht="19.8" customHeight="1" x14ac:dyDescent="0.3">
      <c r="A412" s="155">
        <v>45985</v>
      </c>
      <c r="B412" s="144" t="s">
        <v>115</v>
      </c>
      <c r="C412" s="145" t="s">
        <v>126</v>
      </c>
      <c r="D412" s="144" t="s">
        <v>1</v>
      </c>
      <c r="E412" s="156">
        <v>1.71875</v>
      </c>
      <c r="F412" s="144" t="s">
        <v>119</v>
      </c>
      <c r="G412" s="146">
        <v>9</v>
      </c>
      <c r="H412" s="157" t="s">
        <v>248</v>
      </c>
      <c r="I412" s="2"/>
    </row>
    <row r="413" spans="1:9" ht="19.8" customHeight="1" x14ac:dyDescent="0.3">
      <c r="A413" s="155">
        <v>45985</v>
      </c>
      <c r="B413" s="144" t="s">
        <v>115</v>
      </c>
      <c r="C413" s="145" t="s">
        <v>125</v>
      </c>
      <c r="D413" s="144" t="s">
        <v>1</v>
      </c>
      <c r="E413" s="156">
        <v>1.8298611111111109</v>
      </c>
      <c r="F413" s="144" t="s">
        <v>119</v>
      </c>
      <c r="G413" s="146">
        <v>9</v>
      </c>
      <c r="H413" s="157" t="s">
        <v>248</v>
      </c>
      <c r="I413" s="2"/>
    </row>
    <row r="414" spans="1:9" ht="19.8" customHeight="1" x14ac:dyDescent="0.3">
      <c r="A414" s="155">
        <v>45985</v>
      </c>
      <c r="B414" s="144" t="s">
        <v>104</v>
      </c>
      <c r="C414" s="145" t="s">
        <v>114</v>
      </c>
      <c r="D414" s="144" t="s">
        <v>1</v>
      </c>
      <c r="E414" s="156">
        <v>1.774305555555556</v>
      </c>
      <c r="F414" s="144" t="s">
        <v>106</v>
      </c>
      <c r="G414" s="146">
        <v>9</v>
      </c>
      <c r="H414" s="157" t="s">
        <v>276</v>
      </c>
      <c r="I414" s="2"/>
    </row>
    <row r="415" spans="1:9" ht="19.8" customHeight="1" x14ac:dyDescent="0.3">
      <c r="A415" s="155">
        <v>45985</v>
      </c>
      <c r="B415" s="144" t="s">
        <v>115</v>
      </c>
      <c r="C415" s="145" t="s">
        <v>132</v>
      </c>
      <c r="D415" s="144" t="s">
        <v>1</v>
      </c>
      <c r="E415" s="156">
        <v>1.788194444444444</v>
      </c>
      <c r="F415" s="144" t="s">
        <v>119</v>
      </c>
      <c r="G415" s="146">
        <v>4</v>
      </c>
      <c r="H415" s="157" t="s">
        <v>131</v>
      </c>
      <c r="I415" s="2"/>
    </row>
    <row r="416" spans="1:9" ht="19.8" customHeight="1" x14ac:dyDescent="0.3">
      <c r="A416" s="158">
        <v>45985</v>
      </c>
      <c r="B416" s="159" t="s">
        <v>104</v>
      </c>
      <c r="C416" s="160" t="s">
        <v>112</v>
      </c>
      <c r="D416" s="159" t="s">
        <v>1</v>
      </c>
      <c r="E416" s="161">
        <v>1.958333333333333</v>
      </c>
      <c r="F416" s="159" t="s">
        <v>106</v>
      </c>
      <c r="G416" s="162">
        <v>6</v>
      </c>
      <c r="H416" s="163" t="s">
        <v>189</v>
      </c>
      <c r="I416" s="2"/>
    </row>
    <row r="417" spans="1:9" ht="19.8" customHeight="1" x14ac:dyDescent="0.3">
      <c r="A417" s="155">
        <v>45986</v>
      </c>
      <c r="B417" s="144" t="s">
        <v>41</v>
      </c>
      <c r="C417" s="145" t="s">
        <v>133</v>
      </c>
      <c r="D417" s="144" t="s">
        <v>1</v>
      </c>
      <c r="E417" s="156">
        <v>1.1284722222222221</v>
      </c>
      <c r="F417" s="144" t="s">
        <v>43</v>
      </c>
      <c r="G417" s="146">
        <v>10</v>
      </c>
      <c r="H417" s="147">
        <v>419</v>
      </c>
      <c r="I417" s="2"/>
    </row>
    <row r="418" spans="1:9" ht="19.8" customHeight="1" x14ac:dyDescent="0.3">
      <c r="A418" s="155">
        <v>45986</v>
      </c>
      <c r="B418" s="144" t="s">
        <v>41</v>
      </c>
      <c r="C418" s="145" t="s">
        <v>50</v>
      </c>
      <c r="D418" s="144" t="s">
        <v>1</v>
      </c>
      <c r="E418" s="156">
        <v>1.788194444444444</v>
      </c>
      <c r="F418" s="144" t="s">
        <v>43</v>
      </c>
      <c r="G418" s="146">
        <v>6</v>
      </c>
      <c r="H418" s="147">
        <v>419</v>
      </c>
      <c r="I418" s="2"/>
    </row>
    <row r="419" spans="1:9" ht="19.8" customHeight="1" x14ac:dyDescent="0.3">
      <c r="A419" s="155">
        <v>45986</v>
      </c>
      <c r="B419" s="144" t="s">
        <v>41</v>
      </c>
      <c r="C419" s="145" t="s">
        <v>56</v>
      </c>
      <c r="D419" s="144" t="s">
        <v>1</v>
      </c>
      <c r="E419" s="156">
        <v>1.8888888888888891</v>
      </c>
      <c r="F419" s="144" t="s">
        <v>43</v>
      </c>
      <c r="G419" s="146">
        <v>9</v>
      </c>
      <c r="H419" s="147">
        <v>419</v>
      </c>
      <c r="I419" s="2"/>
    </row>
    <row r="420" spans="1:9" ht="19.8" customHeight="1" x14ac:dyDescent="0.3">
      <c r="A420" s="155">
        <v>45986</v>
      </c>
      <c r="B420" s="144" t="s">
        <v>61</v>
      </c>
      <c r="C420" s="145" t="s">
        <v>137</v>
      </c>
      <c r="D420" s="144" t="s">
        <v>1</v>
      </c>
      <c r="E420" s="156">
        <v>1.256944444444444</v>
      </c>
      <c r="F420" s="144" t="s">
        <v>63</v>
      </c>
      <c r="G420" s="146">
        <v>1</v>
      </c>
      <c r="H420" s="147">
        <v>449</v>
      </c>
      <c r="I420" s="2"/>
    </row>
    <row r="421" spans="1:9" ht="19.8" customHeight="1" x14ac:dyDescent="0.3">
      <c r="A421" s="155">
        <v>45986</v>
      </c>
      <c r="B421" s="144" t="s">
        <v>61</v>
      </c>
      <c r="C421" s="145" t="s">
        <v>74</v>
      </c>
      <c r="D421" s="144" t="s">
        <v>1</v>
      </c>
      <c r="E421" s="156">
        <v>1.9027777777777779</v>
      </c>
      <c r="F421" s="144" t="s">
        <v>63</v>
      </c>
      <c r="G421" s="146">
        <v>7</v>
      </c>
      <c r="H421" s="147">
        <v>449</v>
      </c>
      <c r="I421" s="2"/>
    </row>
    <row r="422" spans="1:9" ht="19.8" customHeight="1" x14ac:dyDescent="0.3">
      <c r="A422" s="155">
        <v>45986</v>
      </c>
      <c r="B422" s="144" t="s">
        <v>61</v>
      </c>
      <c r="C422" s="145" t="s">
        <v>78</v>
      </c>
      <c r="D422" s="144" t="s">
        <v>1</v>
      </c>
      <c r="E422" s="156">
        <v>1.645833333333333</v>
      </c>
      <c r="F422" s="144" t="s">
        <v>63</v>
      </c>
      <c r="G422" s="146">
        <v>9</v>
      </c>
      <c r="H422" s="147">
        <v>449</v>
      </c>
      <c r="I422" s="2"/>
    </row>
    <row r="423" spans="1:9" ht="19.8" customHeight="1" x14ac:dyDescent="0.3">
      <c r="A423" s="155">
        <v>45986</v>
      </c>
      <c r="B423" s="144" t="s">
        <v>61</v>
      </c>
      <c r="C423" s="145" t="s">
        <v>62</v>
      </c>
      <c r="D423" s="144" t="s">
        <v>1</v>
      </c>
      <c r="E423" s="156">
        <v>1.5173611111111109</v>
      </c>
      <c r="F423" s="144" t="s">
        <v>63</v>
      </c>
      <c r="G423" s="146">
        <v>9</v>
      </c>
      <c r="H423" s="147">
        <v>449</v>
      </c>
      <c r="I423" s="2"/>
    </row>
    <row r="424" spans="1:9" ht="19.8" customHeight="1" x14ac:dyDescent="0.3">
      <c r="A424" s="155">
        <v>45986</v>
      </c>
      <c r="B424" s="144" t="s">
        <v>61</v>
      </c>
      <c r="C424" s="145" t="s">
        <v>69</v>
      </c>
      <c r="D424" s="144" t="s">
        <v>1</v>
      </c>
      <c r="E424" s="156">
        <v>1.854166666666667</v>
      </c>
      <c r="F424" s="144" t="s">
        <v>63</v>
      </c>
      <c r="G424" s="146">
        <v>9</v>
      </c>
      <c r="H424" s="147">
        <v>449</v>
      </c>
      <c r="I424" s="2"/>
    </row>
    <row r="425" spans="1:9" ht="19.8" customHeight="1" x14ac:dyDescent="0.3">
      <c r="A425" s="155">
        <v>45986</v>
      </c>
      <c r="B425" s="144" t="s">
        <v>61</v>
      </c>
      <c r="C425" s="145" t="s">
        <v>79</v>
      </c>
      <c r="D425" s="144" t="s">
        <v>1</v>
      </c>
      <c r="E425" s="156">
        <v>1.302083333333333</v>
      </c>
      <c r="F425" s="144" t="s">
        <v>63</v>
      </c>
      <c r="G425" s="146">
        <v>2</v>
      </c>
      <c r="H425" s="147">
        <v>449</v>
      </c>
      <c r="I425" s="2"/>
    </row>
    <row r="426" spans="1:9" ht="19.8" customHeight="1" x14ac:dyDescent="0.3">
      <c r="A426" s="155">
        <v>45986</v>
      </c>
      <c r="B426" s="144" t="s">
        <v>61</v>
      </c>
      <c r="C426" s="145" t="s">
        <v>73</v>
      </c>
      <c r="D426" s="144" t="s">
        <v>1</v>
      </c>
      <c r="E426" s="156">
        <v>1.7986111111111109</v>
      </c>
      <c r="F426" s="144" t="s">
        <v>63</v>
      </c>
      <c r="G426" s="146">
        <v>8</v>
      </c>
      <c r="H426" s="147">
        <v>449</v>
      </c>
      <c r="I426" s="2"/>
    </row>
    <row r="427" spans="1:9" ht="19.8" customHeight="1" x14ac:dyDescent="0.3">
      <c r="A427" s="153">
        <v>45986</v>
      </c>
      <c r="B427" s="149" t="s">
        <v>81</v>
      </c>
      <c r="C427" s="150" t="s">
        <v>82</v>
      </c>
      <c r="D427" s="149" t="s">
        <v>1</v>
      </c>
      <c r="E427" s="154">
        <v>1.729166666666667</v>
      </c>
      <c r="F427" s="149" t="s">
        <v>83</v>
      </c>
      <c r="G427" s="151">
        <v>4</v>
      </c>
      <c r="H427" s="152">
        <v>471</v>
      </c>
      <c r="I427" s="2"/>
    </row>
    <row r="428" spans="1:9" ht="19.8" customHeight="1" x14ac:dyDescent="0.3">
      <c r="A428" s="153">
        <v>45986</v>
      </c>
      <c r="B428" s="149" t="s">
        <v>81</v>
      </c>
      <c r="C428" s="150" t="s">
        <v>159</v>
      </c>
      <c r="D428" s="149" t="s">
        <v>1</v>
      </c>
      <c r="E428" s="154">
        <v>1.229166666666667</v>
      </c>
      <c r="F428" s="149" t="s">
        <v>83</v>
      </c>
      <c r="G428" s="151">
        <v>1</v>
      </c>
      <c r="H428" s="152">
        <v>471</v>
      </c>
      <c r="I428" s="2"/>
    </row>
    <row r="429" spans="1:9" ht="19.8" customHeight="1" x14ac:dyDescent="0.3">
      <c r="A429" s="153">
        <v>45986</v>
      </c>
      <c r="B429" s="149" t="s">
        <v>81</v>
      </c>
      <c r="C429" s="150" t="s">
        <v>89</v>
      </c>
      <c r="D429" s="149" t="s">
        <v>1</v>
      </c>
      <c r="E429" s="154">
        <v>1.96875</v>
      </c>
      <c r="F429" s="149" t="s">
        <v>83</v>
      </c>
      <c r="G429" s="151">
        <v>8</v>
      </c>
      <c r="H429" s="152">
        <v>471</v>
      </c>
      <c r="I429" s="2"/>
    </row>
    <row r="430" spans="1:9" ht="19.8" customHeight="1" x14ac:dyDescent="0.3">
      <c r="A430" s="153">
        <v>45986</v>
      </c>
      <c r="B430" s="149" t="s">
        <v>81</v>
      </c>
      <c r="C430" s="150" t="s">
        <v>146</v>
      </c>
      <c r="D430" s="149" t="s">
        <v>1</v>
      </c>
      <c r="E430" s="154">
        <v>1.9340277777777779</v>
      </c>
      <c r="F430" s="149" t="s">
        <v>83</v>
      </c>
      <c r="G430" s="151">
        <v>5</v>
      </c>
      <c r="H430" s="152">
        <v>526</v>
      </c>
      <c r="I430" s="2"/>
    </row>
    <row r="431" spans="1:9" ht="19.8" customHeight="1" x14ac:dyDescent="0.3">
      <c r="A431" s="153">
        <v>45986</v>
      </c>
      <c r="B431" s="149" t="s">
        <v>81</v>
      </c>
      <c r="C431" s="150" t="s">
        <v>94</v>
      </c>
      <c r="D431" s="149" t="s">
        <v>1</v>
      </c>
      <c r="E431" s="154">
        <v>1.614583333333333</v>
      </c>
      <c r="F431" s="149" t="s">
        <v>83</v>
      </c>
      <c r="G431" s="151">
        <v>7</v>
      </c>
      <c r="H431" s="152">
        <v>526</v>
      </c>
      <c r="I431" s="2"/>
    </row>
    <row r="432" spans="1:9" ht="19.8" customHeight="1" x14ac:dyDescent="0.3">
      <c r="A432" s="155">
        <v>45986</v>
      </c>
      <c r="B432" s="144" t="s">
        <v>61</v>
      </c>
      <c r="C432" s="145" t="s">
        <v>72</v>
      </c>
      <c r="D432" s="144" t="s">
        <v>1</v>
      </c>
      <c r="E432" s="156">
        <v>1.395833333333333</v>
      </c>
      <c r="F432" s="144" t="s">
        <v>63</v>
      </c>
      <c r="G432" s="146">
        <v>2</v>
      </c>
      <c r="H432" s="147">
        <v>529</v>
      </c>
      <c r="I432" s="2"/>
    </row>
    <row r="433" spans="1:9" ht="19.8" customHeight="1" x14ac:dyDescent="0.3">
      <c r="A433" s="155">
        <v>45986</v>
      </c>
      <c r="B433" s="144" t="s">
        <v>100</v>
      </c>
      <c r="C433" s="145" t="s">
        <v>216</v>
      </c>
      <c r="D433" s="144" t="s">
        <v>1</v>
      </c>
      <c r="E433" s="156">
        <v>1.2222222222222221</v>
      </c>
      <c r="F433" s="144" t="s">
        <v>102</v>
      </c>
      <c r="G433" s="146">
        <v>9</v>
      </c>
      <c r="H433" s="147">
        <v>529</v>
      </c>
      <c r="I433" s="2"/>
    </row>
    <row r="434" spans="1:9" ht="19.8" customHeight="1" x14ac:dyDescent="0.3">
      <c r="A434" s="155">
        <v>45986</v>
      </c>
      <c r="B434" s="144" t="s">
        <v>41</v>
      </c>
      <c r="C434" s="145" t="s">
        <v>42</v>
      </c>
      <c r="D434" s="144" t="s">
        <v>1</v>
      </c>
      <c r="E434" s="156">
        <v>1.302083333333333</v>
      </c>
      <c r="F434" s="144" t="s">
        <v>43</v>
      </c>
      <c r="G434" s="146">
        <v>8</v>
      </c>
      <c r="H434" s="147">
        <v>539</v>
      </c>
      <c r="I434" s="2"/>
    </row>
    <row r="435" spans="1:9" ht="19.8" customHeight="1" x14ac:dyDescent="0.3">
      <c r="A435" s="155">
        <v>45986</v>
      </c>
      <c r="B435" s="144" t="s">
        <v>61</v>
      </c>
      <c r="C435" s="145" t="s">
        <v>137</v>
      </c>
      <c r="D435" s="144" t="s">
        <v>1</v>
      </c>
      <c r="E435" s="156">
        <v>1.256944444444444</v>
      </c>
      <c r="F435" s="144" t="s">
        <v>65</v>
      </c>
      <c r="G435" s="146">
        <v>1</v>
      </c>
      <c r="H435" s="147">
        <v>549</v>
      </c>
      <c r="I435" s="2"/>
    </row>
    <row r="436" spans="1:9" ht="19.8" customHeight="1" x14ac:dyDescent="0.3">
      <c r="A436" s="155">
        <v>45986</v>
      </c>
      <c r="B436" s="144" t="s">
        <v>61</v>
      </c>
      <c r="C436" s="145" t="s">
        <v>74</v>
      </c>
      <c r="D436" s="144" t="s">
        <v>1</v>
      </c>
      <c r="E436" s="156">
        <v>1.9027777777777779</v>
      </c>
      <c r="F436" s="144" t="s">
        <v>65</v>
      </c>
      <c r="G436" s="146">
        <v>7</v>
      </c>
      <c r="H436" s="147">
        <v>549</v>
      </c>
      <c r="I436" s="2"/>
    </row>
    <row r="437" spans="1:9" ht="19.8" customHeight="1" x14ac:dyDescent="0.3">
      <c r="A437" s="155">
        <v>45986</v>
      </c>
      <c r="B437" s="144" t="s">
        <v>61</v>
      </c>
      <c r="C437" s="145" t="s">
        <v>78</v>
      </c>
      <c r="D437" s="144" t="s">
        <v>1</v>
      </c>
      <c r="E437" s="156">
        <v>1.645833333333333</v>
      </c>
      <c r="F437" s="144" t="s">
        <v>65</v>
      </c>
      <c r="G437" s="146">
        <v>9</v>
      </c>
      <c r="H437" s="147">
        <v>549</v>
      </c>
      <c r="I437" s="2"/>
    </row>
    <row r="438" spans="1:9" ht="19.8" customHeight="1" x14ac:dyDescent="0.3">
      <c r="A438" s="155">
        <v>45986</v>
      </c>
      <c r="B438" s="144" t="s">
        <v>61</v>
      </c>
      <c r="C438" s="145" t="s">
        <v>62</v>
      </c>
      <c r="D438" s="144" t="s">
        <v>1</v>
      </c>
      <c r="E438" s="156">
        <v>1.5173611111111109</v>
      </c>
      <c r="F438" s="144" t="s">
        <v>65</v>
      </c>
      <c r="G438" s="146">
        <v>9</v>
      </c>
      <c r="H438" s="147">
        <v>549</v>
      </c>
      <c r="I438" s="2"/>
    </row>
    <row r="439" spans="1:9" ht="19.8" customHeight="1" x14ac:dyDescent="0.3">
      <c r="A439" s="155">
        <v>45986</v>
      </c>
      <c r="B439" s="144" t="s">
        <v>61</v>
      </c>
      <c r="C439" s="145" t="s">
        <v>69</v>
      </c>
      <c r="D439" s="144" t="s">
        <v>1</v>
      </c>
      <c r="E439" s="156">
        <v>1.854166666666667</v>
      </c>
      <c r="F439" s="144" t="s">
        <v>65</v>
      </c>
      <c r="G439" s="146">
        <v>9</v>
      </c>
      <c r="H439" s="147">
        <v>549</v>
      </c>
      <c r="I439" s="2"/>
    </row>
    <row r="440" spans="1:9" ht="19.8" customHeight="1" x14ac:dyDescent="0.3">
      <c r="A440" s="155">
        <v>45986</v>
      </c>
      <c r="B440" s="144" t="s">
        <v>61</v>
      </c>
      <c r="C440" s="145" t="s">
        <v>79</v>
      </c>
      <c r="D440" s="144" t="s">
        <v>1</v>
      </c>
      <c r="E440" s="156">
        <v>1.302083333333333</v>
      </c>
      <c r="F440" s="144" t="s">
        <v>65</v>
      </c>
      <c r="G440" s="146">
        <v>2</v>
      </c>
      <c r="H440" s="147">
        <v>549</v>
      </c>
      <c r="I440" s="2"/>
    </row>
    <row r="441" spans="1:9" ht="19.8" customHeight="1" x14ac:dyDescent="0.3">
      <c r="A441" s="155">
        <v>45986</v>
      </c>
      <c r="B441" s="144" t="s">
        <v>61</v>
      </c>
      <c r="C441" s="145" t="s">
        <v>73</v>
      </c>
      <c r="D441" s="144" t="s">
        <v>1</v>
      </c>
      <c r="E441" s="156">
        <v>1.7986111111111109</v>
      </c>
      <c r="F441" s="144" t="s">
        <v>65</v>
      </c>
      <c r="G441" s="146">
        <v>8</v>
      </c>
      <c r="H441" s="147">
        <v>549</v>
      </c>
      <c r="I441" s="2"/>
    </row>
    <row r="442" spans="1:9" ht="19.8" customHeight="1" x14ac:dyDescent="0.3">
      <c r="A442" s="155">
        <v>45986</v>
      </c>
      <c r="B442" s="144" t="s">
        <v>41</v>
      </c>
      <c r="C442" s="145" t="s">
        <v>133</v>
      </c>
      <c r="D442" s="144" t="s">
        <v>1</v>
      </c>
      <c r="E442" s="156">
        <v>1.1284722222222221</v>
      </c>
      <c r="F442" s="144" t="s">
        <v>45</v>
      </c>
      <c r="G442" s="146">
        <v>10</v>
      </c>
      <c r="H442" s="147">
        <v>569</v>
      </c>
      <c r="I442" s="2"/>
    </row>
    <row r="443" spans="1:9" ht="19.8" customHeight="1" x14ac:dyDescent="0.3">
      <c r="A443" s="155">
        <v>45986</v>
      </c>
      <c r="B443" s="144" t="s">
        <v>41</v>
      </c>
      <c r="C443" s="145" t="s">
        <v>50</v>
      </c>
      <c r="D443" s="144" t="s">
        <v>1</v>
      </c>
      <c r="E443" s="156">
        <v>1.788194444444444</v>
      </c>
      <c r="F443" s="144" t="s">
        <v>45</v>
      </c>
      <c r="G443" s="146">
        <v>6</v>
      </c>
      <c r="H443" s="147">
        <v>569</v>
      </c>
      <c r="I443" s="2"/>
    </row>
    <row r="444" spans="1:9" ht="19.8" customHeight="1" x14ac:dyDescent="0.3">
      <c r="A444" s="155">
        <v>45986</v>
      </c>
      <c r="B444" s="144" t="s">
        <v>41</v>
      </c>
      <c r="C444" s="145" t="s">
        <v>56</v>
      </c>
      <c r="D444" s="144" t="s">
        <v>1</v>
      </c>
      <c r="E444" s="156">
        <v>1.8888888888888891</v>
      </c>
      <c r="F444" s="144" t="s">
        <v>45</v>
      </c>
      <c r="G444" s="146">
        <v>9</v>
      </c>
      <c r="H444" s="147">
        <v>569</v>
      </c>
      <c r="I444" s="2"/>
    </row>
    <row r="445" spans="1:9" ht="19.8" customHeight="1" x14ac:dyDescent="0.3">
      <c r="A445" s="155">
        <v>45986</v>
      </c>
      <c r="B445" s="144" t="s">
        <v>26</v>
      </c>
      <c r="C445" s="145" t="s">
        <v>27</v>
      </c>
      <c r="D445" s="144" t="s">
        <v>1</v>
      </c>
      <c r="E445" s="156">
        <v>1.274305555555556</v>
      </c>
      <c r="F445" s="144" t="s">
        <v>28</v>
      </c>
      <c r="G445" s="146">
        <v>9</v>
      </c>
      <c r="H445" s="147">
        <v>595</v>
      </c>
      <c r="I445" s="2"/>
    </row>
    <row r="446" spans="1:9" ht="19.8" customHeight="1" x14ac:dyDescent="0.3">
      <c r="A446" s="155">
        <v>45986</v>
      </c>
      <c r="B446" s="144" t="s">
        <v>26</v>
      </c>
      <c r="C446" s="145" t="s">
        <v>31</v>
      </c>
      <c r="D446" s="144" t="s">
        <v>1</v>
      </c>
      <c r="E446" s="156">
        <v>1.739583333333333</v>
      </c>
      <c r="F446" s="144" t="s">
        <v>28</v>
      </c>
      <c r="G446" s="146">
        <v>7</v>
      </c>
      <c r="H446" s="147">
        <v>595</v>
      </c>
      <c r="I446" s="2"/>
    </row>
    <row r="447" spans="1:9" ht="19.8" customHeight="1" x14ac:dyDescent="0.3">
      <c r="A447" s="155">
        <v>45986</v>
      </c>
      <c r="B447" s="144" t="s">
        <v>34</v>
      </c>
      <c r="C447" s="145" t="s">
        <v>35</v>
      </c>
      <c r="D447" s="144" t="s">
        <v>1</v>
      </c>
      <c r="E447" s="156">
        <v>1.666666666666667</v>
      </c>
      <c r="F447" s="144" t="s">
        <v>28</v>
      </c>
      <c r="G447" s="146">
        <v>7</v>
      </c>
      <c r="H447" s="147">
        <v>599</v>
      </c>
      <c r="I447" s="2"/>
    </row>
    <row r="448" spans="1:9" ht="19.8" customHeight="1" x14ac:dyDescent="0.3">
      <c r="A448" s="155">
        <v>45986</v>
      </c>
      <c r="B448" s="144" t="s">
        <v>34</v>
      </c>
      <c r="C448" s="145" t="s">
        <v>38</v>
      </c>
      <c r="D448" s="144" t="s">
        <v>1</v>
      </c>
      <c r="E448" s="156">
        <v>1.364583333333333</v>
      </c>
      <c r="F448" s="144" t="s">
        <v>28</v>
      </c>
      <c r="G448" s="146">
        <v>9</v>
      </c>
      <c r="H448" s="147">
        <v>599</v>
      </c>
      <c r="I448" s="2"/>
    </row>
    <row r="449" spans="1:9" ht="19.8" customHeight="1" x14ac:dyDescent="0.3">
      <c r="A449" s="155">
        <v>45986</v>
      </c>
      <c r="B449" s="144" t="s">
        <v>34</v>
      </c>
      <c r="C449" s="145" t="s">
        <v>294</v>
      </c>
      <c r="D449" s="144" t="s">
        <v>1</v>
      </c>
      <c r="E449" s="156">
        <v>1.0451388888888891</v>
      </c>
      <c r="F449" s="144" t="s">
        <v>28</v>
      </c>
      <c r="G449" s="146">
        <v>6</v>
      </c>
      <c r="H449" s="147">
        <v>599</v>
      </c>
      <c r="I449" s="2"/>
    </row>
    <row r="450" spans="1:9" ht="19.8" customHeight="1" x14ac:dyDescent="0.3">
      <c r="A450" s="155">
        <v>45986</v>
      </c>
      <c r="B450" s="144" t="s">
        <v>61</v>
      </c>
      <c r="C450" s="145" t="s">
        <v>72</v>
      </c>
      <c r="D450" s="144" t="s">
        <v>1</v>
      </c>
      <c r="E450" s="156">
        <v>1.395833333333333</v>
      </c>
      <c r="F450" s="144" t="s">
        <v>65</v>
      </c>
      <c r="G450" s="146">
        <v>2</v>
      </c>
      <c r="H450" s="147">
        <v>629</v>
      </c>
      <c r="I450" s="2"/>
    </row>
    <row r="451" spans="1:9" ht="19.8" customHeight="1" x14ac:dyDescent="0.3">
      <c r="A451" s="155">
        <v>45986</v>
      </c>
      <c r="B451" s="144" t="s">
        <v>61</v>
      </c>
      <c r="C451" s="145" t="s">
        <v>137</v>
      </c>
      <c r="D451" s="144" t="s">
        <v>1</v>
      </c>
      <c r="E451" s="156">
        <v>1.256944444444444</v>
      </c>
      <c r="F451" s="144" t="s">
        <v>67</v>
      </c>
      <c r="G451" s="146">
        <v>1</v>
      </c>
      <c r="H451" s="147">
        <v>639</v>
      </c>
      <c r="I451" s="2"/>
    </row>
    <row r="452" spans="1:9" ht="19.8" customHeight="1" x14ac:dyDescent="0.3">
      <c r="A452" s="155">
        <v>45986</v>
      </c>
      <c r="B452" s="144" t="s">
        <v>61</v>
      </c>
      <c r="C452" s="145" t="s">
        <v>74</v>
      </c>
      <c r="D452" s="144" t="s">
        <v>1</v>
      </c>
      <c r="E452" s="156">
        <v>1.9027777777777779</v>
      </c>
      <c r="F452" s="144" t="s">
        <v>67</v>
      </c>
      <c r="G452" s="146">
        <v>7</v>
      </c>
      <c r="H452" s="147">
        <v>639</v>
      </c>
      <c r="I452" s="2"/>
    </row>
    <row r="453" spans="1:9" ht="19.8" customHeight="1" x14ac:dyDescent="0.3">
      <c r="A453" s="155">
        <v>45986</v>
      </c>
      <c r="B453" s="144" t="s">
        <v>61</v>
      </c>
      <c r="C453" s="145" t="s">
        <v>78</v>
      </c>
      <c r="D453" s="144" t="s">
        <v>1</v>
      </c>
      <c r="E453" s="156">
        <v>1.645833333333333</v>
      </c>
      <c r="F453" s="144" t="s">
        <v>67</v>
      </c>
      <c r="G453" s="146">
        <v>9</v>
      </c>
      <c r="H453" s="147">
        <v>639</v>
      </c>
      <c r="I453" s="2"/>
    </row>
    <row r="454" spans="1:9" ht="19.8" customHeight="1" x14ac:dyDescent="0.3">
      <c r="A454" s="155">
        <v>45986</v>
      </c>
      <c r="B454" s="144" t="s">
        <v>61</v>
      </c>
      <c r="C454" s="145" t="s">
        <v>62</v>
      </c>
      <c r="D454" s="144" t="s">
        <v>1</v>
      </c>
      <c r="E454" s="156">
        <v>1.5173611111111109</v>
      </c>
      <c r="F454" s="144" t="s">
        <v>67</v>
      </c>
      <c r="G454" s="146">
        <v>9</v>
      </c>
      <c r="H454" s="147">
        <v>639</v>
      </c>
      <c r="I454" s="2"/>
    </row>
    <row r="455" spans="1:9" ht="19.8" customHeight="1" x14ac:dyDescent="0.3">
      <c r="A455" s="155">
        <v>45986</v>
      </c>
      <c r="B455" s="144" t="s">
        <v>61</v>
      </c>
      <c r="C455" s="145" t="s">
        <v>69</v>
      </c>
      <c r="D455" s="144" t="s">
        <v>1</v>
      </c>
      <c r="E455" s="156">
        <v>1.854166666666667</v>
      </c>
      <c r="F455" s="144" t="s">
        <v>67</v>
      </c>
      <c r="G455" s="146">
        <v>9</v>
      </c>
      <c r="H455" s="147">
        <v>639</v>
      </c>
      <c r="I455" s="2"/>
    </row>
    <row r="456" spans="1:9" ht="19.8" customHeight="1" x14ac:dyDescent="0.3">
      <c r="A456" s="155">
        <v>45986</v>
      </c>
      <c r="B456" s="144" t="s">
        <v>61</v>
      </c>
      <c r="C456" s="145" t="s">
        <v>79</v>
      </c>
      <c r="D456" s="144" t="s">
        <v>1</v>
      </c>
      <c r="E456" s="156">
        <v>1.302083333333333</v>
      </c>
      <c r="F456" s="144" t="s">
        <v>67</v>
      </c>
      <c r="G456" s="146">
        <v>2</v>
      </c>
      <c r="H456" s="147">
        <v>639</v>
      </c>
      <c r="I456" s="2"/>
    </row>
    <row r="457" spans="1:9" ht="19.8" customHeight="1" x14ac:dyDescent="0.3">
      <c r="A457" s="155">
        <v>45986</v>
      </c>
      <c r="B457" s="144" t="s">
        <v>61</v>
      </c>
      <c r="C457" s="145" t="s">
        <v>73</v>
      </c>
      <c r="D457" s="144" t="s">
        <v>1</v>
      </c>
      <c r="E457" s="156">
        <v>1.7986111111111109</v>
      </c>
      <c r="F457" s="144" t="s">
        <v>67</v>
      </c>
      <c r="G457" s="146">
        <v>8</v>
      </c>
      <c r="H457" s="147">
        <v>639</v>
      </c>
      <c r="I457" s="2"/>
    </row>
    <row r="458" spans="1:9" ht="19.8" customHeight="1" x14ac:dyDescent="0.3">
      <c r="A458" s="155">
        <v>45986</v>
      </c>
      <c r="B458" s="144" t="s">
        <v>100</v>
      </c>
      <c r="C458" s="145" t="s">
        <v>216</v>
      </c>
      <c r="D458" s="144" t="s">
        <v>1</v>
      </c>
      <c r="E458" s="156">
        <v>1.2222222222222221</v>
      </c>
      <c r="F458" s="144" t="s">
        <v>48</v>
      </c>
      <c r="G458" s="146">
        <v>9</v>
      </c>
      <c r="H458" s="147">
        <v>652</v>
      </c>
      <c r="I458" s="2"/>
    </row>
    <row r="459" spans="1:9" ht="19.8" customHeight="1" x14ac:dyDescent="0.3">
      <c r="A459" s="155">
        <v>45986</v>
      </c>
      <c r="B459" s="144" t="s">
        <v>41</v>
      </c>
      <c r="C459" s="145" t="s">
        <v>42</v>
      </c>
      <c r="D459" s="144" t="s">
        <v>1</v>
      </c>
      <c r="E459" s="156">
        <v>1.302083333333333</v>
      </c>
      <c r="F459" s="144" t="s">
        <v>45</v>
      </c>
      <c r="G459" s="146">
        <v>8</v>
      </c>
      <c r="H459" s="147">
        <v>689</v>
      </c>
      <c r="I459" s="2"/>
    </row>
    <row r="460" spans="1:9" ht="19.8" customHeight="1" x14ac:dyDescent="0.3">
      <c r="A460" s="155">
        <v>45986</v>
      </c>
      <c r="B460" s="144" t="s">
        <v>61</v>
      </c>
      <c r="C460" s="145" t="s">
        <v>72</v>
      </c>
      <c r="D460" s="144" t="s">
        <v>1</v>
      </c>
      <c r="E460" s="156">
        <v>1.395833333333333</v>
      </c>
      <c r="F460" s="144" t="s">
        <v>67</v>
      </c>
      <c r="G460" s="146">
        <v>2</v>
      </c>
      <c r="H460" s="147">
        <v>719</v>
      </c>
      <c r="I460" s="2"/>
    </row>
    <row r="461" spans="1:9" ht="19.8" customHeight="1" x14ac:dyDescent="0.3">
      <c r="A461" s="155">
        <v>45986</v>
      </c>
      <c r="B461" s="144" t="s">
        <v>115</v>
      </c>
      <c r="C461" s="145" t="s">
        <v>116</v>
      </c>
      <c r="D461" s="144" t="s">
        <v>1</v>
      </c>
      <c r="E461" s="156">
        <v>1.3784722222222221</v>
      </c>
      <c r="F461" s="144" t="s">
        <v>117</v>
      </c>
      <c r="G461" s="146">
        <v>9</v>
      </c>
      <c r="H461" s="147">
        <v>935</v>
      </c>
      <c r="I461" s="2"/>
    </row>
    <row r="462" spans="1:9" ht="19.8" customHeight="1" x14ac:dyDescent="0.3">
      <c r="A462" s="155">
        <v>45986</v>
      </c>
      <c r="B462" s="144" t="s">
        <v>115</v>
      </c>
      <c r="C462" s="145" t="s">
        <v>175</v>
      </c>
      <c r="D462" s="144" t="s">
        <v>1</v>
      </c>
      <c r="E462" s="156">
        <v>1.006944444444444</v>
      </c>
      <c r="F462" s="144" t="s">
        <v>117</v>
      </c>
      <c r="G462" s="146">
        <v>9</v>
      </c>
      <c r="H462" s="147">
        <v>935</v>
      </c>
      <c r="I462" s="2"/>
    </row>
    <row r="463" spans="1:9" ht="19.8" customHeight="1" x14ac:dyDescent="0.3">
      <c r="A463" s="155">
        <v>45986</v>
      </c>
      <c r="B463" s="144" t="s">
        <v>115</v>
      </c>
      <c r="C463" s="145" t="s">
        <v>173</v>
      </c>
      <c r="D463" s="144" t="s">
        <v>1</v>
      </c>
      <c r="E463" s="156">
        <v>1.239583333333333</v>
      </c>
      <c r="F463" s="144" t="s">
        <v>117</v>
      </c>
      <c r="G463" s="146">
        <v>9</v>
      </c>
      <c r="H463" s="147">
        <v>935</v>
      </c>
      <c r="I463" s="2"/>
    </row>
    <row r="464" spans="1:9" ht="19.8" customHeight="1" x14ac:dyDescent="0.3">
      <c r="A464" s="155">
        <v>45986</v>
      </c>
      <c r="B464" s="144" t="s">
        <v>115</v>
      </c>
      <c r="C464" s="145" t="s">
        <v>174</v>
      </c>
      <c r="D464" s="144" t="s">
        <v>1</v>
      </c>
      <c r="E464" s="156">
        <v>1.1423611111111109</v>
      </c>
      <c r="F464" s="144" t="s">
        <v>117</v>
      </c>
      <c r="G464" s="146">
        <v>9</v>
      </c>
      <c r="H464" s="147">
        <v>935</v>
      </c>
      <c r="I464" s="2"/>
    </row>
    <row r="465" spans="1:9" ht="19.8" customHeight="1" x14ac:dyDescent="0.3">
      <c r="A465" s="155">
        <v>45986</v>
      </c>
      <c r="B465" s="144" t="s">
        <v>115</v>
      </c>
      <c r="C465" s="145" t="s">
        <v>122</v>
      </c>
      <c r="D465" s="144" t="s">
        <v>1</v>
      </c>
      <c r="E465" s="156">
        <v>1.930555555555556</v>
      </c>
      <c r="F465" s="144" t="s">
        <v>117</v>
      </c>
      <c r="G465" s="146">
        <v>9</v>
      </c>
      <c r="H465" s="147">
        <v>935</v>
      </c>
      <c r="I465" s="2"/>
    </row>
    <row r="466" spans="1:9" ht="19.8" customHeight="1" x14ac:dyDescent="0.3">
      <c r="A466" s="155">
        <v>45986</v>
      </c>
      <c r="B466" s="144" t="s">
        <v>115</v>
      </c>
      <c r="C466" s="145" t="s">
        <v>116</v>
      </c>
      <c r="D466" s="144" t="s">
        <v>1</v>
      </c>
      <c r="E466" s="156">
        <v>1.3784722222222221</v>
      </c>
      <c r="F466" s="144" t="s">
        <v>119</v>
      </c>
      <c r="G466" s="146">
        <v>9</v>
      </c>
      <c r="H466" s="147">
        <v>980</v>
      </c>
      <c r="I466" s="2"/>
    </row>
    <row r="467" spans="1:9" ht="19.8" customHeight="1" x14ac:dyDescent="0.3">
      <c r="A467" s="155">
        <v>45986</v>
      </c>
      <c r="B467" s="144" t="s">
        <v>115</v>
      </c>
      <c r="C467" s="145" t="s">
        <v>175</v>
      </c>
      <c r="D467" s="144" t="s">
        <v>1</v>
      </c>
      <c r="E467" s="156">
        <v>1.006944444444444</v>
      </c>
      <c r="F467" s="144" t="s">
        <v>119</v>
      </c>
      <c r="G467" s="146">
        <v>9</v>
      </c>
      <c r="H467" s="147">
        <v>980</v>
      </c>
      <c r="I467" s="2"/>
    </row>
    <row r="468" spans="1:9" ht="19.8" customHeight="1" x14ac:dyDescent="0.3">
      <c r="A468" s="155">
        <v>45986</v>
      </c>
      <c r="B468" s="144" t="s">
        <v>115</v>
      </c>
      <c r="C468" s="145" t="s">
        <v>173</v>
      </c>
      <c r="D468" s="144" t="s">
        <v>1</v>
      </c>
      <c r="E468" s="156">
        <v>1.239583333333333</v>
      </c>
      <c r="F468" s="144" t="s">
        <v>119</v>
      </c>
      <c r="G468" s="146">
        <v>9</v>
      </c>
      <c r="H468" s="147">
        <v>980</v>
      </c>
      <c r="I468" s="2"/>
    </row>
    <row r="469" spans="1:9" ht="19.8" customHeight="1" x14ac:dyDescent="0.3">
      <c r="A469" s="155">
        <v>45986</v>
      </c>
      <c r="B469" s="144" t="s">
        <v>115</v>
      </c>
      <c r="C469" s="145" t="s">
        <v>174</v>
      </c>
      <c r="D469" s="144" t="s">
        <v>1</v>
      </c>
      <c r="E469" s="156">
        <v>1.1423611111111109</v>
      </c>
      <c r="F469" s="144" t="s">
        <v>119</v>
      </c>
      <c r="G469" s="146">
        <v>9</v>
      </c>
      <c r="H469" s="147">
        <v>980</v>
      </c>
      <c r="I469" s="2"/>
    </row>
    <row r="470" spans="1:9" ht="19.8" customHeight="1" x14ac:dyDescent="0.3">
      <c r="A470" s="155">
        <v>45986</v>
      </c>
      <c r="B470" s="144" t="s">
        <v>115</v>
      </c>
      <c r="C470" s="145" t="s">
        <v>122</v>
      </c>
      <c r="D470" s="144" t="s">
        <v>1</v>
      </c>
      <c r="E470" s="156">
        <v>1.930555555555556</v>
      </c>
      <c r="F470" s="144" t="s">
        <v>119</v>
      </c>
      <c r="G470" s="146">
        <v>9</v>
      </c>
      <c r="H470" s="147">
        <v>980</v>
      </c>
      <c r="I470" s="2"/>
    </row>
    <row r="471" spans="1:9" ht="19.8" customHeight="1" x14ac:dyDescent="0.3">
      <c r="A471" s="155">
        <v>45986</v>
      </c>
      <c r="B471" s="144" t="s">
        <v>115</v>
      </c>
      <c r="C471" s="145" t="s">
        <v>125</v>
      </c>
      <c r="D471" s="144" t="s">
        <v>1</v>
      </c>
      <c r="E471" s="156">
        <v>1.8298611111111109</v>
      </c>
      <c r="F471" s="144" t="s">
        <v>117</v>
      </c>
      <c r="G471" s="146">
        <v>9</v>
      </c>
      <c r="H471" s="157" t="s">
        <v>295</v>
      </c>
      <c r="I471" s="2"/>
    </row>
    <row r="472" spans="1:9" ht="19.8" customHeight="1" x14ac:dyDescent="0.3">
      <c r="A472" s="155">
        <v>45986</v>
      </c>
      <c r="B472" s="144" t="s">
        <v>41</v>
      </c>
      <c r="C472" s="145" t="s">
        <v>42</v>
      </c>
      <c r="D472" s="144" t="s">
        <v>1</v>
      </c>
      <c r="E472" s="156">
        <v>1.302083333333333</v>
      </c>
      <c r="F472" s="144" t="s">
        <v>48</v>
      </c>
      <c r="G472" s="146">
        <v>8</v>
      </c>
      <c r="H472" s="157" t="s">
        <v>49</v>
      </c>
      <c r="I472" s="2"/>
    </row>
    <row r="473" spans="1:9" ht="19.8" customHeight="1" x14ac:dyDescent="0.3">
      <c r="A473" s="155">
        <v>45986</v>
      </c>
      <c r="B473" s="144" t="s">
        <v>41</v>
      </c>
      <c r="C473" s="145" t="s">
        <v>133</v>
      </c>
      <c r="D473" s="144" t="s">
        <v>1</v>
      </c>
      <c r="E473" s="156">
        <v>1.1284722222222221</v>
      </c>
      <c r="F473" s="144" t="s">
        <v>48</v>
      </c>
      <c r="G473" s="146">
        <v>10</v>
      </c>
      <c r="H473" s="157" t="s">
        <v>49</v>
      </c>
      <c r="I473" s="2"/>
    </row>
    <row r="474" spans="1:9" ht="19.8" customHeight="1" x14ac:dyDescent="0.3">
      <c r="A474" s="155">
        <v>45986</v>
      </c>
      <c r="B474" s="144" t="s">
        <v>41</v>
      </c>
      <c r="C474" s="145" t="s">
        <v>50</v>
      </c>
      <c r="D474" s="144" t="s">
        <v>1</v>
      </c>
      <c r="E474" s="156">
        <v>1.788194444444444</v>
      </c>
      <c r="F474" s="144" t="s">
        <v>48</v>
      </c>
      <c r="G474" s="146">
        <v>6</v>
      </c>
      <c r="H474" s="157" t="s">
        <v>49</v>
      </c>
      <c r="I474" s="2"/>
    </row>
    <row r="475" spans="1:9" ht="19.8" customHeight="1" x14ac:dyDescent="0.3">
      <c r="A475" s="155">
        <v>45986</v>
      </c>
      <c r="B475" s="144" t="s">
        <v>41</v>
      </c>
      <c r="C475" s="145" t="s">
        <v>56</v>
      </c>
      <c r="D475" s="144" t="s">
        <v>1</v>
      </c>
      <c r="E475" s="156">
        <v>1.8888888888888891</v>
      </c>
      <c r="F475" s="144" t="s">
        <v>48</v>
      </c>
      <c r="G475" s="146">
        <v>9</v>
      </c>
      <c r="H475" s="157" t="s">
        <v>49</v>
      </c>
      <c r="I475" s="2"/>
    </row>
    <row r="476" spans="1:9" ht="19.8" customHeight="1" x14ac:dyDescent="0.3">
      <c r="A476" s="155">
        <v>45986</v>
      </c>
      <c r="B476" s="144" t="s">
        <v>104</v>
      </c>
      <c r="C476" s="145" t="s">
        <v>105</v>
      </c>
      <c r="D476" s="144" t="s">
        <v>1</v>
      </c>
      <c r="E476" s="156">
        <v>1.4861111111111109</v>
      </c>
      <c r="F476" s="144" t="s">
        <v>106</v>
      </c>
      <c r="G476" s="146">
        <v>9</v>
      </c>
      <c r="H476" s="157" t="s">
        <v>110</v>
      </c>
      <c r="I476" s="2"/>
    </row>
    <row r="477" spans="1:9" ht="19.8" customHeight="1" x14ac:dyDescent="0.3">
      <c r="A477" s="155">
        <v>45986</v>
      </c>
      <c r="B477" s="144" t="s">
        <v>115</v>
      </c>
      <c r="C477" s="145" t="s">
        <v>125</v>
      </c>
      <c r="D477" s="144" t="s">
        <v>1</v>
      </c>
      <c r="E477" s="156">
        <v>1.8298611111111109</v>
      </c>
      <c r="F477" s="144" t="s">
        <v>119</v>
      </c>
      <c r="G477" s="146">
        <v>9</v>
      </c>
      <c r="H477" s="157" t="s">
        <v>296</v>
      </c>
      <c r="I477" s="2"/>
    </row>
    <row r="478" spans="1:9" ht="19.8" customHeight="1" x14ac:dyDescent="0.3">
      <c r="A478" s="155">
        <v>45986</v>
      </c>
      <c r="B478" s="144" t="s">
        <v>104</v>
      </c>
      <c r="C478" s="145" t="s">
        <v>111</v>
      </c>
      <c r="D478" s="144" t="s">
        <v>1</v>
      </c>
      <c r="E478" s="156">
        <v>1.5138888888888891</v>
      </c>
      <c r="F478" s="144" t="s">
        <v>106</v>
      </c>
      <c r="G478" s="146">
        <v>9</v>
      </c>
      <c r="H478" s="157" t="s">
        <v>113</v>
      </c>
      <c r="I478" s="2"/>
    </row>
    <row r="479" spans="1:9" ht="19.8" customHeight="1" x14ac:dyDescent="0.3">
      <c r="A479" s="155">
        <v>45986</v>
      </c>
      <c r="B479" s="144" t="s">
        <v>115</v>
      </c>
      <c r="C479" s="145" t="s">
        <v>130</v>
      </c>
      <c r="D479" s="144" t="s">
        <v>1</v>
      </c>
      <c r="E479" s="156">
        <v>1.8888888888888891</v>
      </c>
      <c r="F479" s="144" t="s">
        <v>119</v>
      </c>
      <c r="G479" s="146">
        <v>4</v>
      </c>
      <c r="H479" s="157" t="s">
        <v>273</v>
      </c>
      <c r="I479" s="2"/>
    </row>
    <row r="480" spans="1:9" ht="19.8" customHeight="1" x14ac:dyDescent="0.3">
      <c r="A480" s="155">
        <v>45986</v>
      </c>
      <c r="B480" s="144" t="s">
        <v>115</v>
      </c>
      <c r="C480" s="145" t="s">
        <v>179</v>
      </c>
      <c r="D480" s="144" t="s">
        <v>1</v>
      </c>
      <c r="E480" s="156">
        <v>1.1284722222222221</v>
      </c>
      <c r="F480" s="144" t="s">
        <v>119</v>
      </c>
      <c r="G480" s="146">
        <v>4</v>
      </c>
      <c r="H480" s="157" t="s">
        <v>273</v>
      </c>
      <c r="I480" s="2"/>
    </row>
    <row r="481" spans="1:9" ht="19.8" customHeight="1" x14ac:dyDescent="0.3">
      <c r="A481" s="155">
        <v>45986</v>
      </c>
      <c r="B481" s="144" t="s">
        <v>115</v>
      </c>
      <c r="C481" s="145" t="s">
        <v>132</v>
      </c>
      <c r="D481" s="144" t="s">
        <v>1</v>
      </c>
      <c r="E481" s="156">
        <v>1.788194444444444</v>
      </c>
      <c r="F481" s="144" t="s">
        <v>119</v>
      </c>
      <c r="G481" s="146">
        <v>4</v>
      </c>
      <c r="H481" s="157" t="s">
        <v>273</v>
      </c>
      <c r="I481" s="2"/>
    </row>
    <row r="482" spans="1:9" ht="19.8" customHeight="1" x14ac:dyDescent="0.3">
      <c r="A482" s="155">
        <v>45986</v>
      </c>
      <c r="B482" s="144" t="s">
        <v>104</v>
      </c>
      <c r="C482" s="145" t="s">
        <v>184</v>
      </c>
      <c r="D482" s="144" t="s">
        <v>1</v>
      </c>
      <c r="E482" s="156">
        <v>1.0138888888888891</v>
      </c>
      <c r="F482" s="144" t="s">
        <v>106</v>
      </c>
      <c r="G482" s="146">
        <v>9</v>
      </c>
      <c r="H482" s="157" t="s">
        <v>185</v>
      </c>
      <c r="I482" s="2"/>
    </row>
    <row r="483" spans="1:9" ht="19.8" customHeight="1" x14ac:dyDescent="0.3">
      <c r="A483" s="155">
        <v>45986</v>
      </c>
      <c r="B483" s="144" t="s">
        <v>104</v>
      </c>
      <c r="C483" s="145" t="s">
        <v>188</v>
      </c>
      <c r="D483" s="144" t="s">
        <v>1</v>
      </c>
      <c r="E483" s="156">
        <v>1.145833333333333</v>
      </c>
      <c r="F483" s="144" t="s">
        <v>106</v>
      </c>
      <c r="G483" s="146">
        <v>9</v>
      </c>
      <c r="H483" s="157" t="s">
        <v>185</v>
      </c>
      <c r="I483" s="2"/>
    </row>
    <row r="484" spans="1:9" ht="19.8" customHeight="1" x14ac:dyDescent="0.3">
      <c r="A484" s="155">
        <v>45986</v>
      </c>
      <c r="B484" s="144" t="s">
        <v>104</v>
      </c>
      <c r="C484" s="145" t="s">
        <v>186</v>
      </c>
      <c r="D484" s="144" t="s">
        <v>1</v>
      </c>
      <c r="E484" s="156">
        <v>1.2222222222222221</v>
      </c>
      <c r="F484" s="144" t="s">
        <v>106</v>
      </c>
      <c r="G484" s="146">
        <v>9</v>
      </c>
      <c r="H484" s="157" t="s">
        <v>185</v>
      </c>
      <c r="I484" s="2"/>
    </row>
    <row r="485" spans="1:9" ht="19.8" customHeight="1" x14ac:dyDescent="0.3">
      <c r="A485" s="155">
        <v>45986</v>
      </c>
      <c r="B485" s="144" t="s">
        <v>115</v>
      </c>
      <c r="C485" s="145" t="s">
        <v>126</v>
      </c>
      <c r="D485" s="144" t="s">
        <v>1</v>
      </c>
      <c r="E485" s="156">
        <v>1.71875</v>
      </c>
      <c r="F485" s="144" t="s">
        <v>117</v>
      </c>
      <c r="G485" s="146">
        <v>9</v>
      </c>
      <c r="H485" s="157" t="s">
        <v>274</v>
      </c>
      <c r="I485" s="2"/>
    </row>
    <row r="486" spans="1:9" ht="19.8" customHeight="1" x14ac:dyDescent="0.3">
      <c r="A486" s="155">
        <v>45986</v>
      </c>
      <c r="B486" s="144" t="s">
        <v>115</v>
      </c>
      <c r="C486" s="145" t="s">
        <v>129</v>
      </c>
      <c r="D486" s="144" t="s">
        <v>1</v>
      </c>
      <c r="E486" s="156">
        <v>1.6111111111111109</v>
      </c>
      <c r="F486" s="144" t="s">
        <v>117</v>
      </c>
      <c r="G486" s="146">
        <v>9</v>
      </c>
      <c r="H486" s="157" t="s">
        <v>274</v>
      </c>
      <c r="I486" s="2"/>
    </row>
    <row r="487" spans="1:9" ht="19.8" customHeight="1" x14ac:dyDescent="0.3">
      <c r="A487" s="155">
        <v>45986</v>
      </c>
      <c r="B487" s="144" t="s">
        <v>115</v>
      </c>
      <c r="C487" s="145" t="s">
        <v>178</v>
      </c>
      <c r="D487" s="144" t="s">
        <v>1</v>
      </c>
      <c r="E487" s="156">
        <v>1.302083333333333</v>
      </c>
      <c r="F487" s="144" t="s">
        <v>119</v>
      </c>
      <c r="G487" s="146">
        <v>4</v>
      </c>
      <c r="H487" s="157" t="s">
        <v>246</v>
      </c>
      <c r="I487" s="2"/>
    </row>
    <row r="488" spans="1:9" ht="19.8" customHeight="1" x14ac:dyDescent="0.3">
      <c r="A488" s="155">
        <v>45986</v>
      </c>
      <c r="B488" s="144" t="s">
        <v>115</v>
      </c>
      <c r="C488" s="145" t="s">
        <v>126</v>
      </c>
      <c r="D488" s="144" t="s">
        <v>1</v>
      </c>
      <c r="E488" s="156">
        <v>1.71875</v>
      </c>
      <c r="F488" s="144" t="s">
        <v>119</v>
      </c>
      <c r="G488" s="146">
        <v>9</v>
      </c>
      <c r="H488" s="157" t="s">
        <v>275</v>
      </c>
      <c r="I488" s="2"/>
    </row>
    <row r="489" spans="1:9" ht="19.8" customHeight="1" x14ac:dyDescent="0.3">
      <c r="A489" s="155">
        <v>45986</v>
      </c>
      <c r="B489" s="144" t="s">
        <v>115</v>
      </c>
      <c r="C489" s="145" t="s">
        <v>129</v>
      </c>
      <c r="D489" s="144" t="s">
        <v>1</v>
      </c>
      <c r="E489" s="156">
        <v>1.6111111111111109</v>
      </c>
      <c r="F489" s="144" t="s">
        <v>119</v>
      </c>
      <c r="G489" s="146">
        <v>9</v>
      </c>
      <c r="H489" s="157" t="s">
        <v>275</v>
      </c>
      <c r="I489" s="2"/>
    </row>
    <row r="490" spans="1:9" ht="19.8" customHeight="1" x14ac:dyDescent="0.3">
      <c r="A490" s="155">
        <v>45986</v>
      </c>
      <c r="B490" s="144" t="s">
        <v>104</v>
      </c>
      <c r="C490" s="145" t="s">
        <v>108</v>
      </c>
      <c r="D490" s="144" t="s">
        <v>1</v>
      </c>
      <c r="E490" s="156">
        <v>1.2777777777777779</v>
      </c>
      <c r="F490" s="144" t="s">
        <v>106</v>
      </c>
      <c r="G490" s="146">
        <v>9</v>
      </c>
      <c r="H490" s="157" t="s">
        <v>127</v>
      </c>
      <c r="I490" s="2"/>
    </row>
    <row r="491" spans="1:9" ht="19.8" customHeight="1" x14ac:dyDescent="0.3">
      <c r="A491" s="155">
        <v>45986</v>
      </c>
      <c r="B491" s="144" t="s">
        <v>104</v>
      </c>
      <c r="C491" s="145" t="s">
        <v>114</v>
      </c>
      <c r="D491" s="144" t="s">
        <v>1</v>
      </c>
      <c r="E491" s="156">
        <v>1.774305555555556</v>
      </c>
      <c r="F491" s="144" t="s">
        <v>106</v>
      </c>
      <c r="G491" s="146">
        <v>9</v>
      </c>
      <c r="H491" s="157" t="s">
        <v>189</v>
      </c>
      <c r="I491" s="2"/>
    </row>
    <row r="492" spans="1:9" ht="19.8" customHeight="1" x14ac:dyDescent="0.3">
      <c r="A492" s="165">
        <v>45986</v>
      </c>
      <c r="B492" s="166" t="s">
        <v>81</v>
      </c>
      <c r="C492" s="167" t="s">
        <v>167</v>
      </c>
      <c r="D492" s="166" t="s">
        <v>1</v>
      </c>
      <c r="E492" s="168">
        <v>1.5590277777777779</v>
      </c>
      <c r="F492" s="166" t="s">
        <v>207</v>
      </c>
      <c r="G492" s="166"/>
      <c r="H492" s="169" t="s">
        <v>208</v>
      </c>
      <c r="I492" s="2"/>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05.88671875" hidden="1" customWidth="1"/>
  </cols>
  <sheetData>
    <row r="1" spans="1:9" ht="18" x14ac:dyDescent="0.3">
      <c r="A1" s="140" t="s">
        <v>510</v>
      </c>
      <c r="B1" s="141" t="s">
        <v>8</v>
      </c>
      <c r="C1" s="141" t="s">
        <v>9</v>
      </c>
      <c r="D1" s="141" t="s">
        <v>511</v>
      </c>
      <c r="E1" s="141" t="s">
        <v>10</v>
      </c>
      <c r="F1" s="141" t="s">
        <v>11</v>
      </c>
      <c r="G1" s="141" t="s">
        <v>12</v>
      </c>
      <c r="H1" s="142" t="s">
        <v>13</v>
      </c>
      <c r="I1" s="2"/>
    </row>
    <row r="2" spans="1:9" ht="19.8" customHeight="1" x14ac:dyDescent="0.3">
      <c r="A2" s="143" t="s">
        <v>512</v>
      </c>
      <c r="B2" s="144" t="s">
        <v>26</v>
      </c>
      <c r="C2" s="145" t="s">
        <v>31</v>
      </c>
      <c r="D2" s="144" t="s">
        <v>1</v>
      </c>
      <c r="E2" s="144" t="s">
        <v>523</v>
      </c>
      <c r="F2" s="144" t="s">
        <v>28</v>
      </c>
      <c r="G2" s="146">
        <v>2</v>
      </c>
      <c r="H2" s="147">
        <v>745</v>
      </c>
      <c r="I2" s="2"/>
    </row>
    <row r="3" spans="1:9" ht="19.8" customHeight="1" x14ac:dyDescent="0.3">
      <c r="A3" s="143" t="s">
        <v>512</v>
      </c>
      <c r="B3" s="144" t="s">
        <v>61</v>
      </c>
      <c r="C3" s="145" t="s">
        <v>62</v>
      </c>
      <c r="D3" s="144" t="s">
        <v>1</v>
      </c>
      <c r="E3" s="144" t="s">
        <v>327</v>
      </c>
      <c r="F3" s="144" t="s">
        <v>65</v>
      </c>
      <c r="G3" s="146">
        <v>6</v>
      </c>
      <c r="H3" s="147">
        <v>769</v>
      </c>
      <c r="I3" s="2"/>
    </row>
    <row r="4" spans="1:9" ht="19.8" customHeight="1" x14ac:dyDescent="0.3">
      <c r="A4" s="143" t="s">
        <v>512</v>
      </c>
      <c r="B4" s="144" t="s">
        <v>61</v>
      </c>
      <c r="C4" s="145" t="s">
        <v>69</v>
      </c>
      <c r="D4" s="144" t="s">
        <v>1</v>
      </c>
      <c r="E4" s="144" t="s">
        <v>517</v>
      </c>
      <c r="F4" s="144" t="s">
        <v>65</v>
      </c>
      <c r="G4" s="146">
        <v>1</v>
      </c>
      <c r="H4" s="147">
        <v>769</v>
      </c>
      <c r="I4" s="2"/>
    </row>
    <row r="5" spans="1:9" ht="19.8" customHeight="1" x14ac:dyDescent="0.3">
      <c r="A5" s="143" t="s">
        <v>512</v>
      </c>
      <c r="B5" s="144" t="s">
        <v>61</v>
      </c>
      <c r="C5" s="145" t="s">
        <v>72</v>
      </c>
      <c r="D5" s="144" t="s">
        <v>1</v>
      </c>
      <c r="E5" s="144" t="s">
        <v>518</v>
      </c>
      <c r="F5" s="144" t="s">
        <v>65</v>
      </c>
      <c r="G5" s="146">
        <v>9</v>
      </c>
      <c r="H5" s="147">
        <v>769</v>
      </c>
      <c r="I5" s="2"/>
    </row>
    <row r="6" spans="1:9" ht="19.8" customHeight="1" x14ac:dyDescent="0.3">
      <c r="A6" s="143" t="s">
        <v>512</v>
      </c>
      <c r="B6" s="144" t="s">
        <v>61</v>
      </c>
      <c r="C6" s="145" t="s">
        <v>73</v>
      </c>
      <c r="D6" s="144" t="s">
        <v>1</v>
      </c>
      <c r="E6" s="144" t="s">
        <v>519</v>
      </c>
      <c r="F6" s="144" t="s">
        <v>65</v>
      </c>
      <c r="G6" s="146">
        <v>9</v>
      </c>
      <c r="H6" s="147">
        <v>769</v>
      </c>
      <c r="I6" s="2"/>
    </row>
    <row r="7" spans="1:9" ht="19.8" customHeight="1" x14ac:dyDescent="0.3">
      <c r="A7" s="148" t="s">
        <v>512</v>
      </c>
      <c r="B7" s="149" t="s">
        <v>81</v>
      </c>
      <c r="C7" s="150" t="s">
        <v>82</v>
      </c>
      <c r="D7" s="149" t="s">
        <v>1</v>
      </c>
      <c r="E7" s="149" t="s">
        <v>339</v>
      </c>
      <c r="F7" s="149" t="s">
        <v>83</v>
      </c>
      <c r="G7" s="151">
        <v>5</v>
      </c>
      <c r="H7" s="152">
        <v>781</v>
      </c>
      <c r="I7" s="2"/>
    </row>
    <row r="8" spans="1:9" ht="19.8" customHeight="1" x14ac:dyDescent="0.3">
      <c r="A8" s="153">
        <v>45980</v>
      </c>
      <c r="B8" s="149" t="s">
        <v>81</v>
      </c>
      <c r="C8" s="150" t="s">
        <v>89</v>
      </c>
      <c r="D8" s="149" t="s">
        <v>1</v>
      </c>
      <c r="E8" s="154">
        <v>1.5173611111111109</v>
      </c>
      <c r="F8" s="149" t="s">
        <v>83</v>
      </c>
      <c r="G8" s="151">
        <v>6</v>
      </c>
      <c r="H8" s="152">
        <v>781</v>
      </c>
      <c r="I8" s="2"/>
    </row>
    <row r="9" spans="1:9" ht="19.8" customHeight="1" x14ac:dyDescent="0.3">
      <c r="A9" s="155">
        <v>45980</v>
      </c>
      <c r="B9" s="144" t="s">
        <v>61</v>
      </c>
      <c r="C9" s="145" t="s">
        <v>74</v>
      </c>
      <c r="D9" s="144" t="s">
        <v>1</v>
      </c>
      <c r="E9" s="156">
        <v>1.9027777777777779</v>
      </c>
      <c r="F9" s="144" t="s">
        <v>65</v>
      </c>
      <c r="G9" s="146">
        <v>9</v>
      </c>
      <c r="H9" s="147">
        <v>819</v>
      </c>
      <c r="I9" s="2"/>
    </row>
    <row r="10" spans="1:9" ht="19.8" customHeight="1" x14ac:dyDescent="0.3">
      <c r="A10" s="155">
        <v>45980</v>
      </c>
      <c r="B10" s="144" t="s">
        <v>61</v>
      </c>
      <c r="C10" s="145" t="s">
        <v>78</v>
      </c>
      <c r="D10" s="144" t="s">
        <v>1</v>
      </c>
      <c r="E10" s="156">
        <v>1.645833333333333</v>
      </c>
      <c r="F10" s="144" t="s">
        <v>65</v>
      </c>
      <c r="G10" s="146">
        <v>8</v>
      </c>
      <c r="H10" s="147">
        <v>819</v>
      </c>
      <c r="I10" s="2"/>
    </row>
    <row r="11" spans="1:9" ht="19.8" customHeight="1" x14ac:dyDescent="0.3">
      <c r="A11" s="155">
        <v>45980</v>
      </c>
      <c r="B11" s="144" t="s">
        <v>61</v>
      </c>
      <c r="C11" s="145" t="s">
        <v>79</v>
      </c>
      <c r="D11" s="144" t="s">
        <v>1</v>
      </c>
      <c r="E11" s="156">
        <v>1.302083333333333</v>
      </c>
      <c r="F11" s="144" t="s">
        <v>65</v>
      </c>
      <c r="G11" s="146">
        <v>7</v>
      </c>
      <c r="H11" s="147">
        <v>819</v>
      </c>
      <c r="I11" s="2"/>
    </row>
    <row r="12" spans="1:9" ht="19.8" customHeight="1" x14ac:dyDescent="0.3">
      <c r="A12" s="155">
        <v>45980</v>
      </c>
      <c r="B12" s="144" t="s">
        <v>100</v>
      </c>
      <c r="C12" s="145" t="s">
        <v>101</v>
      </c>
      <c r="D12" s="144" t="s">
        <v>1</v>
      </c>
      <c r="E12" s="156">
        <v>1.3923611111111109</v>
      </c>
      <c r="F12" s="144" t="s">
        <v>102</v>
      </c>
      <c r="G12" s="146">
        <v>4</v>
      </c>
      <c r="H12" s="147">
        <v>839</v>
      </c>
      <c r="I12" s="2"/>
    </row>
    <row r="13" spans="1:9" ht="19.8" customHeight="1" x14ac:dyDescent="0.3">
      <c r="A13" s="165">
        <v>45980</v>
      </c>
      <c r="B13" s="166" t="s">
        <v>81</v>
      </c>
      <c r="C13" s="167" t="s">
        <v>94</v>
      </c>
      <c r="D13" s="166" t="s">
        <v>1</v>
      </c>
      <c r="E13" s="168">
        <v>1.614583333333333</v>
      </c>
      <c r="F13" s="166" t="s">
        <v>83</v>
      </c>
      <c r="G13" s="170">
        <v>4</v>
      </c>
      <c r="H13" s="171">
        <v>856</v>
      </c>
      <c r="I13" s="2"/>
    </row>
    <row r="14" spans="1:9" ht="19.8" customHeight="1" x14ac:dyDescent="0.3">
      <c r="A14" s="155">
        <v>45981</v>
      </c>
      <c r="B14" s="144" t="s">
        <v>26</v>
      </c>
      <c r="C14" s="145" t="s">
        <v>31</v>
      </c>
      <c r="D14" s="144" t="s">
        <v>1</v>
      </c>
      <c r="E14" s="156">
        <v>1.59375</v>
      </c>
      <c r="F14" s="144" t="s">
        <v>28</v>
      </c>
      <c r="G14" s="146">
        <v>1</v>
      </c>
      <c r="H14" s="147">
        <v>695</v>
      </c>
      <c r="I14" s="2"/>
    </row>
    <row r="15" spans="1:9" ht="19.8" customHeight="1" x14ac:dyDescent="0.3">
      <c r="A15" s="153">
        <v>45981</v>
      </c>
      <c r="B15" s="149" t="s">
        <v>81</v>
      </c>
      <c r="C15" s="150" t="s">
        <v>146</v>
      </c>
      <c r="D15" s="149" t="s">
        <v>1</v>
      </c>
      <c r="E15" s="154">
        <v>1.0486111111111109</v>
      </c>
      <c r="F15" s="149" t="s">
        <v>83</v>
      </c>
      <c r="G15" s="151">
        <v>1</v>
      </c>
      <c r="H15" s="152">
        <v>706</v>
      </c>
      <c r="I15" s="2"/>
    </row>
    <row r="16" spans="1:9" ht="19.8" customHeight="1" x14ac:dyDescent="0.3">
      <c r="A16" s="153">
        <v>45981</v>
      </c>
      <c r="B16" s="149" t="s">
        <v>81</v>
      </c>
      <c r="C16" s="150" t="s">
        <v>151</v>
      </c>
      <c r="D16" s="149" t="s">
        <v>1</v>
      </c>
      <c r="E16" s="154">
        <v>1.2534722222222221</v>
      </c>
      <c r="F16" s="149" t="s">
        <v>83</v>
      </c>
      <c r="G16" s="151">
        <v>1</v>
      </c>
      <c r="H16" s="152">
        <v>706</v>
      </c>
      <c r="I16" s="2"/>
    </row>
    <row r="17" spans="1:9" ht="19.8" customHeight="1" x14ac:dyDescent="0.3">
      <c r="A17" s="153">
        <v>45981</v>
      </c>
      <c r="B17" s="149" t="s">
        <v>81</v>
      </c>
      <c r="C17" s="150" t="s">
        <v>89</v>
      </c>
      <c r="D17" s="149" t="s">
        <v>1</v>
      </c>
      <c r="E17" s="154">
        <v>1.333333333333333</v>
      </c>
      <c r="F17" s="149" t="s">
        <v>83</v>
      </c>
      <c r="G17" s="151">
        <v>1</v>
      </c>
      <c r="H17" s="152">
        <v>706</v>
      </c>
      <c r="I17" s="2"/>
    </row>
    <row r="18" spans="1:9" ht="19.8" customHeight="1" x14ac:dyDescent="0.3">
      <c r="A18" s="155">
        <v>45981</v>
      </c>
      <c r="B18" s="144" t="s">
        <v>100</v>
      </c>
      <c r="C18" s="145" t="s">
        <v>101</v>
      </c>
      <c r="D18" s="144" t="s">
        <v>1</v>
      </c>
      <c r="E18" s="156">
        <v>1.3298611111111109</v>
      </c>
      <c r="F18" s="144" t="s">
        <v>102</v>
      </c>
      <c r="G18" s="146">
        <v>9</v>
      </c>
      <c r="H18" s="147">
        <v>737</v>
      </c>
      <c r="I18" s="2"/>
    </row>
    <row r="19" spans="1:9" ht="19.8" customHeight="1" x14ac:dyDescent="0.3">
      <c r="A19" s="155">
        <v>45981</v>
      </c>
      <c r="B19" s="144" t="s">
        <v>26</v>
      </c>
      <c r="C19" s="145" t="s">
        <v>27</v>
      </c>
      <c r="D19" s="144" t="s">
        <v>1</v>
      </c>
      <c r="E19" s="156">
        <v>1.291666666666667</v>
      </c>
      <c r="F19" s="144" t="s">
        <v>28</v>
      </c>
      <c r="G19" s="146">
        <v>6</v>
      </c>
      <c r="H19" s="147">
        <v>745</v>
      </c>
      <c r="I19" s="2"/>
    </row>
    <row r="20" spans="1:9" ht="19.8" customHeight="1" x14ac:dyDescent="0.3">
      <c r="A20" s="155">
        <v>45981</v>
      </c>
      <c r="B20" s="144" t="s">
        <v>34</v>
      </c>
      <c r="C20" s="145" t="s">
        <v>35</v>
      </c>
      <c r="D20" s="144" t="s">
        <v>1</v>
      </c>
      <c r="E20" s="156">
        <v>1.666666666666667</v>
      </c>
      <c r="F20" s="144" t="s">
        <v>28</v>
      </c>
      <c r="G20" s="146">
        <v>9</v>
      </c>
      <c r="H20" s="147">
        <v>749</v>
      </c>
      <c r="I20" s="2"/>
    </row>
    <row r="21" spans="1:9" ht="19.8" customHeight="1" x14ac:dyDescent="0.3">
      <c r="A21" s="155">
        <v>45981</v>
      </c>
      <c r="B21" s="144" t="s">
        <v>61</v>
      </c>
      <c r="C21" s="145" t="s">
        <v>137</v>
      </c>
      <c r="D21" s="144" t="s">
        <v>1</v>
      </c>
      <c r="E21" s="156">
        <v>1.256944444444444</v>
      </c>
      <c r="F21" s="144" t="s">
        <v>65</v>
      </c>
      <c r="G21" s="146">
        <v>6</v>
      </c>
      <c r="H21" s="147">
        <v>769</v>
      </c>
      <c r="I21" s="2"/>
    </row>
    <row r="22" spans="1:9" ht="19.8" customHeight="1" x14ac:dyDescent="0.3">
      <c r="A22" s="155">
        <v>45981</v>
      </c>
      <c r="B22" s="144" t="s">
        <v>61</v>
      </c>
      <c r="C22" s="145" t="s">
        <v>72</v>
      </c>
      <c r="D22" s="144" t="s">
        <v>1</v>
      </c>
      <c r="E22" s="156">
        <v>1.395833333333333</v>
      </c>
      <c r="F22" s="144" t="s">
        <v>65</v>
      </c>
      <c r="G22" s="146">
        <v>1</v>
      </c>
      <c r="H22" s="147">
        <v>769</v>
      </c>
      <c r="I22" s="2"/>
    </row>
    <row r="23" spans="1:9" ht="19.8" customHeight="1" x14ac:dyDescent="0.3">
      <c r="A23" s="155">
        <v>45981</v>
      </c>
      <c r="B23" s="144" t="s">
        <v>61</v>
      </c>
      <c r="C23" s="145" t="s">
        <v>79</v>
      </c>
      <c r="D23" s="144" t="s">
        <v>1</v>
      </c>
      <c r="E23" s="156">
        <v>1.302083333333333</v>
      </c>
      <c r="F23" s="144" t="s">
        <v>65</v>
      </c>
      <c r="G23" s="146">
        <v>7</v>
      </c>
      <c r="H23" s="147">
        <v>769</v>
      </c>
      <c r="I23" s="2"/>
    </row>
    <row r="24" spans="1:9" ht="19.8" customHeight="1" x14ac:dyDescent="0.3">
      <c r="A24" s="153">
        <v>45981</v>
      </c>
      <c r="B24" s="149" t="s">
        <v>81</v>
      </c>
      <c r="C24" s="150" t="s">
        <v>155</v>
      </c>
      <c r="D24" s="149" t="s">
        <v>1</v>
      </c>
      <c r="E24" s="154">
        <v>1.364583333333333</v>
      </c>
      <c r="F24" s="149" t="s">
        <v>83</v>
      </c>
      <c r="G24" s="151">
        <v>7</v>
      </c>
      <c r="H24" s="152">
        <v>781</v>
      </c>
      <c r="I24" s="2"/>
    </row>
    <row r="25" spans="1:9" ht="19.8" customHeight="1" x14ac:dyDescent="0.3">
      <c r="A25" s="153">
        <v>45981</v>
      </c>
      <c r="B25" s="149" t="s">
        <v>81</v>
      </c>
      <c r="C25" s="150" t="s">
        <v>159</v>
      </c>
      <c r="D25" s="149" t="s">
        <v>1</v>
      </c>
      <c r="E25" s="154">
        <v>1.114583333333333</v>
      </c>
      <c r="F25" s="149" t="s">
        <v>83</v>
      </c>
      <c r="G25" s="151">
        <v>6</v>
      </c>
      <c r="H25" s="152">
        <v>781</v>
      </c>
      <c r="I25" s="2"/>
    </row>
    <row r="26" spans="1:9" ht="19.8" customHeight="1" x14ac:dyDescent="0.3">
      <c r="A26" s="155">
        <v>45981</v>
      </c>
      <c r="B26" s="144" t="s">
        <v>61</v>
      </c>
      <c r="C26" s="145" t="s">
        <v>78</v>
      </c>
      <c r="D26" s="144" t="s">
        <v>1</v>
      </c>
      <c r="E26" s="156">
        <v>1.6597222222222221</v>
      </c>
      <c r="F26" s="144" t="s">
        <v>65</v>
      </c>
      <c r="G26" s="146">
        <v>5</v>
      </c>
      <c r="H26" s="147">
        <v>929</v>
      </c>
      <c r="I26" s="2"/>
    </row>
    <row r="27" spans="1:9" ht="19.8" customHeight="1" x14ac:dyDescent="0.3">
      <c r="A27" s="153">
        <v>45981</v>
      </c>
      <c r="B27" s="149" t="s">
        <v>81</v>
      </c>
      <c r="C27" s="150" t="s">
        <v>94</v>
      </c>
      <c r="D27" s="149" t="s">
        <v>1</v>
      </c>
      <c r="E27" s="154">
        <v>1.583333333333333</v>
      </c>
      <c r="F27" s="149" t="s">
        <v>83</v>
      </c>
      <c r="G27" s="151">
        <v>7</v>
      </c>
      <c r="H27" s="152">
        <v>952</v>
      </c>
      <c r="I27" s="2"/>
    </row>
    <row r="28" spans="1:9" ht="19.8" customHeight="1" x14ac:dyDescent="0.3">
      <c r="A28" s="153">
        <v>45981</v>
      </c>
      <c r="B28" s="149" t="s">
        <v>81</v>
      </c>
      <c r="C28" s="150" t="s">
        <v>165</v>
      </c>
      <c r="D28" s="149" t="s">
        <v>1</v>
      </c>
      <c r="E28" s="154">
        <v>1.739583333333333</v>
      </c>
      <c r="F28" s="149" t="s">
        <v>83</v>
      </c>
      <c r="G28" s="151">
        <v>6</v>
      </c>
      <c r="H28" s="164" t="s">
        <v>166</v>
      </c>
      <c r="I28" s="2"/>
    </row>
    <row r="29" spans="1:9" ht="19.8" customHeight="1" x14ac:dyDescent="0.3">
      <c r="A29" s="155">
        <v>45981</v>
      </c>
      <c r="B29" s="144" t="s">
        <v>104</v>
      </c>
      <c r="C29" s="145" t="s">
        <v>105</v>
      </c>
      <c r="D29" s="144" t="s">
        <v>1</v>
      </c>
      <c r="E29" s="156">
        <v>1.4861111111111109</v>
      </c>
      <c r="F29" s="144" t="s">
        <v>106</v>
      </c>
      <c r="G29" s="146">
        <v>9</v>
      </c>
      <c r="H29" s="157" t="s">
        <v>185</v>
      </c>
      <c r="I29" s="2"/>
    </row>
    <row r="30" spans="1:9" ht="19.8" customHeight="1" x14ac:dyDescent="0.3">
      <c r="A30" s="155">
        <v>45981</v>
      </c>
      <c r="B30" s="144" t="s">
        <v>104</v>
      </c>
      <c r="C30" s="145" t="s">
        <v>111</v>
      </c>
      <c r="D30" s="144" t="s">
        <v>1</v>
      </c>
      <c r="E30" s="156">
        <v>1.5138888888888891</v>
      </c>
      <c r="F30" s="144" t="s">
        <v>106</v>
      </c>
      <c r="G30" s="146">
        <v>9</v>
      </c>
      <c r="H30" s="157" t="s">
        <v>185</v>
      </c>
      <c r="I30" s="2"/>
    </row>
    <row r="31" spans="1:9" ht="19.8" customHeight="1" x14ac:dyDescent="0.3">
      <c r="A31" s="158">
        <v>45981</v>
      </c>
      <c r="B31" s="159" t="s">
        <v>104</v>
      </c>
      <c r="C31" s="160" t="s">
        <v>186</v>
      </c>
      <c r="D31" s="159" t="s">
        <v>1</v>
      </c>
      <c r="E31" s="161">
        <v>1.2222222222222221</v>
      </c>
      <c r="F31" s="159" t="s">
        <v>106</v>
      </c>
      <c r="G31" s="162">
        <v>9</v>
      </c>
      <c r="H31" s="163" t="s">
        <v>187</v>
      </c>
      <c r="I31" s="2"/>
    </row>
    <row r="32" spans="1:9" ht="19.8" customHeight="1" x14ac:dyDescent="0.3">
      <c r="A32" s="155">
        <v>45982</v>
      </c>
      <c r="B32" s="144" t="s">
        <v>61</v>
      </c>
      <c r="C32" s="145" t="s">
        <v>74</v>
      </c>
      <c r="D32" s="144" t="s">
        <v>1</v>
      </c>
      <c r="E32" s="156">
        <v>1.9027777777777779</v>
      </c>
      <c r="F32" s="144" t="s">
        <v>65</v>
      </c>
      <c r="G32" s="146">
        <v>1</v>
      </c>
      <c r="H32" s="147">
        <v>769</v>
      </c>
      <c r="I32" s="2"/>
    </row>
    <row r="33" spans="1:9" ht="19.8" customHeight="1" x14ac:dyDescent="0.3">
      <c r="A33" s="155">
        <v>45982</v>
      </c>
      <c r="B33" s="144" t="s">
        <v>61</v>
      </c>
      <c r="C33" s="145" t="s">
        <v>72</v>
      </c>
      <c r="D33" s="144" t="s">
        <v>1</v>
      </c>
      <c r="E33" s="156">
        <v>1.395833333333333</v>
      </c>
      <c r="F33" s="144" t="s">
        <v>65</v>
      </c>
      <c r="G33" s="146">
        <v>2</v>
      </c>
      <c r="H33" s="147">
        <v>769</v>
      </c>
      <c r="I33" s="2"/>
    </row>
    <row r="34" spans="1:9" ht="19.8" customHeight="1" x14ac:dyDescent="0.3">
      <c r="A34" s="155">
        <v>45982</v>
      </c>
      <c r="B34" s="144" t="s">
        <v>61</v>
      </c>
      <c r="C34" s="145" t="s">
        <v>73</v>
      </c>
      <c r="D34" s="144" t="s">
        <v>1</v>
      </c>
      <c r="E34" s="156">
        <v>1.7986111111111109</v>
      </c>
      <c r="F34" s="144" t="s">
        <v>65</v>
      </c>
      <c r="G34" s="146">
        <v>5</v>
      </c>
      <c r="H34" s="147">
        <v>769</v>
      </c>
      <c r="I34" s="2"/>
    </row>
    <row r="35" spans="1:9" ht="19.8" customHeight="1" x14ac:dyDescent="0.3">
      <c r="A35" s="155">
        <v>45982</v>
      </c>
      <c r="B35" s="144" t="s">
        <v>100</v>
      </c>
      <c r="C35" s="145" t="s">
        <v>101</v>
      </c>
      <c r="D35" s="144" t="s">
        <v>1</v>
      </c>
      <c r="E35" s="156">
        <v>1.3923611111111109</v>
      </c>
      <c r="F35" s="144" t="s">
        <v>102</v>
      </c>
      <c r="G35" s="146">
        <v>9</v>
      </c>
      <c r="H35" s="147">
        <v>815</v>
      </c>
      <c r="I35" s="2"/>
    </row>
    <row r="36" spans="1:9" ht="19.8" customHeight="1" x14ac:dyDescent="0.3">
      <c r="A36" s="155">
        <v>45982</v>
      </c>
      <c r="B36" s="144" t="s">
        <v>61</v>
      </c>
      <c r="C36" s="145" t="s">
        <v>78</v>
      </c>
      <c r="D36" s="144" t="s">
        <v>1</v>
      </c>
      <c r="E36" s="156">
        <v>1.645833333333333</v>
      </c>
      <c r="F36" s="144" t="s">
        <v>65</v>
      </c>
      <c r="G36" s="146">
        <v>9</v>
      </c>
      <c r="H36" s="147">
        <v>819</v>
      </c>
      <c r="I36" s="2"/>
    </row>
    <row r="37" spans="1:9" ht="19.8" customHeight="1" x14ac:dyDescent="0.3">
      <c r="A37" s="155">
        <v>45982</v>
      </c>
      <c r="B37" s="144" t="s">
        <v>61</v>
      </c>
      <c r="C37" s="145" t="s">
        <v>62</v>
      </c>
      <c r="D37" s="144" t="s">
        <v>1</v>
      </c>
      <c r="E37" s="156">
        <v>1.5173611111111109</v>
      </c>
      <c r="F37" s="144" t="s">
        <v>65</v>
      </c>
      <c r="G37" s="146">
        <v>4</v>
      </c>
      <c r="H37" s="147">
        <v>819</v>
      </c>
      <c r="I37" s="2"/>
    </row>
    <row r="38" spans="1:9" ht="19.8" customHeight="1" x14ac:dyDescent="0.3">
      <c r="A38" s="155">
        <v>45982</v>
      </c>
      <c r="B38" s="144" t="s">
        <v>61</v>
      </c>
      <c r="C38" s="145" t="s">
        <v>69</v>
      </c>
      <c r="D38" s="144" t="s">
        <v>1</v>
      </c>
      <c r="E38" s="156">
        <v>1.854166666666667</v>
      </c>
      <c r="F38" s="144" t="s">
        <v>65</v>
      </c>
      <c r="G38" s="146">
        <v>9</v>
      </c>
      <c r="H38" s="147">
        <v>819</v>
      </c>
      <c r="I38" s="2"/>
    </row>
    <row r="39" spans="1:9" ht="19.8" customHeight="1" x14ac:dyDescent="0.3">
      <c r="A39" s="155">
        <v>45982</v>
      </c>
      <c r="B39" s="144" t="s">
        <v>34</v>
      </c>
      <c r="C39" s="145" t="s">
        <v>35</v>
      </c>
      <c r="D39" s="144" t="s">
        <v>1</v>
      </c>
      <c r="E39" s="156">
        <v>1.7152777777777779</v>
      </c>
      <c r="F39" s="144" t="s">
        <v>28</v>
      </c>
      <c r="G39" s="146">
        <v>1</v>
      </c>
      <c r="H39" s="147">
        <v>834</v>
      </c>
      <c r="I39" s="2"/>
    </row>
    <row r="40" spans="1:9" ht="19.8" customHeight="1" x14ac:dyDescent="0.3">
      <c r="A40" s="155">
        <v>45982</v>
      </c>
      <c r="B40" s="144" t="s">
        <v>34</v>
      </c>
      <c r="C40" s="145" t="s">
        <v>38</v>
      </c>
      <c r="D40" s="144" t="s">
        <v>1</v>
      </c>
      <c r="E40" s="156">
        <v>1.416666666666667</v>
      </c>
      <c r="F40" s="144" t="s">
        <v>28</v>
      </c>
      <c r="G40" s="146">
        <v>3</v>
      </c>
      <c r="H40" s="147">
        <v>834</v>
      </c>
      <c r="I40" s="2"/>
    </row>
    <row r="41" spans="1:9" ht="19.8" customHeight="1" x14ac:dyDescent="0.3">
      <c r="A41" s="153">
        <v>45982</v>
      </c>
      <c r="B41" s="149" t="s">
        <v>81</v>
      </c>
      <c r="C41" s="150" t="s">
        <v>146</v>
      </c>
      <c r="D41" s="149" t="s">
        <v>1</v>
      </c>
      <c r="E41" s="154">
        <v>1.114583333333333</v>
      </c>
      <c r="F41" s="149" t="s">
        <v>83</v>
      </c>
      <c r="G41" s="151">
        <v>4</v>
      </c>
      <c r="H41" s="152">
        <v>856</v>
      </c>
      <c r="I41" s="2"/>
    </row>
    <row r="42" spans="1:9" ht="19.8" customHeight="1" x14ac:dyDescent="0.3">
      <c r="A42" s="153">
        <v>45982</v>
      </c>
      <c r="B42" s="149" t="s">
        <v>81</v>
      </c>
      <c r="C42" s="150" t="s">
        <v>159</v>
      </c>
      <c r="D42" s="149" t="s">
        <v>1</v>
      </c>
      <c r="E42" s="154">
        <v>1.7361111111111109</v>
      </c>
      <c r="F42" s="149" t="s">
        <v>83</v>
      </c>
      <c r="G42" s="151">
        <v>5</v>
      </c>
      <c r="H42" s="152">
        <v>856</v>
      </c>
      <c r="I42" s="2"/>
    </row>
    <row r="43" spans="1:9" ht="19.8" customHeight="1" x14ac:dyDescent="0.3">
      <c r="A43" s="153">
        <v>45982</v>
      </c>
      <c r="B43" s="149" t="s">
        <v>81</v>
      </c>
      <c r="C43" s="150" t="s">
        <v>94</v>
      </c>
      <c r="D43" s="149" t="s">
        <v>1</v>
      </c>
      <c r="E43" s="154">
        <v>1.458333333333333</v>
      </c>
      <c r="F43" s="149" t="s">
        <v>83</v>
      </c>
      <c r="G43" s="151">
        <v>7</v>
      </c>
      <c r="H43" s="152">
        <v>856</v>
      </c>
      <c r="I43" s="2"/>
    </row>
    <row r="44" spans="1:9" ht="19.8" customHeight="1" x14ac:dyDescent="0.3">
      <c r="A44" s="153">
        <v>45982</v>
      </c>
      <c r="B44" s="149" t="s">
        <v>81</v>
      </c>
      <c r="C44" s="150" t="s">
        <v>165</v>
      </c>
      <c r="D44" s="149" t="s">
        <v>1</v>
      </c>
      <c r="E44" s="154">
        <v>1.614583333333333</v>
      </c>
      <c r="F44" s="149" t="s">
        <v>83</v>
      </c>
      <c r="G44" s="151">
        <v>6</v>
      </c>
      <c r="H44" s="152">
        <v>856</v>
      </c>
      <c r="I44" s="2"/>
    </row>
    <row r="45" spans="1:9" ht="19.8" customHeight="1" x14ac:dyDescent="0.3">
      <c r="A45" s="155">
        <v>45982</v>
      </c>
      <c r="B45" s="144" t="s">
        <v>61</v>
      </c>
      <c r="C45" s="145" t="s">
        <v>137</v>
      </c>
      <c r="D45" s="144" t="s">
        <v>1</v>
      </c>
      <c r="E45" s="156">
        <v>1.256944444444444</v>
      </c>
      <c r="F45" s="144" t="s">
        <v>65</v>
      </c>
      <c r="G45" s="146">
        <v>6</v>
      </c>
      <c r="H45" s="147">
        <v>929</v>
      </c>
      <c r="I45" s="2"/>
    </row>
    <row r="46" spans="1:9" ht="19.8" customHeight="1" x14ac:dyDescent="0.3">
      <c r="A46" s="153">
        <v>45982</v>
      </c>
      <c r="B46" s="149" t="s">
        <v>81</v>
      </c>
      <c r="C46" s="150" t="s">
        <v>89</v>
      </c>
      <c r="D46" s="149" t="s">
        <v>1</v>
      </c>
      <c r="E46" s="154">
        <v>1.319444444444444</v>
      </c>
      <c r="F46" s="149" t="s">
        <v>83</v>
      </c>
      <c r="G46" s="151">
        <v>7</v>
      </c>
      <c r="H46" s="152">
        <v>952</v>
      </c>
      <c r="I46" s="2"/>
    </row>
    <row r="47" spans="1:9" ht="19.8" customHeight="1" x14ac:dyDescent="0.3">
      <c r="A47" s="165">
        <v>45982</v>
      </c>
      <c r="B47" s="166" t="s">
        <v>81</v>
      </c>
      <c r="C47" s="167" t="s">
        <v>86</v>
      </c>
      <c r="D47" s="166" t="s">
        <v>1</v>
      </c>
      <c r="E47" s="168">
        <v>1.9375</v>
      </c>
      <c r="F47" s="166" t="s">
        <v>207</v>
      </c>
      <c r="G47" s="166"/>
      <c r="H47" s="169" t="s">
        <v>208</v>
      </c>
      <c r="I47" s="2"/>
    </row>
    <row r="48" spans="1:9" ht="19.8" customHeight="1" x14ac:dyDescent="0.3">
      <c r="A48" s="153">
        <v>45983</v>
      </c>
      <c r="B48" s="149" t="s">
        <v>81</v>
      </c>
      <c r="C48" s="150" t="s">
        <v>94</v>
      </c>
      <c r="D48" s="149" t="s">
        <v>1</v>
      </c>
      <c r="E48" s="154">
        <v>1.680555555555556</v>
      </c>
      <c r="F48" s="149" t="s">
        <v>83</v>
      </c>
      <c r="G48" s="151">
        <v>1</v>
      </c>
      <c r="H48" s="164" t="s">
        <v>219</v>
      </c>
      <c r="I48" s="2"/>
    </row>
    <row r="49" spans="1:9" ht="19.8" customHeight="1" x14ac:dyDescent="0.3">
      <c r="A49" s="153">
        <v>45983</v>
      </c>
      <c r="B49" s="149" t="s">
        <v>81</v>
      </c>
      <c r="C49" s="150" t="s">
        <v>152</v>
      </c>
      <c r="D49" s="149" t="s">
        <v>1</v>
      </c>
      <c r="E49" s="154">
        <v>1.2361111111111109</v>
      </c>
      <c r="F49" s="149" t="s">
        <v>207</v>
      </c>
      <c r="G49" s="149"/>
      <c r="H49" s="164" t="s">
        <v>208</v>
      </c>
      <c r="I49" s="2"/>
    </row>
    <row r="50" spans="1:9" ht="19.8" customHeight="1" x14ac:dyDescent="0.3">
      <c r="A50" s="165">
        <v>45983</v>
      </c>
      <c r="B50" s="166" t="s">
        <v>81</v>
      </c>
      <c r="C50" s="167" t="s">
        <v>91</v>
      </c>
      <c r="D50" s="166" t="s">
        <v>1</v>
      </c>
      <c r="E50" s="168">
        <v>1.333333333333333</v>
      </c>
      <c r="F50" s="166" t="s">
        <v>207</v>
      </c>
      <c r="G50" s="166"/>
      <c r="H50" s="169" t="s">
        <v>208</v>
      </c>
      <c r="I50" s="2"/>
    </row>
    <row r="51" spans="1:9" ht="19.8" customHeight="1" x14ac:dyDescent="0.3">
      <c r="A51" s="153">
        <v>45984</v>
      </c>
      <c r="B51" s="149" t="s">
        <v>81</v>
      </c>
      <c r="C51" s="150" t="s">
        <v>155</v>
      </c>
      <c r="D51" s="149" t="s">
        <v>1</v>
      </c>
      <c r="E51" s="154">
        <v>1.333333333333333</v>
      </c>
      <c r="F51" s="149" t="s">
        <v>83</v>
      </c>
      <c r="G51" s="151">
        <v>1</v>
      </c>
      <c r="H51" s="152">
        <v>586</v>
      </c>
      <c r="I51" s="2"/>
    </row>
    <row r="52" spans="1:9" ht="19.8" customHeight="1" x14ac:dyDescent="0.3">
      <c r="A52" s="155">
        <v>45984</v>
      </c>
      <c r="B52" s="144" t="s">
        <v>34</v>
      </c>
      <c r="C52" s="145" t="s">
        <v>38</v>
      </c>
      <c r="D52" s="144" t="s">
        <v>1</v>
      </c>
      <c r="E52" s="156">
        <v>1.381944444444444</v>
      </c>
      <c r="F52" s="144" t="s">
        <v>28</v>
      </c>
      <c r="G52" s="146">
        <v>2</v>
      </c>
      <c r="H52" s="147">
        <v>649</v>
      </c>
      <c r="I52" s="2"/>
    </row>
    <row r="53" spans="1:9" ht="19.8" customHeight="1" x14ac:dyDescent="0.3">
      <c r="A53" s="155">
        <v>45984</v>
      </c>
      <c r="B53" s="144" t="s">
        <v>61</v>
      </c>
      <c r="C53" s="145" t="s">
        <v>137</v>
      </c>
      <c r="D53" s="144" t="s">
        <v>1</v>
      </c>
      <c r="E53" s="156">
        <v>1.256944444444444</v>
      </c>
      <c r="F53" s="144" t="s">
        <v>65</v>
      </c>
      <c r="G53" s="146">
        <v>9</v>
      </c>
      <c r="H53" s="147">
        <v>689</v>
      </c>
      <c r="I53" s="2"/>
    </row>
    <row r="54" spans="1:9" ht="19.8" customHeight="1" x14ac:dyDescent="0.3">
      <c r="A54" s="155">
        <v>45984</v>
      </c>
      <c r="B54" s="144" t="s">
        <v>61</v>
      </c>
      <c r="C54" s="145" t="s">
        <v>74</v>
      </c>
      <c r="D54" s="144" t="s">
        <v>1</v>
      </c>
      <c r="E54" s="156">
        <v>1.9027777777777779</v>
      </c>
      <c r="F54" s="144" t="s">
        <v>65</v>
      </c>
      <c r="G54" s="146">
        <v>9</v>
      </c>
      <c r="H54" s="147">
        <v>689</v>
      </c>
      <c r="I54" s="2"/>
    </row>
    <row r="55" spans="1:9" ht="19.8" customHeight="1" x14ac:dyDescent="0.3">
      <c r="A55" s="155">
        <v>45984</v>
      </c>
      <c r="B55" s="144" t="s">
        <v>61</v>
      </c>
      <c r="C55" s="145" t="s">
        <v>78</v>
      </c>
      <c r="D55" s="144" t="s">
        <v>1</v>
      </c>
      <c r="E55" s="156">
        <v>1.645833333333333</v>
      </c>
      <c r="F55" s="144" t="s">
        <v>65</v>
      </c>
      <c r="G55" s="146">
        <v>6</v>
      </c>
      <c r="H55" s="147">
        <v>689</v>
      </c>
      <c r="I55" s="2"/>
    </row>
    <row r="56" spans="1:9" ht="19.8" customHeight="1" x14ac:dyDescent="0.3">
      <c r="A56" s="155">
        <v>45984</v>
      </c>
      <c r="B56" s="144" t="s">
        <v>61</v>
      </c>
      <c r="C56" s="145" t="s">
        <v>69</v>
      </c>
      <c r="D56" s="144" t="s">
        <v>1</v>
      </c>
      <c r="E56" s="156">
        <v>1.854166666666667</v>
      </c>
      <c r="F56" s="144" t="s">
        <v>65</v>
      </c>
      <c r="G56" s="146">
        <v>9</v>
      </c>
      <c r="H56" s="147">
        <v>689</v>
      </c>
      <c r="I56" s="2"/>
    </row>
    <row r="57" spans="1:9" ht="19.8" customHeight="1" x14ac:dyDescent="0.3">
      <c r="A57" s="155">
        <v>45984</v>
      </c>
      <c r="B57" s="144" t="s">
        <v>61</v>
      </c>
      <c r="C57" s="145" t="s">
        <v>72</v>
      </c>
      <c r="D57" s="144" t="s">
        <v>1</v>
      </c>
      <c r="E57" s="156">
        <v>1.395833333333333</v>
      </c>
      <c r="F57" s="144" t="s">
        <v>65</v>
      </c>
      <c r="G57" s="146">
        <v>9</v>
      </c>
      <c r="H57" s="147">
        <v>689</v>
      </c>
      <c r="I57" s="2"/>
    </row>
    <row r="58" spans="1:9" ht="19.8" customHeight="1" x14ac:dyDescent="0.3">
      <c r="A58" s="155">
        <v>45984</v>
      </c>
      <c r="B58" s="144" t="s">
        <v>61</v>
      </c>
      <c r="C58" s="145" t="s">
        <v>79</v>
      </c>
      <c r="D58" s="144" t="s">
        <v>1</v>
      </c>
      <c r="E58" s="156">
        <v>1.302083333333333</v>
      </c>
      <c r="F58" s="144" t="s">
        <v>65</v>
      </c>
      <c r="G58" s="146">
        <v>9</v>
      </c>
      <c r="H58" s="147">
        <v>689</v>
      </c>
      <c r="I58" s="2"/>
    </row>
    <row r="59" spans="1:9" ht="19.8" customHeight="1" x14ac:dyDescent="0.3">
      <c r="A59" s="155">
        <v>45984</v>
      </c>
      <c r="B59" s="144" t="s">
        <v>61</v>
      </c>
      <c r="C59" s="145" t="s">
        <v>73</v>
      </c>
      <c r="D59" s="144" t="s">
        <v>1</v>
      </c>
      <c r="E59" s="156">
        <v>1.7986111111111109</v>
      </c>
      <c r="F59" s="144" t="s">
        <v>65</v>
      </c>
      <c r="G59" s="146">
        <v>9</v>
      </c>
      <c r="H59" s="147">
        <v>689</v>
      </c>
      <c r="I59" s="2"/>
    </row>
    <row r="60" spans="1:9" ht="19.8" customHeight="1" x14ac:dyDescent="0.3">
      <c r="A60" s="155">
        <v>45984</v>
      </c>
      <c r="B60" s="144" t="s">
        <v>26</v>
      </c>
      <c r="C60" s="145" t="s">
        <v>241</v>
      </c>
      <c r="D60" s="144" t="s">
        <v>1</v>
      </c>
      <c r="E60" s="156">
        <v>1.3472222222222221</v>
      </c>
      <c r="F60" s="144" t="s">
        <v>28</v>
      </c>
      <c r="G60" s="146">
        <v>5</v>
      </c>
      <c r="H60" s="147">
        <v>695</v>
      </c>
      <c r="I60" s="2"/>
    </row>
    <row r="61" spans="1:9" ht="19.8" customHeight="1" x14ac:dyDescent="0.3">
      <c r="A61" s="153">
        <v>45984</v>
      </c>
      <c r="B61" s="149" t="s">
        <v>81</v>
      </c>
      <c r="C61" s="150" t="s">
        <v>146</v>
      </c>
      <c r="D61" s="149" t="s">
        <v>1</v>
      </c>
      <c r="E61" s="154">
        <v>1.083333333333333</v>
      </c>
      <c r="F61" s="149" t="s">
        <v>83</v>
      </c>
      <c r="G61" s="151">
        <v>6</v>
      </c>
      <c r="H61" s="152">
        <v>706</v>
      </c>
      <c r="I61" s="2"/>
    </row>
    <row r="62" spans="1:9" ht="19.8" customHeight="1" x14ac:dyDescent="0.3">
      <c r="A62" s="153">
        <v>45984</v>
      </c>
      <c r="B62" s="149" t="s">
        <v>81</v>
      </c>
      <c r="C62" s="150" t="s">
        <v>89</v>
      </c>
      <c r="D62" s="149" t="s">
        <v>1</v>
      </c>
      <c r="E62" s="154">
        <v>1.319444444444444</v>
      </c>
      <c r="F62" s="149" t="s">
        <v>83</v>
      </c>
      <c r="G62" s="151">
        <v>5</v>
      </c>
      <c r="H62" s="152">
        <v>706</v>
      </c>
      <c r="I62" s="2"/>
    </row>
    <row r="63" spans="1:9" ht="19.8" customHeight="1" x14ac:dyDescent="0.3">
      <c r="A63" s="155">
        <v>45984</v>
      </c>
      <c r="B63" s="144" t="s">
        <v>61</v>
      </c>
      <c r="C63" s="145" t="s">
        <v>62</v>
      </c>
      <c r="D63" s="144" t="s">
        <v>1</v>
      </c>
      <c r="E63" s="156">
        <v>1.5173611111111109</v>
      </c>
      <c r="F63" s="144" t="s">
        <v>65</v>
      </c>
      <c r="G63" s="146">
        <v>9</v>
      </c>
      <c r="H63" s="147">
        <v>769</v>
      </c>
      <c r="I63" s="2"/>
    </row>
    <row r="64" spans="1:9" ht="19.8" customHeight="1" x14ac:dyDescent="0.3">
      <c r="A64" s="153">
        <v>45984</v>
      </c>
      <c r="B64" s="149" t="s">
        <v>81</v>
      </c>
      <c r="C64" s="150" t="s">
        <v>82</v>
      </c>
      <c r="D64" s="149" t="s">
        <v>1</v>
      </c>
      <c r="E64" s="154">
        <v>1.510416666666667</v>
      </c>
      <c r="F64" s="149" t="s">
        <v>83</v>
      </c>
      <c r="G64" s="151">
        <v>8</v>
      </c>
      <c r="H64" s="152">
        <v>781</v>
      </c>
      <c r="I64" s="2"/>
    </row>
    <row r="65" spans="1:9" ht="19.8" customHeight="1" x14ac:dyDescent="0.3">
      <c r="A65" s="165">
        <v>45984</v>
      </c>
      <c r="B65" s="166" t="s">
        <v>81</v>
      </c>
      <c r="C65" s="167" t="s">
        <v>94</v>
      </c>
      <c r="D65" s="166" t="s">
        <v>1</v>
      </c>
      <c r="E65" s="168">
        <v>1.631944444444444</v>
      </c>
      <c r="F65" s="166" t="s">
        <v>83</v>
      </c>
      <c r="G65" s="170">
        <v>1</v>
      </c>
      <c r="H65" s="171">
        <v>781</v>
      </c>
      <c r="I65" s="2"/>
    </row>
    <row r="66" spans="1:9" ht="19.8" customHeight="1" x14ac:dyDescent="0.3">
      <c r="A66" s="153">
        <v>45985</v>
      </c>
      <c r="B66" s="149" t="s">
        <v>81</v>
      </c>
      <c r="C66" s="150" t="s">
        <v>89</v>
      </c>
      <c r="D66" s="149" t="s">
        <v>1</v>
      </c>
      <c r="E66" s="154">
        <v>1.4236111111111109</v>
      </c>
      <c r="F66" s="149" t="s">
        <v>83</v>
      </c>
      <c r="G66" s="151">
        <v>1</v>
      </c>
      <c r="H66" s="152">
        <v>471</v>
      </c>
      <c r="I66" s="2"/>
    </row>
    <row r="67" spans="1:9" ht="19.8" customHeight="1" x14ac:dyDescent="0.3">
      <c r="A67" s="153">
        <v>45985</v>
      </c>
      <c r="B67" s="149" t="s">
        <v>81</v>
      </c>
      <c r="C67" s="150" t="s">
        <v>82</v>
      </c>
      <c r="D67" s="149" t="s">
        <v>1</v>
      </c>
      <c r="E67" s="154">
        <v>1.979166666666667</v>
      </c>
      <c r="F67" s="149" t="s">
        <v>83</v>
      </c>
      <c r="G67" s="151">
        <v>3</v>
      </c>
      <c r="H67" s="152">
        <v>526</v>
      </c>
      <c r="I67" s="2"/>
    </row>
    <row r="68" spans="1:9" ht="19.8" customHeight="1" x14ac:dyDescent="0.3">
      <c r="A68" s="153">
        <v>45985</v>
      </c>
      <c r="B68" s="149" t="s">
        <v>81</v>
      </c>
      <c r="C68" s="150" t="s">
        <v>94</v>
      </c>
      <c r="D68" s="149" t="s">
        <v>1</v>
      </c>
      <c r="E68" s="154">
        <v>1.614583333333333</v>
      </c>
      <c r="F68" s="149" t="s">
        <v>83</v>
      </c>
      <c r="G68" s="151">
        <v>3</v>
      </c>
      <c r="H68" s="152">
        <v>526</v>
      </c>
      <c r="I68" s="2"/>
    </row>
    <row r="69" spans="1:9" ht="19.8" customHeight="1" x14ac:dyDescent="0.3">
      <c r="A69" s="165">
        <v>45985</v>
      </c>
      <c r="B69" s="166" t="s">
        <v>81</v>
      </c>
      <c r="C69" s="167" t="s">
        <v>165</v>
      </c>
      <c r="D69" s="166" t="s">
        <v>1</v>
      </c>
      <c r="E69" s="168">
        <v>1.006944444444444</v>
      </c>
      <c r="F69" s="166" t="s">
        <v>83</v>
      </c>
      <c r="G69" s="170">
        <v>1</v>
      </c>
      <c r="H69" s="171">
        <v>526</v>
      </c>
      <c r="I69" s="2"/>
    </row>
    <row r="70" spans="1:9" ht="19.8" customHeight="1" x14ac:dyDescent="0.3">
      <c r="A70" s="153">
        <v>45986</v>
      </c>
      <c r="B70" s="149" t="s">
        <v>81</v>
      </c>
      <c r="C70" s="150" t="s">
        <v>82</v>
      </c>
      <c r="D70" s="149" t="s">
        <v>1</v>
      </c>
      <c r="E70" s="154">
        <v>1.729166666666667</v>
      </c>
      <c r="F70" s="149" t="s">
        <v>83</v>
      </c>
      <c r="G70" s="151">
        <v>4</v>
      </c>
      <c r="H70" s="152">
        <v>471</v>
      </c>
      <c r="I70" s="2"/>
    </row>
    <row r="71" spans="1:9" ht="19.8" customHeight="1" x14ac:dyDescent="0.3">
      <c r="A71" s="153">
        <v>45986</v>
      </c>
      <c r="B71" s="149" t="s">
        <v>81</v>
      </c>
      <c r="C71" s="150" t="s">
        <v>159</v>
      </c>
      <c r="D71" s="149" t="s">
        <v>1</v>
      </c>
      <c r="E71" s="154">
        <v>1.229166666666667</v>
      </c>
      <c r="F71" s="149" t="s">
        <v>83</v>
      </c>
      <c r="G71" s="151">
        <v>1</v>
      </c>
      <c r="H71" s="152">
        <v>471</v>
      </c>
      <c r="I71" s="2"/>
    </row>
    <row r="72" spans="1:9" ht="19.8" customHeight="1" x14ac:dyDescent="0.3">
      <c r="A72" s="153">
        <v>45986</v>
      </c>
      <c r="B72" s="149" t="s">
        <v>81</v>
      </c>
      <c r="C72" s="150" t="s">
        <v>89</v>
      </c>
      <c r="D72" s="149" t="s">
        <v>1</v>
      </c>
      <c r="E72" s="154">
        <v>1.96875</v>
      </c>
      <c r="F72" s="149" t="s">
        <v>83</v>
      </c>
      <c r="G72" s="151">
        <v>8</v>
      </c>
      <c r="H72" s="152">
        <v>471</v>
      </c>
      <c r="I72" s="2"/>
    </row>
    <row r="73" spans="1:9" ht="19.8" customHeight="1" x14ac:dyDescent="0.3">
      <c r="A73" s="153">
        <v>45986</v>
      </c>
      <c r="B73" s="149" t="s">
        <v>81</v>
      </c>
      <c r="C73" s="150" t="s">
        <v>146</v>
      </c>
      <c r="D73" s="149" t="s">
        <v>1</v>
      </c>
      <c r="E73" s="154">
        <v>1.9340277777777779</v>
      </c>
      <c r="F73" s="149" t="s">
        <v>83</v>
      </c>
      <c r="G73" s="151">
        <v>5</v>
      </c>
      <c r="H73" s="152">
        <v>526</v>
      </c>
      <c r="I73" s="2"/>
    </row>
    <row r="74" spans="1:9" ht="19.8" customHeight="1" x14ac:dyDescent="0.3">
      <c r="A74" s="153">
        <v>45986</v>
      </c>
      <c r="B74" s="149" t="s">
        <v>81</v>
      </c>
      <c r="C74" s="150" t="s">
        <v>94</v>
      </c>
      <c r="D74" s="149" t="s">
        <v>1</v>
      </c>
      <c r="E74" s="154">
        <v>1.614583333333333</v>
      </c>
      <c r="F74" s="149" t="s">
        <v>83</v>
      </c>
      <c r="G74" s="151">
        <v>7</v>
      </c>
      <c r="H74" s="152">
        <v>526</v>
      </c>
      <c r="I74" s="2"/>
    </row>
    <row r="75" spans="1:9" ht="19.8" customHeight="1" x14ac:dyDescent="0.3">
      <c r="A75" s="165">
        <v>45986</v>
      </c>
      <c r="B75" s="166" t="s">
        <v>81</v>
      </c>
      <c r="C75" s="167" t="s">
        <v>167</v>
      </c>
      <c r="D75" s="166" t="s">
        <v>1</v>
      </c>
      <c r="E75" s="168">
        <v>1.5590277777777779</v>
      </c>
      <c r="F75" s="166" t="s">
        <v>207</v>
      </c>
      <c r="G75" s="166"/>
      <c r="H75" s="169" t="s">
        <v>208</v>
      </c>
      <c r="I75"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36"/>
  <sheetViews>
    <sheetView workbookViewId="0"/>
  </sheetViews>
  <sheetFormatPr defaultRowHeight="14.4" outlineLevelCol="1" x14ac:dyDescent="0.3"/>
  <cols>
    <col min="1" max="1" width="11.5546875" bestFit="1" customWidth="1"/>
    <col min="2" max="2" width="9.6640625" bestFit="1" customWidth="1"/>
    <col min="3" max="3" width="6.6640625" bestFit="1" customWidth="1"/>
    <col min="4" max="4" width="5.5546875" bestFit="1" customWidth="1"/>
    <col min="5" max="5" width="7.44140625" bestFit="1" customWidth="1"/>
    <col min="6" max="6" width="4.21875" bestFit="1" customWidth="1"/>
    <col min="7" max="7" width="7.5546875" bestFit="1" customWidth="1"/>
    <col min="8" max="8" width="6.33203125" bestFit="1" customWidth="1"/>
    <col min="9" max="10" width="6.88671875" bestFit="1" customWidth="1"/>
    <col min="11" max="11" width="10.5546875" bestFit="1" customWidth="1"/>
    <col min="12" max="12" width="9" bestFit="1" customWidth="1"/>
    <col min="13" max="13" width="7.5546875" bestFit="1" customWidth="1" outlineLevel="1"/>
    <col min="14" max="14" width="6.21875" bestFit="1" customWidth="1" outlineLevel="1"/>
    <col min="15" max="15" width="7.88671875" bestFit="1" customWidth="1" outlineLevel="1"/>
    <col min="16" max="16" width="13.6640625" bestFit="1" customWidth="1"/>
    <col min="17" max="18" width="2.33203125" bestFit="1" customWidth="1"/>
    <col min="19" max="19" width="2.88671875" bestFit="1" customWidth="1"/>
    <col min="20" max="20" width="2.33203125" bestFit="1" customWidth="1"/>
    <col min="21" max="21" width="2.44140625" bestFit="1" customWidth="1"/>
    <col min="22" max="22" width="3.6640625" bestFit="1" customWidth="1"/>
    <col min="23" max="33" width="5" bestFit="1" customWidth="1"/>
    <col min="34" max="34" width="2.33203125" bestFit="1" customWidth="1"/>
    <col min="35" max="35" width="6.33203125" bestFit="1" customWidth="1"/>
    <col min="36" max="36" width="3.6640625" bestFit="1" customWidth="1"/>
  </cols>
  <sheetData>
    <row r="1" spans="1:36" x14ac:dyDescent="0.3">
      <c r="A1" s="2" t="s">
        <v>297</v>
      </c>
      <c r="B1" s="2" t="s">
        <v>298</v>
      </c>
      <c r="C1" s="2" t="s">
        <v>299</v>
      </c>
      <c r="D1" s="2" t="s">
        <v>23</v>
      </c>
      <c r="E1" s="2" t="s">
        <v>300</v>
      </c>
      <c r="F1" s="2" t="s">
        <v>301</v>
      </c>
      <c r="G1" s="2" t="s">
        <v>16</v>
      </c>
      <c r="H1" s="2" t="s">
        <v>302</v>
      </c>
      <c r="I1" s="2" t="s">
        <v>303</v>
      </c>
      <c r="J1" s="2" t="s">
        <v>304</v>
      </c>
      <c r="K1" s="2" t="s">
        <v>305</v>
      </c>
      <c r="L1" s="2" t="s">
        <v>18</v>
      </c>
      <c r="M1" s="2" t="s">
        <v>20</v>
      </c>
      <c r="N1" s="2" t="s">
        <v>21</v>
      </c>
      <c r="O1" s="2" t="s">
        <v>19</v>
      </c>
      <c r="P1" s="2" t="s">
        <v>22</v>
      </c>
      <c r="Q1" s="2" t="s">
        <v>306</v>
      </c>
      <c r="R1" s="2" t="s">
        <v>307</v>
      </c>
      <c r="S1" s="2" t="s">
        <v>308</v>
      </c>
      <c r="T1" s="2" t="s">
        <v>309</v>
      </c>
      <c r="U1" s="2" t="s">
        <v>310</v>
      </c>
      <c r="V1" s="2" t="s">
        <v>311</v>
      </c>
      <c r="W1" s="2" t="s">
        <v>312</v>
      </c>
      <c r="X1" s="2" t="s">
        <v>313</v>
      </c>
      <c r="Y1" s="2" t="s">
        <v>314</v>
      </c>
      <c r="Z1" s="2" t="s">
        <v>315</v>
      </c>
      <c r="AA1" s="2" t="s">
        <v>316</v>
      </c>
      <c r="AB1" s="2" t="s">
        <v>317</v>
      </c>
      <c r="AC1" s="2" t="s">
        <v>318</v>
      </c>
      <c r="AD1" s="2" t="s">
        <v>319</v>
      </c>
      <c r="AE1" s="2" t="s">
        <v>320</v>
      </c>
      <c r="AF1" s="2" t="s">
        <v>321</v>
      </c>
      <c r="AG1" s="2" t="s">
        <v>322</v>
      </c>
      <c r="AH1" s="2" t="s">
        <v>323</v>
      </c>
      <c r="AI1" s="2" t="s">
        <v>324</v>
      </c>
      <c r="AJ1" s="2" t="s">
        <v>325</v>
      </c>
    </row>
    <row r="2" spans="1:36" x14ac:dyDescent="0.3">
      <c r="A2" s="133" t="s">
        <v>326</v>
      </c>
      <c r="B2" s="134">
        <v>45980</v>
      </c>
      <c r="C2" s="135" t="s">
        <v>86</v>
      </c>
      <c r="D2" s="136" t="s">
        <v>339</v>
      </c>
      <c r="E2" s="135" t="s">
        <v>1</v>
      </c>
      <c r="F2" s="135" t="s">
        <v>328</v>
      </c>
      <c r="G2" s="137">
        <v>0.90500000000000003</v>
      </c>
      <c r="H2" s="138">
        <v>179</v>
      </c>
      <c r="I2" s="138">
        <v>162</v>
      </c>
      <c r="J2" s="138">
        <v>49</v>
      </c>
      <c r="K2" s="135" t="s">
        <v>329</v>
      </c>
      <c r="L2" s="139">
        <v>45979</v>
      </c>
      <c r="M2" s="138">
        <v>0</v>
      </c>
      <c r="N2" s="138">
        <v>8</v>
      </c>
      <c r="O2" s="138">
        <v>24</v>
      </c>
      <c r="P2" s="135" t="s">
        <v>87</v>
      </c>
      <c r="Q2" s="138">
        <v>0</v>
      </c>
      <c r="R2" s="138">
        <v>1</v>
      </c>
      <c r="S2" s="138">
        <v>0</v>
      </c>
      <c r="T2" s="138">
        <v>0</v>
      </c>
      <c r="U2" s="138">
        <v>0</v>
      </c>
      <c r="V2" s="138">
        <v>0</v>
      </c>
      <c r="W2" s="138">
        <v>0</v>
      </c>
      <c r="X2" s="138">
        <v>9</v>
      </c>
      <c r="Y2" s="138">
        <v>19</v>
      </c>
      <c r="Z2" s="138">
        <v>28</v>
      </c>
      <c r="AA2" s="138">
        <v>10</v>
      </c>
      <c r="AB2" s="138">
        <v>14</v>
      </c>
      <c r="AC2" s="138">
        <v>15</v>
      </c>
      <c r="AD2" s="138">
        <v>5</v>
      </c>
      <c r="AE2" s="138">
        <v>5</v>
      </c>
      <c r="AF2" s="138">
        <v>7</v>
      </c>
      <c r="AG2" s="138">
        <v>0</v>
      </c>
      <c r="AH2" s="138">
        <v>0</v>
      </c>
      <c r="AI2" s="138">
        <v>49</v>
      </c>
      <c r="AJ2" s="138">
        <v>0</v>
      </c>
    </row>
    <row r="3" spans="1:36" x14ac:dyDescent="0.3">
      <c r="A3" s="133" t="s">
        <v>326</v>
      </c>
      <c r="B3" s="134">
        <v>45980</v>
      </c>
      <c r="C3" s="135" t="s">
        <v>91</v>
      </c>
      <c r="D3" s="136" t="s">
        <v>327</v>
      </c>
      <c r="E3" s="135" t="s">
        <v>1</v>
      </c>
      <c r="F3" s="135" t="s">
        <v>328</v>
      </c>
      <c r="G3" s="137">
        <v>0.88829999999999998</v>
      </c>
      <c r="H3" s="138">
        <v>179</v>
      </c>
      <c r="I3" s="138">
        <v>159</v>
      </c>
      <c r="J3" s="138">
        <v>48</v>
      </c>
      <c r="K3" s="135" t="s">
        <v>329</v>
      </c>
      <c r="L3" s="139">
        <v>45979</v>
      </c>
      <c r="M3" s="138">
        <v>0</v>
      </c>
      <c r="N3" s="138">
        <v>3</v>
      </c>
      <c r="O3" s="138">
        <v>15</v>
      </c>
      <c r="P3" s="135" t="s">
        <v>92</v>
      </c>
      <c r="Q3" s="138">
        <v>0</v>
      </c>
      <c r="R3" s="138">
        <v>0</v>
      </c>
      <c r="S3" s="138">
        <v>0</v>
      </c>
      <c r="T3" s="138">
        <v>0</v>
      </c>
      <c r="U3" s="138">
        <v>0</v>
      </c>
      <c r="V3" s="138">
        <v>0</v>
      </c>
      <c r="W3" s="138">
        <v>0</v>
      </c>
      <c r="X3" s="138">
        <v>7</v>
      </c>
      <c r="Y3" s="138">
        <v>18</v>
      </c>
      <c r="Z3" s="138">
        <v>31</v>
      </c>
      <c r="AA3" s="138">
        <v>5</v>
      </c>
      <c r="AB3" s="138">
        <v>10</v>
      </c>
      <c r="AC3" s="138">
        <v>11</v>
      </c>
      <c r="AD3" s="138">
        <v>20</v>
      </c>
      <c r="AE3" s="138">
        <v>4</v>
      </c>
      <c r="AF3" s="138">
        <v>5</v>
      </c>
      <c r="AG3" s="138">
        <v>0</v>
      </c>
      <c r="AH3" s="138">
        <v>0</v>
      </c>
      <c r="AI3" s="138">
        <v>48</v>
      </c>
      <c r="AJ3" s="138">
        <v>0</v>
      </c>
    </row>
    <row r="4" spans="1:36" x14ac:dyDescent="0.3">
      <c r="A4" s="133" t="s">
        <v>326</v>
      </c>
      <c r="B4" s="134">
        <v>45980</v>
      </c>
      <c r="C4" s="135" t="s">
        <v>97</v>
      </c>
      <c r="D4" s="136" t="s">
        <v>351</v>
      </c>
      <c r="E4" s="135" t="s">
        <v>1</v>
      </c>
      <c r="F4" s="135" t="s">
        <v>328</v>
      </c>
      <c r="G4" s="137">
        <v>0.91620000000000001</v>
      </c>
      <c r="H4" s="138">
        <v>179</v>
      </c>
      <c r="I4" s="138">
        <v>164</v>
      </c>
      <c r="J4" s="138">
        <v>45</v>
      </c>
      <c r="K4" s="135" t="s">
        <v>329</v>
      </c>
      <c r="L4" s="139">
        <v>45976</v>
      </c>
      <c r="M4" s="138">
        <v>0</v>
      </c>
      <c r="N4" s="138">
        <v>0</v>
      </c>
      <c r="O4" s="138">
        <v>6</v>
      </c>
      <c r="P4" s="135" t="s">
        <v>98</v>
      </c>
      <c r="Q4" s="138">
        <v>0</v>
      </c>
      <c r="R4" s="138">
        <v>0</v>
      </c>
      <c r="S4" s="138">
        <v>0</v>
      </c>
      <c r="T4" s="138">
        <v>0</v>
      </c>
      <c r="U4" s="138">
        <v>0</v>
      </c>
      <c r="V4" s="138">
        <v>0</v>
      </c>
      <c r="W4" s="138">
        <v>0</v>
      </c>
      <c r="X4" s="138">
        <v>5</v>
      </c>
      <c r="Y4" s="138">
        <v>18</v>
      </c>
      <c r="Z4" s="138">
        <v>32</v>
      </c>
      <c r="AA4" s="138">
        <v>5</v>
      </c>
      <c r="AB4" s="138">
        <v>8</v>
      </c>
      <c r="AC4" s="138">
        <v>20</v>
      </c>
      <c r="AD4" s="138">
        <v>9</v>
      </c>
      <c r="AE4" s="138">
        <v>8</v>
      </c>
      <c r="AF4" s="138">
        <v>11</v>
      </c>
      <c r="AG4" s="138">
        <v>0</v>
      </c>
      <c r="AH4" s="138">
        <v>0</v>
      </c>
      <c r="AI4" s="138">
        <v>45</v>
      </c>
      <c r="AJ4" s="138">
        <v>3</v>
      </c>
    </row>
    <row r="5" spans="1:36" x14ac:dyDescent="0.3">
      <c r="A5" s="133" t="s">
        <v>360</v>
      </c>
      <c r="B5" s="134">
        <v>45981</v>
      </c>
      <c r="C5" s="135" t="s">
        <v>148</v>
      </c>
      <c r="D5" s="136" t="s">
        <v>361</v>
      </c>
      <c r="E5" s="135" t="s">
        <v>1</v>
      </c>
      <c r="F5" s="135" t="s">
        <v>328</v>
      </c>
      <c r="G5" s="137">
        <v>0.75980000000000003</v>
      </c>
      <c r="H5" s="138">
        <v>179</v>
      </c>
      <c r="I5" s="138">
        <v>136</v>
      </c>
      <c r="J5" s="138">
        <v>28</v>
      </c>
      <c r="K5" s="135" t="s">
        <v>329</v>
      </c>
      <c r="L5" s="139">
        <v>45979</v>
      </c>
      <c r="M5" s="138">
        <v>0</v>
      </c>
      <c r="N5" s="138">
        <v>9</v>
      </c>
      <c r="O5" s="138">
        <v>35</v>
      </c>
      <c r="P5" s="135" t="s">
        <v>149</v>
      </c>
      <c r="Q5" s="138">
        <v>0</v>
      </c>
      <c r="R5" s="138">
        <v>0</v>
      </c>
      <c r="S5" s="138">
        <v>0</v>
      </c>
      <c r="T5" s="138">
        <v>0</v>
      </c>
      <c r="U5" s="138">
        <v>0</v>
      </c>
      <c r="V5" s="138">
        <v>0</v>
      </c>
      <c r="W5" s="138">
        <v>0</v>
      </c>
      <c r="X5" s="138">
        <v>16</v>
      </c>
      <c r="Y5" s="138">
        <v>28</v>
      </c>
      <c r="Z5" s="138">
        <v>35</v>
      </c>
      <c r="AA5" s="138">
        <v>29</v>
      </c>
      <c r="AB5" s="138">
        <v>0</v>
      </c>
      <c r="AC5" s="138">
        <v>0</v>
      </c>
      <c r="AD5" s="138">
        <v>0</v>
      </c>
      <c r="AE5" s="138">
        <v>0</v>
      </c>
      <c r="AF5" s="138">
        <v>0</v>
      </c>
      <c r="AG5" s="138">
        <v>0</v>
      </c>
      <c r="AH5" s="138">
        <v>0</v>
      </c>
      <c r="AI5" s="138">
        <v>28</v>
      </c>
      <c r="AJ5" s="138">
        <v>0</v>
      </c>
    </row>
    <row r="6" spans="1:36" x14ac:dyDescent="0.3">
      <c r="A6" s="133" t="s">
        <v>360</v>
      </c>
      <c r="B6" s="134">
        <v>45981</v>
      </c>
      <c r="C6" s="135" t="s">
        <v>156</v>
      </c>
      <c r="D6" s="136" t="s">
        <v>387</v>
      </c>
      <c r="E6" s="135" t="s">
        <v>1</v>
      </c>
      <c r="F6" s="135" t="s">
        <v>328</v>
      </c>
      <c r="G6" s="137">
        <v>0.56979999999999997</v>
      </c>
      <c r="H6" s="138">
        <v>179</v>
      </c>
      <c r="I6" s="138">
        <v>102</v>
      </c>
      <c r="J6" s="138">
        <v>2</v>
      </c>
      <c r="K6" s="135" t="s">
        <v>329</v>
      </c>
      <c r="L6" s="139">
        <v>45978</v>
      </c>
      <c r="M6" s="138">
        <v>0</v>
      </c>
      <c r="N6" s="138">
        <v>0</v>
      </c>
      <c r="O6" s="138">
        <v>16</v>
      </c>
      <c r="P6" s="135" t="s">
        <v>157</v>
      </c>
      <c r="Q6" s="138">
        <v>0</v>
      </c>
      <c r="R6" s="138">
        <v>0</v>
      </c>
      <c r="S6" s="138">
        <v>0</v>
      </c>
      <c r="T6" s="138">
        <v>0</v>
      </c>
      <c r="U6" s="138">
        <v>0</v>
      </c>
      <c r="V6" s="138">
        <v>0</v>
      </c>
      <c r="W6" s="138">
        <v>4</v>
      </c>
      <c r="X6" s="138">
        <v>28</v>
      </c>
      <c r="Y6" s="138">
        <v>19</v>
      </c>
      <c r="Z6" s="138">
        <v>10</v>
      </c>
      <c r="AA6" s="138">
        <v>10</v>
      </c>
      <c r="AB6" s="138">
        <v>9</v>
      </c>
      <c r="AC6" s="138">
        <v>6</v>
      </c>
      <c r="AD6" s="138">
        <v>1</v>
      </c>
      <c r="AE6" s="138">
        <v>5</v>
      </c>
      <c r="AF6" s="138">
        <v>6</v>
      </c>
      <c r="AG6" s="138">
        <v>0</v>
      </c>
      <c r="AH6" s="138">
        <v>0</v>
      </c>
      <c r="AI6" s="138">
        <v>2</v>
      </c>
      <c r="AJ6" s="138">
        <v>2</v>
      </c>
    </row>
    <row r="7" spans="1:36" x14ac:dyDescent="0.3">
      <c r="A7" s="133" t="s">
        <v>360</v>
      </c>
      <c r="B7" s="134">
        <v>45981</v>
      </c>
      <c r="C7" s="135" t="s">
        <v>152</v>
      </c>
      <c r="D7" s="136" t="s">
        <v>373</v>
      </c>
      <c r="E7" s="135" t="s">
        <v>1</v>
      </c>
      <c r="F7" s="135" t="s">
        <v>328</v>
      </c>
      <c r="G7" s="137">
        <v>0.87709999999999999</v>
      </c>
      <c r="H7" s="138">
        <v>179</v>
      </c>
      <c r="I7" s="138">
        <v>157</v>
      </c>
      <c r="J7" s="138">
        <v>72</v>
      </c>
      <c r="K7" s="135" t="s">
        <v>329</v>
      </c>
      <c r="L7" s="139">
        <v>45979</v>
      </c>
      <c r="M7" s="138">
        <v>0</v>
      </c>
      <c r="N7" s="138">
        <v>7</v>
      </c>
      <c r="O7" s="138">
        <v>13</v>
      </c>
      <c r="P7" s="135" t="s">
        <v>149</v>
      </c>
      <c r="Q7" s="138">
        <v>0</v>
      </c>
      <c r="R7" s="138">
        <v>0</v>
      </c>
      <c r="S7" s="138">
        <v>0</v>
      </c>
      <c r="T7" s="138">
        <v>0</v>
      </c>
      <c r="U7" s="138">
        <v>0</v>
      </c>
      <c r="V7" s="138">
        <v>0</v>
      </c>
      <c r="W7" s="138">
        <v>1</v>
      </c>
      <c r="X7" s="138">
        <v>11</v>
      </c>
      <c r="Y7" s="138">
        <v>20</v>
      </c>
      <c r="Z7" s="138">
        <v>22</v>
      </c>
      <c r="AA7" s="138">
        <v>31</v>
      </c>
      <c r="AB7" s="138">
        <v>0</v>
      </c>
      <c r="AC7" s="138">
        <v>0</v>
      </c>
      <c r="AD7" s="138">
        <v>0</v>
      </c>
      <c r="AE7" s="138">
        <v>0</v>
      </c>
      <c r="AF7" s="138">
        <v>0</v>
      </c>
      <c r="AG7" s="138">
        <v>69</v>
      </c>
      <c r="AH7" s="138">
        <v>0</v>
      </c>
      <c r="AI7" s="138">
        <v>1</v>
      </c>
      <c r="AJ7" s="138">
        <v>2</v>
      </c>
    </row>
    <row r="8" spans="1:36" x14ac:dyDescent="0.3">
      <c r="A8" s="133" t="s">
        <v>360</v>
      </c>
      <c r="B8" s="134">
        <v>45981</v>
      </c>
      <c r="C8" s="135" t="s">
        <v>160</v>
      </c>
      <c r="D8" s="136" t="s">
        <v>367</v>
      </c>
      <c r="E8" s="135" t="s">
        <v>1</v>
      </c>
      <c r="F8" s="135" t="s">
        <v>328</v>
      </c>
      <c r="G8" s="137">
        <v>0.96650000000000003</v>
      </c>
      <c r="H8" s="138">
        <v>179</v>
      </c>
      <c r="I8" s="138">
        <v>173</v>
      </c>
      <c r="J8" s="138">
        <v>60</v>
      </c>
      <c r="K8" s="135" t="s">
        <v>329</v>
      </c>
      <c r="L8" s="139">
        <v>45979</v>
      </c>
      <c r="M8" s="138">
        <v>0</v>
      </c>
      <c r="N8" s="138">
        <v>4</v>
      </c>
      <c r="O8" s="138">
        <v>15</v>
      </c>
      <c r="P8" s="135" t="s">
        <v>92</v>
      </c>
      <c r="Q8" s="138">
        <v>0</v>
      </c>
      <c r="R8" s="138">
        <v>0</v>
      </c>
      <c r="S8" s="138">
        <v>0</v>
      </c>
      <c r="T8" s="138">
        <v>0</v>
      </c>
      <c r="U8" s="138">
        <v>0</v>
      </c>
      <c r="V8" s="138">
        <v>0</v>
      </c>
      <c r="W8" s="138">
        <v>0</v>
      </c>
      <c r="X8" s="138">
        <v>13</v>
      </c>
      <c r="Y8" s="138">
        <v>42</v>
      </c>
      <c r="Z8" s="138">
        <v>15</v>
      </c>
      <c r="AA8" s="138">
        <v>13</v>
      </c>
      <c r="AB8" s="138">
        <v>10</v>
      </c>
      <c r="AC8" s="138">
        <v>5</v>
      </c>
      <c r="AD8" s="138">
        <v>5</v>
      </c>
      <c r="AE8" s="138">
        <v>5</v>
      </c>
      <c r="AF8" s="138">
        <v>5</v>
      </c>
      <c r="AG8" s="138">
        <v>0</v>
      </c>
      <c r="AH8" s="138">
        <v>0</v>
      </c>
      <c r="AI8" s="138">
        <v>60</v>
      </c>
      <c r="AJ8" s="138">
        <v>0</v>
      </c>
    </row>
    <row r="9" spans="1:36" x14ac:dyDescent="0.3">
      <c r="A9" s="133" t="s">
        <v>360</v>
      </c>
      <c r="B9" s="134">
        <v>45981</v>
      </c>
      <c r="C9" s="135" t="s">
        <v>91</v>
      </c>
      <c r="D9" s="136" t="s">
        <v>382</v>
      </c>
      <c r="E9" s="135" t="s">
        <v>1</v>
      </c>
      <c r="F9" s="135" t="s">
        <v>328</v>
      </c>
      <c r="G9" s="137">
        <v>0.83799999999999997</v>
      </c>
      <c r="H9" s="138">
        <v>179</v>
      </c>
      <c r="I9" s="138">
        <v>150</v>
      </c>
      <c r="J9" s="138">
        <v>104</v>
      </c>
      <c r="K9" s="135" t="s">
        <v>329</v>
      </c>
      <c r="L9" s="139">
        <v>45980</v>
      </c>
      <c r="M9" s="138">
        <v>1</v>
      </c>
      <c r="N9" s="138">
        <v>10</v>
      </c>
      <c r="O9" s="138">
        <v>19</v>
      </c>
      <c r="P9" s="135" t="s">
        <v>149</v>
      </c>
      <c r="Q9" s="138">
        <v>0</v>
      </c>
      <c r="R9" s="138">
        <v>0</v>
      </c>
      <c r="S9" s="138">
        <v>0</v>
      </c>
      <c r="T9" s="138">
        <v>0</v>
      </c>
      <c r="U9" s="138">
        <v>0</v>
      </c>
      <c r="V9" s="138">
        <v>0</v>
      </c>
      <c r="W9" s="138">
        <v>1</v>
      </c>
      <c r="X9" s="138">
        <v>10</v>
      </c>
      <c r="Y9" s="138">
        <v>16</v>
      </c>
      <c r="Z9" s="138">
        <v>14</v>
      </c>
      <c r="AA9" s="138">
        <v>5</v>
      </c>
      <c r="AB9" s="138">
        <v>0</v>
      </c>
      <c r="AC9" s="138">
        <v>0</v>
      </c>
      <c r="AD9" s="138">
        <v>0</v>
      </c>
      <c r="AE9" s="138">
        <v>0</v>
      </c>
      <c r="AF9" s="138">
        <v>0</v>
      </c>
      <c r="AG9" s="138">
        <v>0</v>
      </c>
      <c r="AH9" s="138">
        <v>0</v>
      </c>
      <c r="AI9" s="138">
        <v>104</v>
      </c>
      <c r="AJ9" s="138">
        <v>0</v>
      </c>
    </row>
    <row r="10" spans="1:36" x14ac:dyDescent="0.3">
      <c r="A10" s="133" t="s">
        <v>360</v>
      </c>
      <c r="B10" s="134">
        <v>45981</v>
      </c>
      <c r="C10" s="135" t="s">
        <v>97</v>
      </c>
      <c r="D10" s="136" t="s">
        <v>395</v>
      </c>
      <c r="E10" s="135" t="s">
        <v>1</v>
      </c>
      <c r="F10" s="135" t="s">
        <v>328</v>
      </c>
      <c r="G10" s="137">
        <v>0.96089999999999998</v>
      </c>
      <c r="H10" s="138">
        <v>179</v>
      </c>
      <c r="I10" s="138">
        <v>172</v>
      </c>
      <c r="J10" s="138">
        <v>98</v>
      </c>
      <c r="K10" s="135" t="s">
        <v>329</v>
      </c>
      <c r="L10" s="139">
        <v>45977</v>
      </c>
      <c r="M10" s="138">
        <v>0</v>
      </c>
      <c r="N10" s="138">
        <v>0</v>
      </c>
      <c r="O10" s="138">
        <v>9</v>
      </c>
      <c r="P10" s="135" t="s">
        <v>163</v>
      </c>
      <c r="Q10" s="138">
        <v>0</v>
      </c>
      <c r="R10" s="138">
        <v>0</v>
      </c>
      <c r="S10" s="138">
        <v>0</v>
      </c>
      <c r="T10" s="138">
        <v>0</v>
      </c>
      <c r="U10" s="138">
        <v>1</v>
      </c>
      <c r="V10" s="138">
        <v>6</v>
      </c>
      <c r="W10" s="138">
        <v>5</v>
      </c>
      <c r="X10" s="138">
        <v>16</v>
      </c>
      <c r="Y10" s="138">
        <v>26</v>
      </c>
      <c r="Z10" s="138">
        <v>16</v>
      </c>
      <c r="AA10" s="138">
        <v>4</v>
      </c>
      <c r="AB10" s="138">
        <v>0</v>
      </c>
      <c r="AC10" s="138">
        <v>0</v>
      </c>
      <c r="AD10" s="138">
        <v>0</v>
      </c>
      <c r="AE10" s="138">
        <v>0</v>
      </c>
      <c r="AF10" s="138">
        <v>0</v>
      </c>
      <c r="AG10" s="138">
        <v>1</v>
      </c>
      <c r="AH10" s="138">
        <v>0</v>
      </c>
      <c r="AI10" s="138">
        <v>97</v>
      </c>
      <c r="AJ10" s="138">
        <v>0</v>
      </c>
    </row>
    <row r="11" spans="1:36" x14ac:dyDescent="0.3">
      <c r="A11" s="133" t="s">
        <v>360</v>
      </c>
      <c r="B11" s="134">
        <v>45981</v>
      </c>
      <c r="C11" s="135" t="s">
        <v>167</v>
      </c>
      <c r="D11" s="136" t="s">
        <v>404</v>
      </c>
      <c r="E11" s="135" t="s">
        <v>1</v>
      </c>
      <c r="F11" s="135" t="s">
        <v>328</v>
      </c>
      <c r="G11" s="137">
        <v>0.96650000000000003</v>
      </c>
      <c r="H11" s="138">
        <v>179</v>
      </c>
      <c r="I11" s="138">
        <v>173</v>
      </c>
      <c r="J11" s="138">
        <v>90</v>
      </c>
      <c r="K11" s="135" t="s">
        <v>329</v>
      </c>
      <c r="L11" s="139">
        <v>45978</v>
      </c>
      <c r="M11" s="138">
        <v>0</v>
      </c>
      <c r="N11" s="138">
        <v>0</v>
      </c>
      <c r="O11" s="138">
        <v>3</v>
      </c>
      <c r="P11" s="135" t="s">
        <v>168</v>
      </c>
      <c r="Q11" s="138">
        <v>0</v>
      </c>
      <c r="R11" s="138">
        <v>0</v>
      </c>
      <c r="S11" s="138">
        <v>6</v>
      </c>
      <c r="T11" s="138">
        <v>0</v>
      </c>
      <c r="U11" s="138">
        <v>4</v>
      </c>
      <c r="V11" s="138">
        <v>4</v>
      </c>
      <c r="W11" s="138">
        <v>14</v>
      </c>
      <c r="X11" s="138">
        <v>16</v>
      </c>
      <c r="Y11" s="138">
        <v>16</v>
      </c>
      <c r="Z11" s="138">
        <v>16</v>
      </c>
      <c r="AA11" s="138">
        <v>5</v>
      </c>
      <c r="AB11" s="138">
        <v>0</v>
      </c>
      <c r="AC11" s="138">
        <v>0</v>
      </c>
      <c r="AD11" s="138">
        <v>0</v>
      </c>
      <c r="AE11" s="138">
        <v>0</v>
      </c>
      <c r="AF11" s="138">
        <v>2</v>
      </c>
      <c r="AG11" s="138">
        <v>0</v>
      </c>
      <c r="AH11" s="138">
        <v>0</v>
      </c>
      <c r="AI11" s="138">
        <v>90</v>
      </c>
      <c r="AJ11" s="138">
        <v>0</v>
      </c>
    </row>
    <row r="12" spans="1:36" x14ac:dyDescent="0.3">
      <c r="A12" s="133" t="s">
        <v>411</v>
      </c>
      <c r="B12" s="134">
        <v>45982</v>
      </c>
      <c r="C12" s="135" t="s">
        <v>148</v>
      </c>
      <c r="D12" s="136" t="s">
        <v>367</v>
      </c>
      <c r="E12" s="135" t="s">
        <v>1</v>
      </c>
      <c r="F12" s="135" t="s">
        <v>328</v>
      </c>
      <c r="G12" s="137">
        <v>0.50280000000000002</v>
      </c>
      <c r="H12" s="138">
        <v>179</v>
      </c>
      <c r="I12" s="138">
        <v>90</v>
      </c>
      <c r="J12" s="138">
        <v>0</v>
      </c>
      <c r="K12" s="135" t="s">
        <v>329</v>
      </c>
      <c r="L12" s="139">
        <v>45979</v>
      </c>
      <c r="M12" s="138">
        <v>0</v>
      </c>
      <c r="N12" s="138">
        <v>7</v>
      </c>
      <c r="O12" s="138">
        <v>23</v>
      </c>
      <c r="P12" s="135" t="s">
        <v>98</v>
      </c>
      <c r="Q12" s="138">
        <v>0</v>
      </c>
      <c r="R12" s="138">
        <v>0</v>
      </c>
      <c r="S12" s="138">
        <v>0</v>
      </c>
      <c r="T12" s="138">
        <v>0</v>
      </c>
      <c r="U12" s="138">
        <v>0</v>
      </c>
      <c r="V12" s="138">
        <v>3</v>
      </c>
      <c r="W12" s="138">
        <v>30</v>
      </c>
      <c r="X12" s="138">
        <v>19</v>
      </c>
      <c r="Y12" s="138">
        <v>17</v>
      </c>
      <c r="Z12" s="138">
        <v>16</v>
      </c>
      <c r="AA12" s="138">
        <v>5</v>
      </c>
      <c r="AB12" s="138">
        <v>0</v>
      </c>
      <c r="AC12" s="138">
        <v>0</v>
      </c>
      <c r="AD12" s="138">
        <v>0</v>
      </c>
      <c r="AE12" s="138">
        <v>0</v>
      </c>
      <c r="AF12" s="138">
        <v>0</v>
      </c>
      <c r="AG12" s="138">
        <v>0</v>
      </c>
      <c r="AH12" s="138">
        <v>0</v>
      </c>
      <c r="AI12" s="138">
        <v>0</v>
      </c>
      <c r="AJ12" s="138">
        <v>0</v>
      </c>
    </row>
    <row r="13" spans="1:36" x14ac:dyDescent="0.3">
      <c r="A13" s="133" t="s">
        <v>411</v>
      </c>
      <c r="B13" s="134">
        <v>45982</v>
      </c>
      <c r="C13" s="135" t="s">
        <v>86</v>
      </c>
      <c r="D13" s="136" t="s">
        <v>430</v>
      </c>
      <c r="E13" s="135" t="s">
        <v>1</v>
      </c>
      <c r="F13" s="135" t="s">
        <v>328</v>
      </c>
      <c r="G13" s="137">
        <v>1.0172000000000001</v>
      </c>
      <c r="H13" s="138">
        <v>174</v>
      </c>
      <c r="I13" s="138">
        <v>177</v>
      </c>
      <c r="J13" s="138">
        <v>92</v>
      </c>
      <c r="K13" s="135" t="s">
        <v>329</v>
      </c>
      <c r="L13" s="139">
        <v>45979</v>
      </c>
      <c r="M13" s="138">
        <v>0</v>
      </c>
      <c r="N13" s="138">
        <v>1</v>
      </c>
      <c r="O13" s="138">
        <v>7</v>
      </c>
      <c r="P13" s="135" t="s">
        <v>209</v>
      </c>
      <c r="Q13" s="138">
        <v>0</v>
      </c>
      <c r="R13" s="138">
        <v>0</v>
      </c>
      <c r="S13" s="138">
        <v>0</v>
      </c>
      <c r="T13" s="138">
        <v>0</v>
      </c>
      <c r="U13" s="138">
        <v>0</v>
      </c>
      <c r="V13" s="138">
        <v>0</v>
      </c>
      <c r="W13" s="138">
        <v>7</v>
      </c>
      <c r="X13" s="138">
        <v>0</v>
      </c>
      <c r="Y13" s="138">
        <v>1</v>
      </c>
      <c r="Z13" s="138">
        <v>17</v>
      </c>
      <c r="AA13" s="138">
        <v>10</v>
      </c>
      <c r="AB13" s="138">
        <v>10</v>
      </c>
      <c r="AC13" s="138">
        <v>10</v>
      </c>
      <c r="AD13" s="138">
        <v>10</v>
      </c>
      <c r="AE13" s="138">
        <v>10</v>
      </c>
      <c r="AF13" s="138">
        <v>10</v>
      </c>
      <c r="AG13" s="138">
        <v>0</v>
      </c>
      <c r="AH13" s="138">
        <v>0</v>
      </c>
      <c r="AI13" s="138">
        <v>92</v>
      </c>
      <c r="AJ13" s="138">
        <v>0</v>
      </c>
    </row>
    <row r="14" spans="1:36" x14ac:dyDescent="0.3">
      <c r="A14" s="133" t="s">
        <v>411</v>
      </c>
      <c r="B14" s="134">
        <v>45982</v>
      </c>
      <c r="C14" s="135" t="s">
        <v>160</v>
      </c>
      <c r="D14" s="136" t="s">
        <v>427</v>
      </c>
      <c r="E14" s="135" t="s">
        <v>1</v>
      </c>
      <c r="F14" s="135" t="s">
        <v>328</v>
      </c>
      <c r="G14" s="137">
        <v>0.5363</v>
      </c>
      <c r="H14" s="138">
        <v>179</v>
      </c>
      <c r="I14" s="138">
        <v>96</v>
      </c>
      <c r="J14" s="138">
        <v>0</v>
      </c>
      <c r="K14" s="135" t="s">
        <v>329</v>
      </c>
      <c r="L14" s="139">
        <v>45979</v>
      </c>
      <c r="M14" s="138">
        <v>0</v>
      </c>
      <c r="N14" s="138">
        <v>3</v>
      </c>
      <c r="O14" s="138">
        <v>15</v>
      </c>
      <c r="P14" s="135" t="s">
        <v>200</v>
      </c>
      <c r="Q14" s="138">
        <v>0</v>
      </c>
      <c r="R14" s="138">
        <v>0</v>
      </c>
      <c r="S14" s="138">
        <v>0</v>
      </c>
      <c r="T14" s="138">
        <v>0</v>
      </c>
      <c r="U14" s="138">
        <v>0</v>
      </c>
      <c r="V14" s="138">
        <v>0</v>
      </c>
      <c r="W14" s="138">
        <v>22</v>
      </c>
      <c r="X14" s="138">
        <v>16</v>
      </c>
      <c r="Y14" s="138">
        <v>22</v>
      </c>
      <c r="Z14" s="138">
        <v>31</v>
      </c>
      <c r="AA14" s="138">
        <v>5</v>
      </c>
      <c r="AB14" s="138">
        <v>0</v>
      </c>
      <c r="AC14" s="138">
        <v>0</v>
      </c>
      <c r="AD14" s="138">
        <v>0</v>
      </c>
      <c r="AE14" s="138">
        <v>0</v>
      </c>
      <c r="AF14" s="138">
        <v>0</v>
      </c>
      <c r="AG14" s="138">
        <v>0</v>
      </c>
      <c r="AH14" s="138">
        <v>0</v>
      </c>
      <c r="AI14" s="138">
        <v>0</v>
      </c>
      <c r="AJ14" s="138">
        <v>0</v>
      </c>
    </row>
    <row r="15" spans="1:36" x14ac:dyDescent="0.3">
      <c r="A15" s="133" t="s">
        <v>411</v>
      </c>
      <c r="B15" s="134">
        <v>45982</v>
      </c>
      <c r="C15" s="135" t="s">
        <v>91</v>
      </c>
      <c r="D15" s="136" t="s">
        <v>416</v>
      </c>
      <c r="E15" s="135" t="s">
        <v>1</v>
      </c>
      <c r="F15" s="135" t="s">
        <v>328</v>
      </c>
      <c r="G15" s="137">
        <v>0.5978</v>
      </c>
      <c r="H15" s="138">
        <v>179</v>
      </c>
      <c r="I15" s="138">
        <v>107</v>
      </c>
      <c r="J15" s="138">
        <v>1</v>
      </c>
      <c r="K15" s="135" t="s">
        <v>329</v>
      </c>
      <c r="L15" s="139">
        <v>45978</v>
      </c>
      <c r="M15" s="138">
        <v>0</v>
      </c>
      <c r="N15" s="138">
        <v>0</v>
      </c>
      <c r="O15" s="138">
        <v>21</v>
      </c>
      <c r="P15" s="135" t="s">
        <v>163</v>
      </c>
      <c r="Q15" s="138">
        <v>0</v>
      </c>
      <c r="R15" s="138">
        <v>0</v>
      </c>
      <c r="S15" s="138">
        <v>0</v>
      </c>
      <c r="T15" s="138">
        <v>0</v>
      </c>
      <c r="U15" s="138">
        <v>0</v>
      </c>
      <c r="V15" s="138">
        <v>6</v>
      </c>
      <c r="W15" s="138">
        <v>30</v>
      </c>
      <c r="X15" s="138">
        <v>15</v>
      </c>
      <c r="Y15" s="138">
        <v>17</v>
      </c>
      <c r="Z15" s="138">
        <v>11</v>
      </c>
      <c r="AA15" s="138">
        <v>5</v>
      </c>
      <c r="AB15" s="138">
        <v>2</v>
      </c>
      <c r="AC15" s="138">
        <v>5</v>
      </c>
      <c r="AD15" s="138">
        <v>6</v>
      </c>
      <c r="AE15" s="138">
        <v>4</v>
      </c>
      <c r="AF15" s="138">
        <v>5</v>
      </c>
      <c r="AG15" s="138">
        <v>0</v>
      </c>
      <c r="AH15" s="138">
        <v>0</v>
      </c>
      <c r="AI15" s="138">
        <v>1</v>
      </c>
      <c r="AJ15" s="138">
        <v>0</v>
      </c>
    </row>
    <row r="16" spans="1:36" x14ac:dyDescent="0.3">
      <c r="A16" s="133" t="s">
        <v>411</v>
      </c>
      <c r="B16" s="134">
        <v>45982</v>
      </c>
      <c r="C16" s="135" t="s">
        <v>97</v>
      </c>
      <c r="D16" s="136" t="s">
        <v>421</v>
      </c>
      <c r="E16" s="135" t="s">
        <v>1</v>
      </c>
      <c r="F16" s="135" t="s">
        <v>328</v>
      </c>
      <c r="G16" s="137">
        <v>0.54190000000000005</v>
      </c>
      <c r="H16" s="138">
        <v>179</v>
      </c>
      <c r="I16" s="138">
        <v>97</v>
      </c>
      <c r="J16" s="138">
        <v>0</v>
      </c>
      <c r="K16" s="135" t="s">
        <v>329</v>
      </c>
      <c r="L16" s="139">
        <v>45976</v>
      </c>
      <c r="M16" s="138">
        <v>0</v>
      </c>
      <c r="N16" s="138">
        <v>0</v>
      </c>
      <c r="O16" s="138">
        <v>7</v>
      </c>
      <c r="P16" s="135" t="s">
        <v>202</v>
      </c>
      <c r="Q16" s="138">
        <v>0</v>
      </c>
      <c r="R16" s="138">
        <v>0</v>
      </c>
      <c r="S16" s="138">
        <v>0</v>
      </c>
      <c r="T16" s="138">
        <v>0</v>
      </c>
      <c r="U16" s="138">
        <v>0</v>
      </c>
      <c r="V16" s="138">
        <v>0</v>
      </c>
      <c r="W16" s="138">
        <v>20</v>
      </c>
      <c r="X16" s="138">
        <v>16</v>
      </c>
      <c r="Y16" s="138">
        <v>24</v>
      </c>
      <c r="Z16" s="138">
        <v>32</v>
      </c>
      <c r="AA16" s="138">
        <v>5</v>
      </c>
      <c r="AB16" s="138">
        <v>0</v>
      </c>
      <c r="AC16" s="138">
        <v>0</v>
      </c>
      <c r="AD16" s="138">
        <v>0</v>
      </c>
      <c r="AE16" s="138">
        <v>0</v>
      </c>
      <c r="AF16" s="138">
        <v>0</v>
      </c>
      <c r="AG16" s="138">
        <v>0</v>
      </c>
      <c r="AH16" s="138">
        <v>0</v>
      </c>
      <c r="AI16" s="138">
        <v>0</v>
      </c>
      <c r="AJ16" s="138">
        <v>0</v>
      </c>
    </row>
    <row r="17" spans="1:36" x14ac:dyDescent="0.3">
      <c r="A17" s="133" t="s">
        <v>411</v>
      </c>
      <c r="B17" s="134">
        <v>45982</v>
      </c>
      <c r="C17" s="135" t="s">
        <v>167</v>
      </c>
      <c r="D17" s="136" t="s">
        <v>351</v>
      </c>
      <c r="E17" s="135" t="s">
        <v>1</v>
      </c>
      <c r="F17" s="135" t="s">
        <v>328</v>
      </c>
      <c r="G17" s="137">
        <v>0.53069999999999995</v>
      </c>
      <c r="H17" s="138">
        <v>179</v>
      </c>
      <c r="I17" s="138">
        <v>95</v>
      </c>
      <c r="J17" s="138">
        <v>0</v>
      </c>
      <c r="K17" s="135" t="s">
        <v>329</v>
      </c>
      <c r="L17" s="139">
        <v>45979</v>
      </c>
      <c r="M17" s="138">
        <v>0</v>
      </c>
      <c r="N17" s="138">
        <v>1</v>
      </c>
      <c r="O17" s="138">
        <v>19</v>
      </c>
      <c r="P17" s="135" t="s">
        <v>204</v>
      </c>
      <c r="Q17" s="138">
        <v>0</v>
      </c>
      <c r="R17" s="138">
        <v>0</v>
      </c>
      <c r="S17" s="138">
        <v>0</v>
      </c>
      <c r="T17" s="138">
        <v>0</v>
      </c>
      <c r="U17" s="138">
        <v>0</v>
      </c>
      <c r="V17" s="138">
        <v>0</v>
      </c>
      <c r="W17" s="138">
        <v>16</v>
      </c>
      <c r="X17" s="138">
        <v>44</v>
      </c>
      <c r="Y17" s="138">
        <v>17</v>
      </c>
      <c r="Z17" s="138">
        <v>13</v>
      </c>
      <c r="AA17" s="138">
        <v>5</v>
      </c>
      <c r="AB17" s="138">
        <v>0</v>
      </c>
      <c r="AC17" s="138">
        <v>0</v>
      </c>
      <c r="AD17" s="138">
        <v>0</v>
      </c>
      <c r="AE17" s="138">
        <v>0</v>
      </c>
      <c r="AF17" s="138">
        <v>0</v>
      </c>
      <c r="AG17" s="138">
        <v>0</v>
      </c>
      <c r="AH17" s="138">
        <v>0</v>
      </c>
      <c r="AI17" s="138">
        <v>0</v>
      </c>
      <c r="AJ17" s="138">
        <v>0</v>
      </c>
    </row>
    <row r="18" spans="1:36" x14ac:dyDescent="0.3">
      <c r="A18" s="133" t="s">
        <v>437</v>
      </c>
      <c r="B18" s="134">
        <v>45983</v>
      </c>
      <c r="C18" s="135" t="s">
        <v>152</v>
      </c>
      <c r="D18" s="136" t="s">
        <v>438</v>
      </c>
      <c r="E18" s="135" t="s">
        <v>1</v>
      </c>
      <c r="F18" s="135" t="s">
        <v>328</v>
      </c>
      <c r="G18" s="137">
        <v>1</v>
      </c>
      <c r="H18" s="138">
        <v>179</v>
      </c>
      <c r="I18" s="138">
        <v>179</v>
      </c>
      <c r="J18" s="138">
        <v>50</v>
      </c>
      <c r="K18" s="135" t="s">
        <v>329</v>
      </c>
      <c r="L18" s="139">
        <v>45971</v>
      </c>
      <c r="M18" s="138">
        <v>0</v>
      </c>
      <c r="N18" s="138">
        <v>0</v>
      </c>
      <c r="O18" s="138">
        <v>0</v>
      </c>
      <c r="P18" s="135" t="s">
        <v>209</v>
      </c>
      <c r="Q18" s="138">
        <v>0</v>
      </c>
      <c r="R18" s="138">
        <v>0</v>
      </c>
      <c r="S18" s="138">
        <v>0</v>
      </c>
      <c r="T18" s="138">
        <v>0</v>
      </c>
      <c r="U18" s="138">
        <v>0</v>
      </c>
      <c r="V18" s="138">
        <v>0</v>
      </c>
      <c r="W18" s="138">
        <v>3</v>
      </c>
      <c r="X18" s="138">
        <v>0</v>
      </c>
      <c r="Y18" s="138">
        <v>16</v>
      </c>
      <c r="Z18" s="138">
        <v>17</v>
      </c>
      <c r="AA18" s="138">
        <v>22</v>
      </c>
      <c r="AB18" s="138">
        <v>10</v>
      </c>
      <c r="AC18" s="138">
        <v>10</v>
      </c>
      <c r="AD18" s="138">
        <v>17</v>
      </c>
      <c r="AE18" s="138">
        <v>17</v>
      </c>
      <c r="AF18" s="138">
        <v>17</v>
      </c>
      <c r="AG18" s="138">
        <v>0</v>
      </c>
      <c r="AH18" s="138">
        <v>0</v>
      </c>
      <c r="AI18" s="138">
        <v>50</v>
      </c>
      <c r="AJ18" s="138">
        <v>0</v>
      </c>
    </row>
    <row r="19" spans="1:36" x14ac:dyDescent="0.3">
      <c r="A19" s="133" t="s">
        <v>437</v>
      </c>
      <c r="B19" s="134">
        <v>45983</v>
      </c>
      <c r="C19" s="135" t="s">
        <v>91</v>
      </c>
      <c r="D19" s="136" t="s">
        <v>382</v>
      </c>
      <c r="E19" s="135" t="s">
        <v>1</v>
      </c>
      <c r="F19" s="135" t="s">
        <v>328</v>
      </c>
      <c r="G19" s="137">
        <v>1</v>
      </c>
      <c r="H19" s="138">
        <v>179</v>
      </c>
      <c r="I19" s="138">
        <v>179</v>
      </c>
      <c r="J19" s="138">
        <v>134</v>
      </c>
      <c r="K19" s="135" t="s">
        <v>329</v>
      </c>
      <c r="L19" s="139">
        <v>45979</v>
      </c>
      <c r="M19" s="138">
        <v>0</v>
      </c>
      <c r="N19" s="138">
        <v>4</v>
      </c>
      <c r="O19" s="138">
        <v>6</v>
      </c>
      <c r="P19" s="135" t="s">
        <v>209</v>
      </c>
      <c r="Q19" s="138">
        <v>0</v>
      </c>
      <c r="R19" s="138">
        <v>0</v>
      </c>
      <c r="S19" s="138">
        <v>0</v>
      </c>
      <c r="T19" s="138">
        <v>0</v>
      </c>
      <c r="U19" s="138">
        <v>0</v>
      </c>
      <c r="V19" s="138">
        <v>5</v>
      </c>
      <c r="W19" s="138">
        <v>0</v>
      </c>
      <c r="X19" s="138">
        <v>6</v>
      </c>
      <c r="Y19" s="138">
        <v>0</v>
      </c>
      <c r="Z19" s="138">
        <v>24</v>
      </c>
      <c r="AA19" s="138">
        <v>5</v>
      </c>
      <c r="AB19" s="138">
        <v>0</v>
      </c>
      <c r="AC19" s="138">
        <v>0</v>
      </c>
      <c r="AD19" s="138">
        <v>0</v>
      </c>
      <c r="AE19" s="138">
        <v>0</v>
      </c>
      <c r="AF19" s="138">
        <v>0</v>
      </c>
      <c r="AG19" s="138">
        <v>0</v>
      </c>
      <c r="AH19" s="138">
        <v>0</v>
      </c>
      <c r="AI19" s="138">
        <v>135</v>
      </c>
      <c r="AJ19" s="138">
        <v>4</v>
      </c>
    </row>
    <row r="20" spans="1:36" x14ac:dyDescent="0.3">
      <c r="A20" s="133" t="s">
        <v>437</v>
      </c>
      <c r="B20" s="134">
        <v>45983</v>
      </c>
      <c r="C20" s="135" t="s">
        <v>97</v>
      </c>
      <c r="D20" s="136" t="s">
        <v>449</v>
      </c>
      <c r="E20" s="135" t="s">
        <v>1</v>
      </c>
      <c r="F20" s="135" t="s">
        <v>328</v>
      </c>
      <c r="G20" s="137">
        <v>0.99439999999999995</v>
      </c>
      <c r="H20" s="138">
        <v>179</v>
      </c>
      <c r="I20" s="138">
        <v>178</v>
      </c>
      <c r="J20" s="138">
        <v>127</v>
      </c>
      <c r="K20" s="135" t="s">
        <v>329</v>
      </c>
      <c r="L20" s="139">
        <v>45977</v>
      </c>
      <c r="M20" s="138">
        <v>0</v>
      </c>
      <c r="N20" s="138">
        <v>0</v>
      </c>
      <c r="O20" s="138">
        <v>3</v>
      </c>
      <c r="P20" s="135" t="s">
        <v>220</v>
      </c>
      <c r="Q20" s="138">
        <v>0</v>
      </c>
      <c r="R20" s="138">
        <v>0</v>
      </c>
      <c r="S20" s="138">
        <v>0</v>
      </c>
      <c r="T20" s="138">
        <v>0</v>
      </c>
      <c r="U20" s="138">
        <v>0</v>
      </c>
      <c r="V20" s="138">
        <v>2</v>
      </c>
      <c r="W20" s="138">
        <v>0</v>
      </c>
      <c r="X20" s="138">
        <v>1</v>
      </c>
      <c r="Y20" s="138">
        <v>3</v>
      </c>
      <c r="Z20" s="138">
        <v>3</v>
      </c>
      <c r="AA20" s="138">
        <v>4</v>
      </c>
      <c r="AB20" s="138">
        <v>10</v>
      </c>
      <c r="AC20" s="138">
        <v>12</v>
      </c>
      <c r="AD20" s="138">
        <v>5</v>
      </c>
      <c r="AE20" s="138">
        <v>6</v>
      </c>
      <c r="AF20" s="138">
        <v>4</v>
      </c>
      <c r="AG20" s="138">
        <v>45</v>
      </c>
      <c r="AH20" s="138">
        <v>0</v>
      </c>
      <c r="AI20" s="138">
        <v>82</v>
      </c>
      <c r="AJ20" s="138">
        <v>1</v>
      </c>
    </row>
    <row r="21" spans="1:36" x14ac:dyDescent="0.3">
      <c r="A21" s="133" t="s">
        <v>460</v>
      </c>
      <c r="B21" s="134">
        <v>45984</v>
      </c>
      <c r="C21" s="135" t="s">
        <v>148</v>
      </c>
      <c r="D21" s="136" t="s">
        <v>461</v>
      </c>
      <c r="E21" s="135" t="s">
        <v>1</v>
      </c>
      <c r="F21" s="135" t="s">
        <v>328</v>
      </c>
      <c r="G21" s="137">
        <v>0.59219999999999995</v>
      </c>
      <c r="H21" s="138">
        <v>179</v>
      </c>
      <c r="I21" s="138">
        <v>106</v>
      </c>
      <c r="J21" s="138">
        <v>28</v>
      </c>
      <c r="K21" s="135" t="s">
        <v>329</v>
      </c>
      <c r="L21" s="139">
        <v>45979</v>
      </c>
      <c r="M21" s="138">
        <v>0</v>
      </c>
      <c r="N21" s="138">
        <v>20</v>
      </c>
      <c r="O21" s="138">
        <v>53</v>
      </c>
      <c r="P21" s="135" t="s">
        <v>232</v>
      </c>
      <c r="Q21" s="138">
        <v>0</v>
      </c>
      <c r="R21" s="138">
        <v>0</v>
      </c>
      <c r="S21" s="138">
        <v>0</v>
      </c>
      <c r="T21" s="138">
        <v>0</v>
      </c>
      <c r="U21" s="138">
        <v>0</v>
      </c>
      <c r="V21" s="138">
        <v>0</v>
      </c>
      <c r="W21" s="138">
        <v>0</v>
      </c>
      <c r="X21" s="138">
        <v>0</v>
      </c>
      <c r="Y21" s="138">
        <v>0</v>
      </c>
      <c r="Z21" s="138">
        <v>9</v>
      </c>
      <c r="AA21" s="138">
        <v>17</v>
      </c>
      <c r="AB21" s="138">
        <v>33</v>
      </c>
      <c r="AC21" s="138">
        <v>4</v>
      </c>
      <c r="AD21" s="138">
        <v>5</v>
      </c>
      <c r="AE21" s="138">
        <v>4</v>
      </c>
      <c r="AF21" s="138">
        <v>4</v>
      </c>
      <c r="AG21" s="138">
        <v>0</v>
      </c>
      <c r="AH21" s="138">
        <v>0</v>
      </c>
      <c r="AI21" s="138">
        <v>28</v>
      </c>
      <c r="AJ21" s="138">
        <v>2</v>
      </c>
    </row>
    <row r="22" spans="1:36" x14ac:dyDescent="0.3">
      <c r="A22" s="133" t="s">
        <v>460</v>
      </c>
      <c r="B22" s="134">
        <v>45984</v>
      </c>
      <c r="C22" s="135" t="s">
        <v>156</v>
      </c>
      <c r="D22" s="136" t="s">
        <v>382</v>
      </c>
      <c r="E22" s="135" t="s">
        <v>1</v>
      </c>
      <c r="F22" s="135" t="s">
        <v>328</v>
      </c>
      <c r="G22" s="137">
        <v>0.84519999999999995</v>
      </c>
      <c r="H22" s="138">
        <v>168</v>
      </c>
      <c r="I22" s="138">
        <v>142</v>
      </c>
      <c r="J22" s="138">
        <v>62</v>
      </c>
      <c r="K22" s="135" t="s">
        <v>329</v>
      </c>
      <c r="L22" s="139">
        <v>45979</v>
      </c>
      <c r="M22" s="138">
        <v>0</v>
      </c>
      <c r="N22" s="138">
        <v>10</v>
      </c>
      <c r="O22" s="138">
        <v>24</v>
      </c>
      <c r="P22" s="135" t="s">
        <v>230</v>
      </c>
      <c r="Q22" s="138">
        <v>0</v>
      </c>
      <c r="R22" s="138">
        <v>0</v>
      </c>
      <c r="S22" s="138">
        <v>0</v>
      </c>
      <c r="T22" s="138">
        <v>0</v>
      </c>
      <c r="U22" s="138">
        <v>0</v>
      </c>
      <c r="V22" s="138">
        <v>0</v>
      </c>
      <c r="W22" s="138">
        <v>0</v>
      </c>
      <c r="X22" s="138">
        <v>0</v>
      </c>
      <c r="Y22" s="138">
        <v>1</v>
      </c>
      <c r="Z22" s="138">
        <v>7</v>
      </c>
      <c r="AA22" s="138">
        <v>17</v>
      </c>
      <c r="AB22" s="138">
        <v>17</v>
      </c>
      <c r="AC22" s="138">
        <v>9</v>
      </c>
      <c r="AD22" s="138">
        <v>20</v>
      </c>
      <c r="AE22" s="138">
        <v>4</v>
      </c>
      <c r="AF22" s="138">
        <v>5</v>
      </c>
      <c r="AG22" s="138">
        <v>0</v>
      </c>
      <c r="AH22" s="138">
        <v>0</v>
      </c>
      <c r="AI22" s="138">
        <v>62</v>
      </c>
      <c r="AJ22" s="138">
        <v>0</v>
      </c>
    </row>
    <row r="23" spans="1:36" x14ac:dyDescent="0.3">
      <c r="A23" s="133" t="s">
        <v>460</v>
      </c>
      <c r="B23" s="134">
        <v>45984</v>
      </c>
      <c r="C23" s="135" t="s">
        <v>86</v>
      </c>
      <c r="D23" s="136" t="s">
        <v>472</v>
      </c>
      <c r="E23" s="135" t="s">
        <v>1</v>
      </c>
      <c r="F23" s="135" t="s">
        <v>328</v>
      </c>
      <c r="G23" s="137">
        <v>0.91059999999999997</v>
      </c>
      <c r="H23" s="138">
        <v>179</v>
      </c>
      <c r="I23" s="138">
        <v>163</v>
      </c>
      <c r="J23" s="138">
        <v>129</v>
      </c>
      <c r="K23" s="135" t="s">
        <v>329</v>
      </c>
      <c r="L23" s="139">
        <v>45978</v>
      </c>
      <c r="M23" s="138">
        <v>0</v>
      </c>
      <c r="N23" s="138">
        <v>0</v>
      </c>
      <c r="O23" s="138">
        <v>5</v>
      </c>
      <c r="P23" s="135" t="s">
        <v>236</v>
      </c>
      <c r="Q23" s="138">
        <v>0</v>
      </c>
      <c r="R23" s="138">
        <v>0</v>
      </c>
      <c r="S23" s="138">
        <v>0</v>
      </c>
      <c r="T23" s="138">
        <v>0</v>
      </c>
      <c r="U23" s="138">
        <v>0</v>
      </c>
      <c r="V23" s="138">
        <v>0</v>
      </c>
      <c r="W23" s="138">
        <v>0</v>
      </c>
      <c r="X23" s="138">
        <v>6</v>
      </c>
      <c r="Y23" s="138">
        <v>0</v>
      </c>
      <c r="Z23" s="138">
        <v>13</v>
      </c>
      <c r="AA23" s="138">
        <v>0</v>
      </c>
      <c r="AB23" s="138">
        <v>0</v>
      </c>
      <c r="AC23" s="138">
        <v>0</v>
      </c>
      <c r="AD23" s="138">
        <v>3</v>
      </c>
      <c r="AE23" s="138">
        <v>5</v>
      </c>
      <c r="AF23" s="138">
        <v>7</v>
      </c>
      <c r="AG23" s="138">
        <v>0</v>
      </c>
      <c r="AH23" s="138">
        <v>0</v>
      </c>
      <c r="AI23" s="138">
        <v>129</v>
      </c>
      <c r="AJ23" s="138">
        <v>0</v>
      </c>
    </row>
    <row r="24" spans="1:36" x14ac:dyDescent="0.3">
      <c r="A24" s="133" t="s">
        <v>460</v>
      </c>
      <c r="B24" s="134">
        <v>45984</v>
      </c>
      <c r="C24" s="135" t="s">
        <v>91</v>
      </c>
      <c r="D24" s="136" t="s">
        <v>416</v>
      </c>
      <c r="E24" s="135" t="s">
        <v>1</v>
      </c>
      <c r="F24" s="135" t="s">
        <v>328</v>
      </c>
      <c r="G24" s="137">
        <v>0.54190000000000005</v>
      </c>
      <c r="H24" s="138">
        <v>179</v>
      </c>
      <c r="I24" s="138">
        <v>97</v>
      </c>
      <c r="J24" s="138">
        <v>0</v>
      </c>
      <c r="K24" s="135" t="s">
        <v>329</v>
      </c>
      <c r="L24" s="139">
        <v>45979</v>
      </c>
      <c r="M24" s="138">
        <v>0</v>
      </c>
      <c r="N24" s="138">
        <v>11</v>
      </c>
      <c r="O24" s="138">
        <v>35</v>
      </c>
      <c r="P24" s="135" t="s">
        <v>234</v>
      </c>
      <c r="Q24" s="138">
        <v>0</v>
      </c>
      <c r="R24" s="138">
        <v>0</v>
      </c>
      <c r="S24" s="138">
        <v>0</v>
      </c>
      <c r="T24" s="138">
        <v>0</v>
      </c>
      <c r="U24" s="138">
        <v>0</v>
      </c>
      <c r="V24" s="138">
        <v>0</v>
      </c>
      <c r="W24" s="138">
        <v>0</v>
      </c>
      <c r="X24" s="138">
        <v>0</v>
      </c>
      <c r="Y24" s="138">
        <v>5</v>
      </c>
      <c r="Z24" s="138">
        <v>32</v>
      </c>
      <c r="AA24" s="138">
        <v>20</v>
      </c>
      <c r="AB24" s="138">
        <v>16</v>
      </c>
      <c r="AC24" s="138">
        <v>9</v>
      </c>
      <c r="AD24" s="138">
        <v>5</v>
      </c>
      <c r="AE24" s="138">
        <v>5</v>
      </c>
      <c r="AF24" s="138">
        <v>5</v>
      </c>
      <c r="AG24" s="138">
        <v>0</v>
      </c>
      <c r="AH24" s="138">
        <v>0</v>
      </c>
      <c r="AI24" s="138">
        <v>0</v>
      </c>
      <c r="AJ24" s="138">
        <v>0</v>
      </c>
    </row>
    <row r="25" spans="1:36" x14ac:dyDescent="0.3">
      <c r="A25" s="133" t="s">
        <v>460</v>
      </c>
      <c r="B25" s="134">
        <v>45984</v>
      </c>
      <c r="C25" s="135" t="s">
        <v>97</v>
      </c>
      <c r="D25" s="136" t="s">
        <v>475</v>
      </c>
      <c r="E25" s="135" t="s">
        <v>1</v>
      </c>
      <c r="F25" s="135" t="s">
        <v>328</v>
      </c>
      <c r="G25" s="137">
        <v>0.99439999999999995</v>
      </c>
      <c r="H25" s="138">
        <v>179</v>
      </c>
      <c r="I25" s="138">
        <v>178</v>
      </c>
      <c r="J25" s="138">
        <v>128</v>
      </c>
      <c r="K25" s="135" t="s">
        <v>329</v>
      </c>
      <c r="L25" s="139">
        <v>45978</v>
      </c>
      <c r="M25" s="138">
        <v>0</v>
      </c>
      <c r="N25" s="138">
        <v>0</v>
      </c>
      <c r="O25" s="138">
        <v>10</v>
      </c>
      <c r="P25" s="135" t="s">
        <v>238</v>
      </c>
      <c r="Q25" s="138">
        <v>0</v>
      </c>
      <c r="R25" s="138">
        <v>0</v>
      </c>
      <c r="S25" s="138">
        <v>0</v>
      </c>
      <c r="T25" s="138">
        <v>0</v>
      </c>
      <c r="U25" s="138">
        <v>0</v>
      </c>
      <c r="V25" s="138">
        <v>0</v>
      </c>
      <c r="W25" s="138">
        <v>0</v>
      </c>
      <c r="X25" s="138">
        <v>0</v>
      </c>
      <c r="Y25" s="138">
        <v>4</v>
      </c>
      <c r="Z25" s="138">
        <v>11</v>
      </c>
      <c r="AA25" s="138">
        <v>0</v>
      </c>
      <c r="AB25" s="138">
        <v>7</v>
      </c>
      <c r="AC25" s="138">
        <v>12</v>
      </c>
      <c r="AD25" s="138">
        <v>5</v>
      </c>
      <c r="AE25" s="138">
        <v>5</v>
      </c>
      <c r="AF25" s="138">
        <v>5</v>
      </c>
      <c r="AG25" s="138">
        <v>0</v>
      </c>
      <c r="AH25" s="138">
        <v>0</v>
      </c>
      <c r="AI25" s="138">
        <v>129</v>
      </c>
      <c r="AJ25" s="138">
        <v>0</v>
      </c>
    </row>
    <row r="26" spans="1:36" x14ac:dyDescent="0.3">
      <c r="A26" s="133" t="s">
        <v>478</v>
      </c>
      <c r="B26" s="134">
        <v>45985</v>
      </c>
      <c r="C26" s="135" t="s">
        <v>86</v>
      </c>
      <c r="D26" s="136" t="s">
        <v>489</v>
      </c>
      <c r="E26" s="135" t="s">
        <v>1</v>
      </c>
      <c r="F26" s="135" t="s">
        <v>328</v>
      </c>
      <c r="G26" s="137">
        <v>0.87709999999999999</v>
      </c>
      <c r="H26" s="138">
        <v>179</v>
      </c>
      <c r="I26" s="138">
        <v>157</v>
      </c>
      <c r="J26" s="138">
        <v>108</v>
      </c>
      <c r="K26" s="135" t="s">
        <v>329</v>
      </c>
      <c r="L26" s="139">
        <v>45979</v>
      </c>
      <c r="M26" s="138">
        <v>0</v>
      </c>
      <c r="N26" s="138">
        <v>8</v>
      </c>
      <c r="O26" s="138">
        <v>16</v>
      </c>
      <c r="P26" s="135" t="s">
        <v>261</v>
      </c>
      <c r="Q26" s="138">
        <v>0</v>
      </c>
      <c r="R26" s="138">
        <v>0</v>
      </c>
      <c r="S26" s="138">
        <v>0</v>
      </c>
      <c r="T26" s="138">
        <v>0</v>
      </c>
      <c r="U26" s="138">
        <v>0</v>
      </c>
      <c r="V26" s="138">
        <v>0</v>
      </c>
      <c r="W26" s="138">
        <v>0</v>
      </c>
      <c r="X26" s="138">
        <v>0</v>
      </c>
      <c r="Y26" s="138">
        <v>0</v>
      </c>
      <c r="Z26" s="138">
        <v>0</v>
      </c>
      <c r="AA26" s="138">
        <v>0</v>
      </c>
      <c r="AB26" s="138">
        <v>0</v>
      </c>
      <c r="AC26" s="138">
        <v>14</v>
      </c>
      <c r="AD26" s="138">
        <v>10</v>
      </c>
      <c r="AE26" s="138">
        <v>10</v>
      </c>
      <c r="AF26" s="138">
        <v>15</v>
      </c>
      <c r="AG26" s="138">
        <v>0</v>
      </c>
      <c r="AH26" s="138">
        <v>0</v>
      </c>
      <c r="AI26" s="138">
        <v>108</v>
      </c>
      <c r="AJ26" s="138">
        <v>0</v>
      </c>
    </row>
    <row r="27" spans="1:36" x14ac:dyDescent="0.3">
      <c r="A27" s="133" t="s">
        <v>478</v>
      </c>
      <c r="B27" s="134">
        <v>45985</v>
      </c>
      <c r="C27" s="135" t="s">
        <v>91</v>
      </c>
      <c r="D27" s="136" t="s">
        <v>483</v>
      </c>
      <c r="E27" s="135" t="s">
        <v>1</v>
      </c>
      <c r="F27" s="135" t="s">
        <v>328</v>
      </c>
      <c r="G27" s="137">
        <v>0.82120000000000004</v>
      </c>
      <c r="H27" s="138">
        <v>179</v>
      </c>
      <c r="I27" s="138">
        <v>147</v>
      </c>
      <c r="J27" s="138">
        <v>84</v>
      </c>
      <c r="K27" s="135" t="s">
        <v>329</v>
      </c>
      <c r="L27" s="139">
        <v>45980</v>
      </c>
      <c r="M27" s="138">
        <v>2</v>
      </c>
      <c r="N27" s="138">
        <v>11</v>
      </c>
      <c r="O27" s="138">
        <v>29</v>
      </c>
      <c r="P27" s="135" t="s">
        <v>258</v>
      </c>
      <c r="Q27" s="138">
        <v>0</v>
      </c>
      <c r="R27" s="138">
        <v>0</v>
      </c>
      <c r="S27" s="138">
        <v>0</v>
      </c>
      <c r="T27" s="138">
        <v>0</v>
      </c>
      <c r="U27" s="138">
        <v>0</v>
      </c>
      <c r="V27" s="138">
        <v>0</v>
      </c>
      <c r="W27" s="138">
        <v>0</v>
      </c>
      <c r="X27" s="138">
        <v>0</v>
      </c>
      <c r="Y27" s="138">
        <v>0</v>
      </c>
      <c r="Z27" s="138">
        <v>2</v>
      </c>
      <c r="AA27" s="138">
        <v>0</v>
      </c>
      <c r="AB27" s="138">
        <v>3</v>
      </c>
      <c r="AC27" s="138">
        <v>10</v>
      </c>
      <c r="AD27" s="138">
        <v>17</v>
      </c>
      <c r="AE27" s="138">
        <v>16</v>
      </c>
      <c r="AF27" s="138">
        <v>11</v>
      </c>
      <c r="AG27" s="138">
        <v>0</v>
      </c>
      <c r="AH27" s="138">
        <v>0</v>
      </c>
      <c r="AI27" s="138">
        <v>84</v>
      </c>
      <c r="AJ27" s="138">
        <v>4</v>
      </c>
    </row>
    <row r="28" spans="1:36" x14ac:dyDescent="0.3">
      <c r="A28" s="133" t="s">
        <v>478</v>
      </c>
      <c r="B28" s="134">
        <v>45985</v>
      </c>
      <c r="C28" s="135" t="s">
        <v>97</v>
      </c>
      <c r="D28" s="136" t="s">
        <v>351</v>
      </c>
      <c r="E28" s="135" t="s">
        <v>1</v>
      </c>
      <c r="F28" s="135" t="s">
        <v>328</v>
      </c>
      <c r="G28" s="137">
        <v>0.80449999999999999</v>
      </c>
      <c r="H28" s="138">
        <v>179</v>
      </c>
      <c r="I28" s="138">
        <v>144</v>
      </c>
      <c r="J28" s="138">
        <v>93</v>
      </c>
      <c r="K28" s="135" t="s">
        <v>329</v>
      </c>
      <c r="L28" s="139">
        <v>45979</v>
      </c>
      <c r="M28" s="138">
        <v>0</v>
      </c>
      <c r="N28" s="138">
        <v>6</v>
      </c>
      <c r="O28" s="138">
        <v>30</v>
      </c>
      <c r="P28" s="135" t="s">
        <v>261</v>
      </c>
      <c r="Q28" s="138">
        <v>0</v>
      </c>
      <c r="R28" s="138">
        <v>0</v>
      </c>
      <c r="S28" s="138">
        <v>0</v>
      </c>
      <c r="T28" s="138">
        <v>0</v>
      </c>
      <c r="U28" s="138">
        <v>0</v>
      </c>
      <c r="V28" s="138">
        <v>0</v>
      </c>
      <c r="W28" s="138">
        <v>0</v>
      </c>
      <c r="X28" s="138">
        <v>0</v>
      </c>
      <c r="Y28" s="138">
        <v>0</v>
      </c>
      <c r="Z28" s="138">
        <v>5</v>
      </c>
      <c r="AA28" s="138">
        <v>0</v>
      </c>
      <c r="AB28" s="138">
        <v>0</v>
      </c>
      <c r="AC28" s="138">
        <v>19</v>
      </c>
      <c r="AD28" s="138">
        <v>10</v>
      </c>
      <c r="AE28" s="138">
        <v>10</v>
      </c>
      <c r="AF28" s="138">
        <v>5</v>
      </c>
      <c r="AG28" s="138">
        <v>0</v>
      </c>
      <c r="AH28" s="138">
        <v>0</v>
      </c>
      <c r="AI28" s="138">
        <v>93</v>
      </c>
      <c r="AJ28" s="138">
        <v>2</v>
      </c>
    </row>
    <row r="29" spans="1:36" x14ac:dyDescent="0.3">
      <c r="A29" s="133" t="s">
        <v>478</v>
      </c>
      <c r="B29" s="134">
        <v>45985</v>
      </c>
      <c r="C29" s="135" t="s">
        <v>167</v>
      </c>
      <c r="D29" s="136" t="s">
        <v>479</v>
      </c>
      <c r="E29" s="135" t="s">
        <v>1</v>
      </c>
      <c r="F29" s="135" t="s">
        <v>328</v>
      </c>
      <c r="G29" s="137">
        <v>0.35199999999999998</v>
      </c>
      <c r="H29" s="138">
        <v>179</v>
      </c>
      <c r="I29" s="138">
        <v>63</v>
      </c>
      <c r="J29" s="138">
        <v>0</v>
      </c>
      <c r="K29" s="135" t="s">
        <v>329</v>
      </c>
      <c r="L29" s="139">
        <v>45979</v>
      </c>
      <c r="M29" s="138">
        <v>0</v>
      </c>
      <c r="N29" s="138">
        <v>11</v>
      </c>
      <c r="O29" s="138">
        <v>41</v>
      </c>
      <c r="P29" s="135" t="s">
        <v>264</v>
      </c>
      <c r="Q29" s="138">
        <v>0</v>
      </c>
      <c r="R29" s="138">
        <v>0</v>
      </c>
      <c r="S29" s="138">
        <v>0</v>
      </c>
      <c r="T29" s="138">
        <v>0</v>
      </c>
      <c r="U29" s="138">
        <v>0</v>
      </c>
      <c r="V29" s="138">
        <v>0</v>
      </c>
      <c r="W29" s="138">
        <v>0</v>
      </c>
      <c r="X29" s="138">
        <v>0</v>
      </c>
      <c r="Y29" s="138">
        <v>0</v>
      </c>
      <c r="Z29" s="138">
        <v>2</v>
      </c>
      <c r="AA29" s="138">
        <v>0</v>
      </c>
      <c r="AB29" s="138">
        <v>0</v>
      </c>
      <c r="AC29" s="138">
        <v>16</v>
      </c>
      <c r="AD29" s="138">
        <v>25</v>
      </c>
      <c r="AE29" s="138">
        <v>10</v>
      </c>
      <c r="AF29" s="138">
        <v>10</v>
      </c>
      <c r="AG29" s="138">
        <v>0</v>
      </c>
      <c r="AH29" s="138">
        <v>0</v>
      </c>
      <c r="AI29" s="138">
        <v>0</v>
      </c>
      <c r="AJ29" s="138">
        <v>0</v>
      </c>
    </row>
    <row r="30" spans="1:36" x14ac:dyDescent="0.3">
      <c r="A30" s="133" t="s">
        <v>493</v>
      </c>
      <c r="B30" s="134">
        <v>45986</v>
      </c>
      <c r="C30" s="135" t="s">
        <v>148</v>
      </c>
      <c r="D30" s="136" t="s">
        <v>505</v>
      </c>
      <c r="E30" s="135" t="s">
        <v>1</v>
      </c>
      <c r="F30" s="135" t="s">
        <v>328</v>
      </c>
      <c r="G30" s="137">
        <v>0.6704</v>
      </c>
      <c r="H30" s="138">
        <v>179</v>
      </c>
      <c r="I30" s="138">
        <v>120</v>
      </c>
      <c r="J30" s="138">
        <v>88</v>
      </c>
      <c r="K30" s="135" t="s">
        <v>329</v>
      </c>
      <c r="L30" s="139">
        <v>45979</v>
      </c>
      <c r="M30" s="138">
        <v>0</v>
      </c>
      <c r="N30" s="138">
        <v>2</v>
      </c>
      <c r="O30" s="138">
        <v>25</v>
      </c>
      <c r="P30" s="135" t="s">
        <v>288</v>
      </c>
      <c r="Q30" s="138">
        <v>0</v>
      </c>
      <c r="R30" s="138">
        <v>0</v>
      </c>
      <c r="S30" s="138">
        <v>0</v>
      </c>
      <c r="T30" s="138">
        <v>0</v>
      </c>
      <c r="U30" s="138">
        <v>0</v>
      </c>
      <c r="V30" s="138">
        <v>0</v>
      </c>
      <c r="W30" s="138">
        <v>0</v>
      </c>
      <c r="X30" s="138">
        <v>0</v>
      </c>
      <c r="Y30" s="138">
        <v>0</v>
      </c>
      <c r="Z30" s="138">
        <v>2</v>
      </c>
      <c r="AA30" s="138">
        <v>0</v>
      </c>
      <c r="AB30" s="138">
        <v>0</v>
      </c>
      <c r="AC30" s="138">
        <v>0</v>
      </c>
      <c r="AD30" s="138">
        <v>5</v>
      </c>
      <c r="AE30" s="138">
        <v>10</v>
      </c>
      <c r="AF30" s="138">
        <v>15</v>
      </c>
      <c r="AG30" s="138">
        <v>0</v>
      </c>
      <c r="AH30" s="138">
        <v>0</v>
      </c>
      <c r="AI30" s="138">
        <v>88</v>
      </c>
      <c r="AJ30" s="138">
        <v>0</v>
      </c>
    </row>
    <row r="31" spans="1:36" x14ac:dyDescent="0.3">
      <c r="A31" s="133" t="s">
        <v>493</v>
      </c>
      <c r="B31" s="134">
        <v>45986</v>
      </c>
      <c r="C31" s="135" t="s">
        <v>86</v>
      </c>
      <c r="D31" s="136" t="s">
        <v>502</v>
      </c>
      <c r="E31" s="135" t="s">
        <v>1</v>
      </c>
      <c r="F31" s="135" t="s">
        <v>328</v>
      </c>
      <c r="G31" s="137">
        <v>0.89939999999999998</v>
      </c>
      <c r="H31" s="138">
        <v>179</v>
      </c>
      <c r="I31" s="138">
        <v>161</v>
      </c>
      <c r="J31" s="138">
        <v>117</v>
      </c>
      <c r="K31" s="135" t="s">
        <v>329</v>
      </c>
      <c r="L31" s="139">
        <v>45979</v>
      </c>
      <c r="M31" s="138">
        <v>0</v>
      </c>
      <c r="N31" s="138">
        <v>4</v>
      </c>
      <c r="O31" s="138">
        <v>23</v>
      </c>
      <c r="P31" s="135" t="s">
        <v>283</v>
      </c>
      <c r="Q31" s="138">
        <v>0</v>
      </c>
      <c r="R31" s="138">
        <v>0</v>
      </c>
      <c r="S31" s="138">
        <v>0</v>
      </c>
      <c r="T31" s="138">
        <v>0</v>
      </c>
      <c r="U31" s="138">
        <v>0</v>
      </c>
      <c r="V31" s="138">
        <v>0</v>
      </c>
      <c r="W31" s="138">
        <v>0</v>
      </c>
      <c r="X31" s="138">
        <v>0</v>
      </c>
      <c r="Y31" s="138">
        <v>0</v>
      </c>
      <c r="Z31" s="138">
        <v>1</v>
      </c>
      <c r="AA31" s="138">
        <v>2</v>
      </c>
      <c r="AB31" s="138">
        <v>0</v>
      </c>
      <c r="AC31" s="138">
        <v>4</v>
      </c>
      <c r="AD31" s="138">
        <v>13</v>
      </c>
      <c r="AE31" s="138">
        <v>15</v>
      </c>
      <c r="AF31" s="138">
        <v>9</v>
      </c>
      <c r="AG31" s="138">
        <v>0</v>
      </c>
      <c r="AH31" s="138">
        <v>0</v>
      </c>
      <c r="AI31" s="138">
        <v>117</v>
      </c>
      <c r="AJ31" s="138">
        <v>0</v>
      </c>
    </row>
    <row r="32" spans="1:36" x14ac:dyDescent="0.3">
      <c r="A32" s="133" t="s">
        <v>493</v>
      </c>
      <c r="B32" s="134">
        <v>45986</v>
      </c>
      <c r="C32" s="135" t="s">
        <v>160</v>
      </c>
      <c r="D32" s="136" t="s">
        <v>494</v>
      </c>
      <c r="E32" s="135" t="s">
        <v>1</v>
      </c>
      <c r="F32" s="135" t="s">
        <v>328</v>
      </c>
      <c r="G32" s="137">
        <v>0.30170000000000002</v>
      </c>
      <c r="H32" s="138">
        <v>179</v>
      </c>
      <c r="I32" s="138">
        <v>54</v>
      </c>
      <c r="J32" s="138">
        <v>0</v>
      </c>
      <c r="K32" s="135" t="s">
        <v>329</v>
      </c>
      <c r="L32" s="139">
        <v>45979</v>
      </c>
      <c r="M32" s="138">
        <v>0</v>
      </c>
      <c r="N32" s="138">
        <v>5</v>
      </c>
      <c r="O32" s="138">
        <v>37</v>
      </c>
      <c r="P32" s="135" t="s">
        <v>258</v>
      </c>
      <c r="Q32" s="138">
        <v>0</v>
      </c>
      <c r="R32" s="138">
        <v>0</v>
      </c>
      <c r="S32" s="138">
        <v>0</v>
      </c>
      <c r="T32" s="138">
        <v>0</v>
      </c>
      <c r="U32" s="138">
        <v>0</v>
      </c>
      <c r="V32" s="138">
        <v>0</v>
      </c>
      <c r="W32" s="138">
        <v>0</v>
      </c>
      <c r="X32" s="138">
        <v>0</v>
      </c>
      <c r="Y32" s="138">
        <v>0</v>
      </c>
      <c r="Z32" s="138">
        <v>3</v>
      </c>
      <c r="AA32" s="138">
        <v>0</v>
      </c>
      <c r="AB32" s="138">
        <v>0</v>
      </c>
      <c r="AC32" s="138">
        <v>2</v>
      </c>
      <c r="AD32" s="138">
        <v>9</v>
      </c>
      <c r="AE32" s="138">
        <v>10</v>
      </c>
      <c r="AF32" s="138">
        <v>30</v>
      </c>
      <c r="AG32" s="138">
        <v>0</v>
      </c>
      <c r="AH32" s="138">
        <v>0</v>
      </c>
      <c r="AI32" s="138">
        <v>0</v>
      </c>
      <c r="AJ32" s="138">
        <v>0</v>
      </c>
    </row>
    <row r="33" spans="1:36" x14ac:dyDescent="0.3">
      <c r="A33" s="133" t="s">
        <v>493</v>
      </c>
      <c r="B33" s="134">
        <v>45986</v>
      </c>
      <c r="C33" s="135" t="s">
        <v>91</v>
      </c>
      <c r="D33" s="136" t="s">
        <v>507</v>
      </c>
      <c r="E33" s="135" t="s">
        <v>1</v>
      </c>
      <c r="F33" s="135" t="s">
        <v>328</v>
      </c>
      <c r="G33" s="137">
        <v>0.51959999999999995</v>
      </c>
      <c r="H33" s="138">
        <v>179</v>
      </c>
      <c r="I33" s="138">
        <v>93</v>
      </c>
      <c r="J33" s="138">
        <v>46</v>
      </c>
      <c r="K33" s="135" t="s">
        <v>329</v>
      </c>
      <c r="L33" s="139">
        <v>45979</v>
      </c>
      <c r="M33" s="138">
        <v>0</v>
      </c>
      <c r="N33" s="138">
        <v>3</v>
      </c>
      <c r="O33" s="138">
        <v>30</v>
      </c>
      <c r="P33" s="135" t="s">
        <v>286</v>
      </c>
      <c r="Q33" s="138">
        <v>0</v>
      </c>
      <c r="R33" s="138">
        <v>0</v>
      </c>
      <c r="S33" s="138">
        <v>0</v>
      </c>
      <c r="T33" s="138">
        <v>0</v>
      </c>
      <c r="U33" s="138">
        <v>0</v>
      </c>
      <c r="V33" s="138">
        <v>0</v>
      </c>
      <c r="W33" s="138">
        <v>0</v>
      </c>
      <c r="X33" s="138">
        <v>0</v>
      </c>
      <c r="Y33" s="138">
        <v>0</v>
      </c>
      <c r="Z33" s="138">
        <v>0</v>
      </c>
      <c r="AA33" s="138">
        <v>0</v>
      </c>
      <c r="AB33" s="138">
        <v>0</v>
      </c>
      <c r="AC33" s="138">
        <v>0</v>
      </c>
      <c r="AD33" s="138">
        <v>2</v>
      </c>
      <c r="AE33" s="138">
        <v>15</v>
      </c>
      <c r="AF33" s="138">
        <v>30</v>
      </c>
      <c r="AG33" s="138">
        <v>0</v>
      </c>
      <c r="AH33" s="138">
        <v>0</v>
      </c>
      <c r="AI33" s="138">
        <v>46</v>
      </c>
      <c r="AJ33" s="138">
        <v>0</v>
      </c>
    </row>
    <row r="34" spans="1:36" x14ac:dyDescent="0.3">
      <c r="A34" s="133" t="s">
        <v>493</v>
      </c>
      <c r="B34" s="134">
        <v>45986</v>
      </c>
      <c r="C34" s="135" t="s">
        <v>97</v>
      </c>
      <c r="D34" s="136" t="s">
        <v>351</v>
      </c>
      <c r="E34" s="135" t="s">
        <v>1</v>
      </c>
      <c r="F34" s="135" t="s">
        <v>328</v>
      </c>
      <c r="G34" s="137">
        <v>0.74860000000000004</v>
      </c>
      <c r="H34" s="138">
        <v>179</v>
      </c>
      <c r="I34" s="138">
        <v>134</v>
      </c>
      <c r="J34" s="138">
        <v>82</v>
      </c>
      <c r="K34" s="135" t="s">
        <v>329</v>
      </c>
      <c r="L34" s="139">
        <v>45979</v>
      </c>
      <c r="M34" s="138">
        <v>0</v>
      </c>
      <c r="N34" s="138">
        <v>10</v>
      </c>
      <c r="O34" s="138">
        <v>28</v>
      </c>
      <c r="P34" s="135" t="s">
        <v>290</v>
      </c>
      <c r="Q34" s="138">
        <v>0</v>
      </c>
      <c r="R34" s="138">
        <v>0</v>
      </c>
      <c r="S34" s="138">
        <v>0</v>
      </c>
      <c r="T34" s="138">
        <v>0</v>
      </c>
      <c r="U34" s="138">
        <v>0</v>
      </c>
      <c r="V34" s="138">
        <v>0</v>
      </c>
      <c r="W34" s="138">
        <v>0</v>
      </c>
      <c r="X34" s="138">
        <v>0</v>
      </c>
      <c r="Y34" s="138">
        <v>0</v>
      </c>
      <c r="Z34" s="138">
        <v>6</v>
      </c>
      <c r="AA34" s="138">
        <v>0</v>
      </c>
      <c r="AB34" s="138">
        <v>0</v>
      </c>
      <c r="AC34" s="138">
        <v>3</v>
      </c>
      <c r="AD34" s="138">
        <v>13</v>
      </c>
      <c r="AE34" s="138">
        <v>15</v>
      </c>
      <c r="AF34" s="138">
        <v>15</v>
      </c>
      <c r="AG34" s="138">
        <v>0</v>
      </c>
      <c r="AH34" s="138">
        <v>0</v>
      </c>
      <c r="AI34" s="138">
        <v>82</v>
      </c>
      <c r="AJ34" s="138">
        <v>0</v>
      </c>
    </row>
    <row r="35" spans="1:36" x14ac:dyDescent="0.3">
      <c r="A35" s="133" t="s">
        <v>493</v>
      </c>
      <c r="B35" s="134">
        <v>45986</v>
      </c>
      <c r="C35" s="135" t="s">
        <v>167</v>
      </c>
      <c r="D35" s="136" t="s">
        <v>497</v>
      </c>
      <c r="E35" s="135" t="s">
        <v>1</v>
      </c>
      <c r="F35" s="135" t="s">
        <v>328</v>
      </c>
      <c r="G35" s="137">
        <v>0.9385</v>
      </c>
      <c r="H35" s="138">
        <v>179</v>
      </c>
      <c r="I35" s="138">
        <v>168</v>
      </c>
      <c r="J35" s="138">
        <v>117</v>
      </c>
      <c r="K35" s="135" t="s">
        <v>329</v>
      </c>
      <c r="L35" s="139">
        <v>45979</v>
      </c>
      <c r="M35" s="138">
        <v>0</v>
      </c>
      <c r="N35" s="138">
        <v>8</v>
      </c>
      <c r="O35" s="138">
        <v>38</v>
      </c>
      <c r="P35" s="135" t="s">
        <v>209</v>
      </c>
      <c r="Q35" s="138">
        <v>0</v>
      </c>
      <c r="R35" s="138">
        <v>0</v>
      </c>
      <c r="S35" s="138">
        <v>0</v>
      </c>
      <c r="T35" s="138">
        <v>0</v>
      </c>
      <c r="U35" s="138">
        <v>0</v>
      </c>
      <c r="V35" s="138">
        <v>0</v>
      </c>
      <c r="W35" s="138">
        <v>0</v>
      </c>
      <c r="X35" s="138">
        <v>0</v>
      </c>
      <c r="Y35" s="138">
        <v>0</v>
      </c>
      <c r="Z35" s="138">
        <v>2</v>
      </c>
      <c r="AA35" s="138">
        <v>0</v>
      </c>
      <c r="AB35" s="138">
        <v>0</v>
      </c>
      <c r="AC35" s="138">
        <v>1</v>
      </c>
      <c r="AD35" s="138">
        <v>15</v>
      </c>
      <c r="AE35" s="138">
        <v>15</v>
      </c>
      <c r="AF35" s="138">
        <v>15</v>
      </c>
      <c r="AG35" s="138">
        <v>0</v>
      </c>
      <c r="AH35" s="138">
        <v>0</v>
      </c>
      <c r="AI35" s="138">
        <v>117</v>
      </c>
      <c r="AJ35" s="138">
        <v>3</v>
      </c>
    </row>
    <row r="36" spans="1:36" ht="18" x14ac:dyDescent="0.35">
      <c r="A36" s="208" t="s">
        <v>525</v>
      </c>
      <c r="B36" s="209"/>
      <c r="C36" s="208">
        <f>SUBTOTAL(103,LF_ALL_ROUTES[Flt])</f>
        <v>34</v>
      </c>
      <c r="D36" s="208"/>
      <c r="E36" s="208">
        <f>SUBTOTAL(103,LF_ALL_ROUTES[Brd-Off])</f>
        <v>34</v>
      </c>
      <c r="F36" s="208"/>
      <c r="G36" s="210">
        <f>SUBTOTAL(101,LF_ALL_ROUTES[LF%])</f>
        <v>0.77019117647058821</v>
      </c>
      <c r="H36" s="211">
        <f>SUBTOTAL(109,LF_ALL_ROUTES[CAP])</f>
        <v>6070</v>
      </c>
      <c r="I36" s="211">
        <f>SUBTOTAL(109,LF_ALL_ROUTES[BKG(Y)])</f>
        <v>4673</v>
      </c>
      <c r="J36" s="211">
        <f>SUBTOTAL(109,LF_ALL_ROUTES[GRP(Y)])</f>
        <v>2082</v>
      </c>
      <c r="K36" s="208"/>
      <c r="L36" s="209"/>
      <c r="M36" s="211">
        <f>SUBTOTAL(109,LF_ALL_ROUTES[TO-DAY])</f>
        <v>3</v>
      </c>
      <c r="N36" s="211">
        <f>SUBTOTAL(109,LF_ALL_ROUTES[Y-DAY])</f>
        <v>166</v>
      </c>
      <c r="O36" s="211">
        <f>SUBTOTAL(109,LF_ALL_ROUTES[WEEKLY])</f>
        <v>680</v>
      </c>
      <c r="P36" s="212"/>
      <c r="Q36" s="211">
        <f>SUBTOTAL(109,LF_ALL_ROUTES[Y])</f>
        <v>0</v>
      </c>
      <c r="R36" s="211">
        <f>SUBTOTAL(109,LF_ALL_ROUTES[B])</f>
        <v>1</v>
      </c>
      <c r="S36" s="211">
        <f>SUBTOTAL(109,LF_ALL_ROUTES[M])</f>
        <v>6</v>
      </c>
      <c r="T36" s="211">
        <f>SUBTOTAL(109,LF_ALL_ROUTES[H])</f>
        <v>0</v>
      </c>
      <c r="U36" s="211">
        <f>SUBTOTAL(109,LF_ALL_ROUTES[Q])</f>
        <v>5</v>
      </c>
      <c r="V36" s="211">
        <f>SUBTOTAL(109,LF_ALL_ROUTES[K])</f>
        <v>26</v>
      </c>
      <c r="W36" s="211">
        <f>SUBTOTAL(109,LF_ALL_ROUTES[V])</f>
        <v>153</v>
      </c>
      <c r="X36" s="211">
        <f>SUBTOTAL(109,LF_ALL_ROUTES[L])</f>
        <v>254</v>
      </c>
      <c r="Y36" s="211">
        <f>SUBTOTAL(109,LF_ALL_ROUTES[G])</f>
        <v>349</v>
      </c>
      <c r="Z36" s="211">
        <f>SUBTOTAL(109,LF_ALL_ROUTES[S])</f>
        <v>478</v>
      </c>
      <c r="AA36" s="211">
        <f>SUBTOTAL(109,LF_ALL_ROUTES[W])</f>
        <v>239</v>
      </c>
      <c r="AB36" s="211">
        <f>SUBTOTAL(109,LF_ALL_ROUTES[T])</f>
        <v>159</v>
      </c>
      <c r="AC36" s="211">
        <f>SUBTOTAL(109,LF_ALL_ROUTES[X])</f>
        <v>197</v>
      </c>
      <c r="AD36" s="211">
        <f>SUBTOTAL(109,LF_ALL_ROUTES[U])</f>
        <v>235</v>
      </c>
      <c r="AE36" s="211">
        <f>SUBTOTAL(109,LF_ALL_ROUTES[O])</f>
        <v>213</v>
      </c>
      <c r="AF36" s="211">
        <f>SUBTOTAL(109,LF_ALL_ROUTES[I])</f>
        <v>253</v>
      </c>
      <c r="AG36" s="211">
        <f>SUBTOTAL(109,LF_ALL_ROUTES[E])</f>
        <v>115</v>
      </c>
      <c r="AH36" s="211">
        <f>SUBTOTAL(109,LF_ALL_ROUTES[A])</f>
        <v>0</v>
      </c>
      <c r="AI36" s="211">
        <f>SUBTOTAL(109,LF_ALL_ROUTES[P])</f>
        <v>1967</v>
      </c>
      <c r="AJ36" s="211">
        <f>SUBTOTAL(109,LF_ALL_ROUTES[N])</f>
        <v>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JED-CAI</vt:lpstr>
      <vt:lpstr>JED-CAI LF LEGACY</vt:lpstr>
      <vt:lpstr>JED-CAI - FOCUS MODE</vt:lpstr>
      <vt:lpstr>JED-CAI - OAL Threats Alert</vt:lpstr>
      <vt:lpstr>LF_ALL_ROUTES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2025-11-19T01:26:10Z</dcterms:created>
  <dcterms:modified xsi:type="dcterms:W3CDTF">2025-11-19T01:29:00Z</dcterms:modified>
</cp:coreProperties>
</file>