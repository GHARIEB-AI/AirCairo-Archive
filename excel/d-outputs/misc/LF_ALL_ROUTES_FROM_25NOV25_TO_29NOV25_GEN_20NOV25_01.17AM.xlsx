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F89F978-0DE7-4D07-97B6-8AA03580D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5" i="1" l="1"/>
  <c r="E45" i="1"/>
  <c r="C45" i="1"/>
  <c r="AJ45" i="1"/>
</calcChain>
</file>

<file path=xl/sharedStrings.xml><?xml version="1.0" encoding="utf-8"?>
<sst xmlns="http://schemas.openxmlformats.org/spreadsheetml/2006/main" count="338" uniqueCount="125">
  <si>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</si>
  <si>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</si>
  <si>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</si>
  <si>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</si>
  <si>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</si>
  <si>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</si>
  <si>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</si>
  <si>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</si>
  <si>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</si>
  <si>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</si>
  <si>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</si>
  <si>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</si>
  <si>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</si>
  <si>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</si>
  <si>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</si>
  <si>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</si>
  <si>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</si>
  <si>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</si>
  <si>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</si>
  <si>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</si>
  <si>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</si>
  <si>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</si>
  <si>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</si>
  <si>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</si>
  <si>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</si>
  <si>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</si>
  <si>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</si>
  <si>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</si>
  <si>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</si>
  <si>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</si>
  <si>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</si>
  <si>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</si>
  <si>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</si>
  <si>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</si>
  <si>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</si>
  <si>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</si>
  <si>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</si>
  <si>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SM424</t>
  </si>
  <si>
    <t>22:25</t>
  </si>
  <si>
    <t>JED-CAI</t>
  </si>
  <si>
    <t>320</t>
  </si>
  <si>
    <t>UPCOMING</t>
  </si>
  <si>
    <t>X3</t>
  </si>
  <si>
    <t>SM452</t>
  </si>
  <si>
    <t>17:00</t>
  </si>
  <si>
    <t>JED-HBE</t>
  </si>
  <si>
    <t>L1</t>
  </si>
  <si>
    <t>SM454</t>
  </si>
  <si>
    <t>07:45</t>
  </si>
  <si>
    <t>JED-ATZ</t>
  </si>
  <si>
    <t>G3</t>
  </si>
  <si>
    <t>SM456</t>
  </si>
  <si>
    <t>22:50</t>
  </si>
  <si>
    <t>L4</t>
  </si>
  <si>
    <t>SM460</t>
  </si>
  <si>
    <t>17:30</t>
  </si>
  <si>
    <t>CLOSED</t>
  </si>
  <si>
    <t>SM472</t>
  </si>
  <si>
    <t>05:30</t>
  </si>
  <si>
    <t>X7</t>
  </si>
  <si>
    <t>SM476</t>
  </si>
  <si>
    <t>23:15</t>
  </si>
  <si>
    <t>U2</t>
  </si>
  <si>
    <t>SM478</t>
  </si>
  <si>
    <t>14:45</t>
  </si>
  <si>
    <t>X4</t>
  </si>
  <si>
    <t>SM480</t>
  </si>
  <si>
    <t>13:25</t>
  </si>
  <si>
    <t>WEDNESDAY</t>
  </si>
  <si>
    <t>15:45</t>
  </si>
  <si>
    <t>06:25</t>
  </si>
  <si>
    <t>O9</t>
  </si>
  <si>
    <t>SM458</t>
  </si>
  <si>
    <t>17:15</t>
  </si>
  <si>
    <t>12:30</t>
  </si>
  <si>
    <t>U9</t>
  </si>
  <si>
    <t>SM474</t>
  </si>
  <si>
    <t>09:50</t>
  </si>
  <si>
    <t>V5</t>
  </si>
  <si>
    <t>12:25</t>
  </si>
  <si>
    <t>U1</t>
  </si>
  <si>
    <t>SM492</t>
  </si>
  <si>
    <t>08:00</t>
  </si>
  <si>
    <t>THURSDAY</t>
  </si>
  <si>
    <t>SM422</t>
  </si>
  <si>
    <t>02:00</t>
  </si>
  <si>
    <t>I9</t>
  </si>
  <si>
    <t>01:10</t>
  </si>
  <si>
    <t>U6</t>
  </si>
  <si>
    <t>SM432</t>
  </si>
  <si>
    <t>08:45</t>
  </si>
  <si>
    <t>SM450</t>
  </si>
  <si>
    <t>06:05</t>
  </si>
  <si>
    <t>I1</t>
  </si>
  <si>
    <t>06:35</t>
  </si>
  <si>
    <t>L6</t>
  </si>
  <si>
    <t>11:45</t>
  </si>
  <si>
    <t>I6</t>
  </si>
  <si>
    <t>02:45</t>
  </si>
  <si>
    <t>O6</t>
  </si>
  <si>
    <t>14:00</t>
  </si>
  <si>
    <t>O5</t>
  </si>
  <si>
    <t>17:45</t>
  </si>
  <si>
    <t>FRIDAY</t>
  </si>
  <si>
    <t>10:00</t>
  </si>
  <si>
    <t>W7</t>
  </si>
  <si>
    <t>22:30</t>
  </si>
  <si>
    <t>17:40</t>
  </si>
  <si>
    <t>U7</t>
  </si>
  <si>
    <t>07:40</t>
  </si>
  <si>
    <t>O1</t>
  </si>
  <si>
    <t>11:00</t>
  </si>
  <si>
    <t>U8</t>
  </si>
  <si>
    <t>07:00</t>
  </si>
  <si>
    <t>SATURDAY</t>
  </si>
  <si>
    <t>05:40</t>
  </si>
  <si>
    <t>19:00</t>
  </si>
  <si>
    <t>G8</t>
  </si>
  <si>
    <t>16:30</t>
  </si>
  <si>
    <t>T9</t>
  </si>
  <si>
    <t>G4</t>
  </si>
  <si>
    <t>16:20</t>
  </si>
  <si>
    <t>07:15</t>
  </si>
  <si>
    <t>X9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</si>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</sst>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3DC52-99DE-4B08-B8A6-27AFEEF75D41}" name="LF_ALL_ROUTES" displayName="LF_ALL_ROUTES" ref="A1:AJ45" totalsRowCount="1" headerRowDxfId="37" totalsRowDxfId="0">
  <autoFilter ref="A1:AJ44" xr:uid="{B693DC52-99DE-4B08-B8A6-27AFEEF75D41}"/>
  <tableColumns count="36">
    <tableColumn id="1" xr3:uid="{EA813F90-94E7-4A2D-BB91-73847D881345}" name="Day" totalsRowLabel="TOTAL" totalsRowDxfId="36"/>
    <tableColumn id="2" xr3:uid="{C283C550-7BDD-4D22-8253-7C271E22126B}" name="Flt Dt" dataDxfId="39" totalsRowDxfId="35"/>
    <tableColumn id="3" xr3:uid="{53146D79-5753-4DCB-9CD0-A5109B9BC0AB}" name="Flt" totalsRowFunction="count" totalsRowDxfId="34"/>
    <tableColumn id="4" xr3:uid="{0C7D9415-A836-4428-9A47-D0496CF7DC92}" name="DEP" totalsRowDxfId="33"/>
    <tableColumn id="5" xr3:uid="{65F92D89-94E4-4C18-938E-0531D08585A7}" name="Brd-Off" totalsRowFunction="count" totalsRowDxfId="32"/>
    <tableColumn id="6" xr3:uid="{F86FC018-650B-4F2A-9690-9F2627F794DE}" name="Eqp" totalsRowDxfId="31"/>
    <tableColumn id="7" xr3:uid="{4DCC02E8-36E3-4EBA-8B2C-A96D02E74152}" name="LF%" totalsRowFunction="average" totalsRowDxfId="30"/>
    <tableColumn id="8" xr3:uid="{9E8D106A-194A-449E-8AD5-62DD890E1FC1}" name="CAP" totalsRowDxfId="29"/>
    <tableColumn id="9" xr3:uid="{12B3E9FE-B03C-4D2E-948E-1E7EA21423EA}" name="BKG(Y)" totalsRowDxfId="28"/>
    <tableColumn id="10" xr3:uid="{2B558DA5-DF52-4385-B61B-984F74024110}" name="GRP(Y)" totalsRowDxfId="27"/>
    <tableColumn id="11" xr3:uid="{979D2BA0-3E5F-4AFC-860B-D7D1B39403AF}" name="FLT ST" totalsRowDxfId="26"/>
    <tableColumn id="12" xr3:uid="{6F444222-8384-4366-8DCB-D542ABED9249}" name="LST-SOLD" dataDxfId="38" totalsRowDxfId="25"/>
    <tableColumn id="13" xr3:uid="{72AAA815-BEB4-4484-8C72-7F2DBA487671}" name="TO-DAY" totalsRowDxfId="24"/>
    <tableColumn id="14" xr3:uid="{73B933A7-7955-42DC-B4F4-EA9AEA52C73B}" name="Y-DAY" totalsRowDxfId="23"/>
    <tableColumn id="15" xr3:uid="{B3DAB8E5-C496-46B4-9585-7ED34888A9A9}" name="WEEKLY" totalsRowDxfId="22"/>
    <tableColumn id="16" xr3:uid="{16EDBEF8-6D48-4E4E-A12C-7EC077F44AAB}" name="LOWEST AVAIL" totalsRowDxfId="21"/>
    <tableColumn id="17" xr3:uid="{29534F5F-3D1D-4C56-9BD1-D44690C937B8}" name="Y" totalsRowDxfId="20"/>
    <tableColumn id="18" xr3:uid="{A66205BC-3619-442C-9226-60EDCE17B7CF}" name="B" totalsRowDxfId="19"/>
    <tableColumn id="19" xr3:uid="{C483138D-3451-4CD1-9450-6DFE90DD408F}" name="M" totalsRowDxfId="18"/>
    <tableColumn id="20" xr3:uid="{7AF0CD9E-B72E-4988-9023-C74C6F2C87C1}" name="H" totalsRowDxfId="17"/>
    <tableColumn id="21" xr3:uid="{141C244A-D9DC-4450-B521-2203F9F6DA57}" name="Q" totalsRowDxfId="16"/>
    <tableColumn id="22" xr3:uid="{BE7AE284-E03E-4A58-ADAE-2567C8E56BE5}" name="K" totalsRowDxfId="15"/>
    <tableColumn id="23" xr3:uid="{93448DF4-A94A-4EA6-8AC4-21ED4040C66E}" name="V" totalsRowDxfId="14"/>
    <tableColumn id="24" xr3:uid="{7E1B9D31-AD16-4CF0-8EE1-0A621F77CA88}" name="L" totalsRowDxfId="13"/>
    <tableColumn id="25" xr3:uid="{17FE20FC-B764-4F33-BB50-56AADE34B45F}" name="G" totalsRowDxfId="12"/>
    <tableColumn id="26" xr3:uid="{BF73EB2A-037B-4364-990F-7AC614881F3F}" name="S" totalsRowDxfId="11"/>
    <tableColumn id="27" xr3:uid="{3F73FACF-D866-4FD2-A766-81F2DF097ADD}" name="W" totalsRowDxfId="10"/>
    <tableColumn id="28" xr3:uid="{8BD6B4CE-4FE3-4140-9613-454D525033BA}" name="T" totalsRowDxfId="9"/>
    <tableColumn id="29" xr3:uid="{FB53C925-7C3D-43D4-B2BD-96B9D0D245FD}" name="X" totalsRowDxfId="8"/>
    <tableColumn id="30" xr3:uid="{538C713E-1360-488C-962C-95D70902C2B0}" name="U" totalsRowDxfId="7"/>
    <tableColumn id="31" xr3:uid="{EC203CB0-6E9B-4430-9BCA-B50F0ED42671}" name="O" totalsRowDxfId="6"/>
    <tableColumn id="32" xr3:uid="{6D97409E-7C96-4D39-9FB4-B161836A640D}" name="I" totalsRowDxfId="5"/>
    <tableColumn id="33" xr3:uid="{2486CBF4-0755-4209-93CA-A9B001C1EFBD}" name="E" totalsRowDxfId="4"/>
    <tableColumn id="34" xr3:uid="{AE7BD7E6-0CB0-4518-AB9A-58FE4D352549}" name="A" totalsRowDxfId="3"/>
    <tableColumn id="35" xr3:uid="{3E944241-883C-4FB1-9771-C32449A8F42E}" name="P" totalsRowDxfId="2"/>
    <tableColumn id="36" xr3:uid="{5BC21A36-AC3E-48FE-88B7-3744A65AA792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5"/>
  <sheetViews>
    <sheetView tabSelected="1" topLeftCell="A27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45986</v>
      </c>
      <c r="C2" t="s">
        <v>37</v>
      </c>
      <c r="D2" t="s">
        <v>38</v>
      </c>
      <c r="E2" t="s">
        <v>39</v>
      </c>
      <c r="F2" t="s">
        <v>40</v>
      </c>
      <c r="G2">
        <v>0.68159999999999998</v>
      </c>
      <c r="H2">
        <v>179</v>
      </c>
      <c r="I2">
        <v>122</v>
      </c>
      <c r="J2">
        <v>88</v>
      </c>
      <c r="K2" t="s">
        <v>41</v>
      </c>
      <c r="L2" s="2">
        <v>45980</v>
      </c>
      <c r="M2">
        <v>0</v>
      </c>
      <c r="N2">
        <v>2</v>
      </c>
      <c r="O2">
        <v>24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2</v>
      </c>
      <c r="AD2">
        <v>5</v>
      </c>
      <c r="AE2">
        <v>10</v>
      </c>
      <c r="AF2">
        <v>15</v>
      </c>
      <c r="AG2">
        <v>0</v>
      </c>
      <c r="AH2">
        <v>0</v>
      </c>
      <c r="AI2">
        <v>88</v>
      </c>
      <c r="AJ2">
        <v>0</v>
      </c>
    </row>
    <row r="3" spans="1:36" x14ac:dyDescent="0.3">
      <c r="A3" t="s">
        <v>36</v>
      </c>
      <c r="B3" s="2">
        <v>45986</v>
      </c>
      <c r="C3" t="s">
        <v>43</v>
      </c>
      <c r="D3" t="s">
        <v>44</v>
      </c>
      <c r="E3" t="s">
        <v>45</v>
      </c>
      <c r="F3" t="s">
        <v>40</v>
      </c>
      <c r="G3">
        <v>0.99439999999999995</v>
      </c>
      <c r="H3">
        <v>179</v>
      </c>
      <c r="I3">
        <v>178</v>
      </c>
      <c r="J3">
        <v>159</v>
      </c>
      <c r="K3" t="s">
        <v>41</v>
      </c>
      <c r="L3" s="2">
        <v>45980</v>
      </c>
      <c r="M3">
        <v>0</v>
      </c>
      <c r="N3">
        <v>5</v>
      </c>
      <c r="O3">
        <v>7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</v>
      </c>
      <c r="Y3">
        <v>0</v>
      </c>
      <c r="Z3">
        <v>1</v>
      </c>
      <c r="AA3">
        <v>0</v>
      </c>
      <c r="AB3">
        <v>0</v>
      </c>
      <c r="AC3">
        <v>11</v>
      </c>
      <c r="AD3">
        <v>0</v>
      </c>
      <c r="AE3">
        <v>0</v>
      </c>
      <c r="AF3">
        <v>0</v>
      </c>
      <c r="AG3">
        <v>0</v>
      </c>
      <c r="AH3">
        <v>0</v>
      </c>
      <c r="AI3">
        <v>159</v>
      </c>
      <c r="AJ3">
        <v>0</v>
      </c>
    </row>
    <row r="4" spans="1:36" x14ac:dyDescent="0.3">
      <c r="A4" t="s">
        <v>36</v>
      </c>
      <c r="B4" s="2">
        <v>45986</v>
      </c>
      <c r="C4" t="s">
        <v>47</v>
      </c>
      <c r="D4" t="s">
        <v>48</v>
      </c>
      <c r="E4" t="s">
        <v>49</v>
      </c>
      <c r="F4" t="s">
        <v>40</v>
      </c>
      <c r="G4">
        <v>0.93300000000000005</v>
      </c>
      <c r="H4">
        <v>179</v>
      </c>
      <c r="I4">
        <v>167</v>
      </c>
      <c r="J4">
        <v>155</v>
      </c>
      <c r="K4" t="s">
        <v>41</v>
      </c>
      <c r="L4" s="2">
        <v>45971</v>
      </c>
      <c r="M4">
        <v>0</v>
      </c>
      <c r="N4">
        <v>0</v>
      </c>
      <c r="O4">
        <v>0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8</v>
      </c>
      <c r="AE4">
        <v>0</v>
      </c>
      <c r="AF4">
        <v>0</v>
      </c>
      <c r="AG4">
        <v>0</v>
      </c>
      <c r="AH4">
        <v>0</v>
      </c>
      <c r="AI4">
        <v>155</v>
      </c>
      <c r="AJ4">
        <v>0</v>
      </c>
    </row>
    <row r="5" spans="1:36" x14ac:dyDescent="0.3">
      <c r="A5" t="s">
        <v>36</v>
      </c>
      <c r="B5" s="2">
        <v>45986</v>
      </c>
      <c r="C5" t="s">
        <v>51</v>
      </c>
      <c r="D5" t="s">
        <v>52</v>
      </c>
      <c r="E5" t="s">
        <v>49</v>
      </c>
      <c r="F5" t="s">
        <v>40</v>
      </c>
      <c r="G5">
        <v>0.97770000000000001</v>
      </c>
      <c r="H5">
        <v>179</v>
      </c>
      <c r="I5">
        <v>175</v>
      </c>
      <c r="J5">
        <v>167</v>
      </c>
      <c r="K5" t="s">
        <v>41</v>
      </c>
      <c r="L5" s="2">
        <v>45973</v>
      </c>
      <c r="M5">
        <v>0</v>
      </c>
      <c r="N5">
        <v>0</v>
      </c>
      <c r="O5">
        <v>0</v>
      </c>
      <c r="P5" t="s">
        <v>53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0</v>
      </c>
      <c r="AC5">
        <v>3</v>
      </c>
      <c r="AD5">
        <v>0</v>
      </c>
      <c r="AE5">
        <v>0</v>
      </c>
      <c r="AF5">
        <v>3</v>
      </c>
      <c r="AG5">
        <v>0</v>
      </c>
      <c r="AH5">
        <v>0</v>
      </c>
      <c r="AI5">
        <v>167</v>
      </c>
      <c r="AJ5">
        <v>0</v>
      </c>
    </row>
    <row r="6" spans="1:36" x14ac:dyDescent="0.3">
      <c r="A6" t="s">
        <v>36</v>
      </c>
      <c r="B6" s="2">
        <v>45986</v>
      </c>
      <c r="C6" t="s">
        <v>54</v>
      </c>
      <c r="D6" t="s">
        <v>55</v>
      </c>
      <c r="E6" t="s">
        <v>39</v>
      </c>
      <c r="F6" t="s">
        <v>40</v>
      </c>
      <c r="G6">
        <v>0.92179999999999995</v>
      </c>
      <c r="H6">
        <v>179</v>
      </c>
      <c r="I6">
        <v>165</v>
      </c>
      <c r="J6">
        <v>117</v>
      </c>
      <c r="K6" t="s">
        <v>41</v>
      </c>
      <c r="L6" s="2">
        <v>45980</v>
      </c>
      <c r="M6">
        <v>0</v>
      </c>
      <c r="N6">
        <v>4</v>
      </c>
      <c r="O6">
        <v>24</v>
      </c>
      <c r="P6" t="s">
        <v>56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2</v>
      </c>
      <c r="AB6">
        <v>0</v>
      </c>
      <c r="AC6">
        <v>4</v>
      </c>
      <c r="AD6">
        <v>17</v>
      </c>
      <c r="AE6">
        <v>15</v>
      </c>
      <c r="AF6">
        <v>9</v>
      </c>
      <c r="AG6">
        <v>0</v>
      </c>
      <c r="AH6">
        <v>0</v>
      </c>
      <c r="AI6">
        <v>117</v>
      </c>
      <c r="AJ6">
        <v>0</v>
      </c>
    </row>
    <row r="7" spans="1:36" x14ac:dyDescent="0.3">
      <c r="A7" t="s">
        <v>36</v>
      </c>
      <c r="B7" s="2">
        <v>45986</v>
      </c>
      <c r="C7" t="s">
        <v>57</v>
      </c>
      <c r="D7" t="s">
        <v>58</v>
      </c>
      <c r="E7" t="s">
        <v>39</v>
      </c>
      <c r="F7" t="s">
        <v>40</v>
      </c>
      <c r="G7">
        <v>0.34079999999999999</v>
      </c>
      <c r="H7">
        <v>179</v>
      </c>
      <c r="I7">
        <v>61</v>
      </c>
      <c r="J7">
        <v>0</v>
      </c>
      <c r="K7" t="s">
        <v>41</v>
      </c>
      <c r="L7" s="2">
        <v>45980</v>
      </c>
      <c r="M7">
        <v>0</v>
      </c>
      <c r="N7">
        <v>7</v>
      </c>
      <c r="O7">
        <v>44</v>
      </c>
      <c r="P7" t="s">
        <v>59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8</v>
      </c>
      <c r="AA7">
        <v>0</v>
      </c>
      <c r="AB7">
        <v>0</v>
      </c>
      <c r="AC7">
        <v>3</v>
      </c>
      <c r="AD7">
        <v>10</v>
      </c>
      <c r="AE7">
        <v>10</v>
      </c>
      <c r="AF7">
        <v>30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45986</v>
      </c>
      <c r="C8" t="s">
        <v>60</v>
      </c>
      <c r="D8" t="s">
        <v>61</v>
      </c>
      <c r="E8" t="s">
        <v>39</v>
      </c>
      <c r="F8" t="s">
        <v>40</v>
      </c>
      <c r="G8">
        <v>0.55310000000000004</v>
      </c>
      <c r="H8">
        <v>179</v>
      </c>
      <c r="I8">
        <v>99</v>
      </c>
      <c r="J8">
        <v>46</v>
      </c>
      <c r="K8" t="s">
        <v>41</v>
      </c>
      <c r="L8" s="2">
        <v>45980</v>
      </c>
      <c r="M8">
        <v>0</v>
      </c>
      <c r="N8">
        <v>6</v>
      </c>
      <c r="O8">
        <v>30</v>
      </c>
      <c r="P8" t="s">
        <v>62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</v>
      </c>
      <c r="AE8">
        <v>15</v>
      </c>
      <c r="AF8">
        <v>30</v>
      </c>
      <c r="AG8">
        <v>0</v>
      </c>
      <c r="AH8">
        <v>0</v>
      </c>
      <c r="AI8">
        <v>46</v>
      </c>
      <c r="AJ8">
        <v>0</v>
      </c>
    </row>
    <row r="9" spans="1:36" x14ac:dyDescent="0.3">
      <c r="A9" t="s">
        <v>36</v>
      </c>
      <c r="B9" s="2">
        <v>45986</v>
      </c>
      <c r="C9" t="s">
        <v>63</v>
      </c>
      <c r="D9" t="s">
        <v>64</v>
      </c>
      <c r="E9" t="s">
        <v>39</v>
      </c>
      <c r="F9" t="s">
        <v>40</v>
      </c>
      <c r="G9">
        <v>0.75980000000000003</v>
      </c>
      <c r="H9">
        <v>179</v>
      </c>
      <c r="I9">
        <v>136</v>
      </c>
      <c r="J9">
        <v>82</v>
      </c>
      <c r="K9" t="s">
        <v>41</v>
      </c>
      <c r="L9" s="2">
        <v>45980</v>
      </c>
      <c r="M9">
        <v>0</v>
      </c>
      <c r="N9">
        <v>3</v>
      </c>
      <c r="O9">
        <v>25</v>
      </c>
      <c r="P9" t="s">
        <v>65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</v>
      </c>
      <c r="AA9">
        <v>0</v>
      </c>
      <c r="AB9">
        <v>0</v>
      </c>
      <c r="AC9">
        <v>6</v>
      </c>
      <c r="AD9">
        <v>13</v>
      </c>
      <c r="AE9">
        <v>15</v>
      </c>
      <c r="AF9">
        <v>15</v>
      </c>
      <c r="AG9">
        <v>0</v>
      </c>
      <c r="AH9">
        <v>0</v>
      </c>
      <c r="AI9">
        <v>82</v>
      </c>
      <c r="AJ9">
        <v>0</v>
      </c>
    </row>
    <row r="10" spans="1:36" x14ac:dyDescent="0.3">
      <c r="A10" t="s">
        <v>36</v>
      </c>
      <c r="B10" s="2">
        <v>45986</v>
      </c>
      <c r="C10" t="s">
        <v>66</v>
      </c>
      <c r="D10" t="s">
        <v>67</v>
      </c>
      <c r="E10" t="s">
        <v>39</v>
      </c>
      <c r="F10" t="s">
        <v>40</v>
      </c>
      <c r="G10">
        <v>0.9385</v>
      </c>
      <c r="H10">
        <v>179</v>
      </c>
      <c r="I10">
        <v>168</v>
      </c>
      <c r="J10">
        <v>117</v>
      </c>
      <c r="K10" t="s">
        <v>41</v>
      </c>
      <c r="L10" s="2">
        <v>45979</v>
      </c>
      <c r="M10">
        <v>0</v>
      </c>
      <c r="N10">
        <v>0</v>
      </c>
      <c r="O10">
        <v>27</v>
      </c>
      <c r="P10" t="s">
        <v>56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1</v>
      </c>
      <c r="AD10">
        <v>15</v>
      </c>
      <c r="AE10">
        <v>15</v>
      </c>
      <c r="AF10">
        <v>15</v>
      </c>
      <c r="AG10">
        <v>0</v>
      </c>
      <c r="AH10">
        <v>0</v>
      </c>
      <c r="AI10">
        <v>117</v>
      </c>
      <c r="AJ10">
        <v>3</v>
      </c>
    </row>
    <row r="11" spans="1:36" x14ac:dyDescent="0.3">
      <c r="A11" t="s">
        <v>68</v>
      </c>
      <c r="B11" s="2">
        <v>45987</v>
      </c>
      <c r="C11" t="s">
        <v>43</v>
      </c>
      <c r="D11" t="s">
        <v>69</v>
      </c>
      <c r="E11" t="s">
        <v>45</v>
      </c>
      <c r="F11" t="s">
        <v>40</v>
      </c>
      <c r="G11">
        <v>1</v>
      </c>
      <c r="H11">
        <v>179</v>
      </c>
      <c r="I11">
        <v>179</v>
      </c>
      <c r="J11">
        <v>126</v>
      </c>
      <c r="K11" t="s">
        <v>41</v>
      </c>
      <c r="L11" s="2">
        <v>45979</v>
      </c>
      <c r="M11">
        <v>0</v>
      </c>
      <c r="N11">
        <v>0</v>
      </c>
      <c r="O11">
        <v>16</v>
      </c>
      <c r="P11" t="s">
        <v>56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</v>
      </c>
      <c r="Z11">
        <v>5</v>
      </c>
      <c r="AA11">
        <v>10</v>
      </c>
      <c r="AB11">
        <v>0</v>
      </c>
      <c r="AC11">
        <v>7</v>
      </c>
      <c r="AD11">
        <v>8</v>
      </c>
      <c r="AE11">
        <v>10</v>
      </c>
      <c r="AF11">
        <v>9</v>
      </c>
      <c r="AG11">
        <v>0</v>
      </c>
      <c r="AH11">
        <v>0</v>
      </c>
      <c r="AI11">
        <v>126</v>
      </c>
      <c r="AJ11">
        <v>0</v>
      </c>
    </row>
    <row r="12" spans="1:36" x14ac:dyDescent="0.3">
      <c r="A12" t="s">
        <v>68</v>
      </c>
      <c r="B12" s="2">
        <v>45987</v>
      </c>
      <c r="C12" t="s">
        <v>47</v>
      </c>
      <c r="D12" t="s">
        <v>70</v>
      </c>
      <c r="E12" t="s">
        <v>49</v>
      </c>
      <c r="F12" t="s">
        <v>40</v>
      </c>
      <c r="G12">
        <v>0.61450000000000005</v>
      </c>
      <c r="H12">
        <v>179</v>
      </c>
      <c r="I12">
        <v>110</v>
      </c>
      <c r="J12">
        <v>84</v>
      </c>
      <c r="K12" t="s">
        <v>41</v>
      </c>
      <c r="L12" s="2">
        <v>45980</v>
      </c>
      <c r="M12">
        <v>0</v>
      </c>
      <c r="N12">
        <v>1</v>
      </c>
      <c r="O12">
        <v>10</v>
      </c>
      <c r="P12" t="s">
        <v>71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8</v>
      </c>
      <c r="AF12">
        <v>15</v>
      </c>
      <c r="AG12">
        <v>43</v>
      </c>
      <c r="AH12">
        <v>0</v>
      </c>
      <c r="AI12">
        <v>41</v>
      </c>
      <c r="AJ12">
        <v>0</v>
      </c>
    </row>
    <row r="13" spans="1:36" x14ac:dyDescent="0.3">
      <c r="A13" t="s">
        <v>68</v>
      </c>
      <c r="B13" s="2">
        <v>45987</v>
      </c>
      <c r="C13" t="s">
        <v>72</v>
      </c>
      <c r="D13" t="s">
        <v>73</v>
      </c>
      <c r="E13" t="s">
        <v>45</v>
      </c>
      <c r="F13" t="s">
        <v>40</v>
      </c>
      <c r="G13">
        <v>1</v>
      </c>
      <c r="H13">
        <v>179</v>
      </c>
      <c r="I13">
        <v>179</v>
      </c>
      <c r="J13">
        <v>129</v>
      </c>
      <c r="K13" t="s">
        <v>41</v>
      </c>
      <c r="L13" s="2">
        <v>45980</v>
      </c>
      <c r="M13">
        <v>0</v>
      </c>
      <c r="N13">
        <v>2</v>
      </c>
      <c r="O13">
        <v>12</v>
      </c>
      <c r="P13" t="s">
        <v>56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9</v>
      </c>
      <c r="AA13">
        <v>12</v>
      </c>
      <c r="AB13">
        <v>0</v>
      </c>
      <c r="AC13">
        <v>7</v>
      </c>
      <c r="AD13">
        <v>7</v>
      </c>
      <c r="AE13">
        <v>7</v>
      </c>
      <c r="AF13">
        <v>8</v>
      </c>
      <c r="AG13">
        <v>0</v>
      </c>
      <c r="AH13">
        <v>0</v>
      </c>
      <c r="AI13">
        <v>129</v>
      </c>
      <c r="AJ13">
        <v>0</v>
      </c>
    </row>
    <row r="14" spans="1:36" x14ac:dyDescent="0.3">
      <c r="A14" t="s">
        <v>68</v>
      </c>
      <c r="B14" s="2">
        <v>45987</v>
      </c>
      <c r="C14" t="s">
        <v>54</v>
      </c>
      <c r="D14" t="s">
        <v>74</v>
      </c>
      <c r="E14" t="s">
        <v>39</v>
      </c>
      <c r="F14" t="s">
        <v>40</v>
      </c>
      <c r="G14">
        <v>0.63690000000000002</v>
      </c>
      <c r="H14">
        <v>179</v>
      </c>
      <c r="I14">
        <v>114</v>
      </c>
      <c r="J14">
        <v>47</v>
      </c>
      <c r="K14" t="s">
        <v>41</v>
      </c>
      <c r="L14" s="2">
        <v>45980</v>
      </c>
      <c r="M14">
        <v>0</v>
      </c>
      <c r="N14">
        <v>5</v>
      </c>
      <c r="O14">
        <v>47</v>
      </c>
      <c r="P14" t="s">
        <v>75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1</v>
      </c>
      <c r="AB14">
        <v>0</v>
      </c>
      <c r="AC14">
        <v>0</v>
      </c>
      <c r="AD14">
        <v>5</v>
      </c>
      <c r="AE14">
        <v>18</v>
      </c>
      <c r="AF14">
        <v>40</v>
      </c>
      <c r="AG14">
        <v>0</v>
      </c>
      <c r="AH14">
        <v>0</v>
      </c>
      <c r="AI14">
        <v>47</v>
      </c>
      <c r="AJ14">
        <v>0</v>
      </c>
    </row>
    <row r="15" spans="1:36" x14ac:dyDescent="0.3">
      <c r="A15" t="s">
        <v>68</v>
      </c>
      <c r="B15" s="2">
        <v>45987</v>
      </c>
      <c r="C15" t="s">
        <v>76</v>
      </c>
      <c r="D15" t="s">
        <v>77</v>
      </c>
      <c r="E15" t="s">
        <v>45</v>
      </c>
      <c r="F15" t="s">
        <v>40</v>
      </c>
      <c r="G15">
        <v>0.97209999999999996</v>
      </c>
      <c r="H15">
        <v>179</v>
      </c>
      <c r="I15">
        <v>174</v>
      </c>
      <c r="J15">
        <v>159</v>
      </c>
      <c r="K15" t="s">
        <v>41</v>
      </c>
      <c r="L15" s="2">
        <v>45980</v>
      </c>
      <c r="M15">
        <v>0</v>
      </c>
      <c r="N15">
        <v>10</v>
      </c>
      <c r="O15">
        <v>11</v>
      </c>
      <c r="P15" t="s">
        <v>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5</v>
      </c>
      <c r="Y15">
        <v>5</v>
      </c>
      <c r="Z15">
        <v>3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159</v>
      </c>
      <c r="AJ15">
        <v>0</v>
      </c>
    </row>
    <row r="16" spans="1:36" x14ac:dyDescent="0.3">
      <c r="A16" t="s">
        <v>68</v>
      </c>
      <c r="B16" s="2">
        <v>45987</v>
      </c>
      <c r="C16" t="s">
        <v>60</v>
      </c>
      <c r="D16" t="s">
        <v>79</v>
      </c>
      <c r="E16" t="s">
        <v>39</v>
      </c>
      <c r="F16" t="s">
        <v>40</v>
      </c>
      <c r="G16">
        <v>0.36309999999999998</v>
      </c>
      <c r="H16">
        <v>179</v>
      </c>
      <c r="I16">
        <v>65</v>
      </c>
      <c r="J16">
        <v>0</v>
      </c>
      <c r="K16" t="s">
        <v>41</v>
      </c>
      <c r="L16" s="2">
        <v>45980</v>
      </c>
      <c r="M16">
        <v>0</v>
      </c>
      <c r="N16">
        <v>1</v>
      </c>
      <c r="O16">
        <v>49</v>
      </c>
      <c r="P16" t="s">
        <v>75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20</v>
      </c>
      <c r="AF16">
        <v>44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68</v>
      </c>
      <c r="B17" s="2">
        <v>45987</v>
      </c>
      <c r="C17" t="s">
        <v>63</v>
      </c>
      <c r="D17" t="s">
        <v>64</v>
      </c>
      <c r="E17" t="s">
        <v>39</v>
      </c>
      <c r="F17" t="s">
        <v>40</v>
      </c>
      <c r="G17">
        <v>0.6089</v>
      </c>
      <c r="H17">
        <v>179</v>
      </c>
      <c r="I17">
        <v>109</v>
      </c>
      <c r="J17">
        <v>45</v>
      </c>
      <c r="K17" t="s">
        <v>41</v>
      </c>
      <c r="L17" s="2">
        <v>45980</v>
      </c>
      <c r="M17">
        <v>0</v>
      </c>
      <c r="N17">
        <v>4</v>
      </c>
      <c r="O17">
        <v>40</v>
      </c>
      <c r="P17" t="s">
        <v>80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17</v>
      </c>
      <c r="AE17">
        <v>18</v>
      </c>
      <c r="AF17">
        <v>25</v>
      </c>
      <c r="AG17">
        <v>0</v>
      </c>
      <c r="AH17">
        <v>0</v>
      </c>
      <c r="AI17">
        <v>45</v>
      </c>
      <c r="AJ17">
        <v>2</v>
      </c>
    </row>
    <row r="18" spans="1:36" x14ac:dyDescent="0.3">
      <c r="A18" t="s">
        <v>68</v>
      </c>
      <c r="B18" s="2">
        <v>45987</v>
      </c>
      <c r="C18" t="s">
        <v>81</v>
      </c>
      <c r="D18" t="s">
        <v>82</v>
      </c>
      <c r="E18" t="s">
        <v>49</v>
      </c>
      <c r="F18" t="s">
        <v>40</v>
      </c>
      <c r="G18">
        <v>0.83330000000000004</v>
      </c>
      <c r="H18">
        <v>168</v>
      </c>
      <c r="I18">
        <v>140</v>
      </c>
      <c r="J18">
        <v>108</v>
      </c>
      <c r="K18" t="s">
        <v>41</v>
      </c>
      <c r="L18" s="2">
        <v>45979</v>
      </c>
      <c r="M18">
        <v>0</v>
      </c>
      <c r="N18">
        <v>0</v>
      </c>
      <c r="O18">
        <v>15</v>
      </c>
      <c r="P18" t="s">
        <v>71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10</v>
      </c>
      <c r="AF18">
        <v>15</v>
      </c>
      <c r="AG18">
        <v>30</v>
      </c>
      <c r="AH18">
        <v>0</v>
      </c>
      <c r="AI18">
        <v>78</v>
      </c>
      <c r="AJ18">
        <v>0</v>
      </c>
    </row>
    <row r="19" spans="1:36" x14ac:dyDescent="0.3">
      <c r="A19" t="s">
        <v>83</v>
      </c>
      <c r="B19" s="2">
        <v>45988</v>
      </c>
      <c r="C19" t="s">
        <v>84</v>
      </c>
      <c r="D19" t="s">
        <v>85</v>
      </c>
      <c r="E19" t="s">
        <v>49</v>
      </c>
      <c r="F19" t="s">
        <v>40</v>
      </c>
      <c r="G19">
        <v>0.13689999999999999</v>
      </c>
      <c r="H19">
        <v>168</v>
      </c>
      <c r="I19">
        <v>23</v>
      </c>
      <c r="J19">
        <v>0</v>
      </c>
      <c r="K19" t="s">
        <v>41</v>
      </c>
      <c r="L19" s="2">
        <v>45980</v>
      </c>
      <c r="M19">
        <v>0</v>
      </c>
      <c r="N19">
        <v>1</v>
      </c>
      <c r="O19">
        <v>4</v>
      </c>
      <c r="P19" t="s">
        <v>86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7</v>
      </c>
      <c r="AE19">
        <v>2</v>
      </c>
      <c r="AF19">
        <v>13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83</v>
      </c>
      <c r="B20" s="2">
        <v>45988</v>
      </c>
      <c r="C20" t="s">
        <v>37</v>
      </c>
      <c r="D20" t="s">
        <v>87</v>
      </c>
      <c r="E20" t="s">
        <v>39</v>
      </c>
      <c r="F20" t="s">
        <v>40</v>
      </c>
      <c r="G20">
        <v>0.48039999999999999</v>
      </c>
      <c r="H20">
        <v>179</v>
      </c>
      <c r="I20">
        <v>86</v>
      </c>
      <c r="J20">
        <v>84</v>
      </c>
      <c r="K20" t="s">
        <v>41</v>
      </c>
      <c r="L20" s="2">
        <v>45980</v>
      </c>
      <c r="M20">
        <v>0</v>
      </c>
      <c r="N20">
        <v>2</v>
      </c>
      <c r="O20">
        <v>2</v>
      </c>
      <c r="P20" t="s">
        <v>88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84</v>
      </c>
      <c r="AJ20">
        <v>0</v>
      </c>
    </row>
    <row r="21" spans="1:36" x14ac:dyDescent="0.3">
      <c r="A21" t="s">
        <v>83</v>
      </c>
      <c r="B21" s="2">
        <v>45988</v>
      </c>
      <c r="C21" t="s">
        <v>89</v>
      </c>
      <c r="D21" t="s">
        <v>90</v>
      </c>
      <c r="E21" t="s">
        <v>39</v>
      </c>
      <c r="F21" t="s">
        <v>40</v>
      </c>
      <c r="G21">
        <v>0.2291</v>
      </c>
      <c r="H21">
        <v>179</v>
      </c>
      <c r="I21">
        <v>41</v>
      </c>
      <c r="J21">
        <v>0</v>
      </c>
      <c r="K21" t="s">
        <v>41</v>
      </c>
      <c r="L21" s="2">
        <v>45980</v>
      </c>
      <c r="M21">
        <v>0</v>
      </c>
      <c r="N21">
        <v>3</v>
      </c>
      <c r="O21">
        <v>28</v>
      </c>
      <c r="P21" t="s">
        <v>71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</v>
      </c>
      <c r="AF21">
        <v>35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83</v>
      </c>
      <c r="B22" s="2">
        <v>45988</v>
      </c>
      <c r="C22" t="s">
        <v>91</v>
      </c>
      <c r="D22" t="s">
        <v>92</v>
      </c>
      <c r="E22" t="s">
        <v>39</v>
      </c>
      <c r="F22" t="s">
        <v>40</v>
      </c>
      <c r="G22">
        <v>0.28489999999999999</v>
      </c>
      <c r="H22">
        <v>179</v>
      </c>
      <c r="I22">
        <v>51</v>
      </c>
      <c r="J22">
        <v>29</v>
      </c>
      <c r="K22" t="s">
        <v>41</v>
      </c>
      <c r="L22" s="2">
        <v>45980</v>
      </c>
      <c r="M22">
        <v>0</v>
      </c>
      <c r="N22">
        <v>3</v>
      </c>
      <c r="O22">
        <v>19</v>
      </c>
      <c r="P22" t="s">
        <v>93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22</v>
      </c>
      <c r="AG22">
        <v>28</v>
      </c>
      <c r="AH22">
        <v>0</v>
      </c>
      <c r="AI22">
        <v>0</v>
      </c>
      <c r="AJ22">
        <v>1</v>
      </c>
    </row>
    <row r="23" spans="1:36" x14ac:dyDescent="0.3">
      <c r="A23" t="s">
        <v>83</v>
      </c>
      <c r="B23" s="2">
        <v>45988</v>
      </c>
      <c r="C23" t="s">
        <v>43</v>
      </c>
      <c r="D23" t="s">
        <v>94</v>
      </c>
      <c r="E23" t="s">
        <v>45</v>
      </c>
      <c r="F23" t="s">
        <v>40</v>
      </c>
      <c r="G23">
        <v>0.96650000000000003</v>
      </c>
      <c r="H23">
        <v>179</v>
      </c>
      <c r="I23">
        <v>173</v>
      </c>
      <c r="J23">
        <v>171</v>
      </c>
      <c r="K23" t="s">
        <v>41</v>
      </c>
      <c r="L23" s="2">
        <v>45971</v>
      </c>
      <c r="M23">
        <v>0</v>
      </c>
      <c r="N23">
        <v>0</v>
      </c>
      <c r="O23">
        <v>0</v>
      </c>
      <c r="P23" t="s">
        <v>95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171</v>
      </c>
      <c r="AJ23">
        <v>0</v>
      </c>
    </row>
    <row r="24" spans="1:36" x14ac:dyDescent="0.3">
      <c r="A24" t="s">
        <v>83</v>
      </c>
      <c r="B24" s="2">
        <v>45988</v>
      </c>
      <c r="C24" t="s">
        <v>47</v>
      </c>
      <c r="D24" t="s">
        <v>96</v>
      </c>
      <c r="E24" t="s">
        <v>49</v>
      </c>
      <c r="F24" t="s">
        <v>40</v>
      </c>
      <c r="G24">
        <v>0.67859999999999998</v>
      </c>
      <c r="H24">
        <v>168</v>
      </c>
      <c r="I24">
        <v>114</v>
      </c>
      <c r="J24">
        <v>96</v>
      </c>
      <c r="K24" t="s">
        <v>41</v>
      </c>
      <c r="L24" s="2">
        <v>45980</v>
      </c>
      <c r="M24">
        <v>0</v>
      </c>
      <c r="N24">
        <v>1</v>
      </c>
      <c r="O24">
        <v>14</v>
      </c>
      <c r="P24" t="s">
        <v>86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8</v>
      </c>
      <c r="AF24">
        <v>9</v>
      </c>
      <c r="AG24">
        <v>1</v>
      </c>
      <c r="AH24">
        <v>0</v>
      </c>
      <c r="AI24">
        <v>95</v>
      </c>
      <c r="AJ24">
        <v>0</v>
      </c>
    </row>
    <row r="25" spans="1:36" x14ac:dyDescent="0.3">
      <c r="A25" t="s">
        <v>83</v>
      </c>
      <c r="B25" s="2">
        <v>45988</v>
      </c>
      <c r="C25" t="s">
        <v>51</v>
      </c>
      <c r="D25" t="s">
        <v>44</v>
      </c>
      <c r="E25" t="s">
        <v>49</v>
      </c>
      <c r="F25" t="s">
        <v>40</v>
      </c>
      <c r="G25">
        <v>0.42459999999999998</v>
      </c>
      <c r="H25">
        <v>179</v>
      </c>
      <c r="I25">
        <v>76</v>
      </c>
      <c r="J25">
        <v>44</v>
      </c>
      <c r="K25" t="s">
        <v>41</v>
      </c>
      <c r="L25" s="2">
        <v>45980</v>
      </c>
      <c r="M25">
        <v>0</v>
      </c>
      <c r="N25">
        <v>5</v>
      </c>
      <c r="O25">
        <v>27</v>
      </c>
      <c r="P25" t="s">
        <v>97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2</v>
      </c>
      <c r="AD25">
        <v>9</v>
      </c>
      <c r="AE25">
        <v>5</v>
      </c>
      <c r="AF25">
        <v>14</v>
      </c>
      <c r="AG25">
        <v>0</v>
      </c>
      <c r="AH25">
        <v>0</v>
      </c>
      <c r="AI25">
        <v>44</v>
      </c>
      <c r="AJ25">
        <v>0</v>
      </c>
    </row>
    <row r="26" spans="1:36" x14ac:dyDescent="0.3">
      <c r="A26" t="s">
        <v>83</v>
      </c>
      <c r="B26" s="2">
        <v>45988</v>
      </c>
      <c r="C26" t="s">
        <v>57</v>
      </c>
      <c r="D26" t="s">
        <v>98</v>
      </c>
      <c r="E26" t="s">
        <v>39</v>
      </c>
      <c r="F26" t="s">
        <v>40</v>
      </c>
      <c r="G26">
        <v>0.24579999999999999</v>
      </c>
      <c r="H26">
        <v>179</v>
      </c>
      <c r="I26">
        <v>44</v>
      </c>
      <c r="J26">
        <v>0</v>
      </c>
      <c r="K26" t="s">
        <v>41</v>
      </c>
      <c r="L26" s="2">
        <v>45979</v>
      </c>
      <c r="M26">
        <v>0</v>
      </c>
      <c r="N26">
        <v>0</v>
      </c>
      <c r="O26">
        <v>32</v>
      </c>
      <c r="P26" t="s">
        <v>75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</v>
      </c>
      <c r="AA26">
        <v>0</v>
      </c>
      <c r="AB26">
        <v>0</v>
      </c>
      <c r="AC26">
        <v>0</v>
      </c>
      <c r="AD26">
        <v>0</v>
      </c>
      <c r="AE26">
        <v>10</v>
      </c>
      <c r="AF26">
        <v>30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83</v>
      </c>
      <c r="B27" s="2">
        <v>45988</v>
      </c>
      <c r="C27" t="s">
        <v>60</v>
      </c>
      <c r="D27" t="s">
        <v>82</v>
      </c>
      <c r="E27" t="s">
        <v>39</v>
      </c>
      <c r="F27" t="s">
        <v>40</v>
      </c>
      <c r="G27">
        <v>0.79890000000000005</v>
      </c>
      <c r="H27">
        <v>179</v>
      </c>
      <c r="I27">
        <v>143</v>
      </c>
      <c r="J27">
        <v>132</v>
      </c>
      <c r="K27" t="s">
        <v>41</v>
      </c>
      <c r="L27" s="2">
        <v>45976</v>
      </c>
      <c r="M27">
        <v>0</v>
      </c>
      <c r="N27">
        <v>0</v>
      </c>
      <c r="O27">
        <v>1</v>
      </c>
      <c r="P27" t="s">
        <v>99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10</v>
      </c>
      <c r="AG27">
        <v>0</v>
      </c>
      <c r="AH27">
        <v>0</v>
      </c>
      <c r="AI27">
        <v>132</v>
      </c>
      <c r="AJ27">
        <v>0</v>
      </c>
    </row>
    <row r="28" spans="1:36" x14ac:dyDescent="0.3">
      <c r="A28" t="s">
        <v>83</v>
      </c>
      <c r="B28" s="2">
        <v>45988</v>
      </c>
      <c r="C28" t="s">
        <v>63</v>
      </c>
      <c r="D28" t="s">
        <v>100</v>
      </c>
      <c r="E28" t="s">
        <v>39</v>
      </c>
      <c r="F28" t="s">
        <v>40</v>
      </c>
      <c r="G28">
        <v>0.72070000000000001</v>
      </c>
      <c r="H28">
        <v>179</v>
      </c>
      <c r="I28">
        <v>129</v>
      </c>
      <c r="J28">
        <v>89</v>
      </c>
      <c r="K28" t="s">
        <v>41</v>
      </c>
      <c r="L28" s="2">
        <v>45980</v>
      </c>
      <c r="M28">
        <v>0</v>
      </c>
      <c r="N28">
        <v>6</v>
      </c>
      <c r="O28">
        <v>17</v>
      </c>
      <c r="P28" t="s">
        <v>101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3</v>
      </c>
      <c r="AE28">
        <v>20</v>
      </c>
      <c r="AF28">
        <v>15</v>
      </c>
      <c r="AG28">
        <v>0</v>
      </c>
      <c r="AH28">
        <v>0</v>
      </c>
      <c r="AI28">
        <v>89</v>
      </c>
      <c r="AJ28">
        <v>0</v>
      </c>
    </row>
    <row r="29" spans="1:36" x14ac:dyDescent="0.3">
      <c r="A29" t="s">
        <v>83</v>
      </c>
      <c r="B29" s="2">
        <v>45988</v>
      </c>
      <c r="C29" t="s">
        <v>66</v>
      </c>
      <c r="D29" t="s">
        <v>102</v>
      </c>
      <c r="E29" t="s">
        <v>39</v>
      </c>
      <c r="F29" t="s">
        <v>40</v>
      </c>
      <c r="G29">
        <v>0.44690000000000002</v>
      </c>
      <c r="H29">
        <v>179</v>
      </c>
      <c r="I29">
        <v>80</v>
      </c>
      <c r="J29">
        <v>44</v>
      </c>
      <c r="K29" t="s">
        <v>41</v>
      </c>
      <c r="L29" s="2">
        <v>45980</v>
      </c>
      <c r="M29">
        <v>0</v>
      </c>
      <c r="N29">
        <v>3</v>
      </c>
      <c r="O29">
        <v>19</v>
      </c>
      <c r="P29" t="s">
        <v>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4</v>
      </c>
      <c r="AE29">
        <v>24</v>
      </c>
      <c r="AF29">
        <v>5</v>
      </c>
      <c r="AG29">
        <v>44</v>
      </c>
      <c r="AH29">
        <v>0</v>
      </c>
      <c r="AI29">
        <v>0</v>
      </c>
      <c r="AJ29">
        <v>2</v>
      </c>
    </row>
    <row r="30" spans="1:36" x14ac:dyDescent="0.3">
      <c r="A30" t="s">
        <v>103</v>
      </c>
      <c r="B30" s="2">
        <v>45989</v>
      </c>
      <c r="C30" t="s">
        <v>37</v>
      </c>
      <c r="D30" t="s">
        <v>98</v>
      </c>
      <c r="E30" t="s">
        <v>39</v>
      </c>
      <c r="F30" t="s">
        <v>40</v>
      </c>
      <c r="G30">
        <v>0.25140000000000001</v>
      </c>
      <c r="H30">
        <v>179</v>
      </c>
      <c r="I30">
        <v>45</v>
      </c>
      <c r="J30">
        <v>0</v>
      </c>
      <c r="K30" t="s">
        <v>41</v>
      </c>
      <c r="L30" s="2">
        <v>45980</v>
      </c>
      <c r="M30">
        <v>0</v>
      </c>
      <c r="N30">
        <v>8</v>
      </c>
      <c r="O30">
        <v>26</v>
      </c>
      <c r="P30" t="s">
        <v>88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</v>
      </c>
      <c r="AE30">
        <v>12</v>
      </c>
      <c r="AF30">
        <v>28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103</v>
      </c>
      <c r="B31" s="2">
        <v>45989</v>
      </c>
      <c r="C31" t="s">
        <v>43</v>
      </c>
      <c r="D31" t="s">
        <v>104</v>
      </c>
      <c r="E31" t="s">
        <v>45</v>
      </c>
      <c r="F31" t="s">
        <v>40</v>
      </c>
      <c r="G31">
        <v>0.38690000000000002</v>
      </c>
      <c r="H31">
        <v>168</v>
      </c>
      <c r="I31">
        <v>65</v>
      </c>
      <c r="J31">
        <v>0</v>
      </c>
      <c r="K31" t="s">
        <v>41</v>
      </c>
      <c r="L31" s="2">
        <v>45980</v>
      </c>
      <c r="M31">
        <v>0</v>
      </c>
      <c r="N31">
        <v>12</v>
      </c>
      <c r="O31">
        <v>39</v>
      </c>
      <c r="P31" t="s">
        <v>105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5</v>
      </c>
      <c r="AA31">
        <v>1</v>
      </c>
      <c r="AB31">
        <v>17</v>
      </c>
      <c r="AC31">
        <v>27</v>
      </c>
      <c r="AD31">
        <v>15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103</v>
      </c>
      <c r="B32" s="2">
        <v>45989</v>
      </c>
      <c r="C32" t="s">
        <v>54</v>
      </c>
      <c r="D32" t="s">
        <v>106</v>
      </c>
      <c r="E32" t="s">
        <v>39</v>
      </c>
      <c r="F32" t="s">
        <v>40</v>
      </c>
      <c r="G32">
        <v>0.93300000000000005</v>
      </c>
      <c r="H32">
        <v>179</v>
      </c>
      <c r="I32">
        <v>167</v>
      </c>
      <c r="J32">
        <v>116</v>
      </c>
      <c r="K32" t="s">
        <v>41</v>
      </c>
      <c r="L32" s="2">
        <v>45980</v>
      </c>
      <c r="M32">
        <v>0</v>
      </c>
      <c r="N32">
        <v>3</v>
      </c>
      <c r="O32">
        <v>21</v>
      </c>
      <c r="P32" t="s">
        <v>80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</v>
      </c>
      <c r="AA32">
        <v>3</v>
      </c>
      <c r="AB32">
        <v>0</v>
      </c>
      <c r="AC32">
        <v>0</v>
      </c>
      <c r="AD32">
        <v>13</v>
      </c>
      <c r="AE32">
        <v>20</v>
      </c>
      <c r="AF32">
        <v>10</v>
      </c>
      <c r="AG32">
        <v>0</v>
      </c>
      <c r="AH32">
        <v>0</v>
      </c>
      <c r="AI32">
        <v>116</v>
      </c>
      <c r="AJ32">
        <v>0</v>
      </c>
    </row>
    <row r="33" spans="1:36" x14ac:dyDescent="0.3">
      <c r="A33" t="s">
        <v>103</v>
      </c>
      <c r="B33" s="2">
        <v>45989</v>
      </c>
      <c r="C33" t="s">
        <v>57</v>
      </c>
      <c r="D33" t="s">
        <v>107</v>
      </c>
      <c r="E33" t="s">
        <v>39</v>
      </c>
      <c r="F33" t="s">
        <v>40</v>
      </c>
      <c r="G33">
        <v>0.3352</v>
      </c>
      <c r="H33">
        <v>179</v>
      </c>
      <c r="I33">
        <v>60</v>
      </c>
      <c r="J33">
        <v>0</v>
      </c>
      <c r="K33" t="s">
        <v>41</v>
      </c>
      <c r="L33" s="2">
        <v>45980</v>
      </c>
      <c r="M33">
        <v>0</v>
      </c>
      <c r="N33">
        <v>5</v>
      </c>
      <c r="O33">
        <v>24</v>
      </c>
      <c r="P33" t="s">
        <v>108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</v>
      </c>
      <c r="AA33">
        <v>0</v>
      </c>
      <c r="AB33">
        <v>0</v>
      </c>
      <c r="AC33">
        <v>2</v>
      </c>
      <c r="AD33">
        <v>10</v>
      </c>
      <c r="AE33">
        <v>27</v>
      </c>
      <c r="AF33">
        <v>16</v>
      </c>
      <c r="AG33">
        <v>0</v>
      </c>
      <c r="AH33">
        <v>0</v>
      </c>
      <c r="AI33">
        <v>0</v>
      </c>
      <c r="AJ33">
        <v>2</v>
      </c>
    </row>
    <row r="34" spans="1:36" x14ac:dyDescent="0.3">
      <c r="A34" t="s">
        <v>103</v>
      </c>
      <c r="B34" s="2">
        <v>45989</v>
      </c>
      <c r="C34" t="s">
        <v>60</v>
      </c>
      <c r="D34" t="s">
        <v>109</v>
      </c>
      <c r="E34" t="s">
        <v>39</v>
      </c>
      <c r="F34" t="s">
        <v>40</v>
      </c>
      <c r="G34">
        <v>0.25700000000000001</v>
      </c>
      <c r="H34">
        <v>179</v>
      </c>
      <c r="I34">
        <v>46</v>
      </c>
      <c r="J34">
        <v>0</v>
      </c>
      <c r="K34" t="s">
        <v>41</v>
      </c>
      <c r="L34" s="2">
        <v>45980</v>
      </c>
      <c r="M34">
        <v>0</v>
      </c>
      <c r="N34">
        <v>2</v>
      </c>
      <c r="O34">
        <v>37</v>
      </c>
      <c r="P34" t="s">
        <v>110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0</v>
      </c>
      <c r="AE34">
        <v>9</v>
      </c>
      <c r="AF34">
        <v>34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103</v>
      </c>
      <c r="B35" s="2">
        <v>45989</v>
      </c>
      <c r="C35" t="s">
        <v>63</v>
      </c>
      <c r="D35" t="s">
        <v>111</v>
      </c>
      <c r="E35" t="s">
        <v>39</v>
      </c>
      <c r="F35" t="s">
        <v>40</v>
      </c>
      <c r="G35">
        <v>0.34079999999999999</v>
      </c>
      <c r="H35">
        <v>179</v>
      </c>
      <c r="I35">
        <v>61</v>
      </c>
      <c r="J35">
        <v>39</v>
      </c>
      <c r="K35" t="s">
        <v>41</v>
      </c>
      <c r="L35" s="2">
        <v>45980</v>
      </c>
      <c r="M35">
        <v>0</v>
      </c>
      <c r="N35">
        <v>5</v>
      </c>
      <c r="O35">
        <v>11</v>
      </c>
      <c r="P35" t="s">
        <v>71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16</v>
      </c>
      <c r="AF35">
        <v>5</v>
      </c>
      <c r="AG35">
        <v>0</v>
      </c>
      <c r="AH35">
        <v>0</v>
      </c>
      <c r="AI35">
        <v>39</v>
      </c>
      <c r="AJ35">
        <v>0</v>
      </c>
    </row>
    <row r="36" spans="1:36" x14ac:dyDescent="0.3">
      <c r="A36" t="s">
        <v>103</v>
      </c>
      <c r="B36" s="2">
        <v>45989</v>
      </c>
      <c r="C36" t="s">
        <v>66</v>
      </c>
      <c r="D36" t="s">
        <v>64</v>
      </c>
      <c r="E36" t="s">
        <v>39</v>
      </c>
      <c r="F36" t="s">
        <v>40</v>
      </c>
      <c r="G36">
        <v>0.60340000000000005</v>
      </c>
      <c r="H36">
        <v>179</v>
      </c>
      <c r="I36">
        <v>108</v>
      </c>
      <c r="J36">
        <v>68</v>
      </c>
      <c r="K36" t="s">
        <v>41</v>
      </c>
      <c r="L36" s="2">
        <v>45980</v>
      </c>
      <c r="M36">
        <v>0</v>
      </c>
      <c r="N36">
        <v>3</v>
      </c>
      <c r="O36">
        <v>25</v>
      </c>
      <c r="P36" t="s">
        <v>112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2</v>
      </c>
      <c r="AE36">
        <v>30</v>
      </c>
      <c r="AF36">
        <v>5</v>
      </c>
      <c r="AG36">
        <v>0</v>
      </c>
      <c r="AH36">
        <v>0</v>
      </c>
      <c r="AI36">
        <v>68</v>
      </c>
      <c r="AJ36">
        <v>0</v>
      </c>
    </row>
    <row r="37" spans="1:36" x14ac:dyDescent="0.3">
      <c r="A37" t="s">
        <v>103</v>
      </c>
      <c r="B37" s="2">
        <v>45989</v>
      </c>
      <c r="C37" t="s">
        <v>81</v>
      </c>
      <c r="D37" t="s">
        <v>113</v>
      </c>
      <c r="E37" t="s">
        <v>49</v>
      </c>
      <c r="F37" t="s">
        <v>40</v>
      </c>
      <c r="G37">
        <v>0.42259999999999998</v>
      </c>
      <c r="H37">
        <v>168</v>
      </c>
      <c r="I37">
        <v>71</v>
      </c>
      <c r="J37">
        <v>2</v>
      </c>
      <c r="K37" t="s">
        <v>41</v>
      </c>
      <c r="L37" s="2">
        <v>45980</v>
      </c>
      <c r="M37">
        <v>0</v>
      </c>
      <c r="N37">
        <v>6</v>
      </c>
      <c r="O37">
        <v>40</v>
      </c>
      <c r="P37" t="s">
        <v>97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1</v>
      </c>
      <c r="AB37">
        <v>0</v>
      </c>
      <c r="AC37">
        <v>6</v>
      </c>
      <c r="AD37">
        <v>11</v>
      </c>
      <c r="AE37">
        <v>20</v>
      </c>
      <c r="AF37">
        <v>28</v>
      </c>
      <c r="AG37">
        <v>0</v>
      </c>
      <c r="AH37">
        <v>0</v>
      </c>
      <c r="AI37">
        <v>2</v>
      </c>
      <c r="AJ37">
        <v>0</v>
      </c>
    </row>
    <row r="38" spans="1:36" x14ac:dyDescent="0.3">
      <c r="A38" t="s">
        <v>114</v>
      </c>
      <c r="B38" s="2">
        <v>45990</v>
      </c>
      <c r="C38" t="s">
        <v>91</v>
      </c>
      <c r="D38" t="s">
        <v>115</v>
      </c>
      <c r="E38" t="s">
        <v>39</v>
      </c>
      <c r="F38" t="s">
        <v>40</v>
      </c>
      <c r="G38">
        <v>0.63690000000000002</v>
      </c>
      <c r="H38">
        <v>179</v>
      </c>
      <c r="I38">
        <v>114</v>
      </c>
      <c r="J38">
        <v>73</v>
      </c>
      <c r="K38" t="s">
        <v>41</v>
      </c>
      <c r="L38" s="2">
        <v>45980</v>
      </c>
      <c r="M38">
        <v>0</v>
      </c>
      <c r="N38">
        <v>4</v>
      </c>
      <c r="O38">
        <v>75</v>
      </c>
      <c r="P38" t="s">
        <v>110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2</v>
      </c>
      <c r="AA38">
        <v>1</v>
      </c>
      <c r="AB38">
        <v>0</v>
      </c>
      <c r="AC38">
        <v>1</v>
      </c>
      <c r="AD38">
        <v>3</v>
      </c>
      <c r="AE38">
        <v>29</v>
      </c>
      <c r="AF38">
        <v>5</v>
      </c>
      <c r="AG38">
        <v>0</v>
      </c>
      <c r="AH38">
        <v>0</v>
      </c>
      <c r="AI38">
        <v>73</v>
      </c>
      <c r="AJ38">
        <v>0</v>
      </c>
    </row>
    <row r="39" spans="1:36" x14ac:dyDescent="0.3">
      <c r="A39" t="s">
        <v>114</v>
      </c>
      <c r="B39" s="2">
        <v>45990</v>
      </c>
      <c r="C39" t="s">
        <v>43</v>
      </c>
      <c r="D39" t="s">
        <v>116</v>
      </c>
      <c r="E39" t="s">
        <v>45</v>
      </c>
      <c r="F39" t="s">
        <v>40</v>
      </c>
      <c r="G39">
        <v>0.95240000000000002</v>
      </c>
      <c r="H39">
        <v>168</v>
      </c>
      <c r="I39">
        <v>160</v>
      </c>
      <c r="J39">
        <v>119</v>
      </c>
      <c r="K39" t="s">
        <v>41</v>
      </c>
      <c r="L39" s="2">
        <v>45977</v>
      </c>
      <c r="M39">
        <v>0</v>
      </c>
      <c r="N39">
        <v>0</v>
      </c>
      <c r="O39">
        <v>1</v>
      </c>
      <c r="P39" t="s">
        <v>117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11</v>
      </c>
      <c r="AA39">
        <v>0</v>
      </c>
      <c r="AB39">
        <v>0</v>
      </c>
      <c r="AC39">
        <v>7</v>
      </c>
      <c r="AD39">
        <v>7</v>
      </c>
      <c r="AE39">
        <v>6</v>
      </c>
      <c r="AF39">
        <v>8</v>
      </c>
      <c r="AG39">
        <v>0</v>
      </c>
      <c r="AH39">
        <v>0</v>
      </c>
      <c r="AI39">
        <v>119</v>
      </c>
      <c r="AJ39">
        <v>0</v>
      </c>
    </row>
    <row r="40" spans="1:36" x14ac:dyDescent="0.3">
      <c r="A40" t="s">
        <v>114</v>
      </c>
      <c r="B40" s="2">
        <v>45990</v>
      </c>
      <c r="C40" t="s">
        <v>51</v>
      </c>
      <c r="D40" t="s">
        <v>118</v>
      </c>
      <c r="E40" t="s">
        <v>49</v>
      </c>
      <c r="F40" t="s">
        <v>40</v>
      </c>
      <c r="G40">
        <v>0.91069999999999995</v>
      </c>
      <c r="H40">
        <v>168</v>
      </c>
      <c r="I40">
        <v>153</v>
      </c>
      <c r="J40">
        <v>135</v>
      </c>
      <c r="K40" t="s">
        <v>41</v>
      </c>
      <c r="L40" s="2">
        <v>45980</v>
      </c>
      <c r="M40">
        <v>0</v>
      </c>
      <c r="N40">
        <v>1</v>
      </c>
      <c r="O40">
        <v>35</v>
      </c>
      <c r="P40" t="s">
        <v>119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12</v>
      </c>
      <c r="AE40">
        <v>0</v>
      </c>
      <c r="AF40">
        <v>4</v>
      </c>
      <c r="AG40">
        <v>0</v>
      </c>
      <c r="AH40">
        <v>0</v>
      </c>
      <c r="AI40">
        <v>135</v>
      </c>
      <c r="AJ40">
        <v>0</v>
      </c>
    </row>
    <row r="41" spans="1:36" x14ac:dyDescent="0.3">
      <c r="A41" t="s">
        <v>114</v>
      </c>
      <c r="B41" s="2">
        <v>45990</v>
      </c>
      <c r="C41" t="s">
        <v>72</v>
      </c>
      <c r="D41" t="s">
        <v>111</v>
      </c>
      <c r="E41" t="s">
        <v>45</v>
      </c>
      <c r="F41" t="s">
        <v>40</v>
      </c>
      <c r="G41">
        <v>0.97619999999999996</v>
      </c>
      <c r="H41">
        <v>168</v>
      </c>
      <c r="I41">
        <v>164</v>
      </c>
      <c r="J41">
        <v>138</v>
      </c>
      <c r="K41" t="s">
        <v>41</v>
      </c>
      <c r="L41" s="2">
        <v>45979</v>
      </c>
      <c r="M41">
        <v>0</v>
      </c>
      <c r="N41">
        <v>0</v>
      </c>
      <c r="O41">
        <v>2</v>
      </c>
      <c r="P41" t="s">
        <v>120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</v>
      </c>
      <c r="Z41">
        <v>3</v>
      </c>
      <c r="AA41">
        <v>0</v>
      </c>
      <c r="AB41">
        <v>1</v>
      </c>
      <c r="AC41">
        <v>17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139</v>
      </c>
      <c r="AJ41">
        <v>0</v>
      </c>
    </row>
    <row r="42" spans="1:36" x14ac:dyDescent="0.3">
      <c r="A42" t="s">
        <v>114</v>
      </c>
      <c r="B42" s="2">
        <v>45990</v>
      </c>
      <c r="C42" t="s">
        <v>60</v>
      </c>
      <c r="D42" t="s">
        <v>82</v>
      </c>
      <c r="E42" t="s">
        <v>39</v>
      </c>
      <c r="F42" t="s">
        <v>40</v>
      </c>
      <c r="G42">
        <v>0.73180000000000001</v>
      </c>
      <c r="H42">
        <v>179</v>
      </c>
      <c r="I42">
        <v>131</v>
      </c>
      <c r="J42">
        <v>98</v>
      </c>
      <c r="K42" t="s">
        <v>41</v>
      </c>
      <c r="L42" s="2">
        <v>45979</v>
      </c>
      <c r="M42">
        <v>0</v>
      </c>
      <c r="N42">
        <v>0</v>
      </c>
      <c r="O42">
        <v>24</v>
      </c>
      <c r="P42" t="s">
        <v>108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1</v>
      </c>
      <c r="AD42">
        <v>10</v>
      </c>
      <c r="AE42">
        <v>15</v>
      </c>
      <c r="AF42">
        <v>5</v>
      </c>
      <c r="AG42">
        <v>3</v>
      </c>
      <c r="AH42">
        <v>0</v>
      </c>
      <c r="AI42">
        <v>95</v>
      </c>
      <c r="AJ42">
        <v>0</v>
      </c>
    </row>
    <row r="43" spans="1:36" x14ac:dyDescent="0.3">
      <c r="A43" t="s">
        <v>114</v>
      </c>
      <c r="B43" s="2">
        <v>45990</v>
      </c>
      <c r="C43" t="s">
        <v>63</v>
      </c>
      <c r="D43" t="s">
        <v>121</v>
      </c>
      <c r="E43" t="s">
        <v>39</v>
      </c>
      <c r="F43" t="s">
        <v>40</v>
      </c>
      <c r="G43">
        <v>0.72629999999999995</v>
      </c>
      <c r="H43">
        <v>179</v>
      </c>
      <c r="I43">
        <v>130</v>
      </c>
      <c r="J43">
        <v>107</v>
      </c>
      <c r="K43" t="s">
        <v>41</v>
      </c>
      <c r="L43" s="2">
        <v>45980</v>
      </c>
      <c r="M43">
        <v>0</v>
      </c>
      <c r="N43">
        <v>5</v>
      </c>
      <c r="O43">
        <v>21</v>
      </c>
      <c r="P43" t="s">
        <v>65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9</v>
      </c>
      <c r="AC43">
        <v>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102</v>
      </c>
      <c r="AJ43">
        <v>10</v>
      </c>
    </row>
    <row r="44" spans="1:36" x14ac:dyDescent="0.3">
      <c r="A44" t="s">
        <v>114</v>
      </c>
      <c r="B44" s="2">
        <v>45990</v>
      </c>
      <c r="C44" t="s">
        <v>81</v>
      </c>
      <c r="D44" t="s">
        <v>122</v>
      </c>
      <c r="E44" t="s">
        <v>49</v>
      </c>
      <c r="F44" t="s">
        <v>40</v>
      </c>
      <c r="G44">
        <v>0.70240000000000002</v>
      </c>
      <c r="H44">
        <v>168</v>
      </c>
      <c r="I44">
        <v>118</v>
      </c>
      <c r="J44">
        <v>95</v>
      </c>
      <c r="K44" t="s">
        <v>41</v>
      </c>
      <c r="L44" s="2">
        <v>45978</v>
      </c>
      <c r="M44">
        <v>0</v>
      </c>
      <c r="N44">
        <v>0</v>
      </c>
      <c r="O44">
        <v>1</v>
      </c>
      <c r="P44" t="s">
        <v>123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</v>
      </c>
      <c r="AA44">
        <v>1</v>
      </c>
      <c r="AB44">
        <v>0</v>
      </c>
      <c r="AC44">
        <v>11</v>
      </c>
      <c r="AD44">
        <v>1</v>
      </c>
      <c r="AE44">
        <v>2</v>
      </c>
      <c r="AF44">
        <v>4</v>
      </c>
      <c r="AG44">
        <v>0</v>
      </c>
      <c r="AH44">
        <v>0</v>
      </c>
      <c r="AI44">
        <v>95</v>
      </c>
      <c r="AJ44">
        <v>0</v>
      </c>
    </row>
    <row r="45" spans="1:36" ht="18" x14ac:dyDescent="0.35">
      <c r="A45" s="3" t="s">
        <v>124</v>
      </c>
      <c r="B45" s="4"/>
      <c r="C45" s="3">
        <f>SUBTOTAL(103,LF_ALL_ROUTES[Flt])</f>
        <v>43</v>
      </c>
      <c r="D45" s="3"/>
      <c r="E45" s="3">
        <f>SUBTOTAL(103,LF_ALL_ROUTES[Brd-Off])</f>
        <v>43</v>
      </c>
      <c r="F45" s="3"/>
      <c r="G45" s="5">
        <f>SUBTOTAL(101,LF_ALL_ROUTES[LF%])</f>
        <v>0.64441395348837216</v>
      </c>
      <c r="H45" s="3"/>
      <c r="I45" s="3"/>
      <c r="J45" s="3"/>
      <c r="K45" s="3"/>
      <c r="L45" s="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>
        <f>SUBTOTAL(109,LF_ALL_ROUTES[N])</f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2025-11-19T22:17:09Z</dcterms:created>
  <dcterms:modified xsi:type="dcterms:W3CDTF">2025-11-19T22:17:09Z</dcterms:modified>
</cp:coreProperties>
</file>