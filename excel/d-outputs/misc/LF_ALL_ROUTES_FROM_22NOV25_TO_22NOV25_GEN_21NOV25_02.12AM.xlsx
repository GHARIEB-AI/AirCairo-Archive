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5749DA5-A837-447C-A005-CCD53EE9A6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E9" i="1"/>
  <c r="C9" i="1"/>
  <c r="AJ9" i="1"/>
</calcChain>
</file>

<file path=xl/sharedStrings.xml><?xml version="1.0" encoding="utf-8"?>
<sst xmlns="http://schemas.openxmlformats.org/spreadsheetml/2006/main" count="86" uniqueCount="61">
  <si>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</si>
  <si>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</si>
  <si>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</si>
  <si>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</si>
  <si>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</si>
  <si>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</si>
  <si>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</si>
  <si>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</si>
  <si>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</si>
  <si>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</si>
  <si>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</si>
  <si>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</si>
  <si>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</si>
  <si>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</si>
  <si>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</si>
  <si>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</si>
  <si>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</si>
  <si>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</si>
  <si>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</si>
  <si>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</si>
  <si>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</si>
  <si>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</si>
  <si>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</si>
  <si>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</si>
  <si>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</si>
  <si>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</si>
  <si>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</si>
  <si>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</si>
  <si>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</si>
  <si>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</si>
  <si>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</si>
  <si>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</si>
  <si>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</si>
  <si>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</si>
  <si>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</si>
  <si>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</si>
  <si>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</si>
  <si>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SM450</t>
  </si>
  <si>
    <t>05:40</t>
  </si>
  <si>
    <t>JED-CAI</t>
  </si>
  <si>
    <t>320</t>
  </si>
  <si>
    <t>UPCOMING</t>
  </si>
  <si>
    <t>CLOSED</t>
  </si>
  <si>
    <t>SM452</t>
  </si>
  <si>
    <t>19:00</t>
  </si>
  <si>
    <t>JED-HBE</t>
  </si>
  <si>
    <t>SM454</t>
  </si>
  <si>
    <t>11:05</t>
  </si>
  <si>
    <t>JED-ATZ</t>
  </si>
  <si>
    <t>X8</t>
  </si>
  <si>
    <t>SM456</t>
  </si>
  <si>
    <t>16:30</t>
  </si>
  <si>
    <t>X9</t>
  </si>
  <si>
    <t>SM458</t>
  </si>
  <si>
    <t>11:00</t>
  </si>
  <si>
    <t>SM476</t>
  </si>
  <si>
    <t>08:00</t>
  </si>
  <si>
    <t>SM478</t>
  </si>
  <si>
    <t>16:20</t>
  </si>
  <si>
    <t>K1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</si>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</sst>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4E082-24AD-4908-9230-D783AC51C137}" name="LF_ALL_ROUTES" displayName="LF_ALL_ROUTES" ref="A1:AJ9" totalsRowCount="1" headerRowDxfId="37" totalsRowDxfId="0">
  <autoFilter ref="A1:AJ8" xr:uid="{DBE4E082-24AD-4908-9230-D783AC51C137}"/>
  <tableColumns count="36">
    <tableColumn id="1" xr3:uid="{C9243697-50C9-4E7D-9CDD-24B943ADC6C3}" name="Day" totalsRowLabel="TOTAL" totalsRowDxfId="36"/>
    <tableColumn id="2" xr3:uid="{35D3D675-C66F-4F37-A607-860F15196FA2}" name="Flt Dt" dataDxfId="39" totalsRowDxfId="35"/>
    <tableColumn id="3" xr3:uid="{68FC863F-B19B-454D-8CD0-5024D4D88597}" name="Flt" totalsRowFunction="count" totalsRowDxfId="34"/>
    <tableColumn id="4" xr3:uid="{3C4294D5-A721-4AE0-AFBB-D41B791E2AE2}" name="DEP" totalsRowDxfId="33"/>
    <tableColumn id="5" xr3:uid="{CF69A015-0E9A-4E71-A3AF-DC890CBBF7F7}" name="Brd-Off" totalsRowFunction="count" totalsRowDxfId="32"/>
    <tableColumn id="6" xr3:uid="{17367F51-2B76-43BA-84F6-C1EBD8AEB6FA}" name="Eqp" totalsRowDxfId="31"/>
    <tableColumn id="7" xr3:uid="{9C0A6388-4E55-47D0-BE39-BD9E80B4F741}" name="LF%" totalsRowFunction="average" totalsRowDxfId="30"/>
    <tableColumn id="8" xr3:uid="{38315DDF-6548-4D5C-92BF-0CABB2F08601}" name="CAP" totalsRowDxfId="29"/>
    <tableColumn id="9" xr3:uid="{452094E6-FD1F-48A2-B8FE-6478386711E4}" name="BKG(Y)" totalsRowDxfId="28"/>
    <tableColumn id="10" xr3:uid="{122A22E8-33BA-41D9-BBB2-2B81EEC0F6EB}" name="GRP(Y)" totalsRowDxfId="27"/>
    <tableColumn id="11" xr3:uid="{7986CF0A-9230-486E-BA93-D6E1C29DA209}" name="FLT ST" totalsRowDxfId="26"/>
    <tableColumn id="12" xr3:uid="{B9A92B92-DD8C-4DDE-A9AD-93409C0D825E}" name="LST-SOLD" dataDxfId="38" totalsRowDxfId="25"/>
    <tableColumn id="13" xr3:uid="{8B9A3721-488D-449F-8B76-222C26F9A96F}" name="TO-DAY" totalsRowDxfId="24"/>
    <tableColumn id="14" xr3:uid="{5B1FD2E7-C6B7-4BC5-B33D-9554D8692F88}" name="Y-DAY" totalsRowDxfId="23"/>
    <tableColumn id="15" xr3:uid="{EE734FF2-C624-48E9-84AC-8A1E7B3EC058}" name="WEEKLY" totalsRowDxfId="22"/>
    <tableColumn id="16" xr3:uid="{3F1F3C0D-FFDC-4A06-8623-7B08E20FF048}" name="LOWEST AVAIL" totalsRowDxfId="21"/>
    <tableColumn id="17" xr3:uid="{8C467D3A-ACD6-4F69-A4EA-A0E49FDA5C9C}" name="Y" totalsRowDxfId="20"/>
    <tableColumn id="18" xr3:uid="{189E3368-A75A-4B6B-B67C-84173EC60190}" name="B" totalsRowDxfId="19"/>
    <tableColumn id="19" xr3:uid="{C6C894B3-2B80-4CDB-BBE9-5C2E21CBD338}" name="M" totalsRowDxfId="18"/>
    <tableColumn id="20" xr3:uid="{BABD4374-AC23-4828-9254-69A3F5B29152}" name="H" totalsRowDxfId="17"/>
    <tableColumn id="21" xr3:uid="{6220EEB9-F2CB-4C78-9623-BC1017050376}" name="Q" totalsRowDxfId="16"/>
    <tableColumn id="22" xr3:uid="{C4E8AA97-D396-45C0-9452-A942EAC0F550}" name="K" totalsRowDxfId="15"/>
    <tableColumn id="23" xr3:uid="{F5D9DB6D-0A75-401B-82C9-7AD7BA181534}" name="V" totalsRowDxfId="14"/>
    <tableColumn id="24" xr3:uid="{9E2A0A03-B079-4537-B057-69D5EDCA4E0C}" name="L" totalsRowDxfId="13"/>
    <tableColumn id="25" xr3:uid="{DD9190A8-6369-42AE-9F91-73B4E8D73FCE}" name="G" totalsRowDxfId="12"/>
    <tableColumn id="26" xr3:uid="{350C0AA3-440E-4509-8E23-6952855C1128}" name="S" totalsRowDxfId="11"/>
    <tableColumn id="27" xr3:uid="{55EF7CE0-6A7B-43FC-8212-376A4594A36C}" name="W" totalsRowDxfId="10"/>
    <tableColumn id="28" xr3:uid="{43C7E5E2-4B66-4EA1-8773-2161CE02DDAC}" name="T" totalsRowDxfId="9"/>
    <tableColumn id="29" xr3:uid="{4FFF4671-39B3-4517-A514-0EE7D1FE680F}" name="X" totalsRowDxfId="8"/>
    <tableColumn id="30" xr3:uid="{F172BF74-EDB7-42FC-893D-D587805CABBB}" name="U" totalsRowDxfId="7"/>
    <tableColumn id="31" xr3:uid="{0E5D8B6B-4CFF-4BE0-BC10-6E152F572EDF}" name="O" totalsRowDxfId="6"/>
    <tableColumn id="32" xr3:uid="{354F3985-89CC-4751-B929-5E50EA8671F5}" name="I" totalsRowDxfId="5"/>
    <tableColumn id="33" xr3:uid="{6AD1C35E-4B19-49C2-9D9A-A54C76CE9A33}" name="E" totalsRowDxfId="4"/>
    <tableColumn id="34" xr3:uid="{040B65A7-9AA5-4D1E-85EB-04797AD08EA0}" name="A" totalsRowDxfId="3"/>
    <tableColumn id="35" xr3:uid="{FDEA9089-65C9-45B3-A63B-F294FA3268FC}" name="P" totalsRowDxfId="2"/>
    <tableColumn id="36" xr3:uid="{ECA021BE-810A-4E00-A223-DEAEF53B42B6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"/>
  <sheetViews>
    <sheetView tabSelected="1" workbookViewId="0"/>
  </sheetViews>
  <sheetFormatPr defaultRowHeight="14.4" outlineLevelCol="1" x14ac:dyDescent="0.3"/>
  <cols>
    <col min="1" max="1" width="9.777343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8" max="8" width="8.88671875" outlineLevel="1"/>
    <col min="9" max="10" width="11.21875" bestFit="1" customWidth="1" outlineLevel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 outlineLevel="1"/>
    <col min="18" max="18" width="6.5546875" bestFit="1" customWidth="1" outlineLevel="1"/>
    <col min="19" max="19" width="7.21875" bestFit="1" customWidth="1" outlineLevel="1"/>
    <col min="20" max="20" width="6.6640625" bestFit="1" customWidth="1" outlineLevel="1"/>
    <col min="21" max="21" width="6.77734375" bestFit="1" customWidth="1" outlineLevel="1"/>
    <col min="22" max="22" width="6.5546875" bestFit="1" customWidth="1" outlineLevel="1"/>
    <col min="23" max="23" width="6.6640625" bestFit="1" customWidth="1" outlineLevel="1"/>
    <col min="24" max="24" width="6.33203125" bestFit="1" customWidth="1" outlineLevel="1"/>
    <col min="25" max="25" width="6.6640625" bestFit="1" customWidth="1" outlineLevel="1"/>
    <col min="26" max="26" width="6.44140625" bestFit="1" customWidth="1" outlineLevel="1"/>
    <col min="27" max="27" width="7.21875" bestFit="1" customWidth="1" outlineLevel="1"/>
    <col min="28" max="28" width="6.44140625" bestFit="1" customWidth="1" outlineLevel="1"/>
    <col min="29" max="29" width="6.5546875" bestFit="1" customWidth="1" outlineLevel="1"/>
    <col min="30" max="31" width="6.77734375" bestFit="1" customWidth="1" outlineLevel="1"/>
    <col min="32" max="32" width="6" bestFit="1" customWidth="1" outlineLevel="1"/>
    <col min="33" max="33" width="6.44140625" bestFit="1" customWidth="1" outlineLevel="1"/>
    <col min="34" max="34" width="6.6640625" bestFit="1" customWidth="1" outlineLevel="1"/>
    <col min="35" max="35" width="6.5546875" bestFit="1" customWidth="1" outlineLevel="1"/>
    <col min="36" max="36" width="6.77734375" bestFit="1" customWidth="1" outlineLevel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45983</v>
      </c>
      <c r="C2" t="s">
        <v>37</v>
      </c>
      <c r="D2" t="s">
        <v>38</v>
      </c>
      <c r="E2" t="s">
        <v>39</v>
      </c>
      <c r="F2" t="s">
        <v>40</v>
      </c>
      <c r="G2">
        <v>1</v>
      </c>
      <c r="H2">
        <v>179</v>
      </c>
      <c r="I2">
        <v>179</v>
      </c>
      <c r="J2">
        <v>50</v>
      </c>
      <c r="K2" t="s">
        <v>41</v>
      </c>
      <c r="L2" s="2">
        <v>45981</v>
      </c>
      <c r="M2">
        <v>0</v>
      </c>
      <c r="N2">
        <v>9</v>
      </c>
      <c r="O2">
        <v>9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7</v>
      </c>
      <c r="X2">
        <v>0</v>
      </c>
      <c r="Y2">
        <v>16</v>
      </c>
      <c r="Z2">
        <v>17</v>
      </c>
      <c r="AA2">
        <v>21</v>
      </c>
      <c r="AB2">
        <v>10</v>
      </c>
      <c r="AC2">
        <v>9</v>
      </c>
      <c r="AD2">
        <v>17</v>
      </c>
      <c r="AE2">
        <v>16</v>
      </c>
      <c r="AF2">
        <v>16</v>
      </c>
      <c r="AG2">
        <v>0</v>
      </c>
      <c r="AH2">
        <v>0</v>
      </c>
      <c r="AI2">
        <v>50</v>
      </c>
      <c r="AJ2">
        <v>0</v>
      </c>
    </row>
    <row r="3" spans="1:36" x14ac:dyDescent="0.3">
      <c r="A3" t="s">
        <v>36</v>
      </c>
      <c r="B3" s="2">
        <v>45983</v>
      </c>
      <c r="C3" t="s">
        <v>43</v>
      </c>
      <c r="D3" t="s">
        <v>44</v>
      </c>
      <c r="E3" t="s">
        <v>45</v>
      </c>
      <c r="F3" t="s">
        <v>40</v>
      </c>
      <c r="G3">
        <v>1</v>
      </c>
      <c r="H3">
        <v>179</v>
      </c>
      <c r="I3">
        <v>179</v>
      </c>
      <c r="J3">
        <v>136</v>
      </c>
      <c r="K3" t="s">
        <v>41</v>
      </c>
      <c r="L3" s="2">
        <v>45980</v>
      </c>
      <c r="M3">
        <v>0</v>
      </c>
      <c r="N3">
        <v>0</v>
      </c>
      <c r="O3">
        <v>8</v>
      </c>
      <c r="P3" t="s">
        <v>42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5</v>
      </c>
      <c r="X3">
        <v>14</v>
      </c>
      <c r="Y3">
        <v>0</v>
      </c>
      <c r="Z3">
        <v>7</v>
      </c>
      <c r="AA3">
        <v>0</v>
      </c>
      <c r="AB3">
        <v>0</v>
      </c>
      <c r="AC3">
        <v>14</v>
      </c>
      <c r="AD3">
        <v>0</v>
      </c>
      <c r="AE3">
        <v>0</v>
      </c>
      <c r="AF3">
        <v>0</v>
      </c>
      <c r="AG3">
        <v>0</v>
      </c>
      <c r="AH3">
        <v>0</v>
      </c>
      <c r="AI3">
        <v>136</v>
      </c>
      <c r="AJ3">
        <v>0</v>
      </c>
    </row>
    <row r="4" spans="1:36" x14ac:dyDescent="0.3">
      <c r="A4" t="s">
        <v>36</v>
      </c>
      <c r="B4" s="2">
        <v>45983</v>
      </c>
      <c r="C4" t="s">
        <v>46</v>
      </c>
      <c r="D4" t="s">
        <v>47</v>
      </c>
      <c r="E4" t="s">
        <v>48</v>
      </c>
      <c r="F4" t="s">
        <v>40</v>
      </c>
      <c r="G4">
        <v>0.8155</v>
      </c>
      <c r="H4">
        <v>168</v>
      </c>
      <c r="I4">
        <v>137</v>
      </c>
      <c r="J4">
        <v>34</v>
      </c>
      <c r="K4" t="s">
        <v>41</v>
      </c>
      <c r="L4" s="2">
        <v>45981</v>
      </c>
      <c r="M4">
        <v>0</v>
      </c>
      <c r="N4">
        <v>8</v>
      </c>
      <c r="O4">
        <v>60</v>
      </c>
      <c r="P4" t="s">
        <v>49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1</v>
      </c>
      <c r="AB4">
        <v>0</v>
      </c>
      <c r="AC4">
        <v>20</v>
      </c>
      <c r="AD4">
        <v>20</v>
      </c>
      <c r="AE4">
        <v>40</v>
      </c>
      <c r="AF4">
        <v>20</v>
      </c>
      <c r="AG4">
        <v>0</v>
      </c>
      <c r="AH4">
        <v>0</v>
      </c>
      <c r="AI4">
        <v>34</v>
      </c>
      <c r="AJ4">
        <v>0</v>
      </c>
    </row>
    <row r="5" spans="1:36" x14ac:dyDescent="0.3">
      <c r="A5" t="s">
        <v>36</v>
      </c>
      <c r="B5" s="2">
        <v>45983</v>
      </c>
      <c r="C5" t="s">
        <v>50</v>
      </c>
      <c r="D5" t="s">
        <v>51</v>
      </c>
      <c r="E5" t="s">
        <v>48</v>
      </c>
      <c r="F5" t="s">
        <v>40</v>
      </c>
      <c r="G5">
        <v>0.72019999999999995</v>
      </c>
      <c r="H5">
        <v>168</v>
      </c>
      <c r="I5">
        <v>121</v>
      </c>
      <c r="J5">
        <v>89</v>
      </c>
      <c r="K5" t="s">
        <v>41</v>
      </c>
      <c r="L5" s="2">
        <v>45981</v>
      </c>
      <c r="M5">
        <v>0</v>
      </c>
      <c r="N5">
        <v>2</v>
      </c>
      <c r="O5">
        <v>9</v>
      </c>
      <c r="P5" t="s">
        <v>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2</v>
      </c>
      <c r="AA5">
        <v>0</v>
      </c>
      <c r="AB5">
        <v>0</v>
      </c>
      <c r="AC5">
        <v>8</v>
      </c>
      <c r="AD5">
        <v>19</v>
      </c>
      <c r="AE5">
        <v>0</v>
      </c>
      <c r="AF5">
        <v>0</v>
      </c>
      <c r="AG5">
        <v>0</v>
      </c>
      <c r="AH5">
        <v>0</v>
      </c>
      <c r="AI5">
        <v>91</v>
      </c>
      <c r="AJ5">
        <v>0</v>
      </c>
    </row>
    <row r="6" spans="1:36" x14ac:dyDescent="0.3">
      <c r="A6" t="s">
        <v>36</v>
      </c>
      <c r="B6" s="2">
        <v>45983</v>
      </c>
      <c r="C6" t="s">
        <v>53</v>
      </c>
      <c r="D6" t="s">
        <v>54</v>
      </c>
      <c r="E6" t="s">
        <v>45</v>
      </c>
      <c r="F6" t="s">
        <v>40</v>
      </c>
      <c r="G6">
        <v>1</v>
      </c>
      <c r="H6">
        <v>179</v>
      </c>
      <c r="I6">
        <v>179</v>
      </c>
      <c r="J6">
        <v>118</v>
      </c>
      <c r="K6" t="s">
        <v>41</v>
      </c>
      <c r="L6" s="2">
        <v>45980</v>
      </c>
      <c r="M6">
        <v>0</v>
      </c>
      <c r="N6">
        <v>0</v>
      </c>
      <c r="O6">
        <v>12</v>
      </c>
      <c r="P6" t="s">
        <v>42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11</v>
      </c>
      <c r="Y6">
        <v>0</v>
      </c>
      <c r="Z6">
        <v>16</v>
      </c>
      <c r="AA6">
        <v>2</v>
      </c>
      <c r="AB6">
        <v>15</v>
      </c>
      <c r="AC6">
        <v>17</v>
      </c>
      <c r="AD6">
        <v>0</v>
      </c>
      <c r="AE6">
        <v>0</v>
      </c>
      <c r="AF6">
        <v>0</v>
      </c>
      <c r="AG6">
        <v>0</v>
      </c>
      <c r="AH6">
        <v>0</v>
      </c>
      <c r="AI6">
        <v>118</v>
      </c>
      <c r="AJ6">
        <v>0</v>
      </c>
    </row>
    <row r="7" spans="1:36" x14ac:dyDescent="0.3">
      <c r="A7" t="s">
        <v>36</v>
      </c>
      <c r="B7" s="2">
        <v>45983</v>
      </c>
      <c r="C7" t="s">
        <v>55</v>
      </c>
      <c r="D7" t="s">
        <v>56</v>
      </c>
      <c r="E7" t="s">
        <v>39</v>
      </c>
      <c r="F7" t="s">
        <v>40</v>
      </c>
      <c r="G7">
        <v>1</v>
      </c>
      <c r="H7">
        <v>179</v>
      </c>
      <c r="I7">
        <v>179</v>
      </c>
      <c r="J7">
        <v>134</v>
      </c>
      <c r="K7" t="s">
        <v>41</v>
      </c>
      <c r="L7" s="2">
        <v>45979</v>
      </c>
      <c r="M7">
        <v>0</v>
      </c>
      <c r="N7">
        <v>0</v>
      </c>
      <c r="O7">
        <v>4</v>
      </c>
      <c r="P7" t="s">
        <v>42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0</v>
      </c>
      <c r="X7">
        <v>6</v>
      </c>
      <c r="Y7">
        <v>0</v>
      </c>
      <c r="Z7">
        <v>24</v>
      </c>
      <c r="AA7">
        <v>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135</v>
      </c>
      <c r="AJ7">
        <v>4</v>
      </c>
    </row>
    <row r="8" spans="1:36" x14ac:dyDescent="0.3">
      <c r="A8" t="s">
        <v>36</v>
      </c>
      <c r="B8" s="2">
        <v>45983</v>
      </c>
      <c r="C8" t="s">
        <v>57</v>
      </c>
      <c r="D8" t="s">
        <v>58</v>
      </c>
      <c r="E8" t="s">
        <v>39</v>
      </c>
      <c r="F8" t="s">
        <v>40</v>
      </c>
      <c r="G8">
        <v>0.99439999999999995</v>
      </c>
      <c r="H8">
        <v>179</v>
      </c>
      <c r="I8">
        <v>178</v>
      </c>
      <c r="J8">
        <v>127</v>
      </c>
      <c r="K8" t="s">
        <v>41</v>
      </c>
      <c r="L8" s="2">
        <v>45981</v>
      </c>
      <c r="M8">
        <v>0</v>
      </c>
      <c r="N8">
        <v>3</v>
      </c>
      <c r="O8">
        <v>6</v>
      </c>
      <c r="P8" t="s">
        <v>59</v>
      </c>
      <c r="Q8">
        <v>0</v>
      </c>
      <c r="R8">
        <v>0</v>
      </c>
      <c r="S8">
        <v>0</v>
      </c>
      <c r="T8">
        <v>0</v>
      </c>
      <c r="U8">
        <v>0</v>
      </c>
      <c r="V8">
        <v>3</v>
      </c>
      <c r="W8">
        <v>0</v>
      </c>
      <c r="X8">
        <v>0</v>
      </c>
      <c r="Y8">
        <v>3</v>
      </c>
      <c r="Z8">
        <v>3</v>
      </c>
      <c r="AA8">
        <v>4</v>
      </c>
      <c r="AB8">
        <v>10</v>
      </c>
      <c r="AC8">
        <v>12</v>
      </c>
      <c r="AD8">
        <v>5</v>
      </c>
      <c r="AE8">
        <v>6</v>
      </c>
      <c r="AF8">
        <v>4</v>
      </c>
      <c r="AG8">
        <v>45</v>
      </c>
      <c r="AH8">
        <v>0</v>
      </c>
      <c r="AI8">
        <v>82</v>
      </c>
      <c r="AJ8">
        <v>1</v>
      </c>
    </row>
    <row r="9" spans="1:36" ht="18" x14ac:dyDescent="0.35">
      <c r="A9" s="3" t="s">
        <v>60</v>
      </c>
      <c r="B9" s="4"/>
      <c r="C9" s="3">
        <f>SUBTOTAL(103,LF_ALL_ROUTES[Flt])</f>
        <v>7</v>
      </c>
      <c r="D9" s="3"/>
      <c r="E9" s="3">
        <f>SUBTOTAL(103,LF_ALL_ROUTES[Brd-Off])</f>
        <v>7</v>
      </c>
      <c r="F9" s="3"/>
      <c r="G9" s="5">
        <f>SUBTOTAL(101,LF_ALL_ROUTES[LF%])</f>
        <v>0.93287142857142857</v>
      </c>
      <c r="H9" s="3"/>
      <c r="I9" s="3"/>
      <c r="J9" s="3"/>
      <c r="K9" s="3"/>
      <c r="L9" s="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f>SUBTOTAL(109,LF_ALL_ROUTES[N])</f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2025-11-20T23:12:03Z</dcterms:created>
  <dcterms:modified xsi:type="dcterms:W3CDTF">2025-11-20T23:12:03Z</dcterms:modified>
</cp:coreProperties>
</file>