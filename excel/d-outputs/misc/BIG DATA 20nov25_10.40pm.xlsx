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9F6D299B-7350-452E-A714-B4C9881E03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" sheetId="1" r:id="rId1"/>
    <sheet name="MED-CAI LF LEGACY" sheetId="2" r:id="rId2"/>
    <sheet name="MED-CAI - FOCUS MODE" sheetId="3" r:id="rId3"/>
    <sheet name="MED-CAI - OAL Threats Alert" sheetId="4" r:id="rId4"/>
    <sheet name="JED-CAI" sheetId="5" r:id="rId5"/>
    <sheet name="JED-CAI LF LEGACY" sheetId="6" r:id="rId6"/>
    <sheet name="JED-CAI - FOCUS MODE" sheetId="7" r:id="rId7"/>
    <sheet name="JED-CAI - OAL Threats Alert" sheetId="8" r:id="rId8"/>
    <sheet name="RUH-CAI" sheetId="9" r:id="rId9"/>
    <sheet name="RUH-CAI LF LEGACY" sheetId="10" r:id="rId10"/>
    <sheet name="RUH-CAI - FOCUS MODE" sheetId="11" r:id="rId11"/>
    <sheet name="RUH-CAI - OAL Threats Alert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10" l="1"/>
  <c r="E6" i="10"/>
  <c r="G6" i="10"/>
  <c r="H6" i="10"/>
  <c r="I6" i="10"/>
  <c r="J6" i="10"/>
  <c r="M6" i="10"/>
  <c r="N6" i="10"/>
  <c r="O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J6" i="10"/>
  <c r="C20" i="6"/>
  <c r="E20" i="6"/>
  <c r="G20" i="6"/>
  <c r="H20" i="6"/>
  <c r="I20" i="6"/>
  <c r="J20" i="6"/>
  <c r="M20" i="6"/>
  <c r="N20" i="6"/>
  <c r="O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C7" i="2"/>
  <c r="E7" i="2"/>
  <c r="G7" i="2"/>
  <c r="H7" i="2"/>
  <c r="I7" i="2"/>
  <c r="J7" i="2"/>
  <c r="M7" i="2"/>
  <c r="N7" i="2"/>
  <c r="O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0" authorId="0" shapeId="0" xr:uid="{EEB0A777-DBD8-4B06-BCFD-572BDF65FF1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Q4 &amp; T3 &amp; X5 &amp; U9 &amp; O7 &amp; I17 &amp; P130 &amp; N4</t>
        </r>
      </text>
    </comment>
    <comment ref="F37" authorId="0" shapeId="0" xr:uid="{C7D940A1-73CD-4204-8F07-0EEA4DBDC52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16-NOV]_x000D_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K6 &amp; G10 &amp; S21 &amp; T5 &amp; X11 &amp; U8 &amp; O9 &amp; I17 &amp; P86 &amp; N6</t>
        </r>
      </text>
    </comment>
    <comment ref="F56" authorId="0" shapeId="0" xr:uid="{F7D93F58-1A27-4456-BCB5-C9DA50EFE32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51.2%]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L5 &amp; G11 &amp; S10 &amp; W10 &amp; T10 &amp; X10 &amp; U10 &amp; O10 &amp; I10</t>
        </r>
      </text>
    </comment>
    <comment ref="F60" authorId="0" shapeId="0" xr:uid="{D4BB58A0-FEF9-4E12-92CD-30879C3FAA8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V8]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04-NOV]_x000D_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I4 &amp; E44 &amp; P114</t>
        </r>
      </text>
    </comment>
    <comment ref="F73" authorId="0" shapeId="0" xr:uid="{1F7C0F67-CC7D-4DEA-892A-12956CB337D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Q2 &amp; K5 &amp; V4 &amp; S11 &amp; X3 &amp; U5 &amp; O9 &amp; I17 &amp; P123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37" authorId="0" shapeId="0" xr:uid="{15C0F9C7-3C20-4AD2-B283-E3C48118B0D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V1]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V6 &amp; G16 &amp; S17 &amp; W21 &amp; T10 &amp; X9 &amp; U17 &amp; O16 &amp; I16 &amp; P50</t>
        </r>
      </text>
    </comment>
    <comment ref="F38" authorId="0" shapeId="0" xr:uid="{68FCE985-A0F7-4C0A-B871-BF369472C14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K1]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K3 &amp; G3 &amp; S3 &amp; W4 &amp; T10 &amp; X12 &amp; U5 &amp; O6 &amp; I4 &amp; E45 &amp; P82 &amp; N1</t>
        </r>
      </text>
    </comment>
    <comment ref="F71" authorId="0" shapeId="0" xr:uid="{2E44B76E-E502-4323-B982-5BE4E04F9A8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K5 &amp; L6 &amp; S24 &amp; W5 &amp; P135 &amp; N4</t>
        </r>
      </text>
    </comment>
    <comment ref="F88" authorId="0" shapeId="0" xr:uid="{3E14F981-4177-4BE1-874F-02FD2CF7292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S19 &amp; W17 &amp; T33 &amp; X4 &amp; U5 &amp; O4 &amp; I4 &amp; P28 &amp; N2</t>
        </r>
      </text>
    </comment>
    <comment ref="F89" authorId="0" shapeId="0" xr:uid="{5478A97B-B1EA-4C4D-96F2-6B0DA1CA0FD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G1 &amp; S10 &amp; W23 &amp; T18 &amp; X9 &amp; U20 &amp; O4 &amp; I5 &amp; P62</t>
        </r>
      </text>
    </comment>
    <comment ref="F90" authorId="0" shapeId="0" xr:uid="{1D969D4E-DDB6-4909-B54A-D306ACFB6F4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G5 &amp; S32 &amp; W23 &amp; T16 &amp; X9 &amp; U5 &amp; O5 &amp; I5</t>
        </r>
      </text>
    </comment>
    <comment ref="F111" authorId="0" shapeId="0" xr:uid="{08E3CB86-BB6C-41ED-A870-93CC8CE16AC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92.7%]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L8 &amp; G1 &amp; S13 &amp; U3 &amp; O5 &amp; I7 &amp; P129</t>
        </r>
      </text>
    </comment>
    <comment ref="F143" authorId="0" shapeId="0" xr:uid="{95D52D69-49C7-4FF9-A4CA-ED901E9AC9B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G4 &amp; S11 &amp; T7 &amp; X12 &amp; U5 &amp; O5 &amp; I7 &amp; P129</t>
        </r>
      </text>
    </comment>
    <comment ref="F153" authorId="0" shapeId="0" xr:uid="{05F6533A-BB3A-4BB4-8806-DFBDD50E7CA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S5 &amp; W1 &amp; T3 &amp; X34 &amp; U10 &amp; O10 &amp; I5 &amp; P93</t>
        </r>
      </text>
    </comment>
    <comment ref="F154" authorId="0" shapeId="0" xr:uid="{5B76B369-A9D6-4740-BB96-AF498406F29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43.0%]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T5 &amp; X24 &amp; U25 &amp; O10 &amp; I10</t>
        </r>
      </text>
    </comment>
    <comment ref="F163" authorId="0" shapeId="0" xr:uid="{1E0C3187-8661-40AE-9011-1497AB6295C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8]_x000D_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T3]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T4 &amp; X17 &amp; U10 &amp; O10 &amp; I15 &amp; P108</t>
        </r>
      </text>
    </comment>
    <comment ref="F218" authorId="0" shapeId="0" xr:uid="{B971D706-0F00-422E-A8FB-F095992AEBA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18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T9 &amp; X10 &amp; U17 &amp; O30 &amp; I11 &amp; P84 &amp; N4</t>
        </r>
      </text>
    </comment>
    <comment ref="F226" authorId="0" shapeId="0" xr:uid="{3AF0D3EF-F80C-4CA0-9CDA-E360D4E0BF7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X4 &amp; U5 &amp; O10 &amp; I15 &amp; P86</t>
        </r>
      </text>
    </comment>
    <comment ref="F227" authorId="0" shapeId="0" xr:uid="{16028688-478E-4112-BEF1-C6682D35FB2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35.8%]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S8 &amp; X3 &amp; U10 &amp; O13 &amp; I30</t>
        </r>
      </text>
    </comment>
    <comment ref="F228" authorId="0" shapeId="0" xr:uid="{C948FADF-E322-4808-9C48-4F1BFECC6BE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58.7%]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 &amp; U10 &amp; O18 &amp; I30 &amp; P46</t>
        </r>
      </text>
    </comment>
    <comment ref="F229" authorId="0" shapeId="0" xr:uid="{77D36968-E1CC-41A3-9B83-786E9582F6F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82.7%]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X7 &amp; U13 &amp; O26 &amp; I15 &amp; P82</t>
        </r>
      </text>
    </comment>
    <comment ref="F233" authorId="0" shapeId="0" xr:uid="{9F8549F0-F0E6-4B48-83A1-BEE8C2A43C0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W2 &amp; X4 &amp; U16 &amp; O15 &amp; I9 &amp; P116</t>
        </r>
      </text>
    </comment>
    <comment ref="F290" authorId="0" shapeId="0" xr:uid="{B497516A-DAD5-4591-8850-9EA6C24A767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X1 &amp; U15 &amp; O15 &amp; I15 &amp; P117 &amp; N3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33" authorId="0" shapeId="0" xr:uid="{C40F30F9-2B32-4105-AA9F-1C264F76F38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83.9%]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K2 &amp; S1 &amp; W2 &amp; T15 &amp; X70 &amp; U12 &amp; O26 &amp; I13</t>
        </r>
      </text>
    </comment>
    <comment ref="F103" authorId="0" shapeId="0" xr:uid="{211A3C46-9B3D-4B9C-BACB-4875B8B379F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1.1%]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97]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K1 &amp; T5 &amp; X8 &amp; U33 &amp; O18 &amp; I39 &amp; N1</t>
        </r>
      </text>
    </comment>
    <comment ref="F123" authorId="0" shapeId="0" xr:uid="{5B3B370A-0500-40EA-BE34-1AB30BF3371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K5 &amp; S3 &amp; X4 &amp; U10 &amp; O47 &amp; I53 &amp; N1</t>
        </r>
      </text>
    </comment>
    <comment ref="F176" authorId="0" shapeId="0" xr:uid="{7B82CE79-C0E8-437E-90B1-3E5807C953E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59.5%]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U3 &amp; O17 &amp; I80</t>
        </r>
      </text>
    </comment>
  </commentList>
</comments>
</file>

<file path=xl/sharedStrings.xml><?xml version="1.0" encoding="utf-8"?>
<sst xmlns="http://schemas.openxmlformats.org/spreadsheetml/2006/main" count="8357" uniqueCount="684">
  <si>
    <t>COMPREHENSIVE REPORT</t>
  </si>
  <si>
    <t>MED-CAI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</si>
  <si>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</si>
  <si>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</si>
  <si>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</si>
  <si>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</si>
  <si>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</si>
  <si>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</si>
  <si>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</si>
  <si>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</si>
  <si>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</si>
  <si>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</si>
  <si>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</si>
  <si>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</si>
  <si>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</si>
  <si>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</si>
  <si>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</si>
  <si>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</si>
  <si>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</si>
  <si>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</si>
  <si>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</si>
  <si>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</si>
  <si>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</si>
  <si>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</si>
  <si>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</si>
  <si>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</si>
  <si>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</si>
  <si>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</si>
  <si>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</si>
  <si>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3"/>
        <color rgb="FFBC0000"/>
        <rFont val="Calibri"/>
        <family val="2"/>
      </rPr>
      <t>40</t>
    </r>
    <r>
      <rPr>
        <b/>
        <i/>
        <sz val="10"/>
        <color rgb="FFBC0000"/>
        <rFont val="Calibri"/>
        <family val="2"/>
      </rPr>
      <t xml:space="preserve"> FOR SAME CLASS</t>
    </r>
  </si>
  <si>
    <t>559 SAR</t>
  </si>
  <si>
    <t>Cabin: 10 KG / Check-in: 25 KG</t>
  </si>
  <si>
    <r>
      <rPr>
        <i/>
        <sz val="13"/>
        <rFont val="Calibri"/>
        <family val="2"/>
      </rPr>
      <t>40</t>
    </r>
    <r>
      <rPr>
        <i/>
        <sz val="10"/>
        <rFont val="Calibri"/>
        <family val="2"/>
      </rPr>
      <t xml:space="preserve"> FOR SAME CLASS</t>
    </r>
  </si>
  <si>
    <t>709 SAR</t>
  </si>
  <si>
    <t>Cabin: 10 KG / Check-in: 2 x 40 KG</t>
  </si>
  <si>
    <t>1,499 SAR</t>
  </si>
  <si>
    <t>flynas</t>
  </si>
  <si>
    <t>XY-576</t>
  </si>
  <si>
    <t>Cabin: 7 KG / Check-in: 20 KG</t>
  </si>
  <si>
    <r>
      <rPr>
        <b/>
        <i/>
        <sz val="13"/>
        <color rgb="FFBC0000"/>
        <rFont val="Calibri"/>
        <family val="2"/>
      </rPr>
      <t>6</t>
    </r>
    <r>
      <rPr>
        <b/>
        <i/>
        <sz val="10"/>
        <color rgb="FFBC0000"/>
        <rFont val="Calibri"/>
        <family val="2"/>
      </rPr>
      <t xml:space="preserve"> FOR SAME CLASS</t>
    </r>
  </si>
  <si>
    <t>609 SAR</t>
  </si>
  <si>
    <t>Cabin: 7 KG / Check-in: 30 KG</t>
  </si>
  <si>
    <r>
      <rPr>
        <i/>
        <sz val="13"/>
        <rFont val="Calibri"/>
        <family val="2"/>
      </rPr>
      <t>6</t>
    </r>
    <r>
      <rPr>
        <i/>
        <sz val="10"/>
        <rFont val="Calibri"/>
        <family val="2"/>
      </rPr>
      <t xml:space="preserve"> FOR SAME CLASS</t>
    </r>
  </si>
  <si>
    <t>Cabin: 7 KG / Check-in: 2 x 40 KG</t>
  </si>
  <si>
    <t>799 SAR</t>
  </si>
  <si>
    <t>XY-793</t>
  </si>
  <si>
    <r>
      <rPr>
        <b/>
        <i/>
        <sz val="13"/>
        <rFont val="Calibri"/>
        <family val="2"/>
      </rPr>
      <t>9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</si>
  <si>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9</t>
    </r>
    <r>
      <rPr>
        <i/>
        <sz val="10"/>
        <rFont val="Calibri"/>
        <family val="2"/>
      </rPr>
      <t xml:space="preserve"> FOR SAME CLASS</t>
    </r>
  </si>
  <si>
    <t>EgyptAir</t>
  </si>
  <si>
    <t>MS-676</t>
  </si>
  <si>
    <t>Cabin: 7 KG | Check-in: 2 PIECE</t>
  </si>
  <si>
    <r>
      <rPr>
        <b/>
        <i/>
        <sz val="13"/>
        <color rgb="FFBC0000"/>
        <rFont val="Calibri"/>
        <family val="2"/>
      </rPr>
      <t>+9</t>
    </r>
    <r>
      <rPr>
        <b/>
        <i/>
        <sz val="10"/>
        <color rgb="FFBC0000"/>
        <rFont val="Calibri"/>
        <family val="2"/>
      </rPr>
      <t xml:space="preserve"> FOR SAME CLASS</t>
    </r>
  </si>
  <si>
    <t>866 SAR</t>
  </si>
  <si>
    <t>MS-640</t>
  </si>
  <si>
    <r>
      <rPr>
        <b/>
        <i/>
        <sz val="13"/>
        <rFont val="Calibri"/>
        <family val="2"/>
      </rPr>
      <t>2</t>
    </r>
    <r>
      <rPr>
        <b/>
        <i/>
        <sz val="10"/>
        <rFont val="Calibri"/>
        <family val="2"/>
      </rPr>
      <t xml:space="preserve"> FOR SAME CLASS</t>
    </r>
  </si>
  <si>
    <t>1,654 SAR</t>
  </si>
  <si>
    <t>Saudia</t>
  </si>
  <si>
    <t>SV-391</t>
  </si>
  <si>
    <t>Cabin: 7 KG / Check-in: 23 KG</t>
  </si>
  <si>
    <r>
      <rPr>
        <b/>
        <i/>
        <sz val="13"/>
        <color rgb="FFBC0000"/>
        <rFont val="Calibri"/>
        <family val="2"/>
      </rPr>
      <t>1</t>
    </r>
    <r>
      <rPr>
        <b/>
        <i/>
        <sz val="10"/>
        <color rgb="FFBC0000"/>
        <rFont val="Calibri"/>
        <family val="2"/>
      </rPr>
      <t xml:space="preserve"> FOR SAME CLASS</t>
    </r>
  </si>
  <si>
    <t>1,385 SAR</t>
  </si>
  <si>
    <t>Cabin: 7 KG / Check-in: 2 x 46 KG</t>
  </si>
  <si>
    <r>
      <rPr>
        <i/>
        <sz val="13"/>
        <rFont val="Calibri"/>
        <family val="2"/>
      </rPr>
      <t>1</t>
    </r>
    <r>
      <rPr>
        <i/>
        <sz val="10"/>
        <rFont val="Calibri"/>
        <family val="2"/>
      </rPr>
      <t xml:space="preserve"> FOR SAME CLASS</t>
    </r>
  </si>
  <si>
    <t>1,525 SAR</t>
  </si>
  <si>
    <t>SV-6903</t>
  </si>
  <si>
    <r>
      <rPr>
        <b/>
        <i/>
        <sz val="13"/>
        <rFont val="Calibri"/>
        <family val="2"/>
      </rPr>
      <t>4</t>
    </r>
    <r>
      <rPr>
        <b/>
        <i/>
        <sz val="10"/>
        <rFont val="Calibri"/>
        <family val="2"/>
      </rPr>
      <t xml:space="preserve"> FOR SAME CLASS</t>
    </r>
  </si>
  <si>
    <t>1,945 SAR</t>
  </si>
  <si>
    <t>SV-319</t>
  </si>
  <si>
    <t>2,165 SAR</t>
  </si>
  <si>
    <r>
      <rPr>
        <i/>
        <sz val="13"/>
        <rFont val="Calibri"/>
        <family val="2"/>
      </rPr>
      <t>2</t>
    </r>
    <r>
      <rPr>
        <i/>
        <sz val="10"/>
        <rFont val="Calibri"/>
        <family val="2"/>
      </rPr>
      <t xml:space="preserve"> FOR SAME CLASS</t>
    </r>
  </si>
  <si>
    <t>2,305 SAR</t>
  </si>
  <si>
    <t>SV-381</t>
  </si>
  <si>
    <r>
      <rPr>
        <b/>
        <i/>
        <sz val="13"/>
        <rFont val="Calibri"/>
        <family val="2"/>
      </rPr>
      <t>1</t>
    </r>
    <r>
      <rPr>
        <b/>
        <i/>
        <sz val="10"/>
        <rFont val="Calibri"/>
        <family val="2"/>
      </rPr>
      <t xml:space="preserve"> FOR SAME CLASS</t>
    </r>
  </si>
  <si>
    <t>Air Cairo</t>
  </si>
  <si>
    <t>SM494</t>
  </si>
  <si>
    <t>30KG + 7KG CABIN</t>
  </si>
  <si>
    <t>FULLY BOOKED</t>
  </si>
  <si>
    <t>CLOSED</t>
  </si>
  <si>
    <t>Q4 &amp; T3 &amp; X5 &amp; U9 &amp; O7 &amp; I17 &amp; P130 &amp; N4</t>
  </si>
  <si>
    <r>
      <rPr>
        <b/>
        <i/>
        <sz val="13"/>
        <color rgb="FFBC0000"/>
        <rFont val="Calibri"/>
        <family val="2"/>
      </rPr>
      <t>18</t>
    </r>
    <r>
      <rPr>
        <b/>
        <i/>
        <sz val="10"/>
        <color rgb="FFBC000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</si>
  <si>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18</t>
    </r>
    <r>
      <rPr>
        <i/>
        <sz val="10"/>
        <rFont val="Calibri"/>
        <family val="2"/>
      </rPr>
      <t xml:space="preserve"> FOR SAME CLASS</t>
    </r>
  </si>
  <si>
    <t>1,099 SAR</t>
  </si>
  <si>
    <r>
      <rPr>
        <b/>
        <i/>
        <sz val="13"/>
        <color rgb="FFBC0000"/>
        <rFont val="Calibri"/>
        <family val="2"/>
      </rPr>
      <t>8</t>
    </r>
    <r>
      <rPr>
        <b/>
        <i/>
        <sz val="10"/>
        <color rgb="FFBC000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</si>
  <si>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8</t>
    </r>
    <r>
      <rPr>
        <i/>
        <sz val="10"/>
        <rFont val="Calibri"/>
        <family val="2"/>
      </rPr>
      <t xml:space="preserve"> FOR SAME CLASS</t>
    </r>
  </si>
  <si>
    <t>659 SAR</t>
  </si>
  <si>
    <t>749 SAR</t>
  </si>
  <si>
    <r>
      <rPr>
        <b/>
        <i/>
        <sz val="13"/>
        <color rgb="FFBC0000"/>
        <rFont val="Calibri"/>
        <family val="2"/>
      </rPr>
      <t>4</t>
    </r>
    <r>
      <rPr>
        <b/>
        <i/>
        <sz val="10"/>
        <color rgb="FFBC0000"/>
        <rFont val="Calibri"/>
        <family val="2"/>
      </rPr>
      <t xml:space="preserve"> FOR SAME CLASS</t>
    </r>
  </si>
  <si>
    <t>MS-696</t>
  </si>
  <si>
    <r>
      <rPr>
        <b/>
        <i/>
        <sz val="13"/>
        <rFont val="Calibri"/>
        <family val="2"/>
      </rPr>
      <t>5</t>
    </r>
    <r>
      <rPr>
        <b/>
        <i/>
        <sz val="10"/>
        <rFont val="Calibri"/>
        <family val="2"/>
      </rPr>
      <t xml:space="preserve"> FOR SAME CLASS</t>
    </r>
  </si>
  <si>
    <t>MS-694</t>
  </si>
  <si>
    <t>1,121 SAR</t>
  </si>
  <si>
    <t>1,651 SAR</t>
  </si>
  <si>
    <r>
      <rPr>
        <b/>
        <i/>
        <sz val="13"/>
        <rFont val="Calibri"/>
        <family val="2"/>
      </rPr>
      <t>+9</t>
    </r>
    <r>
      <rPr>
        <b/>
        <i/>
        <sz val="10"/>
        <rFont val="Calibri"/>
        <family val="2"/>
      </rPr>
      <t xml:space="preserve"> FOR SAME CLASS</t>
    </r>
  </si>
  <si>
    <t>1,868 SAR</t>
  </si>
  <si>
    <r>
      <rPr>
        <i/>
        <sz val="13"/>
        <rFont val="Calibri"/>
        <family val="2"/>
      </rPr>
      <t>+9</t>
    </r>
    <r>
      <rPr>
        <i/>
        <sz val="10"/>
        <rFont val="Calibri"/>
        <family val="2"/>
      </rPr>
      <t xml:space="preserve"> FOR SAME CLASS</t>
    </r>
  </si>
  <si>
    <t>2,009 SAR</t>
  </si>
  <si>
    <t>K6 &amp; G10 &amp; S21 &amp; T5 &amp; X11 &amp; U8 &amp; O9 &amp; I17 &amp; P86 &amp; N6</t>
  </si>
  <si>
    <r>
      <rPr>
        <b/>
        <i/>
        <sz val="13"/>
        <color rgb="FFBC0000"/>
        <rFont val="Calibri"/>
        <family val="2"/>
      </rPr>
      <t>9</t>
    </r>
    <r>
      <rPr>
        <b/>
        <i/>
        <sz val="10"/>
        <color rgb="FFBC0000"/>
        <rFont val="Calibri"/>
        <family val="2"/>
      </rPr>
      <t xml:space="preserve"> FOR SAME CLASS</t>
    </r>
  </si>
  <si>
    <t>939 SAR</t>
  </si>
  <si>
    <t>1,039 SAR</t>
  </si>
  <si>
    <t>1,129 SAR</t>
  </si>
  <si>
    <r>
      <rPr>
        <b/>
        <i/>
        <sz val="13"/>
        <color rgb="FFBC0000"/>
        <rFont val="Calibri"/>
        <family val="2"/>
      </rPr>
      <t>10</t>
    </r>
    <r>
      <rPr>
        <b/>
        <i/>
        <sz val="10"/>
        <color rgb="FFBC0000"/>
        <rFont val="Calibri"/>
        <family val="2"/>
      </rPr>
      <t xml:space="preserve"> FOR SAME CLASS</t>
    </r>
  </si>
  <si>
    <t>619 SAR</t>
  </si>
  <si>
    <r>
      <rPr>
        <i/>
        <sz val="13"/>
        <rFont val="Calibri"/>
        <family val="2"/>
      </rPr>
      <t>10</t>
    </r>
    <r>
      <rPr>
        <i/>
        <sz val="10"/>
        <rFont val="Calibri"/>
        <family val="2"/>
      </rPr>
      <t xml:space="preserve"> FOR SAME CLASS</t>
    </r>
  </si>
  <si>
    <t>769 SAR</t>
  </si>
  <si>
    <t>757 SAR</t>
  </si>
  <si>
    <r>
      <rPr>
        <b/>
        <i/>
        <sz val="13"/>
        <color rgb="FFBC0000"/>
        <rFont val="Calibri"/>
        <family val="2"/>
      </rPr>
      <t>2</t>
    </r>
    <r>
      <rPr>
        <b/>
        <i/>
        <sz val="10"/>
        <color rgb="FFBC0000"/>
        <rFont val="Calibri"/>
        <family val="2"/>
      </rPr>
      <t xml:space="preserve"> FOR SAME CLASS</t>
    </r>
  </si>
  <si>
    <t>639 SAR</t>
  </si>
  <si>
    <t>739 SAR</t>
  </si>
  <si>
    <t>829 SAR</t>
  </si>
  <si>
    <t>SM-488</t>
  </si>
  <si>
    <t>Cabin: 7 KG | Check-in: 40 KG</t>
  </si>
  <si>
    <t>758 SAR</t>
  </si>
  <si>
    <t>SM488</t>
  </si>
  <si>
    <t>G9</t>
  </si>
  <si>
    <t>L5 &amp; G11 &amp; S10 &amp; W10 &amp; T10 &amp; X10 &amp; U10 &amp; O10 &amp; I10</t>
  </si>
  <si>
    <t>SM-496</t>
  </si>
  <si>
    <r>
      <rPr>
        <b/>
        <i/>
        <sz val="13"/>
        <rFont val="Calibri"/>
        <family val="2"/>
      </rPr>
      <t>8</t>
    </r>
    <r>
      <rPr>
        <b/>
        <i/>
        <sz val="10"/>
        <rFont val="Calibri"/>
        <family val="2"/>
      </rPr>
      <t xml:space="preserve"> FOR SAME CLASS</t>
    </r>
  </si>
  <si>
    <t>914 SAR</t>
  </si>
  <si>
    <t>SM496</t>
  </si>
  <si>
    <t>V8</t>
  </si>
  <si>
    <t>L1 &amp; I4 &amp; E44 &amp; P114</t>
  </si>
  <si>
    <t>Q2 &amp; K5 &amp; V4 &amp; S11 &amp; X3 &amp; U5 &amp; O9 &amp; I17 &amp; P123</t>
  </si>
  <si>
    <t>962 SAR</t>
  </si>
  <si>
    <t>MS-678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</si>
  <si>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</si>
  <si>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</si>
  <si>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</si>
  <si>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</si>
  <si>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</si>
  <si>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</si>
  <si>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</si>
  <si>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</si>
  <si>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</si>
  <si>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</si>
  <si>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</si>
  <si>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</si>
  <si>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</si>
  <si>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</si>
  <si>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</si>
  <si>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</si>
  <si>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</si>
  <si>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</si>
  <si>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</si>
  <si>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</si>
  <si>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</si>
  <si>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</si>
  <si>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</si>
  <si>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</si>
  <si>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</si>
  <si>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</si>
  <si>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</si>
  <si>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</si>
  <si>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</si>
  <si>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</si>
  <si>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09:30</t>
  </si>
  <si>
    <t>320</t>
  </si>
  <si>
    <t>UPCOMING</t>
  </si>
  <si>
    <t>Q4</t>
  </si>
  <si>
    <t>T3</t>
  </si>
  <si>
    <t>X5</t>
  </si>
  <si>
    <t>U9</t>
  </si>
  <si>
    <t>O7</t>
  </si>
  <si>
    <t>I17</t>
  </si>
  <si>
    <t>P130</t>
  </si>
  <si>
    <t>N4</t>
  </si>
  <si>
    <t>SUNDAY</t>
  </si>
  <si>
    <t>21:40</t>
  </si>
  <si>
    <t>K6</t>
  </si>
  <si>
    <t>G10</t>
  </si>
  <si>
    <t>S21</t>
  </si>
  <si>
    <t>T5</t>
  </si>
  <si>
    <t>X11</t>
  </si>
  <si>
    <t>U8</t>
  </si>
  <si>
    <t>O9</t>
  </si>
  <si>
    <t>P86</t>
  </si>
  <si>
    <t>N6</t>
  </si>
  <si>
    <t>TUESDAY</t>
  </si>
  <si>
    <t>01:10</t>
  </si>
  <si>
    <t>L1</t>
  </si>
  <si>
    <t>I4</t>
  </si>
  <si>
    <t>E44</t>
  </si>
  <si>
    <t>P114</t>
  </si>
  <si>
    <t>06:40</t>
  </si>
  <si>
    <t>L5</t>
  </si>
  <si>
    <t>G11</t>
  </si>
  <si>
    <t>S10</t>
  </si>
  <si>
    <t>W10</t>
  </si>
  <si>
    <t>T10</t>
  </si>
  <si>
    <t>X10</t>
  </si>
  <si>
    <t>U10</t>
  </si>
  <si>
    <t>O10</t>
  </si>
  <si>
    <t>I10</t>
  </si>
  <si>
    <t>23:30</t>
  </si>
  <si>
    <t>Q2</t>
  </si>
  <si>
    <t>K5</t>
  </si>
  <si>
    <t>V4</t>
  </si>
  <si>
    <t>S11</t>
  </si>
  <si>
    <t>X3</t>
  </si>
  <si>
    <t>U5</t>
  </si>
  <si>
    <t>P123</t>
  </si>
  <si>
    <t>DATE</t>
  </si>
  <si>
    <t>ROUTE</t>
  </si>
  <si>
    <t>2025-11-22</t>
  </si>
  <si>
    <t>10:05</t>
  </si>
  <si>
    <t>18:10</t>
  </si>
  <si>
    <t>08:30</t>
  </si>
  <si>
    <t>02:20</t>
  </si>
  <si>
    <t>02:05</t>
  </si>
  <si>
    <t>11:50</t>
  </si>
  <si>
    <t>14:30</t>
  </si>
  <si>
    <t>19:05</t>
  </si>
  <si>
    <t>THREAT STATUS</t>
  </si>
  <si>
    <t>-</t>
  </si>
  <si>
    <t>6 FOR SAME CLASS</t>
  </si>
  <si>
    <t>CLOSE</t>
  </si>
  <si>
    <t>9 FOR SAME CLASS</t>
  </si>
  <si>
    <t>2025-11-23</t>
  </si>
  <si>
    <t>8 FOR SAME CLASS</t>
  </si>
  <si>
    <t>AHEAD</t>
  </si>
  <si>
    <t>2025-11-24</t>
  </si>
  <si>
    <t>2025-11-25</t>
  </si>
  <si>
    <t>+9 FOR SAME CLASS</t>
  </si>
  <si>
    <t>2 FOR SAME CLASS</t>
  </si>
  <si>
    <t>THREAT</t>
  </si>
  <si>
    <t>JED-CAI</t>
  </si>
  <si>
    <t>F3-755</t>
  </si>
  <si>
    <r>
      <rPr>
        <b/>
        <i/>
        <sz val="13"/>
        <color rgb="FFBC0000"/>
        <rFont val="Calibri"/>
        <family val="2"/>
      </rPr>
      <t>5</t>
    </r>
    <r>
      <rPr>
        <b/>
        <i/>
        <sz val="10"/>
        <color rgb="FFBC000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</si>
  <si>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5</t>
    </r>
    <r>
      <rPr>
        <i/>
        <sz val="10"/>
        <rFont val="Calibri"/>
        <family val="2"/>
      </rPr>
      <t xml:space="preserve"> FOR SAME CLASS</t>
    </r>
  </si>
  <si>
    <t>789 SAR</t>
  </si>
  <si>
    <t>F3-761</t>
  </si>
  <si>
    <t>F3-763</t>
  </si>
  <si>
    <r>
      <rPr>
        <b/>
        <i/>
        <sz val="13"/>
        <rFont val="Calibri"/>
        <family val="2"/>
      </rPr>
      <t>21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</si>
  <si>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21</t>
    </r>
    <r>
      <rPr>
        <i/>
        <sz val="10"/>
        <rFont val="Calibri"/>
        <family val="2"/>
      </rPr>
      <t xml:space="preserve"> FOR SAME CLASS</t>
    </r>
  </si>
  <si>
    <t>F3-753</t>
  </si>
  <si>
    <t>689 SAR</t>
  </si>
  <si>
    <t>839 SAR</t>
  </si>
  <si>
    <t>XY-565</t>
  </si>
  <si>
    <t>669 SAR</t>
  </si>
  <si>
    <r>
      <rPr>
        <i/>
        <sz val="13"/>
        <rFont val="Calibri"/>
        <family val="2"/>
      </rPr>
      <t>4</t>
    </r>
    <r>
      <rPr>
        <i/>
        <sz val="10"/>
        <rFont val="Calibri"/>
        <family val="2"/>
      </rPr>
      <t xml:space="preserve"> FOR SAME CLASS</t>
    </r>
  </si>
  <si>
    <t>859 SAR</t>
  </si>
  <si>
    <t>XY-567</t>
  </si>
  <si>
    <t>XY-571</t>
  </si>
  <si>
    <r>
      <rPr>
        <b/>
        <i/>
        <sz val="13"/>
        <rFont val="Calibri"/>
        <family val="2"/>
      </rPr>
      <t>3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</si>
  <si>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3</t>
    </r>
    <r>
      <rPr>
        <i/>
        <sz val="10"/>
        <rFont val="Calibri"/>
        <family val="2"/>
      </rPr>
      <t xml:space="preserve"> FOR SAME CLASS</t>
    </r>
  </si>
  <si>
    <t>XY-573</t>
  </si>
  <si>
    <t>XY-589</t>
  </si>
  <si>
    <t>XY-569</t>
  </si>
  <si>
    <t>719 SAR</t>
  </si>
  <si>
    <t>819 SAR</t>
  </si>
  <si>
    <t>909 SAR</t>
  </si>
  <si>
    <t>XY-577</t>
  </si>
  <si>
    <t>Air Arabia Egypt</t>
  </si>
  <si>
    <t>E5-362</t>
  </si>
  <si>
    <t>Cabin: 10 KG / Check-in: 30 KG</t>
  </si>
  <si>
    <t>671 SAR</t>
  </si>
  <si>
    <t>794 SAR</t>
  </si>
  <si>
    <t>E5-328</t>
  </si>
  <si>
    <t>736 SAR</t>
  </si>
  <si>
    <t>860 SAR</t>
  </si>
  <si>
    <t>Nile Air</t>
  </si>
  <si>
    <t>NP-128</t>
  </si>
  <si>
    <t>Cabin: 7 KG | Check-in: 30 KG</t>
  </si>
  <si>
    <t>691 SAR</t>
  </si>
  <si>
    <t>Nesma Airlines</t>
  </si>
  <si>
    <t>NE-171</t>
  </si>
  <si>
    <t>835 SAR</t>
  </si>
  <si>
    <t>SM-450</t>
  </si>
  <si>
    <r>
      <rPr>
        <b/>
        <i/>
        <sz val="13"/>
        <color rgb="FFBC0000"/>
        <rFont val="Calibri"/>
        <family val="2"/>
      </rPr>
      <t>3</t>
    </r>
    <r>
      <rPr>
        <b/>
        <i/>
        <sz val="10"/>
        <color rgb="FFBC0000"/>
        <rFont val="Calibri"/>
        <family val="2"/>
      </rPr>
      <t xml:space="preserve"> FOR SAME CLASS</t>
    </r>
  </si>
  <si>
    <t>952 SAR</t>
  </si>
  <si>
    <t>SM450</t>
  </si>
  <si>
    <t>V1</t>
  </si>
  <si>
    <t>V6 &amp; G16 &amp; S17 &amp; W21 &amp; T10 &amp; X9 &amp; U17 &amp; O16 &amp; I16 &amp; P50</t>
  </si>
  <si>
    <t>SM-478</t>
  </si>
  <si>
    <t>1,066 SAR</t>
  </si>
  <si>
    <t>SM478</t>
  </si>
  <si>
    <t>K1</t>
  </si>
  <si>
    <t>K3 &amp; G3 &amp; S3 &amp; W4 &amp; T10 &amp; X12 &amp; U5 &amp; O6 &amp; I4 &amp; E45 &amp; P82 &amp; N1</t>
  </si>
  <si>
    <t>SM476</t>
  </si>
  <si>
    <t>K5 &amp; L6 &amp; S24 &amp; W5 &amp; P135 &amp; N4</t>
  </si>
  <si>
    <t>SV-301</t>
  </si>
  <si>
    <t>1,193 SAR</t>
  </si>
  <si>
    <t>1,326 SAR</t>
  </si>
  <si>
    <t>SV-303</t>
  </si>
  <si>
    <t>SV-309</t>
  </si>
  <si>
    <t>SV-383</t>
  </si>
  <si>
    <t>SV-387</t>
  </si>
  <si>
    <t>SV-335</t>
  </si>
  <si>
    <t>1,586 SAR</t>
  </si>
  <si>
    <t>1,719 SAR</t>
  </si>
  <si>
    <t>SV-6664</t>
  </si>
  <si>
    <t>1,721 SAR</t>
  </si>
  <si>
    <t>SV-305</t>
  </si>
  <si>
    <t>1,828 SAR</t>
  </si>
  <si>
    <t>1,961 SAR</t>
  </si>
  <si>
    <t>SV-389</t>
  </si>
  <si>
    <t>SV-6891</t>
  </si>
  <si>
    <t>1,944 SAR</t>
  </si>
  <si>
    <t>SV-6893</t>
  </si>
  <si>
    <t>SV-6895</t>
  </si>
  <si>
    <t>MS-666</t>
  </si>
  <si>
    <t>1,260 SAR</t>
  </si>
  <si>
    <t>MS-674</t>
  </si>
  <si>
    <t>MS-644</t>
  </si>
  <si>
    <t>1,264 SAR</t>
  </si>
  <si>
    <t>MS-662</t>
  </si>
  <si>
    <t>1,642 SAR</t>
  </si>
  <si>
    <t>MS-664</t>
  </si>
  <si>
    <t>MS-668</t>
  </si>
  <si>
    <t>MS-670</t>
  </si>
  <si>
    <t>MS-672</t>
  </si>
  <si>
    <t>1,844 SAR</t>
  </si>
  <si>
    <r>
      <rPr>
        <b/>
        <i/>
        <sz val="13"/>
        <color rgb="FFBC0000"/>
        <rFont val="Calibri"/>
        <family val="2"/>
      </rPr>
      <t>7</t>
    </r>
    <r>
      <rPr>
        <b/>
        <i/>
        <sz val="10"/>
        <color rgb="FFBC0000"/>
        <rFont val="Calibri"/>
        <family val="2"/>
      </rPr>
      <t xml:space="preserve"> FOR SAME CLASS</t>
    </r>
  </si>
  <si>
    <t>539 SAR</t>
  </si>
  <si>
    <r>
      <rPr>
        <i/>
        <sz val="13"/>
        <rFont val="Calibri"/>
        <family val="2"/>
      </rPr>
      <t>7</t>
    </r>
    <r>
      <rPr>
        <i/>
        <sz val="10"/>
        <rFont val="Calibri"/>
        <family val="2"/>
      </rPr>
      <t xml:space="preserve"> FOR SAME CLASS</t>
    </r>
  </si>
  <si>
    <r>
      <rPr>
        <b/>
        <i/>
        <sz val="13"/>
        <rFont val="Calibri"/>
        <family val="2"/>
      </rPr>
      <t>10</t>
    </r>
    <r>
      <rPr>
        <b/>
        <i/>
        <sz val="10"/>
        <rFont val="Calibri"/>
        <family val="2"/>
      </rPr>
      <t xml:space="preserve"> FOR SAME CLASS</t>
    </r>
  </si>
  <si>
    <t>589 SAR</t>
  </si>
  <si>
    <r>
      <rPr>
        <b/>
        <i/>
        <sz val="13"/>
        <rFont val="Calibri"/>
        <family val="2"/>
      </rPr>
      <t>11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</si>
  <si>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11</t>
    </r>
    <r>
      <rPr>
        <i/>
        <sz val="10"/>
        <rFont val="Calibri"/>
        <family val="2"/>
      </rPr>
      <t xml:space="preserve"> FOR SAME CLASS</t>
    </r>
  </si>
  <si>
    <t>549 SAR</t>
  </si>
  <si>
    <t>649 SAR</t>
  </si>
  <si>
    <t>779 SAR</t>
  </si>
  <si>
    <t>XY-583</t>
  </si>
  <si>
    <t>595 SAR</t>
  </si>
  <si>
    <t>NE-177</t>
  </si>
  <si>
    <t>645 SAR</t>
  </si>
  <si>
    <t>599 SAR</t>
  </si>
  <si>
    <t>NP-228</t>
  </si>
  <si>
    <t>617 SAR</t>
  </si>
  <si>
    <t>740 SAR</t>
  </si>
  <si>
    <t>SM-424</t>
  </si>
  <si>
    <t>646 SAR</t>
  </si>
  <si>
    <t>SM424</t>
  </si>
  <si>
    <t>W9</t>
  </si>
  <si>
    <t>S19 &amp; W17 &amp; T33 &amp; X4 &amp; U5 &amp; O4 &amp; I4 &amp; P28 &amp; N2</t>
  </si>
  <si>
    <t>SM-432</t>
  </si>
  <si>
    <t>SM432</t>
  </si>
  <si>
    <t>G1 &amp; S10 &amp; W23 &amp; T18 &amp; X9 &amp; U20 &amp; O4 &amp; I5 &amp; P62</t>
  </si>
  <si>
    <t>SM-476</t>
  </si>
  <si>
    <t>G5 &amp; S32 &amp; W23 &amp; T16 &amp; X9 &amp; U5 &amp; O5 &amp; I5</t>
  </si>
  <si>
    <t>SM-460</t>
  </si>
  <si>
    <r>
      <rPr>
        <b/>
        <i/>
        <sz val="13"/>
        <rFont val="Calibri"/>
        <family val="2"/>
      </rPr>
      <t>7</t>
    </r>
    <r>
      <rPr>
        <b/>
        <i/>
        <sz val="10"/>
        <rFont val="Calibri"/>
        <family val="2"/>
      </rPr>
      <t xml:space="preserve"> FOR SAME CLASS</t>
    </r>
  </si>
  <si>
    <t>781 SAR</t>
  </si>
  <si>
    <t>SM460</t>
  </si>
  <si>
    <t>G7</t>
  </si>
  <si>
    <t>L8 &amp; G1 &amp; S13 &amp; U3 &amp; O5 &amp; I7 &amp; P129</t>
  </si>
  <si>
    <t>L1 &amp; G4 &amp; S11 &amp; T7 &amp; X12 &amp; U5 &amp; O5 &amp; I7 &amp; P129</t>
  </si>
  <si>
    <t>1,276 SAR</t>
  </si>
  <si>
    <t>1,321 SAR</t>
  </si>
  <si>
    <r>
      <rPr>
        <b/>
        <i/>
        <sz val="13"/>
        <rFont val="Calibri"/>
        <family val="2"/>
      </rPr>
      <t>6</t>
    </r>
    <r>
      <rPr>
        <b/>
        <i/>
        <sz val="10"/>
        <rFont val="Calibri"/>
        <family val="2"/>
      </rPr>
      <t xml:space="preserve"> FOR SAME CLASS</t>
    </r>
  </si>
  <si>
    <t>1,524 SAR</t>
  </si>
  <si>
    <t>1,728 SAR</t>
  </si>
  <si>
    <t>1,773 SAR</t>
  </si>
  <si>
    <t>Cabin: 7 KG | Check-in: 1 PIECE</t>
  </si>
  <si>
    <t>2,005 SAR</t>
  </si>
  <si>
    <t>2,050 SAR</t>
  </si>
  <si>
    <t>401 SAR</t>
  </si>
  <si>
    <t>459 SAR</t>
  </si>
  <si>
    <t>499 SAR</t>
  </si>
  <si>
    <t>503 SAR</t>
  </si>
  <si>
    <t>537 SAR</t>
  </si>
  <si>
    <t>615 SAR</t>
  </si>
  <si>
    <t>765 SAR</t>
  </si>
  <si>
    <t>970 SAR</t>
  </si>
  <si>
    <t>509 SAR</t>
  </si>
  <si>
    <t>699 SAR</t>
  </si>
  <si>
    <t>Cabin: 7 KG | Check-in: 20 KG</t>
  </si>
  <si>
    <t>526 SAR</t>
  </si>
  <si>
    <t>X6</t>
  </si>
  <si>
    <t>L1 &amp; S5 &amp; W1 &amp; T3 &amp; X34 &amp; U10 &amp; O10 &amp; I5 &amp; P93</t>
  </si>
  <si>
    <t>SM-480</t>
  </si>
  <si>
    <t>SM480</t>
  </si>
  <si>
    <t>X9</t>
  </si>
  <si>
    <t>S3 &amp; T5 &amp; X24 &amp; U25 &amp; O10 &amp; I10</t>
  </si>
  <si>
    <t>586 SAR</t>
  </si>
  <si>
    <t>S1 &amp; T4 &amp; X17 &amp; U10 &amp; O10 &amp; I15 &amp; P108</t>
  </si>
  <si>
    <t>S3 &amp; T9 &amp; X10 &amp; U17 &amp; O30 &amp; I11 &amp; P84 &amp; N4</t>
  </si>
  <si>
    <t>576 SAR</t>
  </si>
  <si>
    <t>600 SAR</t>
  </si>
  <si>
    <t>723 SAR</t>
  </si>
  <si>
    <t>NE-173</t>
  </si>
  <si>
    <t>935 SAR</t>
  </si>
  <si>
    <t>980 SAR</t>
  </si>
  <si>
    <t>1,349 SAR</t>
  </si>
  <si>
    <t>1,486 SAR</t>
  </si>
  <si>
    <t>1,531 SAR</t>
  </si>
  <si>
    <t>NP-328</t>
  </si>
  <si>
    <t>419 SAR</t>
  </si>
  <si>
    <t>569 SAR</t>
  </si>
  <si>
    <t>436 SAR</t>
  </si>
  <si>
    <t>S2 &amp; X4 &amp; U5 &amp; O10 &amp; I15 &amp; P86</t>
  </si>
  <si>
    <t>SM-472</t>
  </si>
  <si>
    <t>SM472</t>
  </si>
  <si>
    <t>S8 &amp; X3 &amp; U10 &amp; O13 &amp; I30</t>
  </si>
  <si>
    <t>X1 &amp; U10 &amp; O18 &amp; I30 &amp; P46</t>
  </si>
  <si>
    <t>S5 &amp; X7 &amp; U13 &amp; O26 &amp; I15 &amp; P82</t>
  </si>
  <si>
    <t>471 SAR</t>
  </si>
  <si>
    <t>U1</t>
  </si>
  <si>
    <t>S1 &amp; W2 &amp; X4 &amp; U16 &amp; O15 &amp; I9 &amp; P116</t>
  </si>
  <si>
    <t>S2 &amp; X1 &amp; U15 &amp; O15 &amp; I15 &amp; P117 &amp; N3</t>
  </si>
  <si>
    <t>449 SAR</t>
  </si>
  <si>
    <t>489 SAR</t>
  </si>
  <si>
    <t>679 SAR</t>
  </si>
  <si>
    <t>536 SAR</t>
  </si>
  <si>
    <t>660 SAR</t>
  </si>
  <si>
    <t>1,093 SAR</t>
  </si>
  <si>
    <t>1,138 SAR</t>
  </si>
  <si>
    <t>1,080 SAR</t>
  </si>
  <si>
    <t>1,407 SAR</t>
  </si>
  <si>
    <t>05:40</t>
  </si>
  <si>
    <t>V6</t>
  </si>
  <si>
    <t>G16</t>
  </si>
  <si>
    <t>S17</t>
  </si>
  <si>
    <t>W21</t>
  </si>
  <si>
    <t>U17</t>
  </si>
  <si>
    <t>O16</t>
  </si>
  <si>
    <t>I16</t>
  </si>
  <si>
    <t>P50</t>
  </si>
  <si>
    <t>08:00</t>
  </si>
  <si>
    <t>L6</t>
  </si>
  <si>
    <t>S24</t>
  </si>
  <si>
    <t>W5</t>
  </si>
  <si>
    <t>P135</t>
  </si>
  <si>
    <t>16:20</t>
  </si>
  <si>
    <t>K3</t>
  </si>
  <si>
    <t>G3</t>
  </si>
  <si>
    <t>S3</t>
  </si>
  <si>
    <t>W4</t>
  </si>
  <si>
    <t>X12</t>
  </si>
  <si>
    <t>O6</t>
  </si>
  <si>
    <t>E45</t>
  </si>
  <si>
    <t>P82</t>
  </si>
  <si>
    <t>N1</t>
  </si>
  <si>
    <t>02:00</t>
  </si>
  <si>
    <t>S19</t>
  </si>
  <si>
    <t>W17</t>
  </si>
  <si>
    <t>T33</t>
  </si>
  <si>
    <t>X4</t>
  </si>
  <si>
    <t>O4</t>
  </si>
  <si>
    <t>P28</t>
  </si>
  <si>
    <t>N2</t>
  </si>
  <si>
    <t>07:40</t>
  </si>
  <si>
    <t>G5</t>
  </si>
  <si>
    <t>S32</t>
  </si>
  <si>
    <t>W23</t>
  </si>
  <si>
    <t>T16</t>
  </si>
  <si>
    <t>O5</t>
  </si>
  <si>
    <t>I5</t>
  </si>
  <si>
    <t>G1</t>
  </si>
  <si>
    <t>T18</t>
  </si>
  <si>
    <t>U20</t>
  </si>
  <si>
    <t>P62</t>
  </si>
  <si>
    <t>12:15</t>
  </si>
  <si>
    <t>L8</t>
  </si>
  <si>
    <t>S13</t>
  </si>
  <si>
    <t>U3</t>
  </si>
  <si>
    <t>I7</t>
  </si>
  <si>
    <t>P129</t>
  </si>
  <si>
    <t>15:10</t>
  </si>
  <si>
    <t>G4</t>
  </si>
  <si>
    <t>T7</t>
  </si>
  <si>
    <t>MONDAY</t>
  </si>
  <si>
    <t>00:10</t>
  </si>
  <si>
    <t>X24</t>
  </si>
  <si>
    <t>U25</t>
  </si>
  <si>
    <t>10:10</t>
  </si>
  <si>
    <t>T9</t>
  </si>
  <si>
    <t>O30</t>
  </si>
  <si>
    <t>I11</t>
  </si>
  <si>
    <t>P84</t>
  </si>
  <si>
    <t>14:45</t>
  </si>
  <si>
    <t>S5</t>
  </si>
  <si>
    <t>W1</t>
  </si>
  <si>
    <t>X34</t>
  </si>
  <si>
    <t>P93</t>
  </si>
  <si>
    <t>S1</t>
  </si>
  <si>
    <t>T4</t>
  </si>
  <si>
    <t>X17</t>
  </si>
  <si>
    <t>I15</t>
  </si>
  <si>
    <t>P108</t>
  </si>
  <si>
    <t>05:30</t>
  </si>
  <si>
    <t>S8</t>
  </si>
  <si>
    <t>O13</t>
  </si>
  <si>
    <t>I30</t>
  </si>
  <si>
    <t>13:25</t>
  </si>
  <si>
    <t>S2</t>
  </si>
  <si>
    <t>X1</t>
  </si>
  <si>
    <t>U15</t>
  </si>
  <si>
    <t>O15</t>
  </si>
  <si>
    <t>P117</t>
  </si>
  <si>
    <t>N3</t>
  </si>
  <si>
    <t>X7</t>
  </si>
  <si>
    <t>U13</t>
  </si>
  <si>
    <t>O26</t>
  </si>
  <si>
    <t>17:30</t>
  </si>
  <si>
    <t>W2</t>
  </si>
  <si>
    <t>U16</t>
  </si>
  <si>
    <t>I9</t>
  </si>
  <si>
    <t>P116</t>
  </si>
  <si>
    <t>22:25</t>
  </si>
  <si>
    <t>23:15</t>
  </si>
  <si>
    <t>O18</t>
  </si>
  <si>
    <t>P46</t>
  </si>
  <si>
    <t>03:05</t>
  </si>
  <si>
    <t>18:55</t>
  </si>
  <si>
    <t>21:20</t>
  </si>
  <si>
    <t>06:10</t>
  </si>
  <si>
    <t>12:25</t>
  </si>
  <si>
    <t>20:30</t>
  </si>
  <si>
    <t>19:10</t>
  </si>
  <si>
    <t>05:10</t>
  </si>
  <si>
    <t>07:15</t>
  </si>
  <si>
    <t>16:00</t>
  </si>
  <si>
    <t>15:50</t>
  </si>
  <si>
    <t>06:55</t>
  </si>
  <si>
    <t>06:30</t>
  </si>
  <si>
    <t>3 FOR SAME CLASS</t>
  </si>
  <si>
    <t>1 FOR SAME CLASS</t>
  </si>
  <si>
    <t>5 FOR SAME CLASS</t>
  </si>
  <si>
    <t>21 FOR SAME CLASS</t>
  </si>
  <si>
    <t>4 FOR SAME CLASS</t>
  </si>
  <si>
    <t>17:15</t>
  </si>
  <si>
    <t>03:25</t>
  </si>
  <si>
    <t>22:20</t>
  </si>
  <si>
    <t>05:50</t>
  </si>
  <si>
    <t>7 FOR SAME CLASS</t>
  </si>
  <si>
    <t>06:35</t>
  </si>
  <si>
    <t>09:20</t>
  </si>
  <si>
    <t>15:30</t>
  </si>
  <si>
    <t>11 FOR SAME CLASS</t>
  </si>
  <si>
    <t>00:20</t>
  </si>
  <si>
    <t>04:10</t>
  </si>
  <si>
    <t>09:25</t>
  </si>
  <si>
    <t>11:15</t>
  </si>
  <si>
    <t>01:05</t>
  </si>
  <si>
    <t>05:20</t>
  </si>
  <si>
    <t>09:05</t>
  </si>
  <si>
    <t>05:45</t>
  </si>
  <si>
    <t>10 FOR SAME CLASS</t>
  </si>
  <si>
    <t>19:55</t>
  </si>
  <si>
    <t>RUH-CAI</t>
  </si>
  <si>
    <t>NE-161</t>
  </si>
  <si>
    <t>500 SAR</t>
  </si>
  <si>
    <t>F3-615</t>
  </si>
  <si>
    <t>899 SAR</t>
  </si>
  <si>
    <t>F3-605</t>
  </si>
  <si>
    <t>1,299 SAR</t>
  </si>
  <si>
    <t>F3-607</t>
  </si>
  <si>
    <t>F3-611</t>
  </si>
  <si>
    <t>XY-263</t>
  </si>
  <si>
    <t>XY-265</t>
  </si>
  <si>
    <t>XY-267</t>
  </si>
  <si>
    <t>XY-269</t>
  </si>
  <si>
    <t>XY-271</t>
  </si>
  <si>
    <t>XY-273</t>
  </si>
  <si>
    <t>XY-275</t>
  </si>
  <si>
    <t>NP-354</t>
  </si>
  <si>
    <t>616 SAR</t>
  </si>
  <si>
    <t>SM-462</t>
  </si>
  <si>
    <t>864 SAR</t>
  </si>
  <si>
    <t>SM462</t>
  </si>
  <si>
    <t>S7</t>
  </si>
  <si>
    <t>K2 &amp; S1 &amp; W2 &amp; T15 &amp; X70 &amp; U12 &amp; O26 &amp; I13</t>
  </si>
  <si>
    <t>MS-648</t>
  </si>
  <si>
    <t>1,031 SAR</t>
  </si>
  <si>
    <t>MS-652</t>
  </si>
  <si>
    <t>1,315 SAR</t>
  </si>
  <si>
    <t>MS-650</t>
  </si>
  <si>
    <t>1,679 SAR</t>
  </si>
  <si>
    <t>SV-6749</t>
  </si>
  <si>
    <t>1,717 SAR</t>
  </si>
  <si>
    <t>SV-311</t>
  </si>
  <si>
    <t>1,802 SAR</t>
  </si>
  <si>
    <t>1,930 SAR</t>
  </si>
  <si>
    <t>SV-313</t>
  </si>
  <si>
    <t>SV-321</t>
  </si>
  <si>
    <t>SV-417</t>
  </si>
  <si>
    <t>SV-6595</t>
  </si>
  <si>
    <t>2,167 SAR</t>
  </si>
  <si>
    <t>SV-6676</t>
  </si>
  <si>
    <r>
      <rPr>
        <b/>
        <i/>
        <sz val="13"/>
        <color rgb="FFBC0000"/>
        <rFont val="Calibri"/>
        <family val="2"/>
      </rPr>
      <t>20</t>
    </r>
    <r>
      <rPr>
        <b/>
        <i/>
        <sz val="10"/>
        <color rgb="FFBC0000"/>
        <rFont val="Calibri"/>
        <family val="2"/>
      </rPr>
      <t xml:space="preserve"> FOR SAME CLASS</t>
    </r>
  </si>
  <si>
    <t>399 SAR</t>
  </si>
  <si>
    <r>
      <rPr>
        <i/>
        <sz val="13"/>
        <rFont val="Calibri"/>
        <family val="2"/>
      </rPr>
      <t>20</t>
    </r>
    <r>
      <rPr>
        <i/>
        <sz val="10"/>
        <rFont val="Calibri"/>
        <family val="2"/>
      </rPr>
      <t xml:space="preserve"> FOR SAME CLASS</t>
    </r>
  </si>
  <si>
    <r>
      <rPr>
        <b/>
        <i/>
        <sz val="13"/>
        <rFont val="Calibri"/>
        <family val="2"/>
      </rPr>
      <t>18</t>
    </r>
    <r>
      <rPr>
        <b/>
        <i/>
        <sz val="10"/>
        <rFont val="Calibri"/>
        <family val="2"/>
      </rPr>
      <t xml:space="preserve"> FOR SAME CLASS</t>
    </r>
  </si>
  <si>
    <t>429 SAR</t>
  </si>
  <si>
    <t>579 SAR</t>
  </si>
  <si>
    <t>NE-163</t>
  </si>
  <si>
    <t>729 SAR</t>
  </si>
  <si>
    <t>NP-152</t>
  </si>
  <si>
    <t>518 SAR</t>
  </si>
  <si>
    <t>774 SAR</t>
  </si>
  <si>
    <t>824 SAR</t>
  </si>
  <si>
    <t>1,268 SAR</t>
  </si>
  <si>
    <t>1,396 SAR</t>
  </si>
  <si>
    <t>SV-323</t>
  </si>
  <si>
    <t>1,317 SAR</t>
  </si>
  <si>
    <t>1,529 SAR</t>
  </si>
  <si>
    <t>837 SAR</t>
  </si>
  <si>
    <t>K1 &amp; T5 &amp; X8 &amp; U33 &amp; O18 &amp; I39 &amp; N1</t>
  </si>
  <si>
    <t>Cabin: 0 KG | Check-in: 15 KG</t>
  </si>
  <si>
    <t>279 SAR</t>
  </si>
  <si>
    <t>309 SAR</t>
  </si>
  <si>
    <t>329 SAR</t>
  </si>
  <si>
    <t>519 SAR</t>
  </si>
  <si>
    <t>469 SAR</t>
  </si>
  <si>
    <t>369 SAR</t>
  </si>
  <si>
    <t>409 SAR</t>
  </si>
  <si>
    <t>NP-252</t>
  </si>
  <si>
    <t>416 SAR</t>
  </si>
  <si>
    <t>E5-411</t>
  </si>
  <si>
    <t>Cabin: 10 KG | Check-in: 30 KG</t>
  </si>
  <si>
    <t>439 SAR</t>
  </si>
  <si>
    <t>563 SAR</t>
  </si>
  <si>
    <t>SM-470</t>
  </si>
  <si>
    <t>450 SAR</t>
  </si>
  <si>
    <t>SM470</t>
  </si>
  <si>
    <t>K5 &amp; S3 &amp; X4 &amp; U10 &amp; O47 &amp; I53 &amp; N1</t>
  </si>
  <si>
    <t>527 SAR</t>
  </si>
  <si>
    <t>702 SAR</t>
  </si>
  <si>
    <t>SV-315</t>
  </si>
  <si>
    <t>582 SAR</t>
  </si>
  <si>
    <t>626 SAR</t>
  </si>
  <si>
    <t>661 SAR</t>
  </si>
  <si>
    <t>711 SAR</t>
  </si>
  <si>
    <t>1,161 SAR</t>
  </si>
  <si>
    <t>1,213 SAR</t>
  </si>
  <si>
    <r>
      <rPr>
        <b/>
        <i/>
        <sz val="13"/>
        <color rgb="FFBC0000"/>
        <rFont val="Calibri"/>
        <family val="2"/>
      </rPr>
      <t>34</t>
    </r>
    <r>
      <rPr>
        <b/>
        <i/>
        <sz val="10"/>
        <color rgb="FFBC0000"/>
        <rFont val="Calibri"/>
        <family val="2"/>
      </rPr>
      <t xml:space="preserve"> FOR SAME CLASS</t>
    </r>
  </si>
  <si>
    <t>259 SAR</t>
  </si>
  <si>
    <r>
      <rPr>
        <i/>
        <sz val="13"/>
        <rFont val="Calibri"/>
        <family val="2"/>
      </rPr>
      <t>34</t>
    </r>
    <r>
      <rPr>
        <i/>
        <sz val="10"/>
        <rFont val="Calibri"/>
        <family val="2"/>
      </rPr>
      <t xml:space="preserve"> FOR SAME CLASS</t>
    </r>
  </si>
  <si>
    <r>
      <rPr>
        <b/>
        <i/>
        <sz val="13"/>
        <rFont val="Calibri"/>
        <family val="2"/>
      </rPr>
      <t>40</t>
    </r>
    <r>
      <rPr>
        <b/>
        <i/>
        <sz val="10"/>
        <rFont val="Calibri"/>
        <family val="2"/>
      </rPr>
      <t xml:space="preserve"> FOR SAME CLASS</t>
    </r>
  </si>
  <si>
    <r>
      <rPr>
        <b/>
        <i/>
        <sz val="13"/>
        <rFont val="Calibri"/>
        <family val="2"/>
      </rPr>
      <t>35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</si>
  <si>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35</t>
    </r>
    <r>
      <rPr>
        <i/>
        <sz val="10"/>
        <rFont val="Calibri"/>
        <family val="2"/>
      </rPr>
      <t xml:space="preserve"> FOR SAME CLASS</t>
    </r>
  </si>
  <si>
    <r>
      <rPr>
        <b/>
        <i/>
        <sz val="13"/>
        <rFont val="Calibri"/>
        <family val="2"/>
      </rPr>
      <t>20</t>
    </r>
    <r>
      <rPr>
        <b/>
        <i/>
        <sz val="10"/>
        <rFont val="Calibri"/>
        <family val="2"/>
      </rPr>
      <t xml:space="preserve"> FOR SAME CLASS</t>
    </r>
  </si>
  <si>
    <t>289 SAR</t>
  </si>
  <si>
    <t>389 SAR</t>
  </si>
  <si>
    <t>479 SAR</t>
  </si>
  <si>
    <t>350 SAR</t>
  </si>
  <si>
    <t>355 SAR</t>
  </si>
  <si>
    <t>U3 &amp; O17 &amp; I80</t>
  </si>
  <si>
    <t>361 SAR</t>
  </si>
  <si>
    <t>484 SAR</t>
  </si>
  <si>
    <t>462 SAR</t>
  </si>
  <si>
    <t>597 SAR</t>
  </si>
  <si>
    <t>601 SAR</t>
  </si>
  <si>
    <t>14:40</t>
  </si>
  <si>
    <t>K2</t>
  </si>
  <si>
    <t>T15</t>
  </si>
  <si>
    <t>X70</t>
  </si>
  <si>
    <t>U12</t>
  </si>
  <si>
    <t>I13</t>
  </si>
  <si>
    <t>15:00</t>
  </si>
  <si>
    <t>E90</t>
  </si>
  <si>
    <t>X8</t>
  </si>
  <si>
    <t>U33</t>
  </si>
  <si>
    <t>I39</t>
  </si>
  <si>
    <t>22:10</t>
  </si>
  <si>
    <t>O47</t>
  </si>
  <si>
    <t>I53</t>
  </si>
  <si>
    <t>21:55</t>
  </si>
  <si>
    <t>O17</t>
  </si>
  <si>
    <t>I80</t>
  </si>
  <si>
    <t>19:35</t>
  </si>
  <si>
    <t>10:45</t>
  </si>
  <si>
    <t>12:00</t>
  </si>
  <si>
    <t>07:20</t>
  </si>
  <si>
    <t>19:50</t>
  </si>
  <si>
    <t>10:15</t>
  </si>
  <si>
    <t>16:30</t>
  </si>
  <si>
    <t>09:00</t>
  </si>
  <si>
    <t>13:35</t>
  </si>
  <si>
    <t>18:15</t>
  </si>
  <si>
    <t>15:55</t>
  </si>
  <si>
    <t>22:05</t>
  </si>
  <si>
    <t>16:25</t>
  </si>
  <si>
    <t>20:05</t>
  </si>
  <si>
    <t>17:40</t>
  </si>
  <si>
    <t>07:10</t>
  </si>
  <si>
    <t>11:35</t>
  </si>
  <si>
    <t>04:00</t>
  </si>
  <si>
    <t>14:55</t>
  </si>
  <si>
    <t>13:15</t>
  </si>
  <si>
    <t>34 FOR SAME CLASS</t>
  </si>
  <si>
    <t>35 FOR SAME CLASS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</si>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</sst>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h:mm;@"/>
    <numFmt numFmtId="169" formatCode="0.0%"/>
    <numFmt numFmtId="170" formatCode="[$-409]dddd"/>
    <numFmt numFmtId="171" formatCode="#,##0\ &quot;SAR&quot;"/>
    <numFmt numFmtId="172" formatCode="dd\-mmm\-yy"/>
    <numFmt numFmtId="173" formatCode="hh:mm"/>
  </numFmts>
  <fonts count="37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</font>
    <font>
      <b/>
      <i/>
      <sz val="16"/>
      <color rgb="FFED7D31"/>
      <name val="Calibri"/>
      <family val="2"/>
    </font>
    <font>
      <b/>
      <i/>
      <u/>
      <sz val="18"/>
      <name val="Calibri"/>
      <family val="2"/>
    </font>
    <font>
      <b/>
      <i/>
      <sz val="18"/>
      <name val="Calibri"/>
      <family val="2"/>
    </font>
    <font>
      <i/>
      <sz val="13"/>
      <name val="Calibri"/>
      <family val="2"/>
    </font>
    <font>
      <b/>
      <i/>
      <sz val="20"/>
      <color rgb="FFFFFFFF"/>
      <name val="Calibri"/>
      <family val="2"/>
    </font>
    <font>
      <b/>
      <i/>
      <sz val="20"/>
      <name val="Calibri"/>
      <family val="2"/>
    </font>
    <font>
      <b/>
      <i/>
      <sz val="18"/>
      <color rgb="FFFFFFFF"/>
      <name val="Calibri"/>
      <family val="2"/>
    </font>
    <font>
      <b/>
      <i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2"/>
      <color rgb="FFBC0000"/>
      <name val="Calibri"/>
      <family val="2"/>
    </font>
    <font>
      <i/>
      <sz val="18"/>
      <color rgb="FFFF0000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i/>
      <sz val="12"/>
      <name val="Calibri"/>
      <family val="2"/>
    </font>
    <font>
      <b/>
      <i/>
      <sz val="12"/>
      <name val="Calibri"/>
      <family val="2"/>
    </font>
    <font>
      <b/>
      <i/>
      <sz val="13"/>
      <name val="Calibri"/>
      <family val="2"/>
    </font>
    <font>
      <b/>
      <i/>
      <sz val="13"/>
      <color rgb="FF006100"/>
      <name val="Calibri"/>
      <family val="2"/>
    </font>
    <font>
      <b/>
      <i/>
      <sz val="14"/>
      <name val="Calibri"/>
      <family val="2"/>
    </font>
    <font>
      <sz val="12"/>
      <color theme="1"/>
      <name val="Calibri"/>
      <family val="2"/>
    </font>
    <font>
      <b/>
      <i/>
      <sz val="13"/>
      <color rgb="FF9C0006"/>
      <name val="Calibri"/>
      <family val="2"/>
    </font>
    <font>
      <b/>
      <sz val="14"/>
      <color rgb="FFFFFFFF"/>
      <name val="Calibri"/>
      <family val="2"/>
    </font>
    <font>
      <i/>
      <sz val="12"/>
      <color rgb="FF494529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i/>
      <sz val="12"/>
      <color rgb="FF494529"/>
      <name val="Calibri"/>
      <family val="2"/>
    </font>
    <font>
      <b/>
      <i/>
      <sz val="13"/>
      <color rgb="FFBC0000"/>
      <name val="Calibri"/>
      <family val="2"/>
    </font>
    <font>
      <b/>
      <i/>
      <sz val="10"/>
      <color rgb="FFBC0000"/>
      <name val="Calibri"/>
      <family val="2"/>
    </font>
    <font>
      <i/>
      <sz val="10"/>
      <name val="Calibri"/>
      <family val="2"/>
    </font>
    <font>
      <b/>
      <i/>
      <sz val="1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2CA93"/>
      </patternFill>
    </fill>
    <fill>
      <patternFill patternType="solid">
        <fgColor rgb="FFCCCCCC"/>
        <bgColor rgb="FFCCCCCC"/>
      </patternFill>
    </fill>
    <fill>
      <patternFill patternType="solid">
        <fgColor rgb="FFFFE4B5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C5D9F1"/>
      </patternFill>
    </fill>
    <fill>
      <patternFill patternType="solid">
        <fgColor rgb="FFE6D5E6"/>
      </patternFill>
    </fill>
    <fill>
      <patternFill patternType="solid">
        <fgColor rgb="FF36549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7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168" fontId="11" fillId="0" borderId="4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168" fontId="15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168" fontId="11" fillId="0" borderId="8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168" fontId="16" fillId="0" borderId="8" xfId="0" applyNumberFormat="1" applyFont="1" applyBorder="1" applyAlignment="1">
      <alignment horizontal="center" vertical="center"/>
    </xf>
    <xf numFmtId="49" fontId="11" fillId="8" borderId="9" xfId="0" applyNumberFormat="1" applyFont="1" applyFill="1" applyBorder="1" applyAlignment="1">
      <alignment horizontal="center" vertical="center"/>
    </xf>
    <xf numFmtId="168" fontId="11" fillId="8" borderId="9" xfId="0" applyNumberFormat="1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49" fontId="17" fillId="8" borderId="10" xfId="0" applyNumberFormat="1" applyFont="1" applyFill="1" applyBorder="1" applyAlignment="1">
      <alignment horizontal="center" vertical="center"/>
    </xf>
    <xf numFmtId="169" fontId="18" fillId="8" borderId="11" xfId="0" applyNumberFormat="1" applyFont="1" applyFill="1" applyBorder="1" applyAlignment="1">
      <alignment horizontal="center" vertical="center"/>
    </xf>
    <xf numFmtId="1" fontId="17" fillId="8" borderId="11" xfId="0" applyNumberFormat="1" applyFont="1" applyFill="1" applyBorder="1" applyAlignment="1">
      <alignment horizontal="center" vertical="center"/>
    </xf>
    <xf numFmtId="16" fontId="17" fillId="8" borderId="11" xfId="0" applyNumberFormat="1" applyFont="1" applyFill="1" applyBorder="1" applyAlignment="1">
      <alignment horizontal="center" vertical="center"/>
    </xf>
    <xf numFmtId="49" fontId="19" fillId="8" borderId="11" xfId="0" applyNumberFormat="1" applyFont="1" applyFill="1" applyBorder="1" applyAlignment="1">
      <alignment horizontal="center" vertical="center"/>
    </xf>
    <xf numFmtId="168" fontId="17" fillId="8" borderId="11" xfId="0" applyNumberFormat="1" applyFont="1" applyFill="1" applyBorder="1" applyAlignment="1">
      <alignment horizontal="center" vertical="center"/>
    </xf>
    <xf numFmtId="49" fontId="17" fillId="8" borderId="12" xfId="0" applyNumberFormat="1" applyFont="1" applyFill="1" applyBorder="1" applyAlignment="1">
      <alignment horizontal="center" vertical="center"/>
    </xf>
    <xf numFmtId="167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9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9" xfId="0" applyNumberFormat="1" applyFont="1" applyFill="1" applyBorder="1" applyAlignment="1">
      <alignment horizontal="center" vertical="center"/>
    </xf>
    <xf numFmtId="168" fontId="11" fillId="10" borderId="9" xfId="0" applyNumberFormat="1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49" fontId="17" fillId="10" borderId="10" xfId="0" applyNumberFormat="1" applyFont="1" applyFill="1" applyBorder="1" applyAlignment="1">
      <alignment horizontal="center" vertical="center"/>
    </xf>
    <xf numFmtId="169" fontId="18" fillId="10" borderId="11" xfId="0" applyNumberFormat="1" applyFont="1" applyFill="1" applyBorder="1" applyAlignment="1">
      <alignment horizontal="center" vertical="center"/>
    </xf>
    <xf numFmtId="1" fontId="17" fillId="10" borderId="11" xfId="0" applyNumberFormat="1" applyFont="1" applyFill="1" applyBorder="1" applyAlignment="1">
      <alignment horizontal="center" vertical="center"/>
    </xf>
    <xf numFmtId="16" fontId="17" fillId="10" borderId="11" xfId="0" applyNumberFormat="1" applyFont="1" applyFill="1" applyBorder="1" applyAlignment="1">
      <alignment horizontal="center" vertical="center"/>
    </xf>
    <xf numFmtId="49" fontId="19" fillId="10" borderId="11" xfId="0" applyNumberFormat="1" applyFont="1" applyFill="1" applyBorder="1" applyAlignment="1">
      <alignment horizontal="center" vertical="center"/>
    </xf>
    <xf numFmtId="168" fontId="17" fillId="10" borderId="11" xfId="0" applyNumberFormat="1" applyFont="1" applyFill="1" applyBorder="1" applyAlignment="1">
      <alignment horizontal="center" vertical="center"/>
    </xf>
    <xf numFmtId="49" fontId="17" fillId="10" borderId="12" xfId="0" applyNumberFormat="1" applyFont="1" applyFill="1" applyBorder="1" applyAlignment="1">
      <alignment horizontal="center" vertical="center"/>
    </xf>
    <xf numFmtId="49" fontId="15" fillId="0" borderId="9" xfId="0" applyNumberFormat="1" applyFont="1" applyBorder="1" applyAlignment="1">
      <alignment horizontal="center" vertical="center"/>
    </xf>
    <xf numFmtId="168" fontId="15" fillId="0" borderId="9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8" fontId="11" fillId="11" borderId="2" xfId="0" applyNumberFormat="1" applyFont="1" applyFill="1" applyBorder="1" applyAlignment="1">
      <alignment horizontal="center" vertical="center"/>
    </xf>
    <xf numFmtId="49" fontId="17" fillId="11" borderId="16" xfId="0" applyNumberFormat="1" applyFont="1" applyFill="1" applyBorder="1" applyAlignment="1">
      <alignment horizontal="center" vertical="center"/>
    </xf>
    <xf numFmtId="169" fontId="21" fillId="11" borderId="17" xfId="0" applyNumberFormat="1" applyFont="1" applyFill="1" applyBorder="1" applyAlignment="1">
      <alignment horizontal="center" vertical="center"/>
    </xf>
    <xf numFmtId="1" fontId="17" fillId="11" borderId="17" xfId="0" applyNumberFormat="1" applyFont="1" applyFill="1" applyBorder="1" applyAlignment="1">
      <alignment horizontal="center" vertical="center"/>
    </xf>
    <xf numFmtId="16" fontId="17" fillId="11" borderId="17" xfId="0" applyNumberFormat="1" applyFont="1" applyFill="1" applyBorder="1" applyAlignment="1">
      <alignment horizontal="center" vertical="center"/>
    </xf>
    <xf numFmtId="49" fontId="19" fillId="11" borderId="17" xfId="0" applyNumberFormat="1" applyFont="1" applyFill="1" applyBorder="1" applyAlignment="1">
      <alignment horizontal="center" vertical="center"/>
    </xf>
    <xf numFmtId="168" fontId="17" fillId="11" borderId="17" xfId="0" applyNumberFormat="1" applyFont="1" applyFill="1" applyBorder="1" applyAlignment="1">
      <alignment horizontal="center" vertical="center"/>
    </xf>
    <xf numFmtId="49" fontId="17" fillId="11" borderId="18" xfId="0" applyNumberFormat="1" applyFont="1" applyFill="1" applyBorder="1" applyAlignment="1">
      <alignment horizontal="center" vertical="center"/>
    </xf>
    <xf numFmtId="49" fontId="16" fillId="12" borderId="2" xfId="0" applyNumberFormat="1" applyFont="1" applyFill="1" applyBorder="1" applyAlignment="1">
      <alignment horizontal="center" vertical="center"/>
    </xf>
    <xf numFmtId="168" fontId="16" fillId="12" borderId="2" xfId="0" applyNumberFormat="1" applyFont="1" applyFill="1" applyBorder="1" applyAlignment="1">
      <alignment horizontal="center" vertical="center"/>
    </xf>
    <xf numFmtId="49" fontId="17" fillId="12" borderId="16" xfId="0" applyNumberFormat="1" applyFont="1" applyFill="1" applyBorder="1" applyAlignment="1">
      <alignment horizontal="center" vertical="center"/>
    </xf>
    <xf numFmtId="169" fontId="18" fillId="12" borderId="17" xfId="0" applyNumberFormat="1" applyFont="1" applyFill="1" applyBorder="1" applyAlignment="1">
      <alignment horizontal="center" vertical="center"/>
    </xf>
    <xf numFmtId="1" fontId="17" fillId="12" borderId="17" xfId="0" applyNumberFormat="1" applyFont="1" applyFill="1" applyBorder="1" applyAlignment="1">
      <alignment horizontal="center" vertical="center"/>
    </xf>
    <xf numFmtId="16" fontId="17" fillId="12" borderId="17" xfId="0" applyNumberFormat="1" applyFont="1" applyFill="1" applyBorder="1" applyAlignment="1">
      <alignment horizontal="center" vertical="center"/>
    </xf>
    <xf numFmtId="49" fontId="19" fillId="12" borderId="17" xfId="0" applyNumberFormat="1" applyFont="1" applyFill="1" applyBorder="1" applyAlignment="1">
      <alignment horizontal="center" vertical="center"/>
    </xf>
    <xf numFmtId="168" fontId="17" fillId="12" borderId="17" xfId="0" applyNumberFormat="1" applyFont="1" applyFill="1" applyBorder="1" applyAlignment="1">
      <alignment horizontal="center" vertical="center"/>
    </xf>
    <xf numFmtId="49" fontId="17" fillId="12" borderId="18" xfId="0" applyNumberFormat="1" applyFont="1" applyFill="1" applyBorder="1" applyAlignment="1">
      <alignment horizontal="center" vertical="center"/>
    </xf>
    <xf numFmtId="49" fontId="16" fillId="11" borderId="2" xfId="0" applyNumberFormat="1" applyFont="1" applyFill="1" applyBorder="1" applyAlignment="1">
      <alignment horizontal="center" vertical="center"/>
    </xf>
    <xf numFmtId="168" fontId="16" fillId="11" borderId="2" xfId="0" applyNumberFormat="1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169" fontId="18" fillId="11" borderId="17" xfId="0" applyNumberFormat="1" applyFont="1" applyFill="1" applyBorder="1" applyAlignment="1">
      <alignment horizontal="center" vertical="center"/>
    </xf>
    <xf numFmtId="0" fontId="22" fillId="13" borderId="24" xfId="0" applyFont="1" applyFill="1" applyBorder="1" applyAlignment="1">
      <alignment horizontal="center" vertical="center"/>
    </xf>
    <xf numFmtId="0" fontId="22" fillId="13" borderId="25" xfId="0" applyFont="1" applyFill="1" applyBorder="1" applyAlignment="1">
      <alignment horizontal="center" vertical="center"/>
    </xf>
    <xf numFmtId="0" fontId="22" fillId="13" borderId="26" xfId="0" applyFont="1" applyFill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171" fontId="23" fillId="0" borderId="29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49" fontId="24" fillId="0" borderId="31" xfId="0" applyNumberFormat="1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172" fontId="23" fillId="0" borderId="27" xfId="0" applyNumberFormat="1" applyFont="1" applyBorder="1" applyAlignment="1">
      <alignment horizontal="center" vertical="center"/>
    </xf>
    <xf numFmtId="173" fontId="23" fillId="0" borderId="28" xfId="0" applyNumberFormat="1" applyFont="1" applyBorder="1" applyAlignment="1">
      <alignment horizontal="center" vertical="center"/>
    </xf>
    <xf numFmtId="172" fontId="24" fillId="0" borderId="30" xfId="0" applyNumberFormat="1" applyFont="1" applyBorder="1" applyAlignment="1">
      <alignment horizontal="center" vertical="center"/>
    </xf>
    <xf numFmtId="173" fontId="24" fillId="0" borderId="31" xfId="0" applyNumberFormat="1" applyFont="1" applyBorder="1" applyAlignment="1">
      <alignment horizontal="center" vertical="center"/>
    </xf>
    <xf numFmtId="172" fontId="23" fillId="0" borderId="30" xfId="0" applyNumberFormat="1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49" fontId="23" fillId="0" borderId="31" xfId="0" applyNumberFormat="1" applyFont="1" applyBorder="1" applyAlignment="1">
      <alignment horizontal="center" vertical="center"/>
    </xf>
    <xf numFmtId="173" fontId="23" fillId="0" borderId="31" xfId="0" applyNumberFormat="1" applyFont="1" applyBorder="1" applyAlignment="1">
      <alignment horizontal="center" vertical="center"/>
    </xf>
    <xf numFmtId="1" fontId="23" fillId="0" borderId="31" xfId="0" applyNumberFormat="1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172" fontId="24" fillId="0" borderId="27" xfId="0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49" fontId="24" fillId="0" borderId="28" xfId="0" applyNumberFormat="1" applyFont="1" applyBorder="1" applyAlignment="1">
      <alignment horizontal="center" vertical="center"/>
    </xf>
    <xf numFmtId="173" fontId="24" fillId="0" borderId="28" xfId="0" applyNumberFormat="1" applyFont="1" applyBorder="1" applyAlignment="1">
      <alignment horizontal="center" vertical="center"/>
    </xf>
    <xf numFmtId="1" fontId="24" fillId="0" borderId="28" xfId="0" applyNumberFormat="1" applyFont="1" applyBorder="1" applyAlignment="1">
      <alignment horizontal="center" vertical="center"/>
    </xf>
    <xf numFmtId="171" fontId="24" fillId="0" borderId="29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/>
    <xf numFmtId="0" fontId="27" fillId="0" borderId="0" xfId="0" applyFont="1"/>
    <xf numFmtId="49" fontId="11" fillId="14" borderId="2" xfId="0" applyNumberFormat="1" applyFont="1" applyFill="1" applyBorder="1" applyAlignment="1">
      <alignment horizontal="center" vertical="center"/>
    </xf>
    <xf numFmtId="168" fontId="11" fillId="14" borderId="2" xfId="0" applyNumberFormat="1" applyFont="1" applyFill="1" applyBorder="1" applyAlignment="1">
      <alignment horizontal="center" vertical="center"/>
    </xf>
    <xf numFmtId="49" fontId="17" fillId="14" borderId="16" xfId="0" applyNumberFormat="1" applyFont="1" applyFill="1" applyBorder="1" applyAlignment="1">
      <alignment horizontal="center" vertical="center"/>
    </xf>
    <xf numFmtId="169" fontId="18" fillId="14" borderId="17" xfId="0" applyNumberFormat="1" applyFont="1" applyFill="1" applyBorder="1" applyAlignment="1">
      <alignment horizontal="center" vertical="center"/>
    </xf>
    <xf numFmtId="1" fontId="17" fillId="14" borderId="17" xfId="0" applyNumberFormat="1" applyFont="1" applyFill="1" applyBorder="1" applyAlignment="1">
      <alignment horizontal="center" vertical="center"/>
    </xf>
    <xf numFmtId="16" fontId="17" fillId="14" borderId="17" xfId="0" applyNumberFormat="1" applyFont="1" applyFill="1" applyBorder="1" applyAlignment="1">
      <alignment horizontal="center" vertical="center"/>
    </xf>
    <xf numFmtId="49" fontId="19" fillId="14" borderId="17" xfId="0" applyNumberFormat="1" applyFont="1" applyFill="1" applyBorder="1" applyAlignment="1">
      <alignment horizontal="center" vertical="center"/>
    </xf>
    <xf numFmtId="168" fontId="17" fillId="14" borderId="17" xfId="0" applyNumberFormat="1" applyFont="1" applyFill="1" applyBorder="1" applyAlignment="1">
      <alignment horizontal="center" vertical="center"/>
    </xf>
    <xf numFmtId="49" fontId="17" fillId="14" borderId="18" xfId="0" applyNumberFormat="1" applyFont="1" applyFill="1" applyBorder="1" applyAlignment="1">
      <alignment horizontal="center" vertical="center"/>
    </xf>
    <xf numFmtId="49" fontId="16" fillId="15" borderId="2" xfId="0" applyNumberFormat="1" applyFont="1" applyFill="1" applyBorder="1" applyAlignment="1">
      <alignment horizontal="center" vertical="center"/>
    </xf>
    <xf numFmtId="168" fontId="16" fillId="15" borderId="2" xfId="0" applyNumberFormat="1" applyFont="1" applyFill="1" applyBorder="1" applyAlignment="1">
      <alignment horizontal="center" vertical="center"/>
    </xf>
    <xf numFmtId="49" fontId="17" fillId="15" borderId="16" xfId="0" applyNumberFormat="1" applyFont="1" applyFill="1" applyBorder="1" applyAlignment="1">
      <alignment horizontal="center" vertical="center"/>
    </xf>
    <xf numFmtId="169" fontId="18" fillId="15" borderId="17" xfId="0" applyNumberFormat="1" applyFont="1" applyFill="1" applyBorder="1" applyAlignment="1">
      <alignment horizontal="center" vertical="center"/>
    </xf>
    <xf numFmtId="1" fontId="17" fillId="15" borderId="17" xfId="0" applyNumberFormat="1" applyFont="1" applyFill="1" applyBorder="1" applyAlignment="1">
      <alignment horizontal="center" vertical="center"/>
    </xf>
    <xf numFmtId="16" fontId="17" fillId="15" borderId="17" xfId="0" applyNumberFormat="1" applyFont="1" applyFill="1" applyBorder="1" applyAlignment="1">
      <alignment horizontal="center" vertical="center"/>
    </xf>
    <xf numFmtId="49" fontId="19" fillId="15" borderId="17" xfId="0" applyNumberFormat="1" applyFont="1" applyFill="1" applyBorder="1" applyAlignment="1">
      <alignment horizontal="center" vertical="center"/>
    </xf>
    <xf numFmtId="168" fontId="17" fillId="15" borderId="17" xfId="0" applyNumberFormat="1" applyFont="1" applyFill="1" applyBorder="1" applyAlignment="1">
      <alignment horizontal="center" vertical="center"/>
    </xf>
    <xf numFmtId="49" fontId="17" fillId="15" borderId="18" xfId="0" applyNumberFormat="1" applyFont="1" applyFill="1" applyBorder="1" applyAlignment="1">
      <alignment horizontal="center" vertical="center"/>
    </xf>
    <xf numFmtId="49" fontId="16" fillId="10" borderId="2" xfId="0" applyNumberFormat="1" applyFont="1" applyFill="1" applyBorder="1" applyAlignment="1">
      <alignment horizontal="center" vertical="center"/>
    </xf>
    <xf numFmtId="168" fontId="16" fillId="10" borderId="2" xfId="0" applyNumberFormat="1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49" fontId="17" fillId="10" borderId="16" xfId="0" applyNumberFormat="1" applyFont="1" applyFill="1" applyBorder="1" applyAlignment="1">
      <alignment horizontal="center" vertical="center"/>
    </xf>
    <xf numFmtId="169" fontId="18" fillId="10" borderId="17" xfId="0" applyNumberFormat="1" applyFont="1" applyFill="1" applyBorder="1" applyAlignment="1">
      <alignment horizontal="center" vertical="center"/>
    </xf>
    <xf numFmtId="1" fontId="17" fillId="10" borderId="17" xfId="0" applyNumberFormat="1" applyFont="1" applyFill="1" applyBorder="1" applyAlignment="1">
      <alignment horizontal="center" vertical="center"/>
    </xf>
    <xf numFmtId="16" fontId="17" fillId="10" borderId="17" xfId="0" applyNumberFormat="1" applyFont="1" applyFill="1" applyBorder="1" applyAlignment="1">
      <alignment horizontal="center" vertical="center"/>
    </xf>
    <xf numFmtId="49" fontId="19" fillId="10" borderId="17" xfId="0" applyNumberFormat="1" applyFont="1" applyFill="1" applyBorder="1" applyAlignment="1">
      <alignment horizontal="center" vertical="center"/>
    </xf>
    <xf numFmtId="168" fontId="17" fillId="10" borderId="17" xfId="0" applyNumberFormat="1" applyFont="1" applyFill="1" applyBorder="1" applyAlignment="1">
      <alignment horizontal="center" vertical="center"/>
    </xf>
    <xf numFmtId="49" fontId="17" fillId="10" borderId="18" xfId="0" applyNumberFormat="1" applyFont="1" applyFill="1" applyBorder="1" applyAlignment="1">
      <alignment horizontal="center" vertical="center"/>
    </xf>
    <xf numFmtId="49" fontId="16" fillId="0" borderId="9" xfId="0" applyNumberFormat="1" applyFont="1" applyBorder="1" applyAlignment="1">
      <alignment horizontal="center" vertical="center"/>
    </xf>
    <xf numFmtId="168" fontId="16" fillId="0" borderId="9" xfId="0" applyNumberFormat="1" applyFont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8" fontId="11" fillId="16" borderId="2" xfId="0" applyNumberFormat="1" applyFont="1" applyFill="1" applyBorder="1" applyAlignment="1">
      <alignment horizontal="center" vertical="center"/>
    </xf>
    <xf numFmtId="49" fontId="17" fillId="16" borderId="16" xfId="0" applyNumberFormat="1" applyFont="1" applyFill="1" applyBorder="1" applyAlignment="1">
      <alignment horizontal="center" vertical="center"/>
    </xf>
    <xf numFmtId="169" fontId="17" fillId="16" borderId="17" xfId="0" applyNumberFormat="1" applyFont="1" applyFill="1" applyBorder="1" applyAlignment="1">
      <alignment horizontal="center" vertical="center"/>
    </xf>
    <xf numFmtId="1" fontId="17" fillId="16" borderId="17" xfId="0" applyNumberFormat="1" applyFont="1" applyFill="1" applyBorder="1" applyAlignment="1">
      <alignment horizontal="center" vertical="center"/>
    </xf>
    <xf numFmtId="16" fontId="17" fillId="16" borderId="17" xfId="0" applyNumberFormat="1" applyFont="1" applyFill="1" applyBorder="1" applyAlignment="1">
      <alignment horizontal="center" vertical="center"/>
    </xf>
    <xf numFmtId="49" fontId="19" fillId="16" borderId="17" xfId="0" applyNumberFormat="1" applyFont="1" applyFill="1" applyBorder="1" applyAlignment="1">
      <alignment horizontal="center" vertical="center"/>
    </xf>
    <xf numFmtId="168" fontId="17" fillId="16" borderId="17" xfId="0" applyNumberFormat="1" applyFont="1" applyFill="1" applyBorder="1" applyAlignment="1">
      <alignment horizontal="center" vertical="center"/>
    </xf>
    <xf numFmtId="49" fontId="17" fillId="16" borderId="18" xfId="0" applyNumberFormat="1" applyFont="1" applyFill="1" applyBorder="1" applyAlignment="1">
      <alignment horizontal="center" vertical="center"/>
    </xf>
    <xf numFmtId="169" fontId="17" fillId="15" borderId="17" xfId="0" applyNumberFormat="1" applyFont="1" applyFill="1" applyBorder="1" applyAlignment="1">
      <alignment horizontal="center" vertical="center"/>
    </xf>
    <xf numFmtId="49" fontId="16" fillId="17" borderId="2" xfId="0" applyNumberFormat="1" applyFont="1" applyFill="1" applyBorder="1" applyAlignment="1">
      <alignment horizontal="center" vertical="center"/>
    </xf>
    <xf numFmtId="168" fontId="16" fillId="17" borderId="2" xfId="0" applyNumberFormat="1" applyFont="1" applyFill="1" applyBorder="1" applyAlignment="1">
      <alignment horizontal="center" vertical="center"/>
    </xf>
    <xf numFmtId="49" fontId="17" fillId="17" borderId="16" xfId="0" applyNumberFormat="1" applyFont="1" applyFill="1" applyBorder="1" applyAlignment="1">
      <alignment horizontal="center" vertical="center"/>
    </xf>
    <xf numFmtId="169" fontId="18" fillId="17" borderId="17" xfId="0" applyNumberFormat="1" applyFont="1" applyFill="1" applyBorder="1" applyAlignment="1">
      <alignment horizontal="center" vertical="center"/>
    </xf>
    <xf numFmtId="1" fontId="17" fillId="17" borderId="17" xfId="0" applyNumberFormat="1" applyFont="1" applyFill="1" applyBorder="1" applyAlignment="1">
      <alignment horizontal="center" vertical="center"/>
    </xf>
    <xf numFmtId="16" fontId="17" fillId="17" borderId="17" xfId="0" applyNumberFormat="1" applyFont="1" applyFill="1" applyBorder="1" applyAlignment="1">
      <alignment horizontal="center" vertical="center"/>
    </xf>
    <xf numFmtId="49" fontId="19" fillId="17" borderId="17" xfId="0" applyNumberFormat="1" applyFont="1" applyFill="1" applyBorder="1" applyAlignment="1">
      <alignment horizontal="center" vertical="center"/>
    </xf>
    <xf numFmtId="168" fontId="17" fillId="17" borderId="17" xfId="0" applyNumberFormat="1" applyFont="1" applyFill="1" applyBorder="1" applyAlignment="1">
      <alignment horizontal="center" vertical="center"/>
    </xf>
    <xf numFmtId="49" fontId="17" fillId="17" borderId="18" xfId="0" applyNumberFormat="1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49" fontId="16" fillId="16" borderId="2" xfId="0" applyNumberFormat="1" applyFont="1" applyFill="1" applyBorder="1" applyAlignment="1">
      <alignment horizontal="center" vertical="center"/>
    </xf>
    <xf numFmtId="168" fontId="16" fillId="16" borderId="2" xfId="0" applyNumberFormat="1" applyFont="1" applyFill="1" applyBorder="1" applyAlignment="1">
      <alignment horizontal="center" vertical="center"/>
    </xf>
    <xf numFmtId="169" fontId="21" fillId="16" borderId="17" xfId="0" applyNumberFormat="1" applyFont="1" applyFill="1" applyBorder="1" applyAlignment="1">
      <alignment horizontal="center" vertical="center"/>
    </xf>
    <xf numFmtId="49" fontId="16" fillId="8" borderId="2" xfId="0" applyNumberFormat="1" applyFont="1" applyFill="1" applyBorder="1" applyAlignment="1">
      <alignment horizontal="center" vertical="center"/>
    </xf>
    <xf numFmtId="168" fontId="16" fillId="8" borderId="2" xfId="0" applyNumberFormat="1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49" fontId="17" fillId="8" borderId="16" xfId="0" applyNumberFormat="1" applyFont="1" applyFill="1" applyBorder="1" applyAlignment="1">
      <alignment horizontal="center" vertical="center"/>
    </xf>
    <xf numFmtId="169" fontId="18" fillId="8" borderId="17" xfId="0" applyNumberFormat="1" applyFont="1" applyFill="1" applyBorder="1" applyAlignment="1">
      <alignment horizontal="center" vertical="center"/>
    </xf>
    <xf numFmtId="1" fontId="17" fillId="8" borderId="17" xfId="0" applyNumberFormat="1" applyFont="1" applyFill="1" applyBorder="1" applyAlignment="1">
      <alignment horizontal="center" vertical="center"/>
    </xf>
    <xf numFmtId="16" fontId="17" fillId="8" borderId="17" xfId="0" applyNumberFormat="1" applyFont="1" applyFill="1" applyBorder="1" applyAlignment="1">
      <alignment horizontal="center" vertical="center"/>
    </xf>
    <xf numFmtId="49" fontId="19" fillId="8" borderId="17" xfId="0" applyNumberFormat="1" applyFont="1" applyFill="1" applyBorder="1" applyAlignment="1">
      <alignment horizontal="center" vertical="center"/>
    </xf>
    <xf numFmtId="168" fontId="17" fillId="8" borderId="17" xfId="0" applyNumberFormat="1" applyFont="1" applyFill="1" applyBorder="1" applyAlignment="1">
      <alignment horizontal="center" vertical="center"/>
    </xf>
    <xf numFmtId="49" fontId="17" fillId="8" borderId="18" xfId="0" applyNumberFormat="1" applyFont="1" applyFill="1" applyBorder="1" applyAlignment="1">
      <alignment horizontal="center" vertical="center"/>
    </xf>
    <xf numFmtId="169" fontId="17" fillId="14" borderId="17" xfId="0" applyNumberFormat="1" applyFont="1" applyFill="1" applyBorder="1" applyAlignment="1">
      <alignment horizontal="center" vertical="center"/>
    </xf>
    <xf numFmtId="169" fontId="17" fillId="11" borderId="17" xfId="0" applyNumberFormat="1" applyFont="1" applyFill="1" applyBorder="1" applyAlignment="1">
      <alignment horizontal="center" vertical="center"/>
    </xf>
    <xf numFmtId="169" fontId="17" fillId="8" borderId="17" xfId="0" applyNumberFormat="1" applyFont="1" applyFill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49" fontId="11" fillId="12" borderId="9" xfId="0" applyNumberFormat="1" applyFont="1" applyFill="1" applyBorder="1" applyAlignment="1">
      <alignment horizontal="center" vertical="center"/>
    </xf>
    <xf numFmtId="168" fontId="11" fillId="12" borderId="9" xfId="0" applyNumberFormat="1" applyFont="1" applyFill="1" applyBorder="1" applyAlignment="1">
      <alignment horizontal="center" vertical="center"/>
    </xf>
    <xf numFmtId="0" fontId="11" fillId="12" borderId="9" xfId="0" applyFont="1" applyFill="1" applyBorder="1" applyAlignment="1">
      <alignment horizontal="center" vertical="center"/>
    </xf>
    <xf numFmtId="49" fontId="17" fillId="12" borderId="10" xfId="0" applyNumberFormat="1" applyFont="1" applyFill="1" applyBorder="1" applyAlignment="1">
      <alignment horizontal="center" vertical="center"/>
    </xf>
    <xf numFmtId="169" fontId="18" fillId="12" borderId="11" xfId="0" applyNumberFormat="1" applyFont="1" applyFill="1" applyBorder="1" applyAlignment="1">
      <alignment horizontal="center" vertical="center"/>
    </xf>
    <xf numFmtId="1" fontId="17" fillId="12" borderId="11" xfId="0" applyNumberFormat="1" applyFont="1" applyFill="1" applyBorder="1" applyAlignment="1">
      <alignment horizontal="center" vertical="center"/>
    </xf>
    <xf numFmtId="16" fontId="17" fillId="12" borderId="11" xfId="0" applyNumberFormat="1" applyFont="1" applyFill="1" applyBorder="1" applyAlignment="1">
      <alignment horizontal="center" vertical="center"/>
    </xf>
    <xf numFmtId="49" fontId="19" fillId="12" borderId="11" xfId="0" applyNumberFormat="1" applyFont="1" applyFill="1" applyBorder="1" applyAlignment="1">
      <alignment horizontal="center" vertical="center"/>
    </xf>
    <xf numFmtId="168" fontId="17" fillId="12" borderId="11" xfId="0" applyNumberFormat="1" applyFont="1" applyFill="1" applyBorder="1" applyAlignment="1">
      <alignment horizontal="center" vertical="center"/>
    </xf>
    <xf numFmtId="49" fontId="17" fillId="12" borderId="12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8" fontId="11" fillId="15" borderId="2" xfId="0" applyNumberFormat="1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49" fontId="6" fillId="4" borderId="2" xfId="0" applyNumberFormat="1" applyFont="1" applyFill="1" applyBorder="1" applyAlignment="1">
      <alignment horizontal="center" vertical="center"/>
    </xf>
    <xf numFmtId="0" fontId="12" fillId="0" borderId="21" xfId="0" applyFont="1" applyBorder="1"/>
    <xf numFmtId="0" fontId="0" fillId="0" borderId="22" xfId="0" applyBorder="1"/>
    <xf numFmtId="0" fontId="0" fillId="0" borderId="23" xfId="0" applyBorder="1"/>
    <xf numFmtId="165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7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21" xfId="0" applyBorder="1"/>
    <xf numFmtId="165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70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8" fontId="32" fillId="0" borderId="0" xfId="0" applyNumberFormat="1" applyFont="1" applyAlignment="1">
      <alignment horizontal="center" vertical="center"/>
    </xf>
    <xf numFmtId="169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18" borderId="0" xfId="0" applyFont="1" applyFill="1" applyAlignment="1">
      <alignment horizontal="center" vertical="center"/>
    </xf>
    <xf numFmtId="15" fontId="33" fillId="18" borderId="0" xfId="0" applyNumberFormat="1" applyFont="1" applyFill="1" applyAlignment="1">
      <alignment horizontal="center" vertical="center"/>
    </xf>
    <xf numFmtId="169" fontId="33" fillId="18" borderId="0" xfId="0" applyNumberFormat="1" applyFont="1" applyFill="1" applyAlignment="1">
      <alignment horizontal="center" vertical="center"/>
    </xf>
    <xf numFmtId="1" fontId="33" fillId="18" borderId="0" xfId="0" applyNumberFormat="1" applyFont="1" applyFill="1" applyAlignment="1">
      <alignment horizontal="center" vertical="center"/>
    </xf>
    <xf numFmtId="0" fontId="33" fillId="18" borderId="0" xfId="0" applyNumberFormat="1" applyFont="1" applyFill="1" applyAlignment="1">
      <alignment horizontal="center" vertical="center"/>
    </xf>
    <xf numFmtId="0" fontId="20" fillId="9" borderId="33" xfId="0" applyFont="1" applyFill="1" applyBorder="1" applyAlignment="1">
      <alignment horizontal="center" vertical="center"/>
    </xf>
    <xf numFmtId="0" fontId="20" fillId="9" borderId="34" xfId="0" applyFont="1" applyFill="1" applyBorder="1" applyAlignment="1">
      <alignment horizontal="center" vertical="center"/>
    </xf>
    <xf numFmtId="0" fontId="20" fillId="9" borderId="35" xfId="0" applyFont="1" applyFill="1" applyBorder="1" applyAlignment="1">
      <alignment horizontal="center" vertical="center"/>
    </xf>
  </cellXfs>
  <cellStyles count="1">
    <cellStyle name="Normal" xfId="0" builtinId="0"/>
  </cellStyles>
  <dxfs count="22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D_CAI_LF_LEGACY" displayName="MED_CAI_LF_LEGACY" ref="A1:AJ7" totalsRowCount="1" headerRowDxfId="224" dataDxfId="187" totalsRowDxfId="150">
  <tableColumns count="36">
    <tableColumn id="1" xr3:uid="{00000000-0010-0000-0000-000001000000}" name="Day" totalsRowLabel="TOTAL" dataDxfId="223" totalsRowDxfId="186"/>
    <tableColumn id="2" xr3:uid="{00000000-0010-0000-0000-000002000000}" name="Flt Dt" dataDxfId="222" totalsRowDxfId="185"/>
    <tableColumn id="3" xr3:uid="{00000000-0010-0000-0000-000003000000}" name="Flt" totalsRowFunction="count" dataDxfId="221" totalsRowDxfId="184"/>
    <tableColumn id="4" xr3:uid="{00000000-0010-0000-0000-000004000000}" name="DEP" dataDxfId="220" totalsRowDxfId="183"/>
    <tableColumn id="5" xr3:uid="{00000000-0010-0000-0000-000005000000}" name="Brd-Off" totalsRowFunction="count" dataDxfId="219" totalsRowDxfId="182"/>
    <tableColumn id="6" xr3:uid="{00000000-0010-0000-0000-000006000000}" name="Eqp" dataDxfId="218" totalsRowDxfId="181"/>
    <tableColumn id="7" xr3:uid="{00000000-0010-0000-0000-000007000000}" name="LF%" totalsRowFunction="average" dataDxfId="217" totalsRowDxfId="180"/>
    <tableColumn id="8" xr3:uid="{00000000-0010-0000-0000-000008000000}" name="CAP" totalsRowFunction="sum" dataDxfId="216" totalsRowDxfId="179"/>
    <tableColumn id="9" xr3:uid="{00000000-0010-0000-0000-000009000000}" name="BKG(Y)" totalsRowFunction="sum" dataDxfId="215" totalsRowDxfId="178"/>
    <tableColumn id="10" xr3:uid="{00000000-0010-0000-0000-00000A000000}" name="GRP(Y)" totalsRowFunction="sum" dataDxfId="214" totalsRowDxfId="177"/>
    <tableColumn id="11" xr3:uid="{00000000-0010-0000-0000-00000B000000}" name="FLT ST" dataDxfId="213" totalsRowDxfId="176"/>
    <tableColumn id="12" xr3:uid="{00000000-0010-0000-0000-00000C000000}" name="LST-SOLD" dataDxfId="212" totalsRowDxfId="175"/>
    <tableColumn id="13" xr3:uid="{00000000-0010-0000-0000-00000D000000}" name="TO-DAY" totalsRowFunction="sum" dataDxfId="211" totalsRowDxfId="174"/>
    <tableColumn id="14" xr3:uid="{00000000-0010-0000-0000-00000E000000}" name="Y-DAY" totalsRowFunction="sum" dataDxfId="210" totalsRowDxfId="173"/>
    <tableColumn id="15" xr3:uid="{00000000-0010-0000-0000-00000F000000}" name="WEEKLY" totalsRowFunction="sum" dataDxfId="209" totalsRowDxfId="172"/>
    <tableColumn id="16" xr3:uid="{00000000-0010-0000-0000-000010000000}" name="LOWEST AVAIL" dataDxfId="208" totalsRowDxfId="171"/>
    <tableColumn id="17" xr3:uid="{00000000-0010-0000-0000-000011000000}" name="Y" totalsRowFunction="sum" dataDxfId="207" totalsRowDxfId="170"/>
    <tableColumn id="18" xr3:uid="{00000000-0010-0000-0000-000012000000}" name="B" totalsRowFunction="sum" dataDxfId="206" totalsRowDxfId="169"/>
    <tableColumn id="19" xr3:uid="{00000000-0010-0000-0000-000013000000}" name="M" totalsRowFunction="sum" dataDxfId="205" totalsRowDxfId="168"/>
    <tableColumn id="20" xr3:uid="{00000000-0010-0000-0000-000014000000}" name="H" totalsRowFunction="sum" dataDxfId="204" totalsRowDxfId="167"/>
    <tableColumn id="21" xr3:uid="{00000000-0010-0000-0000-000015000000}" name="Q" totalsRowFunction="sum" dataDxfId="203" totalsRowDxfId="166"/>
    <tableColumn id="22" xr3:uid="{00000000-0010-0000-0000-000016000000}" name="K" totalsRowFunction="sum" dataDxfId="202" totalsRowDxfId="165"/>
    <tableColumn id="23" xr3:uid="{00000000-0010-0000-0000-000017000000}" name="V" totalsRowFunction="sum" dataDxfId="201" totalsRowDxfId="164"/>
    <tableColumn id="24" xr3:uid="{00000000-0010-0000-0000-000018000000}" name="L" totalsRowFunction="sum" dataDxfId="200" totalsRowDxfId="163"/>
    <tableColumn id="25" xr3:uid="{00000000-0010-0000-0000-000019000000}" name="G" totalsRowFunction="sum" dataDxfId="199" totalsRowDxfId="162"/>
    <tableColumn id="26" xr3:uid="{00000000-0010-0000-0000-00001A000000}" name="S" totalsRowFunction="sum" dataDxfId="198" totalsRowDxfId="161"/>
    <tableColumn id="27" xr3:uid="{00000000-0010-0000-0000-00001B000000}" name="W" totalsRowFunction="sum" dataDxfId="197" totalsRowDxfId="160"/>
    <tableColumn id="28" xr3:uid="{00000000-0010-0000-0000-00001C000000}" name="T" totalsRowFunction="sum" dataDxfId="196" totalsRowDxfId="159"/>
    <tableColumn id="29" xr3:uid="{00000000-0010-0000-0000-00001D000000}" name="X" totalsRowFunction="sum" dataDxfId="195" totalsRowDxfId="158"/>
    <tableColumn id="30" xr3:uid="{00000000-0010-0000-0000-00001E000000}" name="U" totalsRowFunction="sum" dataDxfId="194" totalsRowDxfId="157"/>
    <tableColumn id="31" xr3:uid="{00000000-0010-0000-0000-00001F000000}" name="O" totalsRowFunction="sum" dataDxfId="193" totalsRowDxfId="156"/>
    <tableColumn id="32" xr3:uid="{00000000-0010-0000-0000-000020000000}" name="I" totalsRowFunction="sum" dataDxfId="192" totalsRowDxfId="155"/>
    <tableColumn id="33" xr3:uid="{00000000-0010-0000-0000-000021000000}" name="E" totalsRowFunction="sum" dataDxfId="191" totalsRowDxfId="154"/>
    <tableColumn id="34" xr3:uid="{00000000-0010-0000-0000-000022000000}" name="A" totalsRowFunction="sum" dataDxfId="190" totalsRowDxfId="153"/>
    <tableColumn id="35" xr3:uid="{00000000-0010-0000-0000-000023000000}" name="P" totalsRowFunction="sum" dataDxfId="189" totalsRowDxfId="152"/>
    <tableColumn id="36" xr3:uid="{00000000-0010-0000-0000-000024000000}" name="N" totalsRowFunction="count" dataDxfId="188" totalsRowDxfId="1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CAI" displayName="FocusMode_MED_CAI" ref="A1:H73" totalsRowShown="0">
  <autoFilter ref="A1:H7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MED_CAI" displayName="ThreatsAlert_MED_CAI" ref="A1:I14">
  <autoFilter ref="A1:I14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JED_CAI_LF_LEGACY" displayName="JED_CAI_LF_LEGACY" ref="A1:AJ20" totalsRowCount="1" headerRowDxfId="149" dataDxfId="112" totalsRowDxfId="75">
  <tableColumns count="36">
    <tableColumn id="1" xr3:uid="{00000000-0010-0000-0300-000001000000}" name="Day" totalsRowLabel="TOTAL" dataDxfId="148" totalsRowDxfId="111"/>
    <tableColumn id="2" xr3:uid="{00000000-0010-0000-0300-000002000000}" name="Flt Dt" dataDxfId="147" totalsRowDxfId="110"/>
    <tableColumn id="3" xr3:uid="{00000000-0010-0000-0300-000003000000}" name="Flt" totalsRowFunction="count" dataDxfId="146" totalsRowDxfId="109"/>
    <tableColumn id="4" xr3:uid="{00000000-0010-0000-0300-000004000000}" name="DEP" dataDxfId="145" totalsRowDxfId="108"/>
    <tableColumn id="5" xr3:uid="{00000000-0010-0000-0300-000005000000}" name="Brd-Off" totalsRowFunction="count" dataDxfId="144" totalsRowDxfId="107"/>
    <tableColumn id="6" xr3:uid="{00000000-0010-0000-0300-000006000000}" name="Eqp" dataDxfId="143" totalsRowDxfId="106"/>
    <tableColumn id="7" xr3:uid="{00000000-0010-0000-0300-000007000000}" name="LF%" totalsRowFunction="average" dataDxfId="142" totalsRowDxfId="105"/>
    <tableColumn id="8" xr3:uid="{00000000-0010-0000-0300-000008000000}" name="CAP" totalsRowFunction="sum" dataDxfId="141" totalsRowDxfId="104"/>
    <tableColumn id="9" xr3:uid="{00000000-0010-0000-0300-000009000000}" name="BKG(Y)" totalsRowFunction="sum" dataDxfId="140" totalsRowDxfId="103"/>
    <tableColumn id="10" xr3:uid="{00000000-0010-0000-0300-00000A000000}" name="GRP(Y)" totalsRowFunction="sum" dataDxfId="139" totalsRowDxfId="102"/>
    <tableColumn id="11" xr3:uid="{00000000-0010-0000-0300-00000B000000}" name="FLT ST" dataDxfId="138" totalsRowDxfId="101"/>
    <tableColumn id="12" xr3:uid="{00000000-0010-0000-0300-00000C000000}" name="LST-SOLD" dataDxfId="137" totalsRowDxfId="100"/>
    <tableColumn id="13" xr3:uid="{00000000-0010-0000-0300-00000D000000}" name="TO-DAY" totalsRowFunction="sum" dataDxfId="136" totalsRowDxfId="99"/>
    <tableColumn id="14" xr3:uid="{00000000-0010-0000-0300-00000E000000}" name="Y-DAY" totalsRowFunction="sum" dataDxfId="135" totalsRowDxfId="98"/>
    <tableColumn id="15" xr3:uid="{00000000-0010-0000-0300-00000F000000}" name="WEEKLY" totalsRowFunction="sum" dataDxfId="134" totalsRowDxfId="97"/>
    <tableColumn id="16" xr3:uid="{00000000-0010-0000-0300-000010000000}" name="LOWEST AVAIL" dataDxfId="133" totalsRowDxfId="96"/>
    <tableColumn id="17" xr3:uid="{00000000-0010-0000-0300-000011000000}" name="Y" totalsRowFunction="sum" dataDxfId="132" totalsRowDxfId="95"/>
    <tableColumn id="18" xr3:uid="{00000000-0010-0000-0300-000012000000}" name="B" totalsRowFunction="sum" dataDxfId="131" totalsRowDxfId="94"/>
    <tableColumn id="19" xr3:uid="{00000000-0010-0000-0300-000013000000}" name="M" totalsRowFunction="sum" dataDxfId="130" totalsRowDxfId="93"/>
    <tableColumn id="20" xr3:uid="{00000000-0010-0000-0300-000014000000}" name="H" totalsRowFunction="sum" dataDxfId="129" totalsRowDxfId="92"/>
    <tableColumn id="21" xr3:uid="{00000000-0010-0000-0300-000015000000}" name="Q" totalsRowFunction="sum" dataDxfId="128" totalsRowDxfId="91"/>
    <tableColumn id="22" xr3:uid="{00000000-0010-0000-0300-000016000000}" name="K" totalsRowFunction="sum" dataDxfId="127" totalsRowDxfId="90"/>
    <tableColumn id="23" xr3:uid="{00000000-0010-0000-0300-000017000000}" name="V" totalsRowFunction="sum" dataDxfId="126" totalsRowDxfId="89"/>
    <tableColumn id="24" xr3:uid="{00000000-0010-0000-0300-000018000000}" name="L" totalsRowFunction="sum" dataDxfId="125" totalsRowDxfId="88"/>
    <tableColumn id="25" xr3:uid="{00000000-0010-0000-0300-000019000000}" name="G" totalsRowFunction="sum" dataDxfId="124" totalsRowDxfId="87"/>
    <tableColumn id="26" xr3:uid="{00000000-0010-0000-0300-00001A000000}" name="S" totalsRowFunction="sum" dataDxfId="123" totalsRowDxfId="86"/>
    <tableColumn id="27" xr3:uid="{00000000-0010-0000-0300-00001B000000}" name="W" totalsRowFunction="sum" dataDxfId="122" totalsRowDxfId="85"/>
    <tableColumn id="28" xr3:uid="{00000000-0010-0000-0300-00001C000000}" name="T" totalsRowFunction="sum" dataDxfId="121" totalsRowDxfId="84"/>
    <tableColumn id="29" xr3:uid="{00000000-0010-0000-0300-00001D000000}" name="X" totalsRowFunction="sum" dataDxfId="120" totalsRowDxfId="83"/>
    <tableColumn id="30" xr3:uid="{00000000-0010-0000-0300-00001E000000}" name="U" totalsRowFunction="sum" dataDxfId="119" totalsRowDxfId="82"/>
    <tableColumn id="31" xr3:uid="{00000000-0010-0000-0300-00001F000000}" name="O" totalsRowFunction="sum" dataDxfId="118" totalsRowDxfId="81"/>
    <tableColumn id="32" xr3:uid="{00000000-0010-0000-0300-000020000000}" name="I" totalsRowFunction="sum" dataDxfId="117" totalsRowDxfId="80"/>
    <tableColumn id="33" xr3:uid="{00000000-0010-0000-0300-000021000000}" name="E" totalsRowFunction="sum" dataDxfId="116" totalsRowDxfId="79"/>
    <tableColumn id="34" xr3:uid="{00000000-0010-0000-0300-000022000000}" name="A" totalsRowFunction="sum" dataDxfId="115" totalsRowDxfId="78"/>
    <tableColumn id="35" xr3:uid="{00000000-0010-0000-0300-000023000000}" name="P" totalsRowFunction="sum" dataDxfId="114" totalsRowDxfId="77"/>
    <tableColumn id="36" xr3:uid="{00000000-0010-0000-0300-000024000000}" name="N" totalsRowFunction="count" dataDxfId="113" totalsRowDxfId="7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CAI" displayName="FocusMode_JED_CAI" ref="A1:H290" totalsRowShown="0">
  <autoFilter ref="A1:H290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hreatsAlert_JED_CAI" displayName="ThreatsAlert_JED_CAI" ref="A1:I113">
  <autoFilter ref="A1:I113" xr:uid="{00000000-0009-0000-0100-000006000000}"/>
  <tableColumns count="9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  <tableColumn id="9" xr3:uid="{00000000-0010-0000-0500-000009000000}" name="THREAT 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UH_CAI_LF_LEGACY" displayName="RUH_CAI_LF_LEGACY" ref="A1:AJ6" totalsRowCount="1" headerRowDxfId="74" dataDxfId="37" totalsRowDxfId="0">
  <tableColumns count="36">
    <tableColumn id="1" xr3:uid="{00000000-0010-0000-0600-000001000000}" name="Day" totalsRowLabel="TOTAL" dataDxfId="73" totalsRowDxfId="36"/>
    <tableColumn id="2" xr3:uid="{00000000-0010-0000-0600-000002000000}" name="Flt Dt" dataDxfId="72" totalsRowDxfId="35"/>
    <tableColumn id="3" xr3:uid="{00000000-0010-0000-0600-000003000000}" name="Flt" totalsRowFunction="count" dataDxfId="71" totalsRowDxfId="34"/>
    <tableColumn id="4" xr3:uid="{00000000-0010-0000-0600-000004000000}" name="DEP" dataDxfId="70" totalsRowDxfId="33"/>
    <tableColumn id="5" xr3:uid="{00000000-0010-0000-0600-000005000000}" name="Brd-Off" totalsRowFunction="count" dataDxfId="69" totalsRowDxfId="32"/>
    <tableColumn id="6" xr3:uid="{00000000-0010-0000-0600-000006000000}" name="Eqp" dataDxfId="68" totalsRowDxfId="31"/>
    <tableColumn id="7" xr3:uid="{00000000-0010-0000-0600-000007000000}" name="LF%" totalsRowFunction="average" dataDxfId="67" totalsRowDxfId="30"/>
    <tableColumn id="8" xr3:uid="{00000000-0010-0000-0600-000008000000}" name="CAP" totalsRowFunction="sum" dataDxfId="66" totalsRowDxfId="29"/>
    <tableColumn id="9" xr3:uid="{00000000-0010-0000-0600-000009000000}" name="BKG(Y)" totalsRowFunction="sum" dataDxfId="65" totalsRowDxfId="28"/>
    <tableColumn id="10" xr3:uid="{00000000-0010-0000-0600-00000A000000}" name="GRP(Y)" totalsRowFunction="sum" dataDxfId="64" totalsRowDxfId="27"/>
    <tableColumn id="11" xr3:uid="{00000000-0010-0000-0600-00000B000000}" name="FLT ST" dataDxfId="63" totalsRowDxfId="26"/>
    <tableColumn id="12" xr3:uid="{00000000-0010-0000-0600-00000C000000}" name="LST-SOLD" dataDxfId="62" totalsRowDxfId="25"/>
    <tableColumn id="13" xr3:uid="{00000000-0010-0000-0600-00000D000000}" name="TO-DAY" totalsRowFunction="sum" dataDxfId="61" totalsRowDxfId="24"/>
    <tableColumn id="14" xr3:uid="{00000000-0010-0000-0600-00000E000000}" name="Y-DAY" totalsRowFunction="sum" dataDxfId="60" totalsRowDxfId="23"/>
    <tableColumn id="15" xr3:uid="{00000000-0010-0000-0600-00000F000000}" name="WEEKLY" totalsRowFunction="sum" dataDxfId="59" totalsRowDxfId="22"/>
    <tableColumn id="16" xr3:uid="{00000000-0010-0000-0600-000010000000}" name="LOWEST AVAIL" dataDxfId="58" totalsRowDxfId="21"/>
    <tableColumn id="17" xr3:uid="{00000000-0010-0000-0600-000011000000}" name="Y" totalsRowFunction="sum" dataDxfId="57" totalsRowDxfId="20"/>
    <tableColumn id="18" xr3:uid="{00000000-0010-0000-0600-000012000000}" name="B" totalsRowFunction="sum" dataDxfId="56" totalsRowDxfId="19"/>
    <tableColumn id="19" xr3:uid="{00000000-0010-0000-0600-000013000000}" name="M" totalsRowFunction="sum" dataDxfId="55" totalsRowDxfId="18"/>
    <tableColumn id="20" xr3:uid="{00000000-0010-0000-0600-000014000000}" name="H" totalsRowFunction="sum" dataDxfId="54" totalsRowDxfId="17"/>
    <tableColumn id="21" xr3:uid="{00000000-0010-0000-0600-000015000000}" name="Q" totalsRowFunction="sum" dataDxfId="53" totalsRowDxfId="16"/>
    <tableColumn id="22" xr3:uid="{00000000-0010-0000-0600-000016000000}" name="K" totalsRowFunction="sum" dataDxfId="52" totalsRowDxfId="15"/>
    <tableColumn id="23" xr3:uid="{00000000-0010-0000-0600-000017000000}" name="V" totalsRowFunction="sum" dataDxfId="51" totalsRowDxfId="14"/>
    <tableColumn id="24" xr3:uid="{00000000-0010-0000-0600-000018000000}" name="L" totalsRowFunction="sum" dataDxfId="50" totalsRowDxfId="13"/>
    <tableColumn id="25" xr3:uid="{00000000-0010-0000-0600-000019000000}" name="G" totalsRowFunction="sum" dataDxfId="49" totalsRowDxfId="12"/>
    <tableColumn id="26" xr3:uid="{00000000-0010-0000-0600-00001A000000}" name="S" totalsRowFunction="sum" dataDxfId="48" totalsRowDxfId="11"/>
    <tableColumn id="27" xr3:uid="{00000000-0010-0000-0600-00001B000000}" name="W" totalsRowFunction="sum" dataDxfId="47" totalsRowDxfId="10"/>
    <tableColumn id="28" xr3:uid="{00000000-0010-0000-0600-00001C000000}" name="T" totalsRowFunction="sum" dataDxfId="46" totalsRowDxfId="9"/>
    <tableColumn id="29" xr3:uid="{00000000-0010-0000-0600-00001D000000}" name="X" totalsRowFunction="sum" dataDxfId="45" totalsRowDxfId="8"/>
    <tableColumn id="30" xr3:uid="{00000000-0010-0000-0600-00001E000000}" name="U" totalsRowFunction="sum" dataDxfId="44" totalsRowDxfId="7"/>
    <tableColumn id="31" xr3:uid="{00000000-0010-0000-0600-00001F000000}" name="O" totalsRowFunction="sum" dataDxfId="43" totalsRowDxfId="6"/>
    <tableColumn id="32" xr3:uid="{00000000-0010-0000-0600-000020000000}" name="I" totalsRowFunction="sum" dataDxfId="42" totalsRowDxfId="5"/>
    <tableColumn id="33" xr3:uid="{00000000-0010-0000-0600-000021000000}" name="E" totalsRowFunction="sum" dataDxfId="41" totalsRowDxfId="4"/>
    <tableColumn id="34" xr3:uid="{00000000-0010-0000-0600-000022000000}" name="A" totalsRowFunction="sum" dataDxfId="40" totalsRowDxfId="3"/>
    <tableColumn id="35" xr3:uid="{00000000-0010-0000-0600-000023000000}" name="P" totalsRowFunction="sum" dataDxfId="39" totalsRowDxfId="2"/>
    <tableColumn id="36" xr3:uid="{00000000-0010-0000-0600-000024000000}" name="N" totalsRowFunction="count" dataDxfId="38" totalsRowDxfId="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RUH_CAI" displayName="FocusMode_RUH_CAI" ref="A1:H217" totalsRowShown="0">
  <autoFilter ref="A1:H217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hreatsAlert_RUH_CAI" displayName="ThreatsAlert_RUH_CAI" ref="A1:I91">
  <autoFilter ref="A1:I91" xr:uid="{00000000-0009-0000-0100-000009000000}"/>
  <tableColumns count="9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  <tableColumn id="9" xr3:uid="{00000000-0010-0000-08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86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18.5546875" bestFit="1" customWidth="1"/>
    <col min="6" max="6" width="23.44140625" bestFit="1" customWidth="1"/>
    <col min="7" max="7" width="48.777343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60.88671875" bestFit="1" customWidth="1"/>
  </cols>
  <sheetData>
    <row r="1" spans="1:92" ht="28.8" customHeight="1" x14ac:dyDescent="0.3">
      <c r="A1" s="199" t="s">
        <v>0</v>
      </c>
      <c r="B1" s="198"/>
      <c r="C1" s="198"/>
      <c r="D1" s="198"/>
      <c r="E1" s="198"/>
      <c r="F1" s="1" t="s">
        <v>1</v>
      </c>
      <c r="G1" s="2" t="s">
        <v>2</v>
      </c>
      <c r="H1" s="197">
        <v>45983</v>
      </c>
      <c r="I1" s="198"/>
      <c r="J1" s="198"/>
      <c r="K1" s="198"/>
      <c r="L1" s="198"/>
      <c r="M1" s="1" t="s">
        <v>3</v>
      </c>
      <c r="N1" s="206">
        <v>45986</v>
      </c>
      <c r="O1" s="198"/>
      <c r="P1" s="198"/>
      <c r="Q1" s="198"/>
      <c r="R1" s="198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01" t="s">
        <v>4</v>
      </c>
      <c r="B2" s="198"/>
      <c r="C2" s="198"/>
      <c r="D2" s="198"/>
      <c r="E2" s="198"/>
      <c r="F2" s="198"/>
      <c r="G2" s="203">
        <v>45981.944376128493</v>
      </c>
      <c r="H2" s="198"/>
      <c r="I2" s="198"/>
      <c r="J2" s="198"/>
      <c r="K2" s="207">
        <v>45981.944376128842</v>
      </c>
      <c r="L2" s="198"/>
      <c r="M2" s="198"/>
      <c r="N2" s="198"/>
      <c r="O2" s="198"/>
      <c r="P2" s="198"/>
      <c r="Q2" s="198"/>
      <c r="R2" s="19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02" t="s">
        <v>5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04" t="s">
        <v>6</v>
      </c>
      <c r="B4" s="191"/>
      <c r="C4" s="191"/>
      <c r="D4" s="191"/>
      <c r="E4" s="191"/>
      <c r="F4" s="192"/>
      <c r="G4" s="4">
        <v>45983</v>
      </c>
      <c r="H4" s="200" t="s">
        <v>7</v>
      </c>
      <c r="I4" s="191"/>
      <c r="J4" s="191"/>
      <c r="K4" s="191"/>
      <c r="L4" s="191"/>
      <c r="M4" s="191"/>
      <c r="N4" s="191"/>
      <c r="O4" s="191"/>
      <c r="P4" s="191"/>
      <c r="Q4" s="191"/>
      <c r="R4" s="19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26</v>
      </c>
      <c r="B6" s="8" t="s">
        <v>27</v>
      </c>
      <c r="C6" s="9">
        <v>0.4201388888888889</v>
      </c>
      <c r="D6" s="8" t="s">
        <v>28</v>
      </c>
      <c r="E6" s="8" t="s">
        <v>29</v>
      </c>
      <c r="F6" s="8" t="s">
        <v>30</v>
      </c>
      <c r="G6" s="194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15" customHeight="1" x14ac:dyDescent="0.3">
      <c r="A7" s="15" t="s">
        <v>26</v>
      </c>
      <c r="B7" s="15" t="s">
        <v>27</v>
      </c>
      <c r="C7" s="16">
        <v>0.4201388888888889</v>
      </c>
      <c r="D7" s="15" t="s">
        <v>31</v>
      </c>
      <c r="E7" s="15" t="s">
        <v>32</v>
      </c>
      <c r="F7" s="15" t="s">
        <v>33</v>
      </c>
      <c r="G7" s="195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15" customHeight="1" x14ac:dyDescent="0.3">
      <c r="A8" s="15" t="s">
        <v>26</v>
      </c>
      <c r="B8" s="15" t="s">
        <v>27</v>
      </c>
      <c r="C8" s="16">
        <v>0.4201388888888889</v>
      </c>
      <c r="D8" s="15" t="s">
        <v>34</v>
      </c>
      <c r="E8" s="15" t="s">
        <v>32</v>
      </c>
      <c r="F8" s="15" t="s">
        <v>35</v>
      </c>
      <c r="G8" s="195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5" customHeight="1" x14ac:dyDescent="0.3">
      <c r="A9" s="17" t="s">
        <v>36</v>
      </c>
      <c r="B9" s="17" t="s">
        <v>37</v>
      </c>
      <c r="C9" s="18">
        <v>0.75694444444444453</v>
      </c>
      <c r="D9" s="17" t="s">
        <v>38</v>
      </c>
      <c r="E9" s="17" t="s">
        <v>39</v>
      </c>
      <c r="F9" s="17" t="s">
        <v>40</v>
      </c>
      <c r="G9" s="195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</row>
    <row r="10" spans="1:92" ht="15" customHeight="1" x14ac:dyDescent="0.3">
      <c r="A10" s="15" t="s">
        <v>36</v>
      </c>
      <c r="B10" s="15" t="s">
        <v>37</v>
      </c>
      <c r="C10" s="16">
        <v>0.75694444444444453</v>
      </c>
      <c r="D10" s="15" t="s">
        <v>41</v>
      </c>
      <c r="E10" s="15" t="s">
        <v>42</v>
      </c>
      <c r="F10" s="15" t="s">
        <v>33</v>
      </c>
      <c r="G10" s="195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</row>
    <row r="11" spans="1:92" ht="15" customHeight="1" x14ac:dyDescent="0.3">
      <c r="A11" s="15" t="s">
        <v>36</v>
      </c>
      <c r="B11" s="15" t="s">
        <v>37</v>
      </c>
      <c r="C11" s="16">
        <v>0.75694444444444453</v>
      </c>
      <c r="D11" s="15" t="s">
        <v>43</v>
      </c>
      <c r="E11" s="15" t="s">
        <v>42</v>
      </c>
      <c r="F11" s="15" t="s">
        <v>44</v>
      </c>
      <c r="G11" s="195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</row>
    <row r="12" spans="1:92" ht="15" customHeight="1" x14ac:dyDescent="0.3">
      <c r="A12" s="19" t="s">
        <v>36</v>
      </c>
      <c r="B12" s="19" t="s">
        <v>45</v>
      </c>
      <c r="C12" s="20">
        <v>0.35416666666666669</v>
      </c>
      <c r="D12" s="19" t="s">
        <v>38</v>
      </c>
      <c r="E12" s="19" t="s">
        <v>46</v>
      </c>
      <c r="F12" s="19" t="s">
        <v>40</v>
      </c>
      <c r="G12" s="195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</row>
    <row r="13" spans="1:92" ht="15" customHeight="1" x14ac:dyDescent="0.3">
      <c r="A13" s="15" t="s">
        <v>36</v>
      </c>
      <c r="B13" s="15" t="s">
        <v>45</v>
      </c>
      <c r="C13" s="16">
        <v>0.35416666666666669</v>
      </c>
      <c r="D13" s="15" t="s">
        <v>41</v>
      </c>
      <c r="E13" s="15" t="s">
        <v>47</v>
      </c>
      <c r="F13" s="15" t="s">
        <v>33</v>
      </c>
      <c r="G13" s="195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</row>
    <row r="14" spans="1:92" ht="15" customHeight="1" x14ac:dyDescent="0.3">
      <c r="A14" s="15" t="s">
        <v>36</v>
      </c>
      <c r="B14" s="15" t="s">
        <v>45</v>
      </c>
      <c r="C14" s="16">
        <v>0.35416666666666669</v>
      </c>
      <c r="D14" s="15" t="s">
        <v>43</v>
      </c>
      <c r="E14" s="15" t="s">
        <v>47</v>
      </c>
      <c r="F14" s="15" t="s">
        <v>44</v>
      </c>
      <c r="G14" s="195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</row>
    <row r="15" spans="1:92" ht="15" customHeight="1" x14ac:dyDescent="0.3">
      <c r="A15" s="17" t="s">
        <v>48</v>
      </c>
      <c r="B15" s="17" t="s">
        <v>49</v>
      </c>
      <c r="C15" s="18">
        <v>9.7222222222222224E-2</v>
      </c>
      <c r="D15" s="17" t="s">
        <v>50</v>
      </c>
      <c r="E15" s="17" t="s">
        <v>51</v>
      </c>
      <c r="F15" s="17" t="s">
        <v>52</v>
      </c>
      <c r="G15" s="195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</row>
    <row r="16" spans="1:92" ht="15" customHeight="1" x14ac:dyDescent="0.3">
      <c r="A16" s="19" t="s">
        <v>48</v>
      </c>
      <c r="B16" s="19" t="s">
        <v>53</v>
      </c>
      <c r="C16" s="20">
        <v>0.49305555555555558</v>
      </c>
      <c r="D16" s="19" t="s">
        <v>50</v>
      </c>
      <c r="E16" s="19" t="s">
        <v>54</v>
      </c>
      <c r="F16" s="19" t="s">
        <v>55</v>
      </c>
      <c r="G16" s="195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</row>
    <row r="17" spans="1:18" ht="15" customHeight="1" x14ac:dyDescent="0.3">
      <c r="A17" s="17" t="s">
        <v>56</v>
      </c>
      <c r="B17" s="17" t="s">
        <v>57</v>
      </c>
      <c r="C17" s="18">
        <v>8.6805555555555566E-2</v>
      </c>
      <c r="D17" s="17" t="s">
        <v>58</v>
      </c>
      <c r="E17" s="17" t="s">
        <v>59</v>
      </c>
      <c r="F17" s="17" t="s">
        <v>60</v>
      </c>
      <c r="G17" s="195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</row>
    <row r="18" spans="1:18" ht="15" customHeight="1" x14ac:dyDescent="0.3">
      <c r="A18" s="15" t="s">
        <v>56</v>
      </c>
      <c r="B18" s="15" t="s">
        <v>57</v>
      </c>
      <c r="C18" s="16">
        <v>8.6805555555555566E-2</v>
      </c>
      <c r="D18" s="15" t="s">
        <v>61</v>
      </c>
      <c r="E18" s="15" t="s">
        <v>62</v>
      </c>
      <c r="F18" s="15" t="s">
        <v>63</v>
      </c>
      <c r="G18" s="195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</row>
    <row r="19" spans="1:18" ht="15" customHeight="1" x14ac:dyDescent="0.3">
      <c r="A19" s="19" t="s">
        <v>56</v>
      </c>
      <c r="B19" s="19" t="s">
        <v>64</v>
      </c>
      <c r="C19" s="20">
        <v>0.4201388888888889</v>
      </c>
      <c r="D19" s="19" t="s">
        <v>61</v>
      </c>
      <c r="E19" s="19" t="s">
        <v>65</v>
      </c>
      <c r="F19" s="19" t="s">
        <v>66</v>
      </c>
      <c r="G19" s="195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</row>
    <row r="20" spans="1:18" ht="15" customHeight="1" x14ac:dyDescent="0.3">
      <c r="A20" s="19" t="s">
        <v>56</v>
      </c>
      <c r="B20" s="19" t="s">
        <v>67</v>
      </c>
      <c r="C20" s="20">
        <v>0.60416666666666663</v>
      </c>
      <c r="D20" s="19" t="s">
        <v>58</v>
      </c>
      <c r="E20" s="19" t="s">
        <v>54</v>
      </c>
      <c r="F20" s="19" t="s">
        <v>68</v>
      </c>
      <c r="G20" s="195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</row>
    <row r="21" spans="1:18" ht="15" customHeight="1" x14ac:dyDescent="0.3">
      <c r="A21" s="15" t="s">
        <v>56</v>
      </c>
      <c r="B21" s="15" t="s">
        <v>67</v>
      </c>
      <c r="C21" s="16">
        <v>0.60416666666666663</v>
      </c>
      <c r="D21" s="15" t="s">
        <v>61</v>
      </c>
      <c r="E21" s="15" t="s">
        <v>69</v>
      </c>
      <c r="F21" s="15" t="s">
        <v>70</v>
      </c>
      <c r="G21" s="195"/>
      <c r="H21" s="10"/>
      <c r="I21" s="11"/>
      <c r="J21" s="11"/>
      <c r="K21" s="11"/>
      <c r="L21" s="11"/>
      <c r="M21" s="11"/>
      <c r="N21" s="11"/>
      <c r="O21" s="12"/>
      <c r="P21" s="11"/>
      <c r="Q21" s="13"/>
      <c r="R21" s="14"/>
    </row>
    <row r="22" spans="1:18" ht="15" customHeight="1" x14ac:dyDescent="0.3">
      <c r="A22" s="19" t="s">
        <v>56</v>
      </c>
      <c r="B22" s="19" t="s">
        <v>71</v>
      </c>
      <c r="C22" s="20">
        <v>0.79513888888888884</v>
      </c>
      <c r="D22" s="19" t="s">
        <v>58</v>
      </c>
      <c r="E22" s="19" t="s">
        <v>72</v>
      </c>
      <c r="F22" s="19" t="s">
        <v>68</v>
      </c>
      <c r="G22" s="195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</row>
    <row r="23" spans="1:18" ht="15" customHeight="1" x14ac:dyDescent="0.3">
      <c r="A23" s="15" t="s">
        <v>56</v>
      </c>
      <c r="B23" s="15" t="s">
        <v>71</v>
      </c>
      <c r="C23" s="16">
        <v>0.79513888888888884</v>
      </c>
      <c r="D23" s="15" t="s">
        <v>61</v>
      </c>
      <c r="E23" s="15" t="s">
        <v>62</v>
      </c>
      <c r="F23" s="15" t="s">
        <v>70</v>
      </c>
      <c r="G23" s="195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</row>
    <row r="24" spans="1:18" ht="15" customHeight="1" thickBot="1" x14ac:dyDescent="0.35">
      <c r="A24" s="21" t="s">
        <v>73</v>
      </c>
      <c r="B24" s="21" t="s">
        <v>74</v>
      </c>
      <c r="C24" s="22">
        <v>0.39583333333333331</v>
      </c>
      <c r="D24" s="21" t="s">
        <v>75</v>
      </c>
      <c r="E24" s="23"/>
      <c r="F24" s="21" t="s">
        <v>76</v>
      </c>
      <c r="G24" s="196"/>
      <c r="H24" s="24" t="s">
        <v>74</v>
      </c>
      <c r="I24" s="25">
        <v>1</v>
      </c>
      <c r="J24" s="26">
        <v>179</v>
      </c>
      <c r="K24" s="27">
        <v>45974</v>
      </c>
      <c r="L24" s="26">
        <v>1</v>
      </c>
      <c r="M24" s="26">
        <v>0</v>
      </c>
      <c r="N24" s="26">
        <v>0</v>
      </c>
      <c r="O24" s="28" t="s">
        <v>77</v>
      </c>
      <c r="P24" s="29">
        <v>0.39583333333333331</v>
      </c>
      <c r="Q24" s="26">
        <v>179</v>
      </c>
      <c r="R24" s="30" t="s">
        <v>78</v>
      </c>
    </row>
    <row r="25" spans="1:18" ht="17.399999999999999" customHeight="1" thickBot="1" x14ac:dyDescent="0.35">
      <c r="A25" s="222"/>
      <c r="B25" s="223"/>
      <c r="C25" s="223"/>
      <c r="D25" s="223"/>
      <c r="E25" s="223"/>
      <c r="F25" s="223"/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  <c r="R25" s="224"/>
    </row>
    <row r="26" spans="1:18" ht="22.05" customHeight="1" thickTop="1" thickBot="1" x14ac:dyDescent="0.35">
      <c r="A26" s="193" t="s">
        <v>6</v>
      </c>
      <c r="B26" s="191"/>
      <c r="C26" s="191"/>
      <c r="D26" s="191"/>
      <c r="E26" s="191"/>
      <c r="F26" s="192"/>
      <c r="G26" s="31">
        <v>45984</v>
      </c>
      <c r="H26" s="190" t="s">
        <v>7</v>
      </c>
      <c r="I26" s="191"/>
      <c r="J26" s="191"/>
      <c r="K26" s="191"/>
      <c r="L26" s="191"/>
      <c r="M26" s="191"/>
      <c r="N26" s="191"/>
      <c r="O26" s="191"/>
      <c r="P26" s="191"/>
      <c r="Q26" s="191"/>
      <c r="R26" s="192"/>
    </row>
    <row r="27" spans="1:18" ht="24" customHeight="1" x14ac:dyDescent="0.3">
      <c r="A27" s="32" t="s">
        <v>8</v>
      </c>
      <c r="B27" s="32" t="s">
        <v>9</v>
      </c>
      <c r="C27" s="33" t="s">
        <v>10</v>
      </c>
      <c r="D27" s="32" t="s">
        <v>11</v>
      </c>
      <c r="E27" s="32" t="s">
        <v>12</v>
      </c>
      <c r="F27" s="34" t="s">
        <v>13</v>
      </c>
      <c r="G27" s="35" t="s">
        <v>14</v>
      </c>
      <c r="H27" s="32" t="s">
        <v>15</v>
      </c>
      <c r="I27" s="36" t="s">
        <v>16</v>
      </c>
      <c r="J27" s="37" t="s">
        <v>17</v>
      </c>
      <c r="K27" s="38" t="s">
        <v>18</v>
      </c>
      <c r="L27" s="37" t="s">
        <v>19</v>
      </c>
      <c r="M27" s="37" t="s">
        <v>20</v>
      </c>
      <c r="N27" s="37" t="s">
        <v>21</v>
      </c>
      <c r="O27" s="32" t="s">
        <v>22</v>
      </c>
      <c r="P27" s="33" t="s">
        <v>23</v>
      </c>
      <c r="Q27" s="37" t="s">
        <v>24</v>
      </c>
      <c r="R27" s="32" t="s">
        <v>25</v>
      </c>
    </row>
    <row r="28" spans="1:18" ht="15" customHeight="1" x14ac:dyDescent="0.3">
      <c r="A28" s="8" t="s">
        <v>26</v>
      </c>
      <c r="B28" s="8" t="s">
        <v>27</v>
      </c>
      <c r="C28" s="9">
        <v>0.4201388888888889</v>
      </c>
      <c r="D28" s="8" t="s">
        <v>28</v>
      </c>
      <c r="E28" s="8" t="s">
        <v>79</v>
      </c>
      <c r="F28" s="8" t="s">
        <v>30</v>
      </c>
      <c r="G28" s="205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</row>
    <row r="29" spans="1:18" ht="15" customHeight="1" x14ac:dyDescent="0.3">
      <c r="A29" s="15" t="s">
        <v>26</v>
      </c>
      <c r="B29" s="15" t="s">
        <v>27</v>
      </c>
      <c r="C29" s="16">
        <v>0.4201388888888889</v>
      </c>
      <c r="D29" s="15" t="s">
        <v>31</v>
      </c>
      <c r="E29" s="15" t="s">
        <v>80</v>
      </c>
      <c r="F29" s="15" t="s">
        <v>33</v>
      </c>
      <c r="G29" s="195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</row>
    <row r="30" spans="1:18" ht="15" customHeight="1" x14ac:dyDescent="0.3">
      <c r="A30" s="15" t="s">
        <v>26</v>
      </c>
      <c r="B30" s="15" t="s">
        <v>27</v>
      </c>
      <c r="C30" s="16">
        <v>0.4201388888888889</v>
      </c>
      <c r="D30" s="15" t="s">
        <v>34</v>
      </c>
      <c r="E30" s="15" t="s">
        <v>80</v>
      </c>
      <c r="F30" s="15" t="s">
        <v>81</v>
      </c>
      <c r="G30" s="195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</row>
    <row r="31" spans="1:18" ht="15" customHeight="1" x14ac:dyDescent="0.3">
      <c r="A31" s="17" t="s">
        <v>36</v>
      </c>
      <c r="B31" s="17" t="s">
        <v>37</v>
      </c>
      <c r="C31" s="18">
        <v>0.75694444444444453</v>
      </c>
      <c r="D31" s="17" t="s">
        <v>38</v>
      </c>
      <c r="E31" s="17" t="s">
        <v>82</v>
      </c>
      <c r="F31" s="17" t="s">
        <v>30</v>
      </c>
      <c r="G31" s="195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</row>
    <row r="32" spans="1:18" ht="15" customHeight="1" x14ac:dyDescent="0.3">
      <c r="A32" s="15" t="s">
        <v>36</v>
      </c>
      <c r="B32" s="15" t="s">
        <v>37</v>
      </c>
      <c r="C32" s="16">
        <v>0.75694444444444453</v>
      </c>
      <c r="D32" s="15" t="s">
        <v>41</v>
      </c>
      <c r="E32" s="15" t="s">
        <v>83</v>
      </c>
      <c r="F32" s="15" t="s">
        <v>84</v>
      </c>
      <c r="G32" s="195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</row>
    <row r="33" spans="1:18" ht="15" customHeight="1" x14ac:dyDescent="0.3">
      <c r="A33" s="15" t="s">
        <v>36</v>
      </c>
      <c r="B33" s="15" t="s">
        <v>37</v>
      </c>
      <c r="C33" s="16">
        <v>0.75694444444444453</v>
      </c>
      <c r="D33" s="15" t="s">
        <v>43</v>
      </c>
      <c r="E33" s="15" t="s">
        <v>83</v>
      </c>
      <c r="F33" s="15" t="s">
        <v>85</v>
      </c>
      <c r="G33" s="195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</row>
    <row r="34" spans="1:18" ht="15" customHeight="1" x14ac:dyDescent="0.3">
      <c r="A34" s="17" t="s">
        <v>48</v>
      </c>
      <c r="B34" s="17" t="s">
        <v>53</v>
      </c>
      <c r="C34" s="18">
        <v>0.49305555555555558</v>
      </c>
      <c r="D34" s="17" t="s">
        <v>50</v>
      </c>
      <c r="E34" s="17" t="s">
        <v>86</v>
      </c>
      <c r="F34" s="17" t="s">
        <v>52</v>
      </c>
      <c r="G34" s="195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</row>
    <row r="35" spans="1:18" ht="15" customHeight="1" x14ac:dyDescent="0.3">
      <c r="A35" s="19" t="s">
        <v>48</v>
      </c>
      <c r="B35" s="19" t="s">
        <v>87</v>
      </c>
      <c r="C35" s="20">
        <v>0.44444444444444442</v>
      </c>
      <c r="D35" s="19" t="s">
        <v>50</v>
      </c>
      <c r="E35" s="19" t="s">
        <v>88</v>
      </c>
      <c r="F35" s="19" t="s">
        <v>52</v>
      </c>
      <c r="G35" s="195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</row>
    <row r="36" spans="1:18" ht="15" customHeight="1" x14ac:dyDescent="0.3">
      <c r="A36" s="19" t="s">
        <v>48</v>
      </c>
      <c r="B36" s="19" t="s">
        <v>89</v>
      </c>
      <c r="C36" s="20">
        <v>0.22222222222222221</v>
      </c>
      <c r="D36" s="19" t="s">
        <v>50</v>
      </c>
      <c r="E36" s="19" t="s">
        <v>72</v>
      </c>
      <c r="F36" s="19" t="s">
        <v>90</v>
      </c>
      <c r="G36" s="195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</row>
    <row r="37" spans="1:18" ht="15" customHeight="1" x14ac:dyDescent="0.3">
      <c r="A37" s="17" t="s">
        <v>56</v>
      </c>
      <c r="B37" s="17" t="s">
        <v>64</v>
      </c>
      <c r="C37" s="18">
        <v>0.4201388888888889</v>
      </c>
      <c r="D37" s="17" t="s">
        <v>61</v>
      </c>
      <c r="E37" s="17" t="s">
        <v>86</v>
      </c>
      <c r="F37" s="17" t="s">
        <v>91</v>
      </c>
      <c r="G37" s="195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</row>
    <row r="38" spans="1:18" ht="15" customHeight="1" x14ac:dyDescent="0.3">
      <c r="A38" s="19" t="s">
        <v>56</v>
      </c>
      <c r="B38" s="19" t="s">
        <v>57</v>
      </c>
      <c r="C38" s="20">
        <v>8.6805555555555566E-2</v>
      </c>
      <c r="D38" s="19" t="s">
        <v>58</v>
      </c>
      <c r="E38" s="19" t="s">
        <v>92</v>
      </c>
      <c r="F38" s="19" t="s">
        <v>93</v>
      </c>
      <c r="G38" s="195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</row>
    <row r="39" spans="1:18" ht="15" customHeight="1" x14ac:dyDescent="0.3">
      <c r="A39" s="15" t="s">
        <v>56</v>
      </c>
      <c r="B39" s="15" t="s">
        <v>57</v>
      </c>
      <c r="C39" s="16">
        <v>8.6805555555555566E-2</v>
      </c>
      <c r="D39" s="15" t="s">
        <v>61</v>
      </c>
      <c r="E39" s="15" t="s">
        <v>94</v>
      </c>
      <c r="F39" s="15" t="s">
        <v>95</v>
      </c>
      <c r="G39" s="195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</row>
    <row r="40" spans="1:18" ht="15" customHeight="1" x14ac:dyDescent="0.3">
      <c r="A40" s="19" t="s">
        <v>56</v>
      </c>
      <c r="B40" s="19" t="s">
        <v>67</v>
      </c>
      <c r="C40" s="20">
        <v>0.60416666666666663</v>
      </c>
      <c r="D40" s="19" t="s">
        <v>58</v>
      </c>
      <c r="E40" s="19" t="s">
        <v>72</v>
      </c>
      <c r="F40" s="19" t="s">
        <v>68</v>
      </c>
      <c r="G40" s="195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</row>
    <row r="41" spans="1:18" ht="15" customHeight="1" x14ac:dyDescent="0.3">
      <c r="A41" s="15" t="s">
        <v>56</v>
      </c>
      <c r="B41" s="15" t="s">
        <v>67</v>
      </c>
      <c r="C41" s="16">
        <v>0.60416666666666663</v>
      </c>
      <c r="D41" s="15" t="s">
        <v>61</v>
      </c>
      <c r="E41" s="15" t="s">
        <v>62</v>
      </c>
      <c r="F41" s="15" t="s">
        <v>70</v>
      </c>
      <c r="G41" s="195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</row>
    <row r="42" spans="1:18" ht="15" customHeight="1" x14ac:dyDescent="0.3">
      <c r="A42" s="19" t="s">
        <v>56</v>
      </c>
      <c r="B42" s="19" t="s">
        <v>71</v>
      </c>
      <c r="C42" s="20">
        <v>0.79513888888888884</v>
      </c>
      <c r="D42" s="19" t="s">
        <v>58</v>
      </c>
      <c r="E42" s="19" t="s">
        <v>72</v>
      </c>
      <c r="F42" s="19" t="s">
        <v>68</v>
      </c>
      <c r="G42" s="195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</row>
    <row r="43" spans="1:18" ht="15" customHeight="1" x14ac:dyDescent="0.3">
      <c r="A43" s="15" t="s">
        <v>56</v>
      </c>
      <c r="B43" s="15" t="s">
        <v>71</v>
      </c>
      <c r="C43" s="16">
        <v>0.79513888888888884</v>
      </c>
      <c r="D43" s="15" t="s">
        <v>61</v>
      </c>
      <c r="E43" s="15" t="s">
        <v>62</v>
      </c>
      <c r="F43" s="15" t="s">
        <v>70</v>
      </c>
      <c r="G43" s="195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</row>
    <row r="44" spans="1:18" ht="15" customHeight="1" thickBot="1" x14ac:dyDescent="0.35">
      <c r="A44" s="39" t="s">
        <v>73</v>
      </c>
      <c r="B44" s="39" t="s">
        <v>74</v>
      </c>
      <c r="C44" s="40">
        <v>0.90277777777777779</v>
      </c>
      <c r="D44" s="39" t="s">
        <v>75</v>
      </c>
      <c r="E44" s="41"/>
      <c r="F44" s="39" t="s">
        <v>76</v>
      </c>
      <c r="G44" s="196"/>
      <c r="H44" s="42" t="s">
        <v>74</v>
      </c>
      <c r="I44" s="43">
        <v>1</v>
      </c>
      <c r="J44" s="44">
        <v>179</v>
      </c>
      <c r="K44" s="45">
        <v>45977</v>
      </c>
      <c r="L44" s="44">
        <v>2</v>
      </c>
      <c r="M44" s="44">
        <v>0</v>
      </c>
      <c r="N44" s="44">
        <v>0</v>
      </c>
      <c r="O44" s="46" t="s">
        <v>77</v>
      </c>
      <c r="P44" s="47">
        <v>0.90277777777777779</v>
      </c>
      <c r="Q44" s="44">
        <v>179</v>
      </c>
      <c r="R44" s="48" t="s">
        <v>96</v>
      </c>
    </row>
    <row r="45" spans="1:18" ht="17.399999999999999" customHeight="1" thickBot="1" x14ac:dyDescent="0.35">
      <c r="A45" s="222"/>
      <c r="B45" s="223"/>
      <c r="C45" s="223"/>
      <c r="D45" s="223"/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3"/>
      <c r="P45" s="223"/>
      <c r="Q45" s="223"/>
      <c r="R45" s="224"/>
    </row>
    <row r="46" spans="1:18" ht="22.05" customHeight="1" thickTop="1" thickBot="1" x14ac:dyDescent="0.35">
      <c r="A46" s="193" t="s">
        <v>6</v>
      </c>
      <c r="B46" s="191"/>
      <c r="C46" s="191"/>
      <c r="D46" s="191"/>
      <c r="E46" s="191"/>
      <c r="F46" s="192"/>
      <c r="G46" s="31">
        <v>45985</v>
      </c>
      <c r="H46" s="190" t="s">
        <v>7</v>
      </c>
      <c r="I46" s="191"/>
      <c r="J46" s="191"/>
      <c r="K46" s="191"/>
      <c r="L46" s="191"/>
      <c r="M46" s="191"/>
      <c r="N46" s="191"/>
      <c r="O46" s="191"/>
      <c r="P46" s="191"/>
      <c r="Q46" s="191"/>
      <c r="R46" s="192"/>
    </row>
    <row r="47" spans="1:18" ht="24" customHeight="1" x14ac:dyDescent="0.3">
      <c r="A47" s="32" t="s">
        <v>8</v>
      </c>
      <c r="B47" s="32" t="s">
        <v>9</v>
      </c>
      <c r="C47" s="33" t="s">
        <v>10</v>
      </c>
      <c r="D47" s="32" t="s">
        <v>11</v>
      </c>
      <c r="E47" s="32" t="s">
        <v>12</v>
      </c>
      <c r="F47" s="34" t="s">
        <v>13</v>
      </c>
      <c r="G47" s="35" t="s">
        <v>14</v>
      </c>
      <c r="H47" s="32" t="s">
        <v>15</v>
      </c>
      <c r="I47" s="36" t="s">
        <v>16</v>
      </c>
      <c r="J47" s="37" t="s">
        <v>17</v>
      </c>
      <c r="K47" s="38" t="s">
        <v>18</v>
      </c>
      <c r="L47" s="37" t="s">
        <v>19</v>
      </c>
      <c r="M47" s="37" t="s">
        <v>20</v>
      </c>
      <c r="N47" s="37" t="s">
        <v>21</v>
      </c>
      <c r="O47" s="32" t="s">
        <v>22</v>
      </c>
      <c r="P47" s="33" t="s">
        <v>23</v>
      </c>
      <c r="Q47" s="37" t="s">
        <v>24</v>
      </c>
      <c r="R47" s="32" t="s">
        <v>25</v>
      </c>
    </row>
    <row r="48" spans="1:18" ht="15" customHeight="1" x14ac:dyDescent="0.3">
      <c r="A48" s="8" t="s">
        <v>36</v>
      </c>
      <c r="B48" s="8" t="s">
        <v>45</v>
      </c>
      <c r="C48" s="9">
        <v>0.35416666666666669</v>
      </c>
      <c r="D48" s="8" t="s">
        <v>38</v>
      </c>
      <c r="E48" s="8" t="s">
        <v>97</v>
      </c>
      <c r="F48" s="8" t="s">
        <v>30</v>
      </c>
      <c r="G48" s="194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</row>
    <row r="49" spans="1:18" ht="15" customHeight="1" x14ac:dyDescent="0.3">
      <c r="A49" s="15" t="s">
        <v>36</v>
      </c>
      <c r="B49" s="15" t="s">
        <v>45</v>
      </c>
      <c r="C49" s="16">
        <v>0.35416666666666669</v>
      </c>
      <c r="D49" s="15" t="s">
        <v>41</v>
      </c>
      <c r="E49" s="15" t="s">
        <v>47</v>
      </c>
      <c r="F49" s="15" t="s">
        <v>84</v>
      </c>
      <c r="G49" s="195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</row>
    <row r="50" spans="1:18" ht="15" customHeight="1" x14ac:dyDescent="0.3">
      <c r="A50" s="15" t="s">
        <v>36</v>
      </c>
      <c r="B50" s="15" t="s">
        <v>45</v>
      </c>
      <c r="C50" s="16">
        <v>0.35416666666666669</v>
      </c>
      <c r="D50" s="15" t="s">
        <v>43</v>
      </c>
      <c r="E50" s="15" t="s">
        <v>47</v>
      </c>
      <c r="F50" s="15" t="s">
        <v>85</v>
      </c>
      <c r="G50" s="195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</row>
    <row r="51" spans="1:18" ht="15" customHeight="1" x14ac:dyDescent="0.3">
      <c r="A51" s="19" t="s">
        <v>36</v>
      </c>
      <c r="B51" s="19" t="s">
        <v>37</v>
      </c>
      <c r="C51" s="20">
        <v>0.75694444444444453</v>
      </c>
      <c r="D51" s="19" t="s">
        <v>38</v>
      </c>
      <c r="E51" s="19" t="s">
        <v>72</v>
      </c>
      <c r="F51" s="19" t="s">
        <v>98</v>
      </c>
      <c r="G51" s="195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</row>
    <row r="52" spans="1:18" ht="15" customHeight="1" x14ac:dyDescent="0.3">
      <c r="A52" s="15" t="s">
        <v>36</v>
      </c>
      <c r="B52" s="15" t="s">
        <v>37</v>
      </c>
      <c r="C52" s="16">
        <v>0.75694444444444453</v>
      </c>
      <c r="D52" s="15" t="s">
        <v>41</v>
      </c>
      <c r="E52" s="15" t="s">
        <v>62</v>
      </c>
      <c r="F52" s="15" t="s">
        <v>99</v>
      </c>
      <c r="G52" s="195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</row>
    <row r="53" spans="1:18" ht="15" customHeight="1" x14ac:dyDescent="0.3">
      <c r="A53" s="15" t="s">
        <v>36</v>
      </c>
      <c r="B53" s="15" t="s">
        <v>37</v>
      </c>
      <c r="C53" s="16">
        <v>0.75694444444444453</v>
      </c>
      <c r="D53" s="15" t="s">
        <v>43</v>
      </c>
      <c r="E53" s="15" t="s">
        <v>62</v>
      </c>
      <c r="F53" s="15" t="s">
        <v>100</v>
      </c>
      <c r="G53" s="195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</row>
    <row r="54" spans="1:18" ht="15" customHeight="1" x14ac:dyDescent="0.3">
      <c r="A54" s="17" t="s">
        <v>26</v>
      </c>
      <c r="B54" s="17" t="s">
        <v>27</v>
      </c>
      <c r="C54" s="18">
        <v>0.4201388888888889</v>
      </c>
      <c r="D54" s="17" t="s">
        <v>28</v>
      </c>
      <c r="E54" s="17" t="s">
        <v>101</v>
      </c>
      <c r="F54" s="17" t="s">
        <v>102</v>
      </c>
      <c r="G54" s="195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</row>
    <row r="55" spans="1:18" ht="15" customHeight="1" x14ac:dyDescent="0.3">
      <c r="A55" s="15" t="s">
        <v>26</v>
      </c>
      <c r="B55" s="15" t="s">
        <v>27</v>
      </c>
      <c r="C55" s="16">
        <v>0.4201388888888889</v>
      </c>
      <c r="D55" s="15" t="s">
        <v>31</v>
      </c>
      <c r="E55" s="15" t="s">
        <v>103</v>
      </c>
      <c r="F55" s="15" t="s">
        <v>104</v>
      </c>
      <c r="G55" s="195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</row>
    <row r="56" spans="1:18" ht="15" customHeight="1" x14ac:dyDescent="0.3">
      <c r="A56" s="15" t="s">
        <v>26</v>
      </c>
      <c r="B56" s="15" t="s">
        <v>27</v>
      </c>
      <c r="C56" s="16">
        <v>0.4201388888888889</v>
      </c>
      <c r="D56" s="15" t="s">
        <v>34</v>
      </c>
      <c r="E56" s="15" t="s">
        <v>103</v>
      </c>
      <c r="F56" s="15" t="s">
        <v>81</v>
      </c>
      <c r="G56" s="195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</row>
    <row r="57" spans="1:18" ht="15" customHeight="1" x14ac:dyDescent="0.3">
      <c r="A57" s="17" t="s">
        <v>48</v>
      </c>
      <c r="B57" s="17" t="s">
        <v>89</v>
      </c>
      <c r="C57" s="18">
        <v>0.22222222222222221</v>
      </c>
      <c r="D57" s="17" t="s">
        <v>50</v>
      </c>
      <c r="E57" s="17" t="s">
        <v>51</v>
      </c>
      <c r="F57" s="17" t="s">
        <v>105</v>
      </c>
      <c r="G57" s="195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</row>
    <row r="58" spans="1:18" ht="15" customHeight="1" x14ac:dyDescent="0.3">
      <c r="A58" s="17" t="s">
        <v>56</v>
      </c>
      <c r="B58" s="17" t="s">
        <v>57</v>
      </c>
      <c r="C58" s="18">
        <v>8.6805555555555566E-2</v>
      </c>
      <c r="D58" s="17" t="s">
        <v>58</v>
      </c>
      <c r="E58" s="17" t="s">
        <v>51</v>
      </c>
      <c r="F58" s="17" t="s">
        <v>60</v>
      </c>
      <c r="G58" s="195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</row>
    <row r="59" spans="1:18" ht="15" customHeight="1" x14ac:dyDescent="0.3">
      <c r="A59" s="15" t="s">
        <v>56</v>
      </c>
      <c r="B59" s="15" t="s">
        <v>57</v>
      </c>
      <c r="C59" s="16">
        <v>8.6805555555555566E-2</v>
      </c>
      <c r="D59" s="15" t="s">
        <v>61</v>
      </c>
      <c r="E59" s="15" t="s">
        <v>94</v>
      </c>
      <c r="F59" s="15" t="s">
        <v>63</v>
      </c>
      <c r="G59" s="195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</row>
    <row r="60" spans="1:18" ht="15" customHeight="1" x14ac:dyDescent="0.3">
      <c r="A60" s="19" t="s">
        <v>56</v>
      </c>
      <c r="B60" s="19" t="s">
        <v>64</v>
      </c>
      <c r="C60" s="20">
        <v>0.4201388888888889</v>
      </c>
      <c r="D60" s="19" t="s">
        <v>61</v>
      </c>
      <c r="E60" s="19" t="s">
        <v>65</v>
      </c>
      <c r="F60" s="19" t="s">
        <v>91</v>
      </c>
      <c r="G60" s="195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</row>
    <row r="61" spans="1:18" ht="15" customHeight="1" x14ac:dyDescent="0.3">
      <c r="A61" s="19" t="s">
        <v>56</v>
      </c>
      <c r="B61" s="19" t="s">
        <v>67</v>
      </c>
      <c r="C61" s="20">
        <v>0.60416666666666663</v>
      </c>
      <c r="D61" s="19" t="s">
        <v>58</v>
      </c>
      <c r="E61" s="19" t="s">
        <v>72</v>
      </c>
      <c r="F61" s="19" t="s">
        <v>68</v>
      </c>
      <c r="G61" s="195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</row>
    <row r="62" spans="1:18" ht="15" customHeight="1" thickBot="1" x14ac:dyDescent="0.35">
      <c r="A62" s="49" t="s">
        <v>56</v>
      </c>
      <c r="B62" s="49" t="s">
        <v>67</v>
      </c>
      <c r="C62" s="50">
        <v>0.60416666666666663</v>
      </c>
      <c r="D62" s="49" t="s">
        <v>61</v>
      </c>
      <c r="E62" s="49" t="s">
        <v>62</v>
      </c>
      <c r="F62" s="49" t="s">
        <v>70</v>
      </c>
      <c r="G62" s="196"/>
      <c r="H62" s="51"/>
      <c r="I62" s="52"/>
      <c r="J62" s="52"/>
      <c r="K62" s="52"/>
      <c r="L62" s="52"/>
      <c r="M62" s="52"/>
      <c r="N62" s="52"/>
      <c r="O62" s="53"/>
      <c r="P62" s="52"/>
      <c r="Q62" s="54"/>
      <c r="R62" s="55"/>
    </row>
    <row r="63" spans="1:18" ht="17.399999999999999" customHeight="1" thickBot="1" x14ac:dyDescent="0.35">
      <c r="A63" s="222"/>
      <c r="B63" s="223"/>
      <c r="C63" s="223"/>
      <c r="D63" s="223"/>
      <c r="E63" s="223"/>
      <c r="F63" s="223"/>
      <c r="G63" s="223"/>
      <c r="H63" s="223"/>
      <c r="I63" s="223"/>
      <c r="J63" s="223"/>
      <c r="K63" s="223"/>
      <c r="L63" s="223"/>
      <c r="M63" s="223"/>
      <c r="N63" s="223"/>
      <c r="O63" s="223"/>
      <c r="P63" s="223"/>
      <c r="Q63" s="223"/>
      <c r="R63" s="224"/>
    </row>
    <row r="64" spans="1:18" ht="22.05" customHeight="1" thickTop="1" thickBot="1" x14ac:dyDescent="0.35">
      <c r="A64" s="193" t="s">
        <v>6</v>
      </c>
      <c r="B64" s="191"/>
      <c r="C64" s="191"/>
      <c r="D64" s="191"/>
      <c r="E64" s="191"/>
      <c r="F64" s="192"/>
      <c r="G64" s="31">
        <v>45986</v>
      </c>
      <c r="H64" s="190" t="s">
        <v>7</v>
      </c>
      <c r="I64" s="191"/>
      <c r="J64" s="191"/>
      <c r="K64" s="191"/>
      <c r="L64" s="191"/>
      <c r="M64" s="191"/>
      <c r="N64" s="191"/>
      <c r="O64" s="191"/>
      <c r="P64" s="191"/>
      <c r="Q64" s="191"/>
      <c r="R64" s="192"/>
    </row>
    <row r="65" spans="1:18" ht="24" customHeight="1" x14ac:dyDescent="0.3">
      <c r="A65" s="32" t="s">
        <v>8</v>
      </c>
      <c r="B65" s="32" t="s">
        <v>9</v>
      </c>
      <c r="C65" s="33" t="s">
        <v>10</v>
      </c>
      <c r="D65" s="32" t="s">
        <v>11</v>
      </c>
      <c r="E65" s="32" t="s">
        <v>12</v>
      </c>
      <c r="F65" s="34" t="s">
        <v>13</v>
      </c>
      <c r="G65" s="35" t="s">
        <v>14</v>
      </c>
      <c r="H65" s="32" t="s">
        <v>15</v>
      </c>
      <c r="I65" s="36" t="s">
        <v>16</v>
      </c>
      <c r="J65" s="37" t="s">
        <v>17</v>
      </c>
      <c r="K65" s="38" t="s">
        <v>18</v>
      </c>
      <c r="L65" s="37" t="s">
        <v>19</v>
      </c>
      <c r="M65" s="37" t="s">
        <v>20</v>
      </c>
      <c r="N65" s="37" t="s">
        <v>21</v>
      </c>
      <c r="O65" s="32" t="s">
        <v>22</v>
      </c>
      <c r="P65" s="33" t="s">
        <v>23</v>
      </c>
      <c r="Q65" s="37" t="s">
        <v>24</v>
      </c>
      <c r="R65" s="32" t="s">
        <v>25</v>
      </c>
    </row>
    <row r="66" spans="1:18" ht="15" customHeight="1" x14ac:dyDescent="0.3">
      <c r="A66" s="8" t="s">
        <v>26</v>
      </c>
      <c r="B66" s="8" t="s">
        <v>27</v>
      </c>
      <c r="C66" s="9">
        <v>0.4201388888888889</v>
      </c>
      <c r="D66" s="8" t="s">
        <v>28</v>
      </c>
      <c r="E66" s="8" t="s">
        <v>39</v>
      </c>
      <c r="F66" s="8" t="s">
        <v>102</v>
      </c>
      <c r="G66" s="194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</row>
    <row r="67" spans="1:18" ht="15" customHeight="1" x14ac:dyDescent="0.3">
      <c r="A67" s="15" t="s">
        <v>26</v>
      </c>
      <c r="B67" s="15" t="s">
        <v>27</v>
      </c>
      <c r="C67" s="16">
        <v>0.4201388888888889</v>
      </c>
      <c r="D67" s="15" t="s">
        <v>31</v>
      </c>
      <c r="E67" s="15" t="s">
        <v>42</v>
      </c>
      <c r="F67" s="15" t="s">
        <v>104</v>
      </c>
      <c r="G67" s="195"/>
      <c r="H67" s="10"/>
      <c r="I67" s="11"/>
      <c r="J67" s="11"/>
      <c r="K67" s="11"/>
      <c r="L67" s="11"/>
      <c r="M67" s="11"/>
      <c r="N67" s="11"/>
      <c r="O67" s="12"/>
      <c r="P67" s="11"/>
      <c r="Q67" s="13"/>
      <c r="R67" s="14"/>
    </row>
    <row r="68" spans="1:18" ht="15" customHeight="1" x14ac:dyDescent="0.3">
      <c r="A68" s="15" t="s">
        <v>26</v>
      </c>
      <c r="B68" s="15" t="s">
        <v>27</v>
      </c>
      <c r="C68" s="16">
        <v>0.4201388888888889</v>
      </c>
      <c r="D68" s="15" t="s">
        <v>34</v>
      </c>
      <c r="E68" s="15" t="s">
        <v>42</v>
      </c>
      <c r="F68" s="15" t="s">
        <v>81</v>
      </c>
      <c r="G68" s="195"/>
      <c r="H68" s="10"/>
      <c r="I68" s="11"/>
      <c r="J68" s="11"/>
      <c r="K68" s="11"/>
      <c r="L68" s="11"/>
      <c r="M68" s="11"/>
      <c r="N68" s="11"/>
      <c r="O68" s="12"/>
      <c r="P68" s="11"/>
      <c r="Q68" s="13"/>
      <c r="R68" s="14"/>
    </row>
    <row r="69" spans="1:18" ht="15" customHeight="1" x14ac:dyDescent="0.3">
      <c r="A69" s="17" t="s">
        <v>36</v>
      </c>
      <c r="B69" s="17" t="s">
        <v>37</v>
      </c>
      <c r="C69" s="18">
        <v>0.75694444444444453</v>
      </c>
      <c r="D69" s="17" t="s">
        <v>38</v>
      </c>
      <c r="E69" s="17" t="s">
        <v>106</v>
      </c>
      <c r="F69" s="17" t="s">
        <v>107</v>
      </c>
      <c r="G69" s="195"/>
      <c r="H69" s="10"/>
      <c r="I69" s="11"/>
      <c r="J69" s="11"/>
      <c r="K69" s="11"/>
      <c r="L69" s="11"/>
      <c r="M69" s="11"/>
      <c r="N69" s="11"/>
      <c r="O69" s="12"/>
      <c r="P69" s="11"/>
      <c r="Q69" s="13"/>
      <c r="R69" s="14"/>
    </row>
    <row r="70" spans="1:18" ht="15" customHeight="1" x14ac:dyDescent="0.3">
      <c r="A70" s="15" t="s">
        <v>36</v>
      </c>
      <c r="B70" s="15" t="s">
        <v>37</v>
      </c>
      <c r="C70" s="16">
        <v>0.75694444444444453</v>
      </c>
      <c r="D70" s="15" t="s">
        <v>41</v>
      </c>
      <c r="E70" s="15" t="s">
        <v>69</v>
      </c>
      <c r="F70" s="15" t="s">
        <v>108</v>
      </c>
      <c r="G70" s="195"/>
      <c r="H70" s="10"/>
      <c r="I70" s="11"/>
      <c r="J70" s="11"/>
      <c r="K70" s="11"/>
      <c r="L70" s="11"/>
      <c r="M70" s="11"/>
      <c r="N70" s="11"/>
      <c r="O70" s="12"/>
      <c r="P70" s="11"/>
      <c r="Q70" s="13"/>
      <c r="R70" s="14"/>
    </row>
    <row r="71" spans="1:18" ht="15" customHeight="1" x14ac:dyDescent="0.3">
      <c r="A71" s="15" t="s">
        <v>36</v>
      </c>
      <c r="B71" s="15" t="s">
        <v>37</v>
      </c>
      <c r="C71" s="16">
        <v>0.75694444444444453</v>
      </c>
      <c r="D71" s="15" t="s">
        <v>43</v>
      </c>
      <c r="E71" s="15" t="s">
        <v>69</v>
      </c>
      <c r="F71" s="15" t="s">
        <v>109</v>
      </c>
      <c r="G71" s="195"/>
      <c r="H71" s="10"/>
      <c r="I71" s="11"/>
      <c r="J71" s="11"/>
      <c r="K71" s="11"/>
      <c r="L71" s="11"/>
      <c r="M71" s="11"/>
      <c r="N71" s="11"/>
      <c r="O71" s="12"/>
      <c r="P71" s="11"/>
      <c r="Q71" s="13"/>
      <c r="R71" s="14"/>
    </row>
    <row r="72" spans="1:18" ht="15" customHeight="1" x14ac:dyDescent="0.3">
      <c r="A72" s="56" t="s">
        <v>73</v>
      </c>
      <c r="B72" s="56" t="s">
        <v>110</v>
      </c>
      <c r="C72" s="57">
        <v>0.27777777777777779</v>
      </c>
      <c r="D72" s="56" t="s">
        <v>111</v>
      </c>
      <c r="E72" s="56" t="s">
        <v>51</v>
      </c>
      <c r="F72" s="56" t="s">
        <v>112</v>
      </c>
      <c r="G72" s="195"/>
      <c r="H72" s="58" t="s">
        <v>113</v>
      </c>
      <c r="I72" s="59">
        <v>0.51190000000000002</v>
      </c>
      <c r="J72" s="60">
        <v>86</v>
      </c>
      <c r="K72" s="61">
        <v>45981</v>
      </c>
      <c r="L72" s="60">
        <v>25</v>
      </c>
      <c r="M72" s="60">
        <v>1</v>
      </c>
      <c r="N72" s="60">
        <v>0</v>
      </c>
      <c r="O72" s="62" t="s">
        <v>114</v>
      </c>
      <c r="P72" s="63">
        <v>0.27777777777777779</v>
      </c>
      <c r="Q72" s="60">
        <v>168</v>
      </c>
      <c r="R72" s="64" t="s">
        <v>115</v>
      </c>
    </row>
    <row r="73" spans="1:18" ht="15" customHeight="1" x14ac:dyDescent="0.3">
      <c r="A73" s="65" t="s">
        <v>73</v>
      </c>
      <c r="B73" s="65" t="s">
        <v>116</v>
      </c>
      <c r="C73" s="66">
        <v>4.8611111111111112E-2</v>
      </c>
      <c r="D73" s="65" t="s">
        <v>111</v>
      </c>
      <c r="E73" s="65" t="s">
        <v>117</v>
      </c>
      <c r="F73" s="65" t="s">
        <v>118</v>
      </c>
      <c r="G73" s="195"/>
      <c r="H73" s="67" t="s">
        <v>119</v>
      </c>
      <c r="I73" s="68">
        <v>0.91059999999999997</v>
      </c>
      <c r="J73" s="69">
        <v>163</v>
      </c>
      <c r="K73" s="70">
        <v>45965</v>
      </c>
      <c r="L73" s="69">
        <v>0</v>
      </c>
      <c r="M73" s="69">
        <v>0</v>
      </c>
      <c r="N73" s="69">
        <v>0</v>
      </c>
      <c r="O73" s="71" t="s">
        <v>120</v>
      </c>
      <c r="P73" s="72">
        <v>4.8611111111111112E-2</v>
      </c>
      <c r="Q73" s="69">
        <v>179</v>
      </c>
      <c r="R73" s="73" t="s">
        <v>121</v>
      </c>
    </row>
    <row r="74" spans="1:18" ht="15" customHeight="1" x14ac:dyDescent="0.3">
      <c r="A74" s="74" t="s">
        <v>73</v>
      </c>
      <c r="B74" s="74" t="s">
        <v>74</v>
      </c>
      <c r="C74" s="75">
        <v>0.97916666666666663</v>
      </c>
      <c r="D74" s="74" t="s">
        <v>75</v>
      </c>
      <c r="E74" s="76"/>
      <c r="F74" s="74" t="s">
        <v>76</v>
      </c>
      <c r="G74" s="195"/>
      <c r="H74" s="58" t="s">
        <v>74</v>
      </c>
      <c r="I74" s="77">
        <v>1</v>
      </c>
      <c r="J74" s="60">
        <v>179</v>
      </c>
      <c r="K74" s="61">
        <v>45980</v>
      </c>
      <c r="L74" s="60">
        <v>9</v>
      </c>
      <c r="M74" s="60">
        <v>0</v>
      </c>
      <c r="N74" s="60">
        <v>1</v>
      </c>
      <c r="O74" s="62" t="s">
        <v>77</v>
      </c>
      <c r="P74" s="63">
        <v>0.97916666666666663</v>
      </c>
      <c r="Q74" s="60">
        <v>179</v>
      </c>
      <c r="R74" s="64" t="s">
        <v>122</v>
      </c>
    </row>
    <row r="75" spans="1:18" ht="15" customHeight="1" x14ac:dyDescent="0.3">
      <c r="A75" s="17" t="s">
        <v>48</v>
      </c>
      <c r="B75" s="17" t="s">
        <v>49</v>
      </c>
      <c r="C75" s="18">
        <v>9.7222222222222224E-2</v>
      </c>
      <c r="D75" s="17" t="s">
        <v>50</v>
      </c>
      <c r="E75" s="17" t="s">
        <v>51</v>
      </c>
      <c r="F75" s="17" t="s">
        <v>52</v>
      </c>
      <c r="G75" s="195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</row>
    <row r="76" spans="1:18" ht="15" customHeight="1" x14ac:dyDescent="0.3">
      <c r="A76" s="19" t="s">
        <v>48</v>
      </c>
      <c r="B76" s="19" t="s">
        <v>53</v>
      </c>
      <c r="C76" s="20">
        <v>0.49305555555555558</v>
      </c>
      <c r="D76" s="19" t="s">
        <v>50</v>
      </c>
      <c r="E76" s="19" t="s">
        <v>92</v>
      </c>
      <c r="F76" s="19" t="s">
        <v>123</v>
      </c>
      <c r="G76" s="195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</row>
    <row r="77" spans="1:18" ht="15" customHeight="1" x14ac:dyDescent="0.3">
      <c r="A77" s="19" t="s">
        <v>48</v>
      </c>
      <c r="B77" s="19" t="s">
        <v>89</v>
      </c>
      <c r="C77" s="20">
        <v>0.22222222222222221</v>
      </c>
      <c r="D77" s="19" t="s">
        <v>50</v>
      </c>
      <c r="E77" s="19" t="s">
        <v>92</v>
      </c>
      <c r="F77" s="19" t="s">
        <v>123</v>
      </c>
      <c r="G77" s="195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</row>
    <row r="78" spans="1:18" ht="15" customHeight="1" x14ac:dyDescent="0.3">
      <c r="A78" s="19" t="s">
        <v>48</v>
      </c>
      <c r="B78" s="19" t="s">
        <v>87</v>
      </c>
      <c r="C78" s="20">
        <v>0.44444444444444442</v>
      </c>
      <c r="D78" s="19" t="s">
        <v>50</v>
      </c>
      <c r="E78" s="19" t="s">
        <v>88</v>
      </c>
      <c r="F78" s="19" t="s">
        <v>123</v>
      </c>
      <c r="G78" s="195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</row>
    <row r="79" spans="1:18" ht="15" customHeight="1" x14ac:dyDescent="0.3">
      <c r="A79" s="19" t="s">
        <v>48</v>
      </c>
      <c r="B79" s="19" t="s">
        <v>124</v>
      </c>
      <c r="C79" s="20">
        <v>0.85416666666666663</v>
      </c>
      <c r="D79" s="19" t="s">
        <v>50</v>
      </c>
      <c r="E79" s="19" t="s">
        <v>92</v>
      </c>
      <c r="F79" s="19" t="s">
        <v>55</v>
      </c>
      <c r="G79" s="195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</row>
    <row r="80" spans="1:18" ht="15" customHeight="1" x14ac:dyDescent="0.3">
      <c r="A80" s="17" t="s">
        <v>56</v>
      </c>
      <c r="B80" s="17" t="s">
        <v>67</v>
      </c>
      <c r="C80" s="18">
        <v>0.60416666666666663</v>
      </c>
      <c r="D80" s="17" t="s">
        <v>58</v>
      </c>
      <c r="E80" s="17" t="s">
        <v>51</v>
      </c>
      <c r="F80" s="17" t="s">
        <v>60</v>
      </c>
      <c r="G80" s="195"/>
      <c r="H80" s="10"/>
      <c r="I80" s="11"/>
      <c r="J80" s="11"/>
      <c r="K80" s="11"/>
      <c r="L80" s="11"/>
      <c r="M80" s="11"/>
      <c r="N80" s="11"/>
      <c r="O80" s="12"/>
      <c r="P80" s="11"/>
      <c r="Q80" s="13"/>
      <c r="R80" s="14"/>
    </row>
    <row r="81" spans="1:18" ht="15" customHeight="1" x14ac:dyDescent="0.3">
      <c r="A81" s="15" t="s">
        <v>56</v>
      </c>
      <c r="B81" s="15" t="s">
        <v>67</v>
      </c>
      <c r="C81" s="16">
        <v>0.60416666666666663</v>
      </c>
      <c r="D81" s="15" t="s">
        <v>61</v>
      </c>
      <c r="E81" s="15" t="s">
        <v>94</v>
      </c>
      <c r="F81" s="15" t="s">
        <v>63</v>
      </c>
      <c r="G81" s="195"/>
      <c r="H81" s="10"/>
      <c r="I81" s="11"/>
      <c r="J81" s="11"/>
      <c r="K81" s="11"/>
      <c r="L81" s="11"/>
      <c r="M81" s="11"/>
      <c r="N81" s="11"/>
      <c r="O81" s="12"/>
      <c r="P81" s="11"/>
      <c r="Q81" s="13"/>
      <c r="R81" s="14"/>
    </row>
    <row r="82" spans="1:18" ht="15" customHeight="1" x14ac:dyDescent="0.3">
      <c r="A82" s="19" t="s">
        <v>56</v>
      </c>
      <c r="B82" s="19" t="s">
        <v>64</v>
      </c>
      <c r="C82" s="20">
        <v>0.4201388888888889</v>
      </c>
      <c r="D82" s="19" t="s">
        <v>61</v>
      </c>
      <c r="E82" s="19" t="s">
        <v>65</v>
      </c>
      <c r="F82" s="19" t="s">
        <v>91</v>
      </c>
      <c r="G82" s="195"/>
      <c r="H82" s="10"/>
      <c r="I82" s="11"/>
      <c r="J82" s="11"/>
      <c r="K82" s="11"/>
      <c r="L82" s="11"/>
      <c r="M82" s="11"/>
      <c r="N82" s="11"/>
      <c r="O82" s="12"/>
      <c r="P82" s="11"/>
      <c r="Q82" s="13"/>
      <c r="R82" s="14"/>
    </row>
    <row r="83" spans="1:18" ht="15" customHeight="1" x14ac:dyDescent="0.3">
      <c r="A83" s="19" t="s">
        <v>56</v>
      </c>
      <c r="B83" s="19" t="s">
        <v>71</v>
      </c>
      <c r="C83" s="20">
        <v>0.79513888888888884</v>
      </c>
      <c r="D83" s="19" t="s">
        <v>58</v>
      </c>
      <c r="E83" s="19" t="s">
        <v>72</v>
      </c>
      <c r="F83" s="19" t="s">
        <v>93</v>
      </c>
      <c r="G83" s="195"/>
      <c r="H83" s="10"/>
      <c r="I83" s="11"/>
      <c r="J83" s="11"/>
      <c r="K83" s="11"/>
      <c r="L83" s="11"/>
      <c r="M83" s="11"/>
      <c r="N83" s="11"/>
      <c r="O83" s="12"/>
      <c r="P83" s="11"/>
      <c r="Q83" s="13"/>
      <c r="R83" s="14"/>
    </row>
    <row r="84" spans="1:18" ht="15" customHeight="1" x14ac:dyDescent="0.3">
      <c r="A84" s="15" t="s">
        <v>56</v>
      </c>
      <c r="B84" s="15" t="s">
        <v>71</v>
      </c>
      <c r="C84" s="16">
        <v>0.79513888888888884</v>
      </c>
      <c r="D84" s="15" t="s">
        <v>61</v>
      </c>
      <c r="E84" s="15" t="s">
        <v>62</v>
      </c>
      <c r="F84" s="15" t="s">
        <v>95</v>
      </c>
      <c r="G84" s="195"/>
      <c r="H84" s="10"/>
      <c r="I84" s="11"/>
      <c r="J84" s="11"/>
      <c r="K84" s="11"/>
      <c r="L84" s="11"/>
      <c r="M84" s="11"/>
      <c r="N84" s="11"/>
      <c r="O84" s="12"/>
      <c r="P84" s="11"/>
      <c r="Q84" s="13"/>
      <c r="R84" s="14"/>
    </row>
    <row r="85" spans="1:18" ht="15" customHeight="1" x14ac:dyDescent="0.3">
      <c r="A85" s="19" t="s">
        <v>56</v>
      </c>
      <c r="B85" s="19" t="s">
        <v>57</v>
      </c>
      <c r="C85" s="20">
        <v>8.6805555555555566E-2</v>
      </c>
      <c r="D85" s="19" t="s">
        <v>58</v>
      </c>
      <c r="E85" s="19" t="s">
        <v>92</v>
      </c>
      <c r="F85" s="19" t="s">
        <v>93</v>
      </c>
      <c r="G85" s="195"/>
      <c r="H85" s="10"/>
      <c r="I85" s="11"/>
      <c r="J85" s="11"/>
      <c r="K85" s="11"/>
      <c r="L85" s="11"/>
      <c r="M85" s="11"/>
      <c r="N85" s="11"/>
      <c r="O85" s="12"/>
      <c r="P85" s="11"/>
      <c r="Q85" s="13"/>
      <c r="R85" s="14"/>
    </row>
    <row r="86" spans="1:18" ht="15" customHeight="1" x14ac:dyDescent="0.3">
      <c r="A86" s="49" t="s">
        <v>56</v>
      </c>
      <c r="B86" s="49" t="s">
        <v>57</v>
      </c>
      <c r="C86" s="50">
        <v>8.6805555555555566E-2</v>
      </c>
      <c r="D86" s="49" t="s">
        <v>61</v>
      </c>
      <c r="E86" s="49" t="s">
        <v>94</v>
      </c>
      <c r="F86" s="49" t="s">
        <v>95</v>
      </c>
      <c r="G86" s="196"/>
      <c r="H86" s="51"/>
      <c r="I86" s="52"/>
      <c r="J86" s="52"/>
      <c r="K86" s="52"/>
      <c r="L86" s="52"/>
      <c r="M86" s="52"/>
      <c r="N86" s="52"/>
      <c r="O86" s="53"/>
      <c r="P86" s="52"/>
      <c r="Q86" s="54"/>
      <c r="R86" s="55"/>
    </row>
  </sheetData>
  <mergeCells count="22">
    <mergeCell ref="G66:G86"/>
    <mergeCell ref="A63:R63"/>
    <mergeCell ref="K2:R2"/>
    <mergeCell ref="G6:G24"/>
    <mergeCell ref="A64:F64"/>
    <mergeCell ref="A45:R45"/>
    <mergeCell ref="H64:R64"/>
    <mergeCell ref="G2:J2"/>
    <mergeCell ref="A4:F4"/>
    <mergeCell ref="G28:G44"/>
    <mergeCell ref="N1:R1"/>
    <mergeCell ref="H26:R26"/>
    <mergeCell ref="A46:F46"/>
    <mergeCell ref="A25:R25"/>
    <mergeCell ref="G48:G62"/>
    <mergeCell ref="H1:L1"/>
    <mergeCell ref="A1:E1"/>
    <mergeCell ref="A26:F26"/>
    <mergeCell ref="H4:R4"/>
    <mergeCell ref="A2:F2"/>
    <mergeCell ref="A3:R3"/>
    <mergeCell ref="H46:R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"/>
  <sheetViews>
    <sheetView workbookViewId="0"/>
  </sheetViews>
  <sheetFormatPr defaultRowHeight="15.6" outlineLevelCol="1" x14ac:dyDescent="0.3"/>
  <cols>
    <col min="1" max="1" width="9.77734375" style="209" bestFit="1" customWidth="1"/>
    <col min="2" max="2" width="10.44140625" style="209" bestFit="1" customWidth="1"/>
    <col min="3" max="3" width="6.77734375" style="209" bestFit="1" customWidth="1"/>
    <col min="4" max="4" width="5.5546875" style="209" bestFit="1" customWidth="1"/>
    <col min="5" max="5" width="8.5546875" style="209" bestFit="1" customWidth="1"/>
    <col min="6" max="6" width="4.21875" style="209" bestFit="1" customWidth="1"/>
    <col min="7" max="7" width="10" style="209" bestFit="1" customWidth="1"/>
    <col min="8" max="10" width="7" style="209" bestFit="1" customWidth="1"/>
    <col min="11" max="11" width="10.5546875" style="209" bestFit="1" customWidth="1"/>
    <col min="12" max="12" width="9.109375" style="209" bestFit="1" customWidth="1"/>
    <col min="13" max="13" width="7.6640625" style="209" bestFit="1" customWidth="1" outlineLevel="1"/>
    <col min="14" max="14" width="6.33203125" style="209" bestFit="1" customWidth="1" outlineLevel="1"/>
    <col min="15" max="15" width="8" style="209" bestFit="1" customWidth="1" outlineLevel="1"/>
    <col min="16" max="16" width="13.6640625" style="209" bestFit="1" customWidth="1"/>
    <col min="17" max="24" width="3.88671875" style="209" bestFit="1" customWidth="1"/>
    <col min="25" max="25" width="4.44140625" style="209" bestFit="1" customWidth="1"/>
    <col min="26" max="26" width="4.109375" style="209" bestFit="1" customWidth="1"/>
    <col min="27" max="27" width="5" style="209" bestFit="1" customWidth="1"/>
    <col min="28" max="29" width="4.21875" style="209" bestFit="1" customWidth="1"/>
    <col min="30" max="31" width="4.5546875" style="209" bestFit="1" customWidth="1"/>
    <col min="32" max="32" width="3.88671875" style="209" bestFit="1" customWidth="1"/>
    <col min="33" max="33" width="4.21875" style="209" bestFit="1" customWidth="1"/>
    <col min="34" max="34" width="3.88671875" style="209" bestFit="1" customWidth="1"/>
    <col min="35" max="35" width="5.21875" style="209" bestFit="1" customWidth="1"/>
    <col min="36" max="36" width="3.88671875" style="209" bestFit="1" customWidth="1"/>
    <col min="37" max="16384" width="8.88671875" style="209"/>
  </cols>
  <sheetData>
    <row r="1" spans="1:36" x14ac:dyDescent="0.3">
      <c r="A1" s="208" t="s">
        <v>125</v>
      </c>
      <c r="B1" s="208" t="s">
        <v>126</v>
      </c>
      <c r="C1" s="208" t="s">
        <v>127</v>
      </c>
      <c r="D1" s="208" t="s">
        <v>23</v>
      </c>
      <c r="E1" s="208" t="s">
        <v>128</v>
      </c>
      <c r="F1" s="208" t="s">
        <v>129</v>
      </c>
      <c r="G1" s="208" t="s">
        <v>16</v>
      </c>
      <c r="H1" s="208" t="s">
        <v>130</v>
      </c>
      <c r="I1" s="208" t="s">
        <v>131</v>
      </c>
      <c r="J1" s="208" t="s">
        <v>132</v>
      </c>
      <c r="K1" s="208" t="s">
        <v>133</v>
      </c>
      <c r="L1" s="208" t="s">
        <v>18</v>
      </c>
      <c r="M1" s="208" t="s">
        <v>20</v>
      </c>
      <c r="N1" s="208" t="s">
        <v>21</v>
      </c>
      <c r="O1" s="208" t="s">
        <v>19</v>
      </c>
      <c r="P1" s="208" t="s">
        <v>22</v>
      </c>
      <c r="Q1" s="208" t="s">
        <v>134</v>
      </c>
      <c r="R1" s="208" t="s">
        <v>135</v>
      </c>
      <c r="S1" s="208" t="s">
        <v>136</v>
      </c>
      <c r="T1" s="208" t="s">
        <v>137</v>
      </c>
      <c r="U1" s="208" t="s">
        <v>138</v>
      </c>
      <c r="V1" s="208" t="s">
        <v>139</v>
      </c>
      <c r="W1" s="208" t="s">
        <v>140</v>
      </c>
      <c r="X1" s="208" t="s">
        <v>141</v>
      </c>
      <c r="Y1" s="208" t="s">
        <v>142</v>
      </c>
      <c r="Z1" s="208" t="s">
        <v>143</v>
      </c>
      <c r="AA1" s="208" t="s">
        <v>144</v>
      </c>
      <c r="AB1" s="208" t="s">
        <v>145</v>
      </c>
      <c r="AC1" s="208" t="s">
        <v>146</v>
      </c>
      <c r="AD1" s="208" t="s">
        <v>147</v>
      </c>
      <c r="AE1" s="208" t="s">
        <v>148</v>
      </c>
      <c r="AF1" s="208" t="s">
        <v>149</v>
      </c>
      <c r="AG1" s="208" t="s">
        <v>150</v>
      </c>
      <c r="AH1" s="208" t="s">
        <v>151</v>
      </c>
      <c r="AI1" s="208" t="s">
        <v>152</v>
      </c>
      <c r="AJ1" s="208" t="s">
        <v>153</v>
      </c>
    </row>
    <row r="2" spans="1:36" x14ac:dyDescent="0.3">
      <c r="A2" s="210" t="s">
        <v>154</v>
      </c>
      <c r="B2" s="211">
        <v>45983</v>
      </c>
      <c r="C2" s="212" t="s">
        <v>74</v>
      </c>
      <c r="D2" s="213" t="s">
        <v>155</v>
      </c>
      <c r="E2" s="212" t="s">
        <v>1</v>
      </c>
      <c r="F2" s="212" t="s">
        <v>156</v>
      </c>
      <c r="G2" s="214">
        <v>1</v>
      </c>
      <c r="H2" s="215">
        <v>179</v>
      </c>
      <c r="I2" s="215">
        <v>179</v>
      </c>
      <c r="J2" s="215">
        <v>130</v>
      </c>
      <c r="K2" s="212" t="s">
        <v>157</v>
      </c>
      <c r="L2" s="216">
        <v>45974</v>
      </c>
      <c r="M2" s="215">
        <v>0</v>
      </c>
      <c r="N2" s="215">
        <v>0</v>
      </c>
      <c r="O2" s="215">
        <v>1</v>
      </c>
      <c r="P2" s="212" t="s">
        <v>77</v>
      </c>
      <c r="Q2" s="208"/>
      <c r="R2" s="208"/>
      <c r="S2" s="208"/>
      <c r="T2" s="208"/>
      <c r="U2" s="215" t="s">
        <v>158</v>
      </c>
      <c r="V2" s="208"/>
      <c r="W2" s="208"/>
      <c r="X2" s="208"/>
      <c r="Y2" s="208"/>
      <c r="Z2" s="208"/>
      <c r="AA2" s="208"/>
      <c r="AB2" s="215" t="s">
        <v>159</v>
      </c>
      <c r="AC2" s="215" t="s">
        <v>160</v>
      </c>
      <c r="AD2" s="215" t="s">
        <v>161</v>
      </c>
      <c r="AE2" s="215" t="s">
        <v>162</v>
      </c>
      <c r="AF2" s="215" t="s">
        <v>163</v>
      </c>
      <c r="AG2" s="208"/>
      <c r="AH2" s="208"/>
      <c r="AI2" s="215" t="s">
        <v>164</v>
      </c>
      <c r="AJ2" s="215" t="s">
        <v>165</v>
      </c>
    </row>
    <row r="3" spans="1:36" x14ac:dyDescent="0.3">
      <c r="A3" s="210" t="s">
        <v>166</v>
      </c>
      <c r="B3" s="211">
        <v>45984</v>
      </c>
      <c r="C3" s="212" t="s">
        <v>74</v>
      </c>
      <c r="D3" s="213" t="s">
        <v>167</v>
      </c>
      <c r="E3" s="212" t="s">
        <v>1</v>
      </c>
      <c r="F3" s="212" t="s">
        <v>156</v>
      </c>
      <c r="G3" s="214">
        <v>1</v>
      </c>
      <c r="H3" s="215">
        <v>179</v>
      </c>
      <c r="I3" s="215">
        <v>179</v>
      </c>
      <c r="J3" s="215">
        <v>86</v>
      </c>
      <c r="K3" s="212" t="s">
        <v>157</v>
      </c>
      <c r="L3" s="216">
        <v>45977</v>
      </c>
      <c r="M3" s="215">
        <v>0</v>
      </c>
      <c r="N3" s="215">
        <v>0</v>
      </c>
      <c r="O3" s="215">
        <v>2</v>
      </c>
      <c r="P3" s="212" t="s">
        <v>77</v>
      </c>
      <c r="Q3" s="208"/>
      <c r="R3" s="208"/>
      <c r="S3" s="208"/>
      <c r="T3" s="208"/>
      <c r="U3" s="208"/>
      <c r="V3" s="215" t="s">
        <v>168</v>
      </c>
      <c r="W3" s="208"/>
      <c r="X3" s="208"/>
      <c r="Y3" s="215" t="s">
        <v>169</v>
      </c>
      <c r="Z3" s="215" t="s">
        <v>170</v>
      </c>
      <c r="AA3" s="208"/>
      <c r="AB3" s="215" t="s">
        <v>171</v>
      </c>
      <c r="AC3" s="215" t="s">
        <v>172</v>
      </c>
      <c r="AD3" s="215" t="s">
        <v>173</v>
      </c>
      <c r="AE3" s="215" t="s">
        <v>174</v>
      </c>
      <c r="AF3" s="215" t="s">
        <v>163</v>
      </c>
      <c r="AG3" s="208"/>
      <c r="AH3" s="208"/>
      <c r="AI3" s="215" t="s">
        <v>175</v>
      </c>
      <c r="AJ3" s="215" t="s">
        <v>176</v>
      </c>
    </row>
    <row r="4" spans="1:36" x14ac:dyDescent="0.3">
      <c r="A4" s="210" t="s">
        <v>177</v>
      </c>
      <c r="B4" s="211">
        <v>45986</v>
      </c>
      <c r="C4" s="212" t="s">
        <v>119</v>
      </c>
      <c r="D4" s="213" t="s">
        <v>178</v>
      </c>
      <c r="E4" s="212" t="s">
        <v>1</v>
      </c>
      <c r="F4" s="212" t="s">
        <v>156</v>
      </c>
      <c r="G4" s="214">
        <v>0.91059999999999997</v>
      </c>
      <c r="H4" s="215">
        <v>179</v>
      </c>
      <c r="I4" s="215">
        <v>163</v>
      </c>
      <c r="J4" s="215">
        <v>158</v>
      </c>
      <c r="K4" s="212" t="s">
        <v>157</v>
      </c>
      <c r="L4" s="216">
        <v>45965</v>
      </c>
      <c r="M4" s="215">
        <v>0</v>
      </c>
      <c r="N4" s="215">
        <v>0</v>
      </c>
      <c r="O4" s="215">
        <v>0</v>
      </c>
      <c r="P4" s="212" t="s">
        <v>120</v>
      </c>
      <c r="Q4" s="208"/>
      <c r="R4" s="208"/>
      <c r="S4" s="208"/>
      <c r="T4" s="208"/>
      <c r="U4" s="208"/>
      <c r="V4" s="208"/>
      <c r="W4" s="208"/>
      <c r="X4" s="215" t="s">
        <v>179</v>
      </c>
      <c r="Y4" s="208"/>
      <c r="Z4" s="208"/>
      <c r="AA4" s="208"/>
      <c r="AB4" s="208"/>
      <c r="AC4" s="208"/>
      <c r="AD4" s="208"/>
      <c r="AE4" s="208"/>
      <c r="AF4" s="215" t="s">
        <v>180</v>
      </c>
      <c r="AG4" s="215" t="s">
        <v>181</v>
      </c>
      <c r="AH4" s="208"/>
      <c r="AI4" s="215" t="s">
        <v>182</v>
      </c>
      <c r="AJ4" s="208"/>
    </row>
    <row r="5" spans="1:36" x14ac:dyDescent="0.3">
      <c r="A5" s="210" t="s">
        <v>177</v>
      </c>
      <c r="B5" s="211">
        <v>45986</v>
      </c>
      <c r="C5" s="212" t="s">
        <v>113</v>
      </c>
      <c r="D5" s="213" t="s">
        <v>183</v>
      </c>
      <c r="E5" s="212" t="s">
        <v>1</v>
      </c>
      <c r="F5" s="212" t="s">
        <v>156</v>
      </c>
      <c r="G5" s="214">
        <v>0.51190000000000002</v>
      </c>
      <c r="H5" s="215">
        <v>168</v>
      </c>
      <c r="I5" s="215">
        <v>86</v>
      </c>
      <c r="J5" s="215">
        <v>0</v>
      </c>
      <c r="K5" s="212" t="s">
        <v>157</v>
      </c>
      <c r="L5" s="216">
        <v>45981</v>
      </c>
      <c r="M5" s="215">
        <v>1</v>
      </c>
      <c r="N5" s="215">
        <v>0</v>
      </c>
      <c r="O5" s="215">
        <v>25</v>
      </c>
      <c r="P5" s="212" t="s">
        <v>114</v>
      </c>
      <c r="Q5" s="208"/>
      <c r="R5" s="208"/>
      <c r="S5" s="208"/>
      <c r="T5" s="208"/>
      <c r="U5" s="208"/>
      <c r="V5" s="208"/>
      <c r="W5" s="208"/>
      <c r="X5" s="215" t="s">
        <v>184</v>
      </c>
      <c r="Y5" s="215" t="s">
        <v>185</v>
      </c>
      <c r="Z5" s="215" t="s">
        <v>186</v>
      </c>
      <c r="AA5" s="215" t="s">
        <v>187</v>
      </c>
      <c r="AB5" s="215" t="s">
        <v>188</v>
      </c>
      <c r="AC5" s="215" t="s">
        <v>189</v>
      </c>
      <c r="AD5" s="215" t="s">
        <v>190</v>
      </c>
      <c r="AE5" s="215" t="s">
        <v>191</v>
      </c>
      <c r="AF5" s="215" t="s">
        <v>192</v>
      </c>
      <c r="AG5" s="208"/>
      <c r="AH5" s="208"/>
      <c r="AI5" s="208"/>
      <c r="AJ5" s="208"/>
    </row>
    <row r="6" spans="1:36" x14ac:dyDescent="0.3">
      <c r="A6" s="210" t="s">
        <v>177</v>
      </c>
      <c r="B6" s="211">
        <v>45986</v>
      </c>
      <c r="C6" s="212" t="s">
        <v>74</v>
      </c>
      <c r="D6" s="213" t="s">
        <v>193</v>
      </c>
      <c r="E6" s="212" t="s">
        <v>1</v>
      </c>
      <c r="F6" s="212" t="s">
        <v>156</v>
      </c>
      <c r="G6" s="214">
        <v>1</v>
      </c>
      <c r="H6" s="215">
        <v>179</v>
      </c>
      <c r="I6" s="215">
        <v>179</v>
      </c>
      <c r="J6" s="215">
        <v>123</v>
      </c>
      <c r="K6" s="212" t="s">
        <v>157</v>
      </c>
      <c r="L6" s="216">
        <v>45980</v>
      </c>
      <c r="M6" s="215">
        <v>0</v>
      </c>
      <c r="N6" s="215">
        <v>1</v>
      </c>
      <c r="O6" s="215">
        <v>9</v>
      </c>
      <c r="P6" s="212" t="s">
        <v>77</v>
      </c>
      <c r="Q6" s="208"/>
      <c r="R6" s="208"/>
      <c r="S6" s="208"/>
      <c r="T6" s="208"/>
      <c r="U6" s="215" t="s">
        <v>194</v>
      </c>
      <c r="V6" s="215" t="s">
        <v>195</v>
      </c>
      <c r="W6" s="215" t="s">
        <v>196</v>
      </c>
      <c r="X6" s="208"/>
      <c r="Y6" s="208"/>
      <c r="Z6" s="215" t="s">
        <v>197</v>
      </c>
      <c r="AA6" s="208"/>
      <c r="AB6" s="208"/>
      <c r="AC6" s="215" t="s">
        <v>198</v>
      </c>
      <c r="AD6" s="215" t="s">
        <v>199</v>
      </c>
      <c r="AE6" s="215" t="s">
        <v>174</v>
      </c>
      <c r="AF6" s="215" t="s">
        <v>163</v>
      </c>
      <c r="AG6" s="208"/>
      <c r="AH6" s="208"/>
      <c r="AI6" s="215" t="s">
        <v>200</v>
      </c>
      <c r="AJ6" s="208"/>
    </row>
    <row r="7" spans="1:36" ht="21" x14ac:dyDescent="0.3">
      <c r="A7" s="217" t="s">
        <v>683</v>
      </c>
      <c r="B7" s="218"/>
      <c r="C7" s="217">
        <f>SUBTOTAL(103,MED_CAI_LF_LEGACY[Flt])</f>
        <v>5</v>
      </c>
      <c r="D7" s="217"/>
      <c r="E7" s="217">
        <f>SUBTOTAL(103,MED_CAI_LF_LEGACY[Brd-Off])</f>
        <v>5</v>
      </c>
      <c r="F7" s="217"/>
      <c r="G7" s="219">
        <f>SUBTOTAL(101,MED_CAI_LF_LEGACY[LF%])</f>
        <v>0.88450000000000006</v>
      </c>
      <c r="H7" s="220">
        <f>SUBTOTAL(109,MED_CAI_LF_LEGACY[CAP])</f>
        <v>884</v>
      </c>
      <c r="I7" s="220">
        <f>SUBTOTAL(109,MED_CAI_LF_LEGACY[BKG(Y)])</f>
        <v>786</v>
      </c>
      <c r="J7" s="220">
        <f>SUBTOTAL(109,MED_CAI_LF_LEGACY[GRP(Y)])</f>
        <v>497</v>
      </c>
      <c r="K7" s="217"/>
      <c r="L7" s="218"/>
      <c r="M7" s="220">
        <f>SUBTOTAL(109,MED_CAI_LF_LEGACY[TO-DAY])</f>
        <v>1</v>
      </c>
      <c r="N7" s="220">
        <f>SUBTOTAL(109,MED_CAI_LF_LEGACY[Y-DAY])</f>
        <v>1</v>
      </c>
      <c r="O7" s="220">
        <f>SUBTOTAL(109,MED_CAI_LF_LEGACY[WEEKLY])</f>
        <v>37</v>
      </c>
      <c r="P7" s="221"/>
      <c r="Q7" s="220">
        <f>SUBTOTAL(109,MED_CAI_LF_LEGACY[Y])</f>
        <v>0</v>
      </c>
      <c r="R7" s="220">
        <f>SUBTOTAL(109,MED_CAI_LF_LEGACY[B])</f>
        <v>0</v>
      </c>
      <c r="S7" s="220">
        <f>SUBTOTAL(109,MED_CAI_LF_LEGACY[M])</f>
        <v>0</v>
      </c>
      <c r="T7" s="220">
        <f>SUBTOTAL(109,MED_CAI_LF_LEGACY[H])</f>
        <v>0</v>
      </c>
      <c r="U7" s="220">
        <f>SUBTOTAL(109,MED_CAI_LF_LEGACY[Q])</f>
        <v>0</v>
      </c>
      <c r="V7" s="220">
        <f>SUBTOTAL(109,MED_CAI_LF_LEGACY[K])</f>
        <v>0</v>
      </c>
      <c r="W7" s="220">
        <f>SUBTOTAL(109,MED_CAI_LF_LEGACY[V])</f>
        <v>0</v>
      </c>
      <c r="X7" s="220">
        <f>SUBTOTAL(109,MED_CAI_LF_LEGACY[L])</f>
        <v>0</v>
      </c>
      <c r="Y7" s="220">
        <f>SUBTOTAL(109,MED_CAI_LF_LEGACY[G])</f>
        <v>0</v>
      </c>
      <c r="Z7" s="220">
        <f>SUBTOTAL(109,MED_CAI_LF_LEGACY[S])</f>
        <v>0</v>
      </c>
      <c r="AA7" s="220">
        <f>SUBTOTAL(109,MED_CAI_LF_LEGACY[W])</f>
        <v>0</v>
      </c>
      <c r="AB7" s="220">
        <f>SUBTOTAL(109,MED_CAI_LF_LEGACY[T])</f>
        <v>0</v>
      </c>
      <c r="AC7" s="220">
        <f>SUBTOTAL(109,MED_CAI_LF_LEGACY[X])</f>
        <v>0</v>
      </c>
      <c r="AD7" s="220">
        <f>SUBTOTAL(109,MED_CAI_LF_LEGACY[U])</f>
        <v>0</v>
      </c>
      <c r="AE7" s="220">
        <f>SUBTOTAL(109,MED_CAI_LF_LEGACY[O])</f>
        <v>0</v>
      </c>
      <c r="AF7" s="220">
        <f>SUBTOTAL(109,MED_CAI_LF_LEGACY[I])</f>
        <v>0</v>
      </c>
      <c r="AG7" s="220">
        <f>SUBTOTAL(109,MED_CAI_LF_LEGACY[E])</f>
        <v>0</v>
      </c>
      <c r="AH7" s="220">
        <f>SUBTOTAL(109,MED_CAI_LF_LEGACY[A])</f>
        <v>0</v>
      </c>
      <c r="AI7" s="220">
        <f>SUBTOTAL(109,MED_CAI_LF_LEGACY[P])</f>
        <v>0</v>
      </c>
      <c r="AJ7" s="220">
        <f>SUBTOTAL(103,MED_CAI_LF_LEGACY[N])</f>
        <v>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"/>
  <sheetViews>
    <sheetView workbookViewId="0"/>
  </sheetViews>
  <sheetFormatPr defaultRowHeight="14.4" x14ac:dyDescent="0.3"/>
  <cols>
    <col min="1" max="1" width="11.8867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96.77734375" hidden="1" customWidth="1"/>
  </cols>
  <sheetData>
    <row r="1" spans="1:8" ht="18" x14ac:dyDescent="0.3">
      <c r="A1" s="78" t="s">
        <v>201</v>
      </c>
      <c r="B1" s="79" t="s">
        <v>8</v>
      </c>
      <c r="C1" s="79" t="s">
        <v>9</v>
      </c>
      <c r="D1" s="79" t="s">
        <v>202</v>
      </c>
      <c r="E1" s="79" t="s">
        <v>10</v>
      </c>
      <c r="F1" s="79" t="s">
        <v>11</v>
      </c>
      <c r="G1" s="79" t="s">
        <v>12</v>
      </c>
      <c r="H1" s="80" t="s">
        <v>13</v>
      </c>
    </row>
    <row r="2" spans="1:8" ht="19.8" customHeight="1" x14ac:dyDescent="0.3">
      <c r="A2" s="81" t="s">
        <v>203</v>
      </c>
      <c r="B2" s="82" t="s">
        <v>26</v>
      </c>
      <c r="C2" s="83" t="s">
        <v>27</v>
      </c>
      <c r="D2" s="82" t="s">
        <v>1</v>
      </c>
      <c r="E2" s="82" t="s">
        <v>204</v>
      </c>
      <c r="F2" s="82" t="s">
        <v>28</v>
      </c>
      <c r="G2" s="84">
        <v>40</v>
      </c>
      <c r="H2" s="85">
        <v>559</v>
      </c>
    </row>
    <row r="3" spans="1:8" ht="19.8" customHeight="1" x14ac:dyDescent="0.3">
      <c r="A3" s="81" t="s">
        <v>203</v>
      </c>
      <c r="B3" s="82" t="s">
        <v>36</v>
      </c>
      <c r="C3" s="83" t="s">
        <v>37</v>
      </c>
      <c r="D3" s="82" t="s">
        <v>1</v>
      </c>
      <c r="E3" s="82" t="s">
        <v>205</v>
      </c>
      <c r="F3" s="82" t="s">
        <v>38</v>
      </c>
      <c r="G3" s="84">
        <v>6</v>
      </c>
      <c r="H3" s="85">
        <v>609</v>
      </c>
    </row>
    <row r="4" spans="1:8" ht="19.8" customHeight="1" x14ac:dyDescent="0.3">
      <c r="A4" s="81" t="s">
        <v>203</v>
      </c>
      <c r="B4" s="82" t="s">
        <v>36</v>
      </c>
      <c r="C4" s="83" t="s">
        <v>45</v>
      </c>
      <c r="D4" s="82" t="s">
        <v>1</v>
      </c>
      <c r="E4" s="82" t="s">
        <v>206</v>
      </c>
      <c r="F4" s="82" t="s">
        <v>38</v>
      </c>
      <c r="G4" s="84">
        <v>9</v>
      </c>
      <c r="H4" s="85">
        <v>609</v>
      </c>
    </row>
    <row r="5" spans="1:8" ht="19.8" customHeight="1" x14ac:dyDescent="0.3">
      <c r="A5" s="81" t="s">
        <v>203</v>
      </c>
      <c r="B5" s="82" t="s">
        <v>26</v>
      </c>
      <c r="C5" s="83" t="s">
        <v>27</v>
      </c>
      <c r="D5" s="82" t="s">
        <v>1</v>
      </c>
      <c r="E5" s="82" t="s">
        <v>204</v>
      </c>
      <c r="F5" s="82" t="s">
        <v>31</v>
      </c>
      <c r="G5" s="84">
        <v>40</v>
      </c>
      <c r="H5" s="85">
        <v>709</v>
      </c>
    </row>
    <row r="6" spans="1:8" ht="19.8" customHeight="1" x14ac:dyDescent="0.3">
      <c r="A6" s="81" t="s">
        <v>203</v>
      </c>
      <c r="B6" s="82" t="s">
        <v>36</v>
      </c>
      <c r="C6" s="83" t="s">
        <v>37</v>
      </c>
      <c r="D6" s="82" t="s">
        <v>1</v>
      </c>
      <c r="E6" s="82" t="s">
        <v>205</v>
      </c>
      <c r="F6" s="82" t="s">
        <v>41</v>
      </c>
      <c r="G6" s="84">
        <v>6</v>
      </c>
      <c r="H6" s="85">
        <v>709</v>
      </c>
    </row>
    <row r="7" spans="1:8" ht="19.8" customHeight="1" x14ac:dyDescent="0.3">
      <c r="A7" s="81" t="s">
        <v>203</v>
      </c>
      <c r="B7" s="82" t="s">
        <v>36</v>
      </c>
      <c r="C7" s="83" t="s">
        <v>45</v>
      </c>
      <c r="D7" s="82" t="s">
        <v>1</v>
      </c>
      <c r="E7" s="82" t="s">
        <v>206</v>
      </c>
      <c r="F7" s="82" t="s">
        <v>41</v>
      </c>
      <c r="G7" s="84">
        <v>9</v>
      </c>
      <c r="H7" s="85">
        <v>709</v>
      </c>
    </row>
    <row r="8" spans="1:8" ht="19.8" customHeight="1" x14ac:dyDescent="0.3">
      <c r="A8" s="81" t="s">
        <v>203</v>
      </c>
      <c r="B8" s="82" t="s">
        <v>36</v>
      </c>
      <c r="C8" s="83" t="s">
        <v>37</v>
      </c>
      <c r="D8" s="82" t="s">
        <v>1</v>
      </c>
      <c r="E8" s="82" t="s">
        <v>205</v>
      </c>
      <c r="F8" s="82" t="s">
        <v>43</v>
      </c>
      <c r="G8" s="84">
        <v>6</v>
      </c>
      <c r="H8" s="85">
        <v>799</v>
      </c>
    </row>
    <row r="9" spans="1:8" ht="19.8" customHeight="1" x14ac:dyDescent="0.3">
      <c r="A9" s="81" t="s">
        <v>203</v>
      </c>
      <c r="B9" s="82" t="s">
        <v>36</v>
      </c>
      <c r="C9" s="83" t="s">
        <v>45</v>
      </c>
      <c r="D9" s="82" t="s">
        <v>1</v>
      </c>
      <c r="E9" s="82" t="s">
        <v>206</v>
      </c>
      <c r="F9" s="82" t="s">
        <v>43</v>
      </c>
      <c r="G9" s="84">
        <v>9</v>
      </c>
      <c r="H9" s="85">
        <v>799</v>
      </c>
    </row>
    <row r="10" spans="1:8" ht="19.8" customHeight="1" x14ac:dyDescent="0.3">
      <c r="A10" s="81" t="s">
        <v>203</v>
      </c>
      <c r="B10" s="82" t="s">
        <v>48</v>
      </c>
      <c r="C10" s="83" t="s">
        <v>49</v>
      </c>
      <c r="D10" s="82" t="s">
        <v>1</v>
      </c>
      <c r="E10" s="82" t="s">
        <v>207</v>
      </c>
      <c r="F10" s="82" t="s">
        <v>50</v>
      </c>
      <c r="G10" s="84">
        <v>9</v>
      </c>
      <c r="H10" s="85">
        <v>866</v>
      </c>
    </row>
    <row r="11" spans="1:8" ht="19.8" customHeight="1" x14ac:dyDescent="0.3">
      <c r="A11" s="81" t="s">
        <v>203</v>
      </c>
      <c r="B11" s="82" t="s">
        <v>56</v>
      </c>
      <c r="C11" s="83" t="s">
        <v>57</v>
      </c>
      <c r="D11" s="82" t="s">
        <v>1</v>
      </c>
      <c r="E11" s="82" t="s">
        <v>208</v>
      </c>
      <c r="F11" s="82" t="s">
        <v>58</v>
      </c>
      <c r="G11" s="84">
        <v>1</v>
      </c>
      <c r="H11" s="86" t="s">
        <v>60</v>
      </c>
    </row>
    <row r="12" spans="1:8" ht="19.8" customHeight="1" x14ac:dyDescent="0.3">
      <c r="A12" s="81" t="s">
        <v>203</v>
      </c>
      <c r="B12" s="82" t="s">
        <v>26</v>
      </c>
      <c r="C12" s="83" t="s">
        <v>27</v>
      </c>
      <c r="D12" s="82" t="s">
        <v>1</v>
      </c>
      <c r="E12" s="82" t="s">
        <v>204</v>
      </c>
      <c r="F12" s="82" t="s">
        <v>34</v>
      </c>
      <c r="G12" s="84">
        <v>40</v>
      </c>
      <c r="H12" s="86" t="s">
        <v>35</v>
      </c>
    </row>
    <row r="13" spans="1:8" ht="19.8" customHeight="1" x14ac:dyDescent="0.3">
      <c r="A13" s="81" t="s">
        <v>203</v>
      </c>
      <c r="B13" s="82" t="s">
        <v>56</v>
      </c>
      <c r="C13" s="83" t="s">
        <v>57</v>
      </c>
      <c r="D13" s="82" t="s">
        <v>1</v>
      </c>
      <c r="E13" s="82" t="s">
        <v>208</v>
      </c>
      <c r="F13" s="82" t="s">
        <v>61</v>
      </c>
      <c r="G13" s="84">
        <v>1</v>
      </c>
      <c r="H13" s="86" t="s">
        <v>63</v>
      </c>
    </row>
    <row r="14" spans="1:8" ht="19.8" customHeight="1" x14ac:dyDescent="0.3">
      <c r="A14" s="81" t="s">
        <v>203</v>
      </c>
      <c r="B14" s="82" t="s">
        <v>48</v>
      </c>
      <c r="C14" s="83" t="s">
        <v>53</v>
      </c>
      <c r="D14" s="82" t="s">
        <v>1</v>
      </c>
      <c r="E14" s="82" t="s">
        <v>209</v>
      </c>
      <c r="F14" s="82" t="s">
        <v>50</v>
      </c>
      <c r="G14" s="84">
        <v>2</v>
      </c>
      <c r="H14" s="86" t="s">
        <v>55</v>
      </c>
    </row>
    <row r="15" spans="1:8" ht="19.8" customHeight="1" x14ac:dyDescent="0.3">
      <c r="A15" s="81" t="s">
        <v>203</v>
      </c>
      <c r="B15" s="82" t="s">
        <v>56</v>
      </c>
      <c r="C15" s="83" t="s">
        <v>64</v>
      </c>
      <c r="D15" s="82" t="s">
        <v>1</v>
      </c>
      <c r="E15" s="82" t="s">
        <v>204</v>
      </c>
      <c r="F15" s="82" t="s">
        <v>61</v>
      </c>
      <c r="G15" s="84">
        <v>4</v>
      </c>
      <c r="H15" s="86" t="s">
        <v>66</v>
      </c>
    </row>
    <row r="16" spans="1:8" ht="19.8" customHeight="1" x14ac:dyDescent="0.3">
      <c r="A16" s="81" t="s">
        <v>203</v>
      </c>
      <c r="B16" s="82" t="s">
        <v>56</v>
      </c>
      <c r="C16" s="83" t="s">
        <v>67</v>
      </c>
      <c r="D16" s="82" t="s">
        <v>1</v>
      </c>
      <c r="E16" s="82" t="s">
        <v>210</v>
      </c>
      <c r="F16" s="82" t="s">
        <v>58</v>
      </c>
      <c r="G16" s="84">
        <v>2</v>
      </c>
      <c r="H16" s="86" t="s">
        <v>68</v>
      </c>
    </row>
    <row r="17" spans="1:8" ht="19.8" customHeight="1" x14ac:dyDescent="0.3">
      <c r="A17" s="81" t="s">
        <v>203</v>
      </c>
      <c r="B17" s="82" t="s">
        <v>56</v>
      </c>
      <c r="C17" s="83" t="s">
        <v>71</v>
      </c>
      <c r="D17" s="82" t="s">
        <v>1</v>
      </c>
      <c r="E17" s="82" t="s">
        <v>211</v>
      </c>
      <c r="F17" s="82" t="s">
        <v>58</v>
      </c>
      <c r="G17" s="84">
        <v>1</v>
      </c>
      <c r="H17" s="86" t="s">
        <v>68</v>
      </c>
    </row>
    <row r="18" spans="1:8" ht="19.8" customHeight="1" x14ac:dyDescent="0.3">
      <c r="A18" s="81" t="s">
        <v>203</v>
      </c>
      <c r="B18" s="82" t="s">
        <v>56</v>
      </c>
      <c r="C18" s="83" t="s">
        <v>67</v>
      </c>
      <c r="D18" s="82" t="s">
        <v>1</v>
      </c>
      <c r="E18" s="82" t="s">
        <v>210</v>
      </c>
      <c r="F18" s="82" t="s">
        <v>61</v>
      </c>
      <c r="G18" s="84">
        <v>2</v>
      </c>
      <c r="H18" s="86" t="s">
        <v>70</v>
      </c>
    </row>
    <row r="19" spans="1:8" ht="19.8" customHeight="1" x14ac:dyDescent="0.3">
      <c r="A19" s="81" t="s">
        <v>203</v>
      </c>
      <c r="B19" s="82" t="s">
        <v>56</v>
      </c>
      <c r="C19" s="83" t="s">
        <v>71</v>
      </c>
      <c r="D19" s="82" t="s">
        <v>1</v>
      </c>
      <c r="E19" s="82" t="s">
        <v>211</v>
      </c>
      <c r="F19" s="82" t="s">
        <v>61</v>
      </c>
      <c r="G19" s="84">
        <v>1</v>
      </c>
      <c r="H19" s="86" t="s">
        <v>70</v>
      </c>
    </row>
    <row r="20" spans="1:8" ht="19.8" customHeight="1" x14ac:dyDescent="0.3">
      <c r="A20" s="87" t="s">
        <v>203</v>
      </c>
      <c r="B20" s="88" t="s">
        <v>73</v>
      </c>
      <c r="C20" s="89" t="s">
        <v>74</v>
      </c>
      <c r="D20" s="88" t="s">
        <v>1</v>
      </c>
      <c r="E20" s="88" t="s">
        <v>155</v>
      </c>
      <c r="F20" s="88" t="s">
        <v>75</v>
      </c>
      <c r="G20" s="88"/>
      <c r="H20" s="90" t="s">
        <v>76</v>
      </c>
    </row>
    <row r="21" spans="1:8" ht="19.8" customHeight="1" x14ac:dyDescent="0.3">
      <c r="A21" s="91">
        <v>45984</v>
      </c>
      <c r="B21" s="82" t="s">
        <v>26</v>
      </c>
      <c r="C21" s="83" t="s">
        <v>27</v>
      </c>
      <c r="D21" s="82" t="s">
        <v>1</v>
      </c>
      <c r="E21" s="92">
        <v>1.4201388888888891</v>
      </c>
      <c r="F21" s="82" t="s">
        <v>28</v>
      </c>
      <c r="G21" s="84">
        <v>18</v>
      </c>
      <c r="H21" s="85">
        <v>559</v>
      </c>
    </row>
    <row r="22" spans="1:8" ht="19.8" customHeight="1" x14ac:dyDescent="0.3">
      <c r="A22" s="91">
        <v>45984</v>
      </c>
      <c r="B22" s="82" t="s">
        <v>36</v>
      </c>
      <c r="C22" s="83" t="s">
        <v>37</v>
      </c>
      <c r="D22" s="82" t="s">
        <v>1</v>
      </c>
      <c r="E22" s="92">
        <v>1.756944444444444</v>
      </c>
      <c r="F22" s="82" t="s">
        <v>38</v>
      </c>
      <c r="G22" s="84">
        <v>8</v>
      </c>
      <c r="H22" s="85">
        <v>559</v>
      </c>
    </row>
    <row r="23" spans="1:8" ht="19.8" customHeight="1" x14ac:dyDescent="0.3">
      <c r="A23" s="91">
        <v>45984</v>
      </c>
      <c r="B23" s="82" t="s">
        <v>36</v>
      </c>
      <c r="C23" s="83" t="s">
        <v>37</v>
      </c>
      <c r="D23" s="82" t="s">
        <v>1</v>
      </c>
      <c r="E23" s="92">
        <v>1.756944444444444</v>
      </c>
      <c r="F23" s="82" t="s">
        <v>41</v>
      </c>
      <c r="G23" s="84">
        <v>8</v>
      </c>
      <c r="H23" s="85">
        <v>659</v>
      </c>
    </row>
    <row r="24" spans="1:8" ht="19.8" customHeight="1" x14ac:dyDescent="0.3">
      <c r="A24" s="91">
        <v>45984</v>
      </c>
      <c r="B24" s="82" t="s">
        <v>26</v>
      </c>
      <c r="C24" s="83" t="s">
        <v>27</v>
      </c>
      <c r="D24" s="82" t="s">
        <v>1</v>
      </c>
      <c r="E24" s="92">
        <v>1.4201388888888891</v>
      </c>
      <c r="F24" s="82" t="s">
        <v>31</v>
      </c>
      <c r="G24" s="84">
        <v>18</v>
      </c>
      <c r="H24" s="85">
        <v>709</v>
      </c>
    </row>
    <row r="25" spans="1:8" ht="19.8" customHeight="1" x14ac:dyDescent="0.3">
      <c r="A25" s="91">
        <v>45984</v>
      </c>
      <c r="B25" s="82" t="s">
        <v>36</v>
      </c>
      <c r="C25" s="83" t="s">
        <v>37</v>
      </c>
      <c r="D25" s="82" t="s">
        <v>1</v>
      </c>
      <c r="E25" s="92">
        <v>1.756944444444444</v>
      </c>
      <c r="F25" s="82" t="s">
        <v>43</v>
      </c>
      <c r="G25" s="84">
        <v>8</v>
      </c>
      <c r="H25" s="85">
        <v>749</v>
      </c>
    </row>
    <row r="26" spans="1:8" ht="19.8" customHeight="1" x14ac:dyDescent="0.3">
      <c r="A26" s="91">
        <v>45984</v>
      </c>
      <c r="B26" s="82" t="s">
        <v>48</v>
      </c>
      <c r="C26" s="83" t="s">
        <v>53</v>
      </c>
      <c r="D26" s="82" t="s">
        <v>1</v>
      </c>
      <c r="E26" s="92">
        <v>1.493055555555556</v>
      </c>
      <c r="F26" s="82" t="s">
        <v>50</v>
      </c>
      <c r="G26" s="84">
        <v>4</v>
      </c>
      <c r="H26" s="85">
        <v>866</v>
      </c>
    </row>
    <row r="27" spans="1:8" ht="19.8" customHeight="1" x14ac:dyDescent="0.3">
      <c r="A27" s="91">
        <v>45984</v>
      </c>
      <c r="B27" s="82" t="s">
        <v>48</v>
      </c>
      <c r="C27" s="83" t="s">
        <v>87</v>
      </c>
      <c r="D27" s="82" t="s">
        <v>1</v>
      </c>
      <c r="E27" s="92">
        <v>1.444444444444444</v>
      </c>
      <c r="F27" s="82" t="s">
        <v>50</v>
      </c>
      <c r="G27" s="84">
        <v>5</v>
      </c>
      <c r="H27" s="85">
        <v>866</v>
      </c>
    </row>
    <row r="28" spans="1:8" ht="19.8" customHeight="1" x14ac:dyDescent="0.3">
      <c r="A28" s="91">
        <v>45984</v>
      </c>
      <c r="B28" s="82" t="s">
        <v>26</v>
      </c>
      <c r="C28" s="83" t="s">
        <v>27</v>
      </c>
      <c r="D28" s="82" t="s">
        <v>1</v>
      </c>
      <c r="E28" s="92">
        <v>1.4201388888888891</v>
      </c>
      <c r="F28" s="82" t="s">
        <v>34</v>
      </c>
      <c r="G28" s="84">
        <v>18</v>
      </c>
      <c r="H28" s="86" t="s">
        <v>81</v>
      </c>
    </row>
    <row r="29" spans="1:8" ht="19.8" customHeight="1" x14ac:dyDescent="0.3">
      <c r="A29" s="91">
        <v>45984</v>
      </c>
      <c r="B29" s="82" t="s">
        <v>48</v>
      </c>
      <c r="C29" s="83" t="s">
        <v>89</v>
      </c>
      <c r="D29" s="82" t="s">
        <v>1</v>
      </c>
      <c r="E29" s="92">
        <v>1.2222222222222221</v>
      </c>
      <c r="F29" s="82" t="s">
        <v>50</v>
      </c>
      <c r="G29" s="84">
        <v>1</v>
      </c>
      <c r="H29" s="86" t="s">
        <v>90</v>
      </c>
    </row>
    <row r="30" spans="1:8" ht="19.8" customHeight="1" x14ac:dyDescent="0.3">
      <c r="A30" s="91">
        <v>45984</v>
      </c>
      <c r="B30" s="82" t="s">
        <v>56</v>
      </c>
      <c r="C30" s="83" t="s">
        <v>64</v>
      </c>
      <c r="D30" s="82" t="s">
        <v>1</v>
      </c>
      <c r="E30" s="92">
        <v>1.4201388888888891</v>
      </c>
      <c r="F30" s="82" t="s">
        <v>61</v>
      </c>
      <c r="G30" s="84">
        <v>4</v>
      </c>
      <c r="H30" s="86" t="s">
        <v>91</v>
      </c>
    </row>
    <row r="31" spans="1:8" ht="19.8" customHeight="1" x14ac:dyDescent="0.3">
      <c r="A31" s="91">
        <v>45984</v>
      </c>
      <c r="B31" s="82" t="s">
        <v>56</v>
      </c>
      <c r="C31" s="83" t="s">
        <v>57</v>
      </c>
      <c r="D31" s="82" t="s">
        <v>1</v>
      </c>
      <c r="E31" s="92">
        <v>1.086805555555556</v>
      </c>
      <c r="F31" s="82" t="s">
        <v>58</v>
      </c>
      <c r="G31" s="84">
        <v>9</v>
      </c>
      <c r="H31" s="86" t="s">
        <v>93</v>
      </c>
    </row>
    <row r="32" spans="1:8" ht="19.8" customHeight="1" x14ac:dyDescent="0.3">
      <c r="A32" s="91">
        <v>45984</v>
      </c>
      <c r="B32" s="82" t="s">
        <v>56</v>
      </c>
      <c r="C32" s="83" t="s">
        <v>57</v>
      </c>
      <c r="D32" s="82" t="s">
        <v>1</v>
      </c>
      <c r="E32" s="92">
        <v>1.086805555555556</v>
      </c>
      <c r="F32" s="82" t="s">
        <v>61</v>
      </c>
      <c r="G32" s="84">
        <v>9</v>
      </c>
      <c r="H32" s="86" t="s">
        <v>95</v>
      </c>
    </row>
    <row r="33" spans="1:8" ht="19.8" customHeight="1" x14ac:dyDescent="0.3">
      <c r="A33" s="91">
        <v>45984</v>
      </c>
      <c r="B33" s="82" t="s">
        <v>56</v>
      </c>
      <c r="C33" s="83" t="s">
        <v>67</v>
      </c>
      <c r="D33" s="82" t="s">
        <v>1</v>
      </c>
      <c r="E33" s="92">
        <v>1.604166666666667</v>
      </c>
      <c r="F33" s="82" t="s">
        <v>58</v>
      </c>
      <c r="G33" s="84">
        <v>1</v>
      </c>
      <c r="H33" s="86" t="s">
        <v>68</v>
      </c>
    </row>
    <row r="34" spans="1:8" ht="19.8" customHeight="1" x14ac:dyDescent="0.3">
      <c r="A34" s="91">
        <v>45984</v>
      </c>
      <c r="B34" s="82" t="s">
        <v>56</v>
      </c>
      <c r="C34" s="83" t="s">
        <v>71</v>
      </c>
      <c r="D34" s="82" t="s">
        <v>1</v>
      </c>
      <c r="E34" s="92">
        <v>1.7951388888888891</v>
      </c>
      <c r="F34" s="82" t="s">
        <v>58</v>
      </c>
      <c r="G34" s="84">
        <v>1</v>
      </c>
      <c r="H34" s="86" t="s">
        <v>68</v>
      </c>
    </row>
    <row r="35" spans="1:8" ht="19.8" customHeight="1" x14ac:dyDescent="0.3">
      <c r="A35" s="91">
        <v>45984</v>
      </c>
      <c r="B35" s="82" t="s">
        <v>56</v>
      </c>
      <c r="C35" s="83" t="s">
        <v>67</v>
      </c>
      <c r="D35" s="82" t="s">
        <v>1</v>
      </c>
      <c r="E35" s="92">
        <v>1.604166666666667</v>
      </c>
      <c r="F35" s="82" t="s">
        <v>61</v>
      </c>
      <c r="G35" s="84">
        <v>1</v>
      </c>
      <c r="H35" s="86" t="s">
        <v>70</v>
      </c>
    </row>
    <row r="36" spans="1:8" ht="19.8" customHeight="1" x14ac:dyDescent="0.3">
      <c r="A36" s="91">
        <v>45984</v>
      </c>
      <c r="B36" s="82" t="s">
        <v>56</v>
      </c>
      <c r="C36" s="83" t="s">
        <v>71</v>
      </c>
      <c r="D36" s="82" t="s">
        <v>1</v>
      </c>
      <c r="E36" s="92">
        <v>1.7951388888888891</v>
      </c>
      <c r="F36" s="82" t="s">
        <v>61</v>
      </c>
      <c r="G36" s="84">
        <v>1</v>
      </c>
      <c r="H36" s="86" t="s">
        <v>70</v>
      </c>
    </row>
    <row r="37" spans="1:8" ht="19.8" customHeight="1" x14ac:dyDescent="0.3">
      <c r="A37" s="93">
        <v>45984</v>
      </c>
      <c r="B37" s="88" t="s">
        <v>73</v>
      </c>
      <c r="C37" s="89" t="s">
        <v>74</v>
      </c>
      <c r="D37" s="88" t="s">
        <v>1</v>
      </c>
      <c r="E37" s="94">
        <v>1.9027777777777779</v>
      </c>
      <c r="F37" s="88" t="s">
        <v>75</v>
      </c>
      <c r="G37" s="88"/>
      <c r="H37" s="90" t="s">
        <v>76</v>
      </c>
    </row>
    <row r="38" spans="1:8" ht="19.8" customHeight="1" x14ac:dyDescent="0.3">
      <c r="A38" s="91">
        <v>45985</v>
      </c>
      <c r="B38" s="82" t="s">
        <v>36</v>
      </c>
      <c r="C38" s="83" t="s">
        <v>45</v>
      </c>
      <c r="D38" s="82" t="s">
        <v>1</v>
      </c>
      <c r="E38" s="92">
        <v>1.354166666666667</v>
      </c>
      <c r="F38" s="82" t="s">
        <v>38</v>
      </c>
      <c r="G38" s="84">
        <v>9</v>
      </c>
      <c r="H38" s="85">
        <v>559</v>
      </c>
    </row>
    <row r="39" spans="1:8" ht="19.8" customHeight="1" x14ac:dyDescent="0.3">
      <c r="A39" s="91">
        <v>45985</v>
      </c>
      <c r="B39" s="82" t="s">
        <v>26</v>
      </c>
      <c r="C39" s="83" t="s">
        <v>27</v>
      </c>
      <c r="D39" s="82" t="s">
        <v>1</v>
      </c>
      <c r="E39" s="92">
        <v>1.4201388888888891</v>
      </c>
      <c r="F39" s="82" t="s">
        <v>28</v>
      </c>
      <c r="G39" s="84">
        <v>10</v>
      </c>
      <c r="H39" s="85">
        <v>619</v>
      </c>
    </row>
    <row r="40" spans="1:8" ht="19.8" customHeight="1" x14ac:dyDescent="0.3">
      <c r="A40" s="91">
        <v>45985</v>
      </c>
      <c r="B40" s="82" t="s">
        <v>36</v>
      </c>
      <c r="C40" s="83" t="s">
        <v>45</v>
      </c>
      <c r="D40" s="82" t="s">
        <v>1</v>
      </c>
      <c r="E40" s="92">
        <v>1.354166666666667</v>
      </c>
      <c r="F40" s="82" t="s">
        <v>41</v>
      </c>
      <c r="G40" s="84">
        <v>9</v>
      </c>
      <c r="H40" s="85">
        <v>659</v>
      </c>
    </row>
    <row r="41" spans="1:8" ht="19.8" customHeight="1" x14ac:dyDescent="0.3">
      <c r="A41" s="91">
        <v>45985</v>
      </c>
      <c r="B41" s="82" t="s">
        <v>36</v>
      </c>
      <c r="C41" s="83" t="s">
        <v>45</v>
      </c>
      <c r="D41" s="82" t="s">
        <v>1</v>
      </c>
      <c r="E41" s="92">
        <v>1.354166666666667</v>
      </c>
      <c r="F41" s="82" t="s">
        <v>43</v>
      </c>
      <c r="G41" s="84">
        <v>9</v>
      </c>
      <c r="H41" s="85">
        <v>749</v>
      </c>
    </row>
    <row r="42" spans="1:8" ht="19.8" customHeight="1" x14ac:dyDescent="0.3">
      <c r="A42" s="91">
        <v>45985</v>
      </c>
      <c r="B42" s="82" t="s">
        <v>48</v>
      </c>
      <c r="C42" s="83" t="s">
        <v>89</v>
      </c>
      <c r="D42" s="82" t="s">
        <v>1</v>
      </c>
      <c r="E42" s="92">
        <v>1.2222222222222221</v>
      </c>
      <c r="F42" s="82" t="s">
        <v>50</v>
      </c>
      <c r="G42" s="84">
        <v>9</v>
      </c>
      <c r="H42" s="85">
        <v>757</v>
      </c>
    </row>
    <row r="43" spans="1:8" ht="19.8" customHeight="1" x14ac:dyDescent="0.3">
      <c r="A43" s="91">
        <v>45985</v>
      </c>
      <c r="B43" s="82" t="s">
        <v>26</v>
      </c>
      <c r="C43" s="83" t="s">
        <v>27</v>
      </c>
      <c r="D43" s="82" t="s">
        <v>1</v>
      </c>
      <c r="E43" s="92">
        <v>1.4201388888888891</v>
      </c>
      <c r="F43" s="82" t="s">
        <v>31</v>
      </c>
      <c r="G43" s="84">
        <v>10</v>
      </c>
      <c r="H43" s="85">
        <v>769</v>
      </c>
    </row>
    <row r="44" spans="1:8" ht="19.8" customHeight="1" x14ac:dyDescent="0.3">
      <c r="A44" s="91">
        <v>45985</v>
      </c>
      <c r="B44" s="82" t="s">
        <v>36</v>
      </c>
      <c r="C44" s="83" t="s">
        <v>37</v>
      </c>
      <c r="D44" s="82" t="s">
        <v>1</v>
      </c>
      <c r="E44" s="92">
        <v>1.756944444444444</v>
      </c>
      <c r="F44" s="82" t="s">
        <v>38</v>
      </c>
      <c r="G44" s="84">
        <v>1</v>
      </c>
      <c r="H44" s="85">
        <v>939</v>
      </c>
    </row>
    <row r="45" spans="1:8" ht="19.8" customHeight="1" x14ac:dyDescent="0.3">
      <c r="A45" s="91">
        <v>45985</v>
      </c>
      <c r="B45" s="82" t="s">
        <v>36</v>
      </c>
      <c r="C45" s="83" t="s">
        <v>37</v>
      </c>
      <c r="D45" s="82" t="s">
        <v>1</v>
      </c>
      <c r="E45" s="92">
        <v>1.756944444444444</v>
      </c>
      <c r="F45" s="82" t="s">
        <v>41</v>
      </c>
      <c r="G45" s="84">
        <v>1</v>
      </c>
      <c r="H45" s="86" t="s">
        <v>99</v>
      </c>
    </row>
    <row r="46" spans="1:8" ht="19.8" customHeight="1" x14ac:dyDescent="0.3">
      <c r="A46" s="91">
        <v>45985</v>
      </c>
      <c r="B46" s="82" t="s">
        <v>26</v>
      </c>
      <c r="C46" s="83" t="s">
        <v>27</v>
      </c>
      <c r="D46" s="82" t="s">
        <v>1</v>
      </c>
      <c r="E46" s="92">
        <v>1.4201388888888891</v>
      </c>
      <c r="F46" s="82" t="s">
        <v>34</v>
      </c>
      <c r="G46" s="84">
        <v>10</v>
      </c>
      <c r="H46" s="86" t="s">
        <v>81</v>
      </c>
    </row>
    <row r="47" spans="1:8" ht="19.8" customHeight="1" x14ac:dyDescent="0.3">
      <c r="A47" s="91">
        <v>45985</v>
      </c>
      <c r="B47" s="82" t="s">
        <v>36</v>
      </c>
      <c r="C47" s="83" t="s">
        <v>37</v>
      </c>
      <c r="D47" s="82" t="s">
        <v>1</v>
      </c>
      <c r="E47" s="92">
        <v>1.756944444444444</v>
      </c>
      <c r="F47" s="82" t="s">
        <v>43</v>
      </c>
      <c r="G47" s="84">
        <v>1</v>
      </c>
      <c r="H47" s="86" t="s">
        <v>100</v>
      </c>
    </row>
    <row r="48" spans="1:8" ht="19.8" customHeight="1" x14ac:dyDescent="0.3">
      <c r="A48" s="91">
        <v>45985</v>
      </c>
      <c r="B48" s="82" t="s">
        <v>56</v>
      </c>
      <c r="C48" s="83" t="s">
        <v>57</v>
      </c>
      <c r="D48" s="82" t="s">
        <v>1</v>
      </c>
      <c r="E48" s="92">
        <v>1.086805555555556</v>
      </c>
      <c r="F48" s="82" t="s">
        <v>58</v>
      </c>
      <c r="G48" s="84">
        <v>9</v>
      </c>
      <c r="H48" s="86" t="s">
        <v>60</v>
      </c>
    </row>
    <row r="49" spans="1:8" ht="19.8" customHeight="1" x14ac:dyDescent="0.3">
      <c r="A49" s="91">
        <v>45985</v>
      </c>
      <c r="B49" s="82" t="s">
        <v>56</v>
      </c>
      <c r="C49" s="83" t="s">
        <v>57</v>
      </c>
      <c r="D49" s="82" t="s">
        <v>1</v>
      </c>
      <c r="E49" s="92">
        <v>1.086805555555556</v>
      </c>
      <c r="F49" s="82" t="s">
        <v>61</v>
      </c>
      <c r="G49" s="84">
        <v>9</v>
      </c>
      <c r="H49" s="86" t="s">
        <v>63</v>
      </c>
    </row>
    <row r="50" spans="1:8" ht="19.8" customHeight="1" x14ac:dyDescent="0.3">
      <c r="A50" s="91">
        <v>45985</v>
      </c>
      <c r="B50" s="82" t="s">
        <v>56</v>
      </c>
      <c r="C50" s="83" t="s">
        <v>64</v>
      </c>
      <c r="D50" s="82" t="s">
        <v>1</v>
      </c>
      <c r="E50" s="92">
        <v>1.4201388888888891</v>
      </c>
      <c r="F50" s="82" t="s">
        <v>61</v>
      </c>
      <c r="G50" s="84">
        <v>4</v>
      </c>
      <c r="H50" s="86" t="s">
        <v>91</v>
      </c>
    </row>
    <row r="51" spans="1:8" ht="19.8" customHeight="1" x14ac:dyDescent="0.3">
      <c r="A51" s="91">
        <v>45985</v>
      </c>
      <c r="B51" s="82" t="s">
        <v>56</v>
      </c>
      <c r="C51" s="83" t="s">
        <v>67</v>
      </c>
      <c r="D51" s="82" t="s">
        <v>1</v>
      </c>
      <c r="E51" s="92">
        <v>1.604166666666667</v>
      </c>
      <c r="F51" s="82" t="s">
        <v>58</v>
      </c>
      <c r="G51" s="84">
        <v>1</v>
      </c>
      <c r="H51" s="86" t="s">
        <v>68</v>
      </c>
    </row>
    <row r="52" spans="1:8" ht="19.8" customHeight="1" x14ac:dyDescent="0.3">
      <c r="A52" s="95">
        <v>45985</v>
      </c>
      <c r="B52" s="96" t="s">
        <v>56</v>
      </c>
      <c r="C52" s="97" t="s">
        <v>67</v>
      </c>
      <c r="D52" s="96" t="s">
        <v>1</v>
      </c>
      <c r="E52" s="98">
        <v>1.604166666666667</v>
      </c>
      <c r="F52" s="96" t="s">
        <v>61</v>
      </c>
      <c r="G52" s="99">
        <v>1</v>
      </c>
      <c r="H52" s="100" t="s">
        <v>70</v>
      </c>
    </row>
    <row r="53" spans="1:8" ht="19.8" customHeight="1" x14ac:dyDescent="0.3">
      <c r="A53" s="91">
        <v>45986</v>
      </c>
      <c r="B53" s="82" t="s">
        <v>26</v>
      </c>
      <c r="C53" s="83" t="s">
        <v>27</v>
      </c>
      <c r="D53" s="82" t="s">
        <v>1</v>
      </c>
      <c r="E53" s="92">
        <v>1.4201388888888891</v>
      </c>
      <c r="F53" s="82" t="s">
        <v>28</v>
      </c>
      <c r="G53" s="84">
        <v>6</v>
      </c>
      <c r="H53" s="85">
        <v>619</v>
      </c>
    </row>
    <row r="54" spans="1:8" ht="19.8" customHeight="1" x14ac:dyDescent="0.3">
      <c r="A54" s="91">
        <v>45986</v>
      </c>
      <c r="B54" s="82" t="s">
        <v>36</v>
      </c>
      <c r="C54" s="83" t="s">
        <v>37</v>
      </c>
      <c r="D54" s="82" t="s">
        <v>1</v>
      </c>
      <c r="E54" s="92">
        <v>1.756944444444444</v>
      </c>
      <c r="F54" s="82" t="s">
        <v>38</v>
      </c>
      <c r="G54" s="84">
        <v>2</v>
      </c>
      <c r="H54" s="85">
        <v>639</v>
      </c>
    </row>
    <row r="55" spans="1:8" ht="19.8" customHeight="1" x14ac:dyDescent="0.3">
      <c r="A55" s="91">
        <v>45986</v>
      </c>
      <c r="B55" s="82" t="s">
        <v>36</v>
      </c>
      <c r="C55" s="83" t="s">
        <v>37</v>
      </c>
      <c r="D55" s="82" t="s">
        <v>1</v>
      </c>
      <c r="E55" s="92">
        <v>1.756944444444444</v>
      </c>
      <c r="F55" s="82" t="s">
        <v>41</v>
      </c>
      <c r="G55" s="84">
        <v>2</v>
      </c>
      <c r="H55" s="85">
        <v>739</v>
      </c>
    </row>
    <row r="56" spans="1:8" ht="19.8" customHeight="1" x14ac:dyDescent="0.3">
      <c r="A56" s="101">
        <v>45986</v>
      </c>
      <c r="B56" s="102" t="s">
        <v>73</v>
      </c>
      <c r="C56" s="103" t="s">
        <v>110</v>
      </c>
      <c r="D56" s="102" t="s">
        <v>1</v>
      </c>
      <c r="E56" s="104">
        <v>1.2777777777777779</v>
      </c>
      <c r="F56" s="102" t="s">
        <v>111</v>
      </c>
      <c r="G56" s="105">
        <v>9</v>
      </c>
      <c r="H56" s="106">
        <v>758</v>
      </c>
    </row>
    <row r="57" spans="1:8" ht="19.8" customHeight="1" x14ac:dyDescent="0.3">
      <c r="A57" s="91">
        <v>45986</v>
      </c>
      <c r="B57" s="82" t="s">
        <v>26</v>
      </c>
      <c r="C57" s="83" t="s">
        <v>27</v>
      </c>
      <c r="D57" s="82" t="s">
        <v>1</v>
      </c>
      <c r="E57" s="92">
        <v>1.4201388888888891</v>
      </c>
      <c r="F57" s="82" t="s">
        <v>31</v>
      </c>
      <c r="G57" s="84">
        <v>6</v>
      </c>
      <c r="H57" s="85">
        <v>769</v>
      </c>
    </row>
    <row r="58" spans="1:8" ht="19.8" customHeight="1" x14ac:dyDescent="0.3">
      <c r="A58" s="91">
        <v>45986</v>
      </c>
      <c r="B58" s="82" t="s">
        <v>36</v>
      </c>
      <c r="C58" s="83" t="s">
        <v>37</v>
      </c>
      <c r="D58" s="82" t="s">
        <v>1</v>
      </c>
      <c r="E58" s="92">
        <v>1.756944444444444</v>
      </c>
      <c r="F58" s="82" t="s">
        <v>43</v>
      </c>
      <c r="G58" s="84">
        <v>2</v>
      </c>
      <c r="H58" s="85">
        <v>829</v>
      </c>
    </row>
    <row r="59" spans="1:8" ht="19.8" customHeight="1" x14ac:dyDescent="0.3">
      <c r="A59" s="91">
        <v>45986</v>
      </c>
      <c r="B59" s="82" t="s">
        <v>48</v>
      </c>
      <c r="C59" s="83" t="s">
        <v>49</v>
      </c>
      <c r="D59" s="82" t="s">
        <v>1</v>
      </c>
      <c r="E59" s="92">
        <v>1.0972222222222221</v>
      </c>
      <c r="F59" s="82" t="s">
        <v>50</v>
      </c>
      <c r="G59" s="84">
        <v>9</v>
      </c>
      <c r="H59" s="85">
        <v>866</v>
      </c>
    </row>
    <row r="60" spans="1:8" ht="19.8" customHeight="1" x14ac:dyDescent="0.3">
      <c r="A60" s="101">
        <v>45986</v>
      </c>
      <c r="B60" s="102" t="s">
        <v>73</v>
      </c>
      <c r="C60" s="103" t="s">
        <v>116</v>
      </c>
      <c r="D60" s="102" t="s">
        <v>1</v>
      </c>
      <c r="E60" s="104">
        <v>1.0486111111111109</v>
      </c>
      <c r="F60" s="102" t="s">
        <v>111</v>
      </c>
      <c r="G60" s="105">
        <v>8</v>
      </c>
      <c r="H60" s="106">
        <v>914</v>
      </c>
    </row>
    <row r="61" spans="1:8" ht="19.8" customHeight="1" x14ac:dyDescent="0.3">
      <c r="A61" s="91">
        <v>45986</v>
      </c>
      <c r="B61" s="82" t="s">
        <v>48</v>
      </c>
      <c r="C61" s="83" t="s">
        <v>53</v>
      </c>
      <c r="D61" s="82" t="s">
        <v>1</v>
      </c>
      <c r="E61" s="92">
        <v>1.493055555555556</v>
      </c>
      <c r="F61" s="82" t="s">
        <v>50</v>
      </c>
      <c r="G61" s="84">
        <v>9</v>
      </c>
      <c r="H61" s="85">
        <v>962</v>
      </c>
    </row>
    <row r="62" spans="1:8" ht="19.8" customHeight="1" x14ac:dyDescent="0.3">
      <c r="A62" s="91">
        <v>45986</v>
      </c>
      <c r="B62" s="82" t="s">
        <v>48</v>
      </c>
      <c r="C62" s="83" t="s">
        <v>89</v>
      </c>
      <c r="D62" s="82" t="s">
        <v>1</v>
      </c>
      <c r="E62" s="92">
        <v>1.2222222222222221</v>
      </c>
      <c r="F62" s="82" t="s">
        <v>50</v>
      </c>
      <c r="G62" s="84">
        <v>9</v>
      </c>
      <c r="H62" s="85">
        <v>962</v>
      </c>
    </row>
    <row r="63" spans="1:8" ht="19.8" customHeight="1" x14ac:dyDescent="0.3">
      <c r="A63" s="91">
        <v>45986</v>
      </c>
      <c r="B63" s="82" t="s">
        <v>48</v>
      </c>
      <c r="C63" s="83" t="s">
        <v>87</v>
      </c>
      <c r="D63" s="82" t="s">
        <v>1</v>
      </c>
      <c r="E63" s="92">
        <v>1.444444444444444</v>
      </c>
      <c r="F63" s="82" t="s">
        <v>50</v>
      </c>
      <c r="G63" s="84">
        <v>5</v>
      </c>
      <c r="H63" s="85">
        <v>962</v>
      </c>
    </row>
    <row r="64" spans="1:8" ht="19.8" customHeight="1" x14ac:dyDescent="0.3">
      <c r="A64" s="91">
        <v>45986</v>
      </c>
      <c r="B64" s="82" t="s">
        <v>26</v>
      </c>
      <c r="C64" s="83" t="s">
        <v>27</v>
      </c>
      <c r="D64" s="82" t="s">
        <v>1</v>
      </c>
      <c r="E64" s="92">
        <v>1.4201388888888891</v>
      </c>
      <c r="F64" s="82" t="s">
        <v>34</v>
      </c>
      <c r="G64" s="84">
        <v>6</v>
      </c>
      <c r="H64" s="86" t="s">
        <v>81</v>
      </c>
    </row>
    <row r="65" spans="1:8" ht="19.8" customHeight="1" x14ac:dyDescent="0.3">
      <c r="A65" s="91">
        <v>45986</v>
      </c>
      <c r="B65" s="82" t="s">
        <v>56</v>
      </c>
      <c r="C65" s="83" t="s">
        <v>67</v>
      </c>
      <c r="D65" s="82" t="s">
        <v>1</v>
      </c>
      <c r="E65" s="92">
        <v>1.604166666666667</v>
      </c>
      <c r="F65" s="82" t="s">
        <v>58</v>
      </c>
      <c r="G65" s="84">
        <v>9</v>
      </c>
      <c r="H65" s="86" t="s">
        <v>60</v>
      </c>
    </row>
    <row r="66" spans="1:8" ht="19.8" customHeight="1" x14ac:dyDescent="0.3">
      <c r="A66" s="91">
        <v>45986</v>
      </c>
      <c r="B66" s="82" t="s">
        <v>56</v>
      </c>
      <c r="C66" s="83" t="s">
        <v>67</v>
      </c>
      <c r="D66" s="82" t="s">
        <v>1</v>
      </c>
      <c r="E66" s="92">
        <v>1.604166666666667</v>
      </c>
      <c r="F66" s="82" t="s">
        <v>61</v>
      </c>
      <c r="G66" s="84">
        <v>9</v>
      </c>
      <c r="H66" s="86" t="s">
        <v>63</v>
      </c>
    </row>
    <row r="67" spans="1:8" ht="19.8" customHeight="1" x14ac:dyDescent="0.3">
      <c r="A67" s="91">
        <v>45986</v>
      </c>
      <c r="B67" s="82" t="s">
        <v>56</v>
      </c>
      <c r="C67" s="83" t="s">
        <v>64</v>
      </c>
      <c r="D67" s="82" t="s">
        <v>1</v>
      </c>
      <c r="E67" s="92">
        <v>1.4201388888888891</v>
      </c>
      <c r="F67" s="82" t="s">
        <v>61</v>
      </c>
      <c r="G67" s="84">
        <v>4</v>
      </c>
      <c r="H67" s="86" t="s">
        <v>91</v>
      </c>
    </row>
    <row r="68" spans="1:8" ht="19.8" customHeight="1" x14ac:dyDescent="0.3">
      <c r="A68" s="91">
        <v>45986</v>
      </c>
      <c r="B68" s="82" t="s">
        <v>48</v>
      </c>
      <c r="C68" s="83" t="s">
        <v>124</v>
      </c>
      <c r="D68" s="82" t="s">
        <v>1</v>
      </c>
      <c r="E68" s="92">
        <v>1.854166666666667</v>
      </c>
      <c r="F68" s="82" t="s">
        <v>50</v>
      </c>
      <c r="G68" s="84">
        <v>9</v>
      </c>
      <c r="H68" s="86" t="s">
        <v>55</v>
      </c>
    </row>
    <row r="69" spans="1:8" ht="19.8" customHeight="1" x14ac:dyDescent="0.3">
      <c r="A69" s="91">
        <v>45986</v>
      </c>
      <c r="B69" s="82" t="s">
        <v>56</v>
      </c>
      <c r="C69" s="83" t="s">
        <v>71</v>
      </c>
      <c r="D69" s="82" t="s">
        <v>1</v>
      </c>
      <c r="E69" s="92">
        <v>1.7951388888888891</v>
      </c>
      <c r="F69" s="82" t="s">
        <v>58</v>
      </c>
      <c r="G69" s="84">
        <v>1</v>
      </c>
      <c r="H69" s="86" t="s">
        <v>93</v>
      </c>
    </row>
    <row r="70" spans="1:8" ht="19.8" customHeight="1" x14ac:dyDescent="0.3">
      <c r="A70" s="91">
        <v>45986</v>
      </c>
      <c r="B70" s="82" t="s">
        <v>56</v>
      </c>
      <c r="C70" s="83" t="s">
        <v>57</v>
      </c>
      <c r="D70" s="82" t="s">
        <v>1</v>
      </c>
      <c r="E70" s="92">
        <v>1.086805555555556</v>
      </c>
      <c r="F70" s="82" t="s">
        <v>58</v>
      </c>
      <c r="G70" s="84">
        <v>9</v>
      </c>
      <c r="H70" s="86" t="s">
        <v>93</v>
      </c>
    </row>
    <row r="71" spans="1:8" ht="19.8" customHeight="1" x14ac:dyDescent="0.3">
      <c r="A71" s="91">
        <v>45986</v>
      </c>
      <c r="B71" s="82" t="s">
        <v>56</v>
      </c>
      <c r="C71" s="83" t="s">
        <v>71</v>
      </c>
      <c r="D71" s="82" t="s">
        <v>1</v>
      </c>
      <c r="E71" s="92">
        <v>1.7951388888888891</v>
      </c>
      <c r="F71" s="82" t="s">
        <v>61</v>
      </c>
      <c r="G71" s="84">
        <v>1</v>
      </c>
      <c r="H71" s="86" t="s">
        <v>95</v>
      </c>
    </row>
    <row r="72" spans="1:8" ht="19.8" customHeight="1" x14ac:dyDescent="0.3">
      <c r="A72" s="91">
        <v>45986</v>
      </c>
      <c r="B72" s="82" t="s">
        <v>56</v>
      </c>
      <c r="C72" s="83" t="s">
        <v>57</v>
      </c>
      <c r="D72" s="82" t="s">
        <v>1</v>
      </c>
      <c r="E72" s="92">
        <v>1.086805555555556</v>
      </c>
      <c r="F72" s="82" t="s">
        <v>61</v>
      </c>
      <c r="G72" s="84">
        <v>9</v>
      </c>
      <c r="H72" s="86" t="s">
        <v>95</v>
      </c>
    </row>
    <row r="73" spans="1:8" ht="19.8" customHeight="1" x14ac:dyDescent="0.3">
      <c r="A73" s="93">
        <v>45986</v>
      </c>
      <c r="B73" s="88" t="s">
        <v>73</v>
      </c>
      <c r="C73" s="89" t="s">
        <v>74</v>
      </c>
      <c r="D73" s="88" t="s">
        <v>1</v>
      </c>
      <c r="E73" s="94">
        <v>1.979166666666667</v>
      </c>
      <c r="F73" s="88" t="s">
        <v>75</v>
      </c>
      <c r="G73" s="88"/>
      <c r="H73" s="90" t="s">
        <v>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4" x14ac:dyDescent="0.3"/>
  <cols>
    <col min="1" max="1" width="11.88671875" bestFit="1" customWidth="1"/>
    <col min="2" max="2" width="12.554687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107" t="s">
        <v>201</v>
      </c>
      <c r="B1" s="107" t="s">
        <v>8</v>
      </c>
      <c r="C1" s="107" t="s">
        <v>9</v>
      </c>
      <c r="D1" s="107" t="s">
        <v>202</v>
      </c>
      <c r="E1" s="107" t="s">
        <v>10</v>
      </c>
      <c r="F1" s="107" t="s">
        <v>11</v>
      </c>
      <c r="G1" s="107" t="s">
        <v>12</v>
      </c>
      <c r="H1" s="107" t="s">
        <v>13</v>
      </c>
      <c r="I1" s="107" t="s">
        <v>212</v>
      </c>
    </row>
    <row r="2" spans="1:9" ht="15.6" x14ac:dyDescent="0.3">
      <c r="A2" s="108" t="s">
        <v>203</v>
      </c>
      <c r="B2" s="108" t="s">
        <v>73</v>
      </c>
      <c r="C2" s="108" t="s">
        <v>74</v>
      </c>
      <c r="D2" s="108" t="s">
        <v>1</v>
      </c>
      <c r="E2" s="108" t="s">
        <v>155</v>
      </c>
      <c r="F2" s="108" t="s">
        <v>75</v>
      </c>
      <c r="G2" s="108"/>
      <c r="H2" s="108" t="s">
        <v>76</v>
      </c>
      <c r="I2" s="108" t="s">
        <v>213</v>
      </c>
    </row>
    <row r="3" spans="1:9" ht="15.6" x14ac:dyDescent="0.3">
      <c r="A3" s="109" t="s">
        <v>203</v>
      </c>
      <c r="B3" s="109" t="s">
        <v>36</v>
      </c>
      <c r="C3" s="109" t="s">
        <v>37</v>
      </c>
      <c r="D3" s="109" t="s">
        <v>1</v>
      </c>
      <c r="E3" s="109" t="s">
        <v>205</v>
      </c>
      <c r="F3" s="109" t="s">
        <v>43</v>
      </c>
      <c r="G3" s="109" t="s">
        <v>214</v>
      </c>
      <c r="H3" s="109" t="s">
        <v>44</v>
      </c>
      <c r="I3" s="109" t="s">
        <v>215</v>
      </c>
    </row>
    <row r="4" spans="1:9" ht="15.6" x14ac:dyDescent="0.3">
      <c r="A4" s="109" t="s">
        <v>203</v>
      </c>
      <c r="B4" s="109" t="s">
        <v>36</v>
      </c>
      <c r="C4" s="109" t="s">
        <v>45</v>
      </c>
      <c r="D4" s="109" t="s">
        <v>1</v>
      </c>
      <c r="E4" s="109" t="s">
        <v>206</v>
      </c>
      <c r="F4" s="109" t="s">
        <v>43</v>
      </c>
      <c r="G4" s="109" t="s">
        <v>216</v>
      </c>
      <c r="H4" s="109" t="s">
        <v>44</v>
      </c>
      <c r="I4" s="109" t="s">
        <v>215</v>
      </c>
    </row>
    <row r="5" spans="1:9" ht="15.6" x14ac:dyDescent="0.3">
      <c r="A5" s="108" t="s">
        <v>217</v>
      </c>
      <c r="B5" s="108" t="s">
        <v>73</v>
      </c>
      <c r="C5" s="108" t="s">
        <v>74</v>
      </c>
      <c r="D5" s="108" t="s">
        <v>1</v>
      </c>
      <c r="E5" s="108" t="s">
        <v>167</v>
      </c>
      <c r="F5" s="108" t="s">
        <v>75</v>
      </c>
      <c r="G5" s="108"/>
      <c r="H5" s="108" t="s">
        <v>76</v>
      </c>
      <c r="I5" s="108" t="s">
        <v>213</v>
      </c>
    </row>
    <row r="6" spans="1:9" ht="15.6" x14ac:dyDescent="0.3">
      <c r="A6" s="109" t="s">
        <v>217</v>
      </c>
      <c r="B6" s="109" t="s">
        <v>36</v>
      </c>
      <c r="C6" s="109" t="s">
        <v>37</v>
      </c>
      <c r="D6" s="109" t="s">
        <v>1</v>
      </c>
      <c r="E6" s="109" t="s">
        <v>205</v>
      </c>
      <c r="F6" s="109" t="s">
        <v>43</v>
      </c>
      <c r="G6" s="109" t="s">
        <v>218</v>
      </c>
      <c r="H6" s="109" t="s">
        <v>85</v>
      </c>
      <c r="I6" s="109" t="s">
        <v>219</v>
      </c>
    </row>
    <row r="7" spans="1:9" ht="15.6" x14ac:dyDescent="0.3">
      <c r="A7" s="109" t="s">
        <v>220</v>
      </c>
      <c r="B7" s="109" t="s">
        <v>36</v>
      </c>
      <c r="C7" s="109" t="s">
        <v>45</v>
      </c>
      <c r="D7" s="109" t="s">
        <v>1</v>
      </c>
      <c r="E7" s="109" t="s">
        <v>206</v>
      </c>
      <c r="F7" s="109" t="s">
        <v>43</v>
      </c>
      <c r="G7" s="109" t="s">
        <v>216</v>
      </c>
      <c r="H7" s="109" t="s">
        <v>85</v>
      </c>
      <c r="I7" s="109" t="s">
        <v>219</v>
      </c>
    </row>
    <row r="8" spans="1:9" ht="15.6" x14ac:dyDescent="0.3">
      <c r="A8" s="108" t="s">
        <v>221</v>
      </c>
      <c r="B8" s="108" t="s">
        <v>73</v>
      </c>
      <c r="C8" s="108" t="s">
        <v>110</v>
      </c>
      <c r="D8" s="108" t="s">
        <v>1</v>
      </c>
      <c r="E8" s="108" t="s">
        <v>183</v>
      </c>
      <c r="F8" s="108" t="s">
        <v>111</v>
      </c>
      <c r="G8" s="108" t="s">
        <v>222</v>
      </c>
      <c r="H8" s="108" t="s">
        <v>112</v>
      </c>
      <c r="I8" s="108" t="s">
        <v>213</v>
      </c>
    </row>
    <row r="9" spans="1:9" ht="15.6" x14ac:dyDescent="0.3">
      <c r="A9" s="108" t="s">
        <v>221</v>
      </c>
      <c r="B9" s="108" t="s">
        <v>73</v>
      </c>
      <c r="C9" s="108" t="s">
        <v>116</v>
      </c>
      <c r="D9" s="108" t="s">
        <v>1</v>
      </c>
      <c r="E9" s="108" t="s">
        <v>178</v>
      </c>
      <c r="F9" s="108" t="s">
        <v>111</v>
      </c>
      <c r="G9" s="108" t="s">
        <v>218</v>
      </c>
      <c r="H9" s="108" t="s">
        <v>118</v>
      </c>
      <c r="I9" s="108" t="s">
        <v>213</v>
      </c>
    </row>
    <row r="10" spans="1:9" ht="15.6" x14ac:dyDescent="0.3">
      <c r="A10" s="108" t="s">
        <v>221</v>
      </c>
      <c r="B10" s="108" t="s">
        <v>73</v>
      </c>
      <c r="C10" s="108" t="s">
        <v>74</v>
      </c>
      <c r="D10" s="108" t="s">
        <v>1</v>
      </c>
      <c r="E10" s="108" t="s">
        <v>193</v>
      </c>
      <c r="F10" s="108" t="s">
        <v>75</v>
      </c>
      <c r="G10" s="108"/>
      <c r="H10" s="108" t="s">
        <v>76</v>
      </c>
      <c r="I10" s="108" t="s">
        <v>213</v>
      </c>
    </row>
    <row r="11" spans="1:9" ht="15.6" x14ac:dyDescent="0.3">
      <c r="A11" s="109" t="s">
        <v>221</v>
      </c>
      <c r="B11" s="109" t="s">
        <v>36</v>
      </c>
      <c r="C11" s="109" t="s">
        <v>37</v>
      </c>
      <c r="D11" s="109" t="s">
        <v>1</v>
      </c>
      <c r="E11" s="109" t="s">
        <v>205</v>
      </c>
      <c r="F11" s="109" t="s">
        <v>43</v>
      </c>
      <c r="G11" s="109" t="s">
        <v>223</v>
      </c>
      <c r="H11" s="109" t="s">
        <v>109</v>
      </c>
      <c r="I11" s="109" t="s">
        <v>215</v>
      </c>
    </row>
    <row r="12" spans="1:9" ht="15.6" x14ac:dyDescent="0.3">
      <c r="A12" s="109" t="s">
        <v>221</v>
      </c>
      <c r="B12" s="109" t="s">
        <v>48</v>
      </c>
      <c r="C12" s="109" t="s">
        <v>49</v>
      </c>
      <c r="D12" s="109" t="s">
        <v>1</v>
      </c>
      <c r="E12" s="109" t="s">
        <v>207</v>
      </c>
      <c r="F12" s="109" t="s">
        <v>50</v>
      </c>
      <c r="G12" s="109" t="s">
        <v>222</v>
      </c>
      <c r="H12" s="109" t="s">
        <v>52</v>
      </c>
      <c r="I12" s="109" t="s">
        <v>224</v>
      </c>
    </row>
    <row r="13" spans="1:9" ht="15.6" x14ac:dyDescent="0.3">
      <c r="A13" s="109" t="s">
        <v>221</v>
      </c>
      <c r="B13" s="109" t="s">
        <v>26</v>
      </c>
      <c r="C13" s="109" t="s">
        <v>27</v>
      </c>
      <c r="D13" s="109" t="s">
        <v>1</v>
      </c>
      <c r="E13" s="109" t="s">
        <v>204</v>
      </c>
      <c r="F13" s="109" t="s">
        <v>34</v>
      </c>
      <c r="G13" s="109" t="s">
        <v>214</v>
      </c>
      <c r="H13" s="109" t="s">
        <v>81</v>
      </c>
      <c r="I13" s="109" t="s">
        <v>224</v>
      </c>
    </row>
    <row r="14" spans="1:9" ht="15.6" x14ac:dyDescent="0.3">
      <c r="A14" s="109" t="s">
        <v>221</v>
      </c>
      <c r="B14" s="109" t="s">
        <v>56</v>
      </c>
      <c r="C14" s="109" t="s">
        <v>67</v>
      </c>
      <c r="D14" s="109" t="s">
        <v>1</v>
      </c>
      <c r="E14" s="109" t="s">
        <v>210</v>
      </c>
      <c r="F14" s="109" t="s">
        <v>61</v>
      </c>
      <c r="G14" s="109" t="s">
        <v>222</v>
      </c>
      <c r="H14" s="109" t="s">
        <v>63</v>
      </c>
      <c r="I14" s="109" t="s">
        <v>219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303"/>
  <sheetViews>
    <sheetView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18.5546875" bestFit="1" customWidth="1"/>
    <col min="6" max="6" width="23.44140625" bestFit="1" customWidth="1"/>
    <col min="7" max="7" width="48.777343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71.6640625" bestFit="1" customWidth="1"/>
  </cols>
  <sheetData>
    <row r="1" spans="1:92" ht="28.8" customHeight="1" x14ac:dyDescent="0.3">
      <c r="A1" s="199" t="s">
        <v>0</v>
      </c>
      <c r="B1" s="198"/>
      <c r="C1" s="198"/>
      <c r="D1" s="198"/>
      <c r="E1" s="198"/>
      <c r="F1" s="1" t="s">
        <v>225</v>
      </c>
      <c r="G1" s="2" t="s">
        <v>2</v>
      </c>
      <c r="H1" s="197">
        <v>45983</v>
      </c>
      <c r="I1" s="198"/>
      <c r="J1" s="198"/>
      <c r="K1" s="198"/>
      <c r="L1" s="198"/>
      <c r="M1" s="1" t="s">
        <v>3</v>
      </c>
      <c r="N1" s="206">
        <v>45986</v>
      </c>
      <c r="O1" s="198"/>
      <c r="P1" s="198"/>
      <c r="Q1" s="198"/>
      <c r="R1" s="198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01" t="s">
        <v>4</v>
      </c>
      <c r="B2" s="198"/>
      <c r="C2" s="198"/>
      <c r="D2" s="198"/>
      <c r="E2" s="198"/>
      <c r="F2" s="198"/>
      <c r="G2" s="203">
        <v>45981.944387032781</v>
      </c>
      <c r="H2" s="198"/>
      <c r="I2" s="198"/>
      <c r="J2" s="198"/>
      <c r="K2" s="207">
        <v>45981.944387033043</v>
      </c>
      <c r="L2" s="198"/>
      <c r="M2" s="198"/>
      <c r="N2" s="198"/>
      <c r="O2" s="198"/>
      <c r="P2" s="198"/>
      <c r="Q2" s="198"/>
      <c r="R2" s="19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02" t="s">
        <v>5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04" t="s">
        <v>6</v>
      </c>
      <c r="B4" s="191"/>
      <c r="C4" s="191"/>
      <c r="D4" s="191"/>
      <c r="E4" s="191"/>
      <c r="F4" s="192"/>
      <c r="G4" s="4">
        <v>45983</v>
      </c>
      <c r="H4" s="200" t="s">
        <v>7</v>
      </c>
      <c r="I4" s="191"/>
      <c r="J4" s="191"/>
      <c r="K4" s="191"/>
      <c r="L4" s="191"/>
      <c r="M4" s="191"/>
      <c r="N4" s="191"/>
      <c r="O4" s="191"/>
      <c r="P4" s="191"/>
      <c r="Q4" s="191"/>
      <c r="R4" s="19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26</v>
      </c>
      <c r="B6" s="8" t="s">
        <v>226</v>
      </c>
      <c r="C6" s="9">
        <v>0.12847222222222221</v>
      </c>
      <c r="D6" s="8" t="s">
        <v>28</v>
      </c>
      <c r="E6" s="8" t="s">
        <v>227</v>
      </c>
      <c r="F6" s="8" t="s">
        <v>107</v>
      </c>
      <c r="G6" s="194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15" customHeight="1" x14ac:dyDescent="0.3">
      <c r="A7" s="15" t="s">
        <v>26</v>
      </c>
      <c r="B7" s="15" t="s">
        <v>226</v>
      </c>
      <c r="C7" s="16">
        <v>0.12847222222222221</v>
      </c>
      <c r="D7" s="15" t="s">
        <v>31</v>
      </c>
      <c r="E7" s="15" t="s">
        <v>228</v>
      </c>
      <c r="F7" s="15" t="s">
        <v>229</v>
      </c>
      <c r="G7" s="195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15" customHeight="1" x14ac:dyDescent="0.3">
      <c r="A8" s="15" t="s">
        <v>26</v>
      </c>
      <c r="B8" s="15" t="s">
        <v>226</v>
      </c>
      <c r="C8" s="16">
        <v>0.12847222222222221</v>
      </c>
      <c r="D8" s="15" t="s">
        <v>34</v>
      </c>
      <c r="E8" s="15" t="s">
        <v>228</v>
      </c>
      <c r="F8" s="15" t="s">
        <v>81</v>
      </c>
      <c r="G8" s="195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5" customHeight="1" x14ac:dyDescent="0.3">
      <c r="A9" s="19" t="s">
        <v>26</v>
      </c>
      <c r="B9" s="19" t="s">
        <v>230</v>
      </c>
      <c r="C9" s="20">
        <v>0.78819444444444453</v>
      </c>
      <c r="D9" s="19" t="s">
        <v>28</v>
      </c>
      <c r="E9" s="19" t="s">
        <v>54</v>
      </c>
      <c r="F9" s="19" t="s">
        <v>107</v>
      </c>
      <c r="G9" s="195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</row>
    <row r="10" spans="1:92" ht="15" customHeight="1" x14ac:dyDescent="0.3">
      <c r="A10" s="15" t="s">
        <v>26</v>
      </c>
      <c r="B10" s="15" t="s">
        <v>230</v>
      </c>
      <c r="C10" s="16">
        <v>0.78819444444444453</v>
      </c>
      <c r="D10" s="15" t="s">
        <v>31</v>
      </c>
      <c r="E10" s="15" t="s">
        <v>69</v>
      </c>
      <c r="F10" s="15" t="s">
        <v>229</v>
      </c>
      <c r="G10" s="195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</row>
    <row r="11" spans="1:92" ht="15" customHeight="1" x14ac:dyDescent="0.3">
      <c r="A11" s="15" t="s">
        <v>26</v>
      </c>
      <c r="B11" s="15" t="s">
        <v>230</v>
      </c>
      <c r="C11" s="16">
        <v>0.78819444444444453</v>
      </c>
      <c r="D11" s="15" t="s">
        <v>34</v>
      </c>
      <c r="E11" s="15" t="s">
        <v>69</v>
      </c>
      <c r="F11" s="15" t="s">
        <v>81</v>
      </c>
      <c r="G11" s="195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</row>
    <row r="12" spans="1:92" ht="15" customHeight="1" x14ac:dyDescent="0.3">
      <c r="A12" s="19" t="s">
        <v>26</v>
      </c>
      <c r="B12" s="19" t="s">
        <v>231</v>
      </c>
      <c r="C12" s="20">
        <v>0.88888888888888884</v>
      </c>
      <c r="D12" s="19" t="s">
        <v>28</v>
      </c>
      <c r="E12" s="19" t="s">
        <v>232</v>
      </c>
      <c r="F12" s="19" t="s">
        <v>107</v>
      </c>
      <c r="G12" s="195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</row>
    <row r="13" spans="1:92" ht="15" customHeight="1" x14ac:dyDescent="0.3">
      <c r="A13" s="15" t="s">
        <v>26</v>
      </c>
      <c r="B13" s="15" t="s">
        <v>231</v>
      </c>
      <c r="C13" s="16">
        <v>0.88888888888888884</v>
      </c>
      <c r="D13" s="15" t="s">
        <v>31</v>
      </c>
      <c r="E13" s="15" t="s">
        <v>233</v>
      </c>
      <c r="F13" s="15" t="s">
        <v>229</v>
      </c>
      <c r="G13" s="195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</row>
    <row r="14" spans="1:92" ht="15" customHeight="1" x14ac:dyDescent="0.3">
      <c r="A14" s="15" t="s">
        <v>26</v>
      </c>
      <c r="B14" s="15" t="s">
        <v>231</v>
      </c>
      <c r="C14" s="16">
        <v>0.88888888888888884</v>
      </c>
      <c r="D14" s="15" t="s">
        <v>34</v>
      </c>
      <c r="E14" s="15" t="s">
        <v>233</v>
      </c>
      <c r="F14" s="15" t="s">
        <v>81</v>
      </c>
      <c r="G14" s="195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</row>
    <row r="15" spans="1:92" ht="15" customHeight="1" x14ac:dyDescent="0.3">
      <c r="A15" s="19" t="s">
        <v>26</v>
      </c>
      <c r="B15" s="19" t="s">
        <v>234</v>
      </c>
      <c r="C15" s="20">
        <v>0.30208333333333331</v>
      </c>
      <c r="D15" s="19" t="s">
        <v>28</v>
      </c>
      <c r="E15" s="19" t="s">
        <v>72</v>
      </c>
      <c r="F15" s="19" t="s">
        <v>235</v>
      </c>
      <c r="G15" s="195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</row>
    <row r="16" spans="1:92" ht="15" customHeight="1" x14ac:dyDescent="0.3">
      <c r="A16" s="15" t="s">
        <v>26</v>
      </c>
      <c r="B16" s="15" t="s">
        <v>234</v>
      </c>
      <c r="C16" s="16">
        <v>0.30208333333333331</v>
      </c>
      <c r="D16" s="15" t="s">
        <v>31</v>
      </c>
      <c r="E16" s="15" t="s">
        <v>62</v>
      </c>
      <c r="F16" s="15" t="s">
        <v>236</v>
      </c>
      <c r="G16" s="195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</row>
    <row r="17" spans="1:18" ht="15" customHeight="1" x14ac:dyDescent="0.3">
      <c r="A17" s="15" t="s">
        <v>26</v>
      </c>
      <c r="B17" s="15" t="s">
        <v>234</v>
      </c>
      <c r="C17" s="16">
        <v>0.30208333333333331</v>
      </c>
      <c r="D17" s="15" t="s">
        <v>34</v>
      </c>
      <c r="E17" s="15" t="s">
        <v>62</v>
      </c>
      <c r="F17" s="15" t="s">
        <v>81</v>
      </c>
      <c r="G17" s="195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</row>
    <row r="18" spans="1:18" ht="15" customHeight="1" x14ac:dyDescent="0.3">
      <c r="A18" s="17" t="s">
        <v>36</v>
      </c>
      <c r="B18" s="17" t="s">
        <v>237</v>
      </c>
      <c r="C18" s="18">
        <v>0.25694444444444448</v>
      </c>
      <c r="D18" s="17" t="s">
        <v>38</v>
      </c>
      <c r="E18" s="17" t="s">
        <v>86</v>
      </c>
      <c r="F18" s="17" t="s">
        <v>238</v>
      </c>
      <c r="G18" s="195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</row>
    <row r="19" spans="1:18" ht="15" customHeight="1" x14ac:dyDescent="0.3">
      <c r="A19" s="15" t="s">
        <v>36</v>
      </c>
      <c r="B19" s="15" t="s">
        <v>237</v>
      </c>
      <c r="C19" s="16">
        <v>0.25694444444444448</v>
      </c>
      <c r="D19" s="15" t="s">
        <v>41</v>
      </c>
      <c r="E19" s="15" t="s">
        <v>239</v>
      </c>
      <c r="F19" s="15" t="s">
        <v>104</v>
      </c>
      <c r="G19" s="195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</row>
    <row r="20" spans="1:18" ht="15" customHeight="1" x14ac:dyDescent="0.3">
      <c r="A20" s="15" t="s">
        <v>36</v>
      </c>
      <c r="B20" s="15" t="s">
        <v>237</v>
      </c>
      <c r="C20" s="16">
        <v>0.25694444444444448</v>
      </c>
      <c r="D20" s="15" t="s">
        <v>43</v>
      </c>
      <c r="E20" s="15" t="s">
        <v>239</v>
      </c>
      <c r="F20" s="15" t="s">
        <v>240</v>
      </c>
      <c r="G20" s="195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</row>
    <row r="21" spans="1:18" ht="15" customHeight="1" x14ac:dyDescent="0.3">
      <c r="A21" s="19" t="s">
        <v>36</v>
      </c>
      <c r="B21" s="19" t="s">
        <v>241</v>
      </c>
      <c r="C21" s="20">
        <v>0.90277777777777779</v>
      </c>
      <c r="D21" s="19" t="s">
        <v>38</v>
      </c>
      <c r="E21" s="19" t="s">
        <v>46</v>
      </c>
      <c r="F21" s="19" t="s">
        <v>238</v>
      </c>
      <c r="G21" s="195"/>
      <c r="H21" s="10"/>
      <c r="I21" s="11"/>
      <c r="J21" s="11"/>
      <c r="K21" s="11"/>
      <c r="L21" s="11"/>
      <c r="M21" s="11"/>
      <c r="N21" s="11"/>
      <c r="O21" s="12"/>
      <c r="P21" s="11"/>
      <c r="Q21" s="13"/>
      <c r="R21" s="14"/>
    </row>
    <row r="22" spans="1:18" ht="15" customHeight="1" x14ac:dyDescent="0.3">
      <c r="A22" s="15" t="s">
        <v>36</v>
      </c>
      <c r="B22" s="15" t="s">
        <v>241</v>
      </c>
      <c r="C22" s="16">
        <v>0.90277777777777779</v>
      </c>
      <c r="D22" s="15" t="s">
        <v>41</v>
      </c>
      <c r="E22" s="15" t="s">
        <v>47</v>
      </c>
      <c r="F22" s="15" t="s">
        <v>104</v>
      </c>
      <c r="G22" s="195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</row>
    <row r="23" spans="1:18" ht="15" customHeight="1" x14ac:dyDescent="0.3">
      <c r="A23" s="15" t="s">
        <v>36</v>
      </c>
      <c r="B23" s="15" t="s">
        <v>241</v>
      </c>
      <c r="C23" s="16">
        <v>0.90277777777777779</v>
      </c>
      <c r="D23" s="15" t="s">
        <v>43</v>
      </c>
      <c r="E23" s="15" t="s">
        <v>47</v>
      </c>
      <c r="F23" s="15" t="s">
        <v>240</v>
      </c>
      <c r="G23" s="195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</row>
    <row r="24" spans="1:18" ht="15" customHeight="1" x14ac:dyDescent="0.3">
      <c r="A24" s="19" t="s">
        <v>36</v>
      </c>
      <c r="B24" s="19" t="s">
        <v>242</v>
      </c>
      <c r="C24" s="20">
        <v>0.51736111111111105</v>
      </c>
      <c r="D24" s="19" t="s">
        <v>38</v>
      </c>
      <c r="E24" s="19" t="s">
        <v>243</v>
      </c>
      <c r="F24" s="19" t="s">
        <v>238</v>
      </c>
      <c r="G24" s="195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</row>
    <row r="25" spans="1:18" ht="15" customHeight="1" x14ac:dyDescent="0.3">
      <c r="A25" s="15" t="s">
        <v>36</v>
      </c>
      <c r="B25" s="15" t="s">
        <v>242</v>
      </c>
      <c r="C25" s="16">
        <v>0.51736111111111105</v>
      </c>
      <c r="D25" s="15" t="s">
        <v>41</v>
      </c>
      <c r="E25" s="15" t="s">
        <v>244</v>
      </c>
      <c r="F25" s="15" t="s">
        <v>104</v>
      </c>
      <c r="G25" s="195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</row>
    <row r="26" spans="1:18" ht="15" customHeight="1" x14ac:dyDescent="0.3">
      <c r="A26" s="15" t="s">
        <v>36</v>
      </c>
      <c r="B26" s="15" t="s">
        <v>242</v>
      </c>
      <c r="C26" s="16">
        <v>0.51736111111111105</v>
      </c>
      <c r="D26" s="15" t="s">
        <v>43</v>
      </c>
      <c r="E26" s="15" t="s">
        <v>244</v>
      </c>
      <c r="F26" s="15" t="s">
        <v>240</v>
      </c>
      <c r="G26" s="195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</row>
    <row r="27" spans="1:18" ht="15" customHeight="1" x14ac:dyDescent="0.3">
      <c r="A27" s="19" t="s">
        <v>36</v>
      </c>
      <c r="B27" s="19" t="s">
        <v>245</v>
      </c>
      <c r="C27" s="20">
        <v>0.85416666666666663</v>
      </c>
      <c r="D27" s="19" t="s">
        <v>38</v>
      </c>
      <c r="E27" s="19" t="s">
        <v>46</v>
      </c>
      <c r="F27" s="19" t="s">
        <v>238</v>
      </c>
      <c r="G27" s="195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</row>
    <row r="28" spans="1:18" ht="15" customHeight="1" x14ac:dyDescent="0.3">
      <c r="A28" s="15" t="s">
        <v>36</v>
      </c>
      <c r="B28" s="15" t="s">
        <v>245</v>
      </c>
      <c r="C28" s="16">
        <v>0.85416666666666663</v>
      </c>
      <c r="D28" s="15" t="s">
        <v>41</v>
      </c>
      <c r="E28" s="15" t="s">
        <v>47</v>
      </c>
      <c r="F28" s="15" t="s">
        <v>104</v>
      </c>
      <c r="G28" s="195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</row>
    <row r="29" spans="1:18" ht="15" customHeight="1" x14ac:dyDescent="0.3">
      <c r="A29" s="15" t="s">
        <v>36</v>
      </c>
      <c r="B29" s="15" t="s">
        <v>245</v>
      </c>
      <c r="C29" s="16">
        <v>0.85416666666666663</v>
      </c>
      <c r="D29" s="15" t="s">
        <v>43</v>
      </c>
      <c r="E29" s="15" t="s">
        <v>47</v>
      </c>
      <c r="F29" s="15" t="s">
        <v>240</v>
      </c>
      <c r="G29" s="195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</row>
    <row r="30" spans="1:18" ht="15" customHeight="1" x14ac:dyDescent="0.3">
      <c r="A30" s="19" t="s">
        <v>36</v>
      </c>
      <c r="B30" s="19" t="s">
        <v>246</v>
      </c>
      <c r="C30" s="20">
        <v>0.79861111111111116</v>
      </c>
      <c r="D30" s="19" t="s">
        <v>38</v>
      </c>
      <c r="E30" s="19" t="s">
        <v>46</v>
      </c>
      <c r="F30" s="19" t="s">
        <v>238</v>
      </c>
      <c r="G30" s="195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</row>
    <row r="31" spans="1:18" ht="15" customHeight="1" x14ac:dyDescent="0.3">
      <c r="A31" s="15" t="s">
        <v>36</v>
      </c>
      <c r="B31" s="15" t="s">
        <v>246</v>
      </c>
      <c r="C31" s="16">
        <v>0.79861111111111116</v>
      </c>
      <c r="D31" s="15" t="s">
        <v>41</v>
      </c>
      <c r="E31" s="15" t="s">
        <v>47</v>
      </c>
      <c r="F31" s="15" t="s">
        <v>104</v>
      </c>
      <c r="G31" s="195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</row>
    <row r="32" spans="1:18" ht="15" customHeight="1" x14ac:dyDescent="0.3">
      <c r="A32" s="15" t="s">
        <v>36</v>
      </c>
      <c r="B32" s="15" t="s">
        <v>246</v>
      </c>
      <c r="C32" s="16">
        <v>0.79861111111111116</v>
      </c>
      <c r="D32" s="15" t="s">
        <v>43</v>
      </c>
      <c r="E32" s="15" t="s">
        <v>47</v>
      </c>
      <c r="F32" s="15" t="s">
        <v>240</v>
      </c>
      <c r="G32" s="195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</row>
    <row r="33" spans="1:18" ht="15" customHeight="1" x14ac:dyDescent="0.3">
      <c r="A33" s="19" t="s">
        <v>36</v>
      </c>
      <c r="B33" s="19" t="s">
        <v>247</v>
      </c>
      <c r="C33" s="20">
        <v>0.65972222222222221</v>
      </c>
      <c r="D33" s="19" t="s">
        <v>38</v>
      </c>
      <c r="E33" s="19" t="s">
        <v>46</v>
      </c>
      <c r="F33" s="19" t="s">
        <v>248</v>
      </c>
      <c r="G33" s="195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</row>
    <row r="34" spans="1:18" ht="15" customHeight="1" x14ac:dyDescent="0.3">
      <c r="A34" s="15" t="s">
        <v>36</v>
      </c>
      <c r="B34" s="15" t="s">
        <v>247</v>
      </c>
      <c r="C34" s="16">
        <v>0.65972222222222221</v>
      </c>
      <c r="D34" s="15" t="s">
        <v>41</v>
      </c>
      <c r="E34" s="15" t="s">
        <v>47</v>
      </c>
      <c r="F34" s="15" t="s">
        <v>249</v>
      </c>
      <c r="G34" s="195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</row>
    <row r="35" spans="1:18" ht="15" customHeight="1" x14ac:dyDescent="0.3">
      <c r="A35" s="15" t="s">
        <v>36</v>
      </c>
      <c r="B35" s="15" t="s">
        <v>247</v>
      </c>
      <c r="C35" s="16">
        <v>0.65972222222222221</v>
      </c>
      <c r="D35" s="15" t="s">
        <v>43</v>
      </c>
      <c r="E35" s="15" t="s">
        <v>47</v>
      </c>
      <c r="F35" s="15" t="s">
        <v>250</v>
      </c>
      <c r="G35" s="195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</row>
    <row r="36" spans="1:18" ht="15" customHeight="1" x14ac:dyDescent="0.3">
      <c r="A36" s="19" t="s">
        <v>36</v>
      </c>
      <c r="B36" s="19" t="s">
        <v>251</v>
      </c>
      <c r="C36" s="20">
        <v>0.39583333333333331</v>
      </c>
      <c r="D36" s="19" t="s">
        <v>38</v>
      </c>
      <c r="E36" s="19" t="s">
        <v>88</v>
      </c>
      <c r="F36" s="19" t="s">
        <v>248</v>
      </c>
      <c r="G36" s="195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</row>
    <row r="37" spans="1:18" ht="15" customHeight="1" x14ac:dyDescent="0.3">
      <c r="A37" s="15" t="s">
        <v>36</v>
      </c>
      <c r="B37" s="15" t="s">
        <v>251</v>
      </c>
      <c r="C37" s="16">
        <v>0.39583333333333331</v>
      </c>
      <c r="D37" s="15" t="s">
        <v>41</v>
      </c>
      <c r="E37" s="15" t="s">
        <v>228</v>
      </c>
      <c r="F37" s="15" t="s">
        <v>249</v>
      </c>
      <c r="G37" s="195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</row>
    <row r="38" spans="1:18" ht="15" customHeight="1" x14ac:dyDescent="0.3">
      <c r="A38" s="15" t="s">
        <v>36</v>
      </c>
      <c r="B38" s="15" t="s">
        <v>251</v>
      </c>
      <c r="C38" s="16">
        <v>0.39583333333333331</v>
      </c>
      <c r="D38" s="15" t="s">
        <v>43</v>
      </c>
      <c r="E38" s="15" t="s">
        <v>228</v>
      </c>
      <c r="F38" s="15" t="s">
        <v>250</v>
      </c>
      <c r="G38" s="195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</row>
    <row r="39" spans="1:18" ht="15" customHeight="1" x14ac:dyDescent="0.3">
      <c r="A39" s="17" t="s">
        <v>252</v>
      </c>
      <c r="B39" s="17" t="s">
        <v>253</v>
      </c>
      <c r="C39" s="18">
        <v>0.21527777777777779</v>
      </c>
      <c r="D39" s="17" t="s">
        <v>254</v>
      </c>
      <c r="E39" s="17" t="s">
        <v>97</v>
      </c>
      <c r="F39" s="17" t="s">
        <v>255</v>
      </c>
      <c r="G39" s="195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</row>
    <row r="40" spans="1:18" ht="15" customHeight="1" x14ac:dyDescent="0.3">
      <c r="A40" s="15" t="s">
        <v>252</v>
      </c>
      <c r="B40" s="15" t="s">
        <v>253</v>
      </c>
      <c r="C40" s="16">
        <v>0.21527777777777779</v>
      </c>
      <c r="D40" s="15" t="s">
        <v>34</v>
      </c>
      <c r="E40" s="15" t="s">
        <v>47</v>
      </c>
      <c r="F40" s="15" t="s">
        <v>256</v>
      </c>
      <c r="G40" s="195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</row>
    <row r="41" spans="1:18" ht="15" customHeight="1" x14ac:dyDescent="0.3">
      <c r="A41" s="19" t="s">
        <v>252</v>
      </c>
      <c r="B41" s="19" t="s">
        <v>257</v>
      </c>
      <c r="C41" s="20">
        <v>0.28819444444444448</v>
      </c>
      <c r="D41" s="19" t="s">
        <v>254</v>
      </c>
      <c r="E41" s="19" t="s">
        <v>65</v>
      </c>
      <c r="F41" s="19" t="s">
        <v>258</v>
      </c>
      <c r="G41" s="195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</row>
    <row r="42" spans="1:18" ht="15" customHeight="1" x14ac:dyDescent="0.3">
      <c r="A42" s="15" t="s">
        <v>252</v>
      </c>
      <c r="B42" s="15" t="s">
        <v>257</v>
      </c>
      <c r="C42" s="16">
        <v>0.28819444444444448</v>
      </c>
      <c r="D42" s="15" t="s">
        <v>34</v>
      </c>
      <c r="E42" s="15" t="s">
        <v>239</v>
      </c>
      <c r="F42" s="15" t="s">
        <v>259</v>
      </c>
      <c r="G42" s="195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</row>
    <row r="43" spans="1:18" ht="15" customHeight="1" x14ac:dyDescent="0.3">
      <c r="A43" s="17" t="s">
        <v>260</v>
      </c>
      <c r="B43" s="17" t="s">
        <v>261</v>
      </c>
      <c r="C43" s="18">
        <v>0.66666666666666663</v>
      </c>
      <c r="D43" s="17" t="s">
        <v>262</v>
      </c>
      <c r="E43" s="17" t="s">
        <v>82</v>
      </c>
      <c r="F43" s="17" t="s">
        <v>263</v>
      </c>
      <c r="G43" s="195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</row>
    <row r="44" spans="1:18" ht="15" customHeight="1" x14ac:dyDescent="0.3">
      <c r="A44" s="17" t="s">
        <v>264</v>
      </c>
      <c r="B44" s="17" t="s">
        <v>265</v>
      </c>
      <c r="C44" s="18">
        <v>0.27083333333333331</v>
      </c>
      <c r="D44" s="17" t="s">
        <v>262</v>
      </c>
      <c r="E44" s="17" t="s">
        <v>59</v>
      </c>
      <c r="F44" s="17" t="s">
        <v>266</v>
      </c>
      <c r="G44" s="195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</row>
    <row r="45" spans="1:18" ht="15" customHeight="1" x14ac:dyDescent="0.3">
      <c r="A45" s="110" t="s">
        <v>73</v>
      </c>
      <c r="B45" s="110" t="s">
        <v>267</v>
      </c>
      <c r="C45" s="111">
        <v>0.2361111111111111</v>
      </c>
      <c r="D45" s="110" t="s">
        <v>111</v>
      </c>
      <c r="E45" s="110" t="s">
        <v>268</v>
      </c>
      <c r="F45" s="110" t="s">
        <v>269</v>
      </c>
      <c r="G45" s="195"/>
      <c r="H45" s="112" t="s">
        <v>270</v>
      </c>
      <c r="I45" s="113">
        <v>0.99439999999999995</v>
      </c>
      <c r="J45" s="114">
        <v>178</v>
      </c>
      <c r="K45" s="115">
        <v>45981</v>
      </c>
      <c r="L45" s="114">
        <v>6</v>
      </c>
      <c r="M45" s="114">
        <v>6</v>
      </c>
      <c r="N45" s="114">
        <v>0</v>
      </c>
      <c r="O45" s="116" t="s">
        <v>271</v>
      </c>
      <c r="P45" s="117">
        <v>0.2361111111111111</v>
      </c>
      <c r="Q45" s="114">
        <v>179</v>
      </c>
      <c r="R45" s="118" t="s">
        <v>272</v>
      </c>
    </row>
    <row r="46" spans="1:18" ht="15" customHeight="1" x14ac:dyDescent="0.3">
      <c r="A46" s="119" t="s">
        <v>73</v>
      </c>
      <c r="B46" s="119" t="s">
        <v>273</v>
      </c>
      <c r="C46" s="120">
        <v>0.68055555555555547</v>
      </c>
      <c r="D46" s="119" t="s">
        <v>111</v>
      </c>
      <c r="E46" s="119" t="s">
        <v>72</v>
      </c>
      <c r="F46" s="119" t="s">
        <v>274</v>
      </c>
      <c r="G46" s="195"/>
      <c r="H46" s="121" t="s">
        <v>275</v>
      </c>
      <c r="I46" s="122">
        <v>0.99439999999999995</v>
      </c>
      <c r="J46" s="123">
        <v>178</v>
      </c>
      <c r="K46" s="124">
        <v>45981</v>
      </c>
      <c r="L46" s="123">
        <v>6</v>
      </c>
      <c r="M46" s="123">
        <v>3</v>
      </c>
      <c r="N46" s="123">
        <v>0</v>
      </c>
      <c r="O46" s="125" t="s">
        <v>276</v>
      </c>
      <c r="P46" s="126">
        <v>0.68055555555555547</v>
      </c>
      <c r="Q46" s="123">
        <v>179</v>
      </c>
      <c r="R46" s="127" t="s">
        <v>277</v>
      </c>
    </row>
    <row r="47" spans="1:18" ht="15" customHeight="1" x14ac:dyDescent="0.3">
      <c r="A47" s="128" t="s">
        <v>73</v>
      </c>
      <c r="B47" s="128" t="s">
        <v>278</v>
      </c>
      <c r="C47" s="129">
        <v>0.33333333333333331</v>
      </c>
      <c r="D47" s="128" t="s">
        <v>75</v>
      </c>
      <c r="E47" s="130"/>
      <c r="F47" s="128" t="s">
        <v>76</v>
      </c>
      <c r="G47" s="195"/>
      <c r="H47" s="131" t="s">
        <v>278</v>
      </c>
      <c r="I47" s="132">
        <v>1</v>
      </c>
      <c r="J47" s="133">
        <v>179</v>
      </c>
      <c r="K47" s="134">
        <v>45979</v>
      </c>
      <c r="L47" s="133">
        <v>4</v>
      </c>
      <c r="M47" s="133">
        <v>0</v>
      </c>
      <c r="N47" s="133">
        <v>0</v>
      </c>
      <c r="O47" s="135" t="s">
        <v>77</v>
      </c>
      <c r="P47" s="136">
        <v>0.33333333333333331</v>
      </c>
      <c r="Q47" s="133">
        <v>179</v>
      </c>
      <c r="R47" s="137" t="s">
        <v>279</v>
      </c>
    </row>
    <row r="48" spans="1:18" ht="15" customHeight="1" x14ac:dyDescent="0.3">
      <c r="A48" s="17" t="s">
        <v>56</v>
      </c>
      <c r="B48" s="17" t="s">
        <v>280</v>
      </c>
      <c r="C48" s="18">
        <v>0.37847222222222232</v>
      </c>
      <c r="D48" s="17" t="s">
        <v>58</v>
      </c>
      <c r="E48" s="17" t="s">
        <v>51</v>
      </c>
      <c r="F48" s="17" t="s">
        <v>281</v>
      </c>
      <c r="G48" s="195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</row>
    <row r="49" spans="1:18" ht="15" customHeight="1" x14ac:dyDescent="0.3">
      <c r="A49" s="15" t="s">
        <v>56</v>
      </c>
      <c r="B49" s="15" t="s">
        <v>280</v>
      </c>
      <c r="C49" s="16">
        <v>0.37847222222222232</v>
      </c>
      <c r="D49" s="15" t="s">
        <v>61</v>
      </c>
      <c r="E49" s="15" t="s">
        <v>94</v>
      </c>
      <c r="F49" s="15" t="s">
        <v>282</v>
      </c>
      <c r="G49" s="195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</row>
    <row r="50" spans="1:18" ht="15" customHeight="1" x14ac:dyDescent="0.3">
      <c r="A50" s="19" t="s">
        <v>56</v>
      </c>
      <c r="B50" s="19" t="s">
        <v>283</v>
      </c>
      <c r="C50" s="20">
        <v>0.71875</v>
      </c>
      <c r="D50" s="19" t="s">
        <v>58</v>
      </c>
      <c r="E50" s="19" t="s">
        <v>92</v>
      </c>
      <c r="F50" s="19" t="s">
        <v>281</v>
      </c>
      <c r="G50" s="195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</row>
    <row r="51" spans="1:18" ht="15" customHeight="1" x14ac:dyDescent="0.3">
      <c r="A51" s="15" t="s">
        <v>56</v>
      </c>
      <c r="B51" s="15" t="s">
        <v>283</v>
      </c>
      <c r="C51" s="16">
        <v>0.71875</v>
      </c>
      <c r="D51" s="15" t="s">
        <v>61</v>
      </c>
      <c r="E51" s="15" t="s">
        <v>94</v>
      </c>
      <c r="F51" s="15" t="s">
        <v>282</v>
      </c>
      <c r="G51" s="195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</row>
    <row r="52" spans="1:18" ht="15" customHeight="1" x14ac:dyDescent="0.3">
      <c r="A52" s="19" t="s">
        <v>56</v>
      </c>
      <c r="B52" s="19" t="s">
        <v>284</v>
      </c>
      <c r="C52" s="20">
        <v>6.9444444444444441E-3</v>
      </c>
      <c r="D52" s="19" t="s">
        <v>58</v>
      </c>
      <c r="E52" s="19" t="s">
        <v>92</v>
      </c>
      <c r="F52" s="19" t="s">
        <v>281</v>
      </c>
      <c r="G52" s="195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</row>
    <row r="53" spans="1:18" ht="15" customHeight="1" x14ac:dyDescent="0.3">
      <c r="A53" s="15" t="s">
        <v>56</v>
      </c>
      <c r="B53" s="15" t="s">
        <v>284</v>
      </c>
      <c r="C53" s="16">
        <v>6.9444444444444441E-3</v>
      </c>
      <c r="D53" s="15" t="s">
        <v>61</v>
      </c>
      <c r="E53" s="15" t="s">
        <v>94</v>
      </c>
      <c r="F53" s="15" t="s">
        <v>282</v>
      </c>
      <c r="G53" s="195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</row>
    <row r="54" spans="1:18" ht="15" customHeight="1" x14ac:dyDescent="0.3">
      <c r="A54" s="19" t="s">
        <v>56</v>
      </c>
      <c r="B54" s="19" t="s">
        <v>285</v>
      </c>
      <c r="C54" s="20">
        <v>0.1423611111111111</v>
      </c>
      <c r="D54" s="19" t="s">
        <v>58</v>
      </c>
      <c r="E54" s="19" t="s">
        <v>92</v>
      </c>
      <c r="F54" s="19" t="s">
        <v>281</v>
      </c>
      <c r="G54" s="195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</row>
    <row r="55" spans="1:18" ht="15" customHeight="1" x14ac:dyDescent="0.3">
      <c r="A55" s="15" t="s">
        <v>56</v>
      </c>
      <c r="B55" s="15" t="s">
        <v>285</v>
      </c>
      <c r="C55" s="16">
        <v>0.1423611111111111</v>
      </c>
      <c r="D55" s="15" t="s">
        <v>61</v>
      </c>
      <c r="E55" s="15" t="s">
        <v>94</v>
      </c>
      <c r="F55" s="15" t="s">
        <v>282</v>
      </c>
      <c r="G55" s="195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</row>
    <row r="56" spans="1:18" ht="15" customHeight="1" x14ac:dyDescent="0.3">
      <c r="A56" s="19" t="s">
        <v>56</v>
      </c>
      <c r="B56" s="19" t="s">
        <v>286</v>
      </c>
      <c r="C56" s="20">
        <v>0.93055555555555547</v>
      </c>
      <c r="D56" s="19" t="s">
        <v>58</v>
      </c>
      <c r="E56" s="19" t="s">
        <v>92</v>
      </c>
      <c r="F56" s="19" t="s">
        <v>281</v>
      </c>
      <c r="G56" s="195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</row>
    <row r="57" spans="1:18" ht="15" customHeight="1" x14ac:dyDescent="0.3">
      <c r="A57" s="15" t="s">
        <v>56</v>
      </c>
      <c r="B57" s="15" t="s">
        <v>286</v>
      </c>
      <c r="C57" s="16">
        <v>0.93055555555555547</v>
      </c>
      <c r="D57" s="15" t="s">
        <v>61</v>
      </c>
      <c r="E57" s="15" t="s">
        <v>94</v>
      </c>
      <c r="F57" s="15" t="s">
        <v>282</v>
      </c>
      <c r="G57" s="195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</row>
    <row r="58" spans="1:18" ht="15" customHeight="1" x14ac:dyDescent="0.3">
      <c r="A58" s="19" t="s">
        <v>56</v>
      </c>
      <c r="B58" s="19" t="s">
        <v>287</v>
      </c>
      <c r="C58" s="20">
        <v>0.24305555555555561</v>
      </c>
      <c r="D58" s="19" t="s">
        <v>58</v>
      </c>
      <c r="E58" s="19" t="s">
        <v>92</v>
      </c>
      <c r="F58" s="19" t="s">
        <v>288</v>
      </c>
      <c r="G58" s="195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</row>
    <row r="59" spans="1:18" ht="15" customHeight="1" x14ac:dyDescent="0.3">
      <c r="A59" s="15" t="s">
        <v>56</v>
      </c>
      <c r="B59" s="15" t="s">
        <v>287</v>
      </c>
      <c r="C59" s="16">
        <v>0.24305555555555561</v>
      </c>
      <c r="D59" s="15" t="s">
        <v>61</v>
      </c>
      <c r="E59" s="15" t="s">
        <v>94</v>
      </c>
      <c r="F59" s="15" t="s">
        <v>289</v>
      </c>
      <c r="G59" s="195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</row>
    <row r="60" spans="1:18" ht="15" customHeight="1" x14ac:dyDescent="0.3">
      <c r="A60" s="19" t="s">
        <v>56</v>
      </c>
      <c r="B60" s="19" t="s">
        <v>290</v>
      </c>
      <c r="C60" s="20">
        <v>0.88888888888888884</v>
      </c>
      <c r="D60" s="19" t="s">
        <v>61</v>
      </c>
      <c r="E60" s="19" t="s">
        <v>65</v>
      </c>
      <c r="F60" s="19" t="s">
        <v>291</v>
      </c>
      <c r="G60" s="195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</row>
    <row r="61" spans="1:18" ht="15" customHeight="1" x14ac:dyDescent="0.3">
      <c r="A61" s="19" t="s">
        <v>56</v>
      </c>
      <c r="B61" s="19" t="s">
        <v>292</v>
      </c>
      <c r="C61" s="20">
        <v>0.61111111111111105</v>
      </c>
      <c r="D61" s="19" t="s">
        <v>58</v>
      </c>
      <c r="E61" s="19" t="s">
        <v>92</v>
      </c>
      <c r="F61" s="19" t="s">
        <v>293</v>
      </c>
      <c r="G61" s="195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</row>
    <row r="62" spans="1:18" ht="15" customHeight="1" x14ac:dyDescent="0.3">
      <c r="A62" s="15" t="s">
        <v>56</v>
      </c>
      <c r="B62" s="15" t="s">
        <v>292</v>
      </c>
      <c r="C62" s="16">
        <v>0.61111111111111105</v>
      </c>
      <c r="D62" s="15" t="s">
        <v>61</v>
      </c>
      <c r="E62" s="15" t="s">
        <v>94</v>
      </c>
      <c r="F62" s="15" t="s">
        <v>294</v>
      </c>
      <c r="G62" s="195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</row>
    <row r="63" spans="1:18" ht="15" customHeight="1" x14ac:dyDescent="0.3">
      <c r="A63" s="19" t="s">
        <v>56</v>
      </c>
      <c r="B63" s="19" t="s">
        <v>295</v>
      </c>
      <c r="C63" s="20">
        <v>0.82986111111111116</v>
      </c>
      <c r="D63" s="19" t="s">
        <v>58</v>
      </c>
      <c r="E63" s="19" t="s">
        <v>92</v>
      </c>
      <c r="F63" s="19" t="s">
        <v>293</v>
      </c>
      <c r="G63" s="195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</row>
    <row r="64" spans="1:18" ht="15" customHeight="1" x14ac:dyDescent="0.3">
      <c r="A64" s="15" t="s">
        <v>56</v>
      </c>
      <c r="B64" s="15" t="s">
        <v>295</v>
      </c>
      <c r="C64" s="16">
        <v>0.82986111111111116</v>
      </c>
      <c r="D64" s="15" t="s">
        <v>61</v>
      </c>
      <c r="E64" s="15" t="s">
        <v>94</v>
      </c>
      <c r="F64" s="15" t="s">
        <v>294</v>
      </c>
      <c r="G64" s="195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</row>
    <row r="65" spans="1:18" ht="15" customHeight="1" x14ac:dyDescent="0.3">
      <c r="A65" s="19" t="s">
        <v>56</v>
      </c>
      <c r="B65" s="19" t="s">
        <v>296</v>
      </c>
      <c r="C65" s="20">
        <v>0.30208333333333331</v>
      </c>
      <c r="D65" s="19" t="s">
        <v>61</v>
      </c>
      <c r="E65" s="19" t="s">
        <v>65</v>
      </c>
      <c r="F65" s="19" t="s">
        <v>297</v>
      </c>
      <c r="G65" s="195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</row>
    <row r="66" spans="1:18" ht="15" customHeight="1" x14ac:dyDescent="0.3">
      <c r="A66" s="19" t="s">
        <v>56</v>
      </c>
      <c r="B66" s="19" t="s">
        <v>298</v>
      </c>
      <c r="C66" s="20">
        <v>0.12847222222222221</v>
      </c>
      <c r="D66" s="19" t="s">
        <v>61</v>
      </c>
      <c r="E66" s="19" t="s">
        <v>65</v>
      </c>
      <c r="F66" s="19" t="s">
        <v>297</v>
      </c>
      <c r="G66" s="195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</row>
    <row r="67" spans="1:18" ht="15" customHeight="1" x14ac:dyDescent="0.3">
      <c r="A67" s="19" t="s">
        <v>56</v>
      </c>
      <c r="B67" s="19" t="s">
        <v>299</v>
      </c>
      <c r="C67" s="20">
        <v>0.78819444444444453</v>
      </c>
      <c r="D67" s="19" t="s">
        <v>61</v>
      </c>
      <c r="E67" s="19" t="s">
        <v>65</v>
      </c>
      <c r="F67" s="19" t="s">
        <v>297</v>
      </c>
      <c r="G67" s="195"/>
      <c r="H67" s="10"/>
      <c r="I67" s="11"/>
      <c r="J67" s="11"/>
      <c r="K67" s="11"/>
      <c r="L67" s="11"/>
      <c r="M67" s="11"/>
      <c r="N67" s="11"/>
      <c r="O67" s="12"/>
      <c r="P67" s="11"/>
      <c r="Q67" s="13"/>
      <c r="R67" s="14"/>
    </row>
    <row r="68" spans="1:18" ht="15" customHeight="1" x14ac:dyDescent="0.3">
      <c r="A68" s="17" t="s">
        <v>48</v>
      </c>
      <c r="B68" s="17" t="s">
        <v>300</v>
      </c>
      <c r="C68" s="18">
        <v>0.27777777777777779</v>
      </c>
      <c r="D68" s="17" t="s">
        <v>50</v>
      </c>
      <c r="E68" s="17" t="s">
        <v>51</v>
      </c>
      <c r="F68" s="17" t="s">
        <v>301</v>
      </c>
      <c r="G68" s="195"/>
      <c r="H68" s="10"/>
      <c r="I68" s="11"/>
      <c r="J68" s="11"/>
      <c r="K68" s="11"/>
      <c r="L68" s="11"/>
      <c r="M68" s="11"/>
      <c r="N68" s="11"/>
      <c r="O68" s="12"/>
      <c r="P68" s="11"/>
      <c r="Q68" s="13"/>
      <c r="R68" s="14"/>
    </row>
    <row r="69" spans="1:18" ht="15" customHeight="1" x14ac:dyDescent="0.3">
      <c r="A69" s="19" t="s">
        <v>48</v>
      </c>
      <c r="B69" s="19" t="s">
        <v>302</v>
      </c>
      <c r="C69" s="20">
        <v>0.22916666666666671</v>
      </c>
      <c r="D69" s="19" t="s">
        <v>50</v>
      </c>
      <c r="E69" s="19" t="s">
        <v>92</v>
      </c>
      <c r="F69" s="19" t="s">
        <v>301</v>
      </c>
      <c r="G69" s="195"/>
      <c r="H69" s="10"/>
      <c r="I69" s="11"/>
      <c r="J69" s="11"/>
      <c r="K69" s="11"/>
      <c r="L69" s="11"/>
      <c r="M69" s="11"/>
      <c r="N69" s="11"/>
      <c r="O69" s="12"/>
      <c r="P69" s="11"/>
      <c r="Q69" s="13"/>
      <c r="R69" s="14"/>
    </row>
    <row r="70" spans="1:18" ht="15" customHeight="1" x14ac:dyDescent="0.3">
      <c r="A70" s="19" t="s">
        <v>48</v>
      </c>
      <c r="B70" s="19" t="s">
        <v>303</v>
      </c>
      <c r="C70" s="20">
        <v>2.0833333333333329E-2</v>
      </c>
      <c r="D70" s="19" t="s">
        <v>50</v>
      </c>
      <c r="E70" s="19" t="s">
        <v>92</v>
      </c>
      <c r="F70" s="19" t="s">
        <v>304</v>
      </c>
      <c r="G70" s="195"/>
      <c r="H70" s="10"/>
      <c r="I70" s="11"/>
      <c r="J70" s="11"/>
      <c r="K70" s="11"/>
      <c r="L70" s="11"/>
      <c r="M70" s="11"/>
      <c r="N70" s="11"/>
      <c r="O70" s="12"/>
      <c r="P70" s="11"/>
      <c r="Q70" s="13"/>
      <c r="R70" s="14"/>
    </row>
    <row r="71" spans="1:18" ht="15" customHeight="1" x14ac:dyDescent="0.3">
      <c r="A71" s="19" t="s">
        <v>48</v>
      </c>
      <c r="B71" s="19" t="s">
        <v>305</v>
      </c>
      <c r="C71" s="20">
        <v>0.4861111111111111</v>
      </c>
      <c r="D71" s="19" t="s">
        <v>50</v>
      </c>
      <c r="E71" s="19" t="s">
        <v>54</v>
      </c>
      <c r="F71" s="19" t="s">
        <v>306</v>
      </c>
      <c r="G71" s="195"/>
      <c r="H71" s="10"/>
      <c r="I71" s="11"/>
      <c r="J71" s="11"/>
      <c r="K71" s="11"/>
      <c r="L71" s="11"/>
      <c r="M71" s="11"/>
      <c r="N71" s="11"/>
      <c r="O71" s="12"/>
      <c r="P71" s="11"/>
      <c r="Q71" s="13"/>
      <c r="R71" s="14"/>
    </row>
    <row r="72" spans="1:18" ht="15" customHeight="1" x14ac:dyDescent="0.3">
      <c r="A72" s="19" t="s">
        <v>48</v>
      </c>
      <c r="B72" s="19" t="s">
        <v>307</v>
      </c>
      <c r="C72" s="20">
        <v>0.14583333333333329</v>
      </c>
      <c r="D72" s="19" t="s">
        <v>50</v>
      </c>
      <c r="E72" s="19" t="s">
        <v>65</v>
      </c>
      <c r="F72" s="19" t="s">
        <v>306</v>
      </c>
      <c r="G72" s="195"/>
      <c r="H72" s="10"/>
      <c r="I72" s="11"/>
      <c r="J72" s="11"/>
      <c r="K72" s="11"/>
      <c r="L72" s="11"/>
      <c r="M72" s="11"/>
      <c r="N72" s="11"/>
      <c r="O72" s="12"/>
      <c r="P72" s="11"/>
      <c r="Q72" s="13"/>
      <c r="R72" s="14"/>
    </row>
    <row r="73" spans="1:18" ht="15" customHeight="1" x14ac:dyDescent="0.3">
      <c r="A73" s="19" t="s">
        <v>48</v>
      </c>
      <c r="B73" s="19" t="s">
        <v>308</v>
      </c>
      <c r="C73" s="20">
        <v>0.54166666666666663</v>
      </c>
      <c r="D73" s="19" t="s">
        <v>50</v>
      </c>
      <c r="E73" s="19" t="s">
        <v>88</v>
      </c>
      <c r="F73" s="19" t="s">
        <v>306</v>
      </c>
      <c r="G73" s="195"/>
      <c r="H73" s="10"/>
      <c r="I73" s="11"/>
      <c r="J73" s="11"/>
      <c r="K73" s="11"/>
      <c r="L73" s="11"/>
      <c r="M73" s="11"/>
      <c r="N73" s="11"/>
      <c r="O73" s="12"/>
      <c r="P73" s="11"/>
      <c r="Q73" s="13"/>
      <c r="R73" s="14"/>
    </row>
    <row r="74" spans="1:18" ht="15" customHeight="1" x14ac:dyDescent="0.3">
      <c r="A74" s="19" t="s">
        <v>48</v>
      </c>
      <c r="B74" s="19" t="s">
        <v>309</v>
      </c>
      <c r="C74" s="20">
        <v>0.95833333333333337</v>
      </c>
      <c r="D74" s="19" t="s">
        <v>50</v>
      </c>
      <c r="E74" s="19" t="s">
        <v>54</v>
      </c>
      <c r="F74" s="19" t="s">
        <v>306</v>
      </c>
      <c r="G74" s="195"/>
      <c r="H74" s="10"/>
      <c r="I74" s="11"/>
      <c r="J74" s="11"/>
      <c r="K74" s="11"/>
      <c r="L74" s="11"/>
      <c r="M74" s="11"/>
      <c r="N74" s="11"/>
      <c r="O74" s="12"/>
      <c r="P74" s="11"/>
      <c r="Q74" s="13"/>
      <c r="R74" s="14"/>
    </row>
    <row r="75" spans="1:18" ht="15" customHeight="1" thickBot="1" x14ac:dyDescent="0.35">
      <c r="A75" s="138" t="s">
        <v>48</v>
      </c>
      <c r="B75" s="138" t="s">
        <v>310</v>
      </c>
      <c r="C75" s="139">
        <v>0.77083333333333337</v>
      </c>
      <c r="D75" s="138" t="s">
        <v>50</v>
      </c>
      <c r="E75" s="138" t="s">
        <v>54</v>
      </c>
      <c r="F75" s="138" t="s">
        <v>311</v>
      </c>
      <c r="G75" s="196"/>
      <c r="H75" s="51"/>
      <c r="I75" s="52"/>
      <c r="J75" s="52"/>
      <c r="K75" s="52"/>
      <c r="L75" s="52"/>
      <c r="M75" s="52"/>
      <c r="N75" s="52"/>
      <c r="O75" s="53"/>
      <c r="P75" s="52"/>
      <c r="Q75" s="54"/>
      <c r="R75" s="55"/>
    </row>
    <row r="76" spans="1:18" ht="17.399999999999999" customHeight="1" thickBot="1" x14ac:dyDescent="0.35">
      <c r="A76" s="222"/>
      <c r="B76" s="223"/>
      <c r="C76" s="223"/>
      <c r="D76" s="223"/>
      <c r="E76" s="223"/>
      <c r="F76" s="223"/>
      <c r="G76" s="223"/>
      <c r="H76" s="223"/>
      <c r="I76" s="223"/>
      <c r="J76" s="223"/>
      <c r="K76" s="223"/>
      <c r="L76" s="223"/>
      <c r="M76" s="223"/>
      <c r="N76" s="223"/>
      <c r="O76" s="223"/>
      <c r="P76" s="223"/>
      <c r="Q76" s="223"/>
      <c r="R76" s="224"/>
    </row>
    <row r="77" spans="1:18" ht="22.05" customHeight="1" thickTop="1" thickBot="1" x14ac:dyDescent="0.35">
      <c r="A77" s="193" t="s">
        <v>6</v>
      </c>
      <c r="B77" s="191"/>
      <c r="C77" s="191"/>
      <c r="D77" s="191"/>
      <c r="E77" s="191"/>
      <c r="F77" s="192"/>
      <c r="G77" s="31">
        <v>45984</v>
      </c>
      <c r="H77" s="190" t="s">
        <v>7</v>
      </c>
      <c r="I77" s="191"/>
      <c r="J77" s="191"/>
      <c r="K77" s="191"/>
      <c r="L77" s="191"/>
      <c r="M77" s="191"/>
      <c r="N77" s="191"/>
      <c r="O77" s="191"/>
      <c r="P77" s="191"/>
      <c r="Q77" s="191"/>
      <c r="R77" s="192"/>
    </row>
    <row r="78" spans="1:18" ht="24" customHeight="1" x14ac:dyDescent="0.3">
      <c r="A78" s="32" t="s">
        <v>8</v>
      </c>
      <c r="B78" s="32" t="s">
        <v>9</v>
      </c>
      <c r="C78" s="33" t="s">
        <v>10</v>
      </c>
      <c r="D78" s="32" t="s">
        <v>11</v>
      </c>
      <c r="E78" s="32" t="s">
        <v>12</v>
      </c>
      <c r="F78" s="34" t="s">
        <v>13</v>
      </c>
      <c r="G78" s="35" t="s">
        <v>14</v>
      </c>
      <c r="H78" s="32" t="s">
        <v>15</v>
      </c>
      <c r="I78" s="36" t="s">
        <v>16</v>
      </c>
      <c r="J78" s="37" t="s">
        <v>17</v>
      </c>
      <c r="K78" s="38" t="s">
        <v>18</v>
      </c>
      <c r="L78" s="37" t="s">
        <v>19</v>
      </c>
      <c r="M78" s="37" t="s">
        <v>20</v>
      </c>
      <c r="N78" s="37" t="s">
        <v>21</v>
      </c>
      <c r="O78" s="32" t="s">
        <v>22</v>
      </c>
      <c r="P78" s="33" t="s">
        <v>23</v>
      </c>
      <c r="Q78" s="37" t="s">
        <v>24</v>
      </c>
      <c r="R78" s="32" t="s">
        <v>25</v>
      </c>
    </row>
    <row r="79" spans="1:18" ht="15" customHeight="1" x14ac:dyDescent="0.3">
      <c r="A79" s="8" t="s">
        <v>26</v>
      </c>
      <c r="B79" s="8" t="s">
        <v>231</v>
      </c>
      <c r="C79" s="9">
        <v>0.88888888888888884</v>
      </c>
      <c r="D79" s="8" t="s">
        <v>28</v>
      </c>
      <c r="E79" s="8" t="s">
        <v>312</v>
      </c>
      <c r="F79" s="8" t="s">
        <v>313</v>
      </c>
      <c r="G79" s="194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</row>
    <row r="80" spans="1:18" ht="15" customHeight="1" x14ac:dyDescent="0.3">
      <c r="A80" s="15" t="s">
        <v>26</v>
      </c>
      <c r="B80" s="15" t="s">
        <v>231</v>
      </c>
      <c r="C80" s="16">
        <v>0.88888888888888884</v>
      </c>
      <c r="D80" s="15" t="s">
        <v>31</v>
      </c>
      <c r="E80" s="15" t="s">
        <v>314</v>
      </c>
      <c r="F80" s="15" t="s">
        <v>235</v>
      </c>
      <c r="G80" s="195"/>
      <c r="H80" s="10"/>
      <c r="I80" s="11"/>
      <c r="J80" s="11"/>
      <c r="K80" s="11"/>
      <c r="L80" s="11"/>
      <c r="M80" s="11"/>
      <c r="N80" s="11"/>
      <c r="O80" s="12"/>
      <c r="P80" s="11"/>
      <c r="Q80" s="13"/>
      <c r="R80" s="14"/>
    </row>
    <row r="81" spans="1:18" ht="15" customHeight="1" x14ac:dyDescent="0.3">
      <c r="A81" s="15" t="s">
        <v>26</v>
      </c>
      <c r="B81" s="15" t="s">
        <v>231</v>
      </c>
      <c r="C81" s="16">
        <v>0.88888888888888884</v>
      </c>
      <c r="D81" s="15" t="s">
        <v>34</v>
      </c>
      <c r="E81" s="15" t="s">
        <v>314</v>
      </c>
      <c r="F81" s="15" t="s">
        <v>81</v>
      </c>
      <c r="G81" s="195"/>
      <c r="H81" s="10"/>
      <c r="I81" s="11"/>
      <c r="J81" s="11"/>
      <c r="K81" s="11"/>
      <c r="L81" s="11"/>
      <c r="M81" s="11"/>
      <c r="N81" s="11"/>
      <c r="O81" s="12"/>
      <c r="P81" s="11"/>
      <c r="Q81" s="13"/>
      <c r="R81" s="14"/>
    </row>
    <row r="82" spans="1:18" ht="15" customHeight="1" x14ac:dyDescent="0.3">
      <c r="A82" s="19" t="s">
        <v>26</v>
      </c>
      <c r="B82" s="19" t="s">
        <v>230</v>
      </c>
      <c r="C82" s="20">
        <v>0.78819444444444453</v>
      </c>
      <c r="D82" s="19" t="s">
        <v>28</v>
      </c>
      <c r="E82" s="19" t="s">
        <v>315</v>
      </c>
      <c r="F82" s="19" t="s">
        <v>316</v>
      </c>
      <c r="G82" s="195"/>
      <c r="H82" s="10"/>
      <c r="I82" s="11"/>
      <c r="J82" s="11"/>
      <c r="K82" s="11"/>
      <c r="L82" s="11"/>
      <c r="M82" s="11"/>
      <c r="N82" s="11"/>
      <c r="O82" s="12"/>
      <c r="P82" s="11"/>
      <c r="Q82" s="13"/>
      <c r="R82" s="14"/>
    </row>
    <row r="83" spans="1:18" ht="15" customHeight="1" x14ac:dyDescent="0.3">
      <c r="A83" s="15" t="s">
        <v>26</v>
      </c>
      <c r="B83" s="15" t="s">
        <v>230</v>
      </c>
      <c r="C83" s="16">
        <v>0.78819444444444453</v>
      </c>
      <c r="D83" s="15" t="s">
        <v>31</v>
      </c>
      <c r="E83" s="15" t="s">
        <v>103</v>
      </c>
      <c r="F83" s="15" t="s">
        <v>108</v>
      </c>
      <c r="G83" s="195"/>
      <c r="H83" s="10"/>
      <c r="I83" s="11"/>
      <c r="J83" s="11"/>
      <c r="K83" s="11"/>
      <c r="L83" s="11"/>
      <c r="M83" s="11"/>
      <c r="N83" s="11"/>
      <c r="O83" s="12"/>
      <c r="P83" s="11"/>
      <c r="Q83" s="13"/>
      <c r="R83" s="14"/>
    </row>
    <row r="84" spans="1:18" ht="15" customHeight="1" x14ac:dyDescent="0.3">
      <c r="A84" s="15" t="s">
        <v>26</v>
      </c>
      <c r="B84" s="15" t="s">
        <v>230</v>
      </c>
      <c r="C84" s="16">
        <v>0.78819444444444453</v>
      </c>
      <c r="D84" s="15" t="s">
        <v>34</v>
      </c>
      <c r="E84" s="15" t="s">
        <v>103</v>
      </c>
      <c r="F84" s="15" t="s">
        <v>81</v>
      </c>
      <c r="G84" s="195"/>
      <c r="H84" s="10"/>
      <c r="I84" s="11"/>
      <c r="J84" s="11"/>
      <c r="K84" s="11"/>
      <c r="L84" s="11"/>
      <c r="M84" s="11"/>
      <c r="N84" s="11"/>
      <c r="O84" s="12"/>
      <c r="P84" s="11"/>
      <c r="Q84" s="13"/>
      <c r="R84" s="14"/>
    </row>
    <row r="85" spans="1:18" ht="15" customHeight="1" x14ac:dyDescent="0.3">
      <c r="A85" s="19" t="s">
        <v>26</v>
      </c>
      <c r="B85" s="19" t="s">
        <v>226</v>
      </c>
      <c r="C85" s="20">
        <v>0.12847222222222221</v>
      </c>
      <c r="D85" s="19" t="s">
        <v>28</v>
      </c>
      <c r="E85" s="19" t="s">
        <v>117</v>
      </c>
      <c r="F85" s="19" t="s">
        <v>107</v>
      </c>
      <c r="G85" s="195"/>
      <c r="H85" s="10"/>
      <c r="I85" s="11"/>
      <c r="J85" s="11"/>
      <c r="K85" s="11"/>
      <c r="L85" s="11"/>
      <c r="M85" s="11"/>
      <c r="N85" s="11"/>
      <c r="O85" s="12"/>
      <c r="P85" s="11"/>
      <c r="Q85" s="13"/>
      <c r="R85" s="14"/>
    </row>
    <row r="86" spans="1:18" ht="15" customHeight="1" x14ac:dyDescent="0.3">
      <c r="A86" s="15" t="s">
        <v>26</v>
      </c>
      <c r="B86" s="15" t="s">
        <v>226</v>
      </c>
      <c r="C86" s="16">
        <v>0.12847222222222221</v>
      </c>
      <c r="D86" s="15" t="s">
        <v>31</v>
      </c>
      <c r="E86" s="15" t="s">
        <v>83</v>
      </c>
      <c r="F86" s="15" t="s">
        <v>229</v>
      </c>
      <c r="G86" s="195"/>
      <c r="H86" s="10"/>
      <c r="I86" s="11"/>
      <c r="J86" s="11"/>
      <c r="K86" s="11"/>
      <c r="L86" s="11"/>
      <c r="M86" s="11"/>
      <c r="N86" s="11"/>
      <c r="O86" s="12"/>
      <c r="P86" s="11"/>
      <c r="Q86" s="13"/>
      <c r="R86" s="14"/>
    </row>
    <row r="87" spans="1:18" ht="15" customHeight="1" x14ac:dyDescent="0.3">
      <c r="A87" s="15" t="s">
        <v>26</v>
      </c>
      <c r="B87" s="15" t="s">
        <v>226</v>
      </c>
      <c r="C87" s="16">
        <v>0.12847222222222221</v>
      </c>
      <c r="D87" s="15" t="s">
        <v>34</v>
      </c>
      <c r="E87" s="15" t="s">
        <v>83</v>
      </c>
      <c r="F87" s="15" t="s">
        <v>81</v>
      </c>
      <c r="G87" s="195"/>
      <c r="H87" s="10"/>
      <c r="I87" s="11"/>
      <c r="J87" s="11"/>
      <c r="K87" s="11"/>
      <c r="L87" s="11"/>
      <c r="M87" s="11"/>
      <c r="N87" s="11"/>
      <c r="O87" s="12"/>
      <c r="P87" s="11"/>
      <c r="Q87" s="13"/>
      <c r="R87" s="14"/>
    </row>
    <row r="88" spans="1:18" ht="15" customHeight="1" x14ac:dyDescent="0.3">
      <c r="A88" s="19" t="s">
        <v>26</v>
      </c>
      <c r="B88" s="19" t="s">
        <v>234</v>
      </c>
      <c r="C88" s="20">
        <v>0.30208333333333331</v>
      </c>
      <c r="D88" s="19" t="s">
        <v>28</v>
      </c>
      <c r="E88" s="19" t="s">
        <v>317</v>
      </c>
      <c r="F88" s="19" t="s">
        <v>235</v>
      </c>
      <c r="G88" s="195"/>
      <c r="H88" s="10"/>
      <c r="I88" s="11"/>
      <c r="J88" s="11"/>
      <c r="K88" s="11"/>
      <c r="L88" s="11"/>
      <c r="M88" s="11"/>
      <c r="N88" s="11"/>
      <c r="O88" s="12"/>
      <c r="P88" s="11"/>
      <c r="Q88" s="13"/>
      <c r="R88" s="14"/>
    </row>
    <row r="89" spans="1:18" ht="15" customHeight="1" x14ac:dyDescent="0.3">
      <c r="A89" s="15" t="s">
        <v>26</v>
      </c>
      <c r="B89" s="15" t="s">
        <v>234</v>
      </c>
      <c r="C89" s="16">
        <v>0.30208333333333331</v>
      </c>
      <c r="D89" s="15" t="s">
        <v>31</v>
      </c>
      <c r="E89" s="15" t="s">
        <v>318</v>
      </c>
      <c r="F89" s="15" t="s">
        <v>236</v>
      </c>
      <c r="G89" s="195"/>
      <c r="H89" s="10"/>
      <c r="I89" s="11"/>
      <c r="J89" s="11"/>
      <c r="K89" s="11"/>
      <c r="L89" s="11"/>
      <c r="M89" s="11"/>
      <c r="N89" s="11"/>
      <c r="O89" s="12"/>
      <c r="P89" s="11"/>
      <c r="Q89" s="13"/>
      <c r="R89" s="14"/>
    </row>
    <row r="90" spans="1:18" ht="15" customHeight="1" x14ac:dyDescent="0.3">
      <c r="A90" s="15" t="s">
        <v>26</v>
      </c>
      <c r="B90" s="15" t="s">
        <v>234</v>
      </c>
      <c r="C90" s="16">
        <v>0.30208333333333331</v>
      </c>
      <c r="D90" s="15" t="s">
        <v>34</v>
      </c>
      <c r="E90" s="15" t="s">
        <v>318</v>
      </c>
      <c r="F90" s="15" t="s">
        <v>81</v>
      </c>
      <c r="G90" s="195"/>
      <c r="H90" s="10"/>
      <c r="I90" s="11"/>
      <c r="J90" s="11"/>
      <c r="K90" s="11"/>
      <c r="L90" s="11"/>
      <c r="M90" s="11"/>
      <c r="N90" s="11"/>
      <c r="O90" s="12"/>
      <c r="P90" s="11"/>
      <c r="Q90" s="13"/>
      <c r="R90" s="14"/>
    </row>
    <row r="91" spans="1:18" ht="15" customHeight="1" x14ac:dyDescent="0.3">
      <c r="A91" s="17" t="s">
        <v>36</v>
      </c>
      <c r="B91" s="17" t="s">
        <v>237</v>
      </c>
      <c r="C91" s="18">
        <v>0.25694444444444448</v>
      </c>
      <c r="D91" s="17" t="s">
        <v>38</v>
      </c>
      <c r="E91" s="17" t="s">
        <v>312</v>
      </c>
      <c r="F91" s="17" t="s">
        <v>319</v>
      </c>
      <c r="G91" s="195"/>
      <c r="H91" s="10"/>
      <c r="I91" s="11"/>
      <c r="J91" s="11"/>
      <c r="K91" s="11"/>
      <c r="L91" s="11"/>
      <c r="M91" s="11"/>
      <c r="N91" s="11"/>
      <c r="O91" s="12"/>
      <c r="P91" s="11"/>
      <c r="Q91" s="13"/>
      <c r="R91" s="14"/>
    </row>
    <row r="92" spans="1:18" ht="15" customHeight="1" x14ac:dyDescent="0.3">
      <c r="A92" s="15" t="s">
        <v>36</v>
      </c>
      <c r="B92" s="15" t="s">
        <v>237</v>
      </c>
      <c r="C92" s="16">
        <v>0.25694444444444448</v>
      </c>
      <c r="D92" s="15" t="s">
        <v>41</v>
      </c>
      <c r="E92" s="15" t="s">
        <v>314</v>
      </c>
      <c r="F92" s="15" t="s">
        <v>320</v>
      </c>
      <c r="G92" s="195"/>
      <c r="H92" s="10"/>
      <c r="I92" s="11"/>
      <c r="J92" s="11"/>
      <c r="K92" s="11"/>
      <c r="L92" s="11"/>
      <c r="M92" s="11"/>
      <c r="N92" s="11"/>
      <c r="O92" s="12"/>
      <c r="P92" s="11"/>
      <c r="Q92" s="13"/>
      <c r="R92" s="14"/>
    </row>
    <row r="93" spans="1:18" ht="15" customHeight="1" x14ac:dyDescent="0.3">
      <c r="A93" s="15" t="s">
        <v>36</v>
      </c>
      <c r="B93" s="15" t="s">
        <v>237</v>
      </c>
      <c r="C93" s="16">
        <v>0.25694444444444448</v>
      </c>
      <c r="D93" s="15" t="s">
        <v>43</v>
      </c>
      <c r="E93" s="15" t="s">
        <v>314</v>
      </c>
      <c r="F93" s="15" t="s">
        <v>108</v>
      </c>
      <c r="G93" s="195"/>
      <c r="H93" s="10"/>
      <c r="I93" s="11"/>
      <c r="J93" s="11"/>
      <c r="K93" s="11"/>
      <c r="L93" s="11"/>
      <c r="M93" s="11"/>
      <c r="N93" s="11"/>
      <c r="O93" s="12"/>
      <c r="P93" s="11"/>
      <c r="Q93" s="13"/>
      <c r="R93" s="14"/>
    </row>
    <row r="94" spans="1:18" ht="15" customHeight="1" x14ac:dyDescent="0.3">
      <c r="A94" s="19" t="s">
        <v>36</v>
      </c>
      <c r="B94" s="19" t="s">
        <v>241</v>
      </c>
      <c r="C94" s="20">
        <v>0.90277777777777779</v>
      </c>
      <c r="D94" s="19" t="s">
        <v>38</v>
      </c>
      <c r="E94" s="19" t="s">
        <v>243</v>
      </c>
      <c r="F94" s="19" t="s">
        <v>319</v>
      </c>
      <c r="G94" s="195"/>
      <c r="H94" s="10"/>
      <c r="I94" s="11"/>
      <c r="J94" s="11"/>
      <c r="K94" s="11"/>
      <c r="L94" s="11"/>
      <c r="M94" s="11"/>
      <c r="N94" s="11"/>
      <c r="O94" s="12"/>
      <c r="P94" s="11"/>
      <c r="Q94" s="13"/>
      <c r="R94" s="14"/>
    </row>
    <row r="95" spans="1:18" ht="15" customHeight="1" x14ac:dyDescent="0.3">
      <c r="A95" s="15" t="s">
        <v>36</v>
      </c>
      <c r="B95" s="15" t="s">
        <v>241</v>
      </c>
      <c r="C95" s="16">
        <v>0.90277777777777779</v>
      </c>
      <c r="D95" s="15" t="s">
        <v>41</v>
      </c>
      <c r="E95" s="15" t="s">
        <v>244</v>
      </c>
      <c r="F95" s="15" t="s">
        <v>320</v>
      </c>
      <c r="G95" s="195"/>
      <c r="H95" s="10"/>
      <c r="I95" s="11"/>
      <c r="J95" s="11"/>
      <c r="K95" s="11"/>
      <c r="L95" s="11"/>
      <c r="M95" s="11"/>
      <c r="N95" s="11"/>
      <c r="O95" s="12"/>
      <c r="P95" s="11"/>
      <c r="Q95" s="13"/>
      <c r="R95" s="14"/>
    </row>
    <row r="96" spans="1:18" ht="15" customHeight="1" x14ac:dyDescent="0.3">
      <c r="A96" s="15" t="s">
        <v>36</v>
      </c>
      <c r="B96" s="15" t="s">
        <v>241</v>
      </c>
      <c r="C96" s="16">
        <v>0.90277777777777779</v>
      </c>
      <c r="D96" s="15" t="s">
        <v>43</v>
      </c>
      <c r="E96" s="15" t="s">
        <v>244</v>
      </c>
      <c r="F96" s="15" t="s">
        <v>108</v>
      </c>
      <c r="G96" s="195"/>
      <c r="H96" s="10"/>
      <c r="I96" s="11"/>
      <c r="J96" s="11"/>
      <c r="K96" s="11"/>
      <c r="L96" s="11"/>
      <c r="M96" s="11"/>
      <c r="N96" s="11"/>
      <c r="O96" s="12"/>
      <c r="P96" s="11"/>
      <c r="Q96" s="13"/>
      <c r="R96" s="14"/>
    </row>
    <row r="97" spans="1:18" ht="15" customHeight="1" x14ac:dyDescent="0.3">
      <c r="A97" s="19" t="s">
        <v>36</v>
      </c>
      <c r="B97" s="19" t="s">
        <v>245</v>
      </c>
      <c r="C97" s="20">
        <v>0.85416666666666663</v>
      </c>
      <c r="D97" s="19" t="s">
        <v>38</v>
      </c>
      <c r="E97" s="19" t="s">
        <v>46</v>
      </c>
      <c r="F97" s="19" t="s">
        <v>319</v>
      </c>
      <c r="G97" s="195"/>
      <c r="H97" s="10"/>
      <c r="I97" s="11"/>
      <c r="J97" s="11"/>
      <c r="K97" s="11"/>
      <c r="L97" s="11"/>
      <c r="M97" s="11"/>
      <c r="N97" s="11"/>
      <c r="O97" s="12"/>
      <c r="P97" s="11"/>
      <c r="Q97" s="13"/>
      <c r="R97" s="14"/>
    </row>
    <row r="98" spans="1:18" ht="15" customHeight="1" x14ac:dyDescent="0.3">
      <c r="A98" s="15" t="s">
        <v>36</v>
      </c>
      <c r="B98" s="15" t="s">
        <v>245</v>
      </c>
      <c r="C98" s="16">
        <v>0.85416666666666663</v>
      </c>
      <c r="D98" s="15" t="s">
        <v>41</v>
      </c>
      <c r="E98" s="15" t="s">
        <v>47</v>
      </c>
      <c r="F98" s="15" t="s">
        <v>320</v>
      </c>
      <c r="G98" s="195"/>
      <c r="H98" s="10"/>
      <c r="I98" s="11"/>
      <c r="J98" s="11"/>
      <c r="K98" s="11"/>
      <c r="L98" s="11"/>
      <c r="M98" s="11"/>
      <c r="N98" s="11"/>
      <c r="O98" s="12"/>
      <c r="P98" s="11"/>
      <c r="Q98" s="13"/>
      <c r="R98" s="14"/>
    </row>
    <row r="99" spans="1:18" ht="15" customHeight="1" x14ac:dyDescent="0.3">
      <c r="A99" s="15" t="s">
        <v>36</v>
      </c>
      <c r="B99" s="15" t="s">
        <v>245</v>
      </c>
      <c r="C99" s="16">
        <v>0.85416666666666663</v>
      </c>
      <c r="D99" s="15" t="s">
        <v>43</v>
      </c>
      <c r="E99" s="15" t="s">
        <v>47</v>
      </c>
      <c r="F99" s="15" t="s">
        <v>108</v>
      </c>
      <c r="G99" s="195"/>
      <c r="H99" s="10"/>
      <c r="I99" s="11"/>
      <c r="J99" s="11"/>
      <c r="K99" s="11"/>
      <c r="L99" s="11"/>
      <c r="M99" s="11"/>
      <c r="N99" s="11"/>
      <c r="O99" s="12"/>
      <c r="P99" s="11"/>
      <c r="Q99" s="13"/>
      <c r="R99" s="14"/>
    </row>
    <row r="100" spans="1:18" ht="15" customHeight="1" x14ac:dyDescent="0.3">
      <c r="A100" s="19" t="s">
        <v>36</v>
      </c>
      <c r="B100" s="19" t="s">
        <v>246</v>
      </c>
      <c r="C100" s="20">
        <v>0.79861111111111116</v>
      </c>
      <c r="D100" s="19" t="s">
        <v>38</v>
      </c>
      <c r="E100" s="19" t="s">
        <v>46</v>
      </c>
      <c r="F100" s="19" t="s">
        <v>319</v>
      </c>
      <c r="G100" s="195"/>
      <c r="H100" s="10"/>
      <c r="I100" s="11"/>
      <c r="J100" s="11"/>
      <c r="K100" s="11"/>
      <c r="L100" s="11"/>
      <c r="M100" s="11"/>
      <c r="N100" s="11"/>
      <c r="O100" s="12"/>
      <c r="P100" s="11"/>
      <c r="Q100" s="13"/>
      <c r="R100" s="14"/>
    </row>
    <row r="101" spans="1:18" ht="15" customHeight="1" x14ac:dyDescent="0.3">
      <c r="A101" s="15" t="s">
        <v>36</v>
      </c>
      <c r="B101" s="15" t="s">
        <v>246</v>
      </c>
      <c r="C101" s="16">
        <v>0.79861111111111116</v>
      </c>
      <c r="D101" s="15" t="s">
        <v>41</v>
      </c>
      <c r="E101" s="15" t="s">
        <v>47</v>
      </c>
      <c r="F101" s="15" t="s">
        <v>320</v>
      </c>
      <c r="G101" s="195"/>
      <c r="H101" s="10"/>
      <c r="I101" s="11"/>
      <c r="J101" s="11"/>
      <c r="K101" s="11"/>
      <c r="L101" s="11"/>
      <c r="M101" s="11"/>
      <c r="N101" s="11"/>
      <c r="O101" s="12"/>
      <c r="P101" s="11"/>
      <c r="Q101" s="13"/>
      <c r="R101" s="14"/>
    </row>
    <row r="102" spans="1:18" ht="15" customHeight="1" x14ac:dyDescent="0.3">
      <c r="A102" s="15" t="s">
        <v>36</v>
      </c>
      <c r="B102" s="15" t="s">
        <v>246</v>
      </c>
      <c r="C102" s="16">
        <v>0.79861111111111116</v>
      </c>
      <c r="D102" s="15" t="s">
        <v>43</v>
      </c>
      <c r="E102" s="15" t="s">
        <v>47</v>
      </c>
      <c r="F102" s="15" t="s">
        <v>108</v>
      </c>
      <c r="G102" s="195"/>
      <c r="H102" s="10"/>
      <c r="I102" s="11"/>
      <c r="J102" s="11"/>
      <c r="K102" s="11"/>
      <c r="L102" s="11"/>
      <c r="M102" s="11"/>
      <c r="N102" s="11"/>
      <c r="O102" s="12"/>
      <c r="P102" s="11"/>
      <c r="Q102" s="13"/>
      <c r="R102" s="14"/>
    </row>
    <row r="103" spans="1:18" ht="15" customHeight="1" x14ac:dyDescent="0.3">
      <c r="A103" s="19" t="s">
        <v>36</v>
      </c>
      <c r="B103" s="19" t="s">
        <v>247</v>
      </c>
      <c r="C103" s="20">
        <v>0.64583333333333337</v>
      </c>
      <c r="D103" s="19" t="s">
        <v>38</v>
      </c>
      <c r="E103" s="19" t="s">
        <v>46</v>
      </c>
      <c r="F103" s="19" t="s">
        <v>316</v>
      </c>
      <c r="G103" s="195"/>
      <c r="H103" s="10"/>
      <c r="I103" s="11"/>
      <c r="J103" s="11"/>
      <c r="K103" s="11"/>
      <c r="L103" s="11"/>
      <c r="M103" s="11"/>
      <c r="N103" s="11"/>
      <c r="O103" s="12"/>
      <c r="P103" s="11"/>
      <c r="Q103" s="13"/>
      <c r="R103" s="14"/>
    </row>
    <row r="104" spans="1:18" ht="15" customHeight="1" x14ac:dyDescent="0.3">
      <c r="A104" s="15" t="s">
        <v>36</v>
      </c>
      <c r="B104" s="15" t="s">
        <v>247</v>
      </c>
      <c r="C104" s="16">
        <v>0.64583333333333337</v>
      </c>
      <c r="D104" s="15" t="s">
        <v>41</v>
      </c>
      <c r="E104" s="15" t="s">
        <v>47</v>
      </c>
      <c r="F104" s="15" t="s">
        <v>235</v>
      </c>
      <c r="G104" s="195"/>
      <c r="H104" s="10"/>
      <c r="I104" s="11"/>
      <c r="J104" s="11"/>
      <c r="K104" s="11"/>
      <c r="L104" s="11"/>
      <c r="M104" s="11"/>
      <c r="N104" s="11"/>
      <c r="O104" s="12"/>
      <c r="P104" s="11"/>
      <c r="Q104" s="13"/>
      <c r="R104" s="14"/>
    </row>
    <row r="105" spans="1:18" ht="15" customHeight="1" x14ac:dyDescent="0.3">
      <c r="A105" s="15" t="s">
        <v>36</v>
      </c>
      <c r="B105" s="15" t="s">
        <v>247</v>
      </c>
      <c r="C105" s="16">
        <v>0.64583333333333337</v>
      </c>
      <c r="D105" s="15" t="s">
        <v>43</v>
      </c>
      <c r="E105" s="15" t="s">
        <v>47</v>
      </c>
      <c r="F105" s="15" t="s">
        <v>321</v>
      </c>
      <c r="G105" s="195"/>
      <c r="H105" s="10"/>
      <c r="I105" s="11"/>
      <c r="J105" s="11"/>
      <c r="K105" s="11"/>
      <c r="L105" s="11"/>
      <c r="M105" s="11"/>
      <c r="N105" s="11"/>
      <c r="O105" s="12"/>
      <c r="P105" s="11"/>
      <c r="Q105" s="13"/>
      <c r="R105" s="14"/>
    </row>
    <row r="106" spans="1:18" ht="15" customHeight="1" x14ac:dyDescent="0.3">
      <c r="A106" s="19" t="s">
        <v>36</v>
      </c>
      <c r="B106" s="19" t="s">
        <v>242</v>
      </c>
      <c r="C106" s="20">
        <v>0.51736111111111105</v>
      </c>
      <c r="D106" s="19" t="s">
        <v>38</v>
      </c>
      <c r="E106" s="19" t="s">
        <v>46</v>
      </c>
      <c r="F106" s="19" t="s">
        <v>316</v>
      </c>
      <c r="G106" s="195"/>
      <c r="H106" s="10"/>
      <c r="I106" s="11"/>
      <c r="J106" s="11"/>
      <c r="K106" s="11"/>
      <c r="L106" s="11"/>
      <c r="M106" s="11"/>
      <c r="N106" s="11"/>
      <c r="O106" s="12"/>
      <c r="P106" s="11"/>
      <c r="Q106" s="13"/>
      <c r="R106" s="14"/>
    </row>
    <row r="107" spans="1:18" ht="15" customHeight="1" x14ac:dyDescent="0.3">
      <c r="A107" s="15" t="s">
        <v>36</v>
      </c>
      <c r="B107" s="15" t="s">
        <v>242</v>
      </c>
      <c r="C107" s="16">
        <v>0.51736111111111105</v>
      </c>
      <c r="D107" s="15" t="s">
        <v>41</v>
      </c>
      <c r="E107" s="15" t="s">
        <v>47</v>
      </c>
      <c r="F107" s="15" t="s">
        <v>235</v>
      </c>
      <c r="G107" s="195"/>
      <c r="H107" s="10"/>
      <c r="I107" s="11"/>
      <c r="J107" s="11"/>
      <c r="K107" s="11"/>
      <c r="L107" s="11"/>
      <c r="M107" s="11"/>
      <c r="N107" s="11"/>
      <c r="O107" s="12"/>
      <c r="P107" s="11"/>
      <c r="Q107" s="13"/>
      <c r="R107" s="14"/>
    </row>
    <row r="108" spans="1:18" ht="15" customHeight="1" x14ac:dyDescent="0.3">
      <c r="A108" s="15" t="s">
        <v>36</v>
      </c>
      <c r="B108" s="15" t="s">
        <v>242</v>
      </c>
      <c r="C108" s="16">
        <v>0.51736111111111105</v>
      </c>
      <c r="D108" s="15" t="s">
        <v>43</v>
      </c>
      <c r="E108" s="15" t="s">
        <v>47</v>
      </c>
      <c r="F108" s="15" t="s">
        <v>321</v>
      </c>
      <c r="G108" s="195"/>
      <c r="H108" s="10"/>
      <c r="I108" s="11"/>
      <c r="J108" s="11"/>
      <c r="K108" s="11"/>
      <c r="L108" s="11"/>
      <c r="M108" s="11"/>
      <c r="N108" s="11"/>
      <c r="O108" s="12"/>
      <c r="P108" s="11"/>
      <c r="Q108" s="13"/>
      <c r="R108" s="14"/>
    </row>
    <row r="109" spans="1:18" ht="15" customHeight="1" x14ac:dyDescent="0.3">
      <c r="A109" s="19" t="s">
        <v>36</v>
      </c>
      <c r="B109" s="19" t="s">
        <v>251</v>
      </c>
      <c r="C109" s="20">
        <v>0.39583333333333331</v>
      </c>
      <c r="D109" s="19" t="s">
        <v>38</v>
      </c>
      <c r="E109" s="19" t="s">
        <v>46</v>
      </c>
      <c r="F109" s="19" t="s">
        <v>316</v>
      </c>
      <c r="G109" s="195"/>
      <c r="H109" s="10"/>
      <c r="I109" s="11"/>
      <c r="J109" s="11"/>
      <c r="K109" s="11"/>
      <c r="L109" s="11"/>
      <c r="M109" s="11"/>
      <c r="N109" s="11"/>
      <c r="O109" s="12"/>
      <c r="P109" s="11"/>
      <c r="Q109" s="13"/>
      <c r="R109" s="14"/>
    </row>
    <row r="110" spans="1:18" ht="15" customHeight="1" x14ac:dyDescent="0.3">
      <c r="A110" s="15" t="s">
        <v>36</v>
      </c>
      <c r="B110" s="15" t="s">
        <v>251</v>
      </c>
      <c r="C110" s="16">
        <v>0.39583333333333331</v>
      </c>
      <c r="D110" s="15" t="s">
        <v>41</v>
      </c>
      <c r="E110" s="15" t="s">
        <v>47</v>
      </c>
      <c r="F110" s="15" t="s">
        <v>235</v>
      </c>
      <c r="G110" s="195"/>
      <c r="H110" s="10"/>
      <c r="I110" s="11"/>
      <c r="J110" s="11"/>
      <c r="K110" s="11"/>
      <c r="L110" s="11"/>
      <c r="M110" s="11"/>
      <c r="N110" s="11"/>
      <c r="O110" s="12"/>
      <c r="P110" s="11"/>
      <c r="Q110" s="13"/>
      <c r="R110" s="14"/>
    </row>
    <row r="111" spans="1:18" ht="15" customHeight="1" x14ac:dyDescent="0.3">
      <c r="A111" s="15" t="s">
        <v>36</v>
      </c>
      <c r="B111" s="15" t="s">
        <v>251</v>
      </c>
      <c r="C111" s="16">
        <v>0.39583333333333331</v>
      </c>
      <c r="D111" s="15" t="s">
        <v>43</v>
      </c>
      <c r="E111" s="15" t="s">
        <v>47</v>
      </c>
      <c r="F111" s="15" t="s">
        <v>321</v>
      </c>
      <c r="G111" s="195"/>
      <c r="H111" s="10"/>
      <c r="I111" s="11"/>
      <c r="J111" s="11"/>
      <c r="K111" s="11"/>
      <c r="L111" s="11"/>
      <c r="M111" s="11"/>
      <c r="N111" s="11"/>
      <c r="O111" s="12"/>
      <c r="P111" s="11"/>
      <c r="Q111" s="13"/>
      <c r="R111" s="14"/>
    </row>
    <row r="112" spans="1:18" ht="15" customHeight="1" x14ac:dyDescent="0.3">
      <c r="A112" s="19" t="s">
        <v>36</v>
      </c>
      <c r="B112" s="19" t="s">
        <v>322</v>
      </c>
      <c r="C112" s="20">
        <v>0.30208333333333331</v>
      </c>
      <c r="D112" s="19" t="s">
        <v>38</v>
      </c>
      <c r="E112" s="19" t="s">
        <v>46</v>
      </c>
      <c r="F112" s="19" t="s">
        <v>316</v>
      </c>
      <c r="G112" s="195"/>
      <c r="H112" s="10"/>
      <c r="I112" s="11"/>
      <c r="J112" s="11"/>
      <c r="K112" s="11"/>
      <c r="L112" s="11"/>
      <c r="M112" s="11"/>
      <c r="N112" s="11"/>
      <c r="O112" s="12"/>
      <c r="P112" s="11"/>
      <c r="Q112" s="13"/>
      <c r="R112" s="14"/>
    </row>
    <row r="113" spans="1:18" ht="15" customHeight="1" x14ac:dyDescent="0.3">
      <c r="A113" s="15" t="s">
        <v>36</v>
      </c>
      <c r="B113" s="15" t="s">
        <v>322</v>
      </c>
      <c r="C113" s="16">
        <v>0.30208333333333331</v>
      </c>
      <c r="D113" s="15" t="s">
        <v>41</v>
      </c>
      <c r="E113" s="15" t="s">
        <v>47</v>
      </c>
      <c r="F113" s="15" t="s">
        <v>235</v>
      </c>
      <c r="G113" s="195"/>
      <c r="H113" s="10"/>
      <c r="I113" s="11"/>
      <c r="J113" s="11"/>
      <c r="K113" s="11"/>
      <c r="L113" s="11"/>
      <c r="M113" s="11"/>
      <c r="N113" s="11"/>
      <c r="O113" s="12"/>
      <c r="P113" s="11"/>
      <c r="Q113" s="13"/>
      <c r="R113" s="14"/>
    </row>
    <row r="114" spans="1:18" ht="15" customHeight="1" x14ac:dyDescent="0.3">
      <c r="A114" s="15" t="s">
        <v>36</v>
      </c>
      <c r="B114" s="15" t="s">
        <v>322</v>
      </c>
      <c r="C114" s="16">
        <v>0.30208333333333331</v>
      </c>
      <c r="D114" s="15" t="s">
        <v>43</v>
      </c>
      <c r="E114" s="15" t="s">
        <v>47</v>
      </c>
      <c r="F114" s="15" t="s">
        <v>321</v>
      </c>
      <c r="G114" s="195"/>
      <c r="H114" s="10"/>
      <c r="I114" s="11"/>
      <c r="J114" s="11"/>
      <c r="K114" s="11"/>
      <c r="L114" s="11"/>
      <c r="M114" s="11"/>
      <c r="N114" s="11"/>
      <c r="O114" s="12"/>
      <c r="P114" s="11"/>
      <c r="Q114" s="13"/>
      <c r="R114" s="14"/>
    </row>
    <row r="115" spans="1:18" ht="15" customHeight="1" x14ac:dyDescent="0.3">
      <c r="A115" s="17" t="s">
        <v>264</v>
      </c>
      <c r="B115" s="17" t="s">
        <v>265</v>
      </c>
      <c r="C115" s="18">
        <v>0.27430555555555552</v>
      </c>
      <c r="D115" s="17" t="s">
        <v>262</v>
      </c>
      <c r="E115" s="17" t="s">
        <v>227</v>
      </c>
      <c r="F115" s="17" t="s">
        <v>323</v>
      </c>
      <c r="G115" s="195"/>
      <c r="H115" s="10"/>
      <c r="I115" s="11"/>
      <c r="J115" s="11"/>
      <c r="K115" s="11"/>
      <c r="L115" s="11"/>
      <c r="M115" s="11"/>
      <c r="N115" s="11"/>
      <c r="O115" s="12"/>
      <c r="P115" s="11"/>
      <c r="Q115" s="13"/>
      <c r="R115" s="14"/>
    </row>
    <row r="116" spans="1:18" ht="15" customHeight="1" x14ac:dyDescent="0.3">
      <c r="A116" s="19" t="s">
        <v>264</v>
      </c>
      <c r="B116" s="19" t="s">
        <v>324</v>
      </c>
      <c r="C116" s="20">
        <v>0.34722222222222232</v>
      </c>
      <c r="D116" s="19" t="s">
        <v>262</v>
      </c>
      <c r="E116" s="19" t="s">
        <v>117</v>
      </c>
      <c r="F116" s="19" t="s">
        <v>325</v>
      </c>
      <c r="G116" s="195"/>
      <c r="H116" s="10"/>
      <c r="I116" s="11"/>
      <c r="J116" s="11"/>
      <c r="K116" s="11"/>
      <c r="L116" s="11"/>
      <c r="M116" s="11"/>
      <c r="N116" s="11"/>
      <c r="O116" s="12"/>
      <c r="P116" s="11"/>
      <c r="Q116" s="13"/>
      <c r="R116" s="14"/>
    </row>
    <row r="117" spans="1:18" ht="15" customHeight="1" x14ac:dyDescent="0.3">
      <c r="A117" s="17" t="s">
        <v>260</v>
      </c>
      <c r="B117" s="17" t="s">
        <v>261</v>
      </c>
      <c r="C117" s="18">
        <v>0.66666666666666663</v>
      </c>
      <c r="D117" s="17" t="s">
        <v>262</v>
      </c>
      <c r="E117" s="17" t="s">
        <v>51</v>
      </c>
      <c r="F117" s="17" t="s">
        <v>326</v>
      </c>
      <c r="G117" s="195"/>
      <c r="H117" s="10"/>
      <c r="I117" s="11"/>
      <c r="J117" s="11"/>
      <c r="K117" s="11"/>
      <c r="L117" s="11"/>
      <c r="M117" s="11"/>
      <c r="N117" s="11"/>
      <c r="O117" s="12"/>
      <c r="P117" s="11"/>
      <c r="Q117" s="13"/>
      <c r="R117" s="14"/>
    </row>
    <row r="118" spans="1:18" ht="15" customHeight="1" x14ac:dyDescent="0.3">
      <c r="A118" s="19" t="s">
        <v>260</v>
      </c>
      <c r="B118" s="19" t="s">
        <v>327</v>
      </c>
      <c r="C118" s="20">
        <v>0.38194444444444442</v>
      </c>
      <c r="D118" s="19" t="s">
        <v>262</v>
      </c>
      <c r="E118" s="19" t="s">
        <v>92</v>
      </c>
      <c r="F118" s="19" t="s">
        <v>326</v>
      </c>
      <c r="G118" s="195"/>
      <c r="H118" s="10"/>
      <c r="I118" s="11"/>
      <c r="J118" s="11"/>
      <c r="K118" s="11"/>
      <c r="L118" s="11"/>
      <c r="M118" s="11"/>
      <c r="N118" s="11"/>
      <c r="O118" s="12"/>
      <c r="P118" s="11"/>
      <c r="Q118" s="13"/>
      <c r="R118" s="14"/>
    </row>
    <row r="119" spans="1:18" ht="15" customHeight="1" x14ac:dyDescent="0.3">
      <c r="A119" s="17" t="s">
        <v>252</v>
      </c>
      <c r="B119" s="17" t="s">
        <v>257</v>
      </c>
      <c r="C119" s="18">
        <v>0.3888888888888889</v>
      </c>
      <c r="D119" s="17" t="s">
        <v>254</v>
      </c>
      <c r="E119" s="17" t="s">
        <v>97</v>
      </c>
      <c r="F119" s="17" t="s">
        <v>328</v>
      </c>
      <c r="G119" s="195"/>
      <c r="H119" s="10"/>
      <c r="I119" s="11"/>
      <c r="J119" s="11"/>
      <c r="K119" s="11"/>
      <c r="L119" s="11"/>
      <c r="M119" s="11"/>
      <c r="N119" s="11"/>
      <c r="O119" s="12"/>
      <c r="P119" s="11"/>
      <c r="Q119" s="13"/>
      <c r="R119" s="14"/>
    </row>
    <row r="120" spans="1:18" ht="15" customHeight="1" x14ac:dyDescent="0.3">
      <c r="A120" s="15" t="s">
        <v>252</v>
      </c>
      <c r="B120" s="15" t="s">
        <v>257</v>
      </c>
      <c r="C120" s="16">
        <v>0.3888888888888889</v>
      </c>
      <c r="D120" s="15" t="s">
        <v>34</v>
      </c>
      <c r="E120" s="15" t="s">
        <v>47</v>
      </c>
      <c r="F120" s="15" t="s">
        <v>329</v>
      </c>
      <c r="G120" s="195"/>
      <c r="H120" s="10"/>
      <c r="I120" s="11"/>
      <c r="J120" s="11"/>
      <c r="K120" s="11"/>
      <c r="L120" s="11"/>
      <c r="M120" s="11"/>
      <c r="N120" s="11"/>
      <c r="O120" s="12"/>
      <c r="P120" s="11"/>
      <c r="Q120" s="13"/>
      <c r="R120" s="14"/>
    </row>
    <row r="121" spans="1:18" ht="15" customHeight="1" x14ac:dyDescent="0.3">
      <c r="A121" s="140" t="s">
        <v>73</v>
      </c>
      <c r="B121" s="140" t="s">
        <v>330</v>
      </c>
      <c r="C121" s="141">
        <v>8.3333333333333329E-2</v>
      </c>
      <c r="D121" s="140" t="s">
        <v>111</v>
      </c>
      <c r="E121" s="140" t="s">
        <v>51</v>
      </c>
      <c r="F121" s="140" t="s">
        <v>331</v>
      </c>
      <c r="G121" s="195"/>
      <c r="H121" s="142" t="s">
        <v>332</v>
      </c>
      <c r="I121" s="143">
        <v>0.64800000000000002</v>
      </c>
      <c r="J121" s="144">
        <v>116</v>
      </c>
      <c r="K121" s="145">
        <v>45981</v>
      </c>
      <c r="L121" s="144">
        <v>55</v>
      </c>
      <c r="M121" s="144">
        <v>5</v>
      </c>
      <c r="N121" s="144">
        <v>7</v>
      </c>
      <c r="O121" s="146" t="s">
        <v>333</v>
      </c>
      <c r="P121" s="147">
        <v>8.3333333333333329E-2</v>
      </c>
      <c r="Q121" s="144">
        <v>179</v>
      </c>
      <c r="R121" s="148" t="s">
        <v>334</v>
      </c>
    </row>
    <row r="122" spans="1:18" ht="15" customHeight="1" x14ac:dyDescent="0.3">
      <c r="A122" s="128" t="s">
        <v>73</v>
      </c>
      <c r="B122" s="128" t="s">
        <v>335</v>
      </c>
      <c r="C122" s="129">
        <v>0.33333333333333331</v>
      </c>
      <c r="D122" s="128" t="s">
        <v>111</v>
      </c>
      <c r="E122" s="128" t="s">
        <v>92</v>
      </c>
      <c r="F122" s="128" t="s">
        <v>331</v>
      </c>
      <c r="G122" s="195"/>
      <c r="H122" s="131" t="s">
        <v>336</v>
      </c>
      <c r="I122" s="132">
        <v>0.90480000000000005</v>
      </c>
      <c r="J122" s="133">
        <v>152</v>
      </c>
      <c r="K122" s="134">
        <v>45981</v>
      </c>
      <c r="L122" s="133">
        <v>37</v>
      </c>
      <c r="M122" s="133">
        <v>9</v>
      </c>
      <c r="N122" s="133">
        <v>4</v>
      </c>
      <c r="O122" s="135" t="s">
        <v>333</v>
      </c>
      <c r="P122" s="136">
        <v>0.33333333333333331</v>
      </c>
      <c r="Q122" s="133">
        <v>168</v>
      </c>
      <c r="R122" s="137" t="s">
        <v>337</v>
      </c>
    </row>
    <row r="123" spans="1:18" ht="15" customHeight="1" x14ac:dyDescent="0.3">
      <c r="A123" s="119" t="s">
        <v>73</v>
      </c>
      <c r="B123" s="119" t="s">
        <v>338</v>
      </c>
      <c r="C123" s="120">
        <v>0.31944444444444448</v>
      </c>
      <c r="D123" s="119" t="s">
        <v>111</v>
      </c>
      <c r="E123" s="119" t="s">
        <v>92</v>
      </c>
      <c r="F123" s="119" t="s">
        <v>331</v>
      </c>
      <c r="G123" s="195"/>
      <c r="H123" s="121" t="s">
        <v>278</v>
      </c>
      <c r="I123" s="149">
        <v>0.55869999999999997</v>
      </c>
      <c r="J123" s="123">
        <v>100</v>
      </c>
      <c r="K123" s="124">
        <v>45981</v>
      </c>
      <c r="L123" s="123">
        <v>37</v>
      </c>
      <c r="M123" s="123">
        <v>3</v>
      </c>
      <c r="N123" s="123">
        <v>0</v>
      </c>
      <c r="O123" s="125" t="s">
        <v>333</v>
      </c>
      <c r="P123" s="126">
        <v>0.31944444444444448</v>
      </c>
      <c r="Q123" s="123">
        <v>179</v>
      </c>
      <c r="R123" s="127" t="s">
        <v>339</v>
      </c>
    </row>
    <row r="124" spans="1:18" ht="15" customHeight="1" x14ac:dyDescent="0.3">
      <c r="A124" s="150" t="s">
        <v>73</v>
      </c>
      <c r="B124" s="150" t="s">
        <v>340</v>
      </c>
      <c r="C124" s="151">
        <v>0.51041666666666663</v>
      </c>
      <c r="D124" s="150" t="s">
        <v>111</v>
      </c>
      <c r="E124" s="150" t="s">
        <v>341</v>
      </c>
      <c r="F124" s="150" t="s">
        <v>342</v>
      </c>
      <c r="G124" s="195"/>
      <c r="H124" s="152" t="s">
        <v>343</v>
      </c>
      <c r="I124" s="153">
        <v>0.9274</v>
      </c>
      <c r="J124" s="154">
        <v>166</v>
      </c>
      <c r="K124" s="155">
        <v>45981</v>
      </c>
      <c r="L124" s="154">
        <v>9</v>
      </c>
      <c r="M124" s="154">
        <v>3</v>
      </c>
      <c r="N124" s="154">
        <v>1</v>
      </c>
      <c r="O124" s="156" t="s">
        <v>344</v>
      </c>
      <c r="P124" s="157">
        <v>0.51041666666666663</v>
      </c>
      <c r="Q124" s="154">
        <v>179</v>
      </c>
      <c r="R124" s="158" t="s">
        <v>345</v>
      </c>
    </row>
    <row r="125" spans="1:18" ht="15" customHeight="1" x14ac:dyDescent="0.3">
      <c r="A125" s="119" t="s">
        <v>73</v>
      </c>
      <c r="B125" s="119" t="s">
        <v>275</v>
      </c>
      <c r="C125" s="120">
        <v>0.63194444444444442</v>
      </c>
      <c r="D125" s="119" t="s">
        <v>75</v>
      </c>
      <c r="E125" s="159"/>
      <c r="F125" s="119" t="s">
        <v>76</v>
      </c>
      <c r="G125" s="195"/>
      <c r="H125" s="121" t="s">
        <v>275</v>
      </c>
      <c r="I125" s="122">
        <v>1.0112000000000001</v>
      </c>
      <c r="J125" s="123">
        <v>181</v>
      </c>
      <c r="K125" s="124">
        <v>45980</v>
      </c>
      <c r="L125" s="123">
        <v>12</v>
      </c>
      <c r="M125" s="123">
        <v>0</v>
      </c>
      <c r="N125" s="123">
        <v>3</v>
      </c>
      <c r="O125" s="125" t="s">
        <v>77</v>
      </c>
      <c r="P125" s="126">
        <v>0.63194444444444442</v>
      </c>
      <c r="Q125" s="123">
        <v>179</v>
      </c>
      <c r="R125" s="127" t="s">
        <v>346</v>
      </c>
    </row>
    <row r="126" spans="1:18" ht="15" customHeight="1" x14ac:dyDescent="0.3">
      <c r="A126" s="17" t="s">
        <v>48</v>
      </c>
      <c r="B126" s="17" t="s">
        <v>305</v>
      </c>
      <c r="C126" s="18">
        <v>0.4861111111111111</v>
      </c>
      <c r="D126" s="17" t="s">
        <v>50</v>
      </c>
      <c r="E126" s="17" t="s">
        <v>51</v>
      </c>
      <c r="F126" s="17" t="s">
        <v>301</v>
      </c>
      <c r="G126" s="195"/>
      <c r="H126" s="10"/>
      <c r="I126" s="11"/>
      <c r="J126" s="11"/>
      <c r="K126" s="11"/>
      <c r="L126" s="11"/>
      <c r="M126" s="11"/>
      <c r="N126" s="11"/>
      <c r="O126" s="12"/>
      <c r="P126" s="11"/>
      <c r="Q126" s="13"/>
      <c r="R126" s="14"/>
    </row>
    <row r="127" spans="1:18" ht="15" customHeight="1" x14ac:dyDescent="0.3">
      <c r="A127" s="19" t="s">
        <v>48</v>
      </c>
      <c r="B127" s="19" t="s">
        <v>300</v>
      </c>
      <c r="C127" s="20">
        <v>0.2638888888888889</v>
      </c>
      <c r="D127" s="19" t="s">
        <v>50</v>
      </c>
      <c r="E127" s="19" t="s">
        <v>92</v>
      </c>
      <c r="F127" s="19" t="s">
        <v>301</v>
      </c>
      <c r="G127" s="195"/>
      <c r="H127" s="10"/>
      <c r="I127" s="11"/>
      <c r="J127" s="11"/>
      <c r="K127" s="11"/>
      <c r="L127" s="11"/>
      <c r="M127" s="11"/>
      <c r="N127" s="11"/>
      <c r="O127" s="12"/>
      <c r="P127" s="11"/>
      <c r="Q127" s="13"/>
      <c r="R127" s="14"/>
    </row>
    <row r="128" spans="1:18" ht="15" customHeight="1" x14ac:dyDescent="0.3">
      <c r="A128" s="19" t="s">
        <v>48</v>
      </c>
      <c r="B128" s="19" t="s">
        <v>309</v>
      </c>
      <c r="C128" s="20">
        <v>0.97569444444444453</v>
      </c>
      <c r="D128" s="19" t="s">
        <v>50</v>
      </c>
      <c r="E128" s="19" t="s">
        <v>92</v>
      </c>
      <c r="F128" s="19" t="s">
        <v>301</v>
      </c>
      <c r="G128" s="195"/>
      <c r="H128" s="10"/>
      <c r="I128" s="11"/>
      <c r="J128" s="11"/>
      <c r="K128" s="11"/>
      <c r="L128" s="11"/>
      <c r="M128" s="11"/>
      <c r="N128" s="11"/>
      <c r="O128" s="12"/>
      <c r="P128" s="11"/>
      <c r="Q128" s="13"/>
      <c r="R128" s="14"/>
    </row>
    <row r="129" spans="1:18" ht="15" customHeight="1" x14ac:dyDescent="0.3">
      <c r="A129" s="19" t="s">
        <v>48</v>
      </c>
      <c r="B129" s="19" t="s">
        <v>310</v>
      </c>
      <c r="C129" s="20">
        <v>0.77430555555555547</v>
      </c>
      <c r="D129" s="19" t="s">
        <v>50</v>
      </c>
      <c r="E129" s="19" t="s">
        <v>92</v>
      </c>
      <c r="F129" s="19" t="s">
        <v>301</v>
      </c>
      <c r="G129" s="195"/>
      <c r="H129" s="10"/>
      <c r="I129" s="11"/>
      <c r="J129" s="11"/>
      <c r="K129" s="11"/>
      <c r="L129" s="11"/>
      <c r="M129" s="11"/>
      <c r="N129" s="11"/>
      <c r="O129" s="12"/>
      <c r="P129" s="11"/>
      <c r="Q129" s="13"/>
      <c r="R129" s="14"/>
    </row>
    <row r="130" spans="1:18" ht="15" customHeight="1" x14ac:dyDescent="0.3">
      <c r="A130" s="19" t="s">
        <v>48</v>
      </c>
      <c r="B130" s="19" t="s">
        <v>302</v>
      </c>
      <c r="C130" s="20">
        <v>0.22222222222222221</v>
      </c>
      <c r="D130" s="19" t="s">
        <v>50</v>
      </c>
      <c r="E130" s="19" t="s">
        <v>92</v>
      </c>
      <c r="F130" s="19" t="s">
        <v>301</v>
      </c>
      <c r="G130" s="195"/>
      <c r="H130" s="10"/>
      <c r="I130" s="11"/>
      <c r="J130" s="11"/>
      <c r="K130" s="11"/>
      <c r="L130" s="11"/>
      <c r="M130" s="11"/>
      <c r="N130" s="11"/>
      <c r="O130" s="12"/>
      <c r="P130" s="11"/>
      <c r="Q130" s="13"/>
      <c r="R130" s="14"/>
    </row>
    <row r="131" spans="1:18" ht="15" customHeight="1" x14ac:dyDescent="0.3">
      <c r="A131" s="19" t="s">
        <v>48</v>
      </c>
      <c r="B131" s="19" t="s">
        <v>307</v>
      </c>
      <c r="C131" s="20">
        <v>0.14583333333333329</v>
      </c>
      <c r="D131" s="19" t="s">
        <v>50</v>
      </c>
      <c r="E131" s="19" t="s">
        <v>243</v>
      </c>
      <c r="F131" s="19" t="s">
        <v>306</v>
      </c>
      <c r="G131" s="195"/>
      <c r="H131" s="10"/>
      <c r="I131" s="11"/>
      <c r="J131" s="11"/>
      <c r="K131" s="11"/>
      <c r="L131" s="11"/>
      <c r="M131" s="11"/>
      <c r="N131" s="11"/>
      <c r="O131" s="12"/>
      <c r="P131" s="11"/>
      <c r="Q131" s="13"/>
      <c r="R131" s="14"/>
    </row>
    <row r="132" spans="1:18" ht="15" customHeight="1" x14ac:dyDescent="0.3">
      <c r="A132" s="17" t="s">
        <v>56</v>
      </c>
      <c r="B132" s="17" t="s">
        <v>284</v>
      </c>
      <c r="C132" s="18">
        <v>6.9444444444444441E-3</v>
      </c>
      <c r="D132" s="17" t="s">
        <v>58</v>
      </c>
      <c r="E132" s="17" t="s">
        <v>51</v>
      </c>
      <c r="F132" s="17" t="s">
        <v>347</v>
      </c>
      <c r="G132" s="195"/>
      <c r="H132" s="10"/>
      <c r="I132" s="11"/>
      <c r="J132" s="11"/>
      <c r="K132" s="11"/>
      <c r="L132" s="11"/>
      <c r="M132" s="11"/>
      <c r="N132" s="11"/>
      <c r="O132" s="12"/>
      <c r="P132" s="11"/>
      <c r="Q132" s="13"/>
      <c r="R132" s="14"/>
    </row>
    <row r="133" spans="1:18" ht="15" customHeight="1" x14ac:dyDescent="0.3">
      <c r="A133" s="15" t="s">
        <v>56</v>
      </c>
      <c r="B133" s="15" t="s">
        <v>284</v>
      </c>
      <c r="C133" s="16">
        <v>6.9444444444444441E-3</v>
      </c>
      <c r="D133" s="15" t="s">
        <v>61</v>
      </c>
      <c r="E133" s="15" t="s">
        <v>94</v>
      </c>
      <c r="F133" s="15" t="s">
        <v>348</v>
      </c>
      <c r="G133" s="195"/>
      <c r="H133" s="10"/>
      <c r="I133" s="11"/>
      <c r="J133" s="11"/>
      <c r="K133" s="11"/>
      <c r="L133" s="11"/>
      <c r="M133" s="11"/>
      <c r="N133" s="11"/>
      <c r="O133" s="12"/>
      <c r="P133" s="11"/>
      <c r="Q133" s="13"/>
      <c r="R133" s="14"/>
    </row>
    <row r="134" spans="1:18" ht="15" customHeight="1" x14ac:dyDescent="0.3">
      <c r="A134" s="19" t="s">
        <v>56</v>
      </c>
      <c r="B134" s="19" t="s">
        <v>285</v>
      </c>
      <c r="C134" s="20">
        <v>0.1423611111111111</v>
      </c>
      <c r="D134" s="19" t="s">
        <v>58</v>
      </c>
      <c r="E134" s="19" t="s">
        <v>92</v>
      </c>
      <c r="F134" s="19" t="s">
        <v>347</v>
      </c>
      <c r="G134" s="195"/>
      <c r="H134" s="10"/>
      <c r="I134" s="11"/>
      <c r="J134" s="11"/>
      <c r="K134" s="11"/>
      <c r="L134" s="11"/>
      <c r="M134" s="11"/>
      <c r="N134" s="11"/>
      <c r="O134" s="12"/>
      <c r="P134" s="11"/>
      <c r="Q134" s="13"/>
      <c r="R134" s="14"/>
    </row>
    <row r="135" spans="1:18" ht="15" customHeight="1" x14ac:dyDescent="0.3">
      <c r="A135" s="15" t="s">
        <v>56</v>
      </c>
      <c r="B135" s="15" t="s">
        <v>285</v>
      </c>
      <c r="C135" s="16">
        <v>0.1423611111111111</v>
      </c>
      <c r="D135" s="15" t="s">
        <v>61</v>
      </c>
      <c r="E135" s="15" t="s">
        <v>94</v>
      </c>
      <c r="F135" s="15" t="s">
        <v>348</v>
      </c>
      <c r="G135" s="195"/>
      <c r="H135" s="10"/>
      <c r="I135" s="11"/>
      <c r="J135" s="11"/>
      <c r="K135" s="11"/>
      <c r="L135" s="11"/>
      <c r="M135" s="11"/>
      <c r="N135" s="11"/>
      <c r="O135" s="12"/>
      <c r="P135" s="11"/>
      <c r="Q135" s="13"/>
      <c r="R135" s="14"/>
    </row>
    <row r="136" spans="1:18" ht="15" customHeight="1" x14ac:dyDescent="0.3">
      <c r="A136" s="19" t="s">
        <v>56</v>
      </c>
      <c r="B136" s="19" t="s">
        <v>286</v>
      </c>
      <c r="C136" s="20">
        <v>0.93055555555555547</v>
      </c>
      <c r="D136" s="19" t="s">
        <v>58</v>
      </c>
      <c r="E136" s="19" t="s">
        <v>349</v>
      </c>
      <c r="F136" s="19" t="s">
        <v>347</v>
      </c>
      <c r="G136" s="195"/>
      <c r="H136" s="10"/>
      <c r="I136" s="11"/>
      <c r="J136" s="11"/>
      <c r="K136" s="11"/>
      <c r="L136" s="11"/>
      <c r="M136" s="11"/>
      <c r="N136" s="11"/>
      <c r="O136" s="12"/>
      <c r="P136" s="11"/>
      <c r="Q136" s="13"/>
      <c r="R136" s="14"/>
    </row>
    <row r="137" spans="1:18" ht="15" customHeight="1" x14ac:dyDescent="0.3">
      <c r="A137" s="15" t="s">
        <v>56</v>
      </c>
      <c r="B137" s="15" t="s">
        <v>286</v>
      </c>
      <c r="C137" s="16">
        <v>0.93055555555555547</v>
      </c>
      <c r="D137" s="15" t="s">
        <v>61</v>
      </c>
      <c r="E137" s="15" t="s">
        <v>42</v>
      </c>
      <c r="F137" s="15" t="s">
        <v>348</v>
      </c>
      <c r="G137" s="195"/>
      <c r="H137" s="10"/>
      <c r="I137" s="11"/>
      <c r="J137" s="11"/>
      <c r="K137" s="11"/>
      <c r="L137" s="11"/>
      <c r="M137" s="11"/>
      <c r="N137" s="11"/>
      <c r="O137" s="12"/>
      <c r="P137" s="11"/>
      <c r="Q137" s="13"/>
      <c r="R137" s="14"/>
    </row>
    <row r="138" spans="1:18" ht="15" customHeight="1" x14ac:dyDescent="0.3">
      <c r="A138" s="19" t="s">
        <v>56</v>
      </c>
      <c r="B138" s="19" t="s">
        <v>299</v>
      </c>
      <c r="C138" s="20">
        <v>0.78819444444444453</v>
      </c>
      <c r="D138" s="19" t="s">
        <v>61</v>
      </c>
      <c r="E138" s="19" t="s">
        <v>65</v>
      </c>
      <c r="F138" s="19" t="s">
        <v>350</v>
      </c>
      <c r="G138" s="195"/>
      <c r="H138" s="10"/>
      <c r="I138" s="11"/>
      <c r="J138" s="11"/>
      <c r="K138" s="11"/>
      <c r="L138" s="11"/>
      <c r="M138" s="11"/>
      <c r="N138" s="11"/>
      <c r="O138" s="12"/>
      <c r="P138" s="11"/>
      <c r="Q138" s="13"/>
      <c r="R138" s="14"/>
    </row>
    <row r="139" spans="1:18" ht="15" customHeight="1" x14ac:dyDescent="0.3">
      <c r="A139" s="19" t="s">
        <v>56</v>
      </c>
      <c r="B139" s="19" t="s">
        <v>290</v>
      </c>
      <c r="C139" s="20">
        <v>0.88888888888888884</v>
      </c>
      <c r="D139" s="19" t="s">
        <v>61</v>
      </c>
      <c r="E139" s="19" t="s">
        <v>65</v>
      </c>
      <c r="F139" s="19" t="s">
        <v>291</v>
      </c>
      <c r="G139" s="195"/>
      <c r="H139" s="10"/>
      <c r="I139" s="11"/>
      <c r="J139" s="11"/>
      <c r="K139" s="11"/>
      <c r="L139" s="11"/>
      <c r="M139" s="11"/>
      <c r="N139" s="11"/>
      <c r="O139" s="12"/>
      <c r="P139" s="11"/>
      <c r="Q139" s="13"/>
      <c r="R139" s="14"/>
    </row>
    <row r="140" spans="1:18" ht="15" customHeight="1" x14ac:dyDescent="0.3">
      <c r="A140" s="19" t="s">
        <v>56</v>
      </c>
      <c r="B140" s="19" t="s">
        <v>298</v>
      </c>
      <c r="C140" s="20">
        <v>0.12847222222222221</v>
      </c>
      <c r="D140" s="19" t="s">
        <v>61</v>
      </c>
      <c r="E140" s="19" t="s">
        <v>65</v>
      </c>
      <c r="F140" s="19" t="s">
        <v>291</v>
      </c>
      <c r="G140" s="195"/>
      <c r="H140" s="10"/>
      <c r="I140" s="11"/>
      <c r="J140" s="11"/>
      <c r="K140" s="11"/>
      <c r="L140" s="11"/>
      <c r="M140" s="11"/>
      <c r="N140" s="11"/>
      <c r="O140" s="12"/>
      <c r="P140" s="11"/>
      <c r="Q140" s="13"/>
      <c r="R140" s="14"/>
    </row>
    <row r="141" spans="1:18" ht="15" customHeight="1" x14ac:dyDescent="0.3">
      <c r="A141" s="19" t="s">
        <v>56</v>
      </c>
      <c r="B141" s="19" t="s">
        <v>292</v>
      </c>
      <c r="C141" s="20">
        <v>0.61111111111111105</v>
      </c>
      <c r="D141" s="19" t="s">
        <v>58</v>
      </c>
      <c r="E141" s="19" t="s">
        <v>92</v>
      </c>
      <c r="F141" s="19" t="s">
        <v>351</v>
      </c>
      <c r="G141" s="195"/>
      <c r="H141" s="10"/>
      <c r="I141" s="11"/>
      <c r="J141" s="11"/>
      <c r="K141" s="11"/>
      <c r="L141" s="11"/>
      <c r="M141" s="11"/>
      <c r="N141" s="11"/>
      <c r="O141" s="12"/>
      <c r="P141" s="11"/>
      <c r="Q141" s="13"/>
      <c r="R141" s="14"/>
    </row>
    <row r="142" spans="1:18" ht="15" customHeight="1" x14ac:dyDescent="0.3">
      <c r="A142" s="15" t="s">
        <v>56</v>
      </c>
      <c r="B142" s="15" t="s">
        <v>292</v>
      </c>
      <c r="C142" s="16">
        <v>0.61111111111111105</v>
      </c>
      <c r="D142" s="15" t="s">
        <v>61</v>
      </c>
      <c r="E142" s="15" t="s">
        <v>94</v>
      </c>
      <c r="F142" s="15" t="s">
        <v>352</v>
      </c>
      <c r="G142" s="195"/>
      <c r="H142" s="10"/>
      <c r="I142" s="11"/>
      <c r="J142" s="11"/>
      <c r="K142" s="11"/>
      <c r="L142" s="11"/>
      <c r="M142" s="11"/>
      <c r="N142" s="11"/>
      <c r="O142" s="12"/>
      <c r="P142" s="11"/>
      <c r="Q142" s="13"/>
      <c r="R142" s="14"/>
    </row>
    <row r="143" spans="1:18" ht="15" customHeight="1" x14ac:dyDescent="0.3">
      <c r="A143" s="19" t="s">
        <v>56</v>
      </c>
      <c r="B143" s="19" t="s">
        <v>287</v>
      </c>
      <c r="C143" s="20">
        <v>0.23958333333333329</v>
      </c>
      <c r="D143" s="19" t="s">
        <v>58</v>
      </c>
      <c r="E143" s="19" t="s">
        <v>88</v>
      </c>
      <c r="F143" s="19" t="s">
        <v>351</v>
      </c>
      <c r="G143" s="195"/>
      <c r="H143" s="10"/>
      <c r="I143" s="11"/>
      <c r="J143" s="11"/>
      <c r="K143" s="11"/>
      <c r="L143" s="11"/>
      <c r="M143" s="11"/>
      <c r="N143" s="11"/>
      <c r="O143" s="12"/>
      <c r="P143" s="11"/>
      <c r="Q143" s="13"/>
      <c r="R143" s="14"/>
    </row>
    <row r="144" spans="1:18" ht="15" customHeight="1" x14ac:dyDescent="0.3">
      <c r="A144" s="15" t="s">
        <v>56</v>
      </c>
      <c r="B144" s="15" t="s">
        <v>287</v>
      </c>
      <c r="C144" s="16">
        <v>0.23958333333333329</v>
      </c>
      <c r="D144" s="15" t="s">
        <v>61</v>
      </c>
      <c r="E144" s="15" t="s">
        <v>228</v>
      </c>
      <c r="F144" s="15" t="s">
        <v>352</v>
      </c>
      <c r="G144" s="195"/>
      <c r="H144" s="10"/>
      <c r="I144" s="11"/>
      <c r="J144" s="11"/>
      <c r="K144" s="11"/>
      <c r="L144" s="11"/>
      <c r="M144" s="11"/>
      <c r="N144" s="11"/>
      <c r="O144" s="12"/>
      <c r="P144" s="11"/>
      <c r="Q144" s="13"/>
      <c r="R144" s="14"/>
    </row>
    <row r="145" spans="1:18" ht="15" customHeight="1" x14ac:dyDescent="0.3">
      <c r="A145" s="19" t="s">
        <v>56</v>
      </c>
      <c r="B145" s="19" t="s">
        <v>295</v>
      </c>
      <c r="C145" s="20">
        <v>0.82986111111111116</v>
      </c>
      <c r="D145" s="19" t="s">
        <v>353</v>
      </c>
      <c r="E145" s="19" t="s">
        <v>92</v>
      </c>
      <c r="F145" s="19" t="s">
        <v>351</v>
      </c>
      <c r="G145" s="195"/>
      <c r="H145" s="10"/>
      <c r="I145" s="11"/>
      <c r="J145" s="11"/>
      <c r="K145" s="11"/>
      <c r="L145" s="11"/>
      <c r="M145" s="11"/>
      <c r="N145" s="11"/>
      <c r="O145" s="12"/>
      <c r="P145" s="11"/>
      <c r="Q145" s="13"/>
      <c r="R145" s="14"/>
    </row>
    <row r="146" spans="1:18" ht="15" customHeight="1" x14ac:dyDescent="0.3">
      <c r="A146" s="15" t="s">
        <v>56</v>
      </c>
      <c r="B146" s="15" t="s">
        <v>295</v>
      </c>
      <c r="C146" s="16">
        <v>0.82986111111111116</v>
      </c>
      <c r="D146" s="15" t="s">
        <v>58</v>
      </c>
      <c r="E146" s="15" t="s">
        <v>94</v>
      </c>
      <c r="F146" s="15" t="s">
        <v>351</v>
      </c>
      <c r="G146" s="195"/>
      <c r="H146" s="10"/>
      <c r="I146" s="11"/>
      <c r="J146" s="11"/>
      <c r="K146" s="11"/>
      <c r="L146" s="11"/>
      <c r="M146" s="11"/>
      <c r="N146" s="11"/>
      <c r="O146" s="12"/>
      <c r="P146" s="11"/>
      <c r="Q146" s="13"/>
      <c r="R146" s="14"/>
    </row>
    <row r="147" spans="1:18" ht="15" customHeight="1" x14ac:dyDescent="0.3">
      <c r="A147" s="15" t="s">
        <v>56</v>
      </c>
      <c r="B147" s="15" t="s">
        <v>295</v>
      </c>
      <c r="C147" s="16">
        <v>0.82986111111111116</v>
      </c>
      <c r="D147" s="15" t="s">
        <v>61</v>
      </c>
      <c r="E147" s="15" t="s">
        <v>94</v>
      </c>
      <c r="F147" s="15" t="s">
        <v>352</v>
      </c>
      <c r="G147" s="195"/>
      <c r="H147" s="10"/>
      <c r="I147" s="11"/>
      <c r="J147" s="11"/>
      <c r="K147" s="11"/>
      <c r="L147" s="11"/>
      <c r="M147" s="11"/>
      <c r="N147" s="11"/>
      <c r="O147" s="12"/>
      <c r="P147" s="11"/>
      <c r="Q147" s="13"/>
      <c r="R147" s="14"/>
    </row>
    <row r="148" spans="1:18" ht="15" customHeight="1" x14ac:dyDescent="0.3">
      <c r="A148" s="19" t="s">
        <v>56</v>
      </c>
      <c r="B148" s="19" t="s">
        <v>296</v>
      </c>
      <c r="C148" s="20">
        <v>0.30208333333333331</v>
      </c>
      <c r="D148" s="19" t="s">
        <v>61</v>
      </c>
      <c r="E148" s="19" t="s">
        <v>65</v>
      </c>
      <c r="F148" s="19" t="s">
        <v>297</v>
      </c>
      <c r="G148" s="195"/>
      <c r="H148" s="10"/>
      <c r="I148" s="11"/>
      <c r="J148" s="11"/>
      <c r="K148" s="11"/>
      <c r="L148" s="11"/>
      <c r="M148" s="11"/>
      <c r="N148" s="11"/>
      <c r="O148" s="12"/>
      <c r="P148" s="11"/>
      <c r="Q148" s="13"/>
      <c r="R148" s="14"/>
    </row>
    <row r="149" spans="1:18" ht="15" customHeight="1" x14ac:dyDescent="0.3">
      <c r="A149" s="19" t="s">
        <v>56</v>
      </c>
      <c r="B149" s="19" t="s">
        <v>283</v>
      </c>
      <c r="C149" s="20">
        <v>0.71875</v>
      </c>
      <c r="D149" s="19" t="s">
        <v>58</v>
      </c>
      <c r="E149" s="19" t="s">
        <v>72</v>
      </c>
      <c r="F149" s="19" t="s">
        <v>354</v>
      </c>
      <c r="G149" s="195"/>
      <c r="H149" s="10"/>
      <c r="I149" s="11"/>
      <c r="J149" s="11"/>
      <c r="K149" s="11"/>
      <c r="L149" s="11"/>
      <c r="M149" s="11"/>
      <c r="N149" s="11"/>
      <c r="O149" s="12"/>
      <c r="P149" s="11"/>
      <c r="Q149" s="13"/>
      <c r="R149" s="14"/>
    </row>
    <row r="150" spans="1:18" ht="15" customHeight="1" thickBot="1" x14ac:dyDescent="0.35">
      <c r="A150" s="49" t="s">
        <v>56</v>
      </c>
      <c r="B150" s="49" t="s">
        <v>283</v>
      </c>
      <c r="C150" s="50">
        <v>0.71875</v>
      </c>
      <c r="D150" s="49" t="s">
        <v>61</v>
      </c>
      <c r="E150" s="49" t="s">
        <v>62</v>
      </c>
      <c r="F150" s="49" t="s">
        <v>355</v>
      </c>
      <c r="G150" s="196"/>
      <c r="H150" s="51"/>
      <c r="I150" s="52"/>
      <c r="J150" s="52"/>
      <c r="K150" s="52"/>
      <c r="L150" s="52"/>
      <c r="M150" s="52"/>
      <c r="N150" s="52"/>
      <c r="O150" s="53"/>
      <c r="P150" s="52"/>
      <c r="Q150" s="54"/>
      <c r="R150" s="55"/>
    </row>
    <row r="151" spans="1:18" ht="17.399999999999999" customHeight="1" thickBot="1" x14ac:dyDescent="0.35">
      <c r="A151" s="222"/>
      <c r="B151" s="223"/>
      <c r="C151" s="223"/>
      <c r="D151" s="223"/>
      <c r="E151" s="223"/>
      <c r="F151" s="223"/>
      <c r="G151" s="223"/>
      <c r="H151" s="223"/>
      <c r="I151" s="223"/>
      <c r="J151" s="223"/>
      <c r="K151" s="223"/>
      <c r="L151" s="223"/>
      <c r="M151" s="223"/>
      <c r="N151" s="223"/>
      <c r="O151" s="223"/>
      <c r="P151" s="223"/>
      <c r="Q151" s="223"/>
      <c r="R151" s="224"/>
    </row>
    <row r="152" spans="1:18" ht="22.05" customHeight="1" thickTop="1" thickBot="1" x14ac:dyDescent="0.35">
      <c r="A152" s="193" t="s">
        <v>6</v>
      </c>
      <c r="B152" s="191"/>
      <c r="C152" s="191"/>
      <c r="D152" s="191"/>
      <c r="E152" s="191"/>
      <c r="F152" s="192"/>
      <c r="G152" s="31">
        <v>45985</v>
      </c>
      <c r="H152" s="190" t="s">
        <v>7</v>
      </c>
      <c r="I152" s="191"/>
      <c r="J152" s="191"/>
      <c r="K152" s="191"/>
      <c r="L152" s="191"/>
      <c r="M152" s="191"/>
      <c r="N152" s="191"/>
      <c r="O152" s="191"/>
      <c r="P152" s="191"/>
      <c r="Q152" s="191"/>
      <c r="R152" s="192"/>
    </row>
    <row r="153" spans="1:18" ht="24" customHeight="1" x14ac:dyDescent="0.3">
      <c r="A153" s="32" t="s">
        <v>8</v>
      </c>
      <c r="B153" s="32" t="s">
        <v>9</v>
      </c>
      <c r="C153" s="33" t="s">
        <v>10</v>
      </c>
      <c r="D153" s="32" t="s">
        <v>11</v>
      </c>
      <c r="E153" s="32" t="s">
        <v>12</v>
      </c>
      <c r="F153" s="34" t="s">
        <v>13</v>
      </c>
      <c r="G153" s="35" t="s">
        <v>14</v>
      </c>
      <c r="H153" s="32" t="s">
        <v>15</v>
      </c>
      <c r="I153" s="36" t="s">
        <v>16</v>
      </c>
      <c r="J153" s="37" t="s">
        <v>17</v>
      </c>
      <c r="K153" s="38" t="s">
        <v>18</v>
      </c>
      <c r="L153" s="37" t="s">
        <v>19</v>
      </c>
      <c r="M153" s="37" t="s">
        <v>20</v>
      </c>
      <c r="N153" s="37" t="s">
        <v>21</v>
      </c>
      <c r="O153" s="32" t="s">
        <v>22</v>
      </c>
      <c r="P153" s="33" t="s">
        <v>23</v>
      </c>
      <c r="Q153" s="37" t="s">
        <v>24</v>
      </c>
      <c r="R153" s="32" t="s">
        <v>25</v>
      </c>
    </row>
    <row r="154" spans="1:18" ht="15" customHeight="1" x14ac:dyDescent="0.3">
      <c r="A154" s="8" t="s">
        <v>260</v>
      </c>
      <c r="B154" s="8" t="s">
        <v>261</v>
      </c>
      <c r="C154" s="9">
        <v>0.66666666666666663</v>
      </c>
      <c r="D154" s="8" t="s">
        <v>262</v>
      </c>
      <c r="E154" s="8" t="s">
        <v>227</v>
      </c>
      <c r="F154" s="8" t="s">
        <v>356</v>
      </c>
      <c r="G154" s="194"/>
      <c r="H154" s="10"/>
      <c r="I154" s="11"/>
      <c r="J154" s="11"/>
      <c r="K154" s="11"/>
      <c r="L154" s="11"/>
      <c r="M154" s="11"/>
      <c r="N154" s="11"/>
      <c r="O154" s="12"/>
      <c r="P154" s="11"/>
      <c r="Q154" s="13"/>
      <c r="R154" s="14"/>
    </row>
    <row r="155" spans="1:18" ht="15" customHeight="1" x14ac:dyDescent="0.3">
      <c r="A155" s="19" t="s">
        <v>260</v>
      </c>
      <c r="B155" s="19" t="s">
        <v>327</v>
      </c>
      <c r="C155" s="20">
        <v>0.3125</v>
      </c>
      <c r="D155" s="19" t="s">
        <v>262</v>
      </c>
      <c r="E155" s="19" t="s">
        <v>92</v>
      </c>
      <c r="F155" s="19" t="s">
        <v>356</v>
      </c>
      <c r="G155" s="195"/>
      <c r="H155" s="10"/>
      <c r="I155" s="11"/>
      <c r="J155" s="11"/>
      <c r="K155" s="11"/>
      <c r="L155" s="11"/>
      <c r="M155" s="11"/>
      <c r="N155" s="11"/>
      <c r="O155" s="12"/>
      <c r="P155" s="11"/>
      <c r="Q155" s="13"/>
      <c r="R155" s="14"/>
    </row>
    <row r="156" spans="1:18" ht="15" customHeight="1" x14ac:dyDescent="0.3">
      <c r="A156" s="17" t="s">
        <v>26</v>
      </c>
      <c r="B156" s="17" t="s">
        <v>226</v>
      </c>
      <c r="C156" s="18">
        <v>0.12847222222222221</v>
      </c>
      <c r="D156" s="17" t="s">
        <v>28</v>
      </c>
      <c r="E156" s="17" t="s">
        <v>39</v>
      </c>
      <c r="F156" s="17" t="s">
        <v>357</v>
      </c>
      <c r="G156" s="195"/>
      <c r="H156" s="10"/>
      <c r="I156" s="11"/>
      <c r="J156" s="11"/>
      <c r="K156" s="11"/>
      <c r="L156" s="11"/>
      <c r="M156" s="11"/>
      <c r="N156" s="11"/>
      <c r="O156" s="12"/>
      <c r="P156" s="11"/>
      <c r="Q156" s="13"/>
      <c r="R156" s="14"/>
    </row>
    <row r="157" spans="1:18" ht="15" customHeight="1" x14ac:dyDescent="0.3">
      <c r="A157" s="15" t="s">
        <v>26</v>
      </c>
      <c r="B157" s="15" t="s">
        <v>226</v>
      </c>
      <c r="C157" s="16">
        <v>0.12847222222222221</v>
      </c>
      <c r="D157" s="15" t="s">
        <v>31</v>
      </c>
      <c r="E157" s="15" t="s">
        <v>42</v>
      </c>
      <c r="F157" s="15" t="s">
        <v>40</v>
      </c>
      <c r="G157" s="195"/>
      <c r="H157" s="10"/>
      <c r="I157" s="11"/>
      <c r="J157" s="11"/>
      <c r="K157" s="11"/>
      <c r="L157" s="11"/>
      <c r="M157" s="11"/>
      <c r="N157" s="11"/>
      <c r="O157" s="12"/>
      <c r="P157" s="11"/>
      <c r="Q157" s="13"/>
      <c r="R157" s="14"/>
    </row>
    <row r="158" spans="1:18" ht="15" customHeight="1" x14ac:dyDescent="0.3">
      <c r="A158" s="15" t="s">
        <v>26</v>
      </c>
      <c r="B158" s="15" t="s">
        <v>226</v>
      </c>
      <c r="C158" s="16">
        <v>0.12847222222222221</v>
      </c>
      <c r="D158" s="15" t="s">
        <v>34</v>
      </c>
      <c r="E158" s="15" t="s">
        <v>42</v>
      </c>
      <c r="F158" s="15" t="s">
        <v>81</v>
      </c>
      <c r="G158" s="195"/>
      <c r="H158" s="10"/>
      <c r="I158" s="11"/>
      <c r="J158" s="11"/>
      <c r="K158" s="11"/>
      <c r="L158" s="11"/>
      <c r="M158" s="11"/>
      <c r="N158" s="11"/>
      <c r="O158" s="12"/>
      <c r="P158" s="11"/>
      <c r="Q158" s="13"/>
      <c r="R158" s="14"/>
    </row>
    <row r="159" spans="1:18" ht="15" customHeight="1" x14ac:dyDescent="0.3">
      <c r="A159" s="19" t="s">
        <v>26</v>
      </c>
      <c r="B159" s="19" t="s">
        <v>234</v>
      </c>
      <c r="C159" s="20">
        <v>0.30208333333333331</v>
      </c>
      <c r="D159" s="19" t="s">
        <v>28</v>
      </c>
      <c r="E159" s="19" t="s">
        <v>243</v>
      </c>
      <c r="F159" s="19" t="s">
        <v>358</v>
      </c>
      <c r="G159" s="195"/>
      <c r="H159" s="10"/>
      <c r="I159" s="11"/>
      <c r="J159" s="11"/>
      <c r="K159" s="11"/>
      <c r="L159" s="11"/>
      <c r="M159" s="11"/>
      <c r="N159" s="11"/>
      <c r="O159" s="12"/>
      <c r="P159" s="11"/>
      <c r="Q159" s="13"/>
      <c r="R159" s="14"/>
    </row>
    <row r="160" spans="1:18" ht="15" customHeight="1" x14ac:dyDescent="0.3">
      <c r="A160" s="15" t="s">
        <v>26</v>
      </c>
      <c r="B160" s="15" t="s">
        <v>234</v>
      </c>
      <c r="C160" s="16">
        <v>0.30208333333333331</v>
      </c>
      <c r="D160" s="15" t="s">
        <v>31</v>
      </c>
      <c r="E160" s="15" t="s">
        <v>244</v>
      </c>
      <c r="F160" s="15" t="s">
        <v>320</v>
      </c>
      <c r="G160" s="195"/>
      <c r="H160" s="10"/>
      <c r="I160" s="11"/>
      <c r="J160" s="11"/>
      <c r="K160" s="11"/>
      <c r="L160" s="11"/>
      <c r="M160" s="11"/>
      <c r="N160" s="11"/>
      <c r="O160" s="12"/>
      <c r="P160" s="11"/>
      <c r="Q160" s="13"/>
      <c r="R160" s="14"/>
    </row>
    <row r="161" spans="1:18" ht="15" customHeight="1" x14ac:dyDescent="0.3">
      <c r="A161" s="15" t="s">
        <v>26</v>
      </c>
      <c r="B161" s="15" t="s">
        <v>234</v>
      </c>
      <c r="C161" s="16">
        <v>0.30208333333333331</v>
      </c>
      <c r="D161" s="15" t="s">
        <v>34</v>
      </c>
      <c r="E161" s="15" t="s">
        <v>244</v>
      </c>
      <c r="F161" s="15" t="s">
        <v>81</v>
      </c>
      <c r="G161" s="195"/>
      <c r="H161" s="10"/>
      <c r="I161" s="11"/>
      <c r="J161" s="11"/>
      <c r="K161" s="11"/>
      <c r="L161" s="11"/>
      <c r="M161" s="11"/>
      <c r="N161" s="11"/>
      <c r="O161" s="12"/>
      <c r="P161" s="11"/>
      <c r="Q161" s="13"/>
      <c r="R161" s="14"/>
    </row>
    <row r="162" spans="1:18" ht="15" customHeight="1" x14ac:dyDescent="0.3">
      <c r="A162" s="19" t="s">
        <v>26</v>
      </c>
      <c r="B162" s="19" t="s">
        <v>231</v>
      </c>
      <c r="C162" s="20">
        <v>0.88888888888888884</v>
      </c>
      <c r="D162" s="19" t="s">
        <v>28</v>
      </c>
      <c r="E162" s="19" t="s">
        <v>349</v>
      </c>
      <c r="F162" s="19" t="s">
        <v>358</v>
      </c>
      <c r="G162" s="195"/>
      <c r="H162" s="10"/>
      <c r="I162" s="11"/>
      <c r="J162" s="11"/>
      <c r="K162" s="11"/>
      <c r="L162" s="11"/>
      <c r="M162" s="11"/>
      <c r="N162" s="11"/>
      <c r="O162" s="12"/>
      <c r="P162" s="11"/>
      <c r="Q162" s="13"/>
      <c r="R162" s="14"/>
    </row>
    <row r="163" spans="1:18" ht="15" customHeight="1" x14ac:dyDescent="0.3">
      <c r="A163" s="15" t="s">
        <v>26</v>
      </c>
      <c r="B163" s="15" t="s">
        <v>231</v>
      </c>
      <c r="C163" s="16">
        <v>0.88888888888888884</v>
      </c>
      <c r="D163" s="15" t="s">
        <v>31</v>
      </c>
      <c r="E163" s="15" t="s">
        <v>42</v>
      </c>
      <c r="F163" s="15" t="s">
        <v>320</v>
      </c>
      <c r="G163" s="195"/>
      <c r="H163" s="10"/>
      <c r="I163" s="11"/>
      <c r="J163" s="11"/>
      <c r="K163" s="11"/>
      <c r="L163" s="11"/>
      <c r="M163" s="11"/>
      <c r="N163" s="11"/>
      <c r="O163" s="12"/>
      <c r="P163" s="11"/>
      <c r="Q163" s="13"/>
      <c r="R163" s="14"/>
    </row>
    <row r="164" spans="1:18" ht="15" customHeight="1" x14ac:dyDescent="0.3">
      <c r="A164" s="15" t="s">
        <v>26</v>
      </c>
      <c r="B164" s="15" t="s">
        <v>231</v>
      </c>
      <c r="C164" s="16">
        <v>0.88888888888888884</v>
      </c>
      <c r="D164" s="15" t="s">
        <v>34</v>
      </c>
      <c r="E164" s="15" t="s">
        <v>42</v>
      </c>
      <c r="F164" s="15" t="s">
        <v>81</v>
      </c>
      <c r="G164" s="195"/>
      <c r="H164" s="10"/>
      <c r="I164" s="11"/>
      <c r="J164" s="11"/>
      <c r="K164" s="11"/>
      <c r="L164" s="11"/>
      <c r="M164" s="11"/>
      <c r="N164" s="11"/>
      <c r="O164" s="12"/>
      <c r="P164" s="11"/>
      <c r="Q164" s="13"/>
      <c r="R164" s="14"/>
    </row>
    <row r="165" spans="1:18" ht="15" customHeight="1" x14ac:dyDescent="0.3">
      <c r="A165" s="19" t="s">
        <v>26</v>
      </c>
      <c r="B165" s="19" t="s">
        <v>230</v>
      </c>
      <c r="C165" s="20">
        <v>0.78819444444444453</v>
      </c>
      <c r="D165" s="19" t="s">
        <v>28</v>
      </c>
      <c r="E165" s="19" t="s">
        <v>88</v>
      </c>
      <c r="F165" s="19" t="s">
        <v>107</v>
      </c>
      <c r="G165" s="195"/>
      <c r="H165" s="10"/>
      <c r="I165" s="11"/>
      <c r="J165" s="11"/>
      <c r="K165" s="11"/>
      <c r="L165" s="11"/>
      <c r="M165" s="11"/>
      <c r="N165" s="11"/>
      <c r="O165" s="12"/>
      <c r="P165" s="11"/>
      <c r="Q165" s="13"/>
      <c r="R165" s="14"/>
    </row>
    <row r="166" spans="1:18" ht="15" customHeight="1" x14ac:dyDescent="0.3">
      <c r="A166" s="15" t="s">
        <v>26</v>
      </c>
      <c r="B166" s="15" t="s">
        <v>230</v>
      </c>
      <c r="C166" s="16">
        <v>0.78819444444444453</v>
      </c>
      <c r="D166" s="15" t="s">
        <v>31</v>
      </c>
      <c r="E166" s="15" t="s">
        <v>228</v>
      </c>
      <c r="F166" s="15" t="s">
        <v>229</v>
      </c>
      <c r="G166" s="195"/>
      <c r="H166" s="10"/>
      <c r="I166" s="11"/>
      <c r="J166" s="11"/>
      <c r="K166" s="11"/>
      <c r="L166" s="11"/>
      <c r="M166" s="11"/>
      <c r="N166" s="11"/>
      <c r="O166" s="12"/>
      <c r="P166" s="11"/>
      <c r="Q166" s="13"/>
      <c r="R166" s="14"/>
    </row>
    <row r="167" spans="1:18" ht="15" customHeight="1" x14ac:dyDescent="0.3">
      <c r="A167" s="15" t="s">
        <v>26</v>
      </c>
      <c r="B167" s="15" t="s">
        <v>230</v>
      </c>
      <c r="C167" s="16">
        <v>0.78819444444444453</v>
      </c>
      <c r="D167" s="15" t="s">
        <v>34</v>
      </c>
      <c r="E167" s="15" t="s">
        <v>228</v>
      </c>
      <c r="F167" s="15" t="s">
        <v>81</v>
      </c>
      <c r="G167" s="195"/>
      <c r="H167" s="10"/>
      <c r="I167" s="11"/>
      <c r="J167" s="11"/>
      <c r="K167" s="11"/>
      <c r="L167" s="11"/>
      <c r="M167" s="11"/>
      <c r="N167" s="11"/>
      <c r="O167" s="12"/>
      <c r="P167" s="11"/>
      <c r="Q167" s="13"/>
      <c r="R167" s="14"/>
    </row>
    <row r="168" spans="1:18" ht="15" customHeight="1" x14ac:dyDescent="0.3">
      <c r="A168" s="17" t="s">
        <v>48</v>
      </c>
      <c r="B168" s="17" t="s">
        <v>307</v>
      </c>
      <c r="C168" s="18">
        <v>0.14583333333333329</v>
      </c>
      <c r="D168" s="17" t="s">
        <v>353</v>
      </c>
      <c r="E168" s="17" t="s">
        <v>51</v>
      </c>
      <c r="F168" s="17" t="s">
        <v>359</v>
      </c>
      <c r="G168" s="195"/>
      <c r="H168" s="10"/>
      <c r="I168" s="11"/>
      <c r="J168" s="11"/>
      <c r="K168" s="11"/>
      <c r="L168" s="11"/>
      <c r="M168" s="11"/>
      <c r="N168" s="11"/>
      <c r="O168" s="12"/>
      <c r="P168" s="11"/>
      <c r="Q168" s="13"/>
      <c r="R168" s="14"/>
    </row>
    <row r="169" spans="1:18" ht="15" customHeight="1" x14ac:dyDescent="0.3">
      <c r="A169" s="19" t="s">
        <v>48</v>
      </c>
      <c r="B169" s="19" t="s">
        <v>302</v>
      </c>
      <c r="C169" s="20">
        <v>0.22916666666666671</v>
      </c>
      <c r="D169" s="19" t="s">
        <v>50</v>
      </c>
      <c r="E169" s="19" t="s">
        <v>92</v>
      </c>
      <c r="F169" s="19" t="s">
        <v>360</v>
      </c>
      <c r="G169" s="195"/>
      <c r="H169" s="10"/>
      <c r="I169" s="11"/>
      <c r="J169" s="11"/>
      <c r="K169" s="11"/>
      <c r="L169" s="11"/>
      <c r="M169" s="11"/>
      <c r="N169" s="11"/>
      <c r="O169" s="12"/>
      <c r="P169" s="11"/>
      <c r="Q169" s="13"/>
      <c r="R169" s="14"/>
    </row>
    <row r="170" spans="1:18" ht="15" customHeight="1" x14ac:dyDescent="0.3">
      <c r="A170" s="19" t="s">
        <v>48</v>
      </c>
      <c r="B170" s="19" t="s">
        <v>303</v>
      </c>
      <c r="C170" s="20">
        <v>1.388888888888889E-2</v>
      </c>
      <c r="D170" s="19" t="s">
        <v>50</v>
      </c>
      <c r="E170" s="19" t="s">
        <v>92</v>
      </c>
      <c r="F170" s="19" t="s">
        <v>361</v>
      </c>
      <c r="G170" s="195"/>
      <c r="H170" s="10"/>
      <c r="I170" s="11"/>
      <c r="J170" s="11"/>
      <c r="K170" s="11"/>
      <c r="L170" s="11"/>
      <c r="M170" s="11"/>
      <c r="N170" s="11"/>
      <c r="O170" s="12"/>
      <c r="P170" s="11"/>
      <c r="Q170" s="13"/>
      <c r="R170" s="14"/>
    </row>
    <row r="171" spans="1:18" ht="15" customHeight="1" x14ac:dyDescent="0.3">
      <c r="A171" s="19" t="s">
        <v>48</v>
      </c>
      <c r="B171" s="19" t="s">
        <v>308</v>
      </c>
      <c r="C171" s="20">
        <v>0.55208333333333337</v>
      </c>
      <c r="D171" s="19" t="s">
        <v>50</v>
      </c>
      <c r="E171" s="19" t="s">
        <v>92</v>
      </c>
      <c r="F171" s="19" t="s">
        <v>362</v>
      </c>
      <c r="G171" s="195"/>
      <c r="H171" s="10"/>
      <c r="I171" s="11"/>
      <c r="J171" s="11"/>
      <c r="K171" s="11"/>
      <c r="L171" s="11"/>
      <c r="M171" s="11"/>
      <c r="N171" s="11"/>
      <c r="O171" s="12"/>
      <c r="P171" s="11"/>
      <c r="Q171" s="13"/>
      <c r="R171" s="14"/>
    </row>
    <row r="172" spans="1:18" ht="15" customHeight="1" x14ac:dyDescent="0.3">
      <c r="A172" s="19" t="s">
        <v>48</v>
      </c>
      <c r="B172" s="19" t="s">
        <v>300</v>
      </c>
      <c r="C172" s="20">
        <v>0.27777777777777779</v>
      </c>
      <c r="D172" s="19" t="s">
        <v>50</v>
      </c>
      <c r="E172" s="19" t="s">
        <v>92</v>
      </c>
      <c r="F172" s="19" t="s">
        <v>363</v>
      </c>
      <c r="G172" s="195"/>
      <c r="H172" s="10"/>
      <c r="I172" s="11"/>
      <c r="J172" s="11"/>
      <c r="K172" s="11"/>
      <c r="L172" s="11"/>
      <c r="M172" s="11"/>
      <c r="N172" s="11"/>
      <c r="O172" s="12"/>
      <c r="P172" s="11"/>
      <c r="Q172" s="13"/>
      <c r="R172" s="14"/>
    </row>
    <row r="173" spans="1:18" ht="15" customHeight="1" x14ac:dyDescent="0.3">
      <c r="A173" s="19" t="s">
        <v>48</v>
      </c>
      <c r="B173" s="19" t="s">
        <v>310</v>
      </c>
      <c r="C173" s="20">
        <v>0.77430555555555547</v>
      </c>
      <c r="D173" s="19" t="s">
        <v>50</v>
      </c>
      <c r="E173" s="19" t="s">
        <v>92</v>
      </c>
      <c r="F173" s="19" t="s">
        <v>301</v>
      </c>
      <c r="G173" s="195"/>
      <c r="H173" s="10"/>
      <c r="I173" s="11"/>
      <c r="J173" s="11"/>
      <c r="K173" s="11"/>
      <c r="L173" s="11"/>
      <c r="M173" s="11"/>
      <c r="N173" s="11"/>
      <c r="O173" s="12"/>
      <c r="P173" s="11"/>
      <c r="Q173" s="13"/>
      <c r="R173" s="14"/>
    </row>
    <row r="174" spans="1:18" ht="15" customHeight="1" x14ac:dyDescent="0.3">
      <c r="A174" s="19" t="s">
        <v>48</v>
      </c>
      <c r="B174" s="19" t="s">
        <v>309</v>
      </c>
      <c r="C174" s="20">
        <v>0.95833333333333337</v>
      </c>
      <c r="D174" s="19" t="s">
        <v>50</v>
      </c>
      <c r="E174" s="19" t="s">
        <v>65</v>
      </c>
      <c r="F174" s="19" t="s">
        <v>306</v>
      </c>
      <c r="G174" s="195"/>
      <c r="H174" s="10"/>
      <c r="I174" s="11"/>
      <c r="J174" s="11"/>
      <c r="K174" s="11"/>
      <c r="L174" s="11"/>
      <c r="M174" s="11"/>
      <c r="N174" s="11"/>
      <c r="O174" s="12"/>
      <c r="P174" s="11"/>
      <c r="Q174" s="13"/>
      <c r="R174" s="14"/>
    </row>
    <row r="175" spans="1:18" ht="15" customHeight="1" x14ac:dyDescent="0.3">
      <c r="A175" s="17" t="s">
        <v>36</v>
      </c>
      <c r="B175" s="17" t="s">
        <v>241</v>
      </c>
      <c r="C175" s="18">
        <v>0.90277777777777779</v>
      </c>
      <c r="D175" s="17" t="s">
        <v>38</v>
      </c>
      <c r="E175" s="17" t="s">
        <v>268</v>
      </c>
      <c r="F175" s="17" t="s">
        <v>364</v>
      </c>
      <c r="G175" s="195"/>
      <c r="H175" s="10"/>
      <c r="I175" s="11"/>
      <c r="J175" s="11"/>
      <c r="K175" s="11"/>
      <c r="L175" s="11"/>
      <c r="M175" s="11"/>
      <c r="N175" s="11"/>
      <c r="O175" s="12"/>
      <c r="P175" s="11"/>
      <c r="Q175" s="13"/>
      <c r="R175" s="14"/>
    </row>
    <row r="176" spans="1:18" ht="15" customHeight="1" x14ac:dyDescent="0.3">
      <c r="A176" s="15" t="s">
        <v>36</v>
      </c>
      <c r="B176" s="15" t="s">
        <v>241</v>
      </c>
      <c r="C176" s="16">
        <v>0.90277777777777779</v>
      </c>
      <c r="D176" s="15" t="s">
        <v>41</v>
      </c>
      <c r="E176" s="15" t="s">
        <v>244</v>
      </c>
      <c r="F176" s="15" t="s">
        <v>40</v>
      </c>
      <c r="G176" s="195"/>
      <c r="H176" s="10"/>
      <c r="I176" s="11"/>
      <c r="J176" s="11"/>
      <c r="K176" s="11"/>
      <c r="L176" s="11"/>
      <c r="M176" s="11"/>
      <c r="N176" s="11"/>
      <c r="O176" s="12"/>
      <c r="P176" s="11"/>
      <c r="Q176" s="13"/>
      <c r="R176" s="14"/>
    </row>
    <row r="177" spans="1:18" ht="15" customHeight="1" x14ac:dyDescent="0.3">
      <c r="A177" s="15" t="s">
        <v>36</v>
      </c>
      <c r="B177" s="15" t="s">
        <v>241</v>
      </c>
      <c r="C177" s="16">
        <v>0.90277777777777779</v>
      </c>
      <c r="D177" s="15" t="s">
        <v>43</v>
      </c>
      <c r="E177" s="15" t="s">
        <v>244</v>
      </c>
      <c r="F177" s="15" t="s">
        <v>365</v>
      </c>
      <c r="G177" s="195"/>
      <c r="H177" s="10"/>
      <c r="I177" s="11"/>
      <c r="J177" s="11"/>
      <c r="K177" s="11"/>
      <c r="L177" s="11"/>
      <c r="M177" s="11"/>
      <c r="N177" s="11"/>
      <c r="O177" s="12"/>
      <c r="P177" s="11"/>
      <c r="Q177" s="13"/>
      <c r="R177" s="14"/>
    </row>
    <row r="178" spans="1:18" ht="15" customHeight="1" x14ac:dyDescent="0.3">
      <c r="A178" s="19" t="s">
        <v>36</v>
      </c>
      <c r="B178" s="19" t="s">
        <v>245</v>
      </c>
      <c r="C178" s="20">
        <v>0.85416666666666663</v>
      </c>
      <c r="D178" s="19" t="s">
        <v>38</v>
      </c>
      <c r="E178" s="19" t="s">
        <v>72</v>
      </c>
      <c r="F178" s="19" t="s">
        <v>364</v>
      </c>
      <c r="G178" s="195"/>
      <c r="H178" s="10"/>
      <c r="I178" s="11"/>
      <c r="J178" s="11"/>
      <c r="K178" s="11"/>
      <c r="L178" s="11"/>
      <c r="M178" s="11"/>
      <c r="N178" s="11"/>
      <c r="O178" s="12"/>
      <c r="P178" s="11"/>
      <c r="Q178" s="13"/>
      <c r="R178" s="14"/>
    </row>
    <row r="179" spans="1:18" ht="15" customHeight="1" x14ac:dyDescent="0.3">
      <c r="A179" s="15" t="s">
        <v>36</v>
      </c>
      <c r="B179" s="15" t="s">
        <v>245</v>
      </c>
      <c r="C179" s="16">
        <v>0.85416666666666663</v>
      </c>
      <c r="D179" s="15" t="s">
        <v>41</v>
      </c>
      <c r="E179" s="15" t="s">
        <v>62</v>
      </c>
      <c r="F179" s="15" t="s">
        <v>40</v>
      </c>
      <c r="G179" s="195"/>
      <c r="H179" s="10"/>
      <c r="I179" s="11"/>
      <c r="J179" s="11"/>
      <c r="K179" s="11"/>
      <c r="L179" s="11"/>
      <c r="M179" s="11"/>
      <c r="N179" s="11"/>
      <c r="O179" s="12"/>
      <c r="P179" s="11"/>
      <c r="Q179" s="13"/>
      <c r="R179" s="14"/>
    </row>
    <row r="180" spans="1:18" ht="15" customHeight="1" x14ac:dyDescent="0.3">
      <c r="A180" s="15" t="s">
        <v>36</v>
      </c>
      <c r="B180" s="15" t="s">
        <v>245</v>
      </c>
      <c r="C180" s="16">
        <v>0.85416666666666663</v>
      </c>
      <c r="D180" s="15" t="s">
        <v>43</v>
      </c>
      <c r="E180" s="15" t="s">
        <v>62</v>
      </c>
      <c r="F180" s="15" t="s">
        <v>365</v>
      </c>
      <c r="G180" s="195"/>
      <c r="H180" s="10"/>
      <c r="I180" s="11"/>
      <c r="J180" s="11"/>
      <c r="K180" s="11"/>
      <c r="L180" s="11"/>
      <c r="M180" s="11"/>
      <c r="N180" s="11"/>
      <c r="O180" s="12"/>
      <c r="P180" s="11"/>
      <c r="Q180" s="13"/>
      <c r="R180" s="14"/>
    </row>
    <row r="181" spans="1:18" ht="15" customHeight="1" x14ac:dyDescent="0.3">
      <c r="A181" s="19" t="s">
        <v>36</v>
      </c>
      <c r="B181" s="19" t="s">
        <v>246</v>
      </c>
      <c r="C181" s="20">
        <v>0.79861111111111116</v>
      </c>
      <c r="D181" s="19" t="s">
        <v>38</v>
      </c>
      <c r="E181" s="19" t="s">
        <v>72</v>
      </c>
      <c r="F181" s="19" t="s">
        <v>364</v>
      </c>
      <c r="G181" s="195"/>
      <c r="H181" s="10"/>
      <c r="I181" s="11"/>
      <c r="J181" s="11"/>
      <c r="K181" s="11"/>
      <c r="L181" s="11"/>
      <c r="M181" s="11"/>
      <c r="N181" s="11"/>
      <c r="O181" s="12"/>
      <c r="P181" s="11"/>
      <c r="Q181" s="13"/>
      <c r="R181" s="14"/>
    </row>
    <row r="182" spans="1:18" ht="15" customHeight="1" x14ac:dyDescent="0.3">
      <c r="A182" s="15" t="s">
        <v>36</v>
      </c>
      <c r="B182" s="15" t="s">
        <v>246</v>
      </c>
      <c r="C182" s="16">
        <v>0.79861111111111116</v>
      </c>
      <c r="D182" s="15" t="s">
        <v>41</v>
      </c>
      <c r="E182" s="15" t="s">
        <v>62</v>
      </c>
      <c r="F182" s="15" t="s">
        <v>40</v>
      </c>
      <c r="G182" s="195"/>
      <c r="H182" s="10"/>
      <c r="I182" s="11"/>
      <c r="J182" s="11"/>
      <c r="K182" s="11"/>
      <c r="L182" s="11"/>
      <c r="M182" s="11"/>
      <c r="N182" s="11"/>
      <c r="O182" s="12"/>
      <c r="P182" s="11"/>
      <c r="Q182" s="13"/>
      <c r="R182" s="14"/>
    </row>
    <row r="183" spans="1:18" ht="15" customHeight="1" x14ac:dyDescent="0.3">
      <c r="A183" s="15" t="s">
        <v>36</v>
      </c>
      <c r="B183" s="15" t="s">
        <v>246</v>
      </c>
      <c r="C183" s="16">
        <v>0.79861111111111116</v>
      </c>
      <c r="D183" s="15" t="s">
        <v>43</v>
      </c>
      <c r="E183" s="15" t="s">
        <v>62</v>
      </c>
      <c r="F183" s="15" t="s">
        <v>365</v>
      </c>
      <c r="G183" s="195"/>
      <c r="H183" s="10"/>
      <c r="I183" s="11"/>
      <c r="J183" s="11"/>
      <c r="K183" s="11"/>
      <c r="L183" s="11"/>
      <c r="M183" s="11"/>
      <c r="N183" s="11"/>
      <c r="O183" s="12"/>
      <c r="P183" s="11"/>
      <c r="Q183" s="13"/>
      <c r="R183" s="14"/>
    </row>
    <row r="184" spans="1:18" ht="15" customHeight="1" x14ac:dyDescent="0.3">
      <c r="A184" s="19" t="s">
        <v>36</v>
      </c>
      <c r="B184" s="19" t="s">
        <v>237</v>
      </c>
      <c r="C184" s="20">
        <v>0.25694444444444448</v>
      </c>
      <c r="D184" s="19" t="s">
        <v>38</v>
      </c>
      <c r="E184" s="19" t="s">
        <v>46</v>
      </c>
      <c r="F184" s="19" t="s">
        <v>319</v>
      </c>
      <c r="G184" s="195"/>
      <c r="H184" s="10"/>
      <c r="I184" s="11"/>
      <c r="J184" s="11"/>
      <c r="K184" s="11"/>
      <c r="L184" s="11"/>
      <c r="M184" s="11"/>
      <c r="N184" s="11"/>
      <c r="O184" s="12"/>
      <c r="P184" s="11"/>
      <c r="Q184" s="13"/>
      <c r="R184" s="14"/>
    </row>
    <row r="185" spans="1:18" ht="15" customHeight="1" x14ac:dyDescent="0.3">
      <c r="A185" s="15" t="s">
        <v>36</v>
      </c>
      <c r="B185" s="15" t="s">
        <v>237</v>
      </c>
      <c r="C185" s="16">
        <v>0.25694444444444448</v>
      </c>
      <c r="D185" s="15" t="s">
        <v>366</v>
      </c>
      <c r="E185" s="15" t="s">
        <v>47</v>
      </c>
      <c r="F185" s="15" t="s">
        <v>319</v>
      </c>
      <c r="G185" s="195"/>
      <c r="H185" s="10"/>
      <c r="I185" s="11"/>
      <c r="J185" s="11"/>
      <c r="K185" s="11"/>
      <c r="L185" s="11"/>
      <c r="M185" s="11"/>
      <c r="N185" s="11"/>
      <c r="O185" s="12"/>
      <c r="P185" s="11"/>
      <c r="Q185" s="13"/>
      <c r="R185" s="14"/>
    </row>
    <row r="186" spans="1:18" ht="15" customHeight="1" x14ac:dyDescent="0.3">
      <c r="A186" s="15" t="s">
        <v>36</v>
      </c>
      <c r="B186" s="15" t="s">
        <v>237</v>
      </c>
      <c r="C186" s="16">
        <v>0.25694444444444448</v>
      </c>
      <c r="D186" s="15" t="s">
        <v>41</v>
      </c>
      <c r="E186" s="15" t="s">
        <v>47</v>
      </c>
      <c r="F186" s="15" t="s">
        <v>320</v>
      </c>
      <c r="G186" s="195"/>
      <c r="H186" s="10"/>
      <c r="I186" s="11"/>
      <c r="J186" s="11"/>
      <c r="K186" s="11"/>
      <c r="L186" s="11"/>
      <c r="M186" s="11"/>
      <c r="N186" s="11"/>
      <c r="O186" s="12"/>
      <c r="P186" s="11"/>
      <c r="Q186" s="13"/>
      <c r="R186" s="14"/>
    </row>
    <row r="187" spans="1:18" ht="15" customHeight="1" x14ac:dyDescent="0.3">
      <c r="A187" s="15" t="s">
        <v>36</v>
      </c>
      <c r="B187" s="15" t="s">
        <v>237</v>
      </c>
      <c r="C187" s="16">
        <v>0.25694444444444448</v>
      </c>
      <c r="D187" s="15" t="s">
        <v>43</v>
      </c>
      <c r="E187" s="15" t="s">
        <v>47</v>
      </c>
      <c r="F187" s="15" t="s">
        <v>108</v>
      </c>
      <c r="G187" s="195"/>
      <c r="H187" s="10"/>
      <c r="I187" s="11"/>
      <c r="J187" s="11"/>
      <c r="K187" s="11"/>
      <c r="L187" s="11"/>
      <c r="M187" s="11"/>
      <c r="N187" s="11"/>
      <c r="O187" s="12"/>
      <c r="P187" s="11"/>
      <c r="Q187" s="13"/>
      <c r="R187" s="14"/>
    </row>
    <row r="188" spans="1:18" ht="15" customHeight="1" x14ac:dyDescent="0.3">
      <c r="A188" s="19" t="s">
        <v>36</v>
      </c>
      <c r="B188" s="19" t="s">
        <v>247</v>
      </c>
      <c r="C188" s="20">
        <v>0.64583333333333337</v>
      </c>
      <c r="D188" s="19" t="s">
        <v>38</v>
      </c>
      <c r="E188" s="19" t="s">
        <v>46</v>
      </c>
      <c r="F188" s="19" t="s">
        <v>319</v>
      </c>
      <c r="G188" s="195"/>
      <c r="H188" s="10"/>
      <c r="I188" s="11"/>
      <c r="J188" s="11"/>
      <c r="K188" s="11"/>
      <c r="L188" s="11"/>
      <c r="M188" s="11"/>
      <c r="N188" s="11"/>
      <c r="O188" s="12"/>
      <c r="P188" s="11"/>
      <c r="Q188" s="13"/>
      <c r="R188" s="14"/>
    </row>
    <row r="189" spans="1:18" ht="15" customHeight="1" x14ac:dyDescent="0.3">
      <c r="A189" s="15" t="s">
        <v>36</v>
      </c>
      <c r="B189" s="15" t="s">
        <v>247</v>
      </c>
      <c r="C189" s="16">
        <v>0.64583333333333337</v>
      </c>
      <c r="D189" s="15" t="s">
        <v>41</v>
      </c>
      <c r="E189" s="15" t="s">
        <v>47</v>
      </c>
      <c r="F189" s="15" t="s">
        <v>320</v>
      </c>
      <c r="G189" s="195"/>
      <c r="H189" s="10"/>
      <c r="I189" s="11"/>
      <c r="J189" s="11"/>
      <c r="K189" s="11"/>
      <c r="L189" s="11"/>
      <c r="M189" s="11"/>
      <c r="N189" s="11"/>
      <c r="O189" s="12"/>
      <c r="P189" s="11"/>
      <c r="Q189" s="13"/>
      <c r="R189" s="14"/>
    </row>
    <row r="190" spans="1:18" ht="15" customHeight="1" x14ac:dyDescent="0.3">
      <c r="A190" s="15" t="s">
        <v>36</v>
      </c>
      <c r="B190" s="15" t="s">
        <v>247</v>
      </c>
      <c r="C190" s="16">
        <v>0.64583333333333337</v>
      </c>
      <c r="D190" s="15" t="s">
        <v>43</v>
      </c>
      <c r="E190" s="15" t="s">
        <v>47</v>
      </c>
      <c r="F190" s="15" t="s">
        <v>108</v>
      </c>
      <c r="G190" s="195"/>
      <c r="H190" s="10"/>
      <c r="I190" s="11"/>
      <c r="J190" s="11"/>
      <c r="K190" s="11"/>
      <c r="L190" s="11"/>
      <c r="M190" s="11"/>
      <c r="N190" s="11"/>
      <c r="O190" s="12"/>
      <c r="P190" s="11"/>
      <c r="Q190" s="13"/>
      <c r="R190" s="14"/>
    </row>
    <row r="191" spans="1:18" ht="15" customHeight="1" x14ac:dyDescent="0.3">
      <c r="A191" s="19" t="s">
        <v>36</v>
      </c>
      <c r="B191" s="19" t="s">
        <v>242</v>
      </c>
      <c r="C191" s="20">
        <v>0.51736111111111105</v>
      </c>
      <c r="D191" s="19" t="s">
        <v>38</v>
      </c>
      <c r="E191" s="19" t="s">
        <v>46</v>
      </c>
      <c r="F191" s="19" t="s">
        <v>319</v>
      </c>
      <c r="G191" s="195"/>
      <c r="H191" s="10"/>
      <c r="I191" s="11"/>
      <c r="J191" s="11"/>
      <c r="K191" s="11"/>
      <c r="L191" s="11"/>
      <c r="M191" s="11"/>
      <c r="N191" s="11"/>
      <c r="O191" s="12"/>
      <c r="P191" s="11"/>
      <c r="Q191" s="13"/>
      <c r="R191" s="14"/>
    </row>
    <row r="192" spans="1:18" ht="15" customHeight="1" x14ac:dyDescent="0.3">
      <c r="A192" s="15" t="s">
        <v>36</v>
      </c>
      <c r="B192" s="15" t="s">
        <v>242</v>
      </c>
      <c r="C192" s="16">
        <v>0.51736111111111105</v>
      </c>
      <c r="D192" s="15" t="s">
        <v>41</v>
      </c>
      <c r="E192" s="15" t="s">
        <v>47</v>
      </c>
      <c r="F192" s="15" t="s">
        <v>320</v>
      </c>
      <c r="G192" s="195"/>
      <c r="H192" s="10"/>
      <c r="I192" s="11"/>
      <c r="J192" s="11"/>
      <c r="K192" s="11"/>
      <c r="L192" s="11"/>
      <c r="M192" s="11"/>
      <c r="N192" s="11"/>
      <c r="O192" s="12"/>
      <c r="P192" s="11"/>
      <c r="Q192" s="13"/>
      <c r="R192" s="14"/>
    </row>
    <row r="193" spans="1:18" ht="15" customHeight="1" x14ac:dyDescent="0.3">
      <c r="A193" s="15" t="s">
        <v>36</v>
      </c>
      <c r="B193" s="15" t="s">
        <v>242</v>
      </c>
      <c r="C193" s="16">
        <v>0.51736111111111105</v>
      </c>
      <c r="D193" s="15" t="s">
        <v>43</v>
      </c>
      <c r="E193" s="15" t="s">
        <v>47</v>
      </c>
      <c r="F193" s="15" t="s">
        <v>108</v>
      </c>
      <c r="G193" s="195"/>
      <c r="H193" s="10"/>
      <c r="I193" s="11"/>
      <c r="J193" s="11"/>
      <c r="K193" s="11"/>
      <c r="L193" s="11"/>
      <c r="M193" s="11"/>
      <c r="N193" s="11"/>
      <c r="O193" s="12"/>
      <c r="P193" s="11"/>
      <c r="Q193" s="13"/>
      <c r="R193" s="14"/>
    </row>
    <row r="194" spans="1:18" ht="15" customHeight="1" x14ac:dyDescent="0.3">
      <c r="A194" s="19" t="s">
        <v>36</v>
      </c>
      <c r="B194" s="19" t="s">
        <v>251</v>
      </c>
      <c r="C194" s="20">
        <v>0.39583333333333331</v>
      </c>
      <c r="D194" s="19" t="s">
        <v>38</v>
      </c>
      <c r="E194" s="19" t="s">
        <v>46</v>
      </c>
      <c r="F194" s="19" t="s">
        <v>319</v>
      </c>
      <c r="G194" s="195"/>
      <c r="H194" s="10"/>
      <c r="I194" s="11"/>
      <c r="J194" s="11"/>
      <c r="K194" s="11"/>
      <c r="L194" s="11"/>
      <c r="M194" s="11"/>
      <c r="N194" s="11"/>
      <c r="O194" s="12"/>
      <c r="P194" s="11"/>
      <c r="Q194" s="13"/>
      <c r="R194" s="14"/>
    </row>
    <row r="195" spans="1:18" ht="15" customHeight="1" x14ac:dyDescent="0.3">
      <c r="A195" s="15" t="s">
        <v>36</v>
      </c>
      <c r="B195" s="15" t="s">
        <v>251</v>
      </c>
      <c r="C195" s="16">
        <v>0.39583333333333331</v>
      </c>
      <c r="D195" s="15" t="s">
        <v>41</v>
      </c>
      <c r="E195" s="15" t="s">
        <v>47</v>
      </c>
      <c r="F195" s="15" t="s">
        <v>320</v>
      </c>
      <c r="G195" s="195"/>
      <c r="H195" s="10"/>
      <c r="I195" s="11"/>
      <c r="J195" s="11"/>
      <c r="K195" s="11"/>
      <c r="L195" s="11"/>
      <c r="M195" s="11"/>
      <c r="N195" s="11"/>
      <c r="O195" s="12"/>
      <c r="P195" s="11"/>
      <c r="Q195" s="13"/>
      <c r="R195" s="14"/>
    </row>
    <row r="196" spans="1:18" ht="15" customHeight="1" x14ac:dyDescent="0.3">
      <c r="A196" s="15" t="s">
        <v>36</v>
      </c>
      <c r="B196" s="15" t="s">
        <v>251</v>
      </c>
      <c r="C196" s="16">
        <v>0.39583333333333331</v>
      </c>
      <c r="D196" s="15" t="s">
        <v>43</v>
      </c>
      <c r="E196" s="15" t="s">
        <v>47</v>
      </c>
      <c r="F196" s="15" t="s">
        <v>108</v>
      </c>
      <c r="G196" s="195"/>
      <c r="H196" s="10"/>
      <c r="I196" s="11"/>
      <c r="J196" s="11"/>
      <c r="K196" s="11"/>
      <c r="L196" s="11"/>
      <c r="M196" s="11"/>
      <c r="N196" s="11"/>
      <c r="O196" s="12"/>
      <c r="P196" s="11"/>
      <c r="Q196" s="13"/>
      <c r="R196" s="14"/>
    </row>
    <row r="197" spans="1:18" ht="15" customHeight="1" x14ac:dyDescent="0.3">
      <c r="A197" s="19" t="s">
        <v>36</v>
      </c>
      <c r="B197" s="19" t="s">
        <v>322</v>
      </c>
      <c r="C197" s="20">
        <v>0.46875</v>
      </c>
      <c r="D197" s="19" t="s">
        <v>38</v>
      </c>
      <c r="E197" s="19" t="s">
        <v>46</v>
      </c>
      <c r="F197" s="19" t="s">
        <v>319</v>
      </c>
      <c r="G197" s="195"/>
      <c r="H197" s="10"/>
      <c r="I197" s="11"/>
      <c r="J197" s="11"/>
      <c r="K197" s="11"/>
      <c r="L197" s="11"/>
      <c r="M197" s="11"/>
      <c r="N197" s="11"/>
      <c r="O197" s="12"/>
      <c r="P197" s="11"/>
      <c r="Q197" s="13"/>
      <c r="R197" s="14"/>
    </row>
    <row r="198" spans="1:18" ht="15" customHeight="1" x14ac:dyDescent="0.3">
      <c r="A198" s="15" t="s">
        <v>36</v>
      </c>
      <c r="B198" s="15" t="s">
        <v>322</v>
      </c>
      <c r="C198" s="16">
        <v>0.46875</v>
      </c>
      <c r="D198" s="15" t="s">
        <v>41</v>
      </c>
      <c r="E198" s="15" t="s">
        <v>47</v>
      </c>
      <c r="F198" s="15" t="s">
        <v>320</v>
      </c>
      <c r="G198" s="195"/>
      <c r="H198" s="10"/>
      <c r="I198" s="11"/>
      <c r="J198" s="11"/>
      <c r="K198" s="11"/>
      <c r="L198" s="11"/>
      <c r="M198" s="11"/>
      <c r="N198" s="11"/>
      <c r="O198" s="12"/>
      <c r="P198" s="11"/>
      <c r="Q198" s="13"/>
      <c r="R198" s="14"/>
    </row>
    <row r="199" spans="1:18" ht="15" customHeight="1" x14ac:dyDescent="0.3">
      <c r="A199" s="15" t="s">
        <v>36</v>
      </c>
      <c r="B199" s="15" t="s">
        <v>322</v>
      </c>
      <c r="C199" s="16">
        <v>0.46875</v>
      </c>
      <c r="D199" s="15" t="s">
        <v>43</v>
      </c>
      <c r="E199" s="15" t="s">
        <v>47</v>
      </c>
      <c r="F199" s="15" t="s">
        <v>108</v>
      </c>
      <c r="G199" s="195"/>
      <c r="H199" s="10"/>
      <c r="I199" s="11"/>
      <c r="J199" s="11"/>
      <c r="K199" s="11"/>
      <c r="L199" s="11"/>
      <c r="M199" s="11"/>
      <c r="N199" s="11"/>
      <c r="O199" s="12"/>
      <c r="P199" s="11"/>
      <c r="Q199" s="13"/>
      <c r="R199" s="14"/>
    </row>
    <row r="200" spans="1:18" ht="15" customHeight="1" x14ac:dyDescent="0.3">
      <c r="A200" s="56" t="s">
        <v>73</v>
      </c>
      <c r="B200" s="56" t="s">
        <v>273</v>
      </c>
      <c r="C200" s="57">
        <v>0.61458333333333337</v>
      </c>
      <c r="D200" s="56" t="s">
        <v>111</v>
      </c>
      <c r="E200" s="56" t="s">
        <v>39</v>
      </c>
      <c r="F200" s="56" t="s">
        <v>367</v>
      </c>
      <c r="G200" s="195"/>
      <c r="H200" s="58" t="s">
        <v>275</v>
      </c>
      <c r="I200" s="77">
        <v>0.90500000000000003</v>
      </c>
      <c r="J200" s="60">
        <v>162</v>
      </c>
      <c r="K200" s="61">
        <v>45981</v>
      </c>
      <c r="L200" s="60">
        <v>44</v>
      </c>
      <c r="M200" s="60">
        <v>14</v>
      </c>
      <c r="N200" s="60">
        <v>7</v>
      </c>
      <c r="O200" s="62" t="s">
        <v>368</v>
      </c>
      <c r="P200" s="63">
        <v>0.61458333333333337</v>
      </c>
      <c r="Q200" s="60">
        <v>179</v>
      </c>
      <c r="R200" s="64" t="s">
        <v>369</v>
      </c>
    </row>
    <row r="201" spans="1:18" ht="15" customHeight="1" x14ac:dyDescent="0.3">
      <c r="A201" s="160" t="s">
        <v>73</v>
      </c>
      <c r="B201" s="160" t="s">
        <v>370</v>
      </c>
      <c r="C201" s="161">
        <v>6.9444444444444441E-3</v>
      </c>
      <c r="D201" s="160" t="s">
        <v>111</v>
      </c>
      <c r="E201" s="160" t="s">
        <v>92</v>
      </c>
      <c r="F201" s="160" t="s">
        <v>367</v>
      </c>
      <c r="G201" s="195"/>
      <c r="H201" s="142" t="s">
        <v>371</v>
      </c>
      <c r="I201" s="162">
        <v>0.43020000000000003</v>
      </c>
      <c r="J201" s="144">
        <v>77</v>
      </c>
      <c r="K201" s="145">
        <v>45981</v>
      </c>
      <c r="L201" s="144">
        <v>50</v>
      </c>
      <c r="M201" s="144">
        <v>8</v>
      </c>
      <c r="N201" s="144">
        <v>6</v>
      </c>
      <c r="O201" s="146" t="s">
        <v>372</v>
      </c>
      <c r="P201" s="147">
        <v>6.9444444444444441E-3</v>
      </c>
      <c r="Q201" s="144">
        <v>179</v>
      </c>
      <c r="R201" s="148" t="s">
        <v>373</v>
      </c>
    </row>
    <row r="202" spans="1:18" ht="15" customHeight="1" x14ac:dyDescent="0.3">
      <c r="A202" s="150" t="s">
        <v>73</v>
      </c>
      <c r="B202" s="150" t="s">
        <v>340</v>
      </c>
      <c r="C202" s="151">
        <v>0.97916666666666663</v>
      </c>
      <c r="D202" s="150" t="s">
        <v>111</v>
      </c>
      <c r="E202" s="150" t="s">
        <v>243</v>
      </c>
      <c r="F202" s="150" t="s">
        <v>374</v>
      </c>
      <c r="G202" s="195"/>
      <c r="H202" s="152" t="s">
        <v>343</v>
      </c>
      <c r="I202" s="153">
        <v>0.92179999999999995</v>
      </c>
      <c r="J202" s="154">
        <v>165</v>
      </c>
      <c r="K202" s="155">
        <v>45981</v>
      </c>
      <c r="L202" s="154">
        <v>24</v>
      </c>
      <c r="M202" s="154">
        <v>1</v>
      </c>
      <c r="N202" s="154">
        <v>8</v>
      </c>
      <c r="O202" s="156" t="s">
        <v>159</v>
      </c>
      <c r="P202" s="157">
        <v>0.97916666666666663</v>
      </c>
      <c r="Q202" s="154">
        <v>179</v>
      </c>
      <c r="R202" s="158" t="s">
        <v>375</v>
      </c>
    </row>
    <row r="203" spans="1:18" ht="15" customHeight="1" x14ac:dyDescent="0.3">
      <c r="A203" s="163" t="s">
        <v>73</v>
      </c>
      <c r="B203" s="163" t="s">
        <v>278</v>
      </c>
      <c r="C203" s="164">
        <v>0.4236111111111111</v>
      </c>
      <c r="D203" s="163" t="s">
        <v>75</v>
      </c>
      <c r="E203" s="165"/>
      <c r="F203" s="163" t="s">
        <v>76</v>
      </c>
      <c r="G203" s="195"/>
      <c r="H203" s="166" t="s">
        <v>278</v>
      </c>
      <c r="I203" s="167">
        <v>0.9385</v>
      </c>
      <c r="J203" s="168">
        <v>168</v>
      </c>
      <c r="K203" s="169">
        <v>45981</v>
      </c>
      <c r="L203" s="168">
        <v>47</v>
      </c>
      <c r="M203" s="168">
        <v>18</v>
      </c>
      <c r="N203" s="168">
        <v>6</v>
      </c>
      <c r="O203" s="170" t="s">
        <v>77</v>
      </c>
      <c r="P203" s="171">
        <v>0.4236111111111111</v>
      </c>
      <c r="Q203" s="168">
        <v>179</v>
      </c>
      <c r="R203" s="172" t="s">
        <v>376</v>
      </c>
    </row>
    <row r="204" spans="1:18" ht="15" customHeight="1" x14ac:dyDescent="0.3">
      <c r="A204" s="17" t="s">
        <v>252</v>
      </c>
      <c r="B204" s="17" t="s">
        <v>253</v>
      </c>
      <c r="C204" s="18">
        <v>0.1736111111111111</v>
      </c>
      <c r="D204" s="17" t="s">
        <v>254</v>
      </c>
      <c r="E204" s="17" t="s">
        <v>97</v>
      </c>
      <c r="F204" s="17" t="s">
        <v>377</v>
      </c>
      <c r="G204" s="195"/>
      <c r="H204" s="10"/>
      <c r="I204" s="11"/>
      <c r="J204" s="11"/>
      <c r="K204" s="11"/>
      <c r="L204" s="11"/>
      <c r="M204" s="11"/>
      <c r="N204" s="11"/>
      <c r="O204" s="12"/>
      <c r="P204" s="11"/>
      <c r="Q204" s="13"/>
      <c r="R204" s="14"/>
    </row>
    <row r="205" spans="1:18" ht="15" customHeight="1" x14ac:dyDescent="0.3">
      <c r="A205" s="15" t="s">
        <v>252</v>
      </c>
      <c r="B205" s="15" t="s">
        <v>253</v>
      </c>
      <c r="C205" s="16">
        <v>0.1736111111111111</v>
      </c>
      <c r="D205" s="15" t="s">
        <v>34</v>
      </c>
      <c r="E205" s="15" t="s">
        <v>47</v>
      </c>
      <c r="F205" s="15" t="s">
        <v>365</v>
      </c>
      <c r="G205" s="195"/>
      <c r="H205" s="10"/>
      <c r="I205" s="11"/>
      <c r="J205" s="11"/>
      <c r="K205" s="11"/>
      <c r="L205" s="11"/>
      <c r="M205" s="11"/>
      <c r="N205" s="11"/>
      <c r="O205" s="12"/>
      <c r="P205" s="11"/>
      <c r="Q205" s="13"/>
      <c r="R205" s="14"/>
    </row>
    <row r="206" spans="1:18" ht="15" customHeight="1" x14ac:dyDescent="0.3">
      <c r="A206" s="19" t="s">
        <v>252</v>
      </c>
      <c r="B206" s="19" t="s">
        <v>257</v>
      </c>
      <c r="C206" s="20">
        <v>0.3923611111111111</v>
      </c>
      <c r="D206" s="19" t="s">
        <v>254</v>
      </c>
      <c r="E206" s="19" t="s">
        <v>341</v>
      </c>
      <c r="F206" s="19" t="s">
        <v>378</v>
      </c>
      <c r="G206" s="195"/>
      <c r="H206" s="10"/>
      <c r="I206" s="11"/>
      <c r="J206" s="11"/>
      <c r="K206" s="11"/>
      <c r="L206" s="11"/>
      <c r="M206" s="11"/>
      <c r="N206" s="11"/>
      <c r="O206" s="12"/>
      <c r="P206" s="11"/>
      <c r="Q206" s="13"/>
      <c r="R206" s="14"/>
    </row>
    <row r="207" spans="1:18" ht="15" customHeight="1" x14ac:dyDescent="0.3">
      <c r="A207" s="15" t="s">
        <v>252</v>
      </c>
      <c r="B207" s="15" t="s">
        <v>257</v>
      </c>
      <c r="C207" s="16">
        <v>0.3923611111111111</v>
      </c>
      <c r="D207" s="15" t="s">
        <v>34</v>
      </c>
      <c r="E207" s="15" t="s">
        <v>314</v>
      </c>
      <c r="F207" s="15" t="s">
        <v>379</v>
      </c>
      <c r="G207" s="195"/>
      <c r="H207" s="10"/>
      <c r="I207" s="11"/>
      <c r="J207" s="11"/>
      <c r="K207" s="11"/>
      <c r="L207" s="11"/>
      <c r="M207" s="11"/>
      <c r="N207" s="11"/>
      <c r="O207" s="12"/>
      <c r="P207" s="11"/>
      <c r="Q207" s="13"/>
      <c r="R207" s="14"/>
    </row>
    <row r="208" spans="1:18" ht="15" customHeight="1" x14ac:dyDescent="0.3">
      <c r="A208" s="17" t="s">
        <v>264</v>
      </c>
      <c r="B208" s="17" t="s">
        <v>380</v>
      </c>
      <c r="C208" s="18">
        <v>0.20833333333333329</v>
      </c>
      <c r="D208" s="17" t="s">
        <v>262</v>
      </c>
      <c r="E208" s="17" t="s">
        <v>51</v>
      </c>
      <c r="F208" s="17" t="s">
        <v>323</v>
      </c>
      <c r="G208" s="195"/>
      <c r="H208" s="10"/>
      <c r="I208" s="11"/>
      <c r="J208" s="11"/>
      <c r="K208" s="11"/>
      <c r="L208" s="11"/>
      <c r="M208" s="11"/>
      <c r="N208" s="11"/>
      <c r="O208" s="12"/>
      <c r="P208" s="11"/>
      <c r="Q208" s="13"/>
      <c r="R208" s="14"/>
    </row>
    <row r="209" spans="1:18" ht="15" customHeight="1" x14ac:dyDescent="0.3">
      <c r="A209" s="17" t="s">
        <v>56</v>
      </c>
      <c r="B209" s="17" t="s">
        <v>286</v>
      </c>
      <c r="C209" s="18">
        <v>0.93055555555555547</v>
      </c>
      <c r="D209" s="17" t="s">
        <v>58</v>
      </c>
      <c r="E209" s="17" t="s">
        <v>51</v>
      </c>
      <c r="F209" s="17" t="s">
        <v>381</v>
      </c>
      <c r="G209" s="195"/>
      <c r="H209" s="10"/>
      <c r="I209" s="11"/>
      <c r="J209" s="11"/>
      <c r="K209" s="11"/>
      <c r="L209" s="11"/>
      <c r="M209" s="11"/>
      <c r="N209" s="11"/>
      <c r="O209" s="12"/>
      <c r="P209" s="11"/>
      <c r="Q209" s="13"/>
      <c r="R209" s="14"/>
    </row>
    <row r="210" spans="1:18" ht="15" customHeight="1" x14ac:dyDescent="0.3">
      <c r="A210" s="15" t="s">
        <v>56</v>
      </c>
      <c r="B210" s="15" t="s">
        <v>286</v>
      </c>
      <c r="C210" s="16">
        <v>0.93055555555555547</v>
      </c>
      <c r="D210" s="15" t="s">
        <v>61</v>
      </c>
      <c r="E210" s="15" t="s">
        <v>94</v>
      </c>
      <c r="F210" s="15" t="s">
        <v>382</v>
      </c>
      <c r="G210" s="195"/>
      <c r="H210" s="10"/>
      <c r="I210" s="11"/>
      <c r="J210" s="11"/>
      <c r="K210" s="11"/>
      <c r="L210" s="11"/>
      <c r="M210" s="11"/>
      <c r="N210" s="11"/>
      <c r="O210" s="12"/>
      <c r="P210" s="11"/>
      <c r="Q210" s="13"/>
      <c r="R210" s="14"/>
    </row>
    <row r="211" spans="1:18" ht="15" customHeight="1" x14ac:dyDescent="0.3">
      <c r="A211" s="19" t="s">
        <v>56</v>
      </c>
      <c r="B211" s="19" t="s">
        <v>280</v>
      </c>
      <c r="C211" s="20">
        <v>0.37847222222222232</v>
      </c>
      <c r="D211" s="19" t="s">
        <v>58</v>
      </c>
      <c r="E211" s="19" t="s">
        <v>92</v>
      </c>
      <c r="F211" s="19" t="s">
        <v>347</v>
      </c>
      <c r="G211" s="195"/>
      <c r="H211" s="10"/>
      <c r="I211" s="11"/>
      <c r="J211" s="11"/>
      <c r="K211" s="11"/>
      <c r="L211" s="11"/>
      <c r="M211" s="11"/>
      <c r="N211" s="11"/>
      <c r="O211" s="12"/>
      <c r="P211" s="11"/>
      <c r="Q211" s="13"/>
      <c r="R211" s="14"/>
    </row>
    <row r="212" spans="1:18" ht="15" customHeight="1" x14ac:dyDescent="0.3">
      <c r="A212" s="15" t="s">
        <v>56</v>
      </c>
      <c r="B212" s="15" t="s">
        <v>280</v>
      </c>
      <c r="C212" s="16">
        <v>0.37847222222222232</v>
      </c>
      <c r="D212" s="15" t="s">
        <v>61</v>
      </c>
      <c r="E212" s="15" t="s">
        <v>94</v>
      </c>
      <c r="F212" s="15" t="s">
        <v>348</v>
      </c>
      <c r="G212" s="195"/>
      <c r="H212" s="10"/>
      <c r="I212" s="11"/>
      <c r="J212" s="11"/>
      <c r="K212" s="11"/>
      <c r="L212" s="11"/>
      <c r="M212" s="11"/>
      <c r="N212" s="11"/>
      <c r="O212" s="12"/>
      <c r="P212" s="11"/>
      <c r="Q212" s="13"/>
      <c r="R212" s="14"/>
    </row>
    <row r="213" spans="1:18" ht="15" customHeight="1" x14ac:dyDescent="0.3">
      <c r="A213" s="19" t="s">
        <v>56</v>
      </c>
      <c r="B213" s="19" t="s">
        <v>284</v>
      </c>
      <c r="C213" s="20">
        <v>6.9444444444444441E-3</v>
      </c>
      <c r="D213" s="19" t="s">
        <v>58</v>
      </c>
      <c r="E213" s="19" t="s">
        <v>92</v>
      </c>
      <c r="F213" s="19" t="s">
        <v>347</v>
      </c>
      <c r="G213" s="195"/>
      <c r="H213" s="10"/>
      <c r="I213" s="11"/>
      <c r="J213" s="11"/>
      <c r="K213" s="11"/>
      <c r="L213" s="11"/>
      <c r="M213" s="11"/>
      <c r="N213" s="11"/>
      <c r="O213" s="12"/>
      <c r="P213" s="11"/>
      <c r="Q213" s="13"/>
      <c r="R213" s="14"/>
    </row>
    <row r="214" spans="1:18" ht="15" customHeight="1" x14ac:dyDescent="0.3">
      <c r="A214" s="15" t="s">
        <v>56</v>
      </c>
      <c r="B214" s="15" t="s">
        <v>284</v>
      </c>
      <c r="C214" s="16">
        <v>6.9444444444444441E-3</v>
      </c>
      <c r="D214" s="15" t="s">
        <v>61</v>
      </c>
      <c r="E214" s="15" t="s">
        <v>94</v>
      </c>
      <c r="F214" s="15" t="s">
        <v>348</v>
      </c>
      <c r="G214" s="195"/>
      <c r="H214" s="10"/>
      <c r="I214" s="11"/>
      <c r="J214" s="11"/>
      <c r="K214" s="11"/>
      <c r="L214" s="11"/>
      <c r="M214" s="11"/>
      <c r="N214" s="11"/>
      <c r="O214" s="12"/>
      <c r="P214" s="11"/>
      <c r="Q214" s="13"/>
      <c r="R214" s="14"/>
    </row>
    <row r="215" spans="1:18" ht="15" customHeight="1" x14ac:dyDescent="0.3">
      <c r="A215" s="19" t="s">
        <v>56</v>
      </c>
      <c r="B215" s="19" t="s">
        <v>287</v>
      </c>
      <c r="C215" s="20">
        <v>0.23958333333333329</v>
      </c>
      <c r="D215" s="19" t="s">
        <v>58</v>
      </c>
      <c r="E215" s="19" t="s">
        <v>92</v>
      </c>
      <c r="F215" s="19" t="s">
        <v>347</v>
      </c>
      <c r="G215" s="195"/>
      <c r="H215" s="10"/>
      <c r="I215" s="11"/>
      <c r="J215" s="11"/>
      <c r="K215" s="11"/>
      <c r="L215" s="11"/>
      <c r="M215" s="11"/>
      <c r="N215" s="11"/>
      <c r="O215" s="12"/>
      <c r="P215" s="11"/>
      <c r="Q215" s="13"/>
      <c r="R215" s="14"/>
    </row>
    <row r="216" spans="1:18" ht="15" customHeight="1" x14ac:dyDescent="0.3">
      <c r="A216" s="15" t="s">
        <v>56</v>
      </c>
      <c r="B216" s="15" t="s">
        <v>287</v>
      </c>
      <c r="C216" s="16">
        <v>0.23958333333333329</v>
      </c>
      <c r="D216" s="15" t="s">
        <v>61</v>
      </c>
      <c r="E216" s="15" t="s">
        <v>94</v>
      </c>
      <c r="F216" s="15" t="s">
        <v>348</v>
      </c>
      <c r="G216" s="195"/>
      <c r="H216" s="10"/>
      <c r="I216" s="11"/>
      <c r="J216" s="11"/>
      <c r="K216" s="11"/>
      <c r="L216" s="11"/>
      <c r="M216" s="11"/>
      <c r="N216" s="11"/>
      <c r="O216" s="12"/>
      <c r="P216" s="11"/>
      <c r="Q216" s="13"/>
      <c r="R216" s="14"/>
    </row>
    <row r="217" spans="1:18" ht="15" customHeight="1" x14ac:dyDescent="0.3">
      <c r="A217" s="19" t="s">
        <v>56</v>
      </c>
      <c r="B217" s="19" t="s">
        <v>285</v>
      </c>
      <c r="C217" s="20">
        <v>0.1423611111111111</v>
      </c>
      <c r="D217" s="19" t="s">
        <v>58</v>
      </c>
      <c r="E217" s="19" t="s">
        <v>92</v>
      </c>
      <c r="F217" s="19" t="s">
        <v>347</v>
      </c>
      <c r="G217" s="195"/>
      <c r="H217" s="10"/>
      <c r="I217" s="11"/>
      <c r="J217" s="11"/>
      <c r="K217" s="11"/>
      <c r="L217" s="11"/>
      <c r="M217" s="11"/>
      <c r="N217" s="11"/>
      <c r="O217" s="12"/>
      <c r="P217" s="11"/>
      <c r="Q217" s="13"/>
      <c r="R217" s="14"/>
    </row>
    <row r="218" spans="1:18" ht="15" customHeight="1" x14ac:dyDescent="0.3">
      <c r="A218" s="15" t="s">
        <v>56</v>
      </c>
      <c r="B218" s="15" t="s">
        <v>285</v>
      </c>
      <c r="C218" s="16">
        <v>0.1423611111111111</v>
      </c>
      <c r="D218" s="15" t="s">
        <v>61</v>
      </c>
      <c r="E218" s="15" t="s">
        <v>94</v>
      </c>
      <c r="F218" s="15" t="s">
        <v>348</v>
      </c>
      <c r="G218" s="195"/>
      <c r="H218" s="10"/>
      <c r="I218" s="11"/>
      <c r="J218" s="11"/>
      <c r="K218" s="11"/>
      <c r="L218" s="11"/>
      <c r="M218" s="11"/>
      <c r="N218" s="11"/>
      <c r="O218" s="12"/>
      <c r="P218" s="11"/>
      <c r="Q218" s="13"/>
      <c r="R218" s="14"/>
    </row>
    <row r="219" spans="1:18" ht="15" customHeight="1" x14ac:dyDescent="0.3">
      <c r="A219" s="19" t="s">
        <v>56</v>
      </c>
      <c r="B219" s="19" t="s">
        <v>298</v>
      </c>
      <c r="C219" s="20">
        <v>0.12847222222222221</v>
      </c>
      <c r="D219" s="19" t="s">
        <v>61</v>
      </c>
      <c r="E219" s="19" t="s">
        <v>65</v>
      </c>
      <c r="F219" s="19" t="s">
        <v>383</v>
      </c>
      <c r="G219" s="195"/>
      <c r="H219" s="10"/>
      <c r="I219" s="11"/>
      <c r="J219" s="11"/>
      <c r="K219" s="11"/>
      <c r="L219" s="11"/>
      <c r="M219" s="11"/>
      <c r="N219" s="11"/>
      <c r="O219" s="12"/>
      <c r="P219" s="11"/>
      <c r="Q219" s="13"/>
      <c r="R219" s="14"/>
    </row>
    <row r="220" spans="1:18" ht="15" customHeight="1" x14ac:dyDescent="0.3">
      <c r="A220" s="19" t="s">
        <v>56</v>
      </c>
      <c r="B220" s="19" t="s">
        <v>283</v>
      </c>
      <c r="C220" s="20">
        <v>0.71875</v>
      </c>
      <c r="D220" s="19" t="s">
        <v>58</v>
      </c>
      <c r="E220" s="19" t="s">
        <v>92</v>
      </c>
      <c r="F220" s="19" t="s">
        <v>384</v>
      </c>
      <c r="G220" s="195"/>
      <c r="H220" s="10"/>
      <c r="I220" s="11"/>
      <c r="J220" s="11"/>
      <c r="K220" s="11"/>
      <c r="L220" s="11"/>
      <c r="M220" s="11"/>
      <c r="N220" s="11"/>
      <c r="O220" s="12"/>
      <c r="P220" s="11"/>
      <c r="Q220" s="13"/>
      <c r="R220" s="14"/>
    </row>
    <row r="221" spans="1:18" ht="15" customHeight="1" x14ac:dyDescent="0.3">
      <c r="A221" s="15" t="s">
        <v>56</v>
      </c>
      <c r="B221" s="15" t="s">
        <v>283</v>
      </c>
      <c r="C221" s="16">
        <v>0.71875</v>
      </c>
      <c r="D221" s="15" t="s">
        <v>61</v>
      </c>
      <c r="E221" s="15" t="s">
        <v>94</v>
      </c>
      <c r="F221" s="15" t="s">
        <v>385</v>
      </c>
      <c r="G221" s="195"/>
      <c r="H221" s="10"/>
      <c r="I221" s="11"/>
      <c r="J221" s="11"/>
      <c r="K221" s="11"/>
      <c r="L221" s="11"/>
      <c r="M221" s="11"/>
      <c r="N221" s="11"/>
      <c r="O221" s="12"/>
      <c r="P221" s="11"/>
      <c r="Q221" s="13"/>
      <c r="R221" s="14"/>
    </row>
    <row r="222" spans="1:18" ht="15" customHeight="1" x14ac:dyDescent="0.3">
      <c r="A222" s="19" t="s">
        <v>56</v>
      </c>
      <c r="B222" s="19" t="s">
        <v>292</v>
      </c>
      <c r="C222" s="20">
        <v>0.61111111111111105</v>
      </c>
      <c r="D222" s="19" t="s">
        <v>58</v>
      </c>
      <c r="E222" s="19" t="s">
        <v>92</v>
      </c>
      <c r="F222" s="19" t="s">
        <v>384</v>
      </c>
      <c r="G222" s="195"/>
      <c r="H222" s="10"/>
      <c r="I222" s="11"/>
      <c r="J222" s="11"/>
      <c r="K222" s="11"/>
      <c r="L222" s="11"/>
      <c r="M222" s="11"/>
      <c r="N222" s="11"/>
      <c r="O222" s="12"/>
      <c r="P222" s="11"/>
      <c r="Q222" s="13"/>
      <c r="R222" s="14"/>
    </row>
    <row r="223" spans="1:18" ht="15" customHeight="1" x14ac:dyDescent="0.3">
      <c r="A223" s="15" t="s">
        <v>56</v>
      </c>
      <c r="B223" s="15" t="s">
        <v>292</v>
      </c>
      <c r="C223" s="16">
        <v>0.61111111111111105</v>
      </c>
      <c r="D223" s="15" t="s">
        <v>61</v>
      </c>
      <c r="E223" s="15" t="s">
        <v>94</v>
      </c>
      <c r="F223" s="15" t="s">
        <v>385</v>
      </c>
      <c r="G223" s="195"/>
      <c r="H223" s="10"/>
      <c r="I223" s="11"/>
      <c r="J223" s="11"/>
      <c r="K223" s="11"/>
      <c r="L223" s="11"/>
      <c r="M223" s="11"/>
      <c r="N223" s="11"/>
      <c r="O223" s="12"/>
      <c r="P223" s="11"/>
      <c r="Q223" s="13"/>
      <c r="R223" s="14"/>
    </row>
    <row r="224" spans="1:18" ht="15" customHeight="1" x14ac:dyDescent="0.3">
      <c r="A224" s="19" t="s">
        <v>56</v>
      </c>
      <c r="B224" s="19" t="s">
        <v>290</v>
      </c>
      <c r="C224" s="20">
        <v>0.88888888888888884</v>
      </c>
      <c r="D224" s="19" t="s">
        <v>61</v>
      </c>
      <c r="E224" s="19" t="s">
        <v>65</v>
      </c>
      <c r="F224" s="19" t="s">
        <v>350</v>
      </c>
      <c r="G224" s="195"/>
      <c r="H224" s="10"/>
      <c r="I224" s="11"/>
      <c r="J224" s="11"/>
      <c r="K224" s="11"/>
      <c r="L224" s="11"/>
      <c r="M224" s="11"/>
      <c r="N224" s="11"/>
      <c r="O224" s="12"/>
      <c r="P224" s="11"/>
      <c r="Q224" s="13"/>
      <c r="R224" s="14"/>
    </row>
    <row r="225" spans="1:18" ht="15" customHeight="1" x14ac:dyDescent="0.3">
      <c r="A225" s="19" t="s">
        <v>56</v>
      </c>
      <c r="B225" s="19" t="s">
        <v>296</v>
      </c>
      <c r="C225" s="20">
        <v>0.30208333333333331</v>
      </c>
      <c r="D225" s="19" t="s">
        <v>61</v>
      </c>
      <c r="E225" s="19" t="s">
        <v>65</v>
      </c>
      <c r="F225" s="19" t="s">
        <v>350</v>
      </c>
      <c r="G225" s="195"/>
      <c r="H225" s="10"/>
      <c r="I225" s="11"/>
      <c r="J225" s="11"/>
      <c r="K225" s="11"/>
      <c r="L225" s="11"/>
      <c r="M225" s="11"/>
      <c r="N225" s="11"/>
      <c r="O225" s="12"/>
      <c r="P225" s="11"/>
      <c r="Q225" s="13"/>
      <c r="R225" s="14"/>
    </row>
    <row r="226" spans="1:18" ht="15" customHeight="1" x14ac:dyDescent="0.3">
      <c r="A226" s="19" t="s">
        <v>56</v>
      </c>
      <c r="B226" s="19" t="s">
        <v>299</v>
      </c>
      <c r="C226" s="20">
        <v>0.78819444444444453</v>
      </c>
      <c r="D226" s="19" t="s">
        <v>61</v>
      </c>
      <c r="E226" s="19" t="s">
        <v>65</v>
      </c>
      <c r="F226" s="19" t="s">
        <v>291</v>
      </c>
      <c r="G226" s="195"/>
      <c r="H226" s="10"/>
      <c r="I226" s="11"/>
      <c r="J226" s="11"/>
      <c r="K226" s="11"/>
      <c r="L226" s="11"/>
      <c r="M226" s="11"/>
      <c r="N226" s="11"/>
      <c r="O226" s="12"/>
      <c r="P226" s="11"/>
      <c r="Q226" s="13"/>
      <c r="R226" s="14"/>
    </row>
    <row r="227" spans="1:18" ht="15" customHeight="1" x14ac:dyDescent="0.3">
      <c r="A227" s="19" t="s">
        <v>56</v>
      </c>
      <c r="B227" s="19" t="s">
        <v>295</v>
      </c>
      <c r="C227" s="20">
        <v>0.82986111111111116</v>
      </c>
      <c r="D227" s="19" t="s">
        <v>58</v>
      </c>
      <c r="E227" s="19" t="s">
        <v>92</v>
      </c>
      <c r="F227" s="19" t="s">
        <v>351</v>
      </c>
      <c r="G227" s="195"/>
      <c r="H227" s="10"/>
      <c r="I227" s="11"/>
      <c r="J227" s="11"/>
      <c r="K227" s="11"/>
      <c r="L227" s="11"/>
      <c r="M227" s="11"/>
      <c r="N227" s="11"/>
      <c r="O227" s="12"/>
      <c r="P227" s="11"/>
      <c r="Q227" s="13"/>
      <c r="R227" s="14"/>
    </row>
    <row r="228" spans="1:18" ht="15" customHeight="1" thickBot="1" x14ac:dyDescent="0.35">
      <c r="A228" s="49" t="s">
        <v>56</v>
      </c>
      <c r="B228" s="49" t="s">
        <v>295</v>
      </c>
      <c r="C228" s="50">
        <v>0.82986111111111116</v>
      </c>
      <c r="D228" s="49" t="s">
        <v>61</v>
      </c>
      <c r="E228" s="49" t="s">
        <v>94</v>
      </c>
      <c r="F228" s="49" t="s">
        <v>352</v>
      </c>
      <c r="G228" s="196"/>
      <c r="H228" s="51"/>
      <c r="I228" s="52"/>
      <c r="J228" s="52"/>
      <c r="K228" s="52"/>
      <c r="L228" s="52"/>
      <c r="M228" s="52"/>
      <c r="N228" s="52"/>
      <c r="O228" s="53"/>
      <c r="P228" s="52"/>
      <c r="Q228" s="54"/>
      <c r="R228" s="55"/>
    </row>
    <row r="229" spans="1:18" ht="17.399999999999999" customHeight="1" thickBot="1" x14ac:dyDescent="0.35">
      <c r="A229" s="222"/>
      <c r="B229" s="223"/>
      <c r="C229" s="223"/>
      <c r="D229" s="223"/>
      <c r="E229" s="223"/>
      <c r="F229" s="223"/>
      <c r="G229" s="223"/>
      <c r="H229" s="223"/>
      <c r="I229" s="223"/>
      <c r="J229" s="223"/>
      <c r="K229" s="223"/>
      <c r="L229" s="223"/>
      <c r="M229" s="223"/>
      <c r="N229" s="223"/>
      <c r="O229" s="223"/>
      <c r="P229" s="223"/>
      <c r="Q229" s="223"/>
      <c r="R229" s="224"/>
    </row>
    <row r="230" spans="1:18" ht="22.05" customHeight="1" thickTop="1" thickBot="1" x14ac:dyDescent="0.35">
      <c r="A230" s="193" t="s">
        <v>6</v>
      </c>
      <c r="B230" s="191"/>
      <c r="C230" s="191"/>
      <c r="D230" s="191"/>
      <c r="E230" s="191"/>
      <c r="F230" s="192"/>
      <c r="G230" s="31">
        <v>45986</v>
      </c>
      <c r="H230" s="190" t="s">
        <v>7</v>
      </c>
      <c r="I230" s="191"/>
      <c r="J230" s="191"/>
      <c r="K230" s="191"/>
      <c r="L230" s="191"/>
      <c r="M230" s="191"/>
      <c r="N230" s="191"/>
      <c r="O230" s="191"/>
      <c r="P230" s="191"/>
      <c r="Q230" s="191"/>
      <c r="R230" s="192"/>
    </row>
    <row r="231" spans="1:18" ht="24" customHeight="1" x14ac:dyDescent="0.3">
      <c r="A231" s="32" t="s">
        <v>8</v>
      </c>
      <c r="B231" s="32" t="s">
        <v>9</v>
      </c>
      <c r="C231" s="33" t="s">
        <v>10</v>
      </c>
      <c r="D231" s="32" t="s">
        <v>11</v>
      </c>
      <c r="E231" s="32" t="s">
        <v>12</v>
      </c>
      <c r="F231" s="34" t="s">
        <v>13</v>
      </c>
      <c r="G231" s="35" t="s">
        <v>14</v>
      </c>
      <c r="H231" s="32" t="s">
        <v>15</v>
      </c>
      <c r="I231" s="36" t="s">
        <v>16</v>
      </c>
      <c r="J231" s="37" t="s">
        <v>17</v>
      </c>
      <c r="K231" s="38" t="s">
        <v>18</v>
      </c>
      <c r="L231" s="37" t="s">
        <v>19</v>
      </c>
      <c r="M231" s="37" t="s">
        <v>20</v>
      </c>
      <c r="N231" s="37" t="s">
        <v>21</v>
      </c>
      <c r="O231" s="32" t="s">
        <v>22</v>
      </c>
      <c r="P231" s="33" t="s">
        <v>23</v>
      </c>
      <c r="Q231" s="37" t="s">
        <v>24</v>
      </c>
      <c r="R231" s="32" t="s">
        <v>25</v>
      </c>
    </row>
    <row r="232" spans="1:18" ht="15" customHeight="1" x14ac:dyDescent="0.3">
      <c r="A232" s="8" t="s">
        <v>260</v>
      </c>
      <c r="B232" s="8" t="s">
        <v>261</v>
      </c>
      <c r="C232" s="9">
        <v>0.66666666666666663</v>
      </c>
      <c r="D232" s="8" t="s">
        <v>262</v>
      </c>
      <c r="E232" s="8" t="s">
        <v>86</v>
      </c>
      <c r="F232" s="8" t="s">
        <v>356</v>
      </c>
      <c r="G232" s="194"/>
      <c r="H232" s="10"/>
      <c r="I232" s="11"/>
      <c r="J232" s="11"/>
      <c r="K232" s="11"/>
      <c r="L232" s="11"/>
      <c r="M232" s="11"/>
      <c r="N232" s="11"/>
      <c r="O232" s="12"/>
      <c r="P232" s="11"/>
      <c r="Q232" s="13"/>
      <c r="R232" s="14"/>
    </row>
    <row r="233" spans="1:18" ht="15" customHeight="1" x14ac:dyDescent="0.3">
      <c r="A233" s="19" t="s">
        <v>260</v>
      </c>
      <c r="B233" s="19" t="s">
        <v>327</v>
      </c>
      <c r="C233" s="20">
        <v>0.36458333333333331</v>
      </c>
      <c r="D233" s="19" t="s">
        <v>262</v>
      </c>
      <c r="E233" s="19" t="s">
        <v>92</v>
      </c>
      <c r="F233" s="19" t="s">
        <v>356</v>
      </c>
      <c r="G233" s="195"/>
      <c r="H233" s="10"/>
      <c r="I233" s="11"/>
      <c r="J233" s="11"/>
      <c r="K233" s="11"/>
      <c r="L233" s="11"/>
      <c r="M233" s="11"/>
      <c r="N233" s="11"/>
      <c r="O233" s="12"/>
      <c r="P233" s="11"/>
      <c r="Q233" s="13"/>
      <c r="R233" s="14"/>
    </row>
    <row r="234" spans="1:18" ht="15" customHeight="1" x14ac:dyDescent="0.3">
      <c r="A234" s="19" t="s">
        <v>260</v>
      </c>
      <c r="B234" s="19" t="s">
        <v>386</v>
      </c>
      <c r="C234" s="20">
        <v>4.5138888888888888E-2</v>
      </c>
      <c r="D234" s="19" t="s">
        <v>262</v>
      </c>
      <c r="E234" s="19" t="s">
        <v>92</v>
      </c>
      <c r="F234" s="19" t="s">
        <v>356</v>
      </c>
      <c r="G234" s="195"/>
      <c r="H234" s="10"/>
      <c r="I234" s="11"/>
      <c r="J234" s="11"/>
      <c r="K234" s="11"/>
      <c r="L234" s="11"/>
      <c r="M234" s="11"/>
      <c r="N234" s="11"/>
      <c r="O234" s="12"/>
      <c r="P234" s="11"/>
      <c r="Q234" s="13"/>
      <c r="R234" s="14"/>
    </row>
    <row r="235" spans="1:18" ht="15" customHeight="1" x14ac:dyDescent="0.3">
      <c r="A235" s="17" t="s">
        <v>26</v>
      </c>
      <c r="B235" s="17" t="s">
        <v>234</v>
      </c>
      <c r="C235" s="18">
        <v>0.30208333333333331</v>
      </c>
      <c r="D235" s="17" t="s">
        <v>28</v>
      </c>
      <c r="E235" s="17" t="s">
        <v>59</v>
      </c>
      <c r="F235" s="17" t="s">
        <v>387</v>
      </c>
      <c r="G235" s="195"/>
      <c r="H235" s="10"/>
      <c r="I235" s="11"/>
      <c r="J235" s="11"/>
      <c r="K235" s="11"/>
      <c r="L235" s="11"/>
      <c r="M235" s="11"/>
      <c r="N235" s="11"/>
      <c r="O235" s="12"/>
      <c r="P235" s="11"/>
      <c r="Q235" s="13"/>
      <c r="R235" s="14"/>
    </row>
    <row r="236" spans="1:18" ht="15" customHeight="1" x14ac:dyDescent="0.3">
      <c r="A236" s="15" t="s">
        <v>26</v>
      </c>
      <c r="B236" s="15" t="s">
        <v>234</v>
      </c>
      <c r="C236" s="16">
        <v>0.30208333333333331</v>
      </c>
      <c r="D236" s="15" t="s">
        <v>31</v>
      </c>
      <c r="E236" s="15" t="s">
        <v>62</v>
      </c>
      <c r="F236" s="15" t="s">
        <v>388</v>
      </c>
      <c r="G236" s="195"/>
      <c r="H236" s="10"/>
      <c r="I236" s="11"/>
      <c r="J236" s="11"/>
      <c r="K236" s="11"/>
      <c r="L236" s="11"/>
      <c r="M236" s="11"/>
      <c r="N236" s="11"/>
      <c r="O236" s="12"/>
      <c r="P236" s="11"/>
      <c r="Q236" s="13"/>
      <c r="R236" s="14"/>
    </row>
    <row r="237" spans="1:18" ht="15" customHeight="1" x14ac:dyDescent="0.3">
      <c r="A237" s="15" t="s">
        <v>26</v>
      </c>
      <c r="B237" s="15" t="s">
        <v>234</v>
      </c>
      <c r="C237" s="16">
        <v>0.30208333333333331</v>
      </c>
      <c r="D237" s="15" t="s">
        <v>34</v>
      </c>
      <c r="E237" s="15" t="s">
        <v>62</v>
      </c>
      <c r="F237" s="15" t="s">
        <v>81</v>
      </c>
      <c r="G237" s="195"/>
      <c r="H237" s="10"/>
      <c r="I237" s="11"/>
      <c r="J237" s="11"/>
      <c r="K237" s="11"/>
      <c r="L237" s="11"/>
      <c r="M237" s="11"/>
      <c r="N237" s="11"/>
      <c r="O237" s="12"/>
      <c r="P237" s="11"/>
      <c r="Q237" s="13"/>
      <c r="R237" s="14"/>
    </row>
    <row r="238" spans="1:18" ht="15" customHeight="1" x14ac:dyDescent="0.3">
      <c r="A238" s="19" t="s">
        <v>26</v>
      </c>
      <c r="B238" s="19" t="s">
        <v>226</v>
      </c>
      <c r="C238" s="20">
        <v>0.12847222222222221</v>
      </c>
      <c r="D238" s="19" t="s">
        <v>28</v>
      </c>
      <c r="E238" s="19" t="s">
        <v>315</v>
      </c>
      <c r="F238" s="19" t="s">
        <v>387</v>
      </c>
      <c r="G238" s="195"/>
      <c r="H238" s="10"/>
      <c r="I238" s="11"/>
      <c r="J238" s="11"/>
      <c r="K238" s="11"/>
      <c r="L238" s="11"/>
      <c r="M238" s="11"/>
      <c r="N238" s="11"/>
      <c r="O238" s="12"/>
      <c r="P238" s="11"/>
      <c r="Q238" s="13"/>
      <c r="R238" s="14"/>
    </row>
    <row r="239" spans="1:18" ht="15" customHeight="1" x14ac:dyDescent="0.3">
      <c r="A239" s="15" t="s">
        <v>26</v>
      </c>
      <c r="B239" s="15" t="s">
        <v>226</v>
      </c>
      <c r="C239" s="16">
        <v>0.12847222222222221</v>
      </c>
      <c r="D239" s="15" t="s">
        <v>31</v>
      </c>
      <c r="E239" s="15" t="s">
        <v>103</v>
      </c>
      <c r="F239" s="15" t="s">
        <v>388</v>
      </c>
      <c r="G239" s="195"/>
      <c r="H239" s="10"/>
      <c r="I239" s="11"/>
      <c r="J239" s="11"/>
      <c r="K239" s="11"/>
      <c r="L239" s="11"/>
      <c r="M239" s="11"/>
      <c r="N239" s="11"/>
      <c r="O239" s="12"/>
      <c r="P239" s="11"/>
      <c r="Q239" s="13"/>
      <c r="R239" s="14"/>
    </row>
    <row r="240" spans="1:18" ht="15" customHeight="1" x14ac:dyDescent="0.3">
      <c r="A240" s="15" t="s">
        <v>26</v>
      </c>
      <c r="B240" s="15" t="s">
        <v>226</v>
      </c>
      <c r="C240" s="16">
        <v>0.12847222222222221</v>
      </c>
      <c r="D240" s="15" t="s">
        <v>34</v>
      </c>
      <c r="E240" s="15" t="s">
        <v>103</v>
      </c>
      <c r="F240" s="15" t="s">
        <v>81</v>
      </c>
      <c r="G240" s="195"/>
      <c r="H240" s="10"/>
      <c r="I240" s="11"/>
      <c r="J240" s="11"/>
      <c r="K240" s="11"/>
      <c r="L240" s="11"/>
      <c r="M240" s="11"/>
      <c r="N240" s="11"/>
      <c r="O240" s="12"/>
      <c r="P240" s="11"/>
      <c r="Q240" s="13"/>
      <c r="R240" s="14"/>
    </row>
    <row r="241" spans="1:18" ht="15" customHeight="1" x14ac:dyDescent="0.3">
      <c r="A241" s="19" t="s">
        <v>26</v>
      </c>
      <c r="B241" s="19" t="s">
        <v>230</v>
      </c>
      <c r="C241" s="20">
        <v>0.78819444444444453</v>
      </c>
      <c r="D241" s="19" t="s">
        <v>28</v>
      </c>
      <c r="E241" s="19" t="s">
        <v>54</v>
      </c>
      <c r="F241" s="19" t="s">
        <v>387</v>
      </c>
      <c r="G241" s="195"/>
      <c r="H241" s="10"/>
      <c r="I241" s="11"/>
      <c r="J241" s="11"/>
      <c r="K241" s="11"/>
      <c r="L241" s="11"/>
      <c r="M241" s="11"/>
      <c r="N241" s="11"/>
      <c r="O241" s="12"/>
      <c r="P241" s="11"/>
      <c r="Q241" s="13"/>
      <c r="R241" s="14"/>
    </row>
    <row r="242" spans="1:18" ht="15" customHeight="1" x14ac:dyDescent="0.3">
      <c r="A242" s="15" t="s">
        <v>26</v>
      </c>
      <c r="B242" s="15" t="s">
        <v>230</v>
      </c>
      <c r="C242" s="16">
        <v>0.78819444444444453</v>
      </c>
      <c r="D242" s="15" t="s">
        <v>31</v>
      </c>
      <c r="E242" s="15" t="s">
        <v>69</v>
      </c>
      <c r="F242" s="15" t="s">
        <v>388</v>
      </c>
      <c r="G242" s="195"/>
      <c r="H242" s="10"/>
      <c r="I242" s="11"/>
      <c r="J242" s="11"/>
      <c r="K242" s="11"/>
      <c r="L242" s="11"/>
      <c r="M242" s="11"/>
      <c r="N242" s="11"/>
      <c r="O242" s="12"/>
      <c r="P242" s="11"/>
      <c r="Q242" s="13"/>
      <c r="R242" s="14"/>
    </row>
    <row r="243" spans="1:18" ht="15" customHeight="1" x14ac:dyDescent="0.3">
      <c r="A243" s="15" t="s">
        <v>26</v>
      </c>
      <c r="B243" s="15" t="s">
        <v>230</v>
      </c>
      <c r="C243" s="16">
        <v>0.78819444444444453</v>
      </c>
      <c r="D243" s="15" t="s">
        <v>34</v>
      </c>
      <c r="E243" s="15" t="s">
        <v>69</v>
      </c>
      <c r="F243" s="15" t="s">
        <v>81</v>
      </c>
      <c r="G243" s="195"/>
      <c r="H243" s="10"/>
      <c r="I243" s="11"/>
      <c r="J243" s="11"/>
      <c r="K243" s="11"/>
      <c r="L243" s="11"/>
      <c r="M243" s="11"/>
      <c r="N243" s="11"/>
      <c r="O243" s="12"/>
      <c r="P243" s="11"/>
      <c r="Q243" s="13"/>
      <c r="R243" s="14"/>
    </row>
    <row r="244" spans="1:18" ht="15" customHeight="1" x14ac:dyDescent="0.3">
      <c r="A244" s="19" t="s">
        <v>26</v>
      </c>
      <c r="B244" s="19" t="s">
        <v>231</v>
      </c>
      <c r="C244" s="20">
        <v>0.88888888888888884</v>
      </c>
      <c r="D244" s="19" t="s">
        <v>28</v>
      </c>
      <c r="E244" s="19" t="s">
        <v>88</v>
      </c>
      <c r="F244" s="19" t="s">
        <v>387</v>
      </c>
      <c r="G244" s="195"/>
      <c r="H244" s="10"/>
      <c r="I244" s="11"/>
      <c r="J244" s="11"/>
      <c r="K244" s="11"/>
      <c r="L244" s="11"/>
      <c r="M244" s="11"/>
      <c r="N244" s="11"/>
      <c r="O244" s="12"/>
      <c r="P244" s="11"/>
      <c r="Q244" s="13"/>
      <c r="R244" s="14"/>
    </row>
    <row r="245" spans="1:18" ht="15" customHeight="1" x14ac:dyDescent="0.3">
      <c r="A245" s="15" t="s">
        <v>26</v>
      </c>
      <c r="B245" s="15" t="s">
        <v>231</v>
      </c>
      <c r="C245" s="16">
        <v>0.88888888888888884</v>
      </c>
      <c r="D245" s="15" t="s">
        <v>31</v>
      </c>
      <c r="E245" s="15" t="s">
        <v>228</v>
      </c>
      <c r="F245" s="15" t="s">
        <v>388</v>
      </c>
      <c r="G245" s="195"/>
      <c r="H245" s="10"/>
      <c r="I245" s="11"/>
      <c r="J245" s="11"/>
      <c r="K245" s="11"/>
      <c r="L245" s="11"/>
      <c r="M245" s="11"/>
      <c r="N245" s="11"/>
      <c r="O245" s="12"/>
      <c r="P245" s="11"/>
      <c r="Q245" s="13"/>
      <c r="R245" s="14"/>
    </row>
    <row r="246" spans="1:18" ht="15" customHeight="1" x14ac:dyDescent="0.3">
      <c r="A246" s="15" t="s">
        <v>26</v>
      </c>
      <c r="B246" s="15" t="s">
        <v>231</v>
      </c>
      <c r="C246" s="16">
        <v>0.88888888888888884</v>
      </c>
      <c r="D246" s="15" t="s">
        <v>34</v>
      </c>
      <c r="E246" s="15" t="s">
        <v>228</v>
      </c>
      <c r="F246" s="15" t="s">
        <v>81</v>
      </c>
      <c r="G246" s="195"/>
      <c r="H246" s="10"/>
      <c r="I246" s="11"/>
      <c r="J246" s="11"/>
      <c r="K246" s="11"/>
      <c r="L246" s="11"/>
      <c r="M246" s="11"/>
      <c r="N246" s="11"/>
      <c r="O246" s="12"/>
      <c r="P246" s="11"/>
      <c r="Q246" s="13"/>
      <c r="R246" s="14"/>
    </row>
    <row r="247" spans="1:18" ht="15" customHeight="1" x14ac:dyDescent="0.3">
      <c r="A247" s="110" t="s">
        <v>73</v>
      </c>
      <c r="B247" s="110" t="s">
        <v>330</v>
      </c>
      <c r="C247" s="111">
        <v>0.93402777777777779</v>
      </c>
      <c r="D247" s="110" t="s">
        <v>111</v>
      </c>
      <c r="E247" s="110" t="s">
        <v>51</v>
      </c>
      <c r="F247" s="110" t="s">
        <v>389</v>
      </c>
      <c r="G247" s="195"/>
      <c r="H247" s="112" t="s">
        <v>332</v>
      </c>
      <c r="I247" s="173">
        <v>0.68159999999999998</v>
      </c>
      <c r="J247" s="114">
        <v>122</v>
      </c>
      <c r="K247" s="115">
        <v>45981</v>
      </c>
      <c r="L247" s="114">
        <v>26</v>
      </c>
      <c r="M247" s="114">
        <v>2</v>
      </c>
      <c r="N247" s="114">
        <v>2</v>
      </c>
      <c r="O247" s="116" t="s">
        <v>174</v>
      </c>
      <c r="P247" s="117">
        <v>0.93402777777777779</v>
      </c>
      <c r="Q247" s="114">
        <v>179</v>
      </c>
      <c r="R247" s="118" t="s">
        <v>390</v>
      </c>
    </row>
    <row r="248" spans="1:18" ht="15" customHeight="1" x14ac:dyDescent="0.3">
      <c r="A248" s="160" t="s">
        <v>73</v>
      </c>
      <c r="B248" s="160" t="s">
        <v>391</v>
      </c>
      <c r="C248" s="161">
        <v>0.22916666666666671</v>
      </c>
      <c r="D248" s="160" t="s">
        <v>111</v>
      </c>
      <c r="E248" s="160" t="s">
        <v>92</v>
      </c>
      <c r="F248" s="160" t="s">
        <v>389</v>
      </c>
      <c r="G248" s="195"/>
      <c r="H248" s="142" t="s">
        <v>392</v>
      </c>
      <c r="I248" s="162">
        <v>0.35749999999999998</v>
      </c>
      <c r="J248" s="144">
        <v>64</v>
      </c>
      <c r="K248" s="145">
        <v>45981</v>
      </c>
      <c r="L248" s="144">
        <v>47</v>
      </c>
      <c r="M248" s="144">
        <v>9</v>
      </c>
      <c r="N248" s="144">
        <v>1</v>
      </c>
      <c r="O248" s="146" t="s">
        <v>174</v>
      </c>
      <c r="P248" s="147">
        <v>0.22916666666666671</v>
      </c>
      <c r="Q248" s="144">
        <v>179</v>
      </c>
      <c r="R248" s="148" t="s">
        <v>393</v>
      </c>
    </row>
    <row r="249" spans="1:18" ht="15" customHeight="1" x14ac:dyDescent="0.3">
      <c r="A249" s="74" t="s">
        <v>73</v>
      </c>
      <c r="B249" s="74" t="s">
        <v>338</v>
      </c>
      <c r="C249" s="75">
        <v>0.96875</v>
      </c>
      <c r="D249" s="74" t="s">
        <v>111</v>
      </c>
      <c r="E249" s="74" t="s">
        <v>92</v>
      </c>
      <c r="F249" s="74" t="s">
        <v>389</v>
      </c>
      <c r="G249" s="195"/>
      <c r="H249" s="58" t="s">
        <v>278</v>
      </c>
      <c r="I249" s="174">
        <v>0.58660000000000001</v>
      </c>
      <c r="J249" s="60">
        <v>105</v>
      </c>
      <c r="K249" s="61">
        <v>45981</v>
      </c>
      <c r="L249" s="60">
        <v>36</v>
      </c>
      <c r="M249" s="60">
        <v>5</v>
      </c>
      <c r="N249" s="60">
        <v>7</v>
      </c>
      <c r="O249" s="62" t="s">
        <v>174</v>
      </c>
      <c r="P249" s="63">
        <v>0.96875</v>
      </c>
      <c r="Q249" s="60">
        <v>179</v>
      </c>
      <c r="R249" s="64" t="s">
        <v>394</v>
      </c>
    </row>
    <row r="250" spans="1:18" ht="15" customHeight="1" x14ac:dyDescent="0.3">
      <c r="A250" s="163" t="s">
        <v>73</v>
      </c>
      <c r="B250" s="163" t="s">
        <v>273</v>
      </c>
      <c r="C250" s="164">
        <v>0.61458333333333337</v>
      </c>
      <c r="D250" s="163" t="s">
        <v>111</v>
      </c>
      <c r="E250" s="163" t="s">
        <v>92</v>
      </c>
      <c r="F250" s="163" t="s">
        <v>389</v>
      </c>
      <c r="G250" s="195"/>
      <c r="H250" s="166" t="s">
        <v>275</v>
      </c>
      <c r="I250" s="175">
        <v>0.82679999999999998</v>
      </c>
      <c r="J250" s="168">
        <v>148</v>
      </c>
      <c r="K250" s="169">
        <v>45981</v>
      </c>
      <c r="L250" s="168">
        <v>37</v>
      </c>
      <c r="M250" s="168">
        <v>12</v>
      </c>
      <c r="N250" s="168">
        <v>3</v>
      </c>
      <c r="O250" s="170" t="s">
        <v>174</v>
      </c>
      <c r="P250" s="171">
        <v>0.61458333333333337</v>
      </c>
      <c r="Q250" s="168">
        <v>179</v>
      </c>
      <c r="R250" s="172" t="s">
        <v>395</v>
      </c>
    </row>
    <row r="251" spans="1:18" ht="15" customHeight="1" x14ac:dyDescent="0.3">
      <c r="A251" s="74" t="s">
        <v>73</v>
      </c>
      <c r="B251" s="74" t="s">
        <v>340</v>
      </c>
      <c r="C251" s="75">
        <v>0.72916666666666663</v>
      </c>
      <c r="D251" s="74" t="s">
        <v>111</v>
      </c>
      <c r="E251" s="74" t="s">
        <v>72</v>
      </c>
      <c r="F251" s="74" t="s">
        <v>396</v>
      </c>
      <c r="G251" s="195"/>
      <c r="H251" s="58" t="s">
        <v>343</v>
      </c>
      <c r="I251" s="77">
        <v>0.91059999999999997</v>
      </c>
      <c r="J251" s="60">
        <v>163</v>
      </c>
      <c r="K251" s="61">
        <v>45980</v>
      </c>
      <c r="L251" s="60">
        <v>23</v>
      </c>
      <c r="M251" s="60">
        <v>0</v>
      </c>
      <c r="N251" s="60">
        <v>3</v>
      </c>
      <c r="O251" s="62" t="s">
        <v>397</v>
      </c>
      <c r="P251" s="63">
        <v>0.72916666666666663</v>
      </c>
      <c r="Q251" s="60">
        <v>179</v>
      </c>
      <c r="R251" s="64" t="s">
        <v>398</v>
      </c>
    </row>
    <row r="252" spans="1:18" ht="15" customHeight="1" x14ac:dyDescent="0.3">
      <c r="A252" s="163" t="s">
        <v>73</v>
      </c>
      <c r="B252" s="163" t="s">
        <v>371</v>
      </c>
      <c r="C252" s="164">
        <v>0.55902777777777779</v>
      </c>
      <c r="D252" s="163" t="s">
        <v>75</v>
      </c>
      <c r="E252" s="165"/>
      <c r="F252" s="163" t="s">
        <v>76</v>
      </c>
      <c r="G252" s="195"/>
      <c r="H252" s="166" t="s">
        <v>371</v>
      </c>
      <c r="I252" s="167">
        <v>0.9385</v>
      </c>
      <c r="J252" s="168">
        <v>168</v>
      </c>
      <c r="K252" s="169">
        <v>45979</v>
      </c>
      <c r="L252" s="168">
        <v>27</v>
      </c>
      <c r="M252" s="168">
        <v>0</v>
      </c>
      <c r="N252" s="168">
        <v>0</v>
      </c>
      <c r="O252" s="170" t="s">
        <v>77</v>
      </c>
      <c r="P252" s="171">
        <v>0.55902777777777779</v>
      </c>
      <c r="Q252" s="168">
        <v>179</v>
      </c>
      <c r="R252" s="172" t="s">
        <v>399</v>
      </c>
    </row>
    <row r="253" spans="1:18" ht="15" customHeight="1" x14ac:dyDescent="0.3">
      <c r="A253" s="17" t="s">
        <v>36</v>
      </c>
      <c r="B253" s="17" t="s">
        <v>241</v>
      </c>
      <c r="C253" s="18">
        <v>0.90277777777777779</v>
      </c>
      <c r="D253" s="17" t="s">
        <v>38</v>
      </c>
      <c r="E253" s="17" t="s">
        <v>106</v>
      </c>
      <c r="F253" s="17" t="s">
        <v>400</v>
      </c>
      <c r="G253" s="195"/>
      <c r="H253" s="10"/>
      <c r="I253" s="11"/>
      <c r="J253" s="11"/>
      <c r="K253" s="11"/>
      <c r="L253" s="11"/>
      <c r="M253" s="11"/>
      <c r="N253" s="11"/>
      <c r="O253" s="12"/>
      <c r="P253" s="11"/>
      <c r="Q253" s="13"/>
      <c r="R253" s="14"/>
    </row>
    <row r="254" spans="1:18" ht="15" customHeight="1" x14ac:dyDescent="0.3">
      <c r="A254" s="15" t="s">
        <v>36</v>
      </c>
      <c r="B254" s="15" t="s">
        <v>241</v>
      </c>
      <c r="C254" s="16">
        <v>0.90277777777777779</v>
      </c>
      <c r="D254" s="15" t="s">
        <v>41</v>
      </c>
      <c r="E254" s="15" t="s">
        <v>69</v>
      </c>
      <c r="F254" s="15" t="s">
        <v>319</v>
      </c>
      <c r="G254" s="195"/>
      <c r="H254" s="10"/>
      <c r="I254" s="11"/>
      <c r="J254" s="11"/>
      <c r="K254" s="11"/>
      <c r="L254" s="11"/>
      <c r="M254" s="11"/>
      <c r="N254" s="11"/>
      <c r="O254" s="12"/>
      <c r="P254" s="11"/>
      <c r="Q254" s="13"/>
      <c r="R254" s="14"/>
    </row>
    <row r="255" spans="1:18" ht="15" customHeight="1" x14ac:dyDescent="0.3">
      <c r="A255" s="15" t="s">
        <v>36</v>
      </c>
      <c r="B255" s="15" t="s">
        <v>241</v>
      </c>
      <c r="C255" s="16">
        <v>0.90277777777777779</v>
      </c>
      <c r="D255" s="15" t="s">
        <v>43</v>
      </c>
      <c r="E255" s="15" t="s">
        <v>69</v>
      </c>
      <c r="F255" s="15" t="s">
        <v>107</v>
      </c>
      <c r="G255" s="195"/>
      <c r="H255" s="10"/>
      <c r="I255" s="11"/>
      <c r="J255" s="11"/>
      <c r="K255" s="11"/>
      <c r="L255" s="11"/>
      <c r="M255" s="11"/>
      <c r="N255" s="11"/>
      <c r="O255" s="12"/>
      <c r="P255" s="11"/>
      <c r="Q255" s="13"/>
      <c r="R255" s="14"/>
    </row>
    <row r="256" spans="1:18" ht="15" customHeight="1" x14ac:dyDescent="0.3">
      <c r="A256" s="19" t="s">
        <v>36</v>
      </c>
      <c r="B256" s="19" t="s">
        <v>245</v>
      </c>
      <c r="C256" s="20">
        <v>0.85416666666666663</v>
      </c>
      <c r="D256" s="19" t="s">
        <v>38</v>
      </c>
      <c r="E256" s="19" t="s">
        <v>54</v>
      </c>
      <c r="F256" s="19" t="s">
        <v>400</v>
      </c>
      <c r="G256" s="195"/>
      <c r="H256" s="10"/>
      <c r="I256" s="11"/>
      <c r="J256" s="11"/>
      <c r="K256" s="11"/>
      <c r="L256" s="11"/>
      <c r="M256" s="11"/>
      <c r="N256" s="11"/>
      <c r="O256" s="12"/>
      <c r="P256" s="11"/>
      <c r="Q256" s="13"/>
      <c r="R256" s="14"/>
    </row>
    <row r="257" spans="1:18" ht="15" customHeight="1" x14ac:dyDescent="0.3">
      <c r="A257" s="15" t="s">
        <v>36</v>
      </c>
      <c r="B257" s="15" t="s">
        <v>245</v>
      </c>
      <c r="C257" s="16">
        <v>0.85416666666666663</v>
      </c>
      <c r="D257" s="15" t="s">
        <v>41</v>
      </c>
      <c r="E257" s="15" t="s">
        <v>69</v>
      </c>
      <c r="F257" s="15" t="s">
        <v>319</v>
      </c>
      <c r="G257" s="195"/>
      <c r="H257" s="10"/>
      <c r="I257" s="11"/>
      <c r="J257" s="11"/>
      <c r="K257" s="11"/>
      <c r="L257" s="11"/>
      <c r="M257" s="11"/>
      <c r="N257" s="11"/>
      <c r="O257" s="12"/>
      <c r="P257" s="11"/>
      <c r="Q257" s="13"/>
      <c r="R257" s="14"/>
    </row>
    <row r="258" spans="1:18" ht="15" customHeight="1" x14ac:dyDescent="0.3">
      <c r="A258" s="15" t="s">
        <v>36</v>
      </c>
      <c r="B258" s="15" t="s">
        <v>245</v>
      </c>
      <c r="C258" s="16">
        <v>0.85416666666666663</v>
      </c>
      <c r="D258" s="15" t="s">
        <v>43</v>
      </c>
      <c r="E258" s="15" t="s">
        <v>69</v>
      </c>
      <c r="F258" s="15" t="s">
        <v>107</v>
      </c>
      <c r="G258" s="195"/>
      <c r="H258" s="10"/>
      <c r="I258" s="11"/>
      <c r="J258" s="11"/>
      <c r="K258" s="11"/>
      <c r="L258" s="11"/>
      <c r="M258" s="11"/>
      <c r="N258" s="11"/>
      <c r="O258" s="12"/>
      <c r="P258" s="11"/>
      <c r="Q258" s="13"/>
      <c r="R258" s="14"/>
    </row>
    <row r="259" spans="1:18" ht="15" customHeight="1" x14ac:dyDescent="0.3">
      <c r="A259" s="19" t="s">
        <v>36</v>
      </c>
      <c r="B259" s="19" t="s">
        <v>246</v>
      </c>
      <c r="C259" s="20">
        <v>0.79861111111111116</v>
      </c>
      <c r="D259" s="19" t="s">
        <v>38</v>
      </c>
      <c r="E259" s="19" t="s">
        <v>243</v>
      </c>
      <c r="F259" s="19" t="s">
        <v>400</v>
      </c>
      <c r="G259" s="195"/>
      <c r="H259" s="10"/>
      <c r="I259" s="11"/>
      <c r="J259" s="11"/>
      <c r="K259" s="11"/>
      <c r="L259" s="11"/>
      <c r="M259" s="11"/>
      <c r="N259" s="11"/>
      <c r="O259" s="12"/>
      <c r="P259" s="11"/>
      <c r="Q259" s="13"/>
      <c r="R259" s="14"/>
    </row>
    <row r="260" spans="1:18" ht="15" customHeight="1" x14ac:dyDescent="0.3">
      <c r="A260" s="15" t="s">
        <v>36</v>
      </c>
      <c r="B260" s="15" t="s">
        <v>246</v>
      </c>
      <c r="C260" s="16">
        <v>0.79861111111111116</v>
      </c>
      <c r="D260" s="15" t="s">
        <v>41</v>
      </c>
      <c r="E260" s="15" t="s">
        <v>244</v>
      </c>
      <c r="F260" s="15" t="s">
        <v>319</v>
      </c>
      <c r="G260" s="195"/>
      <c r="H260" s="10"/>
      <c r="I260" s="11"/>
      <c r="J260" s="11"/>
      <c r="K260" s="11"/>
      <c r="L260" s="11"/>
      <c r="M260" s="11"/>
      <c r="N260" s="11"/>
      <c r="O260" s="12"/>
      <c r="P260" s="11"/>
      <c r="Q260" s="13"/>
      <c r="R260" s="14"/>
    </row>
    <row r="261" spans="1:18" ht="15" customHeight="1" x14ac:dyDescent="0.3">
      <c r="A261" s="15" t="s">
        <v>36</v>
      </c>
      <c r="B261" s="15" t="s">
        <v>246</v>
      </c>
      <c r="C261" s="16">
        <v>0.79861111111111116</v>
      </c>
      <c r="D261" s="15" t="s">
        <v>43</v>
      </c>
      <c r="E261" s="15" t="s">
        <v>244</v>
      </c>
      <c r="F261" s="15" t="s">
        <v>107</v>
      </c>
      <c r="G261" s="195"/>
      <c r="H261" s="10"/>
      <c r="I261" s="11"/>
      <c r="J261" s="11"/>
      <c r="K261" s="11"/>
      <c r="L261" s="11"/>
      <c r="M261" s="11"/>
      <c r="N261" s="11"/>
      <c r="O261" s="12"/>
      <c r="P261" s="11"/>
      <c r="Q261" s="13"/>
      <c r="R261" s="14"/>
    </row>
    <row r="262" spans="1:18" ht="15" customHeight="1" x14ac:dyDescent="0.3">
      <c r="A262" s="19" t="s">
        <v>36</v>
      </c>
      <c r="B262" s="19" t="s">
        <v>237</v>
      </c>
      <c r="C262" s="20">
        <v>0.25694444444444448</v>
      </c>
      <c r="D262" s="19" t="s">
        <v>38</v>
      </c>
      <c r="E262" s="19" t="s">
        <v>46</v>
      </c>
      <c r="F262" s="19" t="s">
        <v>401</v>
      </c>
      <c r="G262" s="195"/>
      <c r="H262" s="10"/>
      <c r="I262" s="11"/>
      <c r="J262" s="11"/>
      <c r="K262" s="11"/>
      <c r="L262" s="11"/>
      <c r="M262" s="11"/>
      <c r="N262" s="11"/>
      <c r="O262" s="12"/>
      <c r="P262" s="11"/>
      <c r="Q262" s="13"/>
      <c r="R262" s="14"/>
    </row>
    <row r="263" spans="1:18" ht="15" customHeight="1" x14ac:dyDescent="0.3">
      <c r="A263" s="15" t="s">
        <v>36</v>
      </c>
      <c r="B263" s="15" t="s">
        <v>237</v>
      </c>
      <c r="C263" s="16">
        <v>0.25694444444444448</v>
      </c>
      <c r="D263" s="15" t="s">
        <v>41</v>
      </c>
      <c r="E263" s="15" t="s">
        <v>47</v>
      </c>
      <c r="F263" s="15" t="s">
        <v>316</v>
      </c>
      <c r="G263" s="195"/>
      <c r="H263" s="10"/>
      <c r="I263" s="11"/>
      <c r="J263" s="11"/>
      <c r="K263" s="11"/>
      <c r="L263" s="11"/>
      <c r="M263" s="11"/>
      <c r="N263" s="11"/>
      <c r="O263" s="12"/>
      <c r="P263" s="11"/>
      <c r="Q263" s="13"/>
      <c r="R263" s="14"/>
    </row>
    <row r="264" spans="1:18" ht="15" customHeight="1" x14ac:dyDescent="0.3">
      <c r="A264" s="15" t="s">
        <v>36</v>
      </c>
      <c r="B264" s="15" t="s">
        <v>237</v>
      </c>
      <c r="C264" s="16">
        <v>0.25694444444444448</v>
      </c>
      <c r="D264" s="15" t="s">
        <v>43</v>
      </c>
      <c r="E264" s="15" t="s">
        <v>47</v>
      </c>
      <c r="F264" s="15" t="s">
        <v>402</v>
      </c>
      <c r="G264" s="195"/>
      <c r="H264" s="10"/>
      <c r="I264" s="11"/>
      <c r="J264" s="11"/>
      <c r="K264" s="11"/>
      <c r="L264" s="11"/>
      <c r="M264" s="11"/>
      <c r="N264" s="11"/>
      <c r="O264" s="12"/>
      <c r="P264" s="11"/>
      <c r="Q264" s="13"/>
      <c r="R264" s="14"/>
    </row>
    <row r="265" spans="1:18" ht="15" customHeight="1" x14ac:dyDescent="0.3">
      <c r="A265" s="19" t="s">
        <v>36</v>
      </c>
      <c r="B265" s="19" t="s">
        <v>247</v>
      </c>
      <c r="C265" s="20">
        <v>0.64583333333333337</v>
      </c>
      <c r="D265" s="19" t="s">
        <v>38</v>
      </c>
      <c r="E265" s="19" t="s">
        <v>46</v>
      </c>
      <c r="F265" s="19" t="s">
        <v>401</v>
      </c>
      <c r="G265" s="195"/>
      <c r="H265" s="10"/>
      <c r="I265" s="11"/>
      <c r="J265" s="11"/>
      <c r="K265" s="11"/>
      <c r="L265" s="11"/>
      <c r="M265" s="11"/>
      <c r="N265" s="11"/>
      <c r="O265" s="12"/>
      <c r="P265" s="11"/>
      <c r="Q265" s="13"/>
      <c r="R265" s="14"/>
    </row>
    <row r="266" spans="1:18" ht="15" customHeight="1" x14ac:dyDescent="0.3">
      <c r="A266" s="15" t="s">
        <v>36</v>
      </c>
      <c r="B266" s="15" t="s">
        <v>247</v>
      </c>
      <c r="C266" s="16">
        <v>0.64583333333333337</v>
      </c>
      <c r="D266" s="15" t="s">
        <v>41</v>
      </c>
      <c r="E266" s="15" t="s">
        <v>47</v>
      </c>
      <c r="F266" s="15" t="s">
        <v>316</v>
      </c>
      <c r="G266" s="195"/>
      <c r="H266" s="10"/>
      <c r="I266" s="11"/>
      <c r="J266" s="11"/>
      <c r="K266" s="11"/>
      <c r="L266" s="11"/>
      <c r="M266" s="11"/>
      <c r="N266" s="11"/>
      <c r="O266" s="12"/>
      <c r="P266" s="11"/>
      <c r="Q266" s="13"/>
      <c r="R266" s="14"/>
    </row>
    <row r="267" spans="1:18" ht="15" customHeight="1" x14ac:dyDescent="0.3">
      <c r="A267" s="15" t="s">
        <v>36</v>
      </c>
      <c r="B267" s="15" t="s">
        <v>247</v>
      </c>
      <c r="C267" s="16">
        <v>0.64583333333333337</v>
      </c>
      <c r="D267" s="15" t="s">
        <v>43</v>
      </c>
      <c r="E267" s="15" t="s">
        <v>47</v>
      </c>
      <c r="F267" s="15" t="s">
        <v>402</v>
      </c>
      <c r="G267" s="195"/>
      <c r="H267" s="10"/>
      <c r="I267" s="11"/>
      <c r="J267" s="11"/>
      <c r="K267" s="11"/>
      <c r="L267" s="11"/>
      <c r="M267" s="11"/>
      <c r="N267" s="11"/>
      <c r="O267" s="12"/>
      <c r="P267" s="11"/>
      <c r="Q267" s="13"/>
      <c r="R267" s="14"/>
    </row>
    <row r="268" spans="1:18" ht="15" customHeight="1" x14ac:dyDescent="0.3">
      <c r="A268" s="19" t="s">
        <v>36</v>
      </c>
      <c r="B268" s="19" t="s">
        <v>242</v>
      </c>
      <c r="C268" s="20">
        <v>0.51736111111111105</v>
      </c>
      <c r="D268" s="19" t="s">
        <v>38</v>
      </c>
      <c r="E268" s="19" t="s">
        <v>46</v>
      </c>
      <c r="F268" s="19" t="s">
        <v>401</v>
      </c>
      <c r="G268" s="195"/>
      <c r="H268" s="10"/>
      <c r="I268" s="11"/>
      <c r="J268" s="11"/>
      <c r="K268" s="11"/>
      <c r="L268" s="11"/>
      <c r="M268" s="11"/>
      <c r="N268" s="11"/>
      <c r="O268" s="12"/>
      <c r="P268" s="11"/>
      <c r="Q268" s="13"/>
      <c r="R268" s="14"/>
    </row>
    <row r="269" spans="1:18" ht="15" customHeight="1" x14ac:dyDescent="0.3">
      <c r="A269" s="15" t="s">
        <v>36</v>
      </c>
      <c r="B269" s="15" t="s">
        <v>242</v>
      </c>
      <c r="C269" s="16">
        <v>0.51736111111111105</v>
      </c>
      <c r="D269" s="15" t="s">
        <v>41</v>
      </c>
      <c r="E269" s="15" t="s">
        <v>47</v>
      </c>
      <c r="F269" s="15" t="s">
        <v>316</v>
      </c>
      <c r="G269" s="195"/>
      <c r="H269" s="10"/>
      <c r="I269" s="11"/>
      <c r="J269" s="11"/>
      <c r="K269" s="11"/>
      <c r="L269" s="11"/>
      <c r="M269" s="11"/>
      <c r="N269" s="11"/>
      <c r="O269" s="12"/>
      <c r="P269" s="11"/>
      <c r="Q269" s="13"/>
      <c r="R269" s="14"/>
    </row>
    <row r="270" spans="1:18" ht="15" customHeight="1" x14ac:dyDescent="0.3">
      <c r="A270" s="15" t="s">
        <v>36</v>
      </c>
      <c r="B270" s="15" t="s">
        <v>242</v>
      </c>
      <c r="C270" s="16">
        <v>0.51736111111111105</v>
      </c>
      <c r="D270" s="15" t="s">
        <v>43</v>
      </c>
      <c r="E270" s="15" t="s">
        <v>47</v>
      </c>
      <c r="F270" s="15" t="s">
        <v>402</v>
      </c>
      <c r="G270" s="195"/>
      <c r="H270" s="10"/>
      <c r="I270" s="11"/>
      <c r="J270" s="11"/>
      <c r="K270" s="11"/>
      <c r="L270" s="11"/>
      <c r="M270" s="11"/>
      <c r="N270" s="11"/>
      <c r="O270" s="12"/>
      <c r="P270" s="11"/>
      <c r="Q270" s="13"/>
      <c r="R270" s="14"/>
    </row>
    <row r="271" spans="1:18" ht="15" customHeight="1" x14ac:dyDescent="0.3">
      <c r="A271" s="19" t="s">
        <v>36</v>
      </c>
      <c r="B271" s="19" t="s">
        <v>251</v>
      </c>
      <c r="C271" s="20">
        <v>0.39583333333333331</v>
      </c>
      <c r="D271" s="19" t="s">
        <v>38</v>
      </c>
      <c r="E271" s="19" t="s">
        <v>72</v>
      </c>
      <c r="F271" s="19" t="s">
        <v>401</v>
      </c>
      <c r="G271" s="195"/>
      <c r="H271" s="10"/>
      <c r="I271" s="11"/>
      <c r="J271" s="11"/>
      <c r="K271" s="11"/>
      <c r="L271" s="11"/>
      <c r="M271" s="11"/>
      <c r="N271" s="11"/>
      <c r="O271" s="12"/>
      <c r="P271" s="11"/>
      <c r="Q271" s="13"/>
      <c r="R271" s="14"/>
    </row>
    <row r="272" spans="1:18" ht="15" customHeight="1" x14ac:dyDescent="0.3">
      <c r="A272" s="15" t="s">
        <v>36</v>
      </c>
      <c r="B272" s="15" t="s">
        <v>251</v>
      </c>
      <c r="C272" s="16">
        <v>0.39583333333333331</v>
      </c>
      <c r="D272" s="15" t="s">
        <v>41</v>
      </c>
      <c r="E272" s="15" t="s">
        <v>62</v>
      </c>
      <c r="F272" s="15" t="s">
        <v>316</v>
      </c>
      <c r="G272" s="195"/>
      <c r="H272" s="10"/>
      <c r="I272" s="11"/>
      <c r="J272" s="11"/>
      <c r="K272" s="11"/>
      <c r="L272" s="11"/>
      <c r="M272" s="11"/>
      <c r="N272" s="11"/>
      <c r="O272" s="12"/>
      <c r="P272" s="11"/>
      <c r="Q272" s="13"/>
      <c r="R272" s="14"/>
    </row>
    <row r="273" spans="1:18" ht="15" customHeight="1" x14ac:dyDescent="0.3">
      <c r="A273" s="15" t="s">
        <v>36</v>
      </c>
      <c r="B273" s="15" t="s">
        <v>251</v>
      </c>
      <c r="C273" s="16">
        <v>0.39583333333333331</v>
      </c>
      <c r="D273" s="15" t="s">
        <v>43</v>
      </c>
      <c r="E273" s="15" t="s">
        <v>62</v>
      </c>
      <c r="F273" s="15" t="s">
        <v>402</v>
      </c>
      <c r="G273" s="195"/>
      <c r="H273" s="10"/>
      <c r="I273" s="11"/>
      <c r="J273" s="11"/>
      <c r="K273" s="11"/>
      <c r="L273" s="11"/>
      <c r="M273" s="11"/>
      <c r="N273" s="11"/>
      <c r="O273" s="12"/>
      <c r="P273" s="11"/>
      <c r="Q273" s="13"/>
      <c r="R273" s="14"/>
    </row>
    <row r="274" spans="1:18" ht="15" customHeight="1" x14ac:dyDescent="0.3">
      <c r="A274" s="19" t="s">
        <v>36</v>
      </c>
      <c r="B274" s="19" t="s">
        <v>322</v>
      </c>
      <c r="C274" s="20">
        <v>0.30208333333333331</v>
      </c>
      <c r="D274" s="19" t="s">
        <v>38</v>
      </c>
      <c r="E274" s="19" t="s">
        <v>46</v>
      </c>
      <c r="F274" s="19" t="s">
        <v>401</v>
      </c>
      <c r="G274" s="195"/>
      <c r="H274" s="10"/>
      <c r="I274" s="11"/>
      <c r="J274" s="11"/>
      <c r="K274" s="11"/>
      <c r="L274" s="11"/>
      <c r="M274" s="11"/>
      <c r="N274" s="11"/>
      <c r="O274" s="12"/>
      <c r="P274" s="11"/>
      <c r="Q274" s="13"/>
      <c r="R274" s="14"/>
    </row>
    <row r="275" spans="1:18" ht="15" customHeight="1" x14ac:dyDescent="0.3">
      <c r="A275" s="15" t="s">
        <v>36</v>
      </c>
      <c r="B275" s="15" t="s">
        <v>322</v>
      </c>
      <c r="C275" s="16">
        <v>0.30208333333333331</v>
      </c>
      <c r="D275" s="15" t="s">
        <v>41</v>
      </c>
      <c r="E275" s="15" t="s">
        <v>47</v>
      </c>
      <c r="F275" s="15" t="s">
        <v>316</v>
      </c>
      <c r="G275" s="195"/>
      <c r="H275" s="10"/>
      <c r="I275" s="11"/>
      <c r="J275" s="11"/>
      <c r="K275" s="11"/>
      <c r="L275" s="11"/>
      <c r="M275" s="11"/>
      <c r="N275" s="11"/>
      <c r="O275" s="12"/>
      <c r="P275" s="11"/>
      <c r="Q275" s="13"/>
      <c r="R275" s="14"/>
    </row>
    <row r="276" spans="1:18" ht="15" customHeight="1" x14ac:dyDescent="0.3">
      <c r="A276" s="15" t="s">
        <v>36</v>
      </c>
      <c r="B276" s="15" t="s">
        <v>322</v>
      </c>
      <c r="C276" s="16">
        <v>0.30208333333333331</v>
      </c>
      <c r="D276" s="15" t="s">
        <v>43</v>
      </c>
      <c r="E276" s="15" t="s">
        <v>47</v>
      </c>
      <c r="F276" s="15" t="s">
        <v>402</v>
      </c>
      <c r="G276" s="195"/>
      <c r="H276" s="10"/>
      <c r="I276" s="11"/>
      <c r="J276" s="11"/>
      <c r="K276" s="11"/>
      <c r="L276" s="11"/>
      <c r="M276" s="11"/>
      <c r="N276" s="11"/>
      <c r="O276" s="12"/>
      <c r="P276" s="11"/>
      <c r="Q276" s="13"/>
      <c r="R276" s="14"/>
    </row>
    <row r="277" spans="1:18" ht="15" customHeight="1" x14ac:dyDescent="0.3">
      <c r="A277" s="17" t="s">
        <v>252</v>
      </c>
      <c r="B277" s="17" t="s">
        <v>253</v>
      </c>
      <c r="C277" s="18">
        <v>0.22222222222222221</v>
      </c>
      <c r="D277" s="17" t="s">
        <v>254</v>
      </c>
      <c r="E277" s="17" t="s">
        <v>97</v>
      </c>
      <c r="F277" s="17" t="s">
        <v>403</v>
      </c>
      <c r="G277" s="195"/>
      <c r="H277" s="10"/>
      <c r="I277" s="11"/>
      <c r="J277" s="11"/>
      <c r="K277" s="11"/>
      <c r="L277" s="11"/>
      <c r="M277" s="11"/>
      <c r="N277" s="11"/>
      <c r="O277" s="12"/>
      <c r="P277" s="11"/>
      <c r="Q277" s="13"/>
      <c r="R277" s="14"/>
    </row>
    <row r="278" spans="1:18" ht="15" customHeight="1" x14ac:dyDescent="0.3">
      <c r="A278" s="15" t="s">
        <v>252</v>
      </c>
      <c r="B278" s="15" t="s">
        <v>253</v>
      </c>
      <c r="C278" s="16">
        <v>0.22222222222222221</v>
      </c>
      <c r="D278" s="15" t="s">
        <v>34</v>
      </c>
      <c r="E278" s="15" t="s">
        <v>47</v>
      </c>
      <c r="F278" s="15" t="s">
        <v>404</v>
      </c>
      <c r="G278" s="195"/>
      <c r="H278" s="10"/>
      <c r="I278" s="11"/>
      <c r="J278" s="11"/>
      <c r="K278" s="11"/>
      <c r="L278" s="11"/>
      <c r="M278" s="11"/>
      <c r="N278" s="11"/>
      <c r="O278" s="12"/>
      <c r="P278" s="11"/>
      <c r="Q278" s="13"/>
      <c r="R278" s="14"/>
    </row>
    <row r="279" spans="1:18" ht="15" customHeight="1" x14ac:dyDescent="0.3">
      <c r="A279" s="17" t="s">
        <v>264</v>
      </c>
      <c r="B279" s="17" t="s">
        <v>265</v>
      </c>
      <c r="C279" s="18">
        <v>0.27430555555555552</v>
      </c>
      <c r="D279" s="17" t="s">
        <v>262</v>
      </c>
      <c r="E279" s="17" t="s">
        <v>51</v>
      </c>
      <c r="F279" s="17" t="s">
        <v>323</v>
      </c>
      <c r="G279" s="195"/>
      <c r="H279" s="10"/>
      <c r="I279" s="11"/>
      <c r="J279" s="11"/>
      <c r="K279" s="11"/>
      <c r="L279" s="11"/>
      <c r="M279" s="11"/>
      <c r="N279" s="11"/>
      <c r="O279" s="12"/>
      <c r="P279" s="11"/>
      <c r="Q279" s="13"/>
      <c r="R279" s="14"/>
    </row>
    <row r="280" spans="1:18" ht="15" customHeight="1" x14ac:dyDescent="0.3">
      <c r="A280" s="19" t="s">
        <v>264</v>
      </c>
      <c r="B280" s="19" t="s">
        <v>380</v>
      </c>
      <c r="C280" s="20">
        <v>0.73958333333333337</v>
      </c>
      <c r="D280" s="19" t="s">
        <v>262</v>
      </c>
      <c r="E280" s="19" t="s">
        <v>92</v>
      </c>
      <c r="F280" s="19" t="s">
        <v>325</v>
      </c>
      <c r="G280" s="195"/>
      <c r="H280" s="10"/>
      <c r="I280" s="11"/>
      <c r="J280" s="11"/>
      <c r="K280" s="11"/>
      <c r="L280" s="11"/>
      <c r="M280" s="11"/>
      <c r="N280" s="11"/>
      <c r="O280" s="12"/>
      <c r="P280" s="11"/>
      <c r="Q280" s="13"/>
      <c r="R280" s="14"/>
    </row>
    <row r="281" spans="1:18" ht="15" customHeight="1" x14ac:dyDescent="0.3">
      <c r="A281" s="17" t="s">
        <v>56</v>
      </c>
      <c r="B281" s="17" t="s">
        <v>280</v>
      </c>
      <c r="C281" s="18">
        <v>0.37847222222222232</v>
      </c>
      <c r="D281" s="17" t="s">
        <v>58</v>
      </c>
      <c r="E281" s="17" t="s">
        <v>51</v>
      </c>
      <c r="F281" s="17" t="s">
        <v>381</v>
      </c>
      <c r="G281" s="195"/>
      <c r="H281" s="10"/>
      <c r="I281" s="11"/>
      <c r="J281" s="11"/>
      <c r="K281" s="11"/>
      <c r="L281" s="11"/>
      <c r="M281" s="11"/>
      <c r="N281" s="11"/>
      <c r="O281" s="12"/>
      <c r="P281" s="11"/>
      <c r="Q281" s="13"/>
      <c r="R281" s="14"/>
    </row>
    <row r="282" spans="1:18" ht="15" customHeight="1" x14ac:dyDescent="0.3">
      <c r="A282" s="15" t="s">
        <v>56</v>
      </c>
      <c r="B282" s="15" t="s">
        <v>280</v>
      </c>
      <c r="C282" s="16">
        <v>0.37847222222222232</v>
      </c>
      <c r="D282" s="15" t="s">
        <v>61</v>
      </c>
      <c r="E282" s="15" t="s">
        <v>94</v>
      </c>
      <c r="F282" s="15" t="s">
        <v>382</v>
      </c>
      <c r="G282" s="195"/>
      <c r="H282" s="10"/>
      <c r="I282" s="11"/>
      <c r="J282" s="11"/>
      <c r="K282" s="11"/>
      <c r="L282" s="11"/>
      <c r="M282" s="11"/>
      <c r="N282" s="11"/>
      <c r="O282" s="12"/>
      <c r="P282" s="11"/>
      <c r="Q282" s="13"/>
      <c r="R282" s="14"/>
    </row>
    <row r="283" spans="1:18" ht="15" customHeight="1" x14ac:dyDescent="0.3">
      <c r="A283" s="19" t="s">
        <v>56</v>
      </c>
      <c r="B283" s="19" t="s">
        <v>284</v>
      </c>
      <c r="C283" s="20">
        <v>6.9444444444444441E-3</v>
      </c>
      <c r="D283" s="19" t="s">
        <v>58</v>
      </c>
      <c r="E283" s="19" t="s">
        <v>92</v>
      </c>
      <c r="F283" s="19" t="s">
        <v>381</v>
      </c>
      <c r="G283" s="195"/>
      <c r="H283" s="10"/>
      <c r="I283" s="11"/>
      <c r="J283" s="11"/>
      <c r="K283" s="11"/>
      <c r="L283" s="11"/>
      <c r="M283" s="11"/>
      <c r="N283" s="11"/>
      <c r="O283" s="12"/>
      <c r="P283" s="11"/>
      <c r="Q283" s="13"/>
      <c r="R283" s="14"/>
    </row>
    <row r="284" spans="1:18" ht="15" customHeight="1" x14ac:dyDescent="0.3">
      <c r="A284" s="15" t="s">
        <v>56</v>
      </c>
      <c r="B284" s="15" t="s">
        <v>284</v>
      </c>
      <c r="C284" s="16">
        <v>6.9444444444444441E-3</v>
      </c>
      <c r="D284" s="15" t="s">
        <v>61</v>
      </c>
      <c r="E284" s="15" t="s">
        <v>94</v>
      </c>
      <c r="F284" s="15" t="s">
        <v>382</v>
      </c>
      <c r="G284" s="195"/>
      <c r="H284" s="10"/>
      <c r="I284" s="11"/>
      <c r="J284" s="11"/>
      <c r="K284" s="11"/>
      <c r="L284" s="11"/>
      <c r="M284" s="11"/>
      <c r="N284" s="11"/>
      <c r="O284" s="12"/>
      <c r="P284" s="11"/>
      <c r="Q284" s="13"/>
      <c r="R284" s="14"/>
    </row>
    <row r="285" spans="1:18" ht="15" customHeight="1" x14ac:dyDescent="0.3">
      <c r="A285" s="19" t="s">
        <v>56</v>
      </c>
      <c r="B285" s="19" t="s">
        <v>287</v>
      </c>
      <c r="C285" s="20">
        <v>0.23958333333333329</v>
      </c>
      <c r="D285" s="19" t="s">
        <v>58</v>
      </c>
      <c r="E285" s="19" t="s">
        <v>92</v>
      </c>
      <c r="F285" s="19" t="s">
        <v>381</v>
      </c>
      <c r="G285" s="195"/>
      <c r="H285" s="10"/>
      <c r="I285" s="11"/>
      <c r="J285" s="11"/>
      <c r="K285" s="11"/>
      <c r="L285" s="11"/>
      <c r="M285" s="11"/>
      <c r="N285" s="11"/>
      <c r="O285" s="12"/>
      <c r="P285" s="11"/>
      <c r="Q285" s="13"/>
      <c r="R285" s="14"/>
    </row>
    <row r="286" spans="1:18" ht="15" customHeight="1" x14ac:dyDescent="0.3">
      <c r="A286" s="15" t="s">
        <v>56</v>
      </c>
      <c r="B286" s="15" t="s">
        <v>287</v>
      </c>
      <c r="C286" s="16">
        <v>0.23958333333333329</v>
      </c>
      <c r="D286" s="15" t="s">
        <v>61</v>
      </c>
      <c r="E286" s="15" t="s">
        <v>94</v>
      </c>
      <c r="F286" s="15" t="s">
        <v>382</v>
      </c>
      <c r="G286" s="195"/>
      <c r="H286" s="10"/>
      <c r="I286" s="11"/>
      <c r="J286" s="11"/>
      <c r="K286" s="11"/>
      <c r="L286" s="11"/>
      <c r="M286" s="11"/>
      <c r="N286" s="11"/>
      <c r="O286" s="12"/>
      <c r="P286" s="11"/>
      <c r="Q286" s="13"/>
      <c r="R286" s="14"/>
    </row>
    <row r="287" spans="1:18" ht="15" customHeight="1" x14ac:dyDescent="0.3">
      <c r="A287" s="19" t="s">
        <v>56</v>
      </c>
      <c r="B287" s="19" t="s">
        <v>285</v>
      </c>
      <c r="C287" s="20">
        <v>0.1423611111111111</v>
      </c>
      <c r="D287" s="19" t="s">
        <v>58</v>
      </c>
      <c r="E287" s="19" t="s">
        <v>92</v>
      </c>
      <c r="F287" s="19" t="s">
        <v>381</v>
      </c>
      <c r="G287" s="195"/>
      <c r="H287" s="10"/>
      <c r="I287" s="11"/>
      <c r="J287" s="11"/>
      <c r="K287" s="11"/>
      <c r="L287" s="11"/>
      <c r="M287" s="11"/>
      <c r="N287" s="11"/>
      <c r="O287" s="12"/>
      <c r="P287" s="11"/>
      <c r="Q287" s="13"/>
      <c r="R287" s="14"/>
    </row>
    <row r="288" spans="1:18" ht="15" customHeight="1" x14ac:dyDescent="0.3">
      <c r="A288" s="15" t="s">
        <v>56</v>
      </c>
      <c r="B288" s="15" t="s">
        <v>285</v>
      </c>
      <c r="C288" s="16">
        <v>0.1423611111111111</v>
      </c>
      <c r="D288" s="15" t="s">
        <v>61</v>
      </c>
      <c r="E288" s="15" t="s">
        <v>94</v>
      </c>
      <c r="F288" s="15" t="s">
        <v>382</v>
      </c>
      <c r="G288" s="195"/>
      <c r="H288" s="10"/>
      <c r="I288" s="11"/>
      <c r="J288" s="11"/>
      <c r="K288" s="11"/>
      <c r="L288" s="11"/>
      <c r="M288" s="11"/>
      <c r="N288" s="11"/>
      <c r="O288" s="12"/>
      <c r="P288" s="11"/>
      <c r="Q288" s="13"/>
      <c r="R288" s="14"/>
    </row>
    <row r="289" spans="1:18" ht="15" customHeight="1" x14ac:dyDescent="0.3">
      <c r="A289" s="19" t="s">
        <v>56</v>
      </c>
      <c r="B289" s="19" t="s">
        <v>286</v>
      </c>
      <c r="C289" s="20">
        <v>0.93055555555555547</v>
      </c>
      <c r="D289" s="19" t="s">
        <v>58</v>
      </c>
      <c r="E289" s="19" t="s">
        <v>92</v>
      </c>
      <c r="F289" s="19" t="s">
        <v>381</v>
      </c>
      <c r="G289" s="195"/>
      <c r="H289" s="10"/>
      <c r="I289" s="11"/>
      <c r="J289" s="11"/>
      <c r="K289" s="11"/>
      <c r="L289" s="11"/>
      <c r="M289" s="11"/>
      <c r="N289" s="11"/>
      <c r="O289" s="12"/>
      <c r="P289" s="11"/>
      <c r="Q289" s="13"/>
      <c r="R289" s="14"/>
    </row>
    <row r="290" spans="1:18" ht="15" customHeight="1" x14ac:dyDescent="0.3">
      <c r="A290" s="15" t="s">
        <v>56</v>
      </c>
      <c r="B290" s="15" t="s">
        <v>286</v>
      </c>
      <c r="C290" s="16">
        <v>0.93055555555555547</v>
      </c>
      <c r="D290" s="15" t="s">
        <v>61</v>
      </c>
      <c r="E290" s="15" t="s">
        <v>94</v>
      </c>
      <c r="F290" s="15" t="s">
        <v>382</v>
      </c>
      <c r="G290" s="195"/>
      <c r="H290" s="10"/>
      <c r="I290" s="11"/>
      <c r="J290" s="11"/>
      <c r="K290" s="11"/>
      <c r="L290" s="11"/>
      <c r="M290" s="11"/>
      <c r="N290" s="11"/>
      <c r="O290" s="12"/>
      <c r="P290" s="11"/>
      <c r="Q290" s="13"/>
      <c r="R290" s="14"/>
    </row>
    <row r="291" spans="1:18" ht="15" customHeight="1" x14ac:dyDescent="0.3">
      <c r="A291" s="19" t="s">
        <v>56</v>
      </c>
      <c r="B291" s="19" t="s">
        <v>283</v>
      </c>
      <c r="C291" s="20">
        <v>0.71875</v>
      </c>
      <c r="D291" s="19" t="s">
        <v>58</v>
      </c>
      <c r="E291" s="19" t="s">
        <v>92</v>
      </c>
      <c r="F291" s="19" t="s">
        <v>405</v>
      </c>
      <c r="G291" s="195"/>
      <c r="H291" s="10"/>
      <c r="I291" s="11"/>
      <c r="J291" s="11"/>
      <c r="K291" s="11"/>
      <c r="L291" s="11"/>
      <c r="M291" s="11"/>
      <c r="N291" s="11"/>
      <c r="O291" s="12"/>
      <c r="P291" s="11"/>
      <c r="Q291" s="13"/>
      <c r="R291" s="14"/>
    </row>
    <row r="292" spans="1:18" ht="15" customHeight="1" x14ac:dyDescent="0.3">
      <c r="A292" s="15" t="s">
        <v>56</v>
      </c>
      <c r="B292" s="15" t="s">
        <v>283</v>
      </c>
      <c r="C292" s="16">
        <v>0.71875</v>
      </c>
      <c r="D292" s="15" t="s">
        <v>61</v>
      </c>
      <c r="E292" s="15" t="s">
        <v>94</v>
      </c>
      <c r="F292" s="15" t="s">
        <v>406</v>
      </c>
      <c r="G292" s="195"/>
      <c r="H292" s="10"/>
      <c r="I292" s="11"/>
      <c r="J292" s="11"/>
      <c r="K292" s="11"/>
      <c r="L292" s="11"/>
      <c r="M292" s="11"/>
      <c r="N292" s="11"/>
      <c r="O292" s="12"/>
      <c r="P292" s="11"/>
      <c r="Q292" s="13"/>
      <c r="R292" s="14"/>
    </row>
    <row r="293" spans="1:18" ht="15" customHeight="1" x14ac:dyDescent="0.3">
      <c r="A293" s="19" t="s">
        <v>56</v>
      </c>
      <c r="B293" s="19" t="s">
        <v>295</v>
      </c>
      <c r="C293" s="20">
        <v>0.82986111111111116</v>
      </c>
      <c r="D293" s="19" t="s">
        <v>58</v>
      </c>
      <c r="E293" s="19" t="s">
        <v>92</v>
      </c>
      <c r="F293" s="19" t="s">
        <v>405</v>
      </c>
      <c r="G293" s="195"/>
      <c r="H293" s="10"/>
      <c r="I293" s="11"/>
      <c r="J293" s="11"/>
      <c r="K293" s="11"/>
      <c r="L293" s="11"/>
      <c r="M293" s="11"/>
      <c r="N293" s="11"/>
      <c r="O293" s="12"/>
      <c r="P293" s="11"/>
      <c r="Q293" s="13"/>
      <c r="R293" s="14"/>
    </row>
    <row r="294" spans="1:18" ht="15" customHeight="1" x14ac:dyDescent="0.3">
      <c r="A294" s="15" t="s">
        <v>56</v>
      </c>
      <c r="B294" s="15" t="s">
        <v>295</v>
      </c>
      <c r="C294" s="16">
        <v>0.82986111111111116</v>
      </c>
      <c r="D294" s="15" t="s">
        <v>61</v>
      </c>
      <c r="E294" s="15" t="s">
        <v>94</v>
      </c>
      <c r="F294" s="15" t="s">
        <v>406</v>
      </c>
      <c r="G294" s="195"/>
      <c r="H294" s="10"/>
      <c r="I294" s="11"/>
      <c r="J294" s="11"/>
      <c r="K294" s="11"/>
      <c r="L294" s="11"/>
      <c r="M294" s="11"/>
      <c r="N294" s="11"/>
      <c r="O294" s="12"/>
      <c r="P294" s="11"/>
      <c r="Q294" s="13"/>
      <c r="R294" s="14"/>
    </row>
    <row r="295" spans="1:18" ht="15" customHeight="1" x14ac:dyDescent="0.3">
      <c r="A295" s="19" t="s">
        <v>56</v>
      </c>
      <c r="B295" s="19" t="s">
        <v>290</v>
      </c>
      <c r="C295" s="20">
        <v>0.88888888888888884</v>
      </c>
      <c r="D295" s="19" t="s">
        <v>61</v>
      </c>
      <c r="E295" s="19" t="s">
        <v>65</v>
      </c>
      <c r="F295" s="19" t="s">
        <v>383</v>
      </c>
      <c r="G295" s="195"/>
      <c r="H295" s="10"/>
      <c r="I295" s="11"/>
      <c r="J295" s="11"/>
      <c r="K295" s="11"/>
      <c r="L295" s="11"/>
      <c r="M295" s="11"/>
      <c r="N295" s="11"/>
      <c r="O295" s="12"/>
      <c r="P295" s="11"/>
      <c r="Q295" s="13"/>
      <c r="R295" s="14"/>
    </row>
    <row r="296" spans="1:18" ht="15" customHeight="1" x14ac:dyDescent="0.3">
      <c r="A296" s="19" t="s">
        <v>56</v>
      </c>
      <c r="B296" s="19" t="s">
        <v>296</v>
      </c>
      <c r="C296" s="20">
        <v>0.30208333333333331</v>
      </c>
      <c r="D296" s="19" t="s">
        <v>61</v>
      </c>
      <c r="E296" s="19" t="s">
        <v>65</v>
      </c>
      <c r="F296" s="19" t="s">
        <v>383</v>
      </c>
      <c r="G296" s="195"/>
      <c r="H296" s="10"/>
      <c r="I296" s="11"/>
      <c r="J296" s="11"/>
      <c r="K296" s="11"/>
      <c r="L296" s="11"/>
      <c r="M296" s="11"/>
      <c r="N296" s="11"/>
      <c r="O296" s="12"/>
      <c r="P296" s="11"/>
      <c r="Q296" s="13"/>
      <c r="R296" s="14"/>
    </row>
    <row r="297" spans="1:18" ht="15" customHeight="1" x14ac:dyDescent="0.3">
      <c r="A297" s="19" t="s">
        <v>56</v>
      </c>
      <c r="B297" s="19" t="s">
        <v>298</v>
      </c>
      <c r="C297" s="20">
        <v>0.12847222222222221</v>
      </c>
      <c r="D297" s="19" t="s">
        <v>61</v>
      </c>
      <c r="E297" s="19" t="s">
        <v>65</v>
      </c>
      <c r="F297" s="19" t="s">
        <v>383</v>
      </c>
      <c r="G297" s="195"/>
      <c r="H297" s="10"/>
      <c r="I297" s="11"/>
      <c r="J297" s="11"/>
      <c r="K297" s="11"/>
      <c r="L297" s="11"/>
      <c r="M297" s="11"/>
      <c r="N297" s="11"/>
      <c r="O297" s="12"/>
      <c r="P297" s="11"/>
      <c r="Q297" s="13"/>
      <c r="R297" s="14"/>
    </row>
    <row r="298" spans="1:18" ht="15" customHeight="1" x14ac:dyDescent="0.3">
      <c r="A298" s="19" t="s">
        <v>56</v>
      </c>
      <c r="B298" s="19" t="s">
        <v>299</v>
      </c>
      <c r="C298" s="20">
        <v>0.78819444444444453</v>
      </c>
      <c r="D298" s="19" t="s">
        <v>61</v>
      </c>
      <c r="E298" s="19" t="s">
        <v>65</v>
      </c>
      <c r="F298" s="19" t="s">
        <v>383</v>
      </c>
      <c r="G298" s="195"/>
      <c r="H298" s="10"/>
      <c r="I298" s="11"/>
      <c r="J298" s="11"/>
      <c r="K298" s="11"/>
      <c r="L298" s="11"/>
      <c r="M298" s="11"/>
      <c r="N298" s="11"/>
      <c r="O298" s="12"/>
      <c r="P298" s="11"/>
      <c r="Q298" s="13"/>
      <c r="R298" s="14"/>
    </row>
    <row r="299" spans="1:18" ht="15" customHeight="1" x14ac:dyDescent="0.3">
      <c r="A299" s="17" t="s">
        <v>48</v>
      </c>
      <c r="B299" s="17" t="s">
        <v>305</v>
      </c>
      <c r="C299" s="18">
        <v>0.4861111111111111</v>
      </c>
      <c r="D299" s="17" t="s">
        <v>50</v>
      </c>
      <c r="E299" s="17" t="s">
        <v>51</v>
      </c>
      <c r="F299" s="17" t="s">
        <v>363</v>
      </c>
      <c r="G299" s="195"/>
      <c r="H299" s="10"/>
      <c r="I299" s="11"/>
      <c r="J299" s="11"/>
      <c r="K299" s="11"/>
      <c r="L299" s="11"/>
      <c r="M299" s="11"/>
      <c r="N299" s="11"/>
      <c r="O299" s="12"/>
      <c r="P299" s="11"/>
      <c r="Q299" s="13"/>
      <c r="R299" s="14"/>
    </row>
    <row r="300" spans="1:18" ht="15" customHeight="1" x14ac:dyDescent="0.3">
      <c r="A300" s="19" t="s">
        <v>48</v>
      </c>
      <c r="B300" s="19" t="s">
        <v>308</v>
      </c>
      <c r="C300" s="20">
        <v>0.51388888888888895</v>
      </c>
      <c r="D300" s="19" t="s">
        <v>50</v>
      </c>
      <c r="E300" s="19" t="s">
        <v>92</v>
      </c>
      <c r="F300" s="19" t="s">
        <v>363</v>
      </c>
      <c r="G300" s="195"/>
      <c r="H300" s="10"/>
      <c r="I300" s="11"/>
      <c r="J300" s="11"/>
      <c r="K300" s="11"/>
      <c r="L300" s="11"/>
      <c r="M300" s="11"/>
      <c r="N300" s="11"/>
      <c r="O300" s="12"/>
      <c r="P300" s="11"/>
      <c r="Q300" s="13"/>
      <c r="R300" s="14"/>
    </row>
    <row r="301" spans="1:18" ht="15" customHeight="1" x14ac:dyDescent="0.3">
      <c r="A301" s="19" t="s">
        <v>48</v>
      </c>
      <c r="B301" s="19" t="s">
        <v>302</v>
      </c>
      <c r="C301" s="20">
        <v>0.22222222222222221</v>
      </c>
      <c r="D301" s="19" t="s">
        <v>50</v>
      </c>
      <c r="E301" s="19" t="s">
        <v>92</v>
      </c>
      <c r="F301" s="19" t="s">
        <v>407</v>
      </c>
      <c r="G301" s="195"/>
      <c r="H301" s="10"/>
      <c r="I301" s="11"/>
      <c r="J301" s="11"/>
      <c r="K301" s="11"/>
      <c r="L301" s="11"/>
      <c r="M301" s="11"/>
      <c r="N301" s="11"/>
      <c r="O301" s="12"/>
      <c r="P301" s="11"/>
      <c r="Q301" s="13"/>
      <c r="R301" s="14"/>
    </row>
    <row r="302" spans="1:18" ht="15" customHeight="1" x14ac:dyDescent="0.3">
      <c r="A302" s="19" t="s">
        <v>48</v>
      </c>
      <c r="B302" s="19" t="s">
        <v>300</v>
      </c>
      <c r="C302" s="20">
        <v>0.27777777777777779</v>
      </c>
      <c r="D302" s="19" t="s">
        <v>50</v>
      </c>
      <c r="E302" s="19" t="s">
        <v>92</v>
      </c>
      <c r="F302" s="19" t="s">
        <v>408</v>
      </c>
      <c r="G302" s="195"/>
      <c r="H302" s="10"/>
      <c r="I302" s="11"/>
      <c r="J302" s="11"/>
      <c r="K302" s="11"/>
      <c r="L302" s="11"/>
      <c r="M302" s="11"/>
      <c r="N302" s="11"/>
      <c r="O302" s="12"/>
      <c r="P302" s="11"/>
      <c r="Q302" s="13"/>
      <c r="R302" s="14"/>
    </row>
    <row r="303" spans="1:18" ht="15" customHeight="1" x14ac:dyDescent="0.3">
      <c r="A303" s="138" t="s">
        <v>48</v>
      </c>
      <c r="B303" s="138" t="s">
        <v>310</v>
      </c>
      <c r="C303" s="139">
        <v>0.77430555555555547</v>
      </c>
      <c r="D303" s="138" t="s">
        <v>50</v>
      </c>
      <c r="E303" s="138" t="s">
        <v>92</v>
      </c>
      <c r="F303" s="138" t="s">
        <v>311</v>
      </c>
      <c r="G303" s="196"/>
      <c r="H303" s="51"/>
      <c r="I303" s="52"/>
      <c r="J303" s="52"/>
      <c r="K303" s="52"/>
      <c r="L303" s="52"/>
      <c r="M303" s="52"/>
      <c r="N303" s="52"/>
      <c r="O303" s="53"/>
      <c r="P303" s="52"/>
      <c r="Q303" s="54"/>
      <c r="R303" s="55"/>
    </row>
  </sheetData>
  <mergeCells count="22">
    <mergeCell ref="A230:F230"/>
    <mergeCell ref="K2:R2"/>
    <mergeCell ref="A229:R229"/>
    <mergeCell ref="A77:F77"/>
    <mergeCell ref="G79:G150"/>
    <mergeCell ref="H77:R77"/>
    <mergeCell ref="G232:G303"/>
    <mergeCell ref="H1:L1"/>
    <mergeCell ref="A1:E1"/>
    <mergeCell ref="H230:R230"/>
    <mergeCell ref="H4:R4"/>
    <mergeCell ref="A2:F2"/>
    <mergeCell ref="A3:R3"/>
    <mergeCell ref="H152:R152"/>
    <mergeCell ref="G154:G228"/>
    <mergeCell ref="A76:R76"/>
    <mergeCell ref="A151:R151"/>
    <mergeCell ref="G2:J2"/>
    <mergeCell ref="A4:F4"/>
    <mergeCell ref="G6:G75"/>
    <mergeCell ref="N1:R1"/>
    <mergeCell ref="A152:F15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20"/>
  <sheetViews>
    <sheetView workbookViewId="0"/>
  </sheetViews>
  <sheetFormatPr defaultRowHeight="15.6" outlineLevelCol="1" x14ac:dyDescent="0.3"/>
  <cols>
    <col min="1" max="1" width="9.77734375" style="209" bestFit="1" customWidth="1"/>
    <col min="2" max="2" width="10.44140625" style="209" bestFit="1" customWidth="1"/>
    <col min="3" max="3" width="6.77734375" style="209" bestFit="1" customWidth="1"/>
    <col min="4" max="4" width="5.5546875" style="209" bestFit="1" customWidth="1"/>
    <col min="5" max="5" width="7.5546875" style="209" bestFit="1" customWidth="1"/>
    <col min="6" max="6" width="4.21875" style="209" bestFit="1" customWidth="1"/>
    <col min="7" max="7" width="10" style="209" bestFit="1" customWidth="1"/>
    <col min="8" max="10" width="8.5546875" style="209" bestFit="1" customWidth="1"/>
    <col min="11" max="11" width="10.5546875" style="209" bestFit="1" customWidth="1"/>
    <col min="12" max="12" width="9.109375" style="209" bestFit="1" customWidth="1"/>
    <col min="13" max="13" width="7.6640625" style="209" bestFit="1" customWidth="1" outlineLevel="1"/>
    <col min="14" max="14" width="6.33203125" style="209" bestFit="1" customWidth="1" outlineLevel="1"/>
    <col min="15" max="15" width="8" style="209" bestFit="1" customWidth="1" outlineLevel="1"/>
    <col min="16" max="16" width="13.6640625" style="209" bestFit="1" customWidth="1"/>
    <col min="17" max="24" width="3.88671875" style="209" bestFit="1" customWidth="1"/>
    <col min="25" max="25" width="4.44140625" style="209" bestFit="1" customWidth="1"/>
    <col min="26" max="26" width="4.109375" style="209" bestFit="1" customWidth="1"/>
    <col min="27" max="27" width="5" style="209" bestFit="1" customWidth="1"/>
    <col min="28" max="29" width="4.21875" style="209" bestFit="1" customWidth="1"/>
    <col min="30" max="31" width="4.5546875" style="209" bestFit="1" customWidth="1"/>
    <col min="32" max="32" width="3.88671875" style="209" bestFit="1" customWidth="1"/>
    <col min="33" max="33" width="4.21875" style="209" bestFit="1" customWidth="1"/>
    <col min="34" max="34" width="3.88671875" style="209" bestFit="1" customWidth="1"/>
    <col min="35" max="35" width="5.21875" style="209" bestFit="1" customWidth="1"/>
    <col min="36" max="36" width="3.88671875" style="209" bestFit="1" customWidth="1"/>
    <col min="37" max="16384" width="8.88671875" style="209"/>
  </cols>
  <sheetData>
    <row r="1" spans="1:36" x14ac:dyDescent="0.3">
      <c r="A1" s="208" t="s">
        <v>125</v>
      </c>
      <c r="B1" s="208" t="s">
        <v>126</v>
      </c>
      <c r="C1" s="208" t="s">
        <v>127</v>
      </c>
      <c r="D1" s="208" t="s">
        <v>23</v>
      </c>
      <c r="E1" s="208" t="s">
        <v>128</v>
      </c>
      <c r="F1" s="208" t="s">
        <v>129</v>
      </c>
      <c r="G1" s="208" t="s">
        <v>16</v>
      </c>
      <c r="H1" s="208" t="s">
        <v>130</v>
      </c>
      <c r="I1" s="208" t="s">
        <v>131</v>
      </c>
      <c r="J1" s="208" t="s">
        <v>132</v>
      </c>
      <c r="K1" s="208" t="s">
        <v>133</v>
      </c>
      <c r="L1" s="208" t="s">
        <v>18</v>
      </c>
      <c r="M1" s="208" t="s">
        <v>20</v>
      </c>
      <c r="N1" s="208" t="s">
        <v>21</v>
      </c>
      <c r="O1" s="208" t="s">
        <v>19</v>
      </c>
      <c r="P1" s="208" t="s">
        <v>22</v>
      </c>
      <c r="Q1" s="208" t="s">
        <v>134</v>
      </c>
      <c r="R1" s="208" t="s">
        <v>135</v>
      </c>
      <c r="S1" s="208" t="s">
        <v>136</v>
      </c>
      <c r="T1" s="208" t="s">
        <v>137</v>
      </c>
      <c r="U1" s="208" t="s">
        <v>138</v>
      </c>
      <c r="V1" s="208" t="s">
        <v>139</v>
      </c>
      <c r="W1" s="208" t="s">
        <v>140</v>
      </c>
      <c r="X1" s="208" t="s">
        <v>141</v>
      </c>
      <c r="Y1" s="208" t="s">
        <v>142</v>
      </c>
      <c r="Z1" s="208" t="s">
        <v>143</v>
      </c>
      <c r="AA1" s="208" t="s">
        <v>144</v>
      </c>
      <c r="AB1" s="208" t="s">
        <v>145</v>
      </c>
      <c r="AC1" s="208" t="s">
        <v>146</v>
      </c>
      <c r="AD1" s="208" t="s">
        <v>147</v>
      </c>
      <c r="AE1" s="208" t="s">
        <v>148</v>
      </c>
      <c r="AF1" s="208" t="s">
        <v>149</v>
      </c>
      <c r="AG1" s="208" t="s">
        <v>150</v>
      </c>
      <c r="AH1" s="208" t="s">
        <v>151</v>
      </c>
      <c r="AI1" s="208" t="s">
        <v>152</v>
      </c>
      <c r="AJ1" s="208" t="s">
        <v>153</v>
      </c>
    </row>
    <row r="2" spans="1:36" x14ac:dyDescent="0.3">
      <c r="A2" s="210" t="s">
        <v>154</v>
      </c>
      <c r="B2" s="211">
        <v>45983</v>
      </c>
      <c r="C2" s="212" t="s">
        <v>270</v>
      </c>
      <c r="D2" s="213" t="s">
        <v>409</v>
      </c>
      <c r="E2" s="212" t="s">
        <v>225</v>
      </c>
      <c r="F2" s="212" t="s">
        <v>156</v>
      </c>
      <c r="G2" s="214">
        <v>0.99439999999999995</v>
      </c>
      <c r="H2" s="215">
        <v>179</v>
      </c>
      <c r="I2" s="215">
        <v>178</v>
      </c>
      <c r="J2" s="215">
        <v>50</v>
      </c>
      <c r="K2" s="212" t="s">
        <v>157</v>
      </c>
      <c r="L2" s="216">
        <v>45981</v>
      </c>
      <c r="M2" s="215">
        <v>6</v>
      </c>
      <c r="N2" s="215">
        <v>0</v>
      </c>
      <c r="O2" s="215">
        <v>6</v>
      </c>
      <c r="P2" s="212" t="s">
        <v>271</v>
      </c>
      <c r="Q2" s="208"/>
      <c r="R2" s="208"/>
      <c r="S2" s="208"/>
      <c r="T2" s="208"/>
      <c r="U2" s="208"/>
      <c r="V2" s="208"/>
      <c r="W2" s="215" t="s">
        <v>410</v>
      </c>
      <c r="X2" s="208"/>
      <c r="Y2" s="215" t="s">
        <v>411</v>
      </c>
      <c r="Z2" s="215" t="s">
        <v>412</v>
      </c>
      <c r="AA2" s="215" t="s">
        <v>413</v>
      </c>
      <c r="AB2" s="215" t="s">
        <v>188</v>
      </c>
      <c r="AC2" s="215" t="s">
        <v>372</v>
      </c>
      <c r="AD2" s="215" t="s">
        <v>414</v>
      </c>
      <c r="AE2" s="215" t="s">
        <v>415</v>
      </c>
      <c r="AF2" s="215" t="s">
        <v>416</v>
      </c>
      <c r="AG2" s="208"/>
      <c r="AH2" s="208"/>
      <c r="AI2" s="215" t="s">
        <v>417</v>
      </c>
      <c r="AJ2" s="208"/>
    </row>
    <row r="3" spans="1:36" x14ac:dyDescent="0.3">
      <c r="A3" s="210" t="s">
        <v>154</v>
      </c>
      <c r="B3" s="211">
        <v>45983</v>
      </c>
      <c r="C3" s="212" t="s">
        <v>278</v>
      </c>
      <c r="D3" s="213" t="s">
        <v>418</v>
      </c>
      <c r="E3" s="212" t="s">
        <v>225</v>
      </c>
      <c r="F3" s="212" t="s">
        <v>156</v>
      </c>
      <c r="G3" s="214">
        <v>1</v>
      </c>
      <c r="H3" s="215">
        <v>179</v>
      </c>
      <c r="I3" s="215">
        <v>179</v>
      </c>
      <c r="J3" s="215">
        <v>134</v>
      </c>
      <c r="K3" s="212" t="s">
        <v>157</v>
      </c>
      <c r="L3" s="216">
        <v>45979</v>
      </c>
      <c r="M3" s="215">
        <v>0</v>
      </c>
      <c r="N3" s="215">
        <v>0</v>
      </c>
      <c r="O3" s="215">
        <v>4</v>
      </c>
      <c r="P3" s="212" t="s">
        <v>77</v>
      </c>
      <c r="Q3" s="208"/>
      <c r="R3" s="208"/>
      <c r="S3" s="208"/>
      <c r="T3" s="208"/>
      <c r="U3" s="208"/>
      <c r="V3" s="215" t="s">
        <v>195</v>
      </c>
      <c r="W3" s="208"/>
      <c r="X3" s="215" t="s">
        <v>419</v>
      </c>
      <c r="Y3" s="208"/>
      <c r="Z3" s="215" t="s">
        <v>420</v>
      </c>
      <c r="AA3" s="215" t="s">
        <v>421</v>
      </c>
      <c r="AB3" s="208"/>
      <c r="AC3" s="208"/>
      <c r="AD3" s="208"/>
      <c r="AE3" s="208"/>
      <c r="AF3" s="208"/>
      <c r="AG3" s="208"/>
      <c r="AH3" s="208"/>
      <c r="AI3" s="215" t="s">
        <v>422</v>
      </c>
      <c r="AJ3" s="215" t="s">
        <v>165</v>
      </c>
    </row>
    <row r="4" spans="1:36" x14ac:dyDescent="0.3">
      <c r="A4" s="210" t="s">
        <v>154</v>
      </c>
      <c r="B4" s="211">
        <v>45983</v>
      </c>
      <c r="C4" s="212" t="s">
        <v>275</v>
      </c>
      <c r="D4" s="213" t="s">
        <v>423</v>
      </c>
      <c r="E4" s="212" t="s">
        <v>225</v>
      </c>
      <c r="F4" s="212" t="s">
        <v>156</v>
      </c>
      <c r="G4" s="214">
        <v>0.99439999999999995</v>
      </c>
      <c r="H4" s="215">
        <v>179</v>
      </c>
      <c r="I4" s="215">
        <v>178</v>
      </c>
      <c r="J4" s="215">
        <v>127</v>
      </c>
      <c r="K4" s="212" t="s">
        <v>157</v>
      </c>
      <c r="L4" s="216">
        <v>45981</v>
      </c>
      <c r="M4" s="215">
        <v>3</v>
      </c>
      <c r="N4" s="215">
        <v>0</v>
      </c>
      <c r="O4" s="215">
        <v>6</v>
      </c>
      <c r="P4" s="212" t="s">
        <v>276</v>
      </c>
      <c r="Q4" s="208"/>
      <c r="R4" s="208"/>
      <c r="S4" s="208"/>
      <c r="T4" s="208"/>
      <c r="U4" s="208"/>
      <c r="V4" s="215" t="s">
        <v>424</v>
      </c>
      <c r="W4" s="208"/>
      <c r="X4" s="208"/>
      <c r="Y4" s="215" t="s">
        <v>425</v>
      </c>
      <c r="Z4" s="215" t="s">
        <v>426</v>
      </c>
      <c r="AA4" s="215" t="s">
        <v>427</v>
      </c>
      <c r="AB4" s="215" t="s">
        <v>188</v>
      </c>
      <c r="AC4" s="215" t="s">
        <v>428</v>
      </c>
      <c r="AD4" s="215" t="s">
        <v>199</v>
      </c>
      <c r="AE4" s="215" t="s">
        <v>429</v>
      </c>
      <c r="AF4" s="215" t="s">
        <v>180</v>
      </c>
      <c r="AG4" s="215" t="s">
        <v>430</v>
      </c>
      <c r="AH4" s="208"/>
      <c r="AI4" s="215" t="s">
        <v>431</v>
      </c>
      <c r="AJ4" s="215" t="s">
        <v>432</v>
      </c>
    </row>
    <row r="5" spans="1:36" x14ac:dyDescent="0.3">
      <c r="A5" s="210" t="s">
        <v>166</v>
      </c>
      <c r="B5" s="211">
        <v>45984</v>
      </c>
      <c r="C5" s="212" t="s">
        <v>332</v>
      </c>
      <c r="D5" s="213" t="s">
        <v>433</v>
      </c>
      <c r="E5" s="212" t="s">
        <v>225</v>
      </c>
      <c r="F5" s="212" t="s">
        <v>156</v>
      </c>
      <c r="G5" s="214">
        <v>0.64800000000000002</v>
      </c>
      <c r="H5" s="215">
        <v>179</v>
      </c>
      <c r="I5" s="215">
        <v>116</v>
      </c>
      <c r="J5" s="215">
        <v>28</v>
      </c>
      <c r="K5" s="212" t="s">
        <v>157</v>
      </c>
      <c r="L5" s="216">
        <v>45981</v>
      </c>
      <c r="M5" s="215">
        <v>5</v>
      </c>
      <c r="N5" s="215">
        <v>7</v>
      </c>
      <c r="O5" s="215">
        <v>55</v>
      </c>
      <c r="P5" s="212" t="s">
        <v>333</v>
      </c>
      <c r="Q5" s="208"/>
      <c r="R5" s="208"/>
      <c r="S5" s="208"/>
      <c r="T5" s="208"/>
      <c r="U5" s="208"/>
      <c r="V5" s="208"/>
      <c r="W5" s="208"/>
      <c r="X5" s="208"/>
      <c r="Y5" s="208"/>
      <c r="Z5" s="215" t="s">
        <v>434</v>
      </c>
      <c r="AA5" s="215" t="s">
        <v>435</v>
      </c>
      <c r="AB5" s="215" t="s">
        <v>436</v>
      </c>
      <c r="AC5" s="215" t="s">
        <v>437</v>
      </c>
      <c r="AD5" s="215" t="s">
        <v>199</v>
      </c>
      <c r="AE5" s="215" t="s">
        <v>438</v>
      </c>
      <c r="AF5" s="215" t="s">
        <v>180</v>
      </c>
      <c r="AG5" s="208"/>
      <c r="AH5" s="208"/>
      <c r="AI5" s="215" t="s">
        <v>439</v>
      </c>
      <c r="AJ5" s="215" t="s">
        <v>440</v>
      </c>
    </row>
    <row r="6" spans="1:36" x14ac:dyDescent="0.3">
      <c r="A6" s="210" t="s">
        <v>166</v>
      </c>
      <c r="B6" s="211">
        <v>45984</v>
      </c>
      <c r="C6" s="212" t="s">
        <v>278</v>
      </c>
      <c r="D6" s="213" t="s">
        <v>441</v>
      </c>
      <c r="E6" s="212" t="s">
        <v>225</v>
      </c>
      <c r="F6" s="212" t="s">
        <v>156</v>
      </c>
      <c r="G6" s="214">
        <v>0.55869999999999997</v>
      </c>
      <c r="H6" s="215">
        <v>179</v>
      </c>
      <c r="I6" s="215">
        <v>100</v>
      </c>
      <c r="J6" s="215">
        <v>0</v>
      </c>
      <c r="K6" s="212" t="s">
        <v>157</v>
      </c>
      <c r="L6" s="216">
        <v>45981</v>
      </c>
      <c r="M6" s="215">
        <v>3</v>
      </c>
      <c r="N6" s="215">
        <v>0</v>
      </c>
      <c r="O6" s="215">
        <v>37</v>
      </c>
      <c r="P6" s="212" t="s">
        <v>333</v>
      </c>
      <c r="Q6" s="208"/>
      <c r="R6" s="208"/>
      <c r="S6" s="208"/>
      <c r="T6" s="208"/>
      <c r="U6" s="208"/>
      <c r="V6" s="208"/>
      <c r="W6" s="208"/>
      <c r="X6" s="208"/>
      <c r="Y6" s="215" t="s">
        <v>442</v>
      </c>
      <c r="Z6" s="215" t="s">
        <v>443</v>
      </c>
      <c r="AA6" s="215" t="s">
        <v>444</v>
      </c>
      <c r="AB6" s="215" t="s">
        <v>445</v>
      </c>
      <c r="AC6" s="215" t="s">
        <v>372</v>
      </c>
      <c r="AD6" s="215" t="s">
        <v>199</v>
      </c>
      <c r="AE6" s="215" t="s">
        <v>446</v>
      </c>
      <c r="AF6" s="215" t="s">
        <v>447</v>
      </c>
      <c r="AG6" s="208"/>
      <c r="AH6" s="208"/>
      <c r="AI6" s="208"/>
      <c r="AJ6" s="208"/>
    </row>
    <row r="7" spans="1:36" x14ac:dyDescent="0.3">
      <c r="A7" s="210" t="s">
        <v>166</v>
      </c>
      <c r="B7" s="211">
        <v>45984</v>
      </c>
      <c r="C7" s="212" t="s">
        <v>336</v>
      </c>
      <c r="D7" s="213" t="s">
        <v>418</v>
      </c>
      <c r="E7" s="212" t="s">
        <v>225</v>
      </c>
      <c r="F7" s="212" t="s">
        <v>156</v>
      </c>
      <c r="G7" s="214">
        <v>0.90480000000000005</v>
      </c>
      <c r="H7" s="215">
        <v>168</v>
      </c>
      <c r="I7" s="215">
        <v>152</v>
      </c>
      <c r="J7" s="215">
        <v>62</v>
      </c>
      <c r="K7" s="212" t="s">
        <v>157</v>
      </c>
      <c r="L7" s="216">
        <v>45981</v>
      </c>
      <c r="M7" s="215">
        <v>9</v>
      </c>
      <c r="N7" s="215">
        <v>4</v>
      </c>
      <c r="O7" s="215">
        <v>37</v>
      </c>
      <c r="P7" s="212" t="s">
        <v>333</v>
      </c>
      <c r="Q7" s="208"/>
      <c r="R7" s="208"/>
      <c r="S7" s="208"/>
      <c r="T7" s="208"/>
      <c r="U7" s="208"/>
      <c r="V7" s="208"/>
      <c r="W7" s="208"/>
      <c r="X7" s="208"/>
      <c r="Y7" s="215" t="s">
        <v>448</v>
      </c>
      <c r="Z7" s="215" t="s">
        <v>186</v>
      </c>
      <c r="AA7" s="215" t="s">
        <v>444</v>
      </c>
      <c r="AB7" s="215" t="s">
        <v>449</v>
      </c>
      <c r="AC7" s="215" t="s">
        <v>372</v>
      </c>
      <c r="AD7" s="215" t="s">
        <v>450</v>
      </c>
      <c r="AE7" s="215" t="s">
        <v>438</v>
      </c>
      <c r="AF7" s="215" t="s">
        <v>447</v>
      </c>
      <c r="AG7" s="208"/>
      <c r="AH7" s="208"/>
      <c r="AI7" s="215" t="s">
        <v>451</v>
      </c>
      <c r="AJ7" s="208"/>
    </row>
    <row r="8" spans="1:36" x14ac:dyDescent="0.3">
      <c r="A8" s="210" t="s">
        <v>166</v>
      </c>
      <c r="B8" s="211">
        <v>45984</v>
      </c>
      <c r="C8" s="212" t="s">
        <v>343</v>
      </c>
      <c r="D8" s="213" t="s">
        <v>452</v>
      </c>
      <c r="E8" s="212" t="s">
        <v>225</v>
      </c>
      <c r="F8" s="212" t="s">
        <v>156</v>
      </c>
      <c r="G8" s="214">
        <v>0.9274</v>
      </c>
      <c r="H8" s="215">
        <v>179</v>
      </c>
      <c r="I8" s="215">
        <v>166</v>
      </c>
      <c r="J8" s="215">
        <v>128</v>
      </c>
      <c r="K8" s="212" t="s">
        <v>157</v>
      </c>
      <c r="L8" s="216">
        <v>45981</v>
      </c>
      <c r="M8" s="215">
        <v>3</v>
      </c>
      <c r="N8" s="215">
        <v>1</v>
      </c>
      <c r="O8" s="215">
        <v>9</v>
      </c>
      <c r="P8" s="212" t="s">
        <v>344</v>
      </c>
      <c r="Q8" s="208"/>
      <c r="R8" s="208"/>
      <c r="S8" s="208"/>
      <c r="T8" s="208"/>
      <c r="U8" s="208"/>
      <c r="V8" s="208"/>
      <c r="W8" s="208"/>
      <c r="X8" s="215" t="s">
        <v>453</v>
      </c>
      <c r="Y8" s="215" t="s">
        <v>448</v>
      </c>
      <c r="Z8" s="215" t="s">
        <v>454</v>
      </c>
      <c r="AA8" s="208"/>
      <c r="AB8" s="208"/>
      <c r="AC8" s="208"/>
      <c r="AD8" s="215" t="s">
        <v>455</v>
      </c>
      <c r="AE8" s="215" t="s">
        <v>446</v>
      </c>
      <c r="AF8" s="215" t="s">
        <v>456</v>
      </c>
      <c r="AG8" s="208"/>
      <c r="AH8" s="208"/>
      <c r="AI8" s="215" t="s">
        <v>457</v>
      </c>
      <c r="AJ8" s="208"/>
    </row>
    <row r="9" spans="1:36" x14ac:dyDescent="0.3">
      <c r="A9" s="210" t="s">
        <v>166</v>
      </c>
      <c r="B9" s="211">
        <v>45984</v>
      </c>
      <c r="C9" s="212" t="s">
        <v>275</v>
      </c>
      <c r="D9" s="213" t="s">
        <v>458</v>
      </c>
      <c r="E9" s="212" t="s">
        <v>225</v>
      </c>
      <c r="F9" s="212" t="s">
        <v>156</v>
      </c>
      <c r="G9" s="214">
        <v>1.0112000000000001</v>
      </c>
      <c r="H9" s="215">
        <v>179</v>
      </c>
      <c r="I9" s="215">
        <v>181</v>
      </c>
      <c r="J9" s="215">
        <v>128</v>
      </c>
      <c r="K9" s="212" t="s">
        <v>157</v>
      </c>
      <c r="L9" s="216">
        <v>45980</v>
      </c>
      <c r="M9" s="215">
        <v>0</v>
      </c>
      <c r="N9" s="215">
        <v>3</v>
      </c>
      <c r="O9" s="215">
        <v>12</v>
      </c>
      <c r="P9" s="212" t="s">
        <v>77</v>
      </c>
      <c r="Q9" s="208"/>
      <c r="R9" s="208"/>
      <c r="S9" s="208"/>
      <c r="T9" s="208"/>
      <c r="U9" s="208"/>
      <c r="V9" s="208"/>
      <c r="W9" s="208"/>
      <c r="X9" s="215" t="s">
        <v>179</v>
      </c>
      <c r="Y9" s="215" t="s">
        <v>459</v>
      </c>
      <c r="Z9" s="215" t="s">
        <v>197</v>
      </c>
      <c r="AA9" s="208"/>
      <c r="AB9" s="215" t="s">
        <v>460</v>
      </c>
      <c r="AC9" s="215" t="s">
        <v>428</v>
      </c>
      <c r="AD9" s="215" t="s">
        <v>199</v>
      </c>
      <c r="AE9" s="215" t="s">
        <v>446</v>
      </c>
      <c r="AF9" s="215" t="s">
        <v>456</v>
      </c>
      <c r="AG9" s="208"/>
      <c r="AH9" s="208"/>
      <c r="AI9" s="215" t="s">
        <v>457</v>
      </c>
      <c r="AJ9" s="208"/>
    </row>
    <row r="10" spans="1:36" x14ac:dyDescent="0.3">
      <c r="A10" s="210" t="s">
        <v>461</v>
      </c>
      <c r="B10" s="211">
        <v>45985</v>
      </c>
      <c r="C10" s="212" t="s">
        <v>371</v>
      </c>
      <c r="D10" s="213" t="s">
        <v>462</v>
      </c>
      <c r="E10" s="212" t="s">
        <v>225</v>
      </c>
      <c r="F10" s="212" t="s">
        <v>156</v>
      </c>
      <c r="G10" s="214">
        <v>0.43020000000000003</v>
      </c>
      <c r="H10" s="215">
        <v>179</v>
      </c>
      <c r="I10" s="215">
        <v>77</v>
      </c>
      <c r="J10" s="215">
        <v>0</v>
      </c>
      <c r="K10" s="212" t="s">
        <v>157</v>
      </c>
      <c r="L10" s="216">
        <v>45981</v>
      </c>
      <c r="M10" s="215">
        <v>8</v>
      </c>
      <c r="N10" s="215">
        <v>6</v>
      </c>
      <c r="O10" s="215">
        <v>50</v>
      </c>
      <c r="P10" s="212" t="s">
        <v>372</v>
      </c>
      <c r="Q10" s="208"/>
      <c r="R10" s="208"/>
      <c r="S10" s="208"/>
      <c r="T10" s="208"/>
      <c r="U10" s="208"/>
      <c r="V10" s="208"/>
      <c r="W10" s="208"/>
      <c r="X10" s="208"/>
      <c r="Y10" s="208"/>
      <c r="Z10" s="215" t="s">
        <v>426</v>
      </c>
      <c r="AA10" s="208"/>
      <c r="AB10" s="215" t="s">
        <v>171</v>
      </c>
      <c r="AC10" s="215" t="s">
        <v>463</v>
      </c>
      <c r="AD10" s="215" t="s">
        <v>464</v>
      </c>
      <c r="AE10" s="215" t="s">
        <v>191</v>
      </c>
      <c r="AF10" s="215" t="s">
        <v>192</v>
      </c>
      <c r="AG10" s="208"/>
      <c r="AH10" s="208"/>
      <c r="AI10" s="208"/>
      <c r="AJ10" s="208"/>
    </row>
    <row r="11" spans="1:36" x14ac:dyDescent="0.3">
      <c r="A11" s="210" t="s">
        <v>461</v>
      </c>
      <c r="B11" s="211">
        <v>45985</v>
      </c>
      <c r="C11" s="212" t="s">
        <v>278</v>
      </c>
      <c r="D11" s="213" t="s">
        <v>465</v>
      </c>
      <c r="E11" s="212" t="s">
        <v>225</v>
      </c>
      <c r="F11" s="212" t="s">
        <v>156</v>
      </c>
      <c r="G11" s="214">
        <v>0.9385</v>
      </c>
      <c r="H11" s="215">
        <v>179</v>
      </c>
      <c r="I11" s="215">
        <v>168</v>
      </c>
      <c r="J11" s="215">
        <v>84</v>
      </c>
      <c r="K11" s="212" t="s">
        <v>157</v>
      </c>
      <c r="L11" s="216">
        <v>45981</v>
      </c>
      <c r="M11" s="215">
        <v>18</v>
      </c>
      <c r="N11" s="215">
        <v>6</v>
      </c>
      <c r="O11" s="215">
        <v>47</v>
      </c>
      <c r="P11" s="212" t="s">
        <v>77</v>
      </c>
      <c r="Q11" s="208"/>
      <c r="R11" s="208"/>
      <c r="S11" s="208"/>
      <c r="T11" s="208"/>
      <c r="U11" s="208"/>
      <c r="V11" s="208"/>
      <c r="W11" s="208"/>
      <c r="X11" s="208"/>
      <c r="Y11" s="208"/>
      <c r="Z11" s="215" t="s">
        <v>426</v>
      </c>
      <c r="AA11" s="208"/>
      <c r="AB11" s="215" t="s">
        <v>466</v>
      </c>
      <c r="AC11" s="215" t="s">
        <v>189</v>
      </c>
      <c r="AD11" s="215" t="s">
        <v>414</v>
      </c>
      <c r="AE11" s="215" t="s">
        <v>467</v>
      </c>
      <c r="AF11" s="215" t="s">
        <v>468</v>
      </c>
      <c r="AG11" s="208"/>
      <c r="AH11" s="208"/>
      <c r="AI11" s="215" t="s">
        <v>469</v>
      </c>
      <c r="AJ11" s="215" t="s">
        <v>165</v>
      </c>
    </row>
    <row r="12" spans="1:36" x14ac:dyDescent="0.3">
      <c r="A12" s="210" t="s">
        <v>461</v>
      </c>
      <c r="B12" s="211">
        <v>45985</v>
      </c>
      <c r="C12" s="212" t="s">
        <v>275</v>
      </c>
      <c r="D12" s="213" t="s">
        <v>470</v>
      </c>
      <c r="E12" s="212" t="s">
        <v>225</v>
      </c>
      <c r="F12" s="212" t="s">
        <v>156</v>
      </c>
      <c r="G12" s="214">
        <v>0.90500000000000003</v>
      </c>
      <c r="H12" s="215">
        <v>179</v>
      </c>
      <c r="I12" s="215">
        <v>162</v>
      </c>
      <c r="J12" s="215">
        <v>93</v>
      </c>
      <c r="K12" s="212" t="s">
        <v>157</v>
      </c>
      <c r="L12" s="216">
        <v>45981</v>
      </c>
      <c r="M12" s="215">
        <v>14</v>
      </c>
      <c r="N12" s="215">
        <v>7</v>
      </c>
      <c r="O12" s="215">
        <v>44</v>
      </c>
      <c r="P12" s="212" t="s">
        <v>368</v>
      </c>
      <c r="Q12" s="208"/>
      <c r="R12" s="208"/>
      <c r="S12" s="208"/>
      <c r="T12" s="208"/>
      <c r="U12" s="208"/>
      <c r="V12" s="208"/>
      <c r="W12" s="208"/>
      <c r="X12" s="215" t="s">
        <v>179</v>
      </c>
      <c r="Y12" s="208"/>
      <c r="Z12" s="215" t="s">
        <v>471</v>
      </c>
      <c r="AA12" s="215" t="s">
        <v>472</v>
      </c>
      <c r="AB12" s="215" t="s">
        <v>159</v>
      </c>
      <c r="AC12" s="215" t="s">
        <v>473</v>
      </c>
      <c r="AD12" s="215" t="s">
        <v>190</v>
      </c>
      <c r="AE12" s="215" t="s">
        <v>191</v>
      </c>
      <c r="AF12" s="215" t="s">
        <v>447</v>
      </c>
      <c r="AG12" s="208"/>
      <c r="AH12" s="208"/>
      <c r="AI12" s="215" t="s">
        <v>474</v>
      </c>
      <c r="AJ12" s="208"/>
    </row>
    <row r="13" spans="1:36" x14ac:dyDescent="0.3">
      <c r="A13" s="210" t="s">
        <v>461</v>
      </c>
      <c r="B13" s="211">
        <v>45985</v>
      </c>
      <c r="C13" s="212" t="s">
        <v>343</v>
      </c>
      <c r="D13" s="213" t="s">
        <v>193</v>
      </c>
      <c r="E13" s="212" t="s">
        <v>225</v>
      </c>
      <c r="F13" s="212" t="s">
        <v>156</v>
      </c>
      <c r="G13" s="214">
        <v>0.92179999999999995</v>
      </c>
      <c r="H13" s="215">
        <v>179</v>
      </c>
      <c r="I13" s="215">
        <v>165</v>
      </c>
      <c r="J13" s="215">
        <v>108</v>
      </c>
      <c r="K13" s="212" t="s">
        <v>157</v>
      </c>
      <c r="L13" s="216">
        <v>45981</v>
      </c>
      <c r="M13" s="215">
        <v>1</v>
      </c>
      <c r="N13" s="215">
        <v>8</v>
      </c>
      <c r="O13" s="215">
        <v>24</v>
      </c>
      <c r="P13" s="212" t="s">
        <v>159</v>
      </c>
      <c r="Q13" s="208"/>
      <c r="R13" s="208"/>
      <c r="S13" s="208"/>
      <c r="T13" s="208"/>
      <c r="U13" s="208"/>
      <c r="V13" s="208"/>
      <c r="W13" s="208"/>
      <c r="X13" s="208"/>
      <c r="Y13" s="208"/>
      <c r="Z13" s="215" t="s">
        <v>475</v>
      </c>
      <c r="AA13" s="208"/>
      <c r="AB13" s="215" t="s">
        <v>476</v>
      </c>
      <c r="AC13" s="215" t="s">
        <v>477</v>
      </c>
      <c r="AD13" s="215" t="s">
        <v>190</v>
      </c>
      <c r="AE13" s="215" t="s">
        <v>191</v>
      </c>
      <c r="AF13" s="215" t="s">
        <v>478</v>
      </c>
      <c r="AG13" s="208"/>
      <c r="AH13" s="208"/>
      <c r="AI13" s="215" t="s">
        <v>479</v>
      </c>
      <c r="AJ13" s="208"/>
    </row>
    <row r="14" spans="1:36" x14ac:dyDescent="0.3">
      <c r="A14" s="210" t="s">
        <v>177</v>
      </c>
      <c r="B14" s="211">
        <v>45986</v>
      </c>
      <c r="C14" s="212" t="s">
        <v>392</v>
      </c>
      <c r="D14" s="213" t="s">
        <v>480</v>
      </c>
      <c r="E14" s="212" t="s">
        <v>225</v>
      </c>
      <c r="F14" s="212" t="s">
        <v>156</v>
      </c>
      <c r="G14" s="214">
        <v>0.35749999999999998</v>
      </c>
      <c r="H14" s="215">
        <v>179</v>
      </c>
      <c r="I14" s="215">
        <v>64</v>
      </c>
      <c r="J14" s="215">
        <v>0</v>
      </c>
      <c r="K14" s="212" t="s">
        <v>157</v>
      </c>
      <c r="L14" s="216">
        <v>45981</v>
      </c>
      <c r="M14" s="215">
        <v>9</v>
      </c>
      <c r="N14" s="215">
        <v>1</v>
      </c>
      <c r="O14" s="215">
        <v>47</v>
      </c>
      <c r="P14" s="212" t="s">
        <v>174</v>
      </c>
      <c r="Q14" s="208"/>
      <c r="R14" s="208"/>
      <c r="S14" s="208"/>
      <c r="T14" s="208"/>
      <c r="U14" s="208"/>
      <c r="V14" s="208"/>
      <c r="W14" s="208"/>
      <c r="X14" s="208"/>
      <c r="Y14" s="208"/>
      <c r="Z14" s="215" t="s">
        <v>481</v>
      </c>
      <c r="AA14" s="208"/>
      <c r="AB14" s="208"/>
      <c r="AC14" s="215" t="s">
        <v>198</v>
      </c>
      <c r="AD14" s="215" t="s">
        <v>190</v>
      </c>
      <c r="AE14" s="215" t="s">
        <v>482</v>
      </c>
      <c r="AF14" s="215" t="s">
        <v>483</v>
      </c>
      <c r="AG14" s="208"/>
      <c r="AH14" s="208"/>
      <c r="AI14" s="208"/>
      <c r="AJ14" s="208"/>
    </row>
    <row r="15" spans="1:36" x14ac:dyDescent="0.3">
      <c r="A15" s="210" t="s">
        <v>177</v>
      </c>
      <c r="B15" s="211">
        <v>45986</v>
      </c>
      <c r="C15" s="212" t="s">
        <v>371</v>
      </c>
      <c r="D15" s="213" t="s">
        <v>484</v>
      </c>
      <c r="E15" s="212" t="s">
        <v>225</v>
      </c>
      <c r="F15" s="212" t="s">
        <v>156</v>
      </c>
      <c r="G15" s="214">
        <v>0.9385</v>
      </c>
      <c r="H15" s="215">
        <v>179</v>
      </c>
      <c r="I15" s="215">
        <v>168</v>
      </c>
      <c r="J15" s="215">
        <v>117</v>
      </c>
      <c r="K15" s="212" t="s">
        <v>157</v>
      </c>
      <c r="L15" s="216">
        <v>45979</v>
      </c>
      <c r="M15" s="215">
        <v>0</v>
      </c>
      <c r="N15" s="215">
        <v>0</v>
      </c>
      <c r="O15" s="215">
        <v>27</v>
      </c>
      <c r="P15" s="212" t="s">
        <v>77</v>
      </c>
      <c r="Q15" s="208"/>
      <c r="R15" s="208"/>
      <c r="S15" s="208"/>
      <c r="T15" s="208"/>
      <c r="U15" s="208"/>
      <c r="V15" s="208"/>
      <c r="W15" s="208"/>
      <c r="X15" s="208"/>
      <c r="Y15" s="208"/>
      <c r="Z15" s="215" t="s">
        <v>485</v>
      </c>
      <c r="AA15" s="208"/>
      <c r="AB15" s="208"/>
      <c r="AC15" s="215" t="s">
        <v>486</v>
      </c>
      <c r="AD15" s="215" t="s">
        <v>487</v>
      </c>
      <c r="AE15" s="215" t="s">
        <v>488</v>
      </c>
      <c r="AF15" s="215" t="s">
        <v>478</v>
      </c>
      <c r="AG15" s="208"/>
      <c r="AH15" s="208"/>
      <c r="AI15" s="215" t="s">
        <v>489</v>
      </c>
      <c r="AJ15" s="215" t="s">
        <v>490</v>
      </c>
    </row>
    <row r="16" spans="1:36" x14ac:dyDescent="0.3">
      <c r="A16" s="210" t="s">
        <v>177</v>
      </c>
      <c r="B16" s="211">
        <v>45986</v>
      </c>
      <c r="C16" s="212" t="s">
        <v>275</v>
      </c>
      <c r="D16" s="213" t="s">
        <v>470</v>
      </c>
      <c r="E16" s="212" t="s">
        <v>225</v>
      </c>
      <c r="F16" s="212" t="s">
        <v>156</v>
      </c>
      <c r="G16" s="214">
        <v>0.82679999999999998</v>
      </c>
      <c r="H16" s="215">
        <v>179</v>
      </c>
      <c r="I16" s="215">
        <v>148</v>
      </c>
      <c r="J16" s="215">
        <v>82</v>
      </c>
      <c r="K16" s="212" t="s">
        <v>157</v>
      </c>
      <c r="L16" s="216">
        <v>45981</v>
      </c>
      <c r="M16" s="215">
        <v>12</v>
      </c>
      <c r="N16" s="215">
        <v>3</v>
      </c>
      <c r="O16" s="215">
        <v>37</v>
      </c>
      <c r="P16" s="212" t="s">
        <v>174</v>
      </c>
      <c r="Q16" s="208"/>
      <c r="R16" s="208"/>
      <c r="S16" s="208"/>
      <c r="T16" s="208"/>
      <c r="U16" s="208"/>
      <c r="V16" s="208"/>
      <c r="W16" s="208"/>
      <c r="X16" s="208"/>
      <c r="Y16" s="208"/>
      <c r="Z16" s="215" t="s">
        <v>471</v>
      </c>
      <c r="AA16" s="208"/>
      <c r="AB16" s="208"/>
      <c r="AC16" s="215" t="s">
        <v>491</v>
      </c>
      <c r="AD16" s="215" t="s">
        <v>492</v>
      </c>
      <c r="AE16" s="215" t="s">
        <v>493</v>
      </c>
      <c r="AF16" s="215" t="s">
        <v>478</v>
      </c>
      <c r="AG16" s="208"/>
      <c r="AH16" s="208"/>
      <c r="AI16" s="215" t="s">
        <v>431</v>
      </c>
      <c r="AJ16" s="208"/>
    </row>
    <row r="17" spans="1:36" x14ac:dyDescent="0.3">
      <c r="A17" s="210" t="s">
        <v>177</v>
      </c>
      <c r="B17" s="211">
        <v>45986</v>
      </c>
      <c r="C17" s="212" t="s">
        <v>343</v>
      </c>
      <c r="D17" s="213" t="s">
        <v>494</v>
      </c>
      <c r="E17" s="212" t="s">
        <v>225</v>
      </c>
      <c r="F17" s="212" t="s">
        <v>156</v>
      </c>
      <c r="G17" s="214">
        <v>0.91059999999999997</v>
      </c>
      <c r="H17" s="215">
        <v>179</v>
      </c>
      <c r="I17" s="215">
        <v>163</v>
      </c>
      <c r="J17" s="215">
        <v>116</v>
      </c>
      <c r="K17" s="212" t="s">
        <v>157</v>
      </c>
      <c r="L17" s="216">
        <v>45980</v>
      </c>
      <c r="M17" s="215">
        <v>0</v>
      </c>
      <c r="N17" s="215">
        <v>3</v>
      </c>
      <c r="O17" s="215">
        <v>23</v>
      </c>
      <c r="P17" s="212" t="s">
        <v>397</v>
      </c>
      <c r="Q17" s="208"/>
      <c r="R17" s="208"/>
      <c r="S17" s="208"/>
      <c r="T17" s="208"/>
      <c r="U17" s="208"/>
      <c r="V17" s="208"/>
      <c r="W17" s="208"/>
      <c r="X17" s="208"/>
      <c r="Y17" s="208"/>
      <c r="Z17" s="215" t="s">
        <v>475</v>
      </c>
      <c r="AA17" s="215" t="s">
        <v>495</v>
      </c>
      <c r="AB17" s="208"/>
      <c r="AC17" s="215" t="s">
        <v>437</v>
      </c>
      <c r="AD17" s="215" t="s">
        <v>496</v>
      </c>
      <c r="AE17" s="215" t="s">
        <v>488</v>
      </c>
      <c r="AF17" s="215" t="s">
        <v>497</v>
      </c>
      <c r="AG17" s="208"/>
      <c r="AH17" s="208"/>
      <c r="AI17" s="215" t="s">
        <v>498</v>
      </c>
      <c r="AJ17" s="208"/>
    </row>
    <row r="18" spans="1:36" x14ac:dyDescent="0.3">
      <c r="A18" s="210" t="s">
        <v>177</v>
      </c>
      <c r="B18" s="211">
        <v>45986</v>
      </c>
      <c r="C18" s="212" t="s">
        <v>332</v>
      </c>
      <c r="D18" s="213" t="s">
        <v>499</v>
      </c>
      <c r="E18" s="212" t="s">
        <v>225</v>
      </c>
      <c r="F18" s="212" t="s">
        <v>156</v>
      </c>
      <c r="G18" s="214">
        <v>0.68159999999999998</v>
      </c>
      <c r="H18" s="215">
        <v>179</v>
      </c>
      <c r="I18" s="215">
        <v>122</v>
      </c>
      <c r="J18" s="215">
        <v>86</v>
      </c>
      <c r="K18" s="212" t="s">
        <v>157</v>
      </c>
      <c r="L18" s="216">
        <v>45981</v>
      </c>
      <c r="M18" s="215">
        <v>2</v>
      </c>
      <c r="N18" s="215">
        <v>2</v>
      </c>
      <c r="O18" s="215">
        <v>26</v>
      </c>
      <c r="P18" s="212" t="s">
        <v>174</v>
      </c>
      <c r="Q18" s="208"/>
      <c r="R18" s="208"/>
      <c r="S18" s="208"/>
      <c r="T18" s="208"/>
      <c r="U18" s="208"/>
      <c r="V18" s="208"/>
      <c r="W18" s="208"/>
      <c r="X18" s="208"/>
      <c r="Y18" s="208"/>
      <c r="Z18" s="215" t="s">
        <v>485</v>
      </c>
      <c r="AA18" s="208"/>
      <c r="AB18" s="208"/>
      <c r="AC18" s="215" t="s">
        <v>437</v>
      </c>
      <c r="AD18" s="215" t="s">
        <v>199</v>
      </c>
      <c r="AE18" s="215" t="s">
        <v>191</v>
      </c>
      <c r="AF18" s="215" t="s">
        <v>478</v>
      </c>
      <c r="AG18" s="208"/>
      <c r="AH18" s="208"/>
      <c r="AI18" s="215" t="s">
        <v>175</v>
      </c>
      <c r="AJ18" s="208"/>
    </row>
    <row r="19" spans="1:36" x14ac:dyDescent="0.3">
      <c r="A19" s="210" t="s">
        <v>177</v>
      </c>
      <c r="B19" s="211">
        <v>45986</v>
      </c>
      <c r="C19" s="212" t="s">
        <v>278</v>
      </c>
      <c r="D19" s="213" t="s">
        <v>500</v>
      </c>
      <c r="E19" s="212" t="s">
        <v>225</v>
      </c>
      <c r="F19" s="212" t="s">
        <v>156</v>
      </c>
      <c r="G19" s="214">
        <v>0.58660000000000001</v>
      </c>
      <c r="H19" s="215">
        <v>179</v>
      </c>
      <c r="I19" s="215">
        <v>105</v>
      </c>
      <c r="J19" s="215">
        <v>46</v>
      </c>
      <c r="K19" s="212" t="s">
        <v>157</v>
      </c>
      <c r="L19" s="216">
        <v>45981</v>
      </c>
      <c r="M19" s="215">
        <v>5</v>
      </c>
      <c r="N19" s="215">
        <v>7</v>
      </c>
      <c r="O19" s="215">
        <v>36</v>
      </c>
      <c r="P19" s="212" t="s">
        <v>174</v>
      </c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15" t="s">
        <v>486</v>
      </c>
      <c r="AD19" s="215" t="s">
        <v>190</v>
      </c>
      <c r="AE19" s="215" t="s">
        <v>501</v>
      </c>
      <c r="AF19" s="215" t="s">
        <v>483</v>
      </c>
      <c r="AG19" s="208"/>
      <c r="AH19" s="208"/>
      <c r="AI19" s="215" t="s">
        <v>502</v>
      </c>
      <c r="AJ19" s="208"/>
    </row>
    <row r="20" spans="1:36" ht="21" x14ac:dyDescent="0.3">
      <c r="A20" s="217" t="s">
        <v>683</v>
      </c>
      <c r="B20" s="218"/>
      <c r="C20" s="217">
        <f>SUBTOTAL(103,JED_CAI_LF_LEGACY[Flt])</f>
        <v>18</v>
      </c>
      <c r="D20" s="217"/>
      <c r="E20" s="217">
        <f>SUBTOTAL(103,JED_CAI_LF_LEGACY[Brd-Off])</f>
        <v>18</v>
      </c>
      <c r="F20" s="217"/>
      <c r="G20" s="219">
        <f>SUBTOTAL(101,JED_CAI_LF_LEGACY[LF%])</f>
        <v>0.80755555555555558</v>
      </c>
      <c r="H20" s="220">
        <f>SUBTOTAL(109,JED_CAI_LF_LEGACY[CAP])</f>
        <v>3211</v>
      </c>
      <c r="I20" s="220">
        <f>SUBTOTAL(109,JED_CAI_LF_LEGACY[BKG(Y)])</f>
        <v>2592</v>
      </c>
      <c r="J20" s="220">
        <f>SUBTOTAL(109,JED_CAI_LF_LEGACY[GRP(Y)])</f>
        <v>1389</v>
      </c>
      <c r="K20" s="217"/>
      <c r="L20" s="218"/>
      <c r="M20" s="220">
        <f>SUBTOTAL(109,JED_CAI_LF_LEGACY[TO-DAY])</f>
        <v>98</v>
      </c>
      <c r="N20" s="220">
        <f>SUBTOTAL(109,JED_CAI_LF_LEGACY[Y-DAY])</f>
        <v>58</v>
      </c>
      <c r="O20" s="220">
        <f>SUBTOTAL(109,JED_CAI_LF_LEGACY[WEEKLY])</f>
        <v>527</v>
      </c>
      <c r="P20" s="221"/>
      <c r="Q20" s="220">
        <f>SUBTOTAL(109,JED_CAI_LF_LEGACY[Y])</f>
        <v>0</v>
      </c>
      <c r="R20" s="220">
        <f>SUBTOTAL(109,JED_CAI_LF_LEGACY[B])</f>
        <v>0</v>
      </c>
      <c r="S20" s="220">
        <f>SUBTOTAL(109,JED_CAI_LF_LEGACY[M])</f>
        <v>0</v>
      </c>
      <c r="T20" s="220">
        <f>SUBTOTAL(109,JED_CAI_LF_LEGACY[H])</f>
        <v>0</v>
      </c>
      <c r="U20" s="220">
        <f>SUBTOTAL(109,JED_CAI_LF_LEGACY[Q])</f>
        <v>0</v>
      </c>
      <c r="V20" s="220">
        <f>SUBTOTAL(109,JED_CAI_LF_LEGACY[K])</f>
        <v>0</v>
      </c>
      <c r="W20" s="220">
        <f>SUBTOTAL(109,JED_CAI_LF_LEGACY[V])</f>
        <v>0</v>
      </c>
      <c r="X20" s="220">
        <f>SUBTOTAL(109,JED_CAI_LF_LEGACY[L])</f>
        <v>0</v>
      </c>
      <c r="Y20" s="220">
        <f>SUBTOTAL(109,JED_CAI_LF_LEGACY[G])</f>
        <v>0</v>
      </c>
      <c r="Z20" s="220">
        <f>SUBTOTAL(109,JED_CAI_LF_LEGACY[S])</f>
        <v>0</v>
      </c>
      <c r="AA20" s="220">
        <f>SUBTOTAL(109,JED_CAI_LF_LEGACY[W])</f>
        <v>0</v>
      </c>
      <c r="AB20" s="220">
        <f>SUBTOTAL(109,JED_CAI_LF_LEGACY[T])</f>
        <v>0</v>
      </c>
      <c r="AC20" s="220">
        <f>SUBTOTAL(109,JED_CAI_LF_LEGACY[X])</f>
        <v>0</v>
      </c>
      <c r="AD20" s="220">
        <f>SUBTOTAL(109,JED_CAI_LF_LEGACY[U])</f>
        <v>0</v>
      </c>
      <c r="AE20" s="220">
        <f>SUBTOTAL(109,JED_CAI_LF_LEGACY[O])</f>
        <v>0</v>
      </c>
      <c r="AF20" s="220">
        <f>SUBTOTAL(109,JED_CAI_LF_LEGACY[I])</f>
        <v>0</v>
      </c>
      <c r="AG20" s="220">
        <f>SUBTOTAL(109,JED_CAI_LF_LEGACY[E])</f>
        <v>0</v>
      </c>
      <c r="AH20" s="220">
        <f>SUBTOTAL(109,JED_CAI_LF_LEGACY[A])</f>
        <v>0</v>
      </c>
      <c r="AI20" s="220">
        <f>SUBTOTAL(109,JED_CAI_LF_LEGACY[P])</f>
        <v>0</v>
      </c>
      <c r="AJ20" s="220">
        <f>SUBTOTAL(103,JED_CAI_LF_LEGACY[N])</f>
        <v>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90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203.44140625" hidden="1" customWidth="1"/>
  </cols>
  <sheetData>
    <row r="1" spans="1:8" ht="18" x14ac:dyDescent="0.3">
      <c r="A1" s="78" t="s">
        <v>201</v>
      </c>
      <c r="B1" s="79" t="s">
        <v>8</v>
      </c>
      <c r="C1" s="79" t="s">
        <v>9</v>
      </c>
      <c r="D1" s="79" t="s">
        <v>202</v>
      </c>
      <c r="E1" s="79" t="s">
        <v>10</v>
      </c>
      <c r="F1" s="79" t="s">
        <v>11</v>
      </c>
      <c r="G1" s="79" t="s">
        <v>12</v>
      </c>
      <c r="H1" s="80" t="s">
        <v>13</v>
      </c>
    </row>
    <row r="2" spans="1:8" ht="19.8" customHeight="1" x14ac:dyDescent="0.3">
      <c r="A2" s="81" t="s">
        <v>203</v>
      </c>
      <c r="B2" s="82" t="s">
        <v>26</v>
      </c>
      <c r="C2" s="83" t="s">
        <v>226</v>
      </c>
      <c r="D2" s="82" t="s">
        <v>225</v>
      </c>
      <c r="E2" s="82" t="s">
        <v>503</v>
      </c>
      <c r="F2" s="82" t="s">
        <v>28</v>
      </c>
      <c r="G2" s="84">
        <v>5</v>
      </c>
      <c r="H2" s="85">
        <v>639</v>
      </c>
    </row>
    <row r="3" spans="1:8" ht="19.8" customHeight="1" x14ac:dyDescent="0.3">
      <c r="A3" s="81" t="s">
        <v>203</v>
      </c>
      <c r="B3" s="82" t="s">
        <v>26</v>
      </c>
      <c r="C3" s="83" t="s">
        <v>230</v>
      </c>
      <c r="D3" s="82" t="s">
        <v>225</v>
      </c>
      <c r="E3" s="82" t="s">
        <v>504</v>
      </c>
      <c r="F3" s="82" t="s">
        <v>28</v>
      </c>
      <c r="G3" s="84">
        <v>2</v>
      </c>
      <c r="H3" s="85">
        <v>639</v>
      </c>
    </row>
    <row r="4" spans="1:8" ht="19.8" customHeight="1" x14ac:dyDescent="0.3">
      <c r="A4" s="81" t="s">
        <v>203</v>
      </c>
      <c r="B4" s="82" t="s">
        <v>26</v>
      </c>
      <c r="C4" s="83" t="s">
        <v>231</v>
      </c>
      <c r="D4" s="82" t="s">
        <v>225</v>
      </c>
      <c r="E4" s="82" t="s">
        <v>505</v>
      </c>
      <c r="F4" s="82" t="s">
        <v>28</v>
      </c>
      <c r="G4" s="84">
        <v>21</v>
      </c>
      <c r="H4" s="85">
        <v>639</v>
      </c>
    </row>
    <row r="5" spans="1:8" ht="19.8" customHeight="1" x14ac:dyDescent="0.3">
      <c r="A5" s="81" t="s">
        <v>203</v>
      </c>
      <c r="B5" s="82" t="s">
        <v>36</v>
      </c>
      <c r="C5" s="83" t="s">
        <v>237</v>
      </c>
      <c r="D5" s="82" t="s">
        <v>225</v>
      </c>
      <c r="E5" s="82" t="s">
        <v>506</v>
      </c>
      <c r="F5" s="82" t="s">
        <v>38</v>
      </c>
      <c r="G5" s="84">
        <v>4</v>
      </c>
      <c r="H5" s="85">
        <v>669</v>
      </c>
    </row>
    <row r="6" spans="1:8" ht="19.8" customHeight="1" x14ac:dyDescent="0.3">
      <c r="A6" s="81" t="s">
        <v>203</v>
      </c>
      <c r="B6" s="82" t="s">
        <v>36</v>
      </c>
      <c r="C6" s="83" t="s">
        <v>241</v>
      </c>
      <c r="D6" s="82" t="s">
        <v>225</v>
      </c>
      <c r="E6" s="82" t="s">
        <v>167</v>
      </c>
      <c r="F6" s="82" t="s">
        <v>38</v>
      </c>
      <c r="G6" s="84">
        <v>9</v>
      </c>
      <c r="H6" s="85">
        <v>669</v>
      </c>
    </row>
    <row r="7" spans="1:8" ht="19.8" customHeight="1" x14ac:dyDescent="0.3">
      <c r="A7" s="81" t="s">
        <v>203</v>
      </c>
      <c r="B7" s="82" t="s">
        <v>36</v>
      </c>
      <c r="C7" s="83" t="s">
        <v>242</v>
      </c>
      <c r="D7" s="82" t="s">
        <v>225</v>
      </c>
      <c r="E7" s="82" t="s">
        <v>507</v>
      </c>
      <c r="F7" s="82" t="s">
        <v>38</v>
      </c>
      <c r="G7" s="84">
        <v>3</v>
      </c>
      <c r="H7" s="85">
        <v>669</v>
      </c>
    </row>
    <row r="8" spans="1:8" ht="19.8" customHeight="1" x14ac:dyDescent="0.3">
      <c r="A8" s="81" t="s">
        <v>203</v>
      </c>
      <c r="B8" s="82" t="s">
        <v>36</v>
      </c>
      <c r="C8" s="83" t="s">
        <v>245</v>
      </c>
      <c r="D8" s="82" t="s">
        <v>225</v>
      </c>
      <c r="E8" s="82" t="s">
        <v>508</v>
      </c>
      <c r="F8" s="82" t="s">
        <v>38</v>
      </c>
      <c r="G8" s="84">
        <v>9</v>
      </c>
      <c r="H8" s="85">
        <v>669</v>
      </c>
    </row>
    <row r="9" spans="1:8" ht="19.8" customHeight="1" x14ac:dyDescent="0.3">
      <c r="A9" s="81" t="s">
        <v>203</v>
      </c>
      <c r="B9" s="82" t="s">
        <v>36</v>
      </c>
      <c r="C9" s="83" t="s">
        <v>246</v>
      </c>
      <c r="D9" s="82" t="s">
        <v>225</v>
      </c>
      <c r="E9" s="82" t="s">
        <v>509</v>
      </c>
      <c r="F9" s="82" t="s">
        <v>38</v>
      </c>
      <c r="G9" s="84">
        <v>9</v>
      </c>
      <c r="H9" s="85">
        <v>669</v>
      </c>
    </row>
    <row r="10" spans="1:8" ht="19.8" customHeight="1" x14ac:dyDescent="0.3">
      <c r="A10" s="81" t="s">
        <v>203</v>
      </c>
      <c r="B10" s="82" t="s">
        <v>252</v>
      </c>
      <c r="C10" s="83" t="s">
        <v>253</v>
      </c>
      <c r="D10" s="82" t="s">
        <v>225</v>
      </c>
      <c r="E10" s="82" t="s">
        <v>510</v>
      </c>
      <c r="F10" s="82" t="s">
        <v>254</v>
      </c>
      <c r="G10" s="84">
        <v>9</v>
      </c>
      <c r="H10" s="85">
        <v>671</v>
      </c>
    </row>
    <row r="11" spans="1:8" ht="19.8" customHeight="1" x14ac:dyDescent="0.3">
      <c r="A11" s="81" t="s">
        <v>203</v>
      </c>
      <c r="B11" s="82" t="s">
        <v>26</v>
      </c>
      <c r="C11" s="83" t="s">
        <v>234</v>
      </c>
      <c r="D11" s="82" t="s">
        <v>225</v>
      </c>
      <c r="E11" s="82" t="s">
        <v>511</v>
      </c>
      <c r="F11" s="82" t="s">
        <v>28</v>
      </c>
      <c r="G11" s="84">
        <v>1</v>
      </c>
      <c r="H11" s="85">
        <v>689</v>
      </c>
    </row>
    <row r="12" spans="1:8" ht="19.8" customHeight="1" x14ac:dyDescent="0.3">
      <c r="A12" s="81" t="s">
        <v>203</v>
      </c>
      <c r="B12" s="82" t="s">
        <v>260</v>
      </c>
      <c r="C12" s="83" t="s">
        <v>261</v>
      </c>
      <c r="D12" s="82" t="s">
        <v>225</v>
      </c>
      <c r="E12" s="82" t="s">
        <v>512</v>
      </c>
      <c r="F12" s="82" t="s">
        <v>262</v>
      </c>
      <c r="G12" s="84">
        <v>8</v>
      </c>
      <c r="H12" s="85">
        <v>691</v>
      </c>
    </row>
    <row r="13" spans="1:8" ht="19.8" customHeight="1" x14ac:dyDescent="0.3">
      <c r="A13" s="81" t="s">
        <v>203</v>
      </c>
      <c r="B13" s="82" t="s">
        <v>36</v>
      </c>
      <c r="C13" s="83" t="s">
        <v>247</v>
      </c>
      <c r="D13" s="82" t="s">
        <v>225</v>
      </c>
      <c r="E13" s="82" t="s">
        <v>513</v>
      </c>
      <c r="F13" s="82" t="s">
        <v>38</v>
      </c>
      <c r="G13" s="84">
        <v>9</v>
      </c>
      <c r="H13" s="85">
        <v>719</v>
      </c>
    </row>
    <row r="14" spans="1:8" ht="19.8" customHeight="1" x14ac:dyDescent="0.3">
      <c r="A14" s="81" t="s">
        <v>203</v>
      </c>
      <c r="B14" s="82" t="s">
        <v>36</v>
      </c>
      <c r="C14" s="83" t="s">
        <v>251</v>
      </c>
      <c r="D14" s="82" t="s">
        <v>225</v>
      </c>
      <c r="E14" s="82" t="s">
        <v>155</v>
      </c>
      <c r="F14" s="82" t="s">
        <v>38</v>
      </c>
      <c r="G14" s="84">
        <v>5</v>
      </c>
      <c r="H14" s="85">
        <v>719</v>
      </c>
    </row>
    <row r="15" spans="1:8" ht="19.8" customHeight="1" x14ac:dyDescent="0.3">
      <c r="A15" s="81" t="s">
        <v>203</v>
      </c>
      <c r="B15" s="82" t="s">
        <v>252</v>
      </c>
      <c r="C15" s="83" t="s">
        <v>257</v>
      </c>
      <c r="D15" s="82" t="s">
        <v>225</v>
      </c>
      <c r="E15" s="82" t="s">
        <v>514</v>
      </c>
      <c r="F15" s="82" t="s">
        <v>254</v>
      </c>
      <c r="G15" s="84">
        <v>4</v>
      </c>
      <c r="H15" s="85">
        <v>736</v>
      </c>
    </row>
    <row r="16" spans="1:8" ht="19.8" customHeight="1" x14ac:dyDescent="0.3">
      <c r="A16" s="81" t="s">
        <v>203</v>
      </c>
      <c r="B16" s="82" t="s">
        <v>36</v>
      </c>
      <c r="C16" s="83" t="s">
        <v>237</v>
      </c>
      <c r="D16" s="82" t="s">
        <v>225</v>
      </c>
      <c r="E16" s="82" t="s">
        <v>506</v>
      </c>
      <c r="F16" s="82" t="s">
        <v>41</v>
      </c>
      <c r="G16" s="84">
        <v>4</v>
      </c>
      <c r="H16" s="85">
        <v>769</v>
      </c>
    </row>
    <row r="17" spans="1:8" ht="19.8" customHeight="1" x14ac:dyDescent="0.3">
      <c r="A17" s="81" t="s">
        <v>203</v>
      </c>
      <c r="B17" s="82" t="s">
        <v>36</v>
      </c>
      <c r="C17" s="83" t="s">
        <v>241</v>
      </c>
      <c r="D17" s="82" t="s">
        <v>225</v>
      </c>
      <c r="E17" s="82" t="s">
        <v>167</v>
      </c>
      <c r="F17" s="82" t="s">
        <v>41</v>
      </c>
      <c r="G17" s="84">
        <v>9</v>
      </c>
      <c r="H17" s="85">
        <v>769</v>
      </c>
    </row>
    <row r="18" spans="1:8" ht="19.8" customHeight="1" x14ac:dyDescent="0.3">
      <c r="A18" s="81" t="s">
        <v>203</v>
      </c>
      <c r="B18" s="82" t="s">
        <v>36</v>
      </c>
      <c r="C18" s="83" t="s">
        <v>242</v>
      </c>
      <c r="D18" s="82" t="s">
        <v>225</v>
      </c>
      <c r="E18" s="82" t="s">
        <v>507</v>
      </c>
      <c r="F18" s="82" t="s">
        <v>41</v>
      </c>
      <c r="G18" s="84">
        <v>3</v>
      </c>
      <c r="H18" s="85">
        <v>769</v>
      </c>
    </row>
    <row r="19" spans="1:8" ht="19.8" customHeight="1" x14ac:dyDescent="0.3">
      <c r="A19" s="81" t="s">
        <v>203</v>
      </c>
      <c r="B19" s="82" t="s">
        <v>36</v>
      </c>
      <c r="C19" s="83" t="s">
        <v>245</v>
      </c>
      <c r="D19" s="82" t="s">
        <v>225</v>
      </c>
      <c r="E19" s="82" t="s">
        <v>508</v>
      </c>
      <c r="F19" s="82" t="s">
        <v>41</v>
      </c>
      <c r="G19" s="84">
        <v>9</v>
      </c>
      <c r="H19" s="85">
        <v>769</v>
      </c>
    </row>
    <row r="20" spans="1:8" ht="19.8" customHeight="1" x14ac:dyDescent="0.3">
      <c r="A20" s="81" t="s">
        <v>203</v>
      </c>
      <c r="B20" s="82" t="s">
        <v>36</v>
      </c>
      <c r="C20" s="83" t="s">
        <v>246</v>
      </c>
      <c r="D20" s="82" t="s">
        <v>225</v>
      </c>
      <c r="E20" s="82" t="s">
        <v>509</v>
      </c>
      <c r="F20" s="82" t="s">
        <v>41</v>
      </c>
      <c r="G20" s="84">
        <v>9</v>
      </c>
      <c r="H20" s="85">
        <v>769</v>
      </c>
    </row>
    <row r="21" spans="1:8" ht="19.8" customHeight="1" x14ac:dyDescent="0.3">
      <c r="A21" s="81" t="s">
        <v>203</v>
      </c>
      <c r="B21" s="82" t="s">
        <v>26</v>
      </c>
      <c r="C21" s="83" t="s">
        <v>226</v>
      </c>
      <c r="D21" s="82" t="s">
        <v>225</v>
      </c>
      <c r="E21" s="82" t="s">
        <v>503</v>
      </c>
      <c r="F21" s="82" t="s">
        <v>31</v>
      </c>
      <c r="G21" s="84">
        <v>5</v>
      </c>
      <c r="H21" s="85">
        <v>789</v>
      </c>
    </row>
    <row r="22" spans="1:8" ht="19.8" customHeight="1" x14ac:dyDescent="0.3">
      <c r="A22" s="81" t="s">
        <v>203</v>
      </c>
      <c r="B22" s="82" t="s">
        <v>26</v>
      </c>
      <c r="C22" s="83" t="s">
        <v>230</v>
      </c>
      <c r="D22" s="82" t="s">
        <v>225</v>
      </c>
      <c r="E22" s="82" t="s">
        <v>504</v>
      </c>
      <c r="F22" s="82" t="s">
        <v>31</v>
      </c>
      <c r="G22" s="84">
        <v>2</v>
      </c>
      <c r="H22" s="85">
        <v>789</v>
      </c>
    </row>
    <row r="23" spans="1:8" ht="19.8" customHeight="1" x14ac:dyDescent="0.3">
      <c r="A23" s="81" t="s">
        <v>203</v>
      </c>
      <c r="B23" s="82" t="s">
        <v>26</v>
      </c>
      <c r="C23" s="83" t="s">
        <v>231</v>
      </c>
      <c r="D23" s="82" t="s">
        <v>225</v>
      </c>
      <c r="E23" s="82" t="s">
        <v>505</v>
      </c>
      <c r="F23" s="82" t="s">
        <v>31</v>
      </c>
      <c r="G23" s="84">
        <v>21</v>
      </c>
      <c r="H23" s="85">
        <v>789</v>
      </c>
    </row>
    <row r="24" spans="1:8" ht="19.8" customHeight="1" x14ac:dyDescent="0.3">
      <c r="A24" s="81" t="s">
        <v>203</v>
      </c>
      <c r="B24" s="82" t="s">
        <v>252</v>
      </c>
      <c r="C24" s="83" t="s">
        <v>253</v>
      </c>
      <c r="D24" s="82" t="s">
        <v>225</v>
      </c>
      <c r="E24" s="82" t="s">
        <v>510</v>
      </c>
      <c r="F24" s="82" t="s">
        <v>34</v>
      </c>
      <c r="G24" s="84">
        <v>9</v>
      </c>
      <c r="H24" s="85">
        <v>794</v>
      </c>
    </row>
    <row r="25" spans="1:8" ht="19.8" customHeight="1" x14ac:dyDescent="0.3">
      <c r="A25" s="81" t="s">
        <v>203</v>
      </c>
      <c r="B25" s="82" t="s">
        <v>36</v>
      </c>
      <c r="C25" s="83" t="s">
        <v>247</v>
      </c>
      <c r="D25" s="82" t="s">
        <v>225</v>
      </c>
      <c r="E25" s="82" t="s">
        <v>513</v>
      </c>
      <c r="F25" s="82" t="s">
        <v>41</v>
      </c>
      <c r="G25" s="84">
        <v>9</v>
      </c>
      <c r="H25" s="85">
        <v>819</v>
      </c>
    </row>
    <row r="26" spans="1:8" ht="19.8" customHeight="1" x14ac:dyDescent="0.3">
      <c r="A26" s="81" t="s">
        <v>203</v>
      </c>
      <c r="B26" s="82" t="s">
        <v>36</v>
      </c>
      <c r="C26" s="83" t="s">
        <v>251</v>
      </c>
      <c r="D26" s="82" t="s">
        <v>225</v>
      </c>
      <c r="E26" s="82" t="s">
        <v>155</v>
      </c>
      <c r="F26" s="82" t="s">
        <v>41</v>
      </c>
      <c r="G26" s="84">
        <v>5</v>
      </c>
      <c r="H26" s="85">
        <v>819</v>
      </c>
    </row>
    <row r="27" spans="1:8" ht="19.8" customHeight="1" x14ac:dyDescent="0.3">
      <c r="A27" s="81" t="s">
        <v>203</v>
      </c>
      <c r="B27" s="82" t="s">
        <v>264</v>
      </c>
      <c r="C27" s="83" t="s">
        <v>265</v>
      </c>
      <c r="D27" s="82" t="s">
        <v>225</v>
      </c>
      <c r="E27" s="82" t="s">
        <v>515</v>
      </c>
      <c r="F27" s="82" t="s">
        <v>262</v>
      </c>
      <c r="G27" s="84">
        <v>1</v>
      </c>
      <c r="H27" s="85">
        <v>835</v>
      </c>
    </row>
    <row r="28" spans="1:8" ht="19.8" customHeight="1" x14ac:dyDescent="0.3">
      <c r="A28" s="81" t="s">
        <v>203</v>
      </c>
      <c r="B28" s="82" t="s">
        <v>26</v>
      </c>
      <c r="C28" s="83" t="s">
        <v>234</v>
      </c>
      <c r="D28" s="82" t="s">
        <v>225</v>
      </c>
      <c r="E28" s="82" t="s">
        <v>511</v>
      </c>
      <c r="F28" s="82" t="s">
        <v>31</v>
      </c>
      <c r="G28" s="84">
        <v>1</v>
      </c>
      <c r="H28" s="85">
        <v>839</v>
      </c>
    </row>
    <row r="29" spans="1:8" ht="19.8" customHeight="1" x14ac:dyDescent="0.3">
      <c r="A29" s="81" t="s">
        <v>203</v>
      </c>
      <c r="B29" s="82" t="s">
        <v>36</v>
      </c>
      <c r="C29" s="83" t="s">
        <v>237</v>
      </c>
      <c r="D29" s="82" t="s">
        <v>225</v>
      </c>
      <c r="E29" s="82" t="s">
        <v>506</v>
      </c>
      <c r="F29" s="82" t="s">
        <v>43</v>
      </c>
      <c r="G29" s="84">
        <v>4</v>
      </c>
      <c r="H29" s="85">
        <v>859</v>
      </c>
    </row>
    <row r="30" spans="1:8" ht="19.8" customHeight="1" x14ac:dyDescent="0.3">
      <c r="A30" s="81" t="s">
        <v>203</v>
      </c>
      <c r="B30" s="82" t="s">
        <v>36</v>
      </c>
      <c r="C30" s="83" t="s">
        <v>241</v>
      </c>
      <c r="D30" s="82" t="s">
        <v>225</v>
      </c>
      <c r="E30" s="82" t="s">
        <v>167</v>
      </c>
      <c r="F30" s="82" t="s">
        <v>43</v>
      </c>
      <c r="G30" s="84">
        <v>9</v>
      </c>
      <c r="H30" s="85">
        <v>859</v>
      </c>
    </row>
    <row r="31" spans="1:8" ht="19.8" customHeight="1" x14ac:dyDescent="0.3">
      <c r="A31" s="81" t="s">
        <v>203</v>
      </c>
      <c r="B31" s="82" t="s">
        <v>36</v>
      </c>
      <c r="C31" s="83" t="s">
        <v>242</v>
      </c>
      <c r="D31" s="82" t="s">
        <v>225</v>
      </c>
      <c r="E31" s="82" t="s">
        <v>507</v>
      </c>
      <c r="F31" s="82" t="s">
        <v>43</v>
      </c>
      <c r="G31" s="84">
        <v>3</v>
      </c>
      <c r="H31" s="85">
        <v>859</v>
      </c>
    </row>
    <row r="32" spans="1:8" ht="19.8" customHeight="1" x14ac:dyDescent="0.3">
      <c r="A32" s="81" t="s">
        <v>203</v>
      </c>
      <c r="B32" s="82" t="s">
        <v>36</v>
      </c>
      <c r="C32" s="83" t="s">
        <v>245</v>
      </c>
      <c r="D32" s="82" t="s">
        <v>225</v>
      </c>
      <c r="E32" s="82" t="s">
        <v>508</v>
      </c>
      <c r="F32" s="82" t="s">
        <v>43</v>
      </c>
      <c r="G32" s="84">
        <v>9</v>
      </c>
      <c r="H32" s="85">
        <v>859</v>
      </c>
    </row>
    <row r="33" spans="1:8" ht="19.8" customHeight="1" x14ac:dyDescent="0.3">
      <c r="A33" s="81" t="s">
        <v>203</v>
      </c>
      <c r="B33" s="82" t="s">
        <v>36</v>
      </c>
      <c r="C33" s="83" t="s">
        <v>246</v>
      </c>
      <c r="D33" s="82" t="s">
        <v>225</v>
      </c>
      <c r="E33" s="82" t="s">
        <v>509</v>
      </c>
      <c r="F33" s="82" t="s">
        <v>43</v>
      </c>
      <c r="G33" s="84">
        <v>9</v>
      </c>
      <c r="H33" s="85">
        <v>859</v>
      </c>
    </row>
    <row r="34" spans="1:8" ht="19.8" customHeight="1" x14ac:dyDescent="0.3">
      <c r="A34" s="81" t="s">
        <v>203</v>
      </c>
      <c r="B34" s="82" t="s">
        <v>252</v>
      </c>
      <c r="C34" s="83" t="s">
        <v>257</v>
      </c>
      <c r="D34" s="82" t="s">
        <v>225</v>
      </c>
      <c r="E34" s="82" t="s">
        <v>514</v>
      </c>
      <c r="F34" s="82" t="s">
        <v>34</v>
      </c>
      <c r="G34" s="84">
        <v>4</v>
      </c>
      <c r="H34" s="85">
        <v>860</v>
      </c>
    </row>
    <row r="35" spans="1:8" ht="19.8" customHeight="1" x14ac:dyDescent="0.3">
      <c r="A35" s="81" t="s">
        <v>203</v>
      </c>
      <c r="B35" s="82" t="s">
        <v>36</v>
      </c>
      <c r="C35" s="83" t="s">
        <v>247</v>
      </c>
      <c r="D35" s="82" t="s">
        <v>225</v>
      </c>
      <c r="E35" s="82" t="s">
        <v>513</v>
      </c>
      <c r="F35" s="82" t="s">
        <v>43</v>
      </c>
      <c r="G35" s="84">
        <v>9</v>
      </c>
      <c r="H35" s="85">
        <v>909</v>
      </c>
    </row>
    <row r="36" spans="1:8" ht="19.8" customHeight="1" x14ac:dyDescent="0.3">
      <c r="A36" s="81" t="s">
        <v>203</v>
      </c>
      <c r="B36" s="82" t="s">
        <v>36</v>
      </c>
      <c r="C36" s="83" t="s">
        <v>251</v>
      </c>
      <c r="D36" s="82" t="s">
        <v>225</v>
      </c>
      <c r="E36" s="82" t="s">
        <v>155</v>
      </c>
      <c r="F36" s="82" t="s">
        <v>43</v>
      </c>
      <c r="G36" s="84">
        <v>5</v>
      </c>
      <c r="H36" s="85">
        <v>909</v>
      </c>
    </row>
    <row r="37" spans="1:8" ht="19.8" customHeight="1" x14ac:dyDescent="0.3">
      <c r="A37" s="176" t="s">
        <v>203</v>
      </c>
      <c r="B37" s="102" t="s">
        <v>73</v>
      </c>
      <c r="C37" s="103" t="s">
        <v>267</v>
      </c>
      <c r="D37" s="102" t="s">
        <v>225</v>
      </c>
      <c r="E37" s="102" t="s">
        <v>409</v>
      </c>
      <c r="F37" s="102" t="s">
        <v>111</v>
      </c>
      <c r="G37" s="105">
        <v>3</v>
      </c>
      <c r="H37" s="106">
        <v>952</v>
      </c>
    </row>
    <row r="38" spans="1:8" ht="19.8" customHeight="1" x14ac:dyDescent="0.3">
      <c r="A38" s="101">
        <v>45983</v>
      </c>
      <c r="B38" s="102" t="s">
        <v>73</v>
      </c>
      <c r="C38" s="103" t="s">
        <v>273</v>
      </c>
      <c r="D38" s="102" t="s">
        <v>225</v>
      </c>
      <c r="E38" s="104">
        <v>1.680555555555556</v>
      </c>
      <c r="F38" s="102" t="s">
        <v>111</v>
      </c>
      <c r="G38" s="105">
        <v>1</v>
      </c>
      <c r="H38" s="177" t="s">
        <v>274</v>
      </c>
    </row>
    <row r="39" spans="1:8" ht="19.8" customHeight="1" x14ac:dyDescent="0.3">
      <c r="A39" s="91">
        <v>45983</v>
      </c>
      <c r="B39" s="82" t="s">
        <v>26</v>
      </c>
      <c r="C39" s="83" t="s">
        <v>234</v>
      </c>
      <c r="D39" s="82" t="s">
        <v>225</v>
      </c>
      <c r="E39" s="92">
        <v>1.302083333333333</v>
      </c>
      <c r="F39" s="82" t="s">
        <v>34</v>
      </c>
      <c r="G39" s="84">
        <v>1</v>
      </c>
      <c r="H39" s="86" t="s">
        <v>81</v>
      </c>
    </row>
    <row r="40" spans="1:8" ht="19.8" customHeight="1" x14ac:dyDescent="0.3">
      <c r="A40" s="91">
        <v>45983</v>
      </c>
      <c r="B40" s="82" t="s">
        <v>26</v>
      </c>
      <c r="C40" s="83" t="s">
        <v>226</v>
      </c>
      <c r="D40" s="82" t="s">
        <v>225</v>
      </c>
      <c r="E40" s="92">
        <v>1.1284722222222221</v>
      </c>
      <c r="F40" s="82" t="s">
        <v>34</v>
      </c>
      <c r="G40" s="84">
        <v>5</v>
      </c>
      <c r="H40" s="86" t="s">
        <v>81</v>
      </c>
    </row>
    <row r="41" spans="1:8" ht="19.8" customHeight="1" x14ac:dyDescent="0.3">
      <c r="A41" s="91">
        <v>45983</v>
      </c>
      <c r="B41" s="82" t="s">
        <v>26</v>
      </c>
      <c r="C41" s="83" t="s">
        <v>230</v>
      </c>
      <c r="D41" s="82" t="s">
        <v>225</v>
      </c>
      <c r="E41" s="92">
        <v>1.788194444444444</v>
      </c>
      <c r="F41" s="82" t="s">
        <v>34</v>
      </c>
      <c r="G41" s="84">
        <v>2</v>
      </c>
      <c r="H41" s="86" t="s">
        <v>81</v>
      </c>
    </row>
    <row r="42" spans="1:8" ht="19.8" customHeight="1" x14ac:dyDescent="0.3">
      <c r="A42" s="91">
        <v>45983</v>
      </c>
      <c r="B42" s="82" t="s">
        <v>26</v>
      </c>
      <c r="C42" s="83" t="s">
        <v>231</v>
      </c>
      <c r="D42" s="82" t="s">
        <v>225</v>
      </c>
      <c r="E42" s="92">
        <v>1.8888888888888891</v>
      </c>
      <c r="F42" s="82" t="s">
        <v>34</v>
      </c>
      <c r="G42" s="84">
        <v>21</v>
      </c>
      <c r="H42" s="86" t="s">
        <v>81</v>
      </c>
    </row>
    <row r="43" spans="1:8" ht="19.8" customHeight="1" x14ac:dyDescent="0.3">
      <c r="A43" s="91">
        <v>45983</v>
      </c>
      <c r="B43" s="82" t="s">
        <v>56</v>
      </c>
      <c r="C43" s="83" t="s">
        <v>280</v>
      </c>
      <c r="D43" s="82" t="s">
        <v>225</v>
      </c>
      <c r="E43" s="92">
        <v>1.3784722222222221</v>
      </c>
      <c r="F43" s="82" t="s">
        <v>58</v>
      </c>
      <c r="G43" s="84">
        <v>9</v>
      </c>
      <c r="H43" s="86" t="s">
        <v>281</v>
      </c>
    </row>
    <row r="44" spans="1:8" ht="19.8" customHeight="1" x14ac:dyDescent="0.3">
      <c r="A44" s="91">
        <v>45983</v>
      </c>
      <c r="B44" s="82" t="s">
        <v>56</v>
      </c>
      <c r="C44" s="83" t="s">
        <v>283</v>
      </c>
      <c r="D44" s="82" t="s">
        <v>225</v>
      </c>
      <c r="E44" s="92">
        <v>1.71875</v>
      </c>
      <c r="F44" s="82" t="s">
        <v>58</v>
      </c>
      <c r="G44" s="84">
        <v>9</v>
      </c>
      <c r="H44" s="86" t="s">
        <v>281</v>
      </c>
    </row>
    <row r="45" spans="1:8" ht="19.8" customHeight="1" x14ac:dyDescent="0.3">
      <c r="A45" s="91">
        <v>45983</v>
      </c>
      <c r="B45" s="82" t="s">
        <v>56</v>
      </c>
      <c r="C45" s="83" t="s">
        <v>284</v>
      </c>
      <c r="D45" s="82" t="s">
        <v>225</v>
      </c>
      <c r="E45" s="92">
        <v>1.006944444444444</v>
      </c>
      <c r="F45" s="82" t="s">
        <v>58</v>
      </c>
      <c r="G45" s="84">
        <v>9</v>
      </c>
      <c r="H45" s="86" t="s">
        <v>281</v>
      </c>
    </row>
    <row r="46" spans="1:8" ht="19.8" customHeight="1" x14ac:dyDescent="0.3">
      <c r="A46" s="91">
        <v>45983</v>
      </c>
      <c r="B46" s="82" t="s">
        <v>56</v>
      </c>
      <c r="C46" s="83" t="s">
        <v>285</v>
      </c>
      <c r="D46" s="82" t="s">
        <v>225</v>
      </c>
      <c r="E46" s="92">
        <v>1.1423611111111109</v>
      </c>
      <c r="F46" s="82" t="s">
        <v>58</v>
      </c>
      <c r="G46" s="84">
        <v>9</v>
      </c>
      <c r="H46" s="86" t="s">
        <v>281</v>
      </c>
    </row>
    <row r="47" spans="1:8" ht="19.8" customHeight="1" x14ac:dyDescent="0.3">
      <c r="A47" s="91">
        <v>45983</v>
      </c>
      <c r="B47" s="82" t="s">
        <v>56</v>
      </c>
      <c r="C47" s="83" t="s">
        <v>286</v>
      </c>
      <c r="D47" s="82" t="s">
        <v>225</v>
      </c>
      <c r="E47" s="92">
        <v>1.930555555555556</v>
      </c>
      <c r="F47" s="82" t="s">
        <v>58</v>
      </c>
      <c r="G47" s="84">
        <v>9</v>
      </c>
      <c r="H47" s="86" t="s">
        <v>281</v>
      </c>
    </row>
    <row r="48" spans="1:8" ht="19.8" customHeight="1" x14ac:dyDescent="0.3">
      <c r="A48" s="91">
        <v>45983</v>
      </c>
      <c r="B48" s="82" t="s">
        <v>48</v>
      </c>
      <c r="C48" s="83" t="s">
        <v>300</v>
      </c>
      <c r="D48" s="82" t="s">
        <v>225</v>
      </c>
      <c r="E48" s="92">
        <v>1.2777777777777779</v>
      </c>
      <c r="F48" s="82" t="s">
        <v>50</v>
      </c>
      <c r="G48" s="84">
        <v>9</v>
      </c>
      <c r="H48" s="86" t="s">
        <v>301</v>
      </c>
    </row>
    <row r="49" spans="1:8" ht="19.8" customHeight="1" x14ac:dyDescent="0.3">
      <c r="A49" s="91">
        <v>45983</v>
      </c>
      <c r="B49" s="82" t="s">
        <v>48</v>
      </c>
      <c r="C49" s="83" t="s">
        <v>302</v>
      </c>
      <c r="D49" s="82" t="s">
        <v>225</v>
      </c>
      <c r="E49" s="92">
        <v>1.229166666666667</v>
      </c>
      <c r="F49" s="82" t="s">
        <v>50</v>
      </c>
      <c r="G49" s="84">
        <v>9</v>
      </c>
      <c r="H49" s="86" t="s">
        <v>301</v>
      </c>
    </row>
    <row r="50" spans="1:8" ht="19.8" customHeight="1" x14ac:dyDescent="0.3">
      <c r="A50" s="91">
        <v>45983</v>
      </c>
      <c r="B50" s="82" t="s">
        <v>48</v>
      </c>
      <c r="C50" s="83" t="s">
        <v>303</v>
      </c>
      <c r="D50" s="82" t="s">
        <v>225</v>
      </c>
      <c r="E50" s="92">
        <v>1.020833333333333</v>
      </c>
      <c r="F50" s="82" t="s">
        <v>50</v>
      </c>
      <c r="G50" s="84">
        <v>9</v>
      </c>
      <c r="H50" s="86" t="s">
        <v>304</v>
      </c>
    </row>
    <row r="51" spans="1:8" ht="19.8" customHeight="1" x14ac:dyDescent="0.3">
      <c r="A51" s="91">
        <v>45983</v>
      </c>
      <c r="B51" s="82" t="s">
        <v>56</v>
      </c>
      <c r="C51" s="83" t="s">
        <v>280</v>
      </c>
      <c r="D51" s="82" t="s">
        <v>225</v>
      </c>
      <c r="E51" s="92">
        <v>1.3784722222222221</v>
      </c>
      <c r="F51" s="82" t="s">
        <v>61</v>
      </c>
      <c r="G51" s="84">
        <v>9</v>
      </c>
      <c r="H51" s="86" t="s">
        <v>282</v>
      </c>
    </row>
    <row r="52" spans="1:8" ht="19.8" customHeight="1" x14ac:dyDescent="0.3">
      <c r="A52" s="91">
        <v>45983</v>
      </c>
      <c r="B52" s="82" t="s">
        <v>56</v>
      </c>
      <c r="C52" s="83" t="s">
        <v>283</v>
      </c>
      <c r="D52" s="82" t="s">
        <v>225</v>
      </c>
      <c r="E52" s="92">
        <v>1.71875</v>
      </c>
      <c r="F52" s="82" t="s">
        <v>61</v>
      </c>
      <c r="G52" s="84">
        <v>9</v>
      </c>
      <c r="H52" s="86" t="s">
        <v>282</v>
      </c>
    </row>
    <row r="53" spans="1:8" ht="19.8" customHeight="1" x14ac:dyDescent="0.3">
      <c r="A53" s="91">
        <v>45983</v>
      </c>
      <c r="B53" s="82" t="s">
        <v>56</v>
      </c>
      <c r="C53" s="83" t="s">
        <v>284</v>
      </c>
      <c r="D53" s="82" t="s">
        <v>225</v>
      </c>
      <c r="E53" s="92">
        <v>1.006944444444444</v>
      </c>
      <c r="F53" s="82" t="s">
        <v>61</v>
      </c>
      <c r="G53" s="84">
        <v>9</v>
      </c>
      <c r="H53" s="86" t="s">
        <v>282</v>
      </c>
    </row>
    <row r="54" spans="1:8" ht="19.8" customHeight="1" x14ac:dyDescent="0.3">
      <c r="A54" s="91">
        <v>45983</v>
      </c>
      <c r="B54" s="82" t="s">
        <v>56</v>
      </c>
      <c r="C54" s="83" t="s">
        <v>285</v>
      </c>
      <c r="D54" s="82" t="s">
        <v>225</v>
      </c>
      <c r="E54" s="92">
        <v>1.1423611111111109</v>
      </c>
      <c r="F54" s="82" t="s">
        <v>61</v>
      </c>
      <c r="G54" s="84">
        <v>9</v>
      </c>
      <c r="H54" s="86" t="s">
        <v>282</v>
      </c>
    </row>
    <row r="55" spans="1:8" ht="19.8" customHeight="1" x14ac:dyDescent="0.3">
      <c r="A55" s="91">
        <v>45983</v>
      </c>
      <c r="B55" s="82" t="s">
        <v>56</v>
      </c>
      <c r="C55" s="83" t="s">
        <v>286</v>
      </c>
      <c r="D55" s="82" t="s">
        <v>225</v>
      </c>
      <c r="E55" s="92">
        <v>1.930555555555556</v>
      </c>
      <c r="F55" s="82" t="s">
        <v>61</v>
      </c>
      <c r="G55" s="84">
        <v>9</v>
      </c>
      <c r="H55" s="86" t="s">
        <v>282</v>
      </c>
    </row>
    <row r="56" spans="1:8" ht="19.8" customHeight="1" x14ac:dyDescent="0.3">
      <c r="A56" s="91">
        <v>45983</v>
      </c>
      <c r="B56" s="82" t="s">
        <v>56</v>
      </c>
      <c r="C56" s="83" t="s">
        <v>287</v>
      </c>
      <c r="D56" s="82" t="s">
        <v>225</v>
      </c>
      <c r="E56" s="92">
        <v>1.243055555555556</v>
      </c>
      <c r="F56" s="82" t="s">
        <v>58</v>
      </c>
      <c r="G56" s="84">
        <v>9</v>
      </c>
      <c r="H56" s="86" t="s">
        <v>288</v>
      </c>
    </row>
    <row r="57" spans="1:8" ht="19.8" customHeight="1" x14ac:dyDescent="0.3">
      <c r="A57" s="91">
        <v>45983</v>
      </c>
      <c r="B57" s="82" t="s">
        <v>48</v>
      </c>
      <c r="C57" s="83" t="s">
        <v>305</v>
      </c>
      <c r="D57" s="82" t="s">
        <v>225</v>
      </c>
      <c r="E57" s="92">
        <v>1.4861111111111109</v>
      </c>
      <c r="F57" s="82" t="s">
        <v>50</v>
      </c>
      <c r="G57" s="84">
        <v>2</v>
      </c>
      <c r="H57" s="86" t="s">
        <v>306</v>
      </c>
    </row>
    <row r="58" spans="1:8" ht="19.8" customHeight="1" x14ac:dyDescent="0.3">
      <c r="A58" s="91">
        <v>45983</v>
      </c>
      <c r="B58" s="82" t="s">
        <v>48</v>
      </c>
      <c r="C58" s="83" t="s">
        <v>307</v>
      </c>
      <c r="D58" s="82" t="s">
        <v>225</v>
      </c>
      <c r="E58" s="92">
        <v>1.145833333333333</v>
      </c>
      <c r="F58" s="82" t="s">
        <v>50</v>
      </c>
      <c r="G58" s="84">
        <v>4</v>
      </c>
      <c r="H58" s="86" t="s">
        <v>306</v>
      </c>
    </row>
    <row r="59" spans="1:8" ht="19.8" customHeight="1" x14ac:dyDescent="0.3">
      <c r="A59" s="91">
        <v>45983</v>
      </c>
      <c r="B59" s="82" t="s">
        <v>48</v>
      </c>
      <c r="C59" s="83" t="s">
        <v>308</v>
      </c>
      <c r="D59" s="82" t="s">
        <v>225</v>
      </c>
      <c r="E59" s="92">
        <v>1.541666666666667</v>
      </c>
      <c r="F59" s="82" t="s">
        <v>50</v>
      </c>
      <c r="G59" s="84">
        <v>5</v>
      </c>
      <c r="H59" s="86" t="s">
        <v>306</v>
      </c>
    </row>
    <row r="60" spans="1:8" ht="19.8" customHeight="1" x14ac:dyDescent="0.3">
      <c r="A60" s="91">
        <v>45983</v>
      </c>
      <c r="B60" s="82" t="s">
        <v>48</v>
      </c>
      <c r="C60" s="83" t="s">
        <v>309</v>
      </c>
      <c r="D60" s="82" t="s">
        <v>225</v>
      </c>
      <c r="E60" s="92">
        <v>1.958333333333333</v>
      </c>
      <c r="F60" s="82" t="s">
        <v>50</v>
      </c>
      <c r="G60" s="84">
        <v>2</v>
      </c>
      <c r="H60" s="86" t="s">
        <v>306</v>
      </c>
    </row>
    <row r="61" spans="1:8" ht="19.8" customHeight="1" x14ac:dyDescent="0.3">
      <c r="A61" s="91">
        <v>45983</v>
      </c>
      <c r="B61" s="82" t="s">
        <v>56</v>
      </c>
      <c r="C61" s="83" t="s">
        <v>287</v>
      </c>
      <c r="D61" s="82" t="s">
        <v>225</v>
      </c>
      <c r="E61" s="92">
        <v>1.243055555555556</v>
      </c>
      <c r="F61" s="82" t="s">
        <v>61</v>
      </c>
      <c r="G61" s="84">
        <v>9</v>
      </c>
      <c r="H61" s="86" t="s">
        <v>289</v>
      </c>
    </row>
    <row r="62" spans="1:8" ht="19.8" customHeight="1" x14ac:dyDescent="0.3">
      <c r="A62" s="91">
        <v>45983</v>
      </c>
      <c r="B62" s="82" t="s">
        <v>56</v>
      </c>
      <c r="C62" s="83" t="s">
        <v>290</v>
      </c>
      <c r="D62" s="82" t="s">
        <v>225</v>
      </c>
      <c r="E62" s="92">
        <v>1.8888888888888891</v>
      </c>
      <c r="F62" s="82" t="s">
        <v>61</v>
      </c>
      <c r="G62" s="84">
        <v>4</v>
      </c>
      <c r="H62" s="86" t="s">
        <v>291</v>
      </c>
    </row>
    <row r="63" spans="1:8" ht="19.8" customHeight="1" x14ac:dyDescent="0.3">
      <c r="A63" s="91">
        <v>45983</v>
      </c>
      <c r="B63" s="82" t="s">
        <v>56</v>
      </c>
      <c r="C63" s="83" t="s">
        <v>292</v>
      </c>
      <c r="D63" s="82" t="s">
        <v>225</v>
      </c>
      <c r="E63" s="92">
        <v>1.6111111111111109</v>
      </c>
      <c r="F63" s="82" t="s">
        <v>58</v>
      </c>
      <c r="G63" s="84">
        <v>9</v>
      </c>
      <c r="H63" s="86" t="s">
        <v>293</v>
      </c>
    </row>
    <row r="64" spans="1:8" ht="19.8" customHeight="1" x14ac:dyDescent="0.3">
      <c r="A64" s="91">
        <v>45983</v>
      </c>
      <c r="B64" s="82" t="s">
        <v>56</v>
      </c>
      <c r="C64" s="83" t="s">
        <v>295</v>
      </c>
      <c r="D64" s="82" t="s">
        <v>225</v>
      </c>
      <c r="E64" s="92">
        <v>1.8298611111111109</v>
      </c>
      <c r="F64" s="82" t="s">
        <v>58</v>
      </c>
      <c r="G64" s="84">
        <v>9</v>
      </c>
      <c r="H64" s="86" t="s">
        <v>293</v>
      </c>
    </row>
    <row r="65" spans="1:8" ht="19.8" customHeight="1" x14ac:dyDescent="0.3">
      <c r="A65" s="91">
        <v>45983</v>
      </c>
      <c r="B65" s="82" t="s">
        <v>48</v>
      </c>
      <c r="C65" s="83" t="s">
        <v>310</v>
      </c>
      <c r="D65" s="82" t="s">
        <v>225</v>
      </c>
      <c r="E65" s="92">
        <v>1.770833333333333</v>
      </c>
      <c r="F65" s="82" t="s">
        <v>50</v>
      </c>
      <c r="G65" s="84">
        <v>2</v>
      </c>
      <c r="H65" s="86" t="s">
        <v>311</v>
      </c>
    </row>
    <row r="66" spans="1:8" ht="19.8" customHeight="1" x14ac:dyDescent="0.3">
      <c r="A66" s="91">
        <v>45983</v>
      </c>
      <c r="B66" s="82" t="s">
        <v>56</v>
      </c>
      <c r="C66" s="83" t="s">
        <v>296</v>
      </c>
      <c r="D66" s="82" t="s">
        <v>225</v>
      </c>
      <c r="E66" s="92">
        <v>1.302083333333333</v>
      </c>
      <c r="F66" s="82" t="s">
        <v>61</v>
      </c>
      <c r="G66" s="84">
        <v>4</v>
      </c>
      <c r="H66" s="86" t="s">
        <v>297</v>
      </c>
    </row>
    <row r="67" spans="1:8" ht="19.8" customHeight="1" x14ac:dyDescent="0.3">
      <c r="A67" s="91">
        <v>45983</v>
      </c>
      <c r="B67" s="82" t="s">
        <v>56</v>
      </c>
      <c r="C67" s="83" t="s">
        <v>298</v>
      </c>
      <c r="D67" s="82" t="s">
        <v>225</v>
      </c>
      <c r="E67" s="92">
        <v>1.1284722222222221</v>
      </c>
      <c r="F67" s="82" t="s">
        <v>61</v>
      </c>
      <c r="G67" s="84">
        <v>4</v>
      </c>
      <c r="H67" s="86" t="s">
        <v>297</v>
      </c>
    </row>
    <row r="68" spans="1:8" ht="19.8" customHeight="1" x14ac:dyDescent="0.3">
      <c r="A68" s="91">
        <v>45983</v>
      </c>
      <c r="B68" s="82" t="s">
        <v>56</v>
      </c>
      <c r="C68" s="83" t="s">
        <v>299</v>
      </c>
      <c r="D68" s="82" t="s">
        <v>225</v>
      </c>
      <c r="E68" s="92">
        <v>1.788194444444444</v>
      </c>
      <c r="F68" s="82" t="s">
        <v>61</v>
      </c>
      <c r="G68" s="84">
        <v>4</v>
      </c>
      <c r="H68" s="86" t="s">
        <v>297</v>
      </c>
    </row>
    <row r="69" spans="1:8" ht="19.8" customHeight="1" x14ac:dyDescent="0.3">
      <c r="A69" s="91">
        <v>45983</v>
      </c>
      <c r="B69" s="82" t="s">
        <v>56</v>
      </c>
      <c r="C69" s="83" t="s">
        <v>292</v>
      </c>
      <c r="D69" s="82" t="s">
        <v>225</v>
      </c>
      <c r="E69" s="92">
        <v>1.6111111111111109</v>
      </c>
      <c r="F69" s="82" t="s">
        <v>61</v>
      </c>
      <c r="G69" s="84">
        <v>9</v>
      </c>
      <c r="H69" s="86" t="s">
        <v>294</v>
      </c>
    </row>
    <row r="70" spans="1:8" ht="19.8" customHeight="1" x14ac:dyDescent="0.3">
      <c r="A70" s="91">
        <v>45983</v>
      </c>
      <c r="B70" s="82" t="s">
        <v>56</v>
      </c>
      <c r="C70" s="83" t="s">
        <v>295</v>
      </c>
      <c r="D70" s="82" t="s">
        <v>225</v>
      </c>
      <c r="E70" s="92">
        <v>1.8298611111111109</v>
      </c>
      <c r="F70" s="82" t="s">
        <v>61</v>
      </c>
      <c r="G70" s="84">
        <v>9</v>
      </c>
      <c r="H70" s="86" t="s">
        <v>294</v>
      </c>
    </row>
    <row r="71" spans="1:8" ht="19.8" customHeight="1" x14ac:dyDescent="0.3">
      <c r="A71" s="93">
        <v>45983</v>
      </c>
      <c r="B71" s="88" t="s">
        <v>73</v>
      </c>
      <c r="C71" s="89" t="s">
        <v>278</v>
      </c>
      <c r="D71" s="88" t="s">
        <v>225</v>
      </c>
      <c r="E71" s="94">
        <v>1.333333333333333</v>
      </c>
      <c r="F71" s="88" t="s">
        <v>75</v>
      </c>
      <c r="G71" s="88"/>
      <c r="H71" s="90" t="s">
        <v>76</v>
      </c>
    </row>
    <row r="72" spans="1:8" ht="19.8" customHeight="1" x14ac:dyDescent="0.3">
      <c r="A72" s="91">
        <v>45984</v>
      </c>
      <c r="B72" s="82" t="s">
        <v>26</v>
      </c>
      <c r="C72" s="83" t="s">
        <v>231</v>
      </c>
      <c r="D72" s="82" t="s">
        <v>225</v>
      </c>
      <c r="E72" s="92">
        <v>1.8888888888888891</v>
      </c>
      <c r="F72" s="82" t="s">
        <v>28</v>
      </c>
      <c r="G72" s="84">
        <v>7</v>
      </c>
      <c r="H72" s="85">
        <v>539</v>
      </c>
    </row>
    <row r="73" spans="1:8" ht="19.8" customHeight="1" x14ac:dyDescent="0.3">
      <c r="A73" s="91">
        <v>45984</v>
      </c>
      <c r="B73" s="82" t="s">
        <v>36</v>
      </c>
      <c r="C73" s="83" t="s">
        <v>237</v>
      </c>
      <c r="D73" s="82" t="s">
        <v>225</v>
      </c>
      <c r="E73" s="92">
        <v>1.256944444444444</v>
      </c>
      <c r="F73" s="82" t="s">
        <v>38</v>
      </c>
      <c r="G73" s="84">
        <v>7</v>
      </c>
      <c r="H73" s="85">
        <v>549</v>
      </c>
    </row>
    <row r="74" spans="1:8" ht="19.8" customHeight="1" x14ac:dyDescent="0.3">
      <c r="A74" s="91">
        <v>45984</v>
      </c>
      <c r="B74" s="82" t="s">
        <v>36</v>
      </c>
      <c r="C74" s="83" t="s">
        <v>241</v>
      </c>
      <c r="D74" s="82" t="s">
        <v>225</v>
      </c>
      <c r="E74" s="92">
        <v>1.9027777777777779</v>
      </c>
      <c r="F74" s="82" t="s">
        <v>38</v>
      </c>
      <c r="G74" s="84">
        <v>3</v>
      </c>
      <c r="H74" s="85">
        <v>549</v>
      </c>
    </row>
    <row r="75" spans="1:8" ht="19.8" customHeight="1" x14ac:dyDescent="0.3">
      <c r="A75" s="91">
        <v>45984</v>
      </c>
      <c r="B75" s="82" t="s">
        <v>36</v>
      </c>
      <c r="C75" s="83" t="s">
        <v>245</v>
      </c>
      <c r="D75" s="82" t="s">
        <v>225</v>
      </c>
      <c r="E75" s="92">
        <v>1.854166666666667</v>
      </c>
      <c r="F75" s="82" t="s">
        <v>38</v>
      </c>
      <c r="G75" s="84">
        <v>9</v>
      </c>
      <c r="H75" s="85">
        <v>549</v>
      </c>
    </row>
    <row r="76" spans="1:8" ht="19.8" customHeight="1" x14ac:dyDescent="0.3">
      <c r="A76" s="91">
        <v>45984</v>
      </c>
      <c r="B76" s="82" t="s">
        <v>36</v>
      </c>
      <c r="C76" s="83" t="s">
        <v>246</v>
      </c>
      <c r="D76" s="82" t="s">
        <v>225</v>
      </c>
      <c r="E76" s="92">
        <v>1.7986111111111109</v>
      </c>
      <c r="F76" s="82" t="s">
        <v>38</v>
      </c>
      <c r="G76" s="84">
        <v>9</v>
      </c>
      <c r="H76" s="85">
        <v>549</v>
      </c>
    </row>
    <row r="77" spans="1:8" ht="19.8" customHeight="1" x14ac:dyDescent="0.3">
      <c r="A77" s="91">
        <v>45984</v>
      </c>
      <c r="B77" s="82" t="s">
        <v>26</v>
      </c>
      <c r="C77" s="83" t="s">
        <v>230</v>
      </c>
      <c r="D77" s="82" t="s">
        <v>225</v>
      </c>
      <c r="E77" s="92">
        <v>1.788194444444444</v>
      </c>
      <c r="F77" s="82" t="s">
        <v>28</v>
      </c>
      <c r="G77" s="84">
        <v>10</v>
      </c>
      <c r="H77" s="85">
        <v>589</v>
      </c>
    </row>
    <row r="78" spans="1:8" ht="19.8" customHeight="1" x14ac:dyDescent="0.3">
      <c r="A78" s="91">
        <v>45984</v>
      </c>
      <c r="B78" s="82" t="s">
        <v>36</v>
      </c>
      <c r="C78" s="83" t="s">
        <v>247</v>
      </c>
      <c r="D78" s="82" t="s">
        <v>225</v>
      </c>
      <c r="E78" s="92">
        <v>1.645833333333333</v>
      </c>
      <c r="F78" s="82" t="s">
        <v>38</v>
      </c>
      <c r="G78" s="84">
        <v>9</v>
      </c>
      <c r="H78" s="85">
        <v>589</v>
      </c>
    </row>
    <row r="79" spans="1:8" ht="19.8" customHeight="1" x14ac:dyDescent="0.3">
      <c r="A79" s="91">
        <v>45984</v>
      </c>
      <c r="B79" s="82" t="s">
        <v>36</v>
      </c>
      <c r="C79" s="83" t="s">
        <v>242</v>
      </c>
      <c r="D79" s="82" t="s">
        <v>225</v>
      </c>
      <c r="E79" s="92">
        <v>1.5173611111111109</v>
      </c>
      <c r="F79" s="82" t="s">
        <v>38</v>
      </c>
      <c r="G79" s="84">
        <v>9</v>
      </c>
      <c r="H79" s="85">
        <v>589</v>
      </c>
    </row>
    <row r="80" spans="1:8" ht="19.8" customHeight="1" x14ac:dyDescent="0.3">
      <c r="A80" s="91">
        <v>45984</v>
      </c>
      <c r="B80" s="82" t="s">
        <v>36</v>
      </c>
      <c r="C80" s="83" t="s">
        <v>251</v>
      </c>
      <c r="D80" s="82" t="s">
        <v>225</v>
      </c>
      <c r="E80" s="92">
        <v>1.395833333333333</v>
      </c>
      <c r="F80" s="82" t="s">
        <v>38</v>
      </c>
      <c r="G80" s="84">
        <v>9</v>
      </c>
      <c r="H80" s="85">
        <v>589</v>
      </c>
    </row>
    <row r="81" spans="1:8" ht="19.8" customHeight="1" x14ac:dyDescent="0.3">
      <c r="A81" s="91">
        <v>45984</v>
      </c>
      <c r="B81" s="82" t="s">
        <v>36</v>
      </c>
      <c r="C81" s="83" t="s">
        <v>322</v>
      </c>
      <c r="D81" s="82" t="s">
        <v>225</v>
      </c>
      <c r="E81" s="92">
        <v>1.302083333333333</v>
      </c>
      <c r="F81" s="82" t="s">
        <v>38</v>
      </c>
      <c r="G81" s="84">
        <v>9</v>
      </c>
      <c r="H81" s="85">
        <v>589</v>
      </c>
    </row>
    <row r="82" spans="1:8" ht="19.8" customHeight="1" x14ac:dyDescent="0.3">
      <c r="A82" s="91">
        <v>45984</v>
      </c>
      <c r="B82" s="82" t="s">
        <v>264</v>
      </c>
      <c r="C82" s="83" t="s">
        <v>265</v>
      </c>
      <c r="D82" s="82" t="s">
        <v>225</v>
      </c>
      <c r="E82" s="92">
        <v>1.274305555555556</v>
      </c>
      <c r="F82" s="82" t="s">
        <v>262</v>
      </c>
      <c r="G82" s="84">
        <v>5</v>
      </c>
      <c r="H82" s="85">
        <v>595</v>
      </c>
    </row>
    <row r="83" spans="1:8" ht="19.8" customHeight="1" x14ac:dyDescent="0.3">
      <c r="A83" s="91">
        <v>45984</v>
      </c>
      <c r="B83" s="82" t="s">
        <v>260</v>
      </c>
      <c r="C83" s="83" t="s">
        <v>261</v>
      </c>
      <c r="D83" s="82" t="s">
        <v>225</v>
      </c>
      <c r="E83" s="92">
        <v>1.666666666666667</v>
      </c>
      <c r="F83" s="82" t="s">
        <v>262</v>
      </c>
      <c r="G83" s="84">
        <v>9</v>
      </c>
      <c r="H83" s="85">
        <v>599</v>
      </c>
    </row>
    <row r="84" spans="1:8" ht="19.8" customHeight="1" x14ac:dyDescent="0.3">
      <c r="A84" s="91">
        <v>45984</v>
      </c>
      <c r="B84" s="82" t="s">
        <v>260</v>
      </c>
      <c r="C84" s="83" t="s">
        <v>327</v>
      </c>
      <c r="D84" s="82" t="s">
        <v>225</v>
      </c>
      <c r="E84" s="92">
        <v>1.381944444444444</v>
      </c>
      <c r="F84" s="82" t="s">
        <v>262</v>
      </c>
      <c r="G84" s="84">
        <v>9</v>
      </c>
      <c r="H84" s="85">
        <v>599</v>
      </c>
    </row>
    <row r="85" spans="1:8" ht="19.8" customHeight="1" x14ac:dyDescent="0.3">
      <c r="A85" s="91">
        <v>45984</v>
      </c>
      <c r="B85" s="82" t="s">
        <v>252</v>
      </c>
      <c r="C85" s="83" t="s">
        <v>257</v>
      </c>
      <c r="D85" s="82" t="s">
        <v>225</v>
      </c>
      <c r="E85" s="92">
        <v>1.3888888888888891</v>
      </c>
      <c r="F85" s="82" t="s">
        <v>254</v>
      </c>
      <c r="G85" s="84">
        <v>9</v>
      </c>
      <c r="H85" s="85">
        <v>617</v>
      </c>
    </row>
    <row r="86" spans="1:8" ht="19.8" customHeight="1" x14ac:dyDescent="0.3">
      <c r="A86" s="91">
        <v>45984</v>
      </c>
      <c r="B86" s="82" t="s">
        <v>26</v>
      </c>
      <c r="C86" s="83" t="s">
        <v>226</v>
      </c>
      <c r="D86" s="82" t="s">
        <v>225</v>
      </c>
      <c r="E86" s="92">
        <v>1.1284722222222221</v>
      </c>
      <c r="F86" s="82" t="s">
        <v>28</v>
      </c>
      <c r="G86" s="84">
        <v>8</v>
      </c>
      <c r="H86" s="85">
        <v>639</v>
      </c>
    </row>
    <row r="87" spans="1:8" ht="19.8" customHeight="1" x14ac:dyDescent="0.3">
      <c r="A87" s="91">
        <v>45984</v>
      </c>
      <c r="B87" s="82" t="s">
        <v>264</v>
      </c>
      <c r="C87" s="83" t="s">
        <v>324</v>
      </c>
      <c r="D87" s="82" t="s">
        <v>225</v>
      </c>
      <c r="E87" s="92">
        <v>1.3472222222222221</v>
      </c>
      <c r="F87" s="82" t="s">
        <v>262</v>
      </c>
      <c r="G87" s="84">
        <v>8</v>
      </c>
      <c r="H87" s="85">
        <v>645</v>
      </c>
    </row>
    <row r="88" spans="1:8" ht="19.8" customHeight="1" x14ac:dyDescent="0.3">
      <c r="A88" s="101">
        <v>45984</v>
      </c>
      <c r="B88" s="102" t="s">
        <v>73</v>
      </c>
      <c r="C88" s="103" t="s">
        <v>330</v>
      </c>
      <c r="D88" s="102" t="s">
        <v>225</v>
      </c>
      <c r="E88" s="104">
        <v>1.083333333333333</v>
      </c>
      <c r="F88" s="102" t="s">
        <v>111</v>
      </c>
      <c r="G88" s="105">
        <v>9</v>
      </c>
      <c r="H88" s="106">
        <v>646</v>
      </c>
    </row>
    <row r="89" spans="1:8" ht="19.8" customHeight="1" x14ac:dyDescent="0.3">
      <c r="A89" s="101">
        <v>45984</v>
      </c>
      <c r="B89" s="102" t="s">
        <v>73</v>
      </c>
      <c r="C89" s="103" t="s">
        <v>335</v>
      </c>
      <c r="D89" s="102" t="s">
        <v>225</v>
      </c>
      <c r="E89" s="104">
        <v>1.333333333333333</v>
      </c>
      <c r="F89" s="102" t="s">
        <v>111</v>
      </c>
      <c r="G89" s="105">
        <v>9</v>
      </c>
      <c r="H89" s="106">
        <v>646</v>
      </c>
    </row>
    <row r="90" spans="1:8" ht="19.8" customHeight="1" x14ac:dyDescent="0.3">
      <c r="A90" s="101">
        <v>45984</v>
      </c>
      <c r="B90" s="102" t="s">
        <v>73</v>
      </c>
      <c r="C90" s="103" t="s">
        <v>338</v>
      </c>
      <c r="D90" s="102" t="s">
        <v>225</v>
      </c>
      <c r="E90" s="104">
        <v>1.319444444444444</v>
      </c>
      <c r="F90" s="102" t="s">
        <v>111</v>
      </c>
      <c r="G90" s="105">
        <v>9</v>
      </c>
      <c r="H90" s="106">
        <v>646</v>
      </c>
    </row>
    <row r="91" spans="1:8" ht="19.8" customHeight="1" x14ac:dyDescent="0.3">
      <c r="A91" s="91">
        <v>45984</v>
      </c>
      <c r="B91" s="82" t="s">
        <v>36</v>
      </c>
      <c r="C91" s="83" t="s">
        <v>237</v>
      </c>
      <c r="D91" s="82" t="s">
        <v>225</v>
      </c>
      <c r="E91" s="92">
        <v>1.256944444444444</v>
      </c>
      <c r="F91" s="82" t="s">
        <v>41</v>
      </c>
      <c r="G91" s="84">
        <v>7</v>
      </c>
      <c r="H91" s="85">
        <v>649</v>
      </c>
    </row>
    <row r="92" spans="1:8" ht="19.8" customHeight="1" x14ac:dyDescent="0.3">
      <c r="A92" s="91">
        <v>45984</v>
      </c>
      <c r="B92" s="82" t="s">
        <v>36</v>
      </c>
      <c r="C92" s="83" t="s">
        <v>241</v>
      </c>
      <c r="D92" s="82" t="s">
        <v>225</v>
      </c>
      <c r="E92" s="92">
        <v>1.9027777777777779</v>
      </c>
      <c r="F92" s="82" t="s">
        <v>41</v>
      </c>
      <c r="G92" s="84">
        <v>3</v>
      </c>
      <c r="H92" s="85">
        <v>649</v>
      </c>
    </row>
    <row r="93" spans="1:8" ht="19.8" customHeight="1" x14ac:dyDescent="0.3">
      <c r="A93" s="91">
        <v>45984</v>
      </c>
      <c r="B93" s="82" t="s">
        <v>36</v>
      </c>
      <c r="C93" s="83" t="s">
        <v>245</v>
      </c>
      <c r="D93" s="82" t="s">
        <v>225</v>
      </c>
      <c r="E93" s="92">
        <v>1.854166666666667</v>
      </c>
      <c r="F93" s="82" t="s">
        <v>41</v>
      </c>
      <c r="G93" s="84">
        <v>9</v>
      </c>
      <c r="H93" s="85">
        <v>649</v>
      </c>
    </row>
    <row r="94" spans="1:8" ht="19.8" customHeight="1" x14ac:dyDescent="0.3">
      <c r="A94" s="91">
        <v>45984</v>
      </c>
      <c r="B94" s="82" t="s">
        <v>36</v>
      </c>
      <c r="C94" s="83" t="s">
        <v>246</v>
      </c>
      <c r="D94" s="82" t="s">
        <v>225</v>
      </c>
      <c r="E94" s="92">
        <v>1.7986111111111109</v>
      </c>
      <c r="F94" s="82" t="s">
        <v>41</v>
      </c>
      <c r="G94" s="84">
        <v>9</v>
      </c>
      <c r="H94" s="85">
        <v>649</v>
      </c>
    </row>
    <row r="95" spans="1:8" ht="19.8" customHeight="1" x14ac:dyDescent="0.3">
      <c r="A95" s="91">
        <v>45984</v>
      </c>
      <c r="B95" s="82" t="s">
        <v>26</v>
      </c>
      <c r="C95" s="83" t="s">
        <v>234</v>
      </c>
      <c r="D95" s="82" t="s">
        <v>225</v>
      </c>
      <c r="E95" s="92">
        <v>1.302083333333333</v>
      </c>
      <c r="F95" s="82" t="s">
        <v>28</v>
      </c>
      <c r="G95" s="84">
        <v>11</v>
      </c>
      <c r="H95" s="85">
        <v>689</v>
      </c>
    </row>
    <row r="96" spans="1:8" ht="19.8" customHeight="1" x14ac:dyDescent="0.3">
      <c r="A96" s="91">
        <v>45984</v>
      </c>
      <c r="B96" s="82" t="s">
        <v>26</v>
      </c>
      <c r="C96" s="83" t="s">
        <v>231</v>
      </c>
      <c r="D96" s="82" t="s">
        <v>225</v>
      </c>
      <c r="E96" s="92">
        <v>1.8888888888888891</v>
      </c>
      <c r="F96" s="82" t="s">
        <v>31</v>
      </c>
      <c r="G96" s="84">
        <v>7</v>
      </c>
      <c r="H96" s="85">
        <v>689</v>
      </c>
    </row>
    <row r="97" spans="1:8" ht="19.8" customHeight="1" x14ac:dyDescent="0.3">
      <c r="A97" s="91">
        <v>45984</v>
      </c>
      <c r="B97" s="82" t="s">
        <v>36</v>
      </c>
      <c r="C97" s="83" t="s">
        <v>247</v>
      </c>
      <c r="D97" s="82" t="s">
        <v>225</v>
      </c>
      <c r="E97" s="92">
        <v>1.645833333333333</v>
      </c>
      <c r="F97" s="82" t="s">
        <v>41</v>
      </c>
      <c r="G97" s="84">
        <v>9</v>
      </c>
      <c r="H97" s="85">
        <v>689</v>
      </c>
    </row>
    <row r="98" spans="1:8" ht="19.8" customHeight="1" x14ac:dyDescent="0.3">
      <c r="A98" s="91">
        <v>45984</v>
      </c>
      <c r="B98" s="82" t="s">
        <v>36</v>
      </c>
      <c r="C98" s="83" t="s">
        <v>242</v>
      </c>
      <c r="D98" s="82" t="s">
        <v>225</v>
      </c>
      <c r="E98" s="92">
        <v>1.5173611111111109</v>
      </c>
      <c r="F98" s="82" t="s">
        <v>41</v>
      </c>
      <c r="G98" s="84">
        <v>9</v>
      </c>
      <c r="H98" s="85">
        <v>689</v>
      </c>
    </row>
    <row r="99" spans="1:8" ht="19.8" customHeight="1" x14ac:dyDescent="0.3">
      <c r="A99" s="91">
        <v>45984</v>
      </c>
      <c r="B99" s="82" t="s">
        <v>36</v>
      </c>
      <c r="C99" s="83" t="s">
        <v>251</v>
      </c>
      <c r="D99" s="82" t="s">
        <v>225</v>
      </c>
      <c r="E99" s="92">
        <v>1.395833333333333</v>
      </c>
      <c r="F99" s="82" t="s">
        <v>41</v>
      </c>
      <c r="G99" s="84">
        <v>9</v>
      </c>
      <c r="H99" s="85">
        <v>689</v>
      </c>
    </row>
    <row r="100" spans="1:8" ht="19.8" customHeight="1" x14ac:dyDescent="0.3">
      <c r="A100" s="91">
        <v>45984</v>
      </c>
      <c r="B100" s="82" t="s">
        <v>36</v>
      </c>
      <c r="C100" s="83" t="s">
        <v>322</v>
      </c>
      <c r="D100" s="82" t="s">
        <v>225</v>
      </c>
      <c r="E100" s="92">
        <v>1.302083333333333</v>
      </c>
      <c r="F100" s="82" t="s">
        <v>41</v>
      </c>
      <c r="G100" s="84">
        <v>9</v>
      </c>
      <c r="H100" s="85">
        <v>689</v>
      </c>
    </row>
    <row r="101" spans="1:8" ht="19.8" customHeight="1" x14ac:dyDescent="0.3">
      <c r="A101" s="91">
        <v>45984</v>
      </c>
      <c r="B101" s="82" t="s">
        <v>26</v>
      </c>
      <c r="C101" s="83" t="s">
        <v>230</v>
      </c>
      <c r="D101" s="82" t="s">
        <v>225</v>
      </c>
      <c r="E101" s="92">
        <v>1.788194444444444</v>
      </c>
      <c r="F101" s="82" t="s">
        <v>31</v>
      </c>
      <c r="G101" s="84">
        <v>10</v>
      </c>
      <c r="H101" s="85">
        <v>739</v>
      </c>
    </row>
    <row r="102" spans="1:8" ht="19.8" customHeight="1" x14ac:dyDescent="0.3">
      <c r="A102" s="91">
        <v>45984</v>
      </c>
      <c r="B102" s="82" t="s">
        <v>36</v>
      </c>
      <c r="C102" s="83" t="s">
        <v>237</v>
      </c>
      <c r="D102" s="82" t="s">
        <v>225</v>
      </c>
      <c r="E102" s="92">
        <v>1.256944444444444</v>
      </c>
      <c r="F102" s="82" t="s">
        <v>43</v>
      </c>
      <c r="G102" s="84">
        <v>7</v>
      </c>
      <c r="H102" s="85">
        <v>739</v>
      </c>
    </row>
    <row r="103" spans="1:8" ht="19.8" customHeight="1" x14ac:dyDescent="0.3">
      <c r="A103" s="91">
        <v>45984</v>
      </c>
      <c r="B103" s="82" t="s">
        <v>36</v>
      </c>
      <c r="C103" s="83" t="s">
        <v>241</v>
      </c>
      <c r="D103" s="82" t="s">
        <v>225</v>
      </c>
      <c r="E103" s="92">
        <v>1.9027777777777779</v>
      </c>
      <c r="F103" s="82" t="s">
        <v>43</v>
      </c>
      <c r="G103" s="84">
        <v>3</v>
      </c>
      <c r="H103" s="85">
        <v>739</v>
      </c>
    </row>
    <row r="104" spans="1:8" ht="19.8" customHeight="1" x14ac:dyDescent="0.3">
      <c r="A104" s="91">
        <v>45984</v>
      </c>
      <c r="B104" s="82" t="s">
        <v>36</v>
      </c>
      <c r="C104" s="83" t="s">
        <v>245</v>
      </c>
      <c r="D104" s="82" t="s">
        <v>225</v>
      </c>
      <c r="E104" s="92">
        <v>1.854166666666667</v>
      </c>
      <c r="F104" s="82" t="s">
        <v>43</v>
      </c>
      <c r="G104" s="84">
        <v>9</v>
      </c>
      <c r="H104" s="85">
        <v>739</v>
      </c>
    </row>
    <row r="105" spans="1:8" ht="19.8" customHeight="1" x14ac:dyDescent="0.3">
      <c r="A105" s="91">
        <v>45984</v>
      </c>
      <c r="B105" s="82" t="s">
        <v>36</v>
      </c>
      <c r="C105" s="83" t="s">
        <v>246</v>
      </c>
      <c r="D105" s="82" t="s">
        <v>225</v>
      </c>
      <c r="E105" s="92">
        <v>1.7986111111111109</v>
      </c>
      <c r="F105" s="82" t="s">
        <v>43</v>
      </c>
      <c r="G105" s="84">
        <v>9</v>
      </c>
      <c r="H105" s="85">
        <v>739</v>
      </c>
    </row>
    <row r="106" spans="1:8" ht="19.8" customHeight="1" x14ac:dyDescent="0.3">
      <c r="A106" s="91">
        <v>45984</v>
      </c>
      <c r="B106" s="82" t="s">
        <v>252</v>
      </c>
      <c r="C106" s="83" t="s">
        <v>257</v>
      </c>
      <c r="D106" s="82" t="s">
        <v>225</v>
      </c>
      <c r="E106" s="92">
        <v>1.3888888888888891</v>
      </c>
      <c r="F106" s="82" t="s">
        <v>34</v>
      </c>
      <c r="G106" s="84">
        <v>9</v>
      </c>
      <c r="H106" s="85">
        <v>740</v>
      </c>
    </row>
    <row r="107" spans="1:8" ht="19.8" customHeight="1" x14ac:dyDescent="0.3">
      <c r="A107" s="91">
        <v>45984</v>
      </c>
      <c r="B107" s="82" t="s">
        <v>36</v>
      </c>
      <c r="C107" s="83" t="s">
        <v>247</v>
      </c>
      <c r="D107" s="82" t="s">
        <v>225</v>
      </c>
      <c r="E107" s="92">
        <v>1.645833333333333</v>
      </c>
      <c r="F107" s="82" t="s">
        <v>43</v>
      </c>
      <c r="G107" s="84">
        <v>9</v>
      </c>
      <c r="H107" s="85">
        <v>779</v>
      </c>
    </row>
    <row r="108" spans="1:8" ht="19.8" customHeight="1" x14ac:dyDescent="0.3">
      <c r="A108" s="91">
        <v>45984</v>
      </c>
      <c r="B108" s="82" t="s">
        <v>36</v>
      </c>
      <c r="C108" s="83" t="s">
        <v>242</v>
      </c>
      <c r="D108" s="82" t="s">
        <v>225</v>
      </c>
      <c r="E108" s="92">
        <v>1.5173611111111109</v>
      </c>
      <c r="F108" s="82" t="s">
        <v>43</v>
      </c>
      <c r="G108" s="84">
        <v>9</v>
      </c>
      <c r="H108" s="85">
        <v>779</v>
      </c>
    </row>
    <row r="109" spans="1:8" ht="19.8" customHeight="1" x14ac:dyDescent="0.3">
      <c r="A109" s="91">
        <v>45984</v>
      </c>
      <c r="B109" s="82" t="s">
        <v>36</v>
      </c>
      <c r="C109" s="83" t="s">
        <v>251</v>
      </c>
      <c r="D109" s="82" t="s">
        <v>225</v>
      </c>
      <c r="E109" s="92">
        <v>1.395833333333333</v>
      </c>
      <c r="F109" s="82" t="s">
        <v>43</v>
      </c>
      <c r="G109" s="84">
        <v>9</v>
      </c>
      <c r="H109" s="85">
        <v>779</v>
      </c>
    </row>
    <row r="110" spans="1:8" ht="19.8" customHeight="1" x14ac:dyDescent="0.3">
      <c r="A110" s="91">
        <v>45984</v>
      </c>
      <c r="B110" s="82" t="s">
        <v>36</v>
      </c>
      <c r="C110" s="83" t="s">
        <v>322</v>
      </c>
      <c r="D110" s="82" t="s">
        <v>225</v>
      </c>
      <c r="E110" s="92">
        <v>1.302083333333333</v>
      </c>
      <c r="F110" s="82" t="s">
        <v>43</v>
      </c>
      <c r="G110" s="84">
        <v>9</v>
      </c>
      <c r="H110" s="85">
        <v>779</v>
      </c>
    </row>
    <row r="111" spans="1:8" ht="19.8" customHeight="1" x14ac:dyDescent="0.3">
      <c r="A111" s="101">
        <v>45984</v>
      </c>
      <c r="B111" s="102" t="s">
        <v>73</v>
      </c>
      <c r="C111" s="103" t="s">
        <v>340</v>
      </c>
      <c r="D111" s="102" t="s">
        <v>225</v>
      </c>
      <c r="E111" s="104">
        <v>1.510416666666667</v>
      </c>
      <c r="F111" s="102" t="s">
        <v>111</v>
      </c>
      <c r="G111" s="105">
        <v>7</v>
      </c>
      <c r="H111" s="106">
        <v>781</v>
      </c>
    </row>
    <row r="112" spans="1:8" ht="19.8" customHeight="1" x14ac:dyDescent="0.3">
      <c r="A112" s="91">
        <v>45984</v>
      </c>
      <c r="B112" s="82" t="s">
        <v>26</v>
      </c>
      <c r="C112" s="83" t="s">
        <v>226</v>
      </c>
      <c r="D112" s="82" t="s">
        <v>225</v>
      </c>
      <c r="E112" s="92">
        <v>1.1284722222222221</v>
      </c>
      <c r="F112" s="82" t="s">
        <v>31</v>
      </c>
      <c r="G112" s="84">
        <v>8</v>
      </c>
      <c r="H112" s="85">
        <v>789</v>
      </c>
    </row>
    <row r="113" spans="1:8" ht="19.8" customHeight="1" x14ac:dyDescent="0.3">
      <c r="A113" s="91">
        <v>45984</v>
      </c>
      <c r="B113" s="82" t="s">
        <v>26</v>
      </c>
      <c r="C113" s="83" t="s">
        <v>234</v>
      </c>
      <c r="D113" s="82" t="s">
        <v>225</v>
      </c>
      <c r="E113" s="92">
        <v>1.302083333333333</v>
      </c>
      <c r="F113" s="82" t="s">
        <v>31</v>
      </c>
      <c r="G113" s="84">
        <v>11</v>
      </c>
      <c r="H113" s="85">
        <v>839</v>
      </c>
    </row>
    <row r="114" spans="1:8" ht="19.8" customHeight="1" x14ac:dyDescent="0.3">
      <c r="A114" s="91">
        <v>45984</v>
      </c>
      <c r="B114" s="82" t="s">
        <v>26</v>
      </c>
      <c r="C114" s="83" t="s">
        <v>234</v>
      </c>
      <c r="D114" s="82" t="s">
        <v>225</v>
      </c>
      <c r="E114" s="92">
        <v>1.302083333333333</v>
      </c>
      <c r="F114" s="82" t="s">
        <v>34</v>
      </c>
      <c r="G114" s="84">
        <v>11</v>
      </c>
      <c r="H114" s="86" t="s">
        <v>81</v>
      </c>
    </row>
    <row r="115" spans="1:8" ht="19.8" customHeight="1" x14ac:dyDescent="0.3">
      <c r="A115" s="91">
        <v>45984</v>
      </c>
      <c r="B115" s="82" t="s">
        <v>26</v>
      </c>
      <c r="C115" s="83" t="s">
        <v>226</v>
      </c>
      <c r="D115" s="82" t="s">
        <v>225</v>
      </c>
      <c r="E115" s="92">
        <v>1.1284722222222221</v>
      </c>
      <c r="F115" s="82" t="s">
        <v>34</v>
      </c>
      <c r="G115" s="84">
        <v>8</v>
      </c>
      <c r="H115" s="86" t="s">
        <v>81</v>
      </c>
    </row>
    <row r="116" spans="1:8" ht="19.8" customHeight="1" x14ac:dyDescent="0.3">
      <c r="A116" s="91">
        <v>45984</v>
      </c>
      <c r="B116" s="82" t="s">
        <v>26</v>
      </c>
      <c r="C116" s="83" t="s">
        <v>230</v>
      </c>
      <c r="D116" s="82" t="s">
        <v>225</v>
      </c>
      <c r="E116" s="92">
        <v>1.788194444444444</v>
      </c>
      <c r="F116" s="82" t="s">
        <v>34</v>
      </c>
      <c r="G116" s="84">
        <v>10</v>
      </c>
      <c r="H116" s="86" t="s">
        <v>81</v>
      </c>
    </row>
    <row r="117" spans="1:8" ht="19.8" customHeight="1" x14ac:dyDescent="0.3">
      <c r="A117" s="91">
        <v>45984</v>
      </c>
      <c r="B117" s="82" t="s">
        <v>26</v>
      </c>
      <c r="C117" s="83" t="s">
        <v>231</v>
      </c>
      <c r="D117" s="82" t="s">
        <v>225</v>
      </c>
      <c r="E117" s="92">
        <v>1.8888888888888891</v>
      </c>
      <c r="F117" s="82" t="s">
        <v>34</v>
      </c>
      <c r="G117" s="84">
        <v>7</v>
      </c>
      <c r="H117" s="86" t="s">
        <v>81</v>
      </c>
    </row>
    <row r="118" spans="1:8" ht="19.8" customHeight="1" x14ac:dyDescent="0.3">
      <c r="A118" s="91">
        <v>45984</v>
      </c>
      <c r="B118" s="82" t="s">
        <v>48</v>
      </c>
      <c r="C118" s="83" t="s">
        <v>305</v>
      </c>
      <c r="D118" s="82" t="s">
        <v>225</v>
      </c>
      <c r="E118" s="92">
        <v>1.4861111111111109</v>
      </c>
      <c r="F118" s="82" t="s">
        <v>50</v>
      </c>
      <c r="G118" s="84">
        <v>9</v>
      </c>
      <c r="H118" s="86" t="s">
        <v>301</v>
      </c>
    </row>
    <row r="119" spans="1:8" ht="19.8" customHeight="1" x14ac:dyDescent="0.3">
      <c r="A119" s="91">
        <v>45984</v>
      </c>
      <c r="B119" s="82" t="s">
        <v>48</v>
      </c>
      <c r="C119" s="83" t="s">
        <v>300</v>
      </c>
      <c r="D119" s="82" t="s">
        <v>225</v>
      </c>
      <c r="E119" s="92">
        <v>1.2638888888888891</v>
      </c>
      <c r="F119" s="82" t="s">
        <v>50</v>
      </c>
      <c r="G119" s="84">
        <v>9</v>
      </c>
      <c r="H119" s="86" t="s">
        <v>301</v>
      </c>
    </row>
    <row r="120" spans="1:8" ht="19.8" customHeight="1" x14ac:dyDescent="0.3">
      <c r="A120" s="91">
        <v>45984</v>
      </c>
      <c r="B120" s="82" t="s">
        <v>48</v>
      </c>
      <c r="C120" s="83" t="s">
        <v>309</v>
      </c>
      <c r="D120" s="82" t="s">
        <v>225</v>
      </c>
      <c r="E120" s="92">
        <v>1.975694444444444</v>
      </c>
      <c r="F120" s="82" t="s">
        <v>50</v>
      </c>
      <c r="G120" s="84">
        <v>9</v>
      </c>
      <c r="H120" s="86" t="s">
        <v>301</v>
      </c>
    </row>
    <row r="121" spans="1:8" ht="19.8" customHeight="1" x14ac:dyDescent="0.3">
      <c r="A121" s="91">
        <v>45984</v>
      </c>
      <c r="B121" s="82" t="s">
        <v>48</v>
      </c>
      <c r="C121" s="83" t="s">
        <v>310</v>
      </c>
      <c r="D121" s="82" t="s">
        <v>225</v>
      </c>
      <c r="E121" s="92">
        <v>1.774305555555556</v>
      </c>
      <c r="F121" s="82" t="s">
        <v>50</v>
      </c>
      <c r="G121" s="84">
        <v>9</v>
      </c>
      <c r="H121" s="86" t="s">
        <v>301</v>
      </c>
    </row>
    <row r="122" spans="1:8" ht="19.8" customHeight="1" x14ac:dyDescent="0.3">
      <c r="A122" s="91">
        <v>45984</v>
      </c>
      <c r="B122" s="82" t="s">
        <v>48</v>
      </c>
      <c r="C122" s="83" t="s">
        <v>302</v>
      </c>
      <c r="D122" s="82" t="s">
        <v>225</v>
      </c>
      <c r="E122" s="92">
        <v>1.2222222222222221</v>
      </c>
      <c r="F122" s="82" t="s">
        <v>50</v>
      </c>
      <c r="G122" s="84">
        <v>9</v>
      </c>
      <c r="H122" s="86" t="s">
        <v>301</v>
      </c>
    </row>
    <row r="123" spans="1:8" ht="19.8" customHeight="1" x14ac:dyDescent="0.3">
      <c r="A123" s="91">
        <v>45984</v>
      </c>
      <c r="B123" s="82" t="s">
        <v>56</v>
      </c>
      <c r="C123" s="83" t="s">
        <v>284</v>
      </c>
      <c r="D123" s="82" t="s">
        <v>225</v>
      </c>
      <c r="E123" s="92">
        <v>1.006944444444444</v>
      </c>
      <c r="F123" s="82" t="s">
        <v>58</v>
      </c>
      <c r="G123" s="84">
        <v>9</v>
      </c>
      <c r="H123" s="86" t="s">
        <v>347</v>
      </c>
    </row>
    <row r="124" spans="1:8" ht="19.8" customHeight="1" x14ac:dyDescent="0.3">
      <c r="A124" s="91">
        <v>45984</v>
      </c>
      <c r="B124" s="82" t="s">
        <v>56</v>
      </c>
      <c r="C124" s="83" t="s">
        <v>285</v>
      </c>
      <c r="D124" s="82" t="s">
        <v>225</v>
      </c>
      <c r="E124" s="92">
        <v>1.1423611111111109</v>
      </c>
      <c r="F124" s="82" t="s">
        <v>58</v>
      </c>
      <c r="G124" s="84">
        <v>9</v>
      </c>
      <c r="H124" s="86" t="s">
        <v>347</v>
      </c>
    </row>
    <row r="125" spans="1:8" ht="19.8" customHeight="1" x14ac:dyDescent="0.3">
      <c r="A125" s="91">
        <v>45984</v>
      </c>
      <c r="B125" s="82" t="s">
        <v>56</v>
      </c>
      <c r="C125" s="83" t="s">
        <v>286</v>
      </c>
      <c r="D125" s="82" t="s">
        <v>225</v>
      </c>
      <c r="E125" s="92">
        <v>1.930555555555556</v>
      </c>
      <c r="F125" s="82" t="s">
        <v>58</v>
      </c>
      <c r="G125" s="84">
        <v>6</v>
      </c>
      <c r="H125" s="86" t="s">
        <v>347</v>
      </c>
    </row>
    <row r="126" spans="1:8" ht="19.8" customHeight="1" x14ac:dyDescent="0.3">
      <c r="A126" s="91">
        <v>45984</v>
      </c>
      <c r="B126" s="82" t="s">
        <v>56</v>
      </c>
      <c r="C126" s="83" t="s">
        <v>284</v>
      </c>
      <c r="D126" s="82" t="s">
        <v>225</v>
      </c>
      <c r="E126" s="92">
        <v>1.006944444444444</v>
      </c>
      <c r="F126" s="82" t="s">
        <v>61</v>
      </c>
      <c r="G126" s="84">
        <v>9</v>
      </c>
      <c r="H126" s="86" t="s">
        <v>348</v>
      </c>
    </row>
    <row r="127" spans="1:8" ht="19.8" customHeight="1" x14ac:dyDescent="0.3">
      <c r="A127" s="91">
        <v>45984</v>
      </c>
      <c r="B127" s="82" t="s">
        <v>56</v>
      </c>
      <c r="C127" s="83" t="s">
        <v>285</v>
      </c>
      <c r="D127" s="82" t="s">
        <v>225</v>
      </c>
      <c r="E127" s="92">
        <v>1.1423611111111109</v>
      </c>
      <c r="F127" s="82" t="s">
        <v>61</v>
      </c>
      <c r="G127" s="84">
        <v>9</v>
      </c>
      <c r="H127" s="86" t="s">
        <v>348</v>
      </c>
    </row>
    <row r="128" spans="1:8" ht="19.8" customHeight="1" x14ac:dyDescent="0.3">
      <c r="A128" s="91">
        <v>45984</v>
      </c>
      <c r="B128" s="82" t="s">
        <v>56</v>
      </c>
      <c r="C128" s="83" t="s">
        <v>286</v>
      </c>
      <c r="D128" s="82" t="s">
        <v>225</v>
      </c>
      <c r="E128" s="92">
        <v>1.930555555555556</v>
      </c>
      <c r="F128" s="82" t="s">
        <v>61</v>
      </c>
      <c r="G128" s="84">
        <v>6</v>
      </c>
      <c r="H128" s="86" t="s">
        <v>348</v>
      </c>
    </row>
    <row r="129" spans="1:8" ht="19.8" customHeight="1" x14ac:dyDescent="0.3">
      <c r="A129" s="91">
        <v>45984</v>
      </c>
      <c r="B129" s="82" t="s">
        <v>56</v>
      </c>
      <c r="C129" s="83" t="s">
        <v>299</v>
      </c>
      <c r="D129" s="82" t="s">
        <v>225</v>
      </c>
      <c r="E129" s="92">
        <v>1.788194444444444</v>
      </c>
      <c r="F129" s="82" t="s">
        <v>61</v>
      </c>
      <c r="G129" s="84">
        <v>4</v>
      </c>
      <c r="H129" s="86" t="s">
        <v>350</v>
      </c>
    </row>
    <row r="130" spans="1:8" ht="19.8" customHeight="1" x14ac:dyDescent="0.3">
      <c r="A130" s="91">
        <v>45984</v>
      </c>
      <c r="B130" s="82" t="s">
        <v>48</v>
      </c>
      <c r="C130" s="83" t="s">
        <v>307</v>
      </c>
      <c r="D130" s="82" t="s">
        <v>225</v>
      </c>
      <c r="E130" s="92">
        <v>1.145833333333333</v>
      </c>
      <c r="F130" s="82" t="s">
        <v>50</v>
      </c>
      <c r="G130" s="84">
        <v>3</v>
      </c>
      <c r="H130" s="86" t="s">
        <v>306</v>
      </c>
    </row>
    <row r="131" spans="1:8" ht="19.8" customHeight="1" x14ac:dyDescent="0.3">
      <c r="A131" s="91">
        <v>45984</v>
      </c>
      <c r="B131" s="82" t="s">
        <v>56</v>
      </c>
      <c r="C131" s="83" t="s">
        <v>290</v>
      </c>
      <c r="D131" s="82" t="s">
        <v>225</v>
      </c>
      <c r="E131" s="92">
        <v>1.8888888888888891</v>
      </c>
      <c r="F131" s="82" t="s">
        <v>61</v>
      </c>
      <c r="G131" s="84">
        <v>4</v>
      </c>
      <c r="H131" s="86" t="s">
        <v>291</v>
      </c>
    </row>
    <row r="132" spans="1:8" ht="19.8" customHeight="1" x14ac:dyDescent="0.3">
      <c r="A132" s="91">
        <v>45984</v>
      </c>
      <c r="B132" s="82" t="s">
        <v>56</v>
      </c>
      <c r="C132" s="83" t="s">
        <v>298</v>
      </c>
      <c r="D132" s="82" t="s">
        <v>225</v>
      </c>
      <c r="E132" s="92">
        <v>1.1284722222222221</v>
      </c>
      <c r="F132" s="82" t="s">
        <v>61</v>
      </c>
      <c r="G132" s="84">
        <v>4</v>
      </c>
      <c r="H132" s="86" t="s">
        <v>291</v>
      </c>
    </row>
    <row r="133" spans="1:8" ht="19.8" customHeight="1" x14ac:dyDescent="0.3">
      <c r="A133" s="91">
        <v>45984</v>
      </c>
      <c r="B133" s="82" t="s">
        <v>56</v>
      </c>
      <c r="C133" s="83" t="s">
        <v>292</v>
      </c>
      <c r="D133" s="82" t="s">
        <v>225</v>
      </c>
      <c r="E133" s="92">
        <v>1.6111111111111109</v>
      </c>
      <c r="F133" s="82" t="s">
        <v>58</v>
      </c>
      <c r="G133" s="84">
        <v>9</v>
      </c>
      <c r="H133" s="86" t="s">
        <v>351</v>
      </c>
    </row>
    <row r="134" spans="1:8" ht="19.8" customHeight="1" x14ac:dyDescent="0.3">
      <c r="A134" s="91">
        <v>45984</v>
      </c>
      <c r="B134" s="82" t="s">
        <v>56</v>
      </c>
      <c r="C134" s="83" t="s">
        <v>287</v>
      </c>
      <c r="D134" s="82" t="s">
        <v>225</v>
      </c>
      <c r="E134" s="92">
        <v>1.239583333333333</v>
      </c>
      <c r="F134" s="82" t="s">
        <v>58</v>
      </c>
      <c r="G134" s="84">
        <v>5</v>
      </c>
      <c r="H134" s="86" t="s">
        <v>351</v>
      </c>
    </row>
    <row r="135" spans="1:8" ht="19.8" customHeight="1" x14ac:dyDescent="0.3">
      <c r="A135" s="91">
        <v>45984</v>
      </c>
      <c r="B135" s="82" t="s">
        <v>56</v>
      </c>
      <c r="C135" s="83" t="s">
        <v>295</v>
      </c>
      <c r="D135" s="82" t="s">
        <v>225</v>
      </c>
      <c r="E135" s="92">
        <v>1.8298611111111109</v>
      </c>
      <c r="F135" s="82" t="s">
        <v>353</v>
      </c>
      <c r="G135" s="84">
        <v>9</v>
      </c>
      <c r="H135" s="86" t="s">
        <v>351</v>
      </c>
    </row>
    <row r="136" spans="1:8" ht="19.8" customHeight="1" x14ac:dyDescent="0.3">
      <c r="A136" s="91">
        <v>45984</v>
      </c>
      <c r="B136" s="82" t="s">
        <v>56</v>
      </c>
      <c r="C136" s="83" t="s">
        <v>295</v>
      </c>
      <c r="D136" s="82" t="s">
        <v>225</v>
      </c>
      <c r="E136" s="92">
        <v>1.8298611111111109</v>
      </c>
      <c r="F136" s="82" t="s">
        <v>58</v>
      </c>
      <c r="G136" s="84">
        <v>9</v>
      </c>
      <c r="H136" s="86" t="s">
        <v>351</v>
      </c>
    </row>
    <row r="137" spans="1:8" ht="19.8" customHeight="1" x14ac:dyDescent="0.3">
      <c r="A137" s="91">
        <v>45984</v>
      </c>
      <c r="B137" s="82" t="s">
        <v>56</v>
      </c>
      <c r="C137" s="83" t="s">
        <v>292</v>
      </c>
      <c r="D137" s="82" t="s">
        <v>225</v>
      </c>
      <c r="E137" s="92">
        <v>1.6111111111111109</v>
      </c>
      <c r="F137" s="82" t="s">
        <v>61</v>
      </c>
      <c r="G137" s="84">
        <v>9</v>
      </c>
      <c r="H137" s="86" t="s">
        <v>352</v>
      </c>
    </row>
    <row r="138" spans="1:8" ht="19.8" customHeight="1" x14ac:dyDescent="0.3">
      <c r="A138" s="91">
        <v>45984</v>
      </c>
      <c r="B138" s="82" t="s">
        <v>56</v>
      </c>
      <c r="C138" s="83" t="s">
        <v>287</v>
      </c>
      <c r="D138" s="82" t="s">
        <v>225</v>
      </c>
      <c r="E138" s="92">
        <v>1.239583333333333</v>
      </c>
      <c r="F138" s="82" t="s">
        <v>61</v>
      </c>
      <c r="G138" s="84">
        <v>5</v>
      </c>
      <c r="H138" s="86" t="s">
        <v>352</v>
      </c>
    </row>
    <row r="139" spans="1:8" ht="19.8" customHeight="1" x14ac:dyDescent="0.3">
      <c r="A139" s="91">
        <v>45984</v>
      </c>
      <c r="B139" s="82" t="s">
        <v>56</v>
      </c>
      <c r="C139" s="83" t="s">
        <v>295</v>
      </c>
      <c r="D139" s="82" t="s">
        <v>225</v>
      </c>
      <c r="E139" s="92">
        <v>1.8298611111111109</v>
      </c>
      <c r="F139" s="82" t="s">
        <v>61</v>
      </c>
      <c r="G139" s="84">
        <v>9</v>
      </c>
      <c r="H139" s="86" t="s">
        <v>352</v>
      </c>
    </row>
    <row r="140" spans="1:8" ht="19.8" customHeight="1" x14ac:dyDescent="0.3">
      <c r="A140" s="91">
        <v>45984</v>
      </c>
      <c r="B140" s="82" t="s">
        <v>56</v>
      </c>
      <c r="C140" s="83" t="s">
        <v>296</v>
      </c>
      <c r="D140" s="82" t="s">
        <v>225</v>
      </c>
      <c r="E140" s="92">
        <v>1.302083333333333</v>
      </c>
      <c r="F140" s="82" t="s">
        <v>61</v>
      </c>
      <c r="G140" s="84">
        <v>4</v>
      </c>
      <c r="H140" s="86" t="s">
        <v>297</v>
      </c>
    </row>
    <row r="141" spans="1:8" ht="19.8" customHeight="1" x14ac:dyDescent="0.3">
      <c r="A141" s="91">
        <v>45984</v>
      </c>
      <c r="B141" s="82" t="s">
        <v>56</v>
      </c>
      <c r="C141" s="83" t="s">
        <v>283</v>
      </c>
      <c r="D141" s="82" t="s">
        <v>225</v>
      </c>
      <c r="E141" s="92">
        <v>1.71875</v>
      </c>
      <c r="F141" s="82" t="s">
        <v>58</v>
      </c>
      <c r="G141" s="84">
        <v>1</v>
      </c>
      <c r="H141" s="86" t="s">
        <v>354</v>
      </c>
    </row>
    <row r="142" spans="1:8" ht="19.8" customHeight="1" x14ac:dyDescent="0.3">
      <c r="A142" s="91">
        <v>45984</v>
      </c>
      <c r="B142" s="82" t="s">
        <v>56</v>
      </c>
      <c r="C142" s="83" t="s">
        <v>283</v>
      </c>
      <c r="D142" s="82" t="s">
        <v>225</v>
      </c>
      <c r="E142" s="92">
        <v>1.71875</v>
      </c>
      <c r="F142" s="82" t="s">
        <v>61</v>
      </c>
      <c r="G142" s="84">
        <v>1</v>
      </c>
      <c r="H142" s="86" t="s">
        <v>355</v>
      </c>
    </row>
    <row r="143" spans="1:8" ht="19.8" customHeight="1" x14ac:dyDescent="0.3">
      <c r="A143" s="93">
        <v>45984</v>
      </c>
      <c r="B143" s="88" t="s">
        <v>73</v>
      </c>
      <c r="C143" s="89" t="s">
        <v>275</v>
      </c>
      <c r="D143" s="88" t="s">
        <v>225</v>
      </c>
      <c r="E143" s="94">
        <v>1.631944444444444</v>
      </c>
      <c r="F143" s="88" t="s">
        <v>75</v>
      </c>
      <c r="G143" s="88"/>
      <c r="H143" s="90" t="s">
        <v>76</v>
      </c>
    </row>
    <row r="144" spans="1:8" ht="19.8" customHeight="1" x14ac:dyDescent="0.3">
      <c r="A144" s="91">
        <v>45985</v>
      </c>
      <c r="B144" s="82" t="s">
        <v>260</v>
      </c>
      <c r="C144" s="83" t="s">
        <v>261</v>
      </c>
      <c r="D144" s="82" t="s">
        <v>225</v>
      </c>
      <c r="E144" s="92">
        <v>1.666666666666667</v>
      </c>
      <c r="F144" s="82" t="s">
        <v>262</v>
      </c>
      <c r="G144" s="84">
        <v>5</v>
      </c>
      <c r="H144" s="85">
        <v>401</v>
      </c>
    </row>
    <row r="145" spans="1:8" ht="19.8" customHeight="1" x14ac:dyDescent="0.3">
      <c r="A145" s="91">
        <v>45985</v>
      </c>
      <c r="B145" s="82" t="s">
        <v>260</v>
      </c>
      <c r="C145" s="83" t="s">
        <v>327</v>
      </c>
      <c r="D145" s="82" t="s">
        <v>225</v>
      </c>
      <c r="E145" s="92">
        <v>1.3125</v>
      </c>
      <c r="F145" s="82" t="s">
        <v>262</v>
      </c>
      <c r="G145" s="84">
        <v>9</v>
      </c>
      <c r="H145" s="85">
        <v>401</v>
      </c>
    </row>
    <row r="146" spans="1:8" ht="19.8" customHeight="1" x14ac:dyDescent="0.3">
      <c r="A146" s="91">
        <v>45985</v>
      </c>
      <c r="B146" s="82" t="s">
        <v>26</v>
      </c>
      <c r="C146" s="83" t="s">
        <v>226</v>
      </c>
      <c r="D146" s="82" t="s">
        <v>225</v>
      </c>
      <c r="E146" s="92">
        <v>1.1284722222222221</v>
      </c>
      <c r="F146" s="82" t="s">
        <v>28</v>
      </c>
      <c r="G146" s="84">
        <v>6</v>
      </c>
      <c r="H146" s="85">
        <v>459</v>
      </c>
    </row>
    <row r="147" spans="1:8" ht="19.8" customHeight="1" x14ac:dyDescent="0.3">
      <c r="A147" s="91">
        <v>45985</v>
      </c>
      <c r="B147" s="82" t="s">
        <v>26</v>
      </c>
      <c r="C147" s="83" t="s">
        <v>234</v>
      </c>
      <c r="D147" s="82" t="s">
        <v>225</v>
      </c>
      <c r="E147" s="92">
        <v>1.302083333333333</v>
      </c>
      <c r="F147" s="82" t="s">
        <v>28</v>
      </c>
      <c r="G147" s="84">
        <v>3</v>
      </c>
      <c r="H147" s="85">
        <v>499</v>
      </c>
    </row>
    <row r="148" spans="1:8" ht="19.8" customHeight="1" x14ac:dyDescent="0.3">
      <c r="A148" s="91">
        <v>45985</v>
      </c>
      <c r="B148" s="82" t="s">
        <v>26</v>
      </c>
      <c r="C148" s="83" t="s">
        <v>231</v>
      </c>
      <c r="D148" s="82" t="s">
        <v>225</v>
      </c>
      <c r="E148" s="92">
        <v>1.8888888888888891</v>
      </c>
      <c r="F148" s="82" t="s">
        <v>28</v>
      </c>
      <c r="G148" s="84">
        <v>6</v>
      </c>
      <c r="H148" s="85">
        <v>499</v>
      </c>
    </row>
    <row r="149" spans="1:8" ht="19.8" customHeight="1" x14ac:dyDescent="0.3">
      <c r="A149" s="91">
        <v>45985</v>
      </c>
      <c r="B149" s="82" t="s">
        <v>48</v>
      </c>
      <c r="C149" s="83" t="s">
        <v>307</v>
      </c>
      <c r="D149" s="82" t="s">
        <v>225</v>
      </c>
      <c r="E149" s="92">
        <v>1.145833333333333</v>
      </c>
      <c r="F149" s="82" t="s">
        <v>353</v>
      </c>
      <c r="G149" s="84">
        <v>9</v>
      </c>
      <c r="H149" s="85">
        <v>503</v>
      </c>
    </row>
    <row r="150" spans="1:8" ht="19.8" customHeight="1" x14ac:dyDescent="0.3">
      <c r="A150" s="91">
        <v>45985</v>
      </c>
      <c r="B150" s="82" t="s">
        <v>36</v>
      </c>
      <c r="C150" s="83" t="s">
        <v>241</v>
      </c>
      <c r="D150" s="82" t="s">
        <v>225</v>
      </c>
      <c r="E150" s="92">
        <v>1.9027777777777779</v>
      </c>
      <c r="F150" s="82" t="s">
        <v>38</v>
      </c>
      <c r="G150" s="84">
        <v>3</v>
      </c>
      <c r="H150" s="85">
        <v>509</v>
      </c>
    </row>
    <row r="151" spans="1:8" ht="19.8" customHeight="1" x14ac:dyDescent="0.3">
      <c r="A151" s="91">
        <v>45985</v>
      </c>
      <c r="B151" s="82" t="s">
        <v>36</v>
      </c>
      <c r="C151" s="83" t="s">
        <v>245</v>
      </c>
      <c r="D151" s="82" t="s">
        <v>225</v>
      </c>
      <c r="E151" s="92">
        <v>1.854166666666667</v>
      </c>
      <c r="F151" s="82" t="s">
        <v>38</v>
      </c>
      <c r="G151" s="84">
        <v>1</v>
      </c>
      <c r="H151" s="85">
        <v>509</v>
      </c>
    </row>
    <row r="152" spans="1:8" ht="19.8" customHeight="1" x14ac:dyDescent="0.3">
      <c r="A152" s="91">
        <v>45985</v>
      </c>
      <c r="B152" s="82" t="s">
        <v>36</v>
      </c>
      <c r="C152" s="83" t="s">
        <v>246</v>
      </c>
      <c r="D152" s="82" t="s">
        <v>225</v>
      </c>
      <c r="E152" s="92">
        <v>1.7986111111111109</v>
      </c>
      <c r="F152" s="82" t="s">
        <v>38</v>
      </c>
      <c r="G152" s="84">
        <v>1</v>
      </c>
      <c r="H152" s="85">
        <v>509</v>
      </c>
    </row>
    <row r="153" spans="1:8" ht="19.8" customHeight="1" x14ac:dyDescent="0.3">
      <c r="A153" s="101">
        <v>45985</v>
      </c>
      <c r="B153" s="102" t="s">
        <v>73</v>
      </c>
      <c r="C153" s="103" t="s">
        <v>273</v>
      </c>
      <c r="D153" s="102" t="s">
        <v>225</v>
      </c>
      <c r="E153" s="104">
        <v>1.614583333333333</v>
      </c>
      <c r="F153" s="102" t="s">
        <v>111</v>
      </c>
      <c r="G153" s="105">
        <v>6</v>
      </c>
      <c r="H153" s="106">
        <v>526</v>
      </c>
    </row>
    <row r="154" spans="1:8" ht="19.8" customHeight="1" x14ac:dyDescent="0.3">
      <c r="A154" s="101">
        <v>45985</v>
      </c>
      <c r="B154" s="102" t="s">
        <v>73</v>
      </c>
      <c r="C154" s="103" t="s">
        <v>370</v>
      </c>
      <c r="D154" s="102" t="s">
        <v>225</v>
      </c>
      <c r="E154" s="104">
        <v>1.006944444444444</v>
      </c>
      <c r="F154" s="102" t="s">
        <v>111</v>
      </c>
      <c r="G154" s="105">
        <v>9</v>
      </c>
      <c r="H154" s="106">
        <v>526</v>
      </c>
    </row>
    <row r="155" spans="1:8" ht="19.8" customHeight="1" x14ac:dyDescent="0.3">
      <c r="A155" s="91">
        <v>45985</v>
      </c>
      <c r="B155" s="82" t="s">
        <v>48</v>
      </c>
      <c r="C155" s="83" t="s">
        <v>302</v>
      </c>
      <c r="D155" s="82" t="s">
        <v>225</v>
      </c>
      <c r="E155" s="92">
        <v>1.229166666666667</v>
      </c>
      <c r="F155" s="82" t="s">
        <v>50</v>
      </c>
      <c r="G155" s="84">
        <v>9</v>
      </c>
      <c r="H155" s="85">
        <v>537</v>
      </c>
    </row>
    <row r="156" spans="1:8" ht="19.8" customHeight="1" x14ac:dyDescent="0.3">
      <c r="A156" s="91">
        <v>45985</v>
      </c>
      <c r="B156" s="82" t="s">
        <v>36</v>
      </c>
      <c r="C156" s="83" t="s">
        <v>237</v>
      </c>
      <c r="D156" s="82" t="s">
        <v>225</v>
      </c>
      <c r="E156" s="92">
        <v>1.256944444444444</v>
      </c>
      <c r="F156" s="82" t="s">
        <v>38</v>
      </c>
      <c r="G156" s="84">
        <v>9</v>
      </c>
      <c r="H156" s="85">
        <v>549</v>
      </c>
    </row>
    <row r="157" spans="1:8" ht="19.8" customHeight="1" x14ac:dyDescent="0.3">
      <c r="A157" s="91">
        <v>45985</v>
      </c>
      <c r="B157" s="82" t="s">
        <v>36</v>
      </c>
      <c r="C157" s="83" t="s">
        <v>237</v>
      </c>
      <c r="D157" s="82" t="s">
        <v>225</v>
      </c>
      <c r="E157" s="92">
        <v>1.256944444444444</v>
      </c>
      <c r="F157" s="82" t="s">
        <v>366</v>
      </c>
      <c r="G157" s="84">
        <v>9</v>
      </c>
      <c r="H157" s="85">
        <v>549</v>
      </c>
    </row>
    <row r="158" spans="1:8" ht="19.8" customHeight="1" x14ac:dyDescent="0.3">
      <c r="A158" s="91">
        <v>45985</v>
      </c>
      <c r="B158" s="82" t="s">
        <v>36</v>
      </c>
      <c r="C158" s="83" t="s">
        <v>247</v>
      </c>
      <c r="D158" s="82" t="s">
        <v>225</v>
      </c>
      <c r="E158" s="92">
        <v>1.645833333333333</v>
      </c>
      <c r="F158" s="82" t="s">
        <v>38</v>
      </c>
      <c r="G158" s="84">
        <v>9</v>
      </c>
      <c r="H158" s="85">
        <v>549</v>
      </c>
    </row>
    <row r="159" spans="1:8" ht="19.8" customHeight="1" x14ac:dyDescent="0.3">
      <c r="A159" s="91">
        <v>45985</v>
      </c>
      <c r="B159" s="82" t="s">
        <v>36</v>
      </c>
      <c r="C159" s="83" t="s">
        <v>242</v>
      </c>
      <c r="D159" s="82" t="s">
        <v>225</v>
      </c>
      <c r="E159" s="92">
        <v>1.5173611111111109</v>
      </c>
      <c r="F159" s="82" t="s">
        <v>38</v>
      </c>
      <c r="G159" s="84">
        <v>9</v>
      </c>
      <c r="H159" s="85">
        <v>549</v>
      </c>
    </row>
    <row r="160" spans="1:8" ht="19.8" customHeight="1" x14ac:dyDescent="0.3">
      <c r="A160" s="91">
        <v>45985</v>
      </c>
      <c r="B160" s="82" t="s">
        <v>36</v>
      </c>
      <c r="C160" s="83" t="s">
        <v>251</v>
      </c>
      <c r="D160" s="82" t="s">
        <v>225</v>
      </c>
      <c r="E160" s="92">
        <v>1.395833333333333</v>
      </c>
      <c r="F160" s="82" t="s">
        <v>38</v>
      </c>
      <c r="G160" s="84">
        <v>9</v>
      </c>
      <c r="H160" s="85">
        <v>549</v>
      </c>
    </row>
    <row r="161" spans="1:8" ht="19.8" customHeight="1" x14ac:dyDescent="0.3">
      <c r="A161" s="91">
        <v>45985</v>
      </c>
      <c r="B161" s="82" t="s">
        <v>36</v>
      </c>
      <c r="C161" s="83" t="s">
        <v>322</v>
      </c>
      <c r="D161" s="82" t="s">
        <v>225</v>
      </c>
      <c r="E161" s="92">
        <v>1.46875</v>
      </c>
      <c r="F161" s="82" t="s">
        <v>38</v>
      </c>
      <c r="G161" s="84">
        <v>9</v>
      </c>
      <c r="H161" s="85">
        <v>549</v>
      </c>
    </row>
    <row r="162" spans="1:8" ht="19.8" customHeight="1" x14ac:dyDescent="0.3">
      <c r="A162" s="91">
        <v>45985</v>
      </c>
      <c r="B162" s="82" t="s">
        <v>252</v>
      </c>
      <c r="C162" s="83" t="s">
        <v>253</v>
      </c>
      <c r="D162" s="82" t="s">
        <v>225</v>
      </c>
      <c r="E162" s="92">
        <v>1.1736111111111109</v>
      </c>
      <c r="F162" s="82" t="s">
        <v>254</v>
      </c>
      <c r="G162" s="84">
        <v>9</v>
      </c>
      <c r="H162" s="85">
        <v>576</v>
      </c>
    </row>
    <row r="163" spans="1:8" ht="19.8" customHeight="1" x14ac:dyDescent="0.3">
      <c r="A163" s="101">
        <v>45985</v>
      </c>
      <c r="B163" s="102" t="s">
        <v>73</v>
      </c>
      <c r="C163" s="103" t="s">
        <v>340</v>
      </c>
      <c r="D163" s="102" t="s">
        <v>225</v>
      </c>
      <c r="E163" s="104">
        <v>1.979166666666667</v>
      </c>
      <c r="F163" s="102" t="s">
        <v>111</v>
      </c>
      <c r="G163" s="105">
        <v>3</v>
      </c>
      <c r="H163" s="106">
        <v>586</v>
      </c>
    </row>
    <row r="164" spans="1:8" ht="19.8" customHeight="1" x14ac:dyDescent="0.3">
      <c r="A164" s="91">
        <v>45985</v>
      </c>
      <c r="B164" s="82" t="s">
        <v>264</v>
      </c>
      <c r="C164" s="83" t="s">
        <v>380</v>
      </c>
      <c r="D164" s="82" t="s">
        <v>225</v>
      </c>
      <c r="E164" s="92">
        <v>1.208333333333333</v>
      </c>
      <c r="F164" s="82" t="s">
        <v>262</v>
      </c>
      <c r="G164" s="84">
        <v>9</v>
      </c>
      <c r="H164" s="85">
        <v>595</v>
      </c>
    </row>
    <row r="165" spans="1:8" ht="19.8" customHeight="1" x14ac:dyDescent="0.3">
      <c r="A165" s="91">
        <v>45985</v>
      </c>
      <c r="B165" s="82" t="s">
        <v>252</v>
      </c>
      <c r="C165" s="83" t="s">
        <v>257</v>
      </c>
      <c r="D165" s="82" t="s">
        <v>225</v>
      </c>
      <c r="E165" s="92">
        <v>1.3923611111111109</v>
      </c>
      <c r="F165" s="82" t="s">
        <v>254</v>
      </c>
      <c r="G165" s="84">
        <v>7</v>
      </c>
      <c r="H165" s="85">
        <v>600</v>
      </c>
    </row>
    <row r="166" spans="1:8" ht="19.8" customHeight="1" x14ac:dyDescent="0.3">
      <c r="A166" s="91">
        <v>45985</v>
      </c>
      <c r="B166" s="82" t="s">
        <v>26</v>
      </c>
      <c r="C166" s="83" t="s">
        <v>226</v>
      </c>
      <c r="D166" s="82" t="s">
        <v>225</v>
      </c>
      <c r="E166" s="92">
        <v>1.1284722222222221</v>
      </c>
      <c r="F166" s="82" t="s">
        <v>31</v>
      </c>
      <c r="G166" s="84">
        <v>6</v>
      </c>
      <c r="H166" s="85">
        <v>609</v>
      </c>
    </row>
    <row r="167" spans="1:8" ht="19.8" customHeight="1" x14ac:dyDescent="0.3">
      <c r="A167" s="91">
        <v>45985</v>
      </c>
      <c r="B167" s="82" t="s">
        <v>36</v>
      </c>
      <c r="C167" s="83" t="s">
        <v>241</v>
      </c>
      <c r="D167" s="82" t="s">
        <v>225</v>
      </c>
      <c r="E167" s="92">
        <v>1.9027777777777779</v>
      </c>
      <c r="F167" s="82" t="s">
        <v>41</v>
      </c>
      <c r="G167" s="84">
        <v>3</v>
      </c>
      <c r="H167" s="85">
        <v>609</v>
      </c>
    </row>
    <row r="168" spans="1:8" ht="19.8" customHeight="1" x14ac:dyDescent="0.3">
      <c r="A168" s="91">
        <v>45985</v>
      </c>
      <c r="B168" s="82" t="s">
        <v>36</v>
      </c>
      <c r="C168" s="83" t="s">
        <v>245</v>
      </c>
      <c r="D168" s="82" t="s">
        <v>225</v>
      </c>
      <c r="E168" s="92">
        <v>1.854166666666667</v>
      </c>
      <c r="F168" s="82" t="s">
        <v>41</v>
      </c>
      <c r="G168" s="84">
        <v>1</v>
      </c>
      <c r="H168" s="85">
        <v>609</v>
      </c>
    </row>
    <row r="169" spans="1:8" ht="19.8" customHeight="1" x14ac:dyDescent="0.3">
      <c r="A169" s="91">
        <v>45985</v>
      </c>
      <c r="B169" s="82" t="s">
        <v>36</v>
      </c>
      <c r="C169" s="83" t="s">
        <v>246</v>
      </c>
      <c r="D169" s="82" t="s">
        <v>225</v>
      </c>
      <c r="E169" s="92">
        <v>1.7986111111111109</v>
      </c>
      <c r="F169" s="82" t="s">
        <v>41</v>
      </c>
      <c r="G169" s="84">
        <v>1</v>
      </c>
      <c r="H169" s="85">
        <v>609</v>
      </c>
    </row>
    <row r="170" spans="1:8" ht="19.8" customHeight="1" x14ac:dyDescent="0.3">
      <c r="A170" s="91">
        <v>45985</v>
      </c>
      <c r="B170" s="82" t="s">
        <v>48</v>
      </c>
      <c r="C170" s="83" t="s">
        <v>303</v>
      </c>
      <c r="D170" s="82" t="s">
        <v>225</v>
      </c>
      <c r="E170" s="92">
        <v>1.0138888888888891</v>
      </c>
      <c r="F170" s="82" t="s">
        <v>50</v>
      </c>
      <c r="G170" s="84">
        <v>9</v>
      </c>
      <c r="H170" s="85">
        <v>615</v>
      </c>
    </row>
    <row r="171" spans="1:8" ht="19.8" customHeight="1" x14ac:dyDescent="0.3">
      <c r="A171" s="91">
        <v>45985</v>
      </c>
      <c r="B171" s="82" t="s">
        <v>26</v>
      </c>
      <c r="C171" s="83" t="s">
        <v>230</v>
      </c>
      <c r="D171" s="82" t="s">
        <v>225</v>
      </c>
      <c r="E171" s="92">
        <v>1.788194444444444</v>
      </c>
      <c r="F171" s="82" t="s">
        <v>28</v>
      </c>
      <c r="G171" s="84">
        <v>5</v>
      </c>
      <c r="H171" s="85">
        <v>639</v>
      </c>
    </row>
    <row r="172" spans="1:8" ht="19.8" customHeight="1" x14ac:dyDescent="0.3">
      <c r="A172" s="91">
        <v>45985</v>
      </c>
      <c r="B172" s="82" t="s">
        <v>26</v>
      </c>
      <c r="C172" s="83" t="s">
        <v>234</v>
      </c>
      <c r="D172" s="82" t="s">
        <v>225</v>
      </c>
      <c r="E172" s="92">
        <v>1.302083333333333</v>
      </c>
      <c r="F172" s="82" t="s">
        <v>31</v>
      </c>
      <c r="G172" s="84">
        <v>3</v>
      </c>
      <c r="H172" s="85">
        <v>649</v>
      </c>
    </row>
    <row r="173" spans="1:8" ht="19.8" customHeight="1" x14ac:dyDescent="0.3">
      <c r="A173" s="91">
        <v>45985</v>
      </c>
      <c r="B173" s="82" t="s">
        <v>26</v>
      </c>
      <c r="C173" s="83" t="s">
        <v>231</v>
      </c>
      <c r="D173" s="82" t="s">
        <v>225</v>
      </c>
      <c r="E173" s="92">
        <v>1.8888888888888891</v>
      </c>
      <c r="F173" s="82" t="s">
        <v>31</v>
      </c>
      <c r="G173" s="84">
        <v>6</v>
      </c>
      <c r="H173" s="85">
        <v>649</v>
      </c>
    </row>
    <row r="174" spans="1:8" ht="19.8" customHeight="1" x14ac:dyDescent="0.3">
      <c r="A174" s="91">
        <v>45985</v>
      </c>
      <c r="B174" s="82" t="s">
        <v>36</v>
      </c>
      <c r="C174" s="83" t="s">
        <v>237</v>
      </c>
      <c r="D174" s="82" t="s">
        <v>225</v>
      </c>
      <c r="E174" s="92">
        <v>1.256944444444444</v>
      </c>
      <c r="F174" s="82" t="s">
        <v>41</v>
      </c>
      <c r="G174" s="84">
        <v>9</v>
      </c>
      <c r="H174" s="85">
        <v>649</v>
      </c>
    </row>
    <row r="175" spans="1:8" ht="19.8" customHeight="1" x14ac:dyDescent="0.3">
      <c r="A175" s="91">
        <v>45985</v>
      </c>
      <c r="B175" s="82" t="s">
        <v>36</v>
      </c>
      <c r="C175" s="83" t="s">
        <v>247</v>
      </c>
      <c r="D175" s="82" t="s">
        <v>225</v>
      </c>
      <c r="E175" s="92">
        <v>1.645833333333333</v>
      </c>
      <c r="F175" s="82" t="s">
        <v>41</v>
      </c>
      <c r="G175" s="84">
        <v>9</v>
      </c>
      <c r="H175" s="85">
        <v>649</v>
      </c>
    </row>
    <row r="176" spans="1:8" ht="19.8" customHeight="1" x14ac:dyDescent="0.3">
      <c r="A176" s="91">
        <v>45985</v>
      </c>
      <c r="B176" s="82" t="s">
        <v>36</v>
      </c>
      <c r="C176" s="83" t="s">
        <v>242</v>
      </c>
      <c r="D176" s="82" t="s">
        <v>225</v>
      </c>
      <c r="E176" s="92">
        <v>1.5173611111111109</v>
      </c>
      <c r="F176" s="82" t="s">
        <v>41</v>
      </c>
      <c r="G176" s="84">
        <v>9</v>
      </c>
      <c r="H176" s="85">
        <v>649</v>
      </c>
    </row>
    <row r="177" spans="1:8" ht="19.8" customHeight="1" x14ac:dyDescent="0.3">
      <c r="A177" s="91">
        <v>45985</v>
      </c>
      <c r="B177" s="82" t="s">
        <v>36</v>
      </c>
      <c r="C177" s="83" t="s">
        <v>251</v>
      </c>
      <c r="D177" s="82" t="s">
        <v>225</v>
      </c>
      <c r="E177" s="92">
        <v>1.395833333333333</v>
      </c>
      <c r="F177" s="82" t="s">
        <v>41</v>
      </c>
      <c r="G177" s="84">
        <v>9</v>
      </c>
      <c r="H177" s="85">
        <v>649</v>
      </c>
    </row>
    <row r="178" spans="1:8" ht="19.8" customHeight="1" x14ac:dyDescent="0.3">
      <c r="A178" s="91">
        <v>45985</v>
      </c>
      <c r="B178" s="82" t="s">
        <v>36</v>
      </c>
      <c r="C178" s="83" t="s">
        <v>322</v>
      </c>
      <c r="D178" s="82" t="s">
        <v>225</v>
      </c>
      <c r="E178" s="92">
        <v>1.46875</v>
      </c>
      <c r="F178" s="82" t="s">
        <v>41</v>
      </c>
      <c r="G178" s="84">
        <v>9</v>
      </c>
      <c r="H178" s="85">
        <v>649</v>
      </c>
    </row>
    <row r="179" spans="1:8" ht="19.8" customHeight="1" x14ac:dyDescent="0.3">
      <c r="A179" s="91">
        <v>45985</v>
      </c>
      <c r="B179" s="82" t="s">
        <v>36</v>
      </c>
      <c r="C179" s="83" t="s">
        <v>241</v>
      </c>
      <c r="D179" s="82" t="s">
        <v>225</v>
      </c>
      <c r="E179" s="92">
        <v>1.9027777777777779</v>
      </c>
      <c r="F179" s="82" t="s">
        <v>43</v>
      </c>
      <c r="G179" s="84">
        <v>3</v>
      </c>
      <c r="H179" s="85">
        <v>699</v>
      </c>
    </row>
    <row r="180" spans="1:8" ht="19.8" customHeight="1" x14ac:dyDescent="0.3">
      <c r="A180" s="91">
        <v>45985</v>
      </c>
      <c r="B180" s="82" t="s">
        <v>36</v>
      </c>
      <c r="C180" s="83" t="s">
        <v>245</v>
      </c>
      <c r="D180" s="82" t="s">
        <v>225</v>
      </c>
      <c r="E180" s="92">
        <v>1.854166666666667</v>
      </c>
      <c r="F180" s="82" t="s">
        <v>43</v>
      </c>
      <c r="G180" s="84">
        <v>1</v>
      </c>
      <c r="H180" s="85">
        <v>699</v>
      </c>
    </row>
    <row r="181" spans="1:8" ht="19.8" customHeight="1" x14ac:dyDescent="0.3">
      <c r="A181" s="91">
        <v>45985</v>
      </c>
      <c r="B181" s="82" t="s">
        <v>36</v>
      </c>
      <c r="C181" s="83" t="s">
        <v>246</v>
      </c>
      <c r="D181" s="82" t="s">
        <v>225</v>
      </c>
      <c r="E181" s="92">
        <v>1.7986111111111109</v>
      </c>
      <c r="F181" s="82" t="s">
        <v>43</v>
      </c>
      <c r="G181" s="84">
        <v>1</v>
      </c>
      <c r="H181" s="85">
        <v>699</v>
      </c>
    </row>
    <row r="182" spans="1:8" ht="19.8" customHeight="1" x14ac:dyDescent="0.3">
      <c r="A182" s="91">
        <v>45985</v>
      </c>
      <c r="B182" s="82" t="s">
        <v>252</v>
      </c>
      <c r="C182" s="83" t="s">
        <v>253</v>
      </c>
      <c r="D182" s="82" t="s">
        <v>225</v>
      </c>
      <c r="E182" s="92">
        <v>1.1736111111111109</v>
      </c>
      <c r="F182" s="82" t="s">
        <v>34</v>
      </c>
      <c r="G182" s="84">
        <v>9</v>
      </c>
      <c r="H182" s="85">
        <v>699</v>
      </c>
    </row>
    <row r="183" spans="1:8" ht="19.8" customHeight="1" x14ac:dyDescent="0.3">
      <c r="A183" s="91">
        <v>45985</v>
      </c>
      <c r="B183" s="82" t="s">
        <v>252</v>
      </c>
      <c r="C183" s="83" t="s">
        <v>257</v>
      </c>
      <c r="D183" s="82" t="s">
        <v>225</v>
      </c>
      <c r="E183" s="92">
        <v>1.3923611111111109</v>
      </c>
      <c r="F183" s="82" t="s">
        <v>34</v>
      </c>
      <c r="G183" s="84">
        <v>7</v>
      </c>
      <c r="H183" s="85">
        <v>723</v>
      </c>
    </row>
    <row r="184" spans="1:8" ht="19.8" customHeight="1" x14ac:dyDescent="0.3">
      <c r="A184" s="91">
        <v>45985</v>
      </c>
      <c r="B184" s="82" t="s">
        <v>36</v>
      </c>
      <c r="C184" s="83" t="s">
        <v>237</v>
      </c>
      <c r="D184" s="82" t="s">
        <v>225</v>
      </c>
      <c r="E184" s="92">
        <v>1.256944444444444</v>
      </c>
      <c r="F184" s="82" t="s">
        <v>43</v>
      </c>
      <c r="G184" s="84">
        <v>9</v>
      </c>
      <c r="H184" s="85">
        <v>739</v>
      </c>
    </row>
    <row r="185" spans="1:8" ht="19.8" customHeight="1" x14ac:dyDescent="0.3">
      <c r="A185" s="91">
        <v>45985</v>
      </c>
      <c r="B185" s="82" t="s">
        <v>36</v>
      </c>
      <c r="C185" s="83" t="s">
        <v>247</v>
      </c>
      <c r="D185" s="82" t="s">
        <v>225</v>
      </c>
      <c r="E185" s="92">
        <v>1.645833333333333</v>
      </c>
      <c r="F185" s="82" t="s">
        <v>43</v>
      </c>
      <c r="G185" s="84">
        <v>9</v>
      </c>
      <c r="H185" s="85">
        <v>739</v>
      </c>
    </row>
    <row r="186" spans="1:8" ht="19.8" customHeight="1" x14ac:dyDescent="0.3">
      <c r="A186" s="91">
        <v>45985</v>
      </c>
      <c r="B186" s="82" t="s">
        <v>36</v>
      </c>
      <c r="C186" s="83" t="s">
        <v>242</v>
      </c>
      <c r="D186" s="82" t="s">
        <v>225</v>
      </c>
      <c r="E186" s="92">
        <v>1.5173611111111109</v>
      </c>
      <c r="F186" s="82" t="s">
        <v>43</v>
      </c>
      <c r="G186" s="84">
        <v>9</v>
      </c>
      <c r="H186" s="85">
        <v>739</v>
      </c>
    </row>
    <row r="187" spans="1:8" ht="19.8" customHeight="1" x14ac:dyDescent="0.3">
      <c r="A187" s="91">
        <v>45985</v>
      </c>
      <c r="B187" s="82" t="s">
        <v>36</v>
      </c>
      <c r="C187" s="83" t="s">
        <v>251</v>
      </c>
      <c r="D187" s="82" t="s">
        <v>225</v>
      </c>
      <c r="E187" s="92">
        <v>1.395833333333333</v>
      </c>
      <c r="F187" s="82" t="s">
        <v>43</v>
      </c>
      <c r="G187" s="84">
        <v>9</v>
      </c>
      <c r="H187" s="85">
        <v>739</v>
      </c>
    </row>
    <row r="188" spans="1:8" ht="19.8" customHeight="1" x14ac:dyDescent="0.3">
      <c r="A188" s="91">
        <v>45985</v>
      </c>
      <c r="B188" s="82" t="s">
        <v>36</v>
      </c>
      <c r="C188" s="83" t="s">
        <v>322</v>
      </c>
      <c r="D188" s="82" t="s">
        <v>225</v>
      </c>
      <c r="E188" s="92">
        <v>1.46875</v>
      </c>
      <c r="F188" s="82" t="s">
        <v>43</v>
      </c>
      <c r="G188" s="84">
        <v>9</v>
      </c>
      <c r="H188" s="85">
        <v>739</v>
      </c>
    </row>
    <row r="189" spans="1:8" ht="19.8" customHeight="1" x14ac:dyDescent="0.3">
      <c r="A189" s="91">
        <v>45985</v>
      </c>
      <c r="B189" s="82" t="s">
        <v>48</v>
      </c>
      <c r="C189" s="83" t="s">
        <v>308</v>
      </c>
      <c r="D189" s="82" t="s">
        <v>225</v>
      </c>
      <c r="E189" s="92">
        <v>1.552083333333333</v>
      </c>
      <c r="F189" s="82" t="s">
        <v>50</v>
      </c>
      <c r="G189" s="84">
        <v>9</v>
      </c>
      <c r="H189" s="85">
        <v>765</v>
      </c>
    </row>
    <row r="190" spans="1:8" ht="19.8" customHeight="1" x14ac:dyDescent="0.3">
      <c r="A190" s="91">
        <v>45985</v>
      </c>
      <c r="B190" s="82" t="s">
        <v>26</v>
      </c>
      <c r="C190" s="83" t="s">
        <v>230</v>
      </c>
      <c r="D190" s="82" t="s">
        <v>225</v>
      </c>
      <c r="E190" s="92">
        <v>1.788194444444444</v>
      </c>
      <c r="F190" s="82" t="s">
        <v>31</v>
      </c>
      <c r="G190" s="84">
        <v>5</v>
      </c>
      <c r="H190" s="85">
        <v>789</v>
      </c>
    </row>
    <row r="191" spans="1:8" ht="19.8" customHeight="1" x14ac:dyDescent="0.3">
      <c r="A191" s="91">
        <v>45985</v>
      </c>
      <c r="B191" s="82" t="s">
        <v>56</v>
      </c>
      <c r="C191" s="83" t="s">
        <v>286</v>
      </c>
      <c r="D191" s="82" t="s">
        <v>225</v>
      </c>
      <c r="E191" s="92">
        <v>1.930555555555556</v>
      </c>
      <c r="F191" s="82" t="s">
        <v>58</v>
      </c>
      <c r="G191" s="84">
        <v>9</v>
      </c>
      <c r="H191" s="85">
        <v>935</v>
      </c>
    </row>
    <row r="192" spans="1:8" ht="19.8" customHeight="1" x14ac:dyDescent="0.3">
      <c r="A192" s="91">
        <v>45985</v>
      </c>
      <c r="B192" s="82" t="s">
        <v>48</v>
      </c>
      <c r="C192" s="83" t="s">
        <v>300</v>
      </c>
      <c r="D192" s="82" t="s">
        <v>225</v>
      </c>
      <c r="E192" s="92">
        <v>1.2777777777777779</v>
      </c>
      <c r="F192" s="82" t="s">
        <v>50</v>
      </c>
      <c r="G192" s="84">
        <v>9</v>
      </c>
      <c r="H192" s="85">
        <v>970</v>
      </c>
    </row>
    <row r="193" spans="1:8" ht="19.8" customHeight="1" x14ac:dyDescent="0.3">
      <c r="A193" s="91">
        <v>45985</v>
      </c>
      <c r="B193" s="82" t="s">
        <v>56</v>
      </c>
      <c r="C193" s="83" t="s">
        <v>286</v>
      </c>
      <c r="D193" s="82" t="s">
        <v>225</v>
      </c>
      <c r="E193" s="92">
        <v>1.930555555555556</v>
      </c>
      <c r="F193" s="82" t="s">
        <v>61</v>
      </c>
      <c r="G193" s="84">
        <v>9</v>
      </c>
      <c r="H193" s="85">
        <v>980</v>
      </c>
    </row>
    <row r="194" spans="1:8" ht="19.8" customHeight="1" x14ac:dyDescent="0.3">
      <c r="A194" s="91">
        <v>45985</v>
      </c>
      <c r="B194" s="82" t="s">
        <v>26</v>
      </c>
      <c r="C194" s="83" t="s">
        <v>234</v>
      </c>
      <c r="D194" s="82" t="s">
        <v>225</v>
      </c>
      <c r="E194" s="92">
        <v>1.302083333333333</v>
      </c>
      <c r="F194" s="82" t="s">
        <v>34</v>
      </c>
      <c r="G194" s="84">
        <v>3</v>
      </c>
      <c r="H194" s="86" t="s">
        <v>81</v>
      </c>
    </row>
    <row r="195" spans="1:8" ht="19.8" customHeight="1" x14ac:dyDescent="0.3">
      <c r="A195" s="91">
        <v>45985</v>
      </c>
      <c r="B195" s="82" t="s">
        <v>26</v>
      </c>
      <c r="C195" s="83" t="s">
        <v>226</v>
      </c>
      <c r="D195" s="82" t="s">
        <v>225</v>
      </c>
      <c r="E195" s="92">
        <v>1.1284722222222221</v>
      </c>
      <c r="F195" s="82" t="s">
        <v>34</v>
      </c>
      <c r="G195" s="84">
        <v>6</v>
      </c>
      <c r="H195" s="86" t="s">
        <v>81</v>
      </c>
    </row>
    <row r="196" spans="1:8" ht="19.8" customHeight="1" x14ac:dyDescent="0.3">
      <c r="A196" s="91">
        <v>45985</v>
      </c>
      <c r="B196" s="82" t="s">
        <v>26</v>
      </c>
      <c r="C196" s="83" t="s">
        <v>230</v>
      </c>
      <c r="D196" s="82" t="s">
        <v>225</v>
      </c>
      <c r="E196" s="92">
        <v>1.788194444444444</v>
      </c>
      <c r="F196" s="82" t="s">
        <v>34</v>
      </c>
      <c r="G196" s="84">
        <v>5</v>
      </c>
      <c r="H196" s="86" t="s">
        <v>81</v>
      </c>
    </row>
    <row r="197" spans="1:8" ht="19.8" customHeight="1" x14ac:dyDescent="0.3">
      <c r="A197" s="91">
        <v>45985</v>
      </c>
      <c r="B197" s="82" t="s">
        <v>26</v>
      </c>
      <c r="C197" s="83" t="s">
        <v>231</v>
      </c>
      <c r="D197" s="82" t="s">
        <v>225</v>
      </c>
      <c r="E197" s="92">
        <v>1.8888888888888891</v>
      </c>
      <c r="F197" s="82" t="s">
        <v>34</v>
      </c>
      <c r="G197" s="84">
        <v>6</v>
      </c>
      <c r="H197" s="86" t="s">
        <v>81</v>
      </c>
    </row>
    <row r="198" spans="1:8" ht="19.8" customHeight="1" x14ac:dyDescent="0.3">
      <c r="A198" s="91">
        <v>45985</v>
      </c>
      <c r="B198" s="82" t="s">
        <v>48</v>
      </c>
      <c r="C198" s="83" t="s">
        <v>310</v>
      </c>
      <c r="D198" s="82" t="s">
        <v>225</v>
      </c>
      <c r="E198" s="92">
        <v>1.774305555555556</v>
      </c>
      <c r="F198" s="82" t="s">
        <v>50</v>
      </c>
      <c r="G198" s="84">
        <v>9</v>
      </c>
      <c r="H198" s="86" t="s">
        <v>301</v>
      </c>
    </row>
    <row r="199" spans="1:8" ht="19.8" customHeight="1" x14ac:dyDescent="0.3">
      <c r="A199" s="91">
        <v>45985</v>
      </c>
      <c r="B199" s="82" t="s">
        <v>56</v>
      </c>
      <c r="C199" s="83" t="s">
        <v>280</v>
      </c>
      <c r="D199" s="82" t="s">
        <v>225</v>
      </c>
      <c r="E199" s="92">
        <v>1.3784722222222221</v>
      </c>
      <c r="F199" s="82" t="s">
        <v>58</v>
      </c>
      <c r="G199" s="84">
        <v>9</v>
      </c>
      <c r="H199" s="86" t="s">
        <v>347</v>
      </c>
    </row>
    <row r="200" spans="1:8" ht="19.8" customHeight="1" x14ac:dyDescent="0.3">
      <c r="A200" s="91">
        <v>45985</v>
      </c>
      <c r="B200" s="82" t="s">
        <v>56</v>
      </c>
      <c r="C200" s="83" t="s">
        <v>284</v>
      </c>
      <c r="D200" s="82" t="s">
        <v>225</v>
      </c>
      <c r="E200" s="92">
        <v>1.006944444444444</v>
      </c>
      <c r="F200" s="82" t="s">
        <v>58</v>
      </c>
      <c r="G200" s="84">
        <v>9</v>
      </c>
      <c r="H200" s="86" t="s">
        <v>347</v>
      </c>
    </row>
    <row r="201" spans="1:8" ht="19.8" customHeight="1" x14ac:dyDescent="0.3">
      <c r="A201" s="91">
        <v>45985</v>
      </c>
      <c r="B201" s="82" t="s">
        <v>56</v>
      </c>
      <c r="C201" s="83" t="s">
        <v>287</v>
      </c>
      <c r="D201" s="82" t="s">
        <v>225</v>
      </c>
      <c r="E201" s="92">
        <v>1.239583333333333</v>
      </c>
      <c r="F201" s="82" t="s">
        <v>58</v>
      </c>
      <c r="G201" s="84">
        <v>9</v>
      </c>
      <c r="H201" s="86" t="s">
        <v>347</v>
      </c>
    </row>
    <row r="202" spans="1:8" ht="19.8" customHeight="1" x14ac:dyDescent="0.3">
      <c r="A202" s="91">
        <v>45985</v>
      </c>
      <c r="B202" s="82" t="s">
        <v>56</v>
      </c>
      <c r="C202" s="83" t="s">
        <v>285</v>
      </c>
      <c r="D202" s="82" t="s">
        <v>225</v>
      </c>
      <c r="E202" s="92">
        <v>1.1423611111111109</v>
      </c>
      <c r="F202" s="82" t="s">
        <v>58</v>
      </c>
      <c r="G202" s="84">
        <v>9</v>
      </c>
      <c r="H202" s="86" t="s">
        <v>347</v>
      </c>
    </row>
    <row r="203" spans="1:8" ht="19.8" customHeight="1" x14ac:dyDescent="0.3">
      <c r="A203" s="91">
        <v>45985</v>
      </c>
      <c r="B203" s="82" t="s">
        <v>56</v>
      </c>
      <c r="C203" s="83" t="s">
        <v>280</v>
      </c>
      <c r="D203" s="82" t="s">
        <v>225</v>
      </c>
      <c r="E203" s="92">
        <v>1.3784722222222221</v>
      </c>
      <c r="F203" s="82" t="s">
        <v>61</v>
      </c>
      <c r="G203" s="84">
        <v>9</v>
      </c>
      <c r="H203" s="86" t="s">
        <v>348</v>
      </c>
    </row>
    <row r="204" spans="1:8" ht="19.8" customHeight="1" x14ac:dyDescent="0.3">
      <c r="A204" s="91">
        <v>45985</v>
      </c>
      <c r="B204" s="82" t="s">
        <v>56</v>
      </c>
      <c r="C204" s="83" t="s">
        <v>284</v>
      </c>
      <c r="D204" s="82" t="s">
        <v>225</v>
      </c>
      <c r="E204" s="92">
        <v>1.006944444444444</v>
      </c>
      <c r="F204" s="82" t="s">
        <v>61</v>
      </c>
      <c r="G204" s="84">
        <v>9</v>
      </c>
      <c r="H204" s="86" t="s">
        <v>348</v>
      </c>
    </row>
    <row r="205" spans="1:8" ht="19.8" customHeight="1" x14ac:dyDescent="0.3">
      <c r="A205" s="91">
        <v>45985</v>
      </c>
      <c r="B205" s="82" t="s">
        <v>56</v>
      </c>
      <c r="C205" s="83" t="s">
        <v>287</v>
      </c>
      <c r="D205" s="82" t="s">
        <v>225</v>
      </c>
      <c r="E205" s="92">
        <v>1.239583333333333</v>
      </c>
      <c r="F205" s="82" t="s">
        <v>61</v>
      </c>
      <c r="G205" s="84">
        <v>9</v>
      </c>
      <c r="H205" s="86" t="s">
        <v>348</v>
      </c>
    </row>
    <row r="206" spans="1:8" ht="19.8" customHeight="1" x14ac:dyDescent="0.3">
      <c r="A206" s="91">
        <v>45985</v>
      </c>
      <c r="B206" s="82" t="s">
        <v>56</v>
      </c>
      <c r="C206" s="83" t="s">
        <v>285</v>
      </c>
      <c r="D206" s="82" t="s">
        <v>225</v>
      </c>
      <c r="E206" s="92">
        <v>1.1423611111111109</v>
      </c>
      <c r="F206" s="82" t="s">
        <v>61</v>
      </c>
      <c r="G206" s="84">
        <v>9</v>
      </c>
      <c r="H206" s="86" t="s">
        <v>348</v>
      </c>
    </row>
    <row r="207" spans="1:8" ht="19.8" customHeight="1" x14ac:dyDescent="0.3">
      <c r="A207" s="91">
        <v>45985</v>
      </c>
      <c r="B207" s="82" t="s">
        <v>56</v>
      </c>
      <c r="C207" s="83" t="s">
        <v>298</v>
      </c>
      <c r="D207" s="82" t="s">
        <v>225</v>
      </c>
      <c r="E207" s="92">
        <v>1.1284722222222221</v>
      </c>
      <c r="F207" s="82" t="s">
        <v>61</v>
      </c>
      <c r="G207" s="84">
        <v>4</v>
      </c>
      <c r="H207" s="86" t="s">
        <v>383</v>
      </c>
    </row>
    <row r="208" spans="1:8" ht="19.8" customHeight="1" x14ac:dyDescent="0.3">
      <c r="A208" s="91">
        <v>45985</v>
      </c>
      <c r="B208" s="82" t="s">
        <v>56</v>
      </c>
      <c r="C208" s="83" t="s">
        <v>283</v>
      </c>
      <c r="D208" s="82" t="s">
        <v>225</v>
      </c>
      <c r="E208" s="92">
        <v>1.71875</v>
      </c>
      <c r="F208" s="82" t="s">
        <v>58</v>
      </c>
      <c r="G208" s="84">
        <v>9</v>
      </c>
      <c r="H208" s="86" t="s">
        <v>384</v>
      </c>
    </row>
    <row r="209" spans="1:8" ht="19.8" customHeight="1" x14ac:dyDescent="0.3">
      <c r="A209" s="91">
        <v>45985</v>
      </c>
      <c r="B209" s="82" t="s">
        <v>56</v>
      </c>
      <c r="C209" s="83" t="s">
        <v>292</v>
      </c>
      <c r="D209" s="82" t="s">
        <v>225</v>
      </c>
      <c r="E209" s="92">
        <v>1.6111111111111109</v>
      </c>
      <c r="F209" s="82" t="s">
        <v>58</v>
      </c>
      <c r="G209" s="84">
        <v>9</v>
      </c>
      <c r="H209" s="86" t="s">
        <v>384</v>
      </c>
    </row>
    <row r="210" spans="1:8" ht="19.8" customHeight="1" x14ac:dyDescent="0.3">
      <c r="A210" s="91">
        <v>45985</v>
      </c>
      <c r="B210" s="82" t="s">
        <v>56</v>
      </c>
      <c r="C210" s="83" t="s">
        <v>290</v>
      </c>
      <c r="D210" s="82" t="s">
        <v>225</v>
      </c>
      <c r="E210" s="92">
        <v>1.8888888888888891</v>
      </c>
      <c r="F210" s="82" t="s">
        <v>61</v>
      </c>
      <c r="G210" s="84">
        <v>4</v>
      </c>
      <c r="H210" s="86" t="s">
        <v>350</v>
      </c>
    </row>
    <row r="211" spans="1:8" ht="19.8" customHeight="1" x14ac:dyDescent="0.3">
      <c r="A211" s="91">
        <v>45985</v>
      </c>
      <c r="B211" s="82" t="s">
        <v>56</v>
      </c>
      <c r="C211" s="83" t="s">
        <v>296</v>
      </c>
      <c r="D211" s="82" t="s">
        <v>225</v>
      </c>
      <c r="E211" s="92">
        <v>1.302083333333333</v>
      </c>
      <c r="F211" s="82" t="s">
        <v>61</v>
      </c>
      <c r="G211" s="84">
        <v>4</v>
      </c>
      <c r="H211" s="86" t="s">
        <v>350</v>
      </c>
    </row>
    <row r="212" spans="1:8" ht="19.8" customHeight="1" x14ac:dyDescent="0.3">
      <c r="A212" s="91">
        <v>45985</v>
      </c>
      <c r="B212" s="82" t="s">
        <v>56</v>
      </c>
      <c r="C212" s="83" t="s">
        <v>283</v>
      </c>
      <c r="D212" s="82" t="s">
        <v>225</v>
      </c>
      <c r="E212" s="92">
        <v>1.71875</v>
      </c>
      <c r="F212" s="82" t="s">
        <v>61</v>
      </c>
      <c r="G212" s="84">
        <v>9</v>
      </c>
      <c r="H212" s="86" t="s">
        <v>385</v>
      </c>
    </row>
    <row r="213" spans="1:8" ht="19.8" customHeight="1" x14ac:dyDescent="0.3">
      <c r="A213" s="91">
        <v>45985</v>
      </c>
      <c r="B213" s="82" t="s">
        <v>56</v>
      </c>
      <c r="C213" s="83" t="s">
        <v>292</v>
      </c>
      <c r="D213" s="82" t="s">
        <v>225</v>
      </c>
      <c r="E213" s="92">
        <v>1.6111111111111109</v>
      </c>
      <c r="F213" s="82" t="s">
        <v>61</v>
      </c>
      <c r="G213" s="84">
        <v>9</v>
      </c>
      <c r="H213" s="86" t="s">
        <v>385</v>
      </c>
    </row>
    <row r="214" spans="1:8" ht="19.8" customHeight="1" x14ac:dyDescent="0.3">
      <c r="A214" s="91">
        <v>45985</v>
      </c>
      <c r="B214" s="82" t="s">
        <v>48</v>
      </c>
      <c r="C214" s="83" t="s">
        <v>309</v>
      </c>
      <c r="D214" s="82" t="s">
        <v>225</v>
      </c>
      <c r="E214" s="92">
        <v>1.958333333333333</v>
      </c>
      <c r="F214" s="82" t="s">
        <v>50</v>
      </c>
      <c r="G214" s="84">
        <v>4</v>
      </c>
      <c r="H214" s="86" t="s">
        <v>306</v>
      </c>
    </row>
    <row r="215" spans="1:8" ht="19.8" customHeight="1" x14ac:dyDescent="0.3">
      <c r="A215" s="91">
        <v>45985</v>
      </c>
      <c r="B215" s="82" t="s">
        <v>56</v>
      </c>
      <c r="C215" s="83" t="s">
        <v>299</v>
      </c>
      <c r="D215" s="82" t="s">
        <v>225</v>
      </c>
      <c r="E215" s="92">
        <v>1.788194444444444</v>
      </c>
      <c r="F215" s="82" t="s">
        <v>61</v>
      </c>
      <c r="G215" s="84">
        <v>4</v>
      </c>
      <c r="H215" s="86" t="s">
        <v>291</v>
      </c>
    </row>
    <row r="216" spans="1:8" ht="19.8" customHeight="1" x14ac:dyDescent="0.3">
      <c r="A216" s="91">
        <v>45985</v>
      </c>
      <c r="B216" s="82" t="s">
        <v>56</v>
      </c>
      <c r="C216" s="83" t="s">
        <v>295</v>
      </c>
      <c r="D216" s="82" t="s">
        <v>225</v>
      </c>
      <c r="E216" s="92">
        <v>1.8298611111111109</v>
      </c>
      <c r="F216" s="82" t="s">
        <v>58</v>
      </c>
      <c r="G216" s="84">
        <v>9</v>
      </c>
      <c r="H216" s="86" t="s">
        <v>351</v>
      </c>
    </row>
    <row r="217" spans="1:8" ht="19.8" customHeight="1" x14ac:dyDescent="0.3">
      <c r="A217" s="91">
        <v>45985</v>
      </c>
      <c r="B217" s="82" t="s">
        <v>56</v>
      </c>
      <c r="C217" s="83" t="s">
        <v>295</v>
      </c>
      <c r="D217" s="82" t="s">
        <v>225</v>
      </c>
      <c r="E217" s="92">
        <v>1.8298611111111109</v>
      </c>
      <c r="F217" s="82" t="s">
        <v>61</v>
      </c>
      <c r="G217" s="84">
        <v>9</v>
      </c>
      <c r="H217" s="86" t="s">
        <v>352</v>
      </c>
    </row>
    <row r="218" spans="1:8" ht="19.8" customHeight="1" x14ac:dyDescent="0.3">
      <c r="A218" s="93">
        <v>45985</v>
      </c>
      <c r="B218" s="88" t="s">
        <v>73</v>
      </c>
      <c r="C218" s="89" t="s">
        <v>278</v>
      </c>
      <c r="D218" s="88" t="s">
        <v>225</v>
      </c>
      <c r="E218" s="94">
        <v>1.4236111111111109</v>
      </c>
      <c r="F218" s="88" t="s">
        <v>75</v>
      </c>
      <c r="G218" s="88"/>
      <c r="H218" s="90" t="s">
        <v>76</v>
      </c>
    </row>
    <row r="219" spans="1:8" ht="19.8" customHeight="1" x14ac:dyDescent="0.3">
      <c r="A219" s="91">
        <v>45986</v>
      </c>
      <c r="B219" s="82" t="s">
        <v>260</v>
      </c>
      <c r="C219" s="83" t="s">
        <v>261</v>
      </c>
      <c r="D219" s="82" t="s">
        <v>225</v>
      </c>
      <c r="E219" s="92">
        <v>1.666666666666667</v>
      </c>
      <c r="F219" s="82" t="s">
        <v>262</v>
      </c>
      <c r="G219" s="84">
        <v>4</v>
      </c>
      <c r="H219" s="85">
        <v>401</v>
      </c>
    </row>
    <row r="220" spans="1:8" ht="19.8" customHeight="1" x14ac:dyDescent="0.3">
      <c r="A220" s="91">
        <v>45986</v>
      </c>
      <c r="B220" s="82" t="s">
        <v>260</v>
      </c>
      <c r="C220" s="83" t="s">
        <v>327</v>
      </c>
      <c r="D220" s="82" t="s">
        <v>225</v>
      </c>
      <c r="E220" s="92">
        <v>1.364583333333333</v>
      </c>
      <c r="F220" s="82" t="s">
        <v>262</v>
      </c>
      <c r="G220" s="84">
        <v>9</v>
      </c>
      <c r="H220" s="85">
        <v>401</v>
      </c>
    </row>
    <row r="221" spans="1:8" ht="19.8" customHeight="1" x14ac:dyDescent="0.3">
      <c r="A221" s="91">
        <v>45986</v>
      </c>
      <c r="B221" s="82" t="s">
        <v>260</v>
      </c>
      <c r="C221" s="83" t="s">
        <v>386</v>
      </c>
      <c r="D221" s="82" t="s">
        <v>225</v>
      </c>
      <c r="E221" s="92">
        <v>1.0451388888888891</v>
      </c>
      <c r="F221" s="82" t="s">
        <v>262</v>
      </c>
      <c r="G221" s="84">
        <v>9</v>
      </c>
      <c r="H221" s="85">
        <v>401</v>
      </c>
    </row>
    <row r="222" spans="1:8" ht="19.8" customHeight="1" x14ac:dyDescent="0.3">
      <c r="A222" s="91">
        <v>45986</v>
      </c>
      <c r="B222" s="82" t="s">
        <v>26</v>
      </c>
      <c r="C222" s="83" t="s">
        <v>234</v>
      </c>
      <c r="D222" s="82" t="s">
        <v>225</v>
      </c>
      <c r="E222" s="92">
        <v>1.302083333333333</v>
      </c>
      <c r="F222" s="82" t="s">
        <v>28</v>
      </c>
      <c r="G222" s="84">
        <v>1</v>
      </c>
      <c r="H222" s="85">
        <v>419</v>
      </c>
    </row>
    <row r="223" spans="1:8" ht="19.8" customHeight="1" x14ac:dyDescent="0.3">
      <c r="A223" s="91">
        <v>45986</v>
      </c>
      <c r="B223" s="82" t="s">
        <v>26</v>
      </c>
      <c r="C223" s="83" t="s">
        <v>226</v>
      </c>
      <c r="D223" s="82" t="s">
        <v>225</v>
      </c>
      <c r="E223" s="92">
        <v>1.1284722222222221</v>
      </c>
      <c r="F223" s="82" t="s">
        <v>28</v>
      </c>
      <c r="G223" s="84">
        <v>10</v>
      </c>
      <c r="H223" s="85">
        <v>419</v>
      </c>
    </row>
    <row r="224" spans="1:8" ht="19.8" customHeight="1" x14ac:dyDescent="0.3">
      <c r="A224" s="91">
        <v>45986</v>
      </c>
      <c r="B224" s="82" t="s">
        <v>26</v>
      </c>
      <c r="C224" s="83" t="s">
        <v>230</v>
      </c>
      <c r="D224" s="82" t="s">
        <v>225</v>
      </c>
      <c r="E224" s="92">
        <v>1.788194444444444</v>
      </c>
      <c r="F224" s="82" t="s">
        <v>28</v>
      </c>
      <c r="G224" s="84">
        <v>2</v>
      </c>
      <c r="H224" s="85">
        <v>419</v>
      </c>
    </row>
    <row r="225" spans="1:8" ht="19.8" customHeight="1" x14ac:dyDescent="0.3">
      <c r="A225" s="91">
        <v>45986</v>
      </c>
      <c r="B225" s="82" t="s">
        <v>26</v>
      </c>
      <c r="C225" s="83" t="s">
        <v>231</v>
      </c>
      <c r="D225" s="82" t="s">
        <v>225</v>
      </c>
      <c r="E225" s="92">
        <v>1.8888888888888891</v>
      </c>
      <c r="F225" s="82" t="s">
        <v>28</v>
      </c>
      <c r="G225" s="84">
        <v>5</v>
      </c>
      <c r="H225" s="85">
        <v>419</v>
      </c>
    </row>
    <row r="226" spans="1:8" ht="19.8" customHeight="1" x14ac:dyDescent="0.3">
      <c r="A226" s="101">
        <v>45986</v>
      </c>
      <c r="B226" s="102" t="s">
        <v>73</v>
      </c>
      <c r="C226" s="103" t="s">
        <v>330</v>
      </c>
      <c r="D226" s="102" t="s">
        <v>225</v>
      </c>
      <c r="E226" s="104">
        <v>1.9340277777777779</v>
      </c>
      <c r="F226" s="102" t="s">
        <v>111</v>
      </c>
      <c r="G226" s="105">
        <v>9</v>
      </c>
      <c r="H226" s="106">
        <v>436</v>
      </c>
    </row>
    <row r="227" spans="1:8" ht="19.8" customHeight="1" x14ac:dyDescent="0.3">
      <c r="A227" s="101">
        <v>45986</v>
      </c>
      <c r="B227" s="102" t="s">
        <v>73</v>
      </c>
      <c r="C227" s="103" t="s">
        <v>391</v>
      </c>
      <c r="D227" s="102" t="s">
        <v>225</v>
      </c>
      <c r="E227" s="104">
        <v>1.229166666666667</v>
      </c>
      <c r="F227" s="102" t="s">
        <v>111</v>
      </c>
      <c r="G227" s="105">
        <v>9</v>
      </c>
      <c r="H227" s="106">
        <v>436</v>
      </c>
    </row>
    <row r="228" spans="1:8" ht="19.8" customHeight="1" x14ac:dyDescent="0.3">
      <c r="A228" s="101">
        <v>45986</v>
      </c>
      <c r="B228" s="102" t="s">
        <v>73</v>
      </c>
      <c r="C228" s="103" t="s">
        <v>338</v>
      </c>
      <c r="D228" s="102" t="s">
        <v>225</v>
      </c>
      <c r="E228" s="104">
        <v>1.96875</v>
      </c>
      <c r="F228" s="102" t="s">
        <v>111</v>
      </c>
      <c r="G228" s="105">
        <v>9</v>
      </c>
      <c r="H228" s="106">
        <v>436</v>
      </c>
    </row>
    <row r="229" spans="1:8" ht="19.8" customHeight="1" x14ac:dyDescent="0.3">
      <c r="A229" s="101">
        <v>45986</v>
      </c>
      <c r="B229" s="102" t="s">
        <v>73</v>
      </c>
      <c r="C229" s="103" t="s">
        <v>273</v>
      </c>
      <c r="D229" s="102" t="s">
        <v>225</v>
      </c>
      <c r="E229" s="104">
        <v>1.614583333333333</v>
      </c>
      <c r="F229" s="102" t="s">
        <v>111</v>
      </c>
      <c r="G229" s="105">
        <v>9</v>
      </c>
      <c r="H229" s="106">
        <v>436</v>
      </c>
    </row>
    <row r="230" spans="1:8" ht="19.8" customHeight="1" x14ac:dyDescent="0.3">
      <c r="A230" s="91">
        <v>45986</v>
      </c>
      <c r="B230" s="82" t="s">
        <v>36</v>
      </c>
      <c r="C230" s="83" t="s">
        <v>241</v>
      </c>
      <c r="D230" s="82" t="s">
        <v>225</v>
      </c>
      <c r="E230" s="92">
        <v>1.9027777777777779</v>
      </c>
      <c r="F230" s="82" t="s">
        <v>38</v>
      </c>
      <c r="G230" s="84">
        <v>2</v>
      </c>
      <c r="H230" s="85">
        <v>449</v>
      </c>
    </row>
    <row r="231" spans="1:8" ht="19.8" customHeight="1" x14ac:dyDescent="0.3">
      <c r="A231" s="91">
        <v>45986</v>
      </c>
      <c r="B231" s="82" t="s">
        <v>36</v>
      </c>
      <c r="C231" s="83" t="s">
        <v>245</v>
      </c>
      <c r="D231" s="82" t="s">
        <v>225</v>
      </c>
      <c r="E231" s="92">
        <v>1.854166666666667</v>
      </c>
      <c r="F231" s="82" t="s">
        <v>38</v>
      </c>
      <c r="G231" s="84">
        <v>2</v>
      </c>
      <c r="H231" s="85">
        <v>449</v>
      </c>
    </row>
    <row r="232" spans="1:8" ht="19.8" customHeight="1" x14ac:dyDescent="0.3">
      <c r="A232" s="91">
        <v>45986</v>
      </c>
      <c r="B232" s="82" t="s">
        <v>36</v>
      </c>
      <c r="C232" s="83" t="s">
        <v>246</v>
      </c>
      <c r="D232" s="82" t="s">
        <v>225</v>
      </c>
      <c r="E232" s="92">
        <v>1.7986111111111109</v>
      </c>
      <c r="F232" s="82" t="s">
        <v>38</v>
      </c>
      <c r="G232" s="84">
        <v>3</v>
      </c>
      <c r="H232" s="85">
        <v>449</v>
      </c>
    </row>
    <row r="233" spans="1:8" ht="19.8" customHeight="1" x14ac:dyDescent="0.3">
      <c r="A233" s="101">
        <v>45986</v>
      </c>
      <c r="B233" s="102" t="s">
        <v>73</v>
      </c>
      <c r="C233" s="103" t="s">
        <v>340</v>
      </c>
      <c r="D233" s="102" t="s">
        <v>225</v>
      </c>
      <c r="E233" s="104">
        <v>1.729166666666667</v>
      </c>
      <c r="F233" s="102" t="s">
        <v>111</v>
      </c>
      <c r="G233" s="105">
        <v>1</v>
      </c>
      <c r="H233" s="106">
        <v>471</v>
      </c>
    </row>
    <row r="234" spans="1:8" ht="19.8" customHeight="1" x14ac:dyDescent="0.3">
      <c r="A234" s="91">
        <v>45986</v>
      </c>
      <c r="B234" s="82" t="s">
        <v>36</v>
      </c>
      <c r="C234" s="83" t="s">
        <v>237</v>
      </c>
      <c r="D234" s="82" t="s">
        <v>225</v>
      </c>
      <c r="E234" s="92">
        <v>1.256944444444444</v>
      </c>
      <c r="F234" s="82" t="s">
        <v>38</v>
      </c>
      <c r="G234" s="84">
        <v>9</v>
      </c>
      <c r="H234" s="85">
        <v>489</v>
      </c>
    </row>
    <row r="235" spans="1:8" ht="19.8" customHeight="1" x14ac:dyDescent="0.3">
      <c r="A235" s="91">
        <v>45986</v>
      </c>
      <c r="B235" s="82" t="s">
        <v>36</v>
      </c>
      <c r="C235" s="83" t="s">
        <v>247</v>
      </c>
      <c r="D235" s="82" t="s">
        <v>225</v>
      </c>
      <c r="E235" s="92">
        <v>1.645833333333333</v>
      </c>
      <c r="F235" s="82" t="s">
        <v>38</v>
      </c>
      <c r="G235" s="84">
        <v>9</v>
      </c>
      <c r="H235" s="85">
        <v>489</v>
      </c>
    </row>
    <row r="236" spans="1:8" ht="19.8" customHeight="1" x14ac:dyDescent="0.3">
      <c r="A236" s="91">
        <v>45986</v>
      </c>
      <c r="B236" s="82" t="s">
        <v>36</v>
      </c>
      <c r="C236" s="83" t="s">
        <v>242</v>
      </c>
      <c r="D236" s="82" t="s">
        <v>225</v>
      </c>
      <c r="E236" s="92">
        <v>1.5173611111111109</v>
      </c>
      <c r="F236" s="82" t="s">
        <v>38</v>
      </c>
      <c r="G236" s="84">
        <v>9</v>
      </c>
      <c r="H236" s="85">
        <v>489</v>
      </c>
    </row>
    <row r="237" spans="1:8" ht="19.8" customHeight="1" x14ac:dyDescent="0.3">
      <c r="A237" s="91">
        <v>45986</v>
      </c>
      <c r="B237" s="82" t="s">
        <v>36</v>
      </c>
      <c r="C237" s="83" t="s">
        <v>251</v>
      </c>
      <c r="D237" s="82" t="s">
        <v>225</v>
      </c>
      <c r="E237" s="92">
        <v>1.395833333333333</v>
      </c>
      <c r="F237" s="82" t="s">
        <v>38</v>
      </c>
      <c r="G237" s="84">
        <v>1</v>
      </c>
      <c r="H237" s="85">
        <v>489</v>
      </c>
    </row>
    <row r="238" spans="1:8" ht="19.8" customHeight="1" x14ac:dyDescent="0.3">
      <c r="A238" s="91">
        <v>45986</v>
      </c>
      <c r="B238" s="82" t="s">
        <v>36</v>
      </c>
      <c r="C238" s="83" t="s">
        <v>322</v>
      </c>
      <c r="D238" s="82" t="s">
        <v>225</v>
      </c>
      <c r="E238" s="92">
        <v>1.302083333333333</v>
      </c>
      <c r="F238" s="82" t="s">
        <v>38</v>
      </c>
      <c r="G238" s="84">
        <v>9</v>
      </c>
      <c r="H238" s="85">
        <v>489</v>
      </c>
    </row>
    <row r="239" spans="1:8" ht="19.8" customHeight="1" x14ac:dyDescent="0.3">
      <c r="A239" s="91">
        <v>45986</v>
      </c>
      <c r="B239" s="82" t="s">
        <v>252</v>
      </c>
      <c r="C239" s="83" t="s">
        <v>253</v>
      </c>
      <c r="D239" s="82" t="s">
        <v>225</v>
      </c>
      <c r="E239" s="92">
        <v>1.2222222222222221</v>
      </c>
      <c r="F239" s="82" t="s">
        <v>254</v>
      </c>
      <c r="G239" s="84">
        <v>9</v>
      </c>
      <c r="H239" s="85">
        <v>536</v>
      </c>
    </row>
    <row r="240" spans="1:8" ht="19.8" customHeight="1" x14ac:dyDescent="0.3">
      <c r="A240" s="91">
        <v>45986</v>
      </c>
      <c r="B240" s="82" t="s">
        <v>36</v>
      </c>
      <c r="C240" s="83" t="s">
        <v>241</v>
      </c>
      <c r="D240" s="82" t="s">
        <v>225</v>
      </c>
      <c r="E240" s="92">
        <v>1.9027777777777779</v>
      </c>
      <c r="F240" s="82" t="s">
        <v>41</v>
      </c>
      <c r="G240" s="84">
        <v>2</v>
      </c>
      <c r="H240" s="85">
        <v>549</v>
      </c>
    </row>
    <row r="241" spans="1:8" ht="19.8" customHeight="1" x14ac:dyDescent="0.3">
      <c r="A241" s="91">
        <v>45986</v>
      </c>
      <c r="B241" s="82" t="s">
        <v>36</v>
      </c>
      <c r="C241" s="83" t="s">
        <v>245</v>
      </c>
      <c r="D241" s="82" t="s">
        <v>225</v>
      </c>
      <c r="E241" s="92">
        <v>1.854166666666667</v>
      </c>
      <c r="F241" s="82" t="s">
        <v>41</v>
      </c>
      <c r="G241" s="84">
        <v>2</v>
      </c>
      <c r="H241" s="85">
        <v>549</v>
      </c>
    </row>
    <row r="242" spans="1:8" ht="19.8" customHeight="1" x14ac:dyDescent="0.3">
      <c r="A242" s="91">
        <v>45986</v>
      </c>
      <c r="B242" s="82" t="s">
        <v>36</v>
      </c>
      <c r="C242" s="83" t="s">
        <v>246</v>
      </c>
      <c r="D242" s="82" t="s">
        <v>225</v>
      </c>
      <c r="E242" s="92">
        <v>1.7986111111111109</v>
      </c>
      <c r="F242" s="82" t="s">
        <v>41</v>
      </c>
      <c r="G242" s="84">
        <v>3</v>
      </c>
      <c r="H242" s="85">
        <v>549</v>
      </c>
    </row>
    <row r="243" spans="1:8" ht="19.8" customHeight="1" x14ac:dyDescent="0.3">
      <c r="A243" s="91">
        <v>45986</v>
      </c>
      <c r="B243" s="82" t="s">
        <v>26</v>
      </c>
      <c r="C243" s="83" t="s">
        <v>234</v>
      </c>
      <c r="D243" s="82" t="s">
        <v>225</v>
      </c>
      <c r="E243" s="92">
        <v>1.302083333333333</v>
      </c>
      <c r="F243" s="82" t="s">
        <v>31</v>
      </c>
      <c r="G243" s="84">
        <v>1</v>
      </c>
      <c r="H243" s="85">
        <v>569</v>
      </c>
    </row>
    <row r="244" spans="1:8" ht="19.8" customHeight="1" x14ac:dyDescent="0.3">
      <c r="A244" s="91">
        <v>45986</v>
      </c>
      <c r="B244" s="82" t="s">
        <v>26</v>
      </c>
      <c r="C244" s="83" t="s">
        <v>226</v>
      </c>
      <c r="D244" s="82" t="s">
        <v>225</v>
      </c>
      <c r="E244" s="92">
        <v>1.1284722222222221</v>
      </c>
      <c r="F244" s="82" t="s">
        <v>31</v>
      </c>
      <c r="G244" s="84">
        <v>10</v>
      </c>
      <c r="H244" s="85">
        <v>569</v>
      </c>
    </row>
    <row r="245" spans="1:8" ht="19.8" customHeight="1" x14ac:dyDescent="0.3">
      <c r="A245" s="91">
        <v>45986</v>
      </c>
      <c r="B245" s="82" t="s">
        <v>26</v>
      </c>
      <c r="C245" s="83" t="s">
        <v>230</v>
      </c>
      <c r="D245" s="82" t="s">
        <v>225</v>
      </c>
      <c r="E245" s="92">
        <v>1.788194444444444</v>
      </c>
      <c r="F245" s="82" t="s">
        <v>31</v>
      </c>
      <c r="G245" s="84">
        <v>2</v>
      </c>
      <c r="H245" s="85">
        <v>569</v>
      </c>
    </row>
    <row r="246" spans="1:8" ht="19.8" customHeight="1" x14ac:dyDescent="0.3">
      <c r="A246" s="91">
        <v>45986</v>
      </c>
      <c r="B246" s="82" t="s">
        <v>26</v>
      </c>
      <c r="C246" s="83" t="s">
        <v>231</v>
      </c>
      <c r="D246" s="82" t="s">
        <v>225</v>
      </c>
      <c r="E246" s="92">
        <v>1.8888888888888891</v>
      </c>
      <c r="F246" s="82" t="s">
        <v>31</v>
      </c>
      <c r="G246" s="84">
        <v>5</v>
      </c>
      <c r="H246" s="85">
        <v>569</v>
      </c>
    </row>
    <row r="247" spans="1:8" ht="19.8" customHeight="1" x14ac:dyDescent="0.3">
      <c r="A247" s="91">
        <v>45986</v>
      </c>
      <c r="B247" s="82" t="s">
        <v>36</v>
      </c>
      <c r="C247" s="83" t="s">
        <v>237</v>
      </c>
      <c r="D247" s="82" t="s">
        <v>225</v>
      </c>
      <c r="E247" s="92">
        <v>1.256944444444444</v>
      </c>
      <c r="F247" s="82" t="s">
        <v>41</v>
      </c>
      <c r="G247" s="84">
        <v>9</v>
      </c>
      <c r="H247" s="85">
        <v>589</v>
      </c>
    </row>
    <row r="248" spans="1:8" ht="19.8" customHeight="1" x14ac:dyDescent="0.3">
      <c r="A248" s="91">
        <v>45986</v>
      </c>
      <c r="B248" s="82" t="s">
        <v>36</v>
      </c>
      <c r="C248" s="83" t="s">
        <v>247</v>
      </c>
      <c r="D248" s="82" t="s">
        <v>225</v>
      </c>
      <c r="E248" s="92">
        <v>1.645833333333333</v>
      </c>
      <c r="F248" s="82" t="s">
        <v>41</v>
      </c>
      <c r="G248" s="84">
        <v>9</v>
      </c>
      <c r="H248" s="85">
        <v>589</v>
      </c>
    </row>
    <row r="249" spans="1:8" ht="19.8" customHeight="1" x14ac:dyDescent="0.3">
      <c r="A249" s="91">
        <v>45986</v>
      </c>
      <c r="B249" s="82" t="s">
        <v>36</v>
      </c>
      <c r="C249" s="83" t="s">
        <v>242</v>
      </c>
      <c r="D249" s="82" t="s">
        <v>225</v>
      </c>
      <c r="E249" s="92">
        <v>1.5173611111111109</v>
      </c>
      <c r="F249" s="82" t="s">
        <v>41</v>
      </c>
      <c r="G249" s="84">
        <v>9</v>
      </c>
      <c r="H249" s="85">
        <v>589</v>
      </c>
    </row>
    <row r="250" spans="1:8" ht="19.8" customHeight="1" x14ac:dyDescent="0.3">
      <c r="A250" s="91">
        <v>45986</v>
      </c>
      <c r="B250" s="82" t="s">
        <v>36</v>
      </c>
      <c r="C250" s="83" t="s">
        <v>251</v>
      </c>
      <c r="D250" s="82" t="s">
        <v>225</v>
      </c>
      <c r="E250" s="92">
        <v>1.395833333333333</v>
      </c>
      <c r="F250" s="82" t="s">
        <v>41</v>
      </c>
      <c r="G250" s="84">
        <v>1</v>
      </c>
      <c r="H250" s="85">
        <v>589</v>
      </c>
    </row>
    <row r="251" spans="1:8" ht="19.8" customHeight="1" x14ac:dyDescent="0.3">
      <c r="A251" s="91">
        <v>45986</v>
      </c>
      <c r="B251" s="82" t="s">
        <v>36</v>
      </c>
      <c r="C251" s="83" t="s">
        <v>322</v>
      </c>
      <c r="D251" s="82" t="s">
        <v>225</v>
      </c>
      <c r="E251" s="92">
        <v>1.302083333333333</v>
      </c>
      <c r="F251" s="82" t="s">
        <v>41</v>
      </c>
      <c r="G251" s="84">
        <v>9</v>
      </c>
      <c r="H251" s="85">
        <v>589</v>
      </c>
    </row>
    <row r="252" spans="1:8" ht="19.8" customHeight="1" x14ac:dyDescent="0.3">
      <c r="A252" s="91">
        <v>45986</v>
      </c>
      <c r="B252" s="82" t="s">
        <v>264</v>
      </c>
      <c r="C252" s="83" t="s">
        <v>265</v>
      </c>
      <c r="D252" s="82" t="s">
        <v>225</v>
      </c>
      <c r="E252" s="92">
        <v>1.274305555555556</v>
      </c>
      <c r="F252" s="82" t="s">
        <v>262</v>
      </c>
      <c r="G252" s="84">
        <v>9</v>
      </c>
      <c r="H252" s="85">
        <v>595</v>
      </c>
    </row>
    <row r="253" spans="1:8" ht="19.8" customHeight="1" x14ac:dyDescent="0.3">
      <c r="A253" s="91">
        <v>45986</v>
      </c>
      <c r="B253" s="82" t="s">
        <v>36</v>
      </c>
      <c r="C253" s="83" t="s">
        <v>241</v>
      </c>
      <c r="D253" s="82" t="s">
        <v>225</v>
      </c>
      <c r="E253" s="92">
        <v>1.9027777777777779</v>
      </c>
      <c r="F253" s="82" t="s">
        <v>43</v>
      </c>
      <c r="G253" s="84">
        <v>2</v>
      </c>
      <c r="H253" s="85">
        <v>639</v>
      </c>
    </row>
    <row r="254" spans="1:8" ht="19.8" customHeight="1" x14ac:dyDescent="0.3">
      <c r="A254" s="91">
        <v>45986</v>
      </c>
      <c r="B254" s="82" t="s">
        <v>36</v>
      </c>
      <c r="C254" s="83" t="s">
        <v>245</v>
      </c>
      <c r="D254" s="82" t="s">
        <v>225</v>
      </c>
      <c r="E254" s="92">
        <v>1.854166666666667</v>
      </c>
      <c r="F254" s="82" t="s">
        <v>43</v>
      </c>
      <c r="G254" s="84">
        <v>2</v>
      </c>
      <c r="H254" s="85">
        <v>639</v>
      </c>
    </row>
    <row r="255" spans="1:8" ht="19.8" customHeight="1" x14ac:dyDescent="0.3">
      <c r="A255" s="91">
        <v>45986</v>
      </c>
      <c r="B255" s="82" t="s">
        <v>36</v>
      </c>
      <c r="C255" s="83" t="s">
        <v>246</v>
      </c>
      <c r="D255" s="82" t="s">
        <v>225</v>
      </c>
      <c r="E255" s="92">
        <v>1.7986111111111109</v>
      </c>
      <c r="F255" s="82" t="s">
        <v>43</v>
      </c>
      <c r="G255" s="84">
        <v>3</v>
      </c>
      <c r="H255" s="85">
        <v>639</v>
      </c>
    </row>
    <row r="256" spans="1:8" ht="19.8" customHeight="1" x14ac:dyDescent="0.3">
      <c r="A256" s="91">
        <v>45986</v>
      </c>
      <c r="B256" s="82" t="s">
        <v>264</v>
      </c>
      <c r="C256" s="83" t="s">
        <v>380</v>
      </c>
      <c r="D256" s="82" t="s">
        <v>225</v>
      </c>
      <c r="E256" s="92">
        <v>1.739583333333333</v>
      </c>
      <c r="F256" s="82" t="s">
        <v>262</v>
      </c>
      <c r="G256" s="84">
        <v>9</v>
      </c>
      <c r="H256" s="85">
        <v>645</v>
      </c>
    </row>
    <row r="257" spans="1:8" ht="19.8" customHeight="1" x14ac:dyDescent="0.3">
      <c r="A257" s="91">
        <v>45986</v>
      </c>
      <c r="B257" s="82" t="s">
        <v>252</v>
      </c>
      <c r="C257" s="83" t="s">
        <v>253</v>
      </c>
      <c r="D257" s="82" t="s">
        <v>225</v>
      </c>
      <c r="E257" s="92">
        <v>1.2222222222222221</v>
      </c>
      <c r="F257" s="82" t="s">
        <v>34</v>
      </c>
      <c r="G257" s="84">
        <v>9</v>
      </c>
      <c r="H257" s="85">
        <v>660</v>
      </c>
    </row>
    <row r="258" spans="1:8" ht="19.8" customHeight="1" x14ac:dyDescent="0.3">
      <c r="A258" s="91">
        <v>45986</v>
      </c>
      <c r="B258" s="82" t="s">
        <v>36</v>
      </c>
      <c r="C258" s="83" t="s">
        <v>237</v>
      </c>
      <c r="D258" s="82" t="s">
        <v>225</v>
      </c>
      <c r="E258" s="92">
        <v>1.256944444444444</v>
      </c>
      <c r="F258" s="82" t="s">
        <v>43</v>
      </c>
      <c r="G258" s="84">
        <v>9</v>
      </c>
      <c r="H258" s="85">
        <v>679</v>
      </c>
    </row>
    <row r="259" spans="1:8" ht="19.8" customHeight="1" x14ac:dyDescent="0.3">
      <c r="A259" s="91">
        <v>45986</v>
      </c>
      <c r="B259" s="82" t="s">
        <v>36</v>
      </c>
      <c r="C259" s="83" t="s">
        <v>247</v>
      </c>
      <c r="D259" s="82" t="s">
        <v>225</v>
      </c>
      <c r="E259" s="92">
        <v>1.645833333333333</v>
      </c>
      <c r="F259" s="82" t="s">
        <v>43</v>
      </c>
      <c r="G259" s="84">
        <v>9</v>
      </c>
      <c r="H259" s="85">
        <v>679</v>
      </c>
    </row>
    <row r="260" spans="1:8" ht="19.8" customHeight="1" x14ac:dyDescent="0.3">
      <c r="A260" s="91">
        <v>45986</v>
      </c>
      <c r="B260" s="82" t="s">
        <v>36</v>
      </c>
      <c r="C260" s="83" t="s">
        <v>242</v>
      </c>
      <c r="D260" s="82" t="s">
        <v>225</v>
      </c>
      <c r="E260" s="92">
        <v>1.5173611111111109</v>
      </c>
      <c r="F260" s="82" t="s">
        <v>43</v>
      </c>
      <c r="G260" s="84">
        <v>9</v>
      </c>
      <c r="H260" s="85">
        <v>679</v>
      </c>
    </row>
    <row r="261" spans="1:8" ht="19.8" customHeight="1" x14ac:dyDescent="0.3">
      <c r="A261" s="91">
        <v>45986</v>
      </c>
      <c r="B261" s="82" t="s">
        <v>36</v>
      </c>
      <c r="C261" s="83" t="s">
        <v>251</v>
      </c>
      <c r="D261" s="82" t="s">
        <v>225</v>
      </c>
      <c r="E261" s="92">
        <v>1.395833333333333</v>
      </c>
      <c r="F261" s="82" t="s">
        <v>43</v>
      </c>
      <c r="G261" s="84">
        <v>1</v>
      </c>
      <c r="H261" s="85">
        <v>679</v>
      </c>
    </row>
    <row r="262" spans="1:8" ht="19.8" customHeight="1" x14ac:dyDescent="0.3">
      <c r="A262" s="91">
        <v>45986</v>
      </c>
      <c r="B262" s="82" t="s">
        <v>36</v>
      </c>
      <c r="C262" s="83" t="s">
        <v>322</v>
      </c>
      <c r="D262" s="82" t="s">
        <v>225</v>
      </c>
      <c r="E262" s="92">
        <v>1.302083333333333</v>
      </c>
      <c r="F262" s="82" t="s">
        <v>43</v>
      </c>
      <c r="G262" s="84">
        <v>9</v>
      </c>
      <c r="H262" s="85">
        <v>679</v>
      </c>
    </row>
    <row r="263" spans="1:8" ht="19.8" customHeight="1" x14ac:dyDescent="0.3">
      <c r="A263" s="91">
        <v>45986</v>
      </c>
      <c r="B263" s="82" t="s">
        <v>56</v>
      </c>
      <c r="C263" s="83" t="s">
        <v>280</v>
      </c>
      <c r="D263" s="82" t="s">
        <v>225</v>
      </c>
      <c r="E263" s="92">
        <v>1.3784722222222221</v>
      </c>
      <c r="F263" s="82" t="s">
        <v>58</v>
      </c>
      <c r="G263" s="84">
        <v>9</v>
      </c>
      <c r="H263" s="85">
        <v>935</v>
      </c>
    </row>
    <row r="264" spans="1:8" ht="19.8" customHeight="1" x14ac:dyDescent="0.3">
      <c r="A264" s="91">
        <v>45986</v>
      </c>
      <c r="B264" s="82" t="s">
        <v>56</v>
      </c>
      <c r="C264" s="83" t="s">
        <v>284</v>
      </c>
      <c r="D264" s="82" t="s">
        <v>225</v>
      </c>
      <c r="E264" s="92">
        <v>1.006944444444444</v>
      </c>
      <c r="F264" s="82" t="s">
        <v>58</v>
      </c>
      <c r="G264" s="84">
        <v>9</v>
      </c>
      <c r="H264" s="85">
        <v>935</v>
      </c>
    </row>
    <row r="265" spans="1:8" ht="19.8" customHeight="1" x14ac:dyDescent="0.3">
      <c r="A265" s="91">
        <v>45986</v>
      </c>
      <c r="B265" s="82" t="s">
        <v>56</v>
      </c>
      <c r="C265" s="83" t="s">
        <v>287</v>
      </c>
      <c r="D265" s="82" t="s">
        <v>225</v>
      </c>
      <c r="E265" s="92">
        <v>1.239583333333333</v>
      </c>
      <c r="F265" s="82" t="s">
        <v>58</v>
      </c>
      <c r="G265" s="84">
        <v>9</v>
      </c>
      <c r="H265" s="85">
        <v>935</v>
      </c>
    </row>
    <row r="266" spans="1:8" ht="19.8" customHeight="1" x14ac:dyDescent="0.3">
      <c r="A266" s="91">
        <v>45986</v>
      </c>
      <c r="B266" s="82" t="s">
        <v>56</v>
      </c>
      <c r="C266" s="83" t="s">
        <v>285</v>
      </c>
      <c r="D266" s="82" t="s">
        <v>225</v>
      </c>
      <c r="E266" s="92">
        <v>1.1423611111111109</v>
      </c>
      <c r="F266" s="82" t="s">
        <v>58</v>
      </c>
      <c r="G266" s="84">
        <v>9</v>
      </c>
      <c r="H266" s="85">
        <v>935</v>
      </c>
    </row>
    <row r="267" spans="1:8" ht="19.8" customHeight="1" x14ac:dyDescent="0.3">
      <c r="A267" s="91">
        <v>45986</v>
      </c>
      <c r="B267" s="82" t="s">
        <v>56</v>
      </c>
      <c r="C267" s="83" t="s">
        <v>286</v>
      </c>
      <c r="D267" s="82" t="s">
        <v>225</v>
      </c>
      <c r="E267" s="92">
        <v>1.930555555555556</v>
      </c>
      <c r="F267" s="82" t="s">
        <v>58</v>
      </c>
      <c r="G267" s="84">
        <v>9</v>
      </c>
      <c r="H267" s="85">
        <v>935</v>
      </c>
    </row>
    <row r="268" spans="1:8" ht="19.8" customHeight="1" x14ac:dyDescent="0.3">
      <c r="A268" s="91">
        <v>45986</v>
      </c>
      <c r="B268" s="82" t="s">
        <v>48</v>
      </c>
      <c r="C268" s="83" t="s">
        <v>305</v>
      </c>
      <c r="D268" s="82" t="s">
        <v>225</v>
      </c>
      <c r="E268" s="92">
        <v>1.4861111111111109</v>
      </c>
      <c r="F268" s="82" t="s">
        <v>50</v>
      </c>
      <c r="G268" s="84">
        <v>9</v>
      </c>
      <c r="H268" s="85">
        <v>970</v>
      </c>
    </row>
    <row r="269" spans="1:8" ht="19.8" customHeight="1" x14ac:dyDescent="0.3">
      <c r="A269" s="91">
        <v>45986</v>
      </c>
      <c r="B269" s="82" t="s">
        <v>48</v>
      </c>
      <c r="C269" s="83" t="s">
        <v>308</v>
      </c>
      <c r="D269" s="82" t="s">
        <v>225</v>
      </c>
      <c r="E269" s="92">
        <v>1.5138888888888891</v>
      </c>
      <c r="F269" s="82" t="s">
        <v>50</v>
      </c>
      <c r="G269" s="84">
        <v>9</v>
      </c>
      <c r="H269" s="85">
        <v>970</v>
      </c>
    </row>
    <row r="270" spans="1:8" ht="19.8" customHeight="1" x14ac:dyDescent="0.3">
      <c r="A270" s="91">
        <v>45986</v>
      </c>
      <c r="B270" s="82" t="s">
        <v>56</v>
      </c>
      <c r="C270" s="83" t="s">
        <v>280</v>
      </c>
      <c r="D270" s="82" t="s">
        <v>225</v>
      </c>
      <c r="E270" s="92">
        <v>1.3784722222222221</v>
      </c>
      <c r="F270" s="82" t="s">
        <v>61</v>
      </c>
      <c r="G270" s="84">
        <v>9</v>
      </c>
      <c r="H270" s="85">
        <v>980</v>
      </c>
    </row>
    <row r="271" spans="1:8" ht="19.8" customHeight="1" x14ac:dyDescent="0.3">
      <c r="A271" s="91">
        <v>45986</v>
      </c>
      <c r="B271" s="82" t="s">
        <v>56</v>
      </c>
      <c r="C271" s="83" t="s">
        <v>284</v>
      </c>
      <c r="D271" s="82" t="s">
        <v>225</v>
      </c>
      <c r="E271" s="92">
        <v>1.006944444444444</v>
      </c>
      <c r="F271" s="82" t="s">
        <v>61</v>
      </c>
      <c r="G271" s="84">
        <v>9</v>
      </c>
      <c r="H271" s="85">
        <v>980</v>
      </c>
    </row>
    <row r="272" spans="1:8" ht="19.8" customHeight="1" x14ac:dyDescent="0.3">
      <c r="A272" s="91">
        <v>45986</v>
      </c>
      <c r="B272" s="82" t="s">
        <v>56</v>
      </c>
      <c r="C272" s="83" t="s">
        <v>287</v>
      </c>
      <c r="D272" s="82" t="s">
        <v>225</v>
      </c>
      <c r="E272" s="92">
        <v>1.239583333333333</v>
      </c>
      <c r="F272" s="82" t="s">
        <v>61</v>
      </c>
      <c r="G272" s="84">
        <v>9</v>
      </c>
      <c r="H272" s="85">
        <v>980</v>
      </c>
    </row>
    <row r="273" spans="1:8" ht="19.8" customHeight="1" x14ac:dyDescent="0.3">
      <c r="A273" s="91">
        <v>45986</v>
      </c>
      <c r="B273" s="82" t="s">
        <v>56</v>
      </c>
      <c r="C273" s="83" t="s">
        <v>285</v>
      </c>
      <c r="D273" s="82" t="s">
        <v>225</v>
      </c>
      <c r="E273" s="92">
        <v>1.1423611111111109</v>
      </c>
      <c r="F273" s="82" t="s">
        <v>61</v>
      </c>
      <c r="G273" s="84">
        <v>9</v>
      </c>
      <c r="H273" s="85">
        <v>980</v>
      </c>
    </row>
    <row r="274" spans="1:8" ht="19.8" customHeight="1" x14ac:dyDescent="0.3">
      <c r="A274" s="91">
        <v>45986</v>
      </c>
      <c r="B274" s="82" t="s">
        <v>56</v>
      </c>
      <c r="C274" s="83" t="s">
        <v>286</v>
      </c>
      <c r="D274" s="82" t="s">
        <v>225</v>
      </c>
      <c r="E274" s="92">
        <v>1.930555555555556</v>
      </c>
      <c r="F274" s="82" t="s">
        <v>61</v>
      </c>
      <c r="G274" s="84">
        <v>9</v>
      </c>
      <c r="H274" s="85">
        <v>980</v>
      </c>
    </row>
    <row r="275" spans="1:8" ht="19.8" customHeight="1" x14ac:dyDescent="0.3">
      <c r="A275" s="91">
        <v>45986</v>
      </c>
      <c r="B275" s="82" t="s">
        <v>48</v>
      </c>
      <c r="C275" s="83" t="s">
        <v>302</v>
      </c>
      <c r="D275" s="82" t="s">
        <v>225</v>
      </c>
      <c r="E275" s="92">
        <v>1.2222222222222221</v>
      </c>
      <c r="F275" s="82" t="s">
        <v>50</v>
      </c>
      <c r="G275" s="84">
        <v>9</v>
      </c>
      <c r="H275" s="86" t="s">
        <v>407</v>
      </c>
    </row>
    <row r="276" spans="1:8" ht="19.8" customHeight="1" x14ac:dyDescent="0.3">
      <c r="A276" s="91">
        <v>45986</v>
      </c>
      <c r="B276" s="82" t="s">
        <v>56</v>
      </c>
      <c r="C276" s="83" t="s">
        <v>283</v>
      </c>
      <c r="D276" s="82" t="s">
        <v>225</v>
      </c>
      <c r="E276" s="92">
        <v>1.71875</v>
      </c>
      <c r="F276" s="82" t="s">
        <v>58</v>
      </c>
      <c r="G276" s="84">
        <v>9</v>
      </c>
      <c r="H276" s="86" t="s">
        <v>405</v>
      </c>
    </row>
    <row r="277" spans="1:8" ht="19.8" customHeight="1" x14ac:dyDescent="0.3">
      <c r="A277" s="91">
        <v>45986</v>
      </c>
      <c r="B277" s="82" t="s">
        <v>56</v>
      </c>
      <c r="C277" s="83" t="s">
        <v>295</v>
      </c>
      <c r="D277" s="82" t="s">
        <v>225</v>
      </c>
      <c r="E277" s="92">
        <v>1.8298611111111109</v>
      </c>
      <c r="F277" s="82" t="s">
        <v>58</v>
      </c>
      <c r="G277" s="84">
        <v>9</v>
      </c>
      <c r="H277" s="86" t="s">
        <v>405</v>
      </c>
    </row>
    <row r="278" spans="1:8" ht="19.8" customHeight="1" x14ac:dyDescent="0.3">
      <c r="A278" s="91">
        <v>45986</v>
      </c>
      <c r="B278" s="82" t="s">
        <v>26</v>
      </c>
      <c r="C278" s="83" t="s">
        <v>234</v>
      </c>
      <c r="D278" s="82" t="s">
        <v>225</v>
      </c>
      <c r="E278" s="92">
        <v>1.302083333333333</v>
      </c>
      <c r="F278" s="82" t="s">
        <v>34</v>
      </c>
      <c r="G278" s="84">
        <v>1</v>
      </c>
      <c r="H278" s="86" t="s">
        <v>81</v>
      </c>
    </row>
    <row r="279" spans="1:8" ht="19.8" customHeight="1" x14ac:dyDescent="0.3">
      <c r="A279" s="91">
        <v>45986</v>
      </c>
      <c r="B279" s="82" t="s">
        <v>26</v>
      </c>
      <c r="C279" s="83" t="s">
        <v>226</v>
      </c>
      <c r="D279" s="82" t="s">
        <v>225</v>
      </c>
      <c r="E279" s="92">
        <v>1.1284722222222221</v>
      </c>
      <c r="F279" s="82" t="s">
        <v>34</v>
      </c>
      <c r="G279" s="84">
        <v>10</v>
      </c>
      <c r="H279" s="86" t="s">
        <v>81</v>
      </c>
    </row>
    <row r="280" spans="1:8" ht="19.8" customHeight="1" x14ac:dyDescent="0.3">
      <c r="A280" s="91">
        <v>45986</v>
      </c>
      <c r="B280" s="82" t="s">
        <v>26</v>
      </c>
      <c r="C280" s="83" t="s">
        <v>230</v>
      </c>
      <c r="D280" s="82" t="s">
        <v>225</v>
      </c>
      <c r="E280" s="92">
        <v>1.788194444444444</v>
      </c>
      <c r="F280" s="82" t="s">
        <v>34</v>
      </c>
      <c r="G280" s="84">
        <v>2</v>
      </c>
      <c r="H280" s="86" t="s">
        <v>81</v>
      </c>
    </row>
    <row r="281" spans="1:8" ht="19.8" customHeight="1" x14ac:dyDescent="0.3">
      <c r="A281" s="91">
        <v>45986</v>
      </c>
      <c r="B281" s="82" t="s">
        <v>26</v>
      </c>
      <c r="C281" s="83" t="s">
        <v>231</v>
      </c>
      <c r="D281" s="82" t="s">
        <v>225</v>
      </c>
      <c r="E281" s="92">
        <v>1.8888888888888891</v>
      </c>
      <c r="F281" s="82" t="s">
        <v>34</v>
      </c>
      <c r="G281" s="84">
        <v>5</v>
      </c>
      <c r="H281" s="86" t="s">
        <v>81</v>
      </c>
    </row>
    <row r="282" spans="1:8" ht="19.8" customHeight="1" x14ac:dyDescent="0.3">
      <c r="A282" s="91">
        <v>45986</v>
      </c>
      <c r="B282" s="82" t="s">
        <v>56</v>
      </c>
      <c r="C282" s="83" t="s">
        <v>283</v>
      </c>
      <c r="D282" s="82" t="s">
        <v>225</v>
      </c>
      <c r="E282" s="92">
        <v>1.71875</v>
      </c>
      <c r="F282" s="82" t="s">
        <v>61</v>
      </c>
      <c r="G282" s="84">
        <v>9</v>
      </c>
      <c r="H282" s="86" t="s">
        <v>406</v>
      </c>
    </row>
    <row r="283" spans="1:8" ht="19.8" customHeight="1" x14ac:dyDescent="0.3">
      <c r="A283" s="91">
        <v>45986</v>
      </c>
      <c r="B283" s="82" t="s">
        <v>56</v>
      </c>
      <c r="C283" s="83" t="s">
        <v>295</v>
      </c>
      <c r="D283" s="82" t="s">
        <v>225</v>
      </c>
      <c r="E283" s="92">
        <v>1.8298611111111109</v>
      </c>
      <c r="F283" s="82" t="s">
        <v>61</v>
      </c>
      <c r="G283" s="84">
        <v>9</v>
      </c>
      <c r="H283" s="86" t="s">
        <v>406</v>
      </c>
    </row>
    <row r="284" spans="1:8" ht="19.8" customHeight="1" x14ac:dyDescent="0.3">
      <c r="A284" s="91">
        <v>45986</v>
      </c>
      <c r="B284" s="82" t="s">
        <v>56</v>
      </c>
      <c r="C284" s="83" t="s">
        <v>290</v>
      </c>
      <c r="D284" s="82" t="s">
        <v>225</v>
      </c>
      <c r="E284" s="92">
        <v>1.8888888888888891</v>
      </c>
      <c r="F284" s="82" t="s">
        <v>61</v>
      </c>
      <c r="G284" s="84">
        <v>4</v>
      </c>
      <c r="H284" s="86" t="s">
        <v>383</v>
      </c>
    </row>
    <row r="285" spans="1:8" ht="19.8" customHeight="1" x14ac:dyDescent="0.3">
      <c r="A285" s="91">
        <v>45986</v>
      </c>
      <c r="B285" s="82" t="s">
        <v>56</v>
      </c>
      <c r="C285" s="83" t="s">
        <v>296</v>
      </c>
      <c r="D285" s="82" t="s">
        <v>225</v>
      </c>
      <c r="E285" s="92">
        <v>1.302083333333333</v>
      </c>
      <c r="F285" s="82" t="s">
        <v>61</v>
      </c>
      <c r="G285" s="84">
        <v>4</v>
      </c>
      <c r="H285" s="86" t="s">
        <v>383</v>
      </c>
    </row>
    <row r="286" spans="1:8" ht="19.8" customHeight="1" x14ac:dyDescent="0.3">
      <c r="A286" s="91">
        <v>45986</v>
      </c>
      <c r="B286" s="82" t="s">
        <v>56</v>
      </c>
      <c r="C286" s="83" t="s">
        <v>298</v>
      </c>
      <c r="D286" s="82" t="s">
        <v>225</v>
      </c>
      <c r="E286" s="92">
        <v>1.1284722222222221</v>
      </c>
      <c r="F286" s="82" t="s">
        <v>61</v>
      </c>
      <c r="G286" s="84">
        <v>4</v>
      </c>
      <c r="H286" s="86" t="s">
        <v>383</v>
      </c>
    </row>
    <row r="287" spans="1:8" ht="19.8" customHeight="1" x14ac:dyDescent="0.3">
      <c r="A287" s="91">
        <v>45986</v>
      </c>
      <c r="B287" s="82" t="s">
        <v>56</v>
      </c>
      <c r="C287" s="83" t="s">
        <v>299</v>
      </c>
      <c r="D287" s="82" t="s">
        <v>225</v>
      </c>
      <c r="E287" s="92">
        <v>1.788194444444444</v>
      </c>
      <c r="F287" s="82" t="s">
        <v>61</v>
      </c>
      <c r="G287" s="84">
        <v>4</v>
      </c>
      <c r="H287" s="86" t="s">
        <v>383</v>
      </c>
    </row>
    <row r="288" spans="1:8" ht="19.8" customHeight="1" x14ac:dyDescent="0.3">
      <c r="A288" s="91">
        <v>45986</v>
      </c>
      <c r="B288" s="82" t="s">
        <v>48</v>
      </c>
      <c r="C288" s="83" t="s">
        <v>300</v>
      </c>
      <c r="D288" s="82" t="s">
        <v>225</v>
      </c>
      <c r="E288" s="92">
        <v>1.2777777777777779</v>
      </c>
      <c r="F288" s="82" t="s">
        <v>50</v>
      </c>
      <c r="G288" s="84">
        <v>9</v>
      </c>
      <c r="H288" s="86" t="s">
        <v>408</v>
      </c>
    </row>
    <row r="289" spans="1:8" ht="19.8" customHeight="1" x14ac:dyDescent="0.3">
      <c r="A289" s="91">
        <v>45986</v>
      </c>
      <c r="B289" s="82" t="s">
        <v>48</v>
      </c>
      <c r="C289" s="83" t="s">
        <v>310</v>
      </c>
      <c r="D289" s="82" t="s">
        <v>225</v>
      </c>
      <c r="E289" s="92">
        <v>1.774305555555556</v>
      </c>
      <c r="F289" s="82" t="s">
        <v>50</v>
      </c>
      <c r="G289" s="84">
        <v>9</v>
      </c>
      <c r="H289" s="86" t="s">
        <v>311</v>
      </c>
    </row>
    <row r="290" spans="1:8" ht="19.8" customHeight="1" x14ac:dyDescent="0.3">
      <c r="A290" s="93">
        <v>45986</v>
      </c>
      <c r="B290" s="88" t="s">
        <v>73</v>
      </c>
      <c r="C290" s="89" t="s">
        <v>371</v>
      </c>
      <c r="D290" s="88" t="s">
        <v>225</v>
      </c>
      <c r="E290" s="94">
        <v>1.5590277777777779</v>
      </c>
      <c r="F290" s="88" t="s">
        <v>75</v>
      </c>
      <c r="G290" s="88"/>
      <c r="H290" s="90" t="s">
        <v>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3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107" t="s">
        <v>201</v>
      </c>
      <c r="B1" s="107" t="s">
        <v>8</v>
      </c>
      <c r="C1" s="107" t="s">
        <v>9</v>
      </c>
      <c r="D1" s="107" t="s">
        <v>202</v>
      </c>
      <c r="E1" s="107" t="s">
        <v>10</v>
      </c>
      <c r="F1" s="107" t="s">
        <v>11</v>
      </c>
      <c r="G1" s="107" t="s">
        <v>12</v>
      </c>
      <c r="H1" s="107" t="s">
        <v>13</v>
      </c>
      <c r="I1" s="107" t="s">
        <v>212</v>
      </c>
    </row>
    <row r="2" spans="1:9" ht="15.6" x14ac:dyDescent="0.3">
      <c r="A2" s="108" t="s">
        <v>203</v>
      </c>
      <c r="B2" s="108" t="s">
        <v>73</v>
      </c>
      <c r="C2" s="108" t="s">
        <v>267</v>
      </c>
      <c r="D2" s="108" t="s">
        <v>225</v>
      </c>
      <c r="E2" s="108" t="s">
        <v>409</v>
      </c>
      <c r="F2" s="108" t="s">
        <v>111</v>
      </c>
      <c r="G2" s="108" t="s">
        <v>516</v>
      </c>
      <c r="H2" s="108" t="s">
        <v>269</v>
      </c>
      <c r="I2" s="108" t="s">
        <v>213</v>
      </c>
    </row>
    <row r="3" spans="1:9" ht="15.6" x14ac:dyDescent="0.3">
      <c r="A3" s="108" t="s">
        <v>203</v>
      </c>
      <c r="B3" s="108" t="s">
        <v>73</v>
      </c>
      <c r="C3" s="108" t="s">
        <v>273</v>
      </c>
      <c r="D3" s="108" t="s">
        <v>225</v>
      </c>
      <c r="E3" s="108" t="s">
        <v>423</v>
      </c>
      <c r="F3" s="108" t="s">
        <v>111</v>
      </c>
      <c r="G3" s="108" t="s">
        <v>517</v>
      </c>
      <c r="H3" s="108" t="s">
        <v>274</v>
      </c>
      <c r="I3" s="108" t="s">
        <v>213</v>
      </c>
    </row>
    <row r="4" spans="1:9" ht="15.6" x14ac:dyDescent="0.3">
      <c r="A4" s="108" t="s">
        <v>203</v>
      </c>
      <c r="B4" s="108" t="s">
        <v>73</v>
      </c>
      <c r="C4" s="108" t="s">
        <v>278</v>
      </c>
      <c r="D4" s="108" t="s">
        <v>225</v>
      </c>
      <c r="E4" s="108" t="s">
        <v>418</v>
      </c>
      <c r="F4" s="108" t="s">
        <v>75</v>
      </c>
      <c r="G4" s="108"/>
      <c r="H4" s="108" t="s">
        <v>76</v>
      </c>
      <c r="I4" s="108" t="s">
        <v>213</v>
      </c>
    </row>
    <row r="5" spans="1:9" ht="15.6" x14ac:dyDescent="0.3">
      <c r="A5" s="109" t="s">
        <v>203</v>
      </c>
      <c r="B5" s="109" t="s">
        <v>26</v>
      </c>
      <c r="C5" s="109" t="s">
        <v>226</v>
      </c>
      <c r="D5" s="109" t="s">
        <v>225</v>
      </c>
      <c r="E5" s="109" t="s">
        <v>503</v>
      </c>
      <c r="F5" s="109" t="s">
        <v>28</v>
      </c>
      <c r="G5" s="109" t="s">
        <v>518</v>
      </c>
      <c r="H5" s="109" t="s">
        <v>107</v>
      </c>
      <c r="I5" s="109" t="s">
        <v>215</v>
      </c>
    </row>
    <row r="6" spans="1:9" ht="15.6" x14ac:dyDescent="0.3">
      <c r="A6" s="109" t="s">
        <v>203</v>
      </c>
      <c r="B6" s="109" t="s">
        <v>26</v>
      </c>
      <c r="C6" s="109" t="s">
        <v>230</v>
      </c>
      <c r="D6" s="109" t="s">
        <v>225</v>
      </c>
      <c r="E6" s="109" t="s">
        <v>504</v>
      </c>
      <c r="F6" s="109" t="s">
        <v>28</v>
      </c>
      <c r="G6" s="109" t="s">
        <v>223</v>
      </c>
      <c r="H6" s="109" t="s">
        <v>107</v>
      </c>
      <c r="I6" s="109" t="s">
        <v>219</v>
      </c>
    </row>
    <row r="7" spans="1:9" ht="15.6" x14ac:dyDescent="0.3">
      <c r="A7" s="109" t="s">
        <v>203</v>
      </c>
      <c r="B7" s="109" t="s">
        <v>26</v>
      </c>
      <c r="C7" s="109" t="s">
        <v>231</v>
      </c>
      <c r="D7" s="109" t="s">
        <v>225</v>
      </c>
      <c r="E7" s="109" t="s">
        <v>505</v>
      </c>
      <c r="F7" s="109" t="s">
        <v>28</v>
      </c>
      <c r="G7" s="109" t="s">
        <v>519</v>
      </c>
      <c r="H7" s="109" t="s">
        <v>107</v>
      </c>
      <c r="I7" s="109" t="s">
        <v>219</v>
      </c>
    </row>
    <row r="8" spans="1:9" ht="15.6" x14ac:dyDescent="0.3">
      <c r="A8" s="109" t="s">
        <v>203</v>
      </c>
      <c r="B8" s="109" t="s">
        <v>36</v>
      </c>
      <c r="C8" s="109" t="s">
        <v>237</v>
      </c>
      <c r="D8" s="109" t="s">
        <v>225</v>
      </c>
      <c r="E8" s="109" t="s">
        <v>506</v>
      </c>
      <c r="F8" s="109" t="s">
        <v>38</v>
      </c>
      <c r="G8" s="109" t="s">
        <v>520</v>
      </c>
      <c r="H8" s="109" t="s">
        <v>238</v>
      </c>
      <c r="I8" s="109" t="s">
        <v>215</v>
      </c>
    </row>
    <row r="9" spans="1:9" ht="15.6" x14ac:dyDescent="0.3">
      <c r="A9" s="109" t="s">
        <v>203</v>
      </c>
      <c r="B9" s="109" t="s">
        <v>36</v>
      </c>
      <c r="C9" s="109" t="s">
        <v>241</v>
      </c>
      <c r="D9" s="109" t="s">
        <v>225</v>
      </c>
      <c r="E9" s="109" t="s">
        <v>167</v>
      </c>
      <c r="F9" s="109" t="s">
        <v>38</v>
      </c>
      <c r="G9" s="109" t="s">
        <v>216</v>
      </c>
      <c r="H9" s="109" t="s">
        <v>238</v>
      </c>
      <c r="I9" s="109" t="s">
        <v>219</v>
      </c>
    </row>
    <row r="10" spans="1:9" ht="15.6" x14ac:dyDescent="0.3">
      <c r="A10" s="109" t="s">
        <v>203</v>
      </c>
      <c r="B10" s="109" t="s">
        <v>36</v>
      </c>
      <c r="C10" s="109" t="s">
        <v>242</v>
      </c>
      <c r="D10" s="109" t="s">
        <v>225</v>
      </c>
      <c r="E10" s="109" t="s">
        <v>507</v>
      </c>
      <c r="F10" s="109" t="s">
        <v>38</v>
      </c>
      <c r="G10" s="109" t="s">
        <v>516</v>
      </c>
      <c r="H10" s="109" t="s">
        <v>238</v>
      </c>
      <c r="I10" s="109" t="s">
        <v>219</v>
      </c>
    </row>
    <row r="11" spans="1:9" ht="15.6" x14ac:dyDescent="0.3">
      <c r="A11" s="109" t="s">
        <v>203</v>
      </c>
      <c r="B11" s="109" t="s">
        <v>36</v>
      </c>
      <c r="C11" s="109" t="s">
        <v>245</v>
      </c>
      <c r="D11" s="109" t="s">
        <v>225</v>
      </c>
      <c r="E11" s="109" t="s">
        <v>508</v>
      </c>
      <c r="F11" s="109" t="s">
        <v>38</v>
      </c>
      <c r="G11" s="109" t="s">
        <v>216</v>
      </c>
      <c r="H11" s="109" t="s">
        <v>238</v>
      </c>
      <c r="I11" s="109" t="s">
        <v>219</v>
      </c>
    </row>
    <row r="12" spans="1:9" ht="15.6" x14ac:dyDescent="0.3">
      <c r="A12" s="109" t="s">
        <v>203</v>
      </c>
      <c r="B12" s="109" t="s">
        <v>36</v>
      </c>
      <c r="C12" s="109" t="s">
        <v>246</v>
      </c>
      <c r="D12" s="109" t="s">
        <v>225</v>
      </c>
      <c r="E12" s="109" t="s">
        <v>509</v>
      </c>
      <c r="F12" s="109" t="s">
        <v>38</v>
      </c>
      <c r="G12" s="109" t="s">
        <v>216</v>
      </c>
      <c r="H12" s="109" t="s">
        <v>238</v>
      </c>
      <c r="I12" s="109" t="s">
        <v>219</v>
      </c>
    </row>
    <row r="13" spans="1:9" ht="15.6" x14ac:dyDescent="0.3">
      <c r="A13" s="109" t="s">
        <v>203</v>
      </c>
      <c r="B13" s="109" t="s">
        <v>252</v>
      </c>
      <c r="C13" s="109" t="s">
        <v>253</v>
      </c>
      <c r="D13" s="109" t="s">
        <v>225</v>
      </c>
      <c r="E13" s="109" t="s">
        <v>510</v>
      </c>
      <c r="F13" s="109" t="s">
        <v>254</v>
      </c>
      <c r="G13" s="109" t="s">
        <v>216</v>
      </c>
      <c r="H13" s="109" t="s">
        <v>255</v>
      </c>
      <c r="I13" s="109" t="s">
        <v>224</v>
      </c>
    </row>
    <row r="14" spans="1:9" ht="15.6" x14ac:dyDescent="0.3">
      <c r="A14" s="109" t="s">
        <v>203</v>
      </c>
      <c r="B14" s="109" t="s">
        <v>260</v>
      </c>
      <c r="C14" s="109" t="s">
        <v>261</v>
      </c>
      <c r="D14" s="109" t="s">
        <v>225</v>
      </c>
      <c r="E14" s="109" t="s">
        <v>512</v>
      </c>
      <c r="F14" s="109" t="s">
        <v>262</v>
      </c>
      <c r="G14" s="109" t="s">
        <v>218</v>
      </c>
      <c r="H14" s="109" t="s">
        <v>263</v>
      </c>
      <c r="I14" s="109" t="s">
        <v>224</v>
      </c>
    </row>
    <row r="15" spans="1:9" ht="15.6" x14ac:dyDescent="0.3">
      <c r="A15" s="109" t="s">
        <v>203</v>
      </c>
      <c r="B15" s="109" t="s">
        <v>36</v>
      </c>
      <c r="C15" s="109" t="s">
        <v>247</v>
      </c>
      <c r="D15" s="109" t="s">
        <v>225</v>
      </c>
      <c r="E15" s="109" t="s">
        <v>513</v>
      </c>
      <c r="F15" s="109" t="s">
        <v>38</v>
      </c>
      <c r="G15" s="109" t="s">
        <v>216</v>
      </c>
      <c r="H15" s="109" t="s">
        <v>248</v>
      </c>
      <c r="I15" s="109" t="s">
        <v>219</v>
      </c>
    </row>
    <row r="16" spans="1:9" ht="15.6" x14ac:dyDescent="0.3">
      <c r="A16" s="109" t="s">
        <v>203</v>
      </c>
      <c r="B16" s="109" t="s">
        <v>36</v>
      </c>
      <c r="C16" s="109" t="s">
        <v>237</v>
      </c>
      <c r="D16" s="109" t="s">
        <v>225</v>
      </c>
      <c r="E16" s="109" t="s">
        <v>506</v>
      </c>
      <c r="F16" s="109" t="s">
        <v>41</v>
      </c>
      <c r="G16" s="109" t="s">
        <v>520</v>
      </c>
      <c r="H16" s="109" t="s">
        <v>104</v>
      </c>
      <c r="I16" s="109" t="s">
        <v>219</v>
      </c>
    </row>
    <row r="17" spans="1:9" ht="15.6" x14ac:dyDescent="0.3">
      <c r="A17" s="109" t="s">
        <v>203</v>
      </c>
      <c r="B17" s="109" t="s">
        <v>36</v>
      </c>
      <c r="C17" s="109" t="s">
        <v>241</v>
      </c>
      <c r="D17" s="109" t="s">
        <v>225</v>
      </c>
      <c r="E17" s="109" t="s">
        <v>167</v>
      </c>
      <c r="F17" s="109" t="s">
        <v>41</v>
      </c>
      <c r="G17" s="109" t="s">
        <v>216</v>
      </c>
      <c r="H17" s="109" t="s">
        <v>104</v>
      </c>
      <c r="I17" s="109" t="s">
        <v>224</v>
      </c>
    </row>
    <row r="18" spans="1:9" ht="15.6" x14ac:dyDescent="0.3">
      <c r="A18" s="109" t="s">
        <v>203</v>
      </c>
      <c r="B18" s="109" t="s">
        <v>36</v>
      </c>
      <c r="C18" s="109" t="s">
        <v>242</v>
      </c>
      <c r="D18" s="109" t="s">
        <v>225</v>
      </c>
      <c r="E18" s="109" t="s">
        <v>507</v>
      </c>
      <c r="F18" s="109" t="s">
        <v>41</v>
      </c>
      <c r="G18" s="109" t="s">
        <v>516</v>
      </c>
      <c r="H18" s="109" t="s">
        <v>104</v>
      </c>
      <c r="I18" s="109" t="s">
        <v>224</v>
      </c>
    </row>
    <row r="19" spans="1:9" ht="15.6" x14ac:dyDescent="0.3">
      <c r="A19" s="109" t="s">
        <v>203</v>
      </c>
      <c r="B19" s="109" t="s">
        <v>36</v>
      </c>
      <c r="C19" s="109" t="s">
        <v>245</v>
      </c>
      <c r="D19" s="109" t="s">
        <v>225</v>
      </c>
      <c r="E19" s="109" t="s">
        <v>508</v>
      </c>
      <c r="F19" s="109" t="s">
        <v>41</v>
      </c>
      <c r="G19" s="109" t="s">
        <v>216</v>
      </c>
      <c r="H19" s="109" t="s">
        <v>104</v>
      </c>
      <c r="I19" s="109" t="s">
        <v>224</v>
      </c>
    </row>
    <row r="20" spans="1:9" ht="15.6" x14ac:dyDescent="0.3">
      <c r="A20" s="109" t="s">
        <v>203</v>
      </c>
      <c r="B20" s="109" t="s">
        <v>36</v>
      </c>
      <c r="C20" s="109" t="s">
        <v>246</v>
      </c>
      <c r="D20" s="109" t="s">
        <v>225</v>
      </c>
      <c r="E20" s="109" t="s">
        <v>509</v>
      </c>
      <c r="F20" s="109" t="s">
        <v>41</v>
      </c>
      <c r="G20" s="109" t="s">
        <v>216</v>
      </c>
      <c r="H20" s="109" t="s">
        <v>104</v>
      </c>
      <c r="I20" s="109" t="s">
        <v>224</v>
      </c>
    </row>
    <row r="21" spans="1:9" ht="15.6" x14ac:dyDescent="0.3">
      <c r="A21" s="109" t="s">
        <v>203</v>
      </c>
      <c r="B21" s="109" t="s">
        <v>26</v>
      </c>
      <c r="C21" s="109" t="s">
        <v>226</v>
      </c>
      <c r="D21" s="109" t="s">
        <v>225</v>
      </c>
      <c r="E21" s="109" t="s">
        <v>503</v>
      </c>
      <c r="F21" s="109" t="s">
        <v>31</v>
      </c>
      <c r="G21" s="109" t="s">
        <v>518</v>
      </c>
      <c r="H21" s="109" t="s">
        <v>229</v>
      </c>
      <c r="I21" s="109" t="s">
        <v>215</v>
      </c>
    </row>
    <row r="22" spans="1:9" ht="15.6" x14ac:dyDescent="0.3">
      <c r="A22" s="109" t="s">
        <v>203</v>
      </c>
      <c r="B22" s="109" t="s">
        <v>26</v>
      </c>
      <c r="C22" s="109" t="s">
        <v>230</v>
      </c>
      <c r="D22" s="109" t="s">
        <v>225</v>
      </c>
      <c r="E22" s="109" t="s">
        <v>504</v>
      </c>
      <c r="F22" s="109" t="s">
        <v>31</v>
      </c>
      <c r="G22" s="109" t="s">
        <v>223</v>
      </c>
      <c r="H22" s="109" t="s">
        <v>229</v>
      </c>
      <c r="I22" s="109" t="s">
        <v>219</v>
      </c>
    </row>
    <row r="23" spans="1:9" ht="15.6" x14ac:dyDescent="0.3">
      <c r="A23" s="109" t="s">
        <v>203</v>
      </c>
      <c r="B23" s="109" t="s">
        <v>26</v>
      </c>
      <c r="C23" s="109" t="s">
        <v>231</v>
      </c>
      <c r="D23" s="109" t="s">
        <v>225</v>
      </c>
      <c r="E23" s="109" t="s">
        <v>505</v>
      </c>
      <c r="F23" s="109" t="s">
        <v>31</v>
      </c>
      <c r="G23" s="109" t="s">
        <v>519</v>
      </c>
      <c r="H23" s="109" t="s">
        <v>229</v>
      </c>
      <c r="I23" s="109" t="s">
        <v>219</v>
      </c>
    </row>
    <row r="24" spans="1:9" ht="15.6" x14ac:dyDescent="0.3">
      <c r="A24" s="109" t="s">
        <v>203</v>
      </c>
      <c r="B24" s="109" t="s">
        <v>252</v>
      </c>
      <c r="C24" s="109" t="s">
        <v>253</v>
      </c>
      <c r="D24" s="109" t="s">
        <v>225</v>
      </c>
      <c r="E24" s="109" t="s">
        <v>510</v>
      </c>
      <c r="F24" s="109" t="s">
        <v>34</v>
      </c>
      <c r="G24" s="109" t="s">
        <v>216</v>
      </c>
      <c r="H24" s="109" t="s">
        <v>256</v>
      </c>
      <c r="I24" s="109" t="s">
        <v>224</v>
      </c>
    </row>
    <row r="25" spans="1:9" ht="15.6" x14ac:dyDescent="0.3">
      <c r="A25" s="109" t="s">
        <v>203</v>
      </c>
      <c r="B25" s="109" t="s">
        <v>36</v>
      </c>
      <c r="C25" s="109" t="s">
        <v>247</v>
      </c>
      <c r="D25" s="109" t="s">
        <v>225</v>
      </c>
      <c r="E25" s="109" t="s">
        <v>513</v>
      </c>
      <c r="F25" s="109" t="s">
        <v>41</v>
      </c>
      <c r="G25" s="109" t="s">
        <v>216</v>
      </c>
      <c r="H25" s="109" t="s">
        <v>249</v>
      </c>
      <c r="I25" s="109" t="s">
        <v>219</v>
      </c>
    </row>
    <row r="26" spans="1:9" ht="15.6" x14ac:dyDescent="0.3">
      <c r="A26" s="109" t="s">
        <v>203</v>
      </c>
      <c r="B26" s="109" t="s">
        <v>264</v>
      </c>
      <c r="C26" s="109" t="s">
        <v>265</v>
      </c>
      <c r="D26" s="109" t="s">
        <v>225</v>
      </c>
      <c r="E26" s="109" t="s">
        <v>515</v>
      </c>
      <c r="F26" s="109" t="s">
        <v>262</v>
      </c>
      <c r="G26" s="109" t="s">
        <v>517</v>
      </c>
      <c r="H26" s="109" t="s">
        <v>266</v>
      </c>
      <c r="I26" s="109" t="s">
        <v>215</v>
      </c>
    </row>
    <row r="27" spans="1:9" ht="15.6" x14ac:dyDescent="0.3">
      <c r="A27" s="109" t="s">
        <v>203</v>
      </c>
      <c r="B27" s="109" t="s">
        <v>36</v>
      </c>
      <c r="C27" s="109" t="s">
        <v>237</v>
      </c>
      <c r="D27" s="109" t="s">
        <v>225</v>
      </c>
      <c r="E27" s="109" t="s">
        <v>506</v>
      </c>
      <c r="F27" s="109" t="s">
        <v>43</v>
      </c>
      <c r="G27" s="109" t="s">
        <v>520</v>
      </c>
      <c r="H27" s="109" t="s">
        <v>240</v>
      </c>
      <c r="I27" s="109" t="s">
        <v>224</v>
      </c>
    </row>
    <row r="28" spans="1:9" ht="15.6" x14ac:dyDescent="0.3">
      <c r="A28" s="109" t="s">
        <v>203</v>
      </c>
      <c r="B28" s="109" t="s">
        <v>36</v>
      </c>
      <c r="C28" s="109" t="s">
        <v>241</v>
      </c>
      <c r="D28" s="109" t="s">
        <v>225</v>
      </c>
      <c r="E28" s="109" t="s">
        <v>167</v>
      </c>
      <c r="F28" s="109" t="s">
        <v>43</v>
      </c>
      <c r="G28" s="109" t="s">
        <v>216</v>
      </c>
      <c r="H28" s="109" t="s">
        <v>240</v>
      </c>
      <c r="I28" s="109" t="s">
        <v>224</v>
      </c>
    </row>
    <row r="29" spans="1:9" ht="15.6" x14ac:dyDescent="0.3">
      <c r="A29" s="109" t="s">
        <v>203</v>
      </c>
      <c r="B29" s="109" t="s">
        <v>36</v>
      </c>
      <c r="C29" s="109" t="s">
        <v>242</v>
      </c>
      <c r="D29" s="109" t="s">
        <v>225</v>
      </c>
      <c r="E29" s="109" t="s">
        <v>507</v>
      </c>
      <c r="F29" s="109" t="s">
        <v>43</v>
      </c>
      <c r="G29" s="109" t="s">
        <v>516</v>
      </c>
      <c r="H29" s="109" t="s">
        <v>240</v>
      </c>
      <c r="I29" s="109" t="s">
        <v>224</v>
      </c>
    </row>
    <row r="30" spans="1:9" ht="15.6" x14ac:dyDescent="0.3">
      <c r="A30" s="109" t="s">
        <v>203</v>
      </c>
      <c r="B30" s="109" t="s">
        <v>36</v>
      </c>
      <c r="C30" s="109" t="s">
        <v>245</v>
      </c>
      <c r="D30" s="109" t="s">
        <v>225</v>
      </c>
      <c r="E30" s="109" t="s">
        <v>508</v>
      </c>
      <c r="F30" s="109" t="s">
        <v>43</v>
      </c>
      <c r="G30" s="109" t="s">
        <v>216</v>
      </c>
      <c r="H30" s="109" t="s">
        <v>240</v>
      </c>
      <c r="I30" s="109" t="s">
        <v>224</v>
      </c>
    </row>
    <row r="31" spans="1:9" ht="15.6" x14ac:dyDescent="0.3">
      <c r="A31" s="109" t="s">
        <v>203</v>
      </c>
      <c r="B31" s="109" t="s">
        <v>36</v>
      </c>
      <c r="C31" s="109" t="s">
        <v>246</v>
      </c>
      <c r="D31" s="109" t="s">
        <v>225</v>
      </c>
      <c r="E31" s="109" t="s">
        <v>509</v>
      </c>
      <c r="F31" s="109" t="s">
        <v>43</v>
      </c>
      <c r="G31" s="109" t="s">
        <v>216</v>
      </c>
      <c r="H31" s="109" t="s">
        <v>240</v>
      </c>
      <c r="I31" s="109" t="s">
        <v>224</v>
      </c>
    </row>
    <row r="32" spans="1:9" ht="15.6" x14ac:dyDescent="0.3">
      <c r="A32" s="109" t="s">
        <v>203</v>
      </c>
      <c r="B32" s="109" t="s">
        <v>36</v>
      </c>
      <c r="C32" s="109" t="s">
        <v>247</v>
      </c>
      <c r="D32" s="109" t="s">
        <v>225</v>
      </c>
      <c r="E32" s="109" t="s">
        <v>513</v>
      </c>
      <c r="F32" s="109" t="s">
        <v>43</v>
      </c>
      <c r="G32" s="109" t="s">
        <v>216</v>
      </c>
      <c r="H32" s="109" t="s">
        <v>250</v>
      </c>
      <c r="I32" s="109" t="s">
        <v>224</v>
      </c>
    </row>
    <row r="33" spans="1:9" ht="15.6" x14ac:dyDescent="0.3">
      <c r="A33" s="109" t="s">
        <v>203</v>
      </c>
      <c r="B33" s="109" t="s">
        <v>26</v>
      </c>
      <c r="C33" s="109" t="s">
        <v>226</v>
      </c>
      <c r="D33" s="109" t="s">
        <v>225</v>
      </c>
      <c r="E33" s="109" t="s">
        <v>503</v>
      </c>
      <c r="F33" s="109" t="s">
        <v>34</v>
      </c>
      <c r="G33" s="109" t="s">
        <v>518</v>
      </c>
      <c r="H33" s="109" t="s">
        <v>81</v>
      </c>
      <c r="I33" s="109" t="s">
        <v>224</v>
      </c>
    </row>
    <row r="34" spans="1:9" ht="15.6" x14ac:dyDescent="0.3">
      <c r="A34" s="109" t="s">
        <v>203</v>
      </c>
      <c r="B34" s="109" t="s">
        <v>26</v>
      </c>
      <c r="C34" s="109" t="s">
        <v>230</v>
      </c>
      <c r="D34" s="109" t="s">
        <v>225</v>
      </c>
      <c r="E34" s="109" t="s">
        <v>504</v>
      </c>
      <c r="F34" s="109" t="s">
        <v>34</v>
      </c>
      <c r="G34" s="109" t="s">
        <v>223</v>
      </c>
      <c r="H34" s="109" t="s">
        <v>81</v>
      </c>
      <c r="I34" s="109" t="s">
        <v>224</v>
      </c>
    </row>
    <row r="35" spans="1:9" ht="15.6" x14ac:dyDescent="0.3">
      <c r="A35" s="109" t="s">
        <v>203</v>
      </c>
      <c r="B35" s="109" t="s">
        <v>26</v>
      </c>
      <c r="C35" s="109" t="s">
        <v>231</v>
      </c>
      <c r="D35" s="109" t="s">
        <v>225</v>
      </c>
      <c r="E35" s="109" t="s">
        <v>505</v>
      </c>
      <c r="F35" s="109" t="s">
        <v>34</v>
      </c>
      <c r="G35" s="109" t="s">
        <v>519</v>
      </c>
      <c r="H35" s="109" t="s">
        <v>81</v>
      </c>
      <c r="I35" s="109" t="s">
        <v>224</v>
      </c>
    </row>
    <row r="36" spans="1:9" ht="15.6" x14ac:dyDescent="0.3">
      <c r="A36" s="109" t="s">
        <v>203</v>
      </c>
      <c r="B36" s="109" t="s">
        <v>56</v>
      </c>
      <c r="C36" s="109" t="s">
        <v>283</v>
      </c>
      <c r="D36" s="109" t="s">
        <v>225</v>
      </c>
      <c r="E36" s="109" t="s">
        <v>521</v>
      </c>
      <c r="F36" s="109" t="s">
        <v>61</v>
      </c>
      <c r="G36" s="109" t="s">
        <v>222</v>
      </c>
      <c r="H36" s="109" t="s">
        <v>282</v>
      </c>
      <c r="I36" s="109" t="s">
        <v>224</v>
      </c>
    </row>
    <row r="37" spans="1:9" ht="15.6" x14ac:dyDescent="0.3">
      <c r="A37" s="109" t="s">
        <v>203</v>
      </c>
      <c r="B37" s="109" t="s">
        <v>56</v>
      </c>
      <c r="C37" s="109" t="s">
        <v>284</v>
      </c>
      <c r="D37" s="109" t="s">
        <v>225</v>
      </c>
      <c r="E37" s="109" t="s">
        <v>462</v>
      </c>
      <c r="F37" s="109" t="s">
        <v>61</v>
      </c>
      <c r="G37" s="109" t="s">
        <v>222</v>
      </c>
      <c r="H37" s="109" t="s">
        <v>282</v>
      </c>
      <c r="I37" s="109" t="s">
        <v>224</v>
      </c>
    </row>
    <row r="38" spans="1:9" ht="15.6" x14ac:dyDescent="0.3">
      <c r="A38" s="109" t="s">
        <v>203</v>
      </c>
      <c r="B38" s="109" t="s">
        <v>56</v>
      </c>
      <c r="C38" s="109" t="s">
        <v>285</v>
      </c>
      <c r="D38" s="109" t="s">
        <v>225</v>
      </c>
      <c r="E38" s="109" t="s">
        <v>522</v>
      </c>
      <c r="F38" s="109" t="s">
        <v>61</v>
      </c>
      <c r="G38" s="109" t="s">
        <v>222</v>
      </c>
      <c r="H38" s="109" t="s">
        <v>282</v>
      </c>
      <c r="I38" s="109" t="s">
        <v>224</v>
      </c>
    </row>
    <row r="39" spans="1:9" ht="15.6" x14ac:dyDescent="0.3">
      <c r="A39" s="109" t="s">
        <v>203</v>
      </c>
      <c r="B39" s="109" t="s">
        <v>56</v>
      </c>
      <c r="C39" s="109" t="s">
        <v>286</v>
      </c>
      <c r="D39" s="109" t="s">
        <v>225</v>
      </c>
      <c r="E39" s="109" t="s">
        <v>523</v>
      </c>
      <c r="F39" s="109" t="s">
        <v>61</v>
      </c>
      <c r="G39" s="109" t="s">
        <v>222</v>
      </c>
      <c r="H39" s="109" t="s">
        <v>282</v>
      </c>
      <c r="I39" s="109" t="s">
        <v>224</v>
      </c>
    </row>
    <row r="40" spans="1:9" ht="15.6" x14ac:dyDescent="0.3">
      <c r="A40" s="109" t="s">
        <v>203</v>
      </c>
      <c r="B40" s="109" t="s">
        <v>56</v>
      </c>
      <c r="C40" s="109" t="s">
        <v>287</v>
      </c>
      <c r="D40" s="109" t="s">
        <v>225</v>
      </c>
      <c r="E40" s="109" t="s">
        <v>524</v>
      </c>
      <c r="F40" s="109" t="s">
        <v>61</v>
      </c>
      <c r="G40" s="109" t="s">
        <v>222</v>
      </c>
      <c r="H40" s="109" t="s">
        <v>289</v>
      </c>
      <c r="I40" s="109" t="s">
        <v>219</v>
      </c>
    </row>
    <row r="41" spans="1:9" ht="15.6" x14ac:dyDescent="0.3">
      <c r="A41" s="109" t="s">
        <v>203</v>
      </c>
      <c r="B41" s="109" t="s">
        <v>56</v>
      </c>
      <c r="C41" s="109" t="s">
        <v>290</v>
      </c>
      <c r="D41" s="109" t="s">
        <v>225</v>
      </c>
      <c r="E41" s="109" t="s">
        <v>505</v>
      </c>
      <c r="F41" s="109" t="s">
        <v>61</v>
      </c>
      <c r="G41" s="109" t="s">
        <v>520</v>
      </c>
      <c r="H41" s="109" t="s">
        <v>291</v>
      </c>
      <c r="I41" s="109" t="s">
        <v>224</v>
      </c>
    </row>
    <row r="42" spans="1:9" ht="15.6" x14ac:dyDescent="0.3">
      <c r="A42" s="109" t="s">
        <v>203</v>
      </c>
      <c r="B42" s="109" t="s">
        <v>56</v>
      </c>
      <c r="C42" s="109" t="s">
        <v>299</v>
      </c>
      <c r="D42" s="109" t="s">
        <v>225</v>
      </c>
      <c r="E42" s="109" t="s">
        <v>504</v>
      </c>
      <c r="F42" s="109" t="s">
        <v>61</v>
      </c>
      <c r="G42" s="109" t="s">
        <v>520</v>
      </c>
      <c r="H42" s="109" t="s">
        <v>297</v>
      </c>
      <c r="I42" s="109" t="s">
        <v>215</v>
      </c>
    </row>
    <row r="43" spans="1:9" ht="15.6" x14ac:dyDescent="0.3">
      <c r="A43" s="108" t="s">
        <v>217</v>
      </c>
      <c r="B43" s="108" t="s">
        <v>73</v>
      </c>
      <c r="C43" s="108" t="s">
        <v>330</v>
      </c>
      <c r="D43" s="108" t="s">
        <v>225</v>
      </c>
      <c r="E43" s="108" t="s">
        <v>433</v>
      </c>
      <c r="F43" s="108" t="s">
        <v>111</v>
      </c>
      <c r="G43" s="108" t="s">
        <v>222</v>
      </c>
      <c r="H43" s="108" t="s">
        <v>331</v>
      </c>
      <c r="I43" s="108" t="s">
        <v>213</v>
      </c>
    </row>
    <row r="44" spans="1:9" ht="15.6" x14ac:dyDescent="0.3">
      <c r="A44" s="108" t="s">
        <v>217</v>
      </c>
      <c r="B44" s="108" t="s">
        <v>73</v>
      </c>
      <c r="C44" s="108" t="s">
        <v>335</v>
      </c>
      <c r="D44" s="108" t="s">
        <v>225</v>
      </c>
      <c r="E44" s="108" t="s">
        <v>418</v>
      </c>
      <c r="F44" s="108" t="s">
        <v>111</v>
      </c>
      <c r="G44" s="108" t="s">
        <v>222</v>
      </c>
      <c r="H44" s="108" t="s">
        <v>331</v>
      </c>
      <c r="I44" s="108" t="s">
        <v>213</v>
      </c>
    </row>
    <row r="45" spans="1:9" ht="15.6" x14ac:dyDescent="0.3">
      <c r="A45" s="108" t="s">
        <v>217</v>
      </c>
      <c r="B45" s="108" t="s">
        <v>73</v>
      </c>
      <c r="C45" s="108" t="s">
        <v>338</v>
      </c>
      <c r="D45" s="108" t="s">
        <v>225</v>
      </c>
      <c r="E45" s="108" t="s">
        <v>441</v>
      </c>
      <c r="F45" s="108" t="s">
        <v>111</v>
      </c>
      <c r="G45" s="108" t="s">
        <v>222</v>
      </c>
      <c r="H45" s="108" t="s">
        <v>331</v>
      </c>
      <c r="I45" s="108" t="s">
        <v>213</v>
      </c>
    </row>
    <row r="46" spans="1:9" ht="15.6" x14ac:dyDescent="0.3">
      <c r="A46" s="108" t="s">
        <v>217</v>
      </c>
      <c r="B46" s="108" t="s">
        <v>73</v>
      </c>
      <c r="C46" s="108" t="s">
        <v>340</v>
      </c>
      <c r="D46" s="108" t="s">
        <v>225</v>
      </c>
      <c r="E46" s="108" t="s">
        <v>452</v>
      </c>
      <c r="F46" s="108" t="s">
        <v>111</v>
      </c>
      <c r="G46" s="108" t="s">
        <v>525</v>
      </c>
      <c r="H46" s="108" t="s">
        <v>342</v>
      </c>
      <c r="I46" s="108" t="s">
        <v>213</v>
      </c>
    </row>
    <row r="47" spans="1:9" ht="15.6" x14ac:dyDescent="0.3">
      <c r="A47" s="108" t="s">
        <v>217</v>
      </c>
      <c r="B47" s="108" t="s">
        <v>73</v>
      </c>
      <c r="C47" s="108" t="s">
        <v>275</v>
      </c>
      <c r="D47" s="108" t="s">
        <v>225</v>
      </c>
      <c r="E47" s="108" t="s">
        <v>458</v>
      </c>
      <c r="F47" s="108" t="s">
        <v>75</v>
      </c>
      <c r="G47" s="108"/>
      <c r="H47" s="108" t="s">
        <v>76</v>
      </c>
      <c r="I47" s="108" t="s">
        <v>213</v>
      </c>
    </row>
    <row r="48" spans="1:9" ht="15.6" x14ac:dyDescent="0.3">
      <c r="A48" s="109" t="s">
        <v>217</v>
      </c>
      <c r="B48" s="109" t="s">
        <v>264</v>
      </c>
      <c r="C48" s="109" t="s">
        <v>265</v>
      </c>
      <c r="D48" s="109" t="s">
        <v>225</v>
      </c>
      <c r="E48" s="109" t="s">
        <v>526</v>
      </c>
      <c r="F48" s="109" t="s">
        <v>262</v>
      </c>
      <c r="G48" s="109" t="s">
        <v>518</v>
      </c>
      <c r="H48" s="109" t="s">
        <v>323</v>
      </c>
      <c r="I48" s="109" t="s">
        <v>215</v>
      </c>
    </row>
    <row r="49" spans="1:9" ht="15.6" x14ac:dyDescent="0.3">
      <c r="A49" s="109" t="s">
        <v>217</v>
      </c>
      <c r="B49" s="109" t="s">
        <v>36</v>
      </c>
      <c r="C49" s="109" t="s">
        <v>242</v>
      </c>
      <c r="D49" s="109" t="s">
        <v>225</v>
      </c>
      <c r="E49" s="109" t="s">
        <v>507</v>
      </c>
      <c r="F49" s="109" t="s">
        <v>41</v>
      </c>
      <c r="G49" s="109" t="s">
        <v>216</v>
      </c>
      <c r="H49" s="109" t="s">
        <v>235</v>
      </c>
      <c r="I49" s="109" t="s">
        <v>215</v>
      </c>
    </row>
    <row r="50" spans="1:9" ht="15.6" x14ac:dyDescent="0.3">
      <c r="A50" s="109" t="s">
        <v>217</v>
      </c>
      <c r="B50" s="109" t="s">
        <v>36</v>
      </c>
      <c r="C50" s="109" t="s">
        <v>237</v>
      </c>
      <c r="D50" s="109" t="s">
        <v>225</v>
      </c>
      <c r="E50" s="109" t="s">
        <v>506</v>
      </c>
      <c r="F50" s="109" t="s">
        <v>43</v>
      </c>
      <c r="G50" s="109" t="s">
        <v>525</v>
      </c>
      <c r="H50" s="109" t="s">
        <v>108</v>
      </c>
      <c r="I50" s="109" t="s">
        <v>224</v>
      </c>
    </row>
    <row r="51" spans="1:9" ht="15.6" x14ac:dyDescent="0.3">
      <c r="A51" s="109" t="s">
        <v>217</v>
      </c>
      <c r="B51" s="109" t="s">
        <v>36</v>
      </c>
      <c r="C51" s="109" t="s">
        <v>241</v>
      </c>
      <c r="D51" s="109" t="s">
        <v>225</v>
      </c>
      <c r="E51" s="109" t="s">
        <v>167</v>
      </c>
      <c r="F51" s="109" t="s">
        <v>43</v>
      </c>
      <c r="G51" s="109" t="s">
        <v>516</v>
      </c>
      <c r="H51" s="109" t="s">
        <v>108</v>
      </c>
      <c r="I51" s="109" t="s">
        <v>219</v>
      </c>
    </row>
    <row r="52" spans="1:9" ht="15.6" x14ac:dyDescent="0.3">
      <c r="A52" s="109" t="s">
        <v>217</v>
      </c>
      <c r="B52" s="109" t="s">
        <v>36</v>
      </c>
      <c r="C52" s="109" t="s">
        <v>245</v>
      </c>
      <c r="D52" s="109" t="s">
        <v>225</v>
      </c>
      <c r="E52" s="109" t="s">
        <v>508</v>
      </c>
      <c r="F52" s="109" t="s">
        <v>43</v>
      </c>
      <c r="G52" s="109" t="s">
        <v>216</v>
      </c>
      <c r="H52" s="109" t="s">
        <v>108</v>
      </c>
      <c r="I52" s="109" t="s">
        <v>219</v>
      </c>
    </row>
    <row r="53" spans="1:9" ht="15.6" x14ac:dyDescent="0.3">
      <c r="A53" s="109" t="s">
        <v>217</v>
      </c>
      <c r="B53" s="109" t="s">
        <v>36</v>
      </c>
      <c r="C53" s="109" t="s">
        <v>246</v>
      </c>
      <c r="D53" s="109" t="s">
        <v>225</v>
      </c>
      <c r="E53" s="109" t="s">
        <v>509</v>
      </c>
      <c r="F53" s="109" t="s">
        <v>43</v>
      </c>
      <c r="G53" s="109" t="s">
        <v>216</v>
      </c>
      <c r="H53" s="109" t="s">
        <v>108</v>
      </c>
      <c r="I53" s="109" t="s">
        <v>219</v>
      </c>
    </row>
    <row r="54" spans="1:9" ht="15.6" x14ac:dyDescent="0.3">
      <c r="A54" s="109" t="s">
        <v>217</v>
      </c>
      <c r="B54" s="109" t="s">
        <v>252</v>
      </c>
      <c r="C54" s="109" t="s">
        <v>257</v>
      </c>
      <c r="D54" s="109" t="s">
        <v>225</v>
      </c>
      <c r="E54" s="109" t="s">
        <v>527</v>
      </c>
      <c r="F54" s="109" t="s">
        <v>34</v>
      </c>
      <c r="G54" s="109" t="s">
        <v>216</v>
      </c>
      <c r="H54" s="109" t="s">
        <v>329</v>
      </c>
      <c r="I54" s="109" t="s">
        <v>224</v>
      </c>
    </row>
    <row r="55" spans="1:9" ht="15.6" x14ac:dyDescent="0.3">
      <c r="A55" s="109" t="s">
        <v>217</v>
      </c>
      <c r="B55" s="109" t="s">
        <v>36</v>
      </c>
      <c r="C55" s="109" t="s">
        <v>247</v>
      </c>
      <c r="D55" s="109" t="s">
        <v>225</v>
      </c>
      <c r="E55" s="109" t="s">
        <v>528</v>
      </c>
      <c r="F55" s="109" t="s">
        <v>43</v>
      </c>
      <c r="G55" s="109" t="s">
        <v>216</v>
      </c>
      <c r="H55" s="109" t="s">
        <v>321</v>
      </c>
      <c r="I55" s="109" t="s">
        <v>215</v>
      </c>
    </row>
    <row r="56" spans="1:9" ht="15.6" x14ac:dyDescent="0.3">
      <c r="A56" s="109" t="s">
        <v>217</v>
      </c>
      <c r="B56" s="109" t="s">
        <v>36</v>
      </c>
      <c r="C56" s="109" t="s">
        <v>242</v>
      </c>
      <c r="D56" s="109" t="s">
        <v>225</v>
      </c>
      <c r="E56" s="109" t="s">
        <v>507</v>
      </c>
      <c r="F56" s="109" t="s">
        <v>43</v>
      </c>
      <c r="G56" s="109" t="s">
        <v>216</v>
      </c>
      <c r="H56" s="109" t="s">
        <v>321</v>
      </c>
      <c r="I56" s="109" t="s">
        <v>224</v>
      </c>
    </row>
    <row r="57" spans="1:9" ht="15.6" x14ac:dyDescent="0.3">
      <c r="A57" s="109" t="s">
        <v>217</v>
      </c>
      <c r="B57" s="109" t="s">
        <v>36</v>
      </c>
      <c r="C57" s="109" t="s">
        <v>251</v>
      </c>
      <c r="D57" s="109" t="s">
        <v>225</v>
      </c>
      <c r="E57" s="109" t="s">
        <v>155</v>
      </c>
      <c r="F57" s="109" t="s">
        <v>43</v>
      </c>
      <c r="G57" s="109" t="s">
        <v>216</v>
      </c>
      <c r="H57" s="109" t="s">
        <v>321</v>
      </c>
      <c r="I57" s="109" t="s">
        <v>224</v>
      </c>
    </row>
    <row r="58" spans="1:9" ht="15.6" x14ac:dyDescent="0.3">
      <c r="A58" s="109" t="s">
        <v>217</v>
      </c>
      <c r="B58" s="109" t="s">
        <v>36</v>
      </c>
      <c r="C58" s="109" t="s">
        <v>322</v>
      </c>
      <c r="D58" s="109" t="s">
        <v>225</v>
      </c>
      <c r="E58" s="109" t="s">
        <v>511</v>
      </c>
      <c r="F58" s="109" t="s">
        <v>43</v>
      </c>
      <c r="G58" s="109" t="s">
        <v>216</v>
      </c>
      <c r="H58" s="109" t="s">
        <v>321</v>
      </c>
      <c r="I58" s="109" t="s">
        <v>224</v>
      </c>
    </row>
    <row r="59" spans="1:9" ht="15.6" x14ac:dyDescent="0.3">
      <c r="A59" s="109" t="s">
        <v>217</v>
      </c>
      <c r="B59" s="109" t="s">
        <v>26</v>
      </c>
      <c r="C59" s="109" t="s">
        <v>234</v>
      </c>
      <c r="D59" s="109" t="s">
        <v>225</v>
      </c>
      <c r="E59" s="109" t="s">
        <v>511</v>
      </c>
      <c r="F59" s="109" t="s">
        <v>34</v>
      </c>
      <c r="G59" s="109" t="s">
        <v>529</v>
      </c>
      <c r="H59" s="109" t="s">
        <v>81</v>
      </c>
      <c r="I59" s="109" t="s">
        <v>224</v>
      </c>
    </row>
    <row r="60" spans="1:9" ht="15.6" x14ac:dyDescent="0.3">
      <c r="A60" s="109" t="s">
        <v>217</v>
      </c>
      <c r="B60" s="109" t="s">
        <v>26</v>
      </c>
      <c r="C60" s="109" t="s">
        <v>226</v>
      </c>
      <c r="D60" s="109" t="s">
        <v>225</v>
      </c>
      <c r="E60" s="109" t="s">
        <v>503</v>
      </c>
      <c r="F60" s="109" t="s">
        <v>34</v>
      </c>
      <c r="G60" s="109" t="s">
        <v>218</v>
      </c>
      <c r="H60" s="109" t="s">
        <v>81</v>
      </c>
      <c r="I60" s="109" t="s">
        <v>224</v>
      </c>
    </row>
    <row r="61" spans="1:9" ht="15.6" x14ac:dyDescent="0.3">
      <c r="A61" s="109" t="s">
        <v>217</v>
      </c>
      <c r="B61" s="109" t="s">
        <v>56</v>
      </c>
      <c r="C61" s="109" t="s">
        <v>284</v>
      </c>
      <c r="D61" s="109" t="s">
        <v>225</v>
      </c>
      <c r="E61" s="109" t="s">
        <v>462</v>
      </c>
      <c r="F61" s="109" t="s">
        <v>61</v>
      </c>
      <c r="G61" s="109" t="s">
        <v>222</v>
      </c>
      <c r="H61" s="109" t="s">
        <v>348</v>
      </c>
      <c r="I61" s="109" t="s">
        <v>224</v>
      </c>
    </row>
    <row r="62" spans="1:9" ht="15.6" x14ac:dyDescent="0.3">
      <c r="A62" s="109" t="s">
        <v>217</v>
      </c>
      <c r="B62" s="109" t="s">
        <v>56</v>
      </c>
      <c r="C62" s="109" t="s">
        <v>285</v>
      </c>
      <c r="D62" s="109" t="s">
        <v>225</v>
      </c>
      <c r="E62" s="109" t="s">
        <v>522</v>
      </c>
      <c r="F62" s="109" t="s">
        <v>61</v>
      </c>
      <c r="G62" s="109" t="s">
        <v>222</v>
      </c>
      <c r="H62" s="109" t="s">
        <v>348</v>
      </c>
      <c r="I62" s="109" t="s">
        <v>224</v>
      </c>
    </row>
    <row r="63" spans="1:9" ht="15.6" x14ac:dyDescent="0.3">
      <c r="A63" s="108" t="s">
        <v>220</v>
      </c>
      <c r="B63" s="108" t="s">
        <v>73</v>
      </c>
      <c r="C63" s="108" t="s">
        <v>273</v>
      </c>
      <c r="D63" s="108" t="s">
        <v>225</v>
      </c>
      <c r="E63" s="108" t="s">
        <v>470</v>
      </c>
      <c r="F63" s="108" t="s">
        <v>111</v>
      </c>
      <c r="G63" s="108" t="s">
        <v>214</v>
      </c>
      <c r="H63" s="108" t="s">
        <v>367</v>
      </c>
      <c r="I63" s="108" t="s">
        <v>213</v>
      </c>
    </row>
    <row r="64" spans="1:9" ht="15.6" x14ac:dyDescent="0.3">
      <c r="A64" s="108" t="s">
        <v>220</v>
      </c>
      <c r="B64" s="108" t="s">
        <v>73</v>
      </c>
      <c r="C64" s="108" t="s">
        <v>370</v>
      </c>
      <c r="D64" s="108" t="s">
        <v>225</v>
      </c>
      <c r="E64" s="108" t="s">
        <v>462</v>
      </c>
      <c r="F64" s="108" t="s">
        <v>111</v>
      </c>
      <c r="G64" s="108" t="s">
        <v>222</v>
      </c>
      <c r="H64" s="108" t="s">
        <v>367</v>
      </c>
      <c r="I64" s="108" t="s">
        <v>213</v>
      </c>
    </row>
    <row r="65" spans="1:9" ht="15.6" x14ac:dyDescent="0.3">
      <c r="A65" s="108" t="s">
        <v>220</v>
      </c>
      <c r="B65" s="108" t="s">
        <v>73</v>
      </c>
      <c r="C65" s="108" t="s">
        <v>340</v>
      </c>
      <c r="D65" s="108" t="s">
        <v>225</v>
      </c>
      <c r="E65" s="108" t="s">
        <v>193</v>
      </c>
      <c r="F65" s="108" t="s">
        <v>111</v>
      </c>
      <c r="G65" s="108" t="s">
        <v>516</v>
      </c>
      <c r="H65" s="108" t="s">
        <v>374</v>
      </c>
      <c r="I65" s="108" t="s">
        <v>213</v>
      </c>
    </row>
    <row r="66" spans="1:9" ht="15.6" x14ac:dyDescent="0.3">
      <c r="A66" s="108" t="s">
        <v>220</v>
      </c>
      <c r="B66" s="108" t="s">
        <v>73</v>
      </c>
      <c r="C66" s="108" t="s">
        <v>278</v>
      </c>
      <c r="D66" s="108" t="s">
        <v>225</v>
      </c>
      <c r="E66" s="108" t="s">
        <v>465</v>
      </c>
      <c r="F66" s="108" t="s">
        <v>75</v>
      </c>
      <c r="G66" s="108"/>
      <c r="H66" s="108" t="s">
        <v>76</v>
      </c>
      <c r="I66" s="108" t="s">
        <v>213</v>
      </c>
    </row>
    <row r="67" spans="1:9" ht="15.6" x14ac:dyDescent="0.3">
      <c r="A67" s="109" t="s">
        <v>220</v>
      </c>
      <c r="B67" s="109" t="s">
        <v>260</v>
      </c>
      <c r="C67" s="109" t="s">
        <v>261</v>
      </c>
      <c r="D67" s="109" t="s">
        <v>225</v>
      </c>
      <c r="E67" s="109" t="s">
        <v>512</v>
      </c>
      <c r="F67" s="109" t="s">
        <v>262</v>
      </c>
      <c r="G67" s="109" t="s">
        <v>518</v>
      </c>
      <c r="H67" s="109" t="s">
        <v>356</v>
      </c>
      <c r="I67" s="109" t="s">
        <v>215</v>
      </c>
    </row>
    <row r="68" spans="1:9" ht="15.6" x14ac:dyDescent="0.3">
      <c r="A68" s="109" t="s">
        <v>220</v>
      </c>
      <c r="B68" s="109" t="s">
        <v>48</v>
      </c>
      <c r="C68" s="109" t="s">
        <v>303</v>
      </c>
      <c r="D68" s="109" t="s">
        <v>225</v>
      </c>
      <c r="E68" s="109" t="s">
        <v>530</v>
      </c>
      <c r="F68" s="109" t="s">
        <v>50</v>
      </c>
      <c r="G68" s="109" t="s">
        <v>222</v>
      </c>
      <c r="H68" s="109" t="s">
        <v>361</v>
      </c>
      <c r="I68" s="109" t="s">
        <v>219</v>
      </c>
    </row>
    <row r="69" spans="1:9" ht="15.6" x14ac:dyDescent="0.3">
      <c r="A69" s="109" t="s">
        <v>220</v>
      </c>
      <c r="B69" s="109" t="s">
        <v>36</v>
      </c>
      <c r="C69" s="109" t="s">
        <v>241</v>
      </c>
      <c r="D69" s="109" t="s">
        <v>225</v>
      </c>
      <c r="E69" s="109" t="s">
        <v>167</v>
      </c>
      <c r="F69" s="109" t="s">
        <v>43</v>
      </c>
      <c r="G69" s="109" t="s">
        <v>516</v>
      </c>
      <c r="H69" s="109" t="s">
        <v>365</v>
      </c>
      <c r="I69" s="109" t="s">
        <v>224</v>
      </c>
    </row>
    <row r="70" spans="1:9" ht="15.6" x14ac:dyDescent="0.3">
      <c r="A70" s="109" t="s">
        <v>220</v>
      </c>
      <c r="B70" s="109" t="s">
        <v>36</v>
      </c>
      <c r="C70" s="109" t="s">
        <v>245</v>
      </c>
      <c r="D70" s="109" t="s">
        <v>225</v>
      </c>
      <c r="E70" s="109" t="s">
        <v>508</v>
      </c>
      <c r="F70" s="109" t="s">
        <v>43</v>
      </c>
      <c r="G70" s="109" t="s">
        <v>517</v>
      </c>
      <c r="H70" s="109" t="s">
        <v>365</v>
      </c>
      <c r="I70" s="109" t="s">
        <v>224</v>
      </c>
    </row>
    <row r="71" spans="1:9" ht="15.6" x14ac:dyDescent="0.3">
      <c r="A71" s="109" t="s">
        <v>220</v>
      </c>
      <c r="B71" s="109" t="s">
        <v>36</v>
      </c>
      <c r="C71" s="109" t="s">
        <v>246</v>
      </c>
      <c r="D71" s="109" t="s">
        <v>225</v>
      </c>
      <c r="E71" s="109" t="s">
        <v>509</v>
      </c>
      <c r="F71" s="109" t="s">
        <v>43</v>
      </c>
      <c r="G71" s="109" t="s">
        <v>517</v>
      </c>
      <c r="H71" s="109" t="s">
        <v>365</v>
      </c>
      <c r="I71" s="109" t="s">
        <v>224</v>
      </c>
    </row>
    <row r="72" spans="1:9" ht="15.6" x14ac:dyDescent="0.3">
      <c r="A72" s="109" t="s">
        <v>220</v>
      </c>
      <c r="B72" s="109" t="s">
        <v>252</v>
      </c>
      <c r="C72" s="109" t="s">
        <v>253</v>
      </c>
      <c r="D72" s="109" t="s">
        <v>225</v>
      </c>
      <c r="E72" s="109" t="s">
        <v>531</v>
      </c>
      <c r="F72" s="109" t="s">
        <v>34</v>
      </c>
      <c r="G72" s="109" t="s">
        <v>216</v>
      </c>
      <c r="H72" s="109" t="s">
        <v>365</v>
      </c>
      <c r="I72" s="109" t="s">
        <v>224</v>
      </c>
    </row>
    <row r="73" spans="1:9" ht="15.6" x14ac:dyDescent="0.3">
      <c r="A73" s="109" t="s">
        <v>220</v>
      </c>
      <c r="B73" s="109" t="s">
        <v>252</v>
      </c>
      <c r="C73" s="109" t="s">
        <v>257</v>
      </c>
      <c r="D73" s="109" t="s">
        <v>225</v>
      </c>
      <c r="E73" s="109" t="s">
        <v>532</v>
      </c>
      <c r="F73" s="109" t="s">
        <v>34</v>
      </c>
      <c r="G73" s="109" t="s">
        <v>525</v>
      </c>
      <c r="H73" s="109" t="s">
        <v>379</v>
      </c>
      <c r="I73" s="109" t="s">
        <v>219</v>
      </c>
    </row>
    <row r="74" spans="1:9" ht="15.6" x14ac:dyDescent="0.3">
      <c r="A74" s="109" t="s">
        <v>220</v>
      </c>
      <c r="B74" s="109" t="s">
        <v>36</v>
      </c>
      <c r="C74" s="109" t="s">
        <v>237</v>
      </c>
      <c r="D74" s="109" t="s">
        <v>225</v>
      </c>
      <c r="E74" s="109" t="s">
        <v>506</v>
      </c>
      <c r="F74" s="109" t="s">
        <v>43</v>
      </c>
      <c r="G74" s="109" t="s">
        <v>216</v>
      </c>
      <c r="H74" s="109" t="s">
        <v>108</v>
      </c>
      <c r="I74" s="109" t="s">
        <v>219</v>
      </c>
    </row>
    <row r="75" spans="1:9" ht="15.6" x14ac:dyDescent="0.3">
      <c r="A75" s="109" t="s">
        <v>220</v>
      </c>
      <c r="B75" s="109" t="s">
        <v>36</v>
      </c>
      <c r="C75" s="109" t="s">
        <v>247</v>
      </c>
      <c r="D75" s="109" t="s">
        <v>225</v>
      </c>
      <c r="E75" s="109" t="s">
        <v>528</v>
      </c>
      <c r="F75" s="109" t="s">
        <v>43</v>
      </c>
      <c r="G75" s="109" t="s">
        <v>216</v>
      </c>
      <c r="H75" s="109" t="s">
        <v>108</v>
      </c>
      <c r="I75" s="109" t="s">
        <v>224</v>
      </c>
    </row>
    <row r="76" spans="1:9" ht="15.6" x14ac:dyDescent="0.3">
      <c r="A76" s="109" t="s">
        <v>220</v>
      </c>
      <c r="B76" s="109" t="s">
        <v>36</v>
      </c>
      <c r="C76" s="109" t="s">
        <v>242</v>
      </c>
      <c r="D76" s="109" t="s">
        <v>225</v>
      </c>
      <c r="E76" s="109" t="s">
        <v>507</v>
      </c>
      <c r="F76" s="109" t="s">
        <v>43</v>
      </c>
      <c r="G76" s="109" t="s">
        <v>216</v>
      </c>
      <c r="H76" s="109" t="s">
        <v>108</v>
      </c>
      <c r="I76" s="109" t="s">
        <v>219</v>
      </c>
    </row>
    <row r="77" spans="1:9" ht="15.6" x14ac:dyDescent="0.3">
      <c r="A77" s="109" t="s">
        <v>220</v>
      </c>
      <c r="B77" s="109" t="s">
        <v>36</v>
      </c>
      <c r="C77" s="109" t="s">
        <v>251</v>
      </c>
      <c r="D77" s="109" t="s">
        <v>225</v>
      </c>
      <c r="E77" s="109" t="s">
        <v>155</v>
      </c>
      <c r="F77" s="109" t="s">
        <v>43</v>
      </c>
      <c r="G77" s="109" t="s">
        <v>216</v>
      </c>
      <c r="H77" s="109" t="s">
        <v>108</v>
      </c>
      <c r="I77" s="109" t="s">
        <v>219</v>
      </c>
    </row>
    <row r="78" spans="1:9" ht="15.6" x14ac:dyDescent="0.3">
      <c r="A78" s="109" t="s">
        <v>220</v>
      </c>
      <c r="B78" s="109" t="s">
        <v>36</v>
      </c>
      <c r="C78" s="109" t="s">
        <v>322</v>
      </c>
      <c r="D78" s="109" t="s">
        <v>225</v>
      </c>
      <c r="E78" s="109" t="s">
        <v>533</v>
      </c>
      <c r="F78" s="109" t="s">
        <v>43</v>
      </c>
      <c r="G78" s="109" t="s">
        <v>216</v>
      </c>
      <c r="H78" s="109" t="s">
        <v>108</v>
      </c>
      <c r="I78" s="109" t="s">
        <v>219</v>
      </c>
    </row>
    <row r="79" spans="1:9" ht="15.6" x14ac:dyDescent="0.3">
      <c r="A79" s="109" t="s">
        <v>220</v>
      </c>
      <c r="B79" s="109" t="s">
        <v>56</v>
      </c>
      <c r="C79" s="109" t="s">
        <v>286</v>
      </c>
      <c r="D79" s="109" t="s">
        <v>225</v>
      </c>
      <c r="E79" s="109" t="s">
        <v>523</v>
      </c>
      <c r="F79" s="109" t="s">
        <v>61</v>
      </c>
      <c r="G79" s="109" t="s">
        <v>222</v>
      </c>
      <c r="H79" s="109" t="s">
        <v>382</v>
      </c>
      <c r="I79" s="109" t="s">
        <v>224</v>
      </c>
    </row>
    <row r="80" spans="1:9" ht="15.6" x14ac:dyDescent="0.3">
      <c r="A80" s="109" t="s">
        <v>220</v>
      </c>
      <c r="B80" s="109" t="s">
        <v>26</v>
      </c>
      <c r="C80" s="109" t="s">
        <v>226</v>
      </c>
      <c r="D80" s="109" t="s">
        <v>225</v>
      </c>
      <c r="E80" s="109" t="s">
        <v>503</v>
      </c>
      <c r="F80" s="109" t="s">
        <v>34</v>
      </c>
      <c r="G80" s="109" t="s">
        <v>214</v>
      </c>
      <c r="H80" s="109" t="s">
        <v>81</v>
      </c>
      <c r="I80" s="109" t="s">
        <v>219</v>
      </c>
    </row>
    <row r="81" spans="1:9" ht="15.6" x14ac:dyDescent="0.3">
      <c r="A81" s="109" t="s">
        <v>220</v>
      </c>
      <c r="B81" s="109" t="s">
        <v>26</v>
      </c>
      <c r="C81" s="109" t="s">
        <v>230</v>
      </c>
      <c r="D81" s="109" t="s">
        <v>225</v>
      </c>
      <c r="E81" s="109" t="s">
        <v>504</v>
      </c>
      <c r="F81" s="109" t="s">
        <v>34</v>
      </c>
      <c r="G81" s="109" t="s">
        <v>518</v>
      </c>
      <c r="H81" s="109" t="s">
        <v>81</v>
      </c>
      <c r="I81" s="109" t="s">
        <v>219</v>
      </c>
    </row>
    <row r="82" spans="1:9" ht="15.6" x14ac:dyDescent="0.3">
      <c r="A82" s="109" t="s">
        <v>220</v>
      </c>
      <c r="B82" s="109" t="s">
        <v>26</v>
      </c>
      <c r="C82" s="109" t="s">
        <v>231</v>
      </c>
      <c r="D82" s="109" t="s">
        <v>225</v>
      </c>
      <c r="E82" s="109" t="s">
        <v>505</v>
      </c>
      <c r="F82" s="109" t="s">
        <v>34</v>
      </c>
      <c r="G82" s="109" t="s">
        <v>214</v>
      </c>
      <c r="H82" s="109" t="s">
        <v>81</v>
      </c>
      <c r="I82" s="109" t="s">
        <v>219</v>
      </c>
    </row>
    <row r="83" spans="1:9" ht="15.6" x14ac:dyDescent="0.3">
      <c r="A83" s="109" t="s">
        <v>220</v>
      </c>
      <c r="B83" s="109" t="s">
        <v>56</v>
      </c>
      <c r="C83" s="109" t="s">
        <v>284</v>
      </c>
      <c r="D83" s="109" t="s">
        <v>225</v>
      </c>
      <c r="E83" s="109" t="s">
        <v>462</v>
      </c>
      <c r="F83" s="109" t="s">
        <v>61</v>
      </c>
      <c r="G83" s="109" t="s">
        <v>222</v>
      </c>
      <c r="H83" s="109" t="s">
        <v>348</v>
      </c>
      <c r="I83" s="109" t="s">
        <v>215</v>
      </c>
    </row>
    <row r="84" spans="1:9" ht="15.6" x14ac:dyDescent="0.3">
      <c r="A84" s="109" t="s">
        <v>220</v>
      </c>
      <c r="B84" s="109" t="s">
        <v>56</v>
      </c>
      <c r="C84" s="109" t="s">
        <v>285</v>
      </c>
      <c r="D84" s="109" t="s">
        <v>225</v>
      </c>
      <c r="E84" s="109" t="s">
        <v>522</v>
      </c>
      <c r="F84" s="109" t="s">
        <v>61</v>
      </c>
      <c r="G84" s="109" t="s">
        <v>222</v>
      </c>
      <c r="H84" s="109" t="s">
        <v>348</v>
      </c>
      <c r="I84" s="109" t="s">
        <v>215</v>
      </c>
    </row>
    <row r="85" spans="1:9" ht="15.6" x14ac:dyDescent="0.3">
      <c r="A85" s="109" t="s">
        <v>220</v>
      </c>
      <c r="B85" s="109" t="s">
        <v>56</v>
      </c>
      <c r="C85" s="109" t="s">
        <v>298</v>
      </c>
      <c r="D85" s="109" t="s">
        <v>225</v>
      </c>
      <c r="E85" s="109" t="s">
        <v>503</v>
      </c>
      <c r="F85" s="109" t="s">
        <v>61</v>
      </c>
      <c r="G85" s="109" t="s">
        <v>520</v>
      </c>
      <c r="H85" s="109" t="s">
        <v>383</v>
      </c>
      <c r="I85" s="109" t="s">
        <v>215</v>
      </c>
    </row>
    <row r="86" spans="1:9" ht="15.6" x14ac:dyDescent="0.3">
      <c r="A86" s="108" t="s">
        <v>221</v>
      </c>
      <c r="B86" s="108" t="s">
        <v>73</v>
      </c>
      <c r="C86" s="108" t="s">
        <v>330</v>
      </c>
      <c r="D86" s="108" t="s">
        <v>225</v>
      </c>
      <c r="E86" s="108" t="s">
        <v>499</v>
      </c>
      <c r="F86" s="108" t="s">
        <v>111</v>
      </c>
      <c r="G86" s="108" t="s">
        <v>222</v>
      </c>
      <c r="H86" s="108" t="s">
        <v>389</v>
      </c>
      <c r="I86" s="108" t="s">
        <v>213</v>
      </c>
    </row>
    <row r="87" spans="1:9" ht="15.6" x14ac:dyDescent="0.3">
      <c r="A87" s="108" t="s">
        <v>221</v>
      </c>
      <c r="B87" s="108" t="s">
        <v>73</v>
      </c>
      <c r="C87" s="108" t="s">
        <v>391</v>
      </c>
      <c r="D87" s="108" t="s">
        <v>225</v>
      </c>
      <c r="E87" s="108" t="s">
        <v>480</v>
      </c>
      <c r="F87" s="108" t="s">
        <v>111</v>
      </c>
      <c r="G87" s="108" t="s">
        <v>222</v>
      </c>
      <c r="H87" s="108" t="s">
        <v>389</v>
      </c>
      <c r="I87" s="108" t="s">
        <v>213</v>
      </c>
    </row>
    <row r="88" spans="1:9" ht="15.6" x14ac:dyDescent="0.3">
      <c r="A88" s="108" t="s">
        <v>221</v>
      </c>
      <c r="B88" s="108" t="s">
        <v>73</v>
      </c>
      <c r="C88" s="108" t="s">
        <v>338</v>
      </c>
      <c r="D88" s="108" t="s">
        <v>225</v>
      </c>
      <c r="E88" s="108" t="s">
        <v>500</v>
      </c>
      <c r="F88" s="108" t="s">
        <v>111</v>
      </c>
      <c r="G88" s="108" t="s">
        <v>222</v>
      </c>
      <c r="H88" s="108" t="s">
        <v>389</v>
      </c>
      <c r="I88" s="108" t="s">
        <v>213</v>
      </c>
    </row>
    <row r="89" spans="1:9" ht="15.6" x14ac:dyDescent="0.3">
      <c r="A89" s="108" t="s">
        <v>221</v>
      </c>
      <c r="B89" s="108" t="s">
        <v>73</v>
      </c>
      <c r="C89" s="108" t="s">
        <v>273</v>
      </c>
      <c r="D89" s="108" t="s">
        <v>225</v>
      </c>
      <c r="E89" s="108" t="s">
        <v>470</v>
      </c>
      <c r="F89" s="108" t="s">
        <v>111</v>
      </c>
      <c r="G89" s="108" t="s">
        <v>222</v>
      </c>
      <c r="H89" s="108" t="s">
        <v>389</v>
      </c>
      <c r="I89" s="108" t="s">
        <v>213</v>
      </c>
    </row>
    <row r="90" spans="1:9" ht="15.6" x14ac:dyDescent="0.3">
      <c r="A90" s="108" t="s">
        <v>221</v>
      </c>
      <c r="B90" s="108" t="s">
        <v>73</v>
      </c>
      <c r="C90" s="108" t="s">
        <v>340</v>
      </c>
      <c r="D90" s="108" t="s">
        <v>225</v>
      </c>
      <c r="E90" s="108" t="s">
        <v>494</v>
      </c>
      <c r="F90" s="108" t="s">
        <v>111</v>
      </c>
      <c r="G90" s="108" t="s">
        <v>517</v>
      </c>
      <c r="H90" s="108" t="s">
        <v>396</v>
      </c>
      <c r="I90" s="108" t="s">
        <v>213</v>
      </c>
    </row>
    <row r="91" spans="1:9" ht="15.6" x14ac:dyDescent="0.3">
      <c r="A91" s="108" t="s">
        <v>221</v>
      </c>
      <c r="B91" s="108" t="s">
        <v>73</v>
      </c>
      <c r="C91" s="108" t="s">
        <v>371</v>
      </c>
      <c r="D91" s="108" t="s">
        <v>225</v>
      </c>
      <c r="E91" s="108" t="s">
        <v>484</v>
      </c>
      <c r="F91" s="108" t="s">
        <v>75</v>
      </c>
      <c r="G91" s="108"/>
      <c r="H91" s="108" t="s">
        <v>76</v>
      </c>
      <c r="I91" s="108" t="s">
        <v>213</v>
      </c>
    </row>
    <row r="92" spans="1:9" ht="15.6" x14ac:dyDescent="0.3">
      <c r="A92" s="109" t="s">
        <v>221</v>
      </c>
      <c r="B92" s="109" t="s">
        <v>260</v>
      </c>
      <c r="C92" s="109" t="s">
        <v>386</v>
      </c>
      <c r="D92" s="109" t="s">
        <v>225</v>
      </c>
      <c r="E92" s="109" t="s">
        <v>534</v>
      </c>
      <c r="F92" s="109" t="s">
        <v>262</v>
      </c>
      <c r="G92" s="109" t="s">
        <v>222</v>
      </c>
      <c r="H92" s="109" t="s">
        <v>356</v>
      </c>
      <c r="I92" s="109" t="s">
        <v>219</v>
      </c>
    </row>
    <row r="93" spans="1:9" ht="15.6" x14ac:dyDescent="0.3">
      <c r="A93" s="109" t="s">
        <v>221</v>
      </c>
      <c r="B93" s="109" t="s">
        <v>36</v>
      </c>
      <c r="C93" s="109" t="s">
        <v>241</v>
      </c>
      <c r="D93" s="109" t="s">
        <v>225</v>
      </c>
      <c r="E93" s="109" t="s">
        <v>167</v>
      </c>
      <c r="F93" s="109" t="s">
        <v>43</v>
      </c>
      <c r="G93" s="109" t="s">
        <v>223</v>
      </c>
      <c r="H93" s="109" t="s">
        <v>107</v>
      </c>
      <c r="I93" s="109" t="s">
        <v>224</v>
      </c>
    </row>
    <row r="94" spans="1:9" ht="15.6" x14ac:dyDescent="0.3">
      <c r="A94" s="109" t="s">
        <v>221</v>
      </c>
      <c r="B94" s="109" t="s">
        <v>36</v>
      </c>
      <c r="C94" s="109" t="s">
        <v>245</v>
      </c>
      <c r="D94" s="109" t="s">
        <v>225</v>
      </c>
      <c r="E94" s="109" t="s">
        <v>508</v>
      </c>
      <c r="F94" s="109" t="s">
        <v>43</v>
      </c>
      <c r="G94" s="109" t="s">
        <v>223</v>
      </c>
      <c r="H94" s="109" t="s">
        <v>107</v>
      </c>
      <c r="I94" s="109" t="s">
        <v>224</v>
      </c>
    </row>
    <row r="95" spans="1:9" ht="15.6" x14ac:dyDescent="0.3">
      <c r="A95" s="109" t="s">
        <v>221</v>
      </c>
      <c r="B95" s="109" t="s">
        <v>36</v>
      </c>
      <c r="C95" s="109" t="s">
        <v>246</v>
      </c>
      <c r="D95" s="109" t="s">
        <v>225</v>
      </c>
      <c r="E95" s="109" t="s">
        <v>509</v>
      </c>
      <c r="F95" s="109" t="s">
        <v>43</v>
      </c>
      <c r="G95" s="109" t="s">
        <v>516</v>
      </c>
      <c r="H95" s="109" t="s">
        <v>107</v>
      </c>
      <c r="I95" s="109" t="s">
        <v>224</v>
      </c>
    </row>
    <row r="96" spans="1:9" ht="15.6" x14ac:dyDescent="0.3">
      <c r="A96" s="109" t="s">
        <v>221</v>
      </c>
      <c r="B96" s="109" t="s">
        <v>252</v>
      </c>
      <c r="C96" s="109" t="s">
        <v>253</v>
      </c>
      <c r="D96" s="109" t="s">
        <v>225</v>
      </c>
      <c r="E96" s="109" t="s">
        <v>535</v>
      </c>
      <c r="F96" s="109" t="s">
        <v>34</v>
      </c>
      <c r="G96" s="109" t="s">
        <v>216</v>
      </c>
      <c r="H96" s="109" t="s">
        <v>404</v>
      </c>
      <c r="I96" s="109" t="s">
        <v>224</v>
      </c>
    </row>
    <row r="97" spans="1:9" ht="15.6" x14ac:dyDescent="0.3">
      <c r="A97" s="109" t="s">
        <v>221</v>
      </c>
      <c r="B97" s="109" t="s">
        <v>36</v>
      </c>
      <c r="C97" s="109" t="s">
        <v>237</v>
      </c>
      <c r="D97" s="109" t="s">
        <v>225</v>
      </c>
      <c r="E97" s="109" t="s">
        <v>506</v>
      </c>
      <c r="F97" s="109" t="s">
        <v>43</v>
      </c>
      <c r="G97" s="109" t="s">
        <v>216</v>
      </c>
      <c r="H97" s="109" t="s">
        <v>402</v>
      </c>
      <c r="I97" s="109" t="s">
        <v>224</v>
      </c>
    </row>
    <row r="98" spans="1:9" ht="15.6" x14ac:dyDescent="0.3">
      <c r="A98" s="109" t="s">
        <v>221</v>
      </c>
      <c r="B98" s="109" t="s">
        <v>36</v>
      </c>
      <c r="C98" s="109" t="s">
        <v>247</v>
      </c>
      <c r="D98" s="109" t="s">
        <v>225</v>
      </c>
      <c r="E98" s="109" t="s">
        <v>528</v>
      </c>
      <c r="F98" s="109" t="s">
        <v>43</v>
      </c>
      <c r="G98" s="109" t="s">
        <v>216</v>
      </c>
      <c r="H98" s="109" t="s">
        <v>402</v>
      </c>
      <c r="I98" s="109" t="s">
        <v>224</v>
      </c>
    </row>
    <row r="99" spans="1:9" ht="15.6" x14ac:dyDescent="0.3">
      <c r="A99" s="109" t="s">
        <v>221</v>
      </c>
      <c r="B99" s="109" t="s">
        <v>36</v>
      </c>
      <c r="C99" s="109" t="s">
        <v>242</v>
      </c>
      <c r="D99" s="109" t="s">
        <v>225</v>
      </c>
      <c r="E99" s="109" t="s">
        <v>507</v>
      </c>
      <c r="F99" s="109" t="s">
        <v>43</v>
      </c>
      <c r="G99" s="109" t="s">
        <v>216</v>
      </c>
      <c r="H99" s="109" t="s">
        <v>402</v>
      </c>
      <c r="I99" s="109" t="s">
        <v>219</v>
      </c>
    </row>
    <row r="100" spans="1:9" ht="15.6" x14ac:dyDescent="0.3">
      <c r="A100" s="109" t="s">
        <v>221</v>
      </c>
      <c r="B100" s="109" t="s">
        <v>36</v>
      </c>
      <c r="C100" s="109" t="s">
        <v>251</v>
      </c>
      <c r="D100" s="109" t="s">
        <v>225</v>
      </c>
      <c r="E100" s="109" t="s">
        <v>155</v>
      </c>
      <c r="F100" s="109" t="s">
        <v>43</v>
      </c>
      <c r="G100" s="109" t="s">
        <v>517</v>
      </c>
      <c r="H100" s="109" t="s">
        <v>402</v>
      </c>
      <c r="I100" s="109" t="s">
        <v>219</v>
      </c>
    </row>
    <row r="101" spans="1:9" ht="15.6" x14ac:dyDescent="0.3">
      <c r="A101" s="109" t="s">
        <v>221</v>
      </c>
      <c r="B101" s="109" t="s">
        <v>36</v>
      </c>
      <c r="C101" s="109" t="s">
        <v>322</v>
      </c>
      <c r="D101" s="109" t="s">
        <v>225</v>
      </c>
      <c r="E101" s="109" t="s">
        <v>511</v>
      </c>
      <c r="F101" s="109" t="s">
        <v>43</v>
      </c>
      <c r="G101" s="109" t="s">
        <v>216</v>
      </c>
      <c r="H101" s="109" t="s">
        <v>402</v>
      </c>
      <c r="I101" s="109" t="s">
        <v>224</v>
      </c>
    </row>
    <row r="102" spans="1:9" ht="15.6" x14ac:dyDescent="0.3">
      <c r="A102" s="109" t="s">
        <v>221</v>
      </c>
      <c r="B102" s="109" t="s">
        <v>56</v>
      </c>
      <c r="C102" s="109" t="s">
        <v>280</v>
      </c>
      <c r="D102" s="109" t="s">
        <v>225</v>
      </c>
      <c r="E102" s="109" t="s">
        <v>536</v>
      </c>
      <c r="F102" s="109" t="s">
        <v>61</v>
      </c>
      <c r="G102" s="109" t="s">
        <v>222</v>
      </c>
      <c r="H102" s="109" t="s">
        <v>382</v>
      </c>
      <c r="I102" s="109" t="s">
        <v>224</v>
      </c>
    </row>
    <row r="103" spans="1:9" ht="15.6" x14ac:dyDescent="0.3">
      <c r="A103" s="109" t="s">
        <v>221</v>
      </c>
      <c r="B103" s="109" t="s">
        <v>56</v>
      </c>
      <c r="C103" s="109" t="s">
        <v>284</v>
      </c>
      <c r="D103" s="109" t="s">
        <v>225</v>
      </c>
      <c r="E103" s="109" t="s">
        <v>462</v>
      </c>
      <c r="F103" s="109" t="s">
        <v>61</v>
      </c>
      <c r="G103" s="109" t="s">
        <v>222</v>
      </c>
      <c r="H103" s="109" t="s">
        <v>382</v>
      </c>
      <c r="I103" s="109" t="s">
        <v>224</v>
      </c>
    </row>
    <row r="104" spans="1:9" ht="15.6" x14ac:dyDescent="0.3">
      <c r="A104" s="109" t="s">
        <v>221</v>
      </c>
      <c r="B104" s="109" t="s">
        <v>56</v>
      </c>
      <c r="C104" s="109" t="s">
        <v>287</v>
      </c>
      <c r="D104" s="109" t="s">
        <v>225</v>
      </c>
      <c r="E104" s="109" t="s">
        <v>537</v>
      </c>
      <c r="F104" s="109" t="s">
        <v>61</v>
      </c>
      <c r="G104" s="109" t="s">
        <v>222</v>
      </c>
      <c r="H104" s="109" t="s">
        <v>382</v>
      </c>
      <c r="I104" s="109" t="s">
        <v>224</v>
      </c>
    </row>
    <row r="105" spans="1:9" ht="15.6" x14ac:dyDescent="0.3">
      <c r="A105" s="109" t="s">
        <v>221</v>
      </c>
      <c r="B105" s="109" t="s">
        <v>56</v>
      </c>
      <c r="C105" s="109" t="s">
        <v>285</v>
      </c>
      <c r="D105" s="109" t="s">
        <v>225</v>
      </c>
      <c r="E105" s="109" t="s">
        <v>522</v>
      </c>
      <c r="F105" s="109" t="s">
        <v>61</v>
      </c>
      <c r="G105" s="109" t="s">
        <v>222</v>
      </c>
      <c r="H105" s="109" t="s">
        <v>382</v>
      </c>
      <c r="I105" s="109" t="s">
        <v>224</v>
      </c>
    </row>
    <row r="106" spans="1:9" ht="15.6" x14ac:dyDescent="0.3">
      <c r="A106" s="109" t="s">
        <v>221</v>
      </c>
      <c r="B106" s="109" t="s">
        <v>56</v>
      </c>
      <c r="C106" s="109" t="s">
        <v>286</v>
      </c>
      <c r="D106" s="109" t="s">
        <v>225</v>
      </c>
      <c r="E106" s="109" t="s">
        <v>523</v>
      </c>
      <c r="F106" s="109" t="s">
        <v>61</v>
      </c>
      <c r="G106" s="109" t="s">
        <v>222</v>
      </c>
      <c r="H106" s="109" t="s">
        <v>382</v>
      </c>
      <c r="I106" s="109" t="s">
        <v>224</v>
      </c>
    </row>
    <row r="107" spans="1:9" ht="15.6" x14ac:dyDescent="0.3">
      <c r="A107" s="109" t="s">
        <v>221</v>
      </c>
      <c r="B107" s="109" t="s">
        <v>26</v>
      </c>
      <c r="C107" s="109" t="s">
        <v>234</v>
      </c>
      <c r="D107" s="109" t="s">
        <v>225</v>
      </c>
      <c r="E107" s="109" t="s">
        <v>511</v>
      </c>
      <c r="F107" s="109" t="s">
        <v>34</v>
      </c>
      <c r="G107" s="109" t="s">
        <v>517</v>
      </c>
      <c r="H107" s="109" t="s">
        <v>81</v>
      </c>
      <c r="I107" s="109" t="s">
        <v>215</v>
      </c>
    </row>
    <row r="108" spans="1:9" ht="15.6" x14ac:dyDescent="0.3">
      <c r="A108" s="109" t="s">
        <v>221</v>
      </c>
      <c r="B108" s="109" t="s">
        <v>26</v>
      </c>
      <c r="C108" s="109" t="s">
        <v>226</v>
      </c>
      <c r="D108" s="109" t="s">
        <v>225</v>
      </c>
      <c r="E108" s="109" t="s">
        <v>503</v>
      </c>
      <c r="F108" s="109" t="s">
        <v>34</v>
      </c>
      <c r="G108" s="109" t="s">
        <v>538</v>
      </c>
      <c r="H108" s="109" t="s">
        <v>81</v>
      </c>
      <c r="I108" s="109" t="s">
        <v>215</v>
      </c>
    </row>
    <row r="109" spans="1:9" ht="15.6" x14ac:dyDescent="0.3">
      <c r="A109" s="109" t="s">
        <v>221</v>
      </c>
      <c r="B109" s="109" t="s">
        <v>26</v>
      </c>
      <c r="C109" s="109" t="s">
        <v>230</v>
      </c>
      <c r="D109" s="109" t="s">
        <v>225</v>
      </c>
      <c r="E109" s="109" t="s">
        <v>504</v>
      </c>
      <c r="F109" s="109" t="s">
        <v>34</v>
      </c>
      <c r="G109" s="109" t="s">
        <v>223</v>
      </c>
      <c r="H109" s="109" t="s">
        <v>81</v>
      </c>
      <c r="I109" s="109" t="s">
        <v>215</v>
      </c>
    </row>
    <row r="110" spans="1:9" ht="15.6" x14ac:dyDescent="0.3">
      <c r="A110" s="109" t="s">
        <v>221</v>
      </c>
      <c r="B110" s="109" t="s">
        <v>26</v>
      </c>
      <c r="C110" s="109" t="s">
        <v>231</v>
      </c>
      <c r="D110" s="109" t="s">
        <v>225</v>
      </c>
      <c r="E110" s="109" t="s">
        <v>505</v>
      </c>
      <c r="F110" s="109" t="s">
        <v>34</v>
      </c>
      <c r="G110" s="109" t="s">
        <v>518</v>
      </c>
      <c r="H110" s="109" t="s">
        <v>81</v>
      </c>
      <c r="I110" s="109" t="s">
        <v>215</v>
      </c>
    </row>
    <row r="111" spans="1:9" ht="15.6" x14ac:dyDescent="0.3">
      <c r="A111" s="109" t="s">
        <v>221</v>
      </c>
      <c r="B111" s="109" t="s">
        <v>56</v>
      </c>
      <c r="C111" s="109" t="s">
        <v>283</v>
      </c>
      <c r="D111" s="109" t="s">
        <v>225</v>
      </c>
      <c r="E111" s="109" t="s">
        <v>521</v>
      </c>
      <c r="F111" s="109" t="s">
        <v>61</v>
      </c>
      <c r="G111" s="109" t="s">
        <v>222</v>
      </c>
      <c r="H111" s="109" t="s">
        <v>406</v>
      </c>
      <c r="I111" s="109" t="s">
        <v>224</v>
      </c>
    </row>
    <row r="112" spans="1:9" ht="15.6" x14ac:dyDescent="0.3">
      <c r="A112" s="109" t="s">
        <v>221</v>
      </c>
      <c r="B112" s="109" t="s">
        <v>56</v>
      </c>
      <c r="C112" s="109" t="s">
        <v>295</v>
      </c>
      <c r="D112" s="109" t="s">
        <v>225</v>
      </c>
      <c r="E112" s="109" t="s">
        <v>539</v>
      </c>
      <c r="F112" s="109" t="s">
        <v>61</v>
      </c>
      <c r="G112" s="109" t="s">
        <v>222</v>
      </c>
      <c r="H112" s="109" t="s">
        <v>406</v>
      </c>
      <c r="I112" s="109" t="s">
        <v>224</v>
      </c>
    </row>
    <row r="113" spans="1:9" ht="15.6" x14ac:dyDescent="0.3">
      <c r="A113" s="109" t="s">
        <v>221</v>
      </c>
      <c r="B113" s="109" t="s">
        <v>56</v>
      </c>
      <c r="C113" s="109" t="s">
        <v>299</v>
      </c>
      <c r="D113" s="109" t="s">
        <v>225</v>
      </c>
      <c r="E113" s="109" t="s">
        <v>504</v>
      </c>
      <c r="F113" s="109" t="s">
        <v>61</v>
      </c>
      <c r="G113" s="109" t="s">
        <v>520</v>
      </c>
      <c r="H113" s="109" t="s">
        <v>383</v>
      </c>
      <c r="I113" s="109" t="s">
        <v>215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N230"/>
  <sheetViews>
    <sheetView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18.5546875" bestFit="1" customWidth="1"/>
    <col min="6" max="6" width="23.44140625" bestFit="1" customWidth="1"/>
    <col min="7" max="7" width="48.777343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</cols>
  <sheetData>
    <row r="1" spans="1:92" ht="28.8" customHeight="1" x14ac:dyDescent="0.3">
      <c r="A1" s="199" t="s">
        <v>0</v>
      </c>
      <c r="B1" s="198"/>
      <c r="C1" s="198"/>
      <c r="D1" s="198"/>
      <c r="E1" s="198"/>
      <c r="F1" s="1" t="s">
        <v>540</v>
      </c>
      <c r="G1" s="2" t="s">
        <v>2</v>
      </c>
      <c r="H1" s="197">
        <v>45983</v>
      </c>
      <c r="I1" s="198"/>
      <c r="J1" s="198"/>
      <c r="K1" s="198"/>
      <c r="L1" s="198"/>
      <c r="M1" s="1" t="s">
        <v>3</v>
      </c>
      <c r="N1" s="206">
        <v>45986</v>
      </c>
      <c r="O1" s="198"/>
      <c r="P1" s="198"/>
      <c r="Q1" s="198"/>
      <c r="R1" s="198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01" t="s">
        <v>4</v>
      </c>
      <c r="B2" s="198"/>
      <c r="C2" s="198"/>
      <c r="D2" s="198"/>
      <c r="E2" s="198"/>
      <c r="F2" s="198"/>
      <c r="G2" s="203">
        <v>45981.94442721954</v>
      </c>
      <c r="H2" s="198"/>
      <c r="I2" s="198"/>
      <c r="J2" s="198"/>
      <c r="K2" s="207">
        <v>45981.94442721978</v>
      </c>
      <c r="L2" s="198"/>
      <c r="M2" s="198"/>
      <c r="N2" s="198"/>
      <c r="O2" s="198"/>
      <c r="P2" s="198"/>
      <c r="Q2" s="198"/>
      <c r="R2" s="19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02" t="s">
        <v>5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04" t="s">
        <v>6</v>
      </c>
      <c r="B4" s="191"/>
      <c r="C4" s="191"/>
      <c r="D4" s="191"/>
      <c r="E4" s="191"/>
      <c r="F4" s="192"/>
      <c r="G4" s="4">
        <v>45983</v>
      </c>
      <c r="H4" s="200" t="s">
        <v>7</v>
      </c>
      <c r="I4" s="191"/>
      <c r="J4" s="191"/>
      <c r="K4" s="191"/>
      <c r="L4" s="191"/>
      <c r="M4" s="191"/>
      <c r="N4" s="191"/>
      <c r="O4" s="191"/>
      <c r="P4" s="191"/>
      <c r="Q4" s="191"/>
      <c r="R4" s="19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264</v>
      </c>
      <c r="B6" s="8" t="s">
        <v>541</v>
      </c>
      <c r="C6" s="9">
        <v>0.27430555555555552</v>
      </c>
      <c r="D6" s="8" t="s">
        <v>262</v>
      </c>
      <c r="E6" s="8" t="s">
        <v>312</v>
      </c>
      <c r="F6" s="8" t="s">
        <v>542</v>
      </c>
      <c r="G6" s="194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15" customHeight="1" x14ac:dyDescent="0.3">
      <c r="A7" s="17" t="s">
        <v>26</v>
      </c>
      <c r="B7" s="17" t="s">
        <v>543</v>
      </c>
      <c r="C7" s="18">
        <v>0.81597222222222221</v>
      </c>
      <c r="D7" s="17" t="s">
        <v>28</v>
      </c>
      <c r="E7" s="17" t="s">
        <v>39</v>
      </c>
      <c r="F7" s="17" t="s">
        <v>364</v>
      </c>
      <c r="G7" s="195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15" customHeight="1" x14ac:dyDescent="0.3">
      <c r="A8" s="15" t="s">
        <v>26</v>
      </c>
      <c r="B8" s="15" t="s">
        <v>543</v>
      </c>
      <c r="C8" s="16">
        <v>0.81597222222222221</v>
      </c>
      <c r="D8" s="15" t="s">
        <v>31</v>
      </c>
      <c r="E8" s="15" t="s">
        <v>42</v>
      </c>
      <c r="F8" s="15" t="s">
        <v>84</v>
      </c>
      <c r="G8" s="195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5" customHeight="1" x14ac:dyDescent="0.3">
      <c r="A9" s="15" t="s">
        <v>26</v>
      </c>
      <c r="B9" s="15" t="s">
        <v>543</v>
      </c>
      <c r="C9" s="16">
        <v>0.81597222222222221</v>
      </c>
      <c r="D9" s="15" t="s">
        <v>34</v>
      </c>
      <c r="E9" s="15" t="s">
        <v>42</v>
      </c>
      <c r="F9" s="15" t="s">
        <v>544</v>
      </c>
      <c r="G9" s="195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</row>
    <row r="10" spans="1:92" ht="15" customHeight="1" x14ac:dyDescent="0.3">
      <c r="A10" s="19" t="s">
        <v>26</v>
      </c>
      <c r="B10" s="19" t="s">
        <v>545</v>
      </c>
      <c r="C10" s="20">
        <v>0.44791666666666669</v>
      </c>
      <c r="D10" s="19" t="s">
        <v>28</v>
      </c>
      <c r="E10" s="19" t="s">
        <v>65</v>
      </c>
      <c r="F10" s="19" t="s">
        <v>319</v>
      </c>
      <c r="G10" s="195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</row>
    <row r="11" spans="1:92" ht="15" customHeight="1" x14ac:dyDescent="0.3">
      <c r="A11" s="15" t="s">
        <v>26</v>
      </c>
      <c r="B11" s="15" t="s">
        <v>545</v>
      </c>
      <c r="C11" s="16">
        <v>0.44791666666666669</v>
      </c>
      <c r="D11" s="15" t="s">
        <v>31</v>
      </c>
      <c r="E11" s="15" t="s">
        <v>239</v>
      </c>
      <c r="F11" s="15" t="s">
        <v>365</v>
      </c>
      <c r="G11" s="195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</row>
    <row r="12" spans="1:92" ht="15" customHeight="1" x14ac:dyDescent="0.3">
      <c r="A12" s="15" t="s">
        <v>26</v>
      </c>
      <c r="B12" s="15" t="s">
        <v>545</v>
      </c>
      <c r="C12" s="16">
        <v>0.44791666666666669</v>
      </c>
      <c r="D12" s="15" t="s">
        <v>34</v>
      </c>
      <c r="E12" s="15" t="s">
        <v>239</v>
      </c>
      <c r="F12" s="15" t="s">
        <v>546</v>
      </c>
      <c r="G12" s="195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</row>
    <row r="13" spans="1:92" ht="15" customHeight="1" x14ac:dyDescent="0.3">
      <c r="A13" s="19" t="s">
        <v>26</v>
      </c>
      <c r="B13" s="19" t="s">
        <v>547</v>
      </c>
      <c r="C13" s="20">
        <v>0.5</v>
      </c>
      <c r="D13" s="19" t="s">
        <v>28</v>
      </c>
      <c r="E13" s="19" t="s">
        <v>315</v>
      </c>
      <c r="F13" s="19" t="s">
        <v>319</v>
      </c>
      <c r="G13" s="195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</row>
    <row r="14" spans="1:92" ht="15" customHeight="1" x14ac:dyDescent="0.3">
      <c r="A14" s="15" t="s">
        <v>26</v>
      </c>
      <c r="B14" s="15" t="s">
        <v>547</v>
      </c>
      <c r="C14" s="16">
        <v>0.5</v>
      </c>
      <c r="D14" s="15" t="s">
        <v>31</v>
      </c>
      <c r="E14" s="15" t="s">
        <v>103</v>
      </c>
      <c r="F14" s="15" t="s">
        <v>365</v>
      </c>
      <c r="G14" s="195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</row>
    <row r="15" spans="1:92" ht="15" customHeight="1" x14ac:dyDescent="0.3">
      <c r="A15" s="15" t="s">
        <v>26</v>
      </c>
      <c r="B15" s="15" t="s">
        <v>547</v>
      </c>
      <c r="C15" s="16">
        <v>0.5</v>
      </c>
      <c r="D15" s="15" t="s">
        <v>34</v>
      </c>
      <c r="E15" s="15" t="s">
        <v>103</v>
      </c>
      <c r="F15" s="15" t="s">
        <v>544</v>
      </c>
      <c r="G15" s="195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</row>
    <row r="16" spans="1:92" ht="15" customHeight="1" x14ac:dyDescent="0.3">
      <c r="A16" s="19" t="s">
        <v>26</v>
      </c>
      <c r="B16" s="19" t="s">
        <v>548</v>
      </c>
      <c r="C16" s="20">
        <v>0.76041666666666663</v>
      </c>
      <c r="D16" s="19" t="s">
        <v>28</v>
      </c>
      <c r="E16" s="19" t="s">
        <v>349</v>
      </c>
      <c r="F16" s="19" t="s">
        <v>326</v>
      </c>
      <c r="G16" s="195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</row>
    <row r="17" spans="1:18" ht="15" customHeight="1" x14ac:dyDescent="0.3">
      <c r="A17" s="15" t="s">
        <v>26</v>
      </c>
      <c r="B17" s="15" t="s">
        <v>548</v>
      </c>
      <c r="C17" s="16">
        <v>0.76041666666666663</v>
      </c>
      <c r="D17" s="15" t="s">
        <v>31</v>
      </c>
      <c r="E17" s="15" t="s">
        <v>42</v>
      </c>
      <c r="F17" s="15" t="s">
        <v>85</v>
      </c>
      <c r="G17" s="195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</row>
    <row r="18" spans="1:18" ht="15" customHeight="1" x14ac:dyDescent="0.3">
      <c r="A18" s="15" t="s">
        <v>26</v>
      </c>
      <c r="B18" s="15" t="s">
        <v>548</v>
      </c>
      <c r="C18" s="16">
        <v>0.76041666666666663</v>
      </c>
      <c r="D18" s="15" t="s">
        <v>34</v>
      </c>
      <c r="E18" s="15" t="s">
        <v>42</v>
      </c>
      <c r="F18" s="15" t="s">
        <v>544</v>
      </c>
      <c r="G18" s="195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</row>
    <row r="19" spans="1:18" ht="15" customHeight="1" x14ac:dyDescent="0.3">
      <c r="A19" s="17" t="s">
        <v>36</v>
      </c>
      <c r="B19" s="17" t="s">
        <v>549</v>
      </c>
      <c r="C19" s="18">
        <v>0.30555555555555552</v>
      </c>
      <c r="D19" s="17" t="s">
        <v>38</v>
      </c>
      <c r="E19" s="17" t="s">
        <v>97</v>
      </c>
      <c r="F19" s="17" t="s">
        <v>316</v>
      </c>
      <c r="G19" s="195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</row>
    <row r="20" spans="1:18" ht="15" customHeight="1" x14ac:dyDescent="0.3">
      <c r="A20" s="15" t="s">
        <v>36</v>
      </c>
      <c r="B20" s="15" t="s">
        <v>549</v>
      </c>
      <c r="C20" s="16">
        <v>0.30555555555555552</v>
      </c>
      <c r="D20" s="15" t="s">
        <v>41</v>
      </c>
      <c r="E20" s="15" t="s">
        <v>47</v>
      </c>
      <c r="F20" s="15" t="s">
        <v>235</v>
      </c>
      <c r="G20" s="195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</row>
    <row r="21" spans="1:18" ht="15" customHeight="1" x14ac:dyDescent="0.3">
      <c r="A21" s="15" t="s">
        <v>36</v>
      </c>
      <c r="B21" s="15" t="s">
        <v>549</v>
      </c>
      <c r="C21" s="16">
        <v>0.30555555555555552</v>
      </c>
      <c r="D21" s="15" t="s">
        <v>43</v>
      </c>
      <c r="E21" s="15" t="s">
        <v>47</v>
      </c>
      <c r="F21" s="15" t="s">
        <v>321</v>
      </c>
      <c r="G21" s="195"/>
      <c r="H21" s="10"/>
      <c r="I21" s="11"/>
      <c r="J21" s="11"/>
      <c r="K21" s="11"/>
      <c r="L21" s="11"/>
      <c r="M21" s="11"/>
      <c r="N21" s="11"/>
      <c r="O21" s="12"/>
      <c r="P21" s="11"/>
      <c r="Q21" s="13"/>
      <c r="R21" s="14"/>
    </row>
    <row r="22" spans="1:18" ht="15" customHeight="1" x14ac:dyDescent="0.3">
      <c r="A22" s="19" t="s">
        <v>36</v>
      </c>
      <c r="B22" s="19" t="s">
        <v>550</v>
      </c>
      <c r="C22" s="20">
        <v>0.82638888888888884</v>
      </c>
      <c r="D22" s="19" t="s">
        <v>38</v>
      </c>
      <c r="E22" s="19" t="s">
        <v>349</v>
      </c>
      <c r="F22" s="19" t="s">
        <v>316</v>
      </c>
      <c r="G22" s="195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</row>
    <row r="23" spans="1:18" ht="15" customHeight="1" x14ac:dyDescent="0.3">
      <c r="A23" s="15" t="s">
        <v>36</v>
      </c>
      <c r="B23" s="15" t="s">
        <v>550</v>
      </c>
      <c r="C23" s="16">
        <v>0.82638888888888884</v>
      </c>
      <c r="D23" s="15" t="s">
        <v>41</v>
      </c>
      <c r="E23" s="15" t="s">
        <v>42</v>
      </c>
      <c r="F23" s="15" t="s">
        <v>235</v>
      </c>
      <c r="G23" s="195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</row>
    <row r="24" spans="1:18" ht="15" customHeight="1" x14ac:dyDescent="0.3">
      <c r="A24" s="15" t="s">
        <v>36</v>
      </c>
      <c r="B24" s="15" t="s">
        <v>550</v>
      </c>
      <c r="C24" s="16">
        <v>0.82638888888888884</v>
      </c>
      <c r="D24" s="15" t="s">
        <v>43</v>
      </c>
      <c r="E24" s="15" t="s">
        <v>42</v>
      </c>
      <c r="F24" s="15" t="s">
        <v>321</v>
      </c>
      <c r="G24" s="195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</row>
    <row r="25" spans="1:18" ht="15" customHeight="1" x14ac:dyDescent="0.3">
      <c r="A25" s="19" t="s">
        <v>36</v>
      </c>
      <c r="B25" s="19" t="s">
        <v>551</v>
      </c>
      <c r="C25" s="20">
        <v>0.5</v>
      </c>
      <c r="D25" s="19" t="s">
        <v>38</v>
      </c>
      <c r="E25" s="19" t="s">
        <v>46</v>
      </c>
      <c r="F25" s="19" t="s">
        <v>316</v>
      </c>
      <c r="G25" s="195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</row>
    <row r="26" spans="1:18" ht="15" customHeight="1" x14ac:dyDescent="0.3">
      <c r="A26" s="15" t="s">
        <v>36</v>
      </c>
      <c r="B26" s="15" t="s">
        <v>551</v>
      </c>
      <c r="C26" s="16">
        <v>0.5</v>
      </c>
      <c r="D26" s="15" t="s">
        <v>41</v>
      </c>
      <c r="E26" s="15" t="s">
        <v>47</v>
      </c>
      <c r="F26" s="15" t="s">
        <v>235</v>
      </c>
      <c r="G26" s="195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</row>
    <row r="27" spans="1:18" ht="15" customHeight="1" x14ac:dyDescent="0.3">
      <c r="A27" s="15" t="s">
        <v>36</v>
      </c>
      <c r="B27" s="15" t="s">
        <v>551</v>
      </c>
      <c r="C27" s="16">
        <v>0.5</v>
      </c>
      <c r="D27" s="15" t="s">
        <v>43</v>
      </c>
      <c r="E27" s="15" t="s">
        <v>47</v>
      </c>
      <c r="F27" s="15" t="s">
        <v>321</v>
      </c>
      <c r="G27" s="195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</row>
    <row r="28" spans="1:18" ht="15" customHeight="1" x14ac:dyDescent="0.3">
      <c r="A28" s="19" t="s">
        <v>36</v>
      </c>
      <c r="B28" s="19" t="s">
        <v>552</v>
      </c>
      <c r="C28" s="20">
        <v>0.42708333333333331</v>
      </c>
      <c r="D28" s="19" t="s">
        <v>38</v>
      </c>
      <c r="E28" s="19" t="s">
        <v>46</v>
      </c>
      <c r="F28" s="19" t="s">
        <v>316</v>
      </c>
      <c r="G28" s="195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</row>
    <row r="29" spans="1:18" ht="15" customHeight="1" x14ac:dyDescent="0.3">
      <c r="A29" s="15" t="s">
        <v>36</v>
      </c>
      <c r="B29" s="15" t="s">
        <v>552</v>
      </c>
      <c r="C29" s="16">
        <v>0.42708333333333331</v>
      </c>
      <c r="D29" s="15" t="s">
        <v>41</v>
      </c>
      <c r="E29" s="15" t="s">
        <v>47</v>
      </c>
      <c r="F29" s="15" t="s">
        <v>235</v>
      </c>
      <c r="G29" s="195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</row>
    <row r="30" spans="1:18" ht="15" customHeight="1" x14ac:dyDescent="0.3">
      <c r="A30" s="15" t="s">
        <v>36</v>
      </c>
      <c r="B30" s="15" t="s">
        <v>552</v>
      </c>
      <c r="C30" s="16">
        <v>0.42708333333333331</v>
      </c>
      <c r="D30" s="15" t="s">
        <v>43</v>
      </c>
      <c r="E30" s="15" t="s">
        <v>47</v>
      </c>
      <c r="F30" s="15" t="s">
        <v>321</v>
      </c>
      <c r="G30" s="195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</row>
    <row r="31" spans="1:18" ht="15" customHeight="1" x14ac:dyDescent="0.3">
      <c r="A31" s="19" t="s">
        <v>36</v>
      </c>
      <c r="B31" s="19" t="s">
        <v>553</v>
      </c>
      <c r="C31" s="20">
        <v>0.6875</v>
      </c>
      <c r="D31" s="19" t="s">
        <v>38</v>
      </c>
      <c r="E31" s="19" t="s">
        <v>46</v>
      </c>
      <c r="F31" s="19" t="s">
        <v>316</v>
      </c>
      <c r="G31" s="195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</row>
    <row r="32" spans="1:18" ht="15" customHeight="1" x14ac:dyDescent="0.3">
      <c r="A32" s="15" t="s">
        <v>36</v>
      </c>
      <c r="B32" s="15" t="s">
        <v>553</v>
      </c>
      <c r="C32" s="16">
        <v>0.6875</v>
      </c>
      <c r="D32" s="15" t="s">
        <v>41</v>
      </c>
      <c r="E32" s="15" t="s">
        <v>47</v>
      </c>
      <c r="F32" s="15" t="s">
        <v>235</v>
      </c>
      <c r="G32" s="195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</row>
    <row r="33" spans="1:18" ht="15" customHeight="1" x14ac:dyDescent="0.3">
      <c r="A33" s="15" t="s">
        <v>36</v>
      </c>
      <c r="B33" s="15" t="s">
        <v>553</v>
      </c>
      <c r="C33" s="16">
        <v>0.6875</v>
      </c>
      <c r="D33" s="15" t="s">
        <v>43</v>
      </c>
      <c r="E33" s="15" t="s">
        <v>47</v>
      </c>
      <c r="F33" s="15" t="s">
        <v>321</v>
      </c>
      <c r="G33" s="195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</row>
    <row r="34" spans="1:18" ht="15" customHeight="1" x14ac:dyDescent="0.3">
      <c r="A34" s="19" t="s">
        <v>36</v>
      </c>
      <c r="B34" s="19" t="s">
        <v>554</v>
      </c>
      <c r="C34" s="20">
        <v>0.375</v>
      </c>
      <c r="D34" s="19" t="s">
        <v>38</v>
      </c>
      <c r="E34" s="19" t="s">
        <v>46</v>
      </c>
      <c r="F34" s="19" t="s">
        <v>316</v>
      </c>
      <c r="G34" s="195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</row>
    <row r="35" spans="1:18" ht="15" customHeight="1" x14ac:dyDescent="0.3">
      <c r="A35" s="15" t="s">
        <v>36</v>
      </c>
      <c r="B35" s="15" t="s">
        <v>554</v>
      </c>
      <c r="C35" s="16">
        <v>0.375</v>
      </c>
      <c r="D35" s="15" t="s">
        <v>41</v>
      </c>
      <c r="E35" s="15" t="s">
        <v>47</v>
      </c>
      <c r="F35" s="15" t="s">
        <v>235</v>
      </c>
      <c r="G35" s="195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</row>
    <row r="36" spans="1:18" ht="15" customHeight="1" x14ac:dyDescent="0.3">
      <c r="A36" s="15" t="s">
        <v>36</v>
      </c>
      <c r="B36" s="15" t="s">
        <v>554</v>
      </c>
      <c r="C36" s="16">
        <v>0.375</v>
      </c>
      <c r="D36" s="15" t="s">
        <v>43</v>
      </c>
      <c r="E36" s="15" t="s">
        <v>47</v>
      </c>
      <c r="F36" s="15" t="s">
        <v>321</v>
      </c>
      <c r="G36" s="195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</row>
    <row r="37" spans="1:18" ht="15" customHeight="1" x14ac:dyDescent="0.3">
      <c r="A37" s="19" t="s">
        <v>36</v>
      </c>
      <c r="B37" s="19" t="s">
        <v>555</v>
      </c>
      <c r="C37" s="20">
        <v>0.56597222222222221</v>
      </c>
      <c r="D37" s="19" t="s">
        <v>38</v>
      </c>
      <c r="E37" s="19" t="s">
        <v>46</v>
      </c>
      <c r="F37" s="19" t="s">
        <v>316</v>
      </c>
      <c r="G37" s="195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</row>
    <row r="38" spans="1:18" ht="15" customHeight="1" x14ac:dyDescent="0.3">
      <c r="A38" s="15" t="s">
        <v>36</v>
      </c>
      <c r="B38" s="15" t="s">
        <v>555</v>
      </c>
      <c r="C38" s="16">
        <v>0.56597222222222221</v>
      </c>
      <c r="D38" s="15" t="s">
        <v>41</v>
      </c>
      <c r="E38" s="15" t="s">
        <v>47</v>
      </c>
      <c r="F38" s="15" t="s">
        <v>235</v>
      </c>
      <c r="G38" s="195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</row>
    <row r="39" spans="1:18" ht="15" customHeight="1" x14ac:dyDescent="0.3">
      <c r="A39" s="15" t="s">
        <v>36</v>
      </c>
      <c r="B39" s="15" t="s">
        <v>555</v>
      </c>
      <c r="C39" s="16">
        <v>0.56597222222222221</v>
      </c>
      <c r="D39" s="15" t="s">
        <v>43</v>
      </c>
      <c r="E39" s="15" t="s">
        <v>47</v>
      </c>
      <c r="F39" s="15" t="s">
        <v>321</v>
      </c>
      <c r="G39" s="195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</row>
    <row r="40" spans="1:18" ht="15" customHeight="1" x14ac:dyDescent="0.3">
      <c r="A40" s="17" t="s">
        <v>260</v>
      </c>
      <c r="B40" s="17" t="s">
        <v>556</v>
      </c>
      <c r="C40" s="18">
        <v>0.66319444444444442</v>
      </c>
      <c r="D40" s="17" t="s">
        <v>262</v>
      </c>
      <c r="E40" s="17" t="s">
        <v>51</v>
      </c>
      <c r="F40" s="17" t="s">
        <v>557</v>
      </c>
      <c r="G40" s="195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</row>
    <row r="41" spans="1:18" ht="15" customHeight="1" x14ac:dyDescent="0.3">
      <c r="A41" s="56" t="s">
        <v>73</v>
      </c>
      <c r="B41" s="56" t="s">
        <v>558</v>
      </c>
      <c r="C41" s="57">
        <v>0.61111111111111105</v>
      </c>
      <c r="D41" s="56" t="s">
        <v>111</v>
      </c>
      <c r="E41" s="56" t="s">
        <v>312</v>
      </c>
      <c r="F41" s="56" t="s">
        <v>559</v>
      </c>
      <c r="G41" s="195"/>
      <c r="H41" s="58" t="s">
        <v>560</v>
      </c>
      <c r="I41" s="174">
        <v>0.83930000000000005</v>
      </c>
      <c r="J41" s="60">
        <v>141</v>
      </c>
      <c r="K41" s="61">
        <v>45981</v>
      </c>
      <c r="L41" s="60">
        <v>52</v>
      </c>
      <c r="M41" s="60">
        <v>24</v>
      </c>
      <c r="N41" s="60">
        <v>23</v>
      </c>
      <c r="O41" s="62" t="s">
        <v>561</v>
      </c>
      <c r="P41" s="63">
        <v>0.61111111111111105</v>
      </c>
      <c r="Q41" s="60">
        <v>168</v>
      </c>
      <c r="R41" s="64" t="s">
        <v>562</v>
      </c>
    </row>
    <row r="42" spans="1:18" ht="15" customHeight="1" x14ac:dyDescent="0.3">
      <c r="A42" s="17" t="s">
        <v>48</v>
      </c>
      <c r="B42" s="17" t="s">
        <v>563</v>
      </c>
      <c r="C42" s="18">
        <v>0.92013888888888884</v>
      </c>
      <c r="D42" s="17" t="s">
        <v>50</v>
      </c>
      <c r="E42" s="17" t="s">
        <v>51</v>
      </c>
      <c r="F42" s="17" t="s">
        <v>564</v>
      </c>
      <c r="G42" s="195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</row>
    <row r="43" spans="1:18" ht="15" customHeight="1" x14ac:dyDescent="0.3">
      <c r="A43" s="19" t="s">
        <v>48</v>
      </c>
      <c r="B43" s="19" t="s">
        <v>565</v>
      </c>
      <c r="C43" s="20">
        <v>0.54166666666666663</v>
      </c>
      <c r="D43" s="19" t="s">
        <v>50</v>
      </c>
      <c r="E43" s="19" t="s">
        <v>92</v>
      </c>
      <c r="F43" s="19" t="s">
        <v>566</v>
      </c>
      <c r="G43" s="195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</row>
    <row r="44" spans="1:18" ht="15" customHeight="1" x14ac:dyDescent="0.3">
      <c r="A44" s="19" t="s">
        <v>48</v>
      </c>
      <c r="B44" s="19" t="s">
        <v>567</v>
      </c>
      <c r="C44" s="20">
        <v>0.16666666666666671</v>
      </c>
      <c r="D44" s="19" t="s">
        <v>50</v>
      </c>
      <c r="E44" s="19" t="s">
        <v>92</v>
      </c>
      <c r="F44" s="19" t="s">
        <v>568</v>
      </c>
      <c r="G44" s="195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</row>
    <row r="45" spans="1:18" ht="15" customHeight="1" x14ac:dyDescent="0.3">
      <c r="A45" s="17" t="s">
        <v>56</v>
      </c>
      <c r="B45" s="17" t="s">
        <v>569</v>
      </c>
      <c r="C45" s="18">
        <v>0.81597222222222221</v>
      </c>
      <c r="D45" s="17" t="s">
        <v>61</v>
      </c>
      <c r="E45" s="17" t="s">
        <v>86</v>
      </c>
      <c r="F45" s="17" t="s">
        <v>570</v>
      </c>
      <c r="G45" s="195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</row>
    <row r="46" spans="1:18" ht="15" customHeight="1" x14ac:dyDescent="0.3">
      <c r="A46" s="19" t="s">
        <v>56</v>
      </c>
      <c r="B46" s="19" t="s">
        <v>571</v>
      </c>
      <c r="C46" s="20">
        <v>0.2986111111111111</v>
      </c>
      <c r="D46" s="19" t="s">
        <v>58</v>
      </c>
      <c r="E46" s="19" t="s">
        <v>92</v>
      </c>
      <c r="F46" s="19" t="s">
        <v>572</v>
      </c>
      <c r="G46" s="195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</row>
    <row r="47" spans="1:18" ht="15" customHeight="1" x14ac:dyDescent="0.3">
      <c r="A47" s="15" t="s">
        <v>56</v>
      </c>
      <c r="B47" s="15" t="s">
        <v>571</v>
      </c>
      <c r="C47" s="16">
        <v>0.2986111111111111</v>
      </c>
      <c r="D47" s="15" t="s">
        <v>61</v>
      </c>
      <c r="E47" s="15" t="s">
        <v>94</v>
      </c>
      <c r="F47" s="15" t="s">
        <v>573</v>
      </c>
      <c r="G47" s="195"/>
      <c r="H47" s="10"/>
      <c r="I47" s="11"/>
      <c r="J47" s="11"/>
      <c r="K47" s="11"/>
      <c r="L47" s="11"/>
      <c r="M47" s="11"/>
      <c r="N47" s="11"/>
      <c r="O47" s="12"/>
      <c r="P47" s="11"/>
      <c r="Q47" s="13"/>
      <c r="R47" s="14"/>
    </row>
    <row r="48" spans="1:18" ht="15" customHeight="1" x14ac:dyDescent="0.3">
      <c r="A48" s="19" t="s">
        <v>56</v>
      </c>
      <c r="B48" s="19" t="s">
        <v>574</v>
      </c>
      <c r="C48" s="20">
        <v>0.68402777777777779</v>
      </c>
      <c r="D48" s="19" t="s">
        <v>58</v>
      </c>
      <c r="E48" s="19" t="s">
        <v>92</v>
      </c>
      <c r="F48" s="19" t="s">
        <v>572</v>
      </c>
      <c r="G48" s="195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</row>
    <row r="49" spans="1:18" ht="15" customHeight="1" x14ac:dyDescent="0.3">
      <c r="A49" s="15" t="s">
        <v>56</v>
      </c>
      <c r="B49" s="15" t="s">
        <v>574</v>
      </c>
      <c r="C49" s="16">
        <v>0.68402777777777779</v>
      </c>
      <c r="D49" s="15" t="s">
        <v>61</v>
      </c>
      <c r="E49" s="15" t="s">
        <v>94</v>
      </c>
      <c r="F49" s="15" t="s">
        <v>573</v>
      </c>
      <c r="G49" s="195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</row>
    <row r="50" spans="1:18" ht="15" customHeight="1" x14ac:dyDescent="0.3">
      <c r="A50" s="19" t="s">
        <v>56</v>
      </c>
      <c r="B50" s="19" t="s">
        <v>575</v>
      </c>
      <c r="C50" s="20">
        <v>0.83680555555555547</v>
      </c>
      <c r="D50" s="19" t="s">
        <v>58</v>
      </c>
      <c r="E50" s="19" t="s">
        <v>92</v>
      </c>
      <c r="F50" s="19" t="s">
        <v>572</v>
      </c>
      <c r="G50" s="195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</row>
    <row r="51" spans="1:18" ht="15" customHeight="1" x14ac:dyDescent="0.3">
      <c r="A51" s="15" t="s">
        <v>56</v>
      </c>
      <c r="B51" s="15" t="s">
        <v>575</v>
      </c>
      <c r="C51" s="16">
        <v>0.83680555555555547</v>
      </c>
      <c r="D51" s="15" t="s">
        <v>61</v>
      </c>
      <c r="E51" s="15" t="s">
        <v>94</v>
      </c>
      <c r="F51" s="15" t="s">
        <v>573</v>
      </c>
      <c r="G51" s="195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</row>
    <row r="52" spans="1:18" ht="15" customHeight="1" x14ac:dyDescent="0.3">
      <c r="A52" s="19" t="s">
        <v>56</v>
      </c>
      <c r="B52" s="19" t="s">
        <v>576</v>
      </c>
      <c r="C52" s="20">
        <v>0.4826388888888889</v>
      </c>
      <c r="D52" s="19" t="s">
        <v>353</v>
      </c>
      <c r="E52" s="19" t="s">
        <v>92</v>
      </c>
      <c r="F52" s="19" t="s">
        <v>572</v>
      </c>
      <c r="G52" s="195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</row>
    <row r="53" spans="1:18" ht="15" customHeight="1" x14ac:dyDescent="0.3">
      <c r="A53" s="15" t="s">
        <v>56</v>
      </c>
      <c r="B53" s="15" t="s">
        <v>576</v>
      </c>
      <c r="C53" s="16">
        <v>0.4826388888888889</v>
      </c>
      <c r="D53" s="15" t="s">
        <v>58</v>
      </c>
      <c r="E53" s="15" t="s">
        <v>94</v>
      </c>
      <c r="F53" s="15" t="s">
        <v>572</v>
      </c>
      <c r="G53" s="195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</row>
    <row r="54" spans="1:18" ht="15" customHeight="1" x14ac:dyDescent="0.3">
      <c r="A54" s="15" t="s">
        <v>56</v>
      </c>
      <c r="B54" s="15" t="s">
        <v>576</v>
      </c>
      <c r="C54" s="16">
        <v>0.4826388888888889</v>
      </c>
      <c r="D54" s="15" t="s">
        <v>61</v>
      </c>
      <c r="E54" s="15" t="s">
        <v>94</v>
      </c>
      <c r="F54" s="15" t="s">
        <v>573</v>
      </c>
      <c r="G54" s="195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</row>
    <row r="55" spans="1:18" ht="15" customHeight="1" x14ac:dyDescent="0.3">
      <c r="A55" s="19" t="s">
        <v>56</v>
      </c>
      <c r="B55" s="19" t="s">
        <v>577</v>
      </c>
      <c r="C55" s="20">
        <v>0.76041666666666663</v>
      </c>
      <c r="D55" s="19" t="s">
        <v>61</v>
      </c>
      <c r="E55" s="19" t="s">
        <v>65</v>
      </c>
      <c r="F55" s="19" t="s">
        <v>578</v>
      </c>
      <c r="G55" s="195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</row>
    <row r="56" spans="1:18" ht="15" customHeight="1" thickBot="1" x14ac:dyDescent="0.35">
      <c r="A56" s="138" t="s">
        <v>56</v>
      </c>
      <c r="B56" s="138" t="s">
        <v>579</v>
      </c>
      <c r="C56" s="139">
        <v>0.5</v>
      </c>
      <c r="D56" s="138" t="s">
        <v>61</v>
      </c>
      <c r="E56" s="138" t="s">
        <v>65</v>
      </c>
      <c r="F56" s="138" t="s">
        <v>578</v>
      </c>
      <c r="G56" s="196"/>
      <c r="H56" s="51"/>
      <c r="I56" s="52"/>
      <c r="J56" s="52"/>
      <c r="K56" s="52"/>
      <c r="L56" s="52"/>
      <c r="M56" s="52"/>
      <c r="N56" s="52"/>
      <c r="O56" s="53"/>
      <c r="P56" s="52"/>
      <c r="Q56" s="54"/>
      <c r="R56" s="55"/>
    </row>
    <row r="57" spans="1:18" ht="17.399999999999999" customHeight="1" thickBot="1" x14ac:dyDescent="0.35">
      <c r="A57" s="222"/>
      <c r="B57" s="223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</row>
    <row r="58" spans="1:18" ht="22.05" customHeight="1" thickTop="1" thickBot="1" x14ac:dyDescent="0.35">
      <c r="A58" s="193" t="s">
        <v>6</v>
      </c>
      <c r="B58" s="191"/>
      <c r="C58" s="191"/>
      <c r="D58" s="191"/>
      <c r="E58" s="191"/>
      <c r="F58" s="192"/>
      <c r="G58" s="31">
        <v>45984</v>
      </c>
      <c r="H58" s="190" t="s">
        <v>7</v>
      </c>
      <c r="I58" s="191"/>
      <c r="J58" s="191"/>
      <c r="K58" s="191"/>
      <c r="L58" s="191"/>
      <c r="M58" s="191"/>
      <c r="N58" s="191"/>
      <c r="O58" s="191"/>
      <c r="P58" s="191"/>
      <c r="Q58" s="191"/>
      <c r="R58" s="192"/>
    </row>
    <row r="59" spans="1:18" ht="24" customHeight="1" x14ac:dyDescent="0.3">
      <c r="A59" s="32" t="s">
        <v>8</v>
      </c>
      <c r="B59" s="32" t="s">
        <v>9</v>
      </c>
      <c r="C59" s="33" t="s">
        <v>10</v>
      </c>
      <c r="D59" s="32" t="s">
        <v>11</v>
      </c>
      <c r="E59" s="32" t="s">
        <v>12</v>
      </c>
      <c r="F59" s="34" t="s">
        <v>13</v>
      </c>
      <c r="G59" s="35" t="s">
        <v>14</v>
      </c>
      <c r="H59" s="32" t="s">
        <v>15</v>
      </c>
      <c r="I59" s="36" t="s">
        <v>16</v>
      </c>
      <c r="J59" s="37" t="s">
        <v>17</v>
      </c>
      <c r="K59" s="38" t="s">
        <v>18</v>
      </c>
      <c r="L59" s="37" t="s">
        <v>19</v>
      </c>
      <c r="M59" s="37" t="s">
        <v>20</v>
      </c>
      <c r="N59" s="37" t="s">
        <v>21</v>
      </c>
      <c r="O59" s="32" t="s">
        <v>22</v>
      </c>
      <c r="P59" s="33" t="s">
        <v>23</v>
      </c>
      <c r="Q59" s="37" t="s">
        <v>24</v>
      </c>
      <c r="R59" s="32" t="s">
        <v>25</v>
      </c>
    </row>
    <row r="60" spans="1:18" ht="15" customHeight="1" x14ac:dyDescent="0.3">
      <c r="A60" s="8" t="s">
        <v>26</v>
      </c>
      <c r="B60" s="8" t="s">
        <v>548</v>
      </c>
      <c r="C60" s="9">
        <v>0.76041666666666663</v>
      </c>
      <c r="D60" s="8" t="s">
        <v>28</v>
      </c>
      <c r="E60" s="8" t="s">
        <v>580</v>
      </c>
      <c r="F60" s="8" t="s">
        <v>581</v>
      </c>
      <c r="G60" s="205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</row>
    <row r="61" spans="1:18" ht="15" customHeight="1" x14ac:dyDescent="0.3">
      <c r="A61" s="15" t="s">
        <v>26</v>
      </c>
      <c r="B61" s="15" t="s">
        <v>548</v>
      </c>
      <c r="C61" s="16">
        <v>0.76041666666666663</v>
      </c>
      <c r="D61" s="15" t="s">
        <v>31</v>
      </c>
      <c r="E61" s="15" t="s">
        <v>582</v>
      </c>
      <c r="F61" s="15" t="s">
        <v>319</v>
      </c>
      <c r="G61" s="195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</row>
    <row r="62" spans="1:18" ht="15" customHeight="1" x14ac:dyDescent="0.3">
      <c r="A62" s="15" t="s">
        <v>26</v>
      </c>
      <c r="B62" s="15" t="s">
        <v>548</v>
      </c>
      <c r="C62" s="16">
        <v>0.76041666666666663</v>
      </c>
      <c r="D62" s="15" t="s">
        <v>34</v>
      </c>
      <c r="E62" s="15" t="s">
        <v>582</v>
      </c>
      <c r="F62" s="15" t="s">
        <v>544</v>
      </c>
      <c r="G62" s="195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</row>
    <row r="63" spans="1:18" ht="15" customHeight="1" x14ac:dyDescent="0.3">
      <c r="A63" s="19" t="s">
        <v>26</v>
      </c>
      <c r="B63" s="19" t="s">
        <v>543</v>
      </c>
      <c r="C63" s="20">
        <v>0.81597222222222221</v>
      </c>
      <c r="D63" s="19" t="s">
        <v>28</v>
      </c>
      <c r="E63" s="19" t="s">
        <v>583</v>
      </c>
      <c r="F63" s="19" t="s">
        <v>581</v>
      </c>
      <c r="G63" s="195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</row>
    <row r="64" spans="1:18" ht="15" customHeight="1" x14ac:dyDescent="0.3">
      <c r="A64" s="15" t="s">
        <v>26</v>
      </c>
      <c r="B64" s="15" t="s">
        <v>543</v>
      </c>
      <c r="C64" s="16">
        <v>0.81597222222222221</v>
      </c>
      <c r="D64" s="15" t="s">
        <v>31</v>
      </c>
      <c r="E64" s="15" t="s">
        <v>80</v>
      </c>
      <c r="F64" s="15" t="s">
        <v>319</v>
      </c>
      <c r="G64" s="195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</row>
    <row r="65" spans="1:18" ht="15" customHeight="1" x14ac:dyDescent="0.3">
      <c r="A65" s="15" t="s">
        <v>26</v>
      </c>
      <c r="B65" s="15" t="s">
        <v>543</v>
      </c>
      <c r="C65" s="16">
        <v>0.81597222222222221</v>
      </c>
      <c r="D65" s="15" t="s">
        <v>34</v>
      </c>
      <c r="E65" s="15" t="s">
        <v>80</v>
      </c>
      <c r="F65" s="15" t="s">
        <v>544</v>
      </c>
      <c r="G65" s="195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</row>
    <row r="66" spans="1:18" ht="15" customHeight="1" x14ac:dyDescent="0.3">
      <c r="A66" s="19" t="s">
        <v>26</v>
      </c>
      <c r="B66" s="19" t="s">
        <v>545</v>
      </c>
      <c r="C66" s="20">
        <v>0.44791666666666669</v>
      </c>
      <c r="D66" s="19" t="s">
        <v>28</v>
      </c>
      <c r="E66" s="19" t="s">
        <v>243</v>
      </c>
      <c r="F66" s="19" t="s">
        <v>584</v>
      </c>
      <c r="G66" s="195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</row>
    <row r="67" spans="1:18" ht="15" customHeight="1" x14ac:dyDescent="0.3">
      <c r="A67" s="15" t="s">
        <v>26</v>
      </c>
      <c r="B67" s="15" t="s">
        <v>545</v>
      </c>
      <c r="C67" s="16">
        <v>0.44791666666666669</v>
      </c>
      <c r="D67" s="15" t="s">
        <v>31</v>
      </c>
      <c r="E67" s="15" t="s">
        <v>244</v>
      </c>
      <c r="F67" s="15" t="s">
        <v>585</v>
      </c>
      <c r="G67" s="195"/>
      <c r="H67" s="10"/>
      <c r="I67" s="11"/>
      <c r="J67" s="11"/>
      <c r="K67" s="11"/>
      <c r="L67" s="11"/>
      <c r="M67" s="11"/>
      <c r="N67" s="11"/>
      <c r="O67" s="12"/>
      <c r="P67" s="11"/>
      <c r="Q67" s="13"/>
      <c r="R67" s="14"/>
    </row>
    <row r="68" spans="1:18" ht="15" customHeight="1" x14ac:dyDescent="0.3">
      <c r="A68" s="15" t="s">
        <v>26</v>
      </c>
      <c r="B68" s="15" t="s">
        <v>545</v>
      </c>
      <c r="C68" s="16">
        <v>0.44791666666666669</v>
      </c>
      <c r="D68" s="15" t="s">
        <v>34</v>
      </c>
      <c r="E68" s="15" t="s">
        <v>244</v>
      </c>
      <c r="F68" s="15" t="s">
        <v>544</v>
      </c>
      <c r="G68" s="195"/>
      <c r="H68" s="10"/>
      <c r="I68" s="11"/>
      <c r="J68" s="11"/>
      <c r="K68" s="11"/>
      <c r="L68" s="11"/>
      <c r="M68" s="11"/>
      <c r="N68" s="11"/>
      <c r="O68" s="12"/>
      <c r="P68" s="11"/>
      <c r="Q68" s="13"/>
      <c r="R68" s="14"/>
    </row>
    <row r="69" spans="1:18" ht="15" customHeight="1" x14ac:dyDescent="0.3">
      <c r="A69" s="19" t="s">
        <v>26</v>
      </c>
      <c r="B69" s="19" t="s">
        <v>547</v>
      </c>
      <c r="C69" s="20">
        <v>0.5</v>
      </c>
      <c r="D69" s="19" t="s">
        <v>28</v>
      </c>
      <c r="E69" s="19" t="s">
        <v>315</v>
      </c>
      <c r="F69" s="19" t="s">
        <v>584</v>
      </c>
      <c r="G69" s="195"/>
      <c r="H69" s="10"/>
      <c r="I69" s="11"/>
      <c r="J69" s="11"/>
      <c r="K69" s="11"/>
      <c r="L69" s="11"/>
      <c r="M69" s="11"/>
      <c r="N69" s="11"/>
      <c r="O69" s="12"/>
      <c r="P69" s="11"/>
      <c r="Q69" s="13"/>
      <c r="R69" s="14"/>
    </row>
    <row r="70" spans="1:18" ht="15" customHeight="1" x14ac:dyDescent="0.3">
      <c r="A70" s="15" t="s">
        <v>26</v>
      </c>
      <c r="B70" s="15" t="s">
        <v>547</v>
      </c>
      <c r="C70" s="16">
        <v>0.5</v>
      </c>
      <c r="D70" s="15" t="s">
        <v>31</v>
      </c>
      <c r="E70" s="15" t="s">
        <v>103</v>
      </c>
      <c r="F70" s="15" t="s">
        <v>585</v>
      </c>
      <c r="G70" s="195"/>
      <c r="H70" s="10"/>
      <c r="I70" s="11"/>
      <c r="J70" s="11"/>
      <c r="K70" s="11"/>
      <c r="L70" s="11"/>
      <c r="M70" s="11"/>
      <c r="N70" s="11"/>
      <c r="O70" s="12"/>
      <c r="P70" s="11"/>
      <c r="Q70" s="13"/>
      <c r="R70" s="14"/>
    </row>
    <row r="71" spans="1:18" ht="15" customHeight="1" x14ac:dyDescent="0.3">
      <c r="A71" s="15" t="s">
        <v>26</v>
      </c>
      <c r="B71" s="15" t="s">
        <v>547</v>
      </c>
      <c r="C71" s="16">
        <v>0.5</v>
      </c>
      <c r="D71" s="15" t="s">
        <v>34</v>
      </c>
      <c r="E71" s="15" t="s">
        <v>103</v>
      </c>
      <c r="F71" s="15" t="s">
        <v>544</v>
      </c>
      <c r="G71" s="195"/>
      <c r="H71" s="10"/>
      <c r="I71" s="11"/>
      <c r="J71" s="11"/>
      <c r="K71" s="11"/>
      <c r="L71" s="11"/>
      <c r="M71" s="11"/>
      <c r="N71" s="11"/>
      <c r="O71" s="12"/>
      <c r="P71" s="11"/>
      <c r="Q71" s="13"/>
      <c r="R71" s="14"/>
    </row>
    <row r="72" spans="1:18" ht="15" customHeight="1" x14ac:dyDescent="0.3">
      <c r="A72" s="17" t="s">
        <v>264</v>
      </c>
      <c r="B72" s="17" t="s">
        <v>586</v>
      </c>
      <c r="C72" s="18">
        <v>0.58680555555555558</v>
      </c>
      <c r="D72" s="17" t="s">
        <v>111</v>
      </c>
      <c r="E72" s="17" t="s">
        <v>86</v>
      </c>
      <c r="F72" s="17" t="s">
        <v>356</v>
      </c>
      <c r="G72" s="195"/>
      <c r="H72" s="10"/>
      <c r="I72" s="11"/>
      <c r="J72" s="11"/>
      <c r="K72" s="11"/>
      <c r="L72" s="11"/>
      <c r="M72" s="11"/>
      <c r="N72" s="11"/>
      <c r="O72" s="12"/>
      <c r="P72" s="11"/>
      <c r="Q72" s="13"/>
      <c r="R72" s="14"/>
    </row>
    <row r="73" spans="1:18" ht="15" customHeight="1" x14ac:dyDescent="0.3">
      <c r="A73" s="17" t="s">
        <v>36</v>
      </c>
      <c r="B73" s="17" t="s">
        <v>550</v>
      </c>
      <c r="C73" s="18">
        <v>0.82638888888888884</v>
      </c>
      <c r="D73" s="17" t="s">
        <v>38</v>
      </c>
      <c r="E73" s="17" t="s">
        <v>106</v>
      </c>
      <c r="F73" s="17" t="s">
        <v>400</v>
      </c>
      <c r="G73" s="195"/>
      <c r="H73" s="10"/>
      <c r="I73" s="11"/>
      <c r="J73" s="11"/>
      <c r="K73" s="11"/>
      <c r="L73" s="11"/>
      <c r="M73" s="11"/>
      <c r="N73" s="11"/>
      <c r="O73" s="12"/>
      <c r="P73" s="11"/>
      <c r="Q73" s="13"/>
      <c r="R73" s="14"/>
    </row>
    <row r="74" spans="1:18" ht="15" customHeight="1" x14ac:dyDescent="0.3">
      <c r="A74" s="15" t="s">
        <v>36</v>
      </c>
      <c r="B74" s="15" t="s">
        <v>550</v>
      </c>
      <c r="C74" s="16">
        <v>0.82638888888888884</v>
      </c>
      <c r="D74" s="15" t="s">
        <v>41</v>
      </c>
      <c r="E74" s="15" t="s">
        <v>69</v>
      </c>
      <c r="F74" s="15" t="s">
        <v>319</v>
      </c>
      <c r="G74" s="195"/>
      <c r="H74" s="10"/>
      <c r="I74" s="11"/>
      <c r="J74" s="11"/>
      <c r="K74" s="11"/>
      <c r="L74" s="11"/>
      <c r="M74" s="11"/>
      <c r="N74" s="11"/>
      <c r="O74" s="12"/>
      <c r="P74" s="11"/>
      <c r="Q74" s="13"/>
      <c r="R74" s="14"/>
    </row>
    <row r="75" spans="1:18" ht="15" customHeight="1" x14ac:dyDescent="0.3">
      <c r="A75" s="15" t="s">
        <v>36</v>
      </c>
      <c r="B75" s="15" t="s">
        <v>550</v>
      </c>
      <c r="C75" s="16">
        <v>0.82638888888888884</v>
      </c>
      <c r="D75" s="15" t="s">
        <v>43</v>
      </c>
      <c r="E75" s="15" t="s">
        <v>69</v>
      </c>
      <c r="F75" s="15" t="s">
        <v>107</v>
      </c>
      <c r="G75" s="195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</row>
    <row r="76" spans="1:18" ht="15" customHeight="1" x14ac:dyDescent="0.3">
      <c r="A76" s="19" t="s">
        <v>36</v>
      </c>
      <c r="B76" s="19" t="s">
        <v>551</v>
      </c>
      <c r="C76" s="20">
        <v>0.5</v>
      </c>
      <c r="D76" s="19" t="s">
        <v>38</v>
      </c>
      <c r="E76" s="19" t="s">
        <v>88</v>
      </c>
      <c r="F76" s="19" t="s">
        <v>400</v>
      </c>
      <c r="G76" s="195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</row>
    <row r="77" spans="1:18" ht="15" customHeight="1" x14ac:dyDescent="0.3">
      <c r="A77" s="15" t="s">
        <v>36</v>
      </c>
      <c r="B77" s="15" t="s">
        <v>551</v>
      </c>
      <c r="C77" s="16">
        <v>0.5</v>
      </c>
      <c r="D77" s="15" t="s">
        <v>41</v>
      </c>
      <c r="E77" s="15" t="s">
        <v>228</v>
      </c>
      <c r="F77" s="15" t="s">
        <v>319</v>
      </c>
      <c r="G77" s="195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</row>
    <row r="78" spans="1:18" ht="15" customHeight="1" x14ac:dyDescent="0.3">
      <c r="A78" s="15" t="s">
        <v>36</v>
      </c>
      <c r="B78" s="15" t="s">
        <v>551</v>
      </c>
      <c r="C78" s="16">
        <v>0.5</v>
      </c>
      <c r="D78" s="15" t="s">
        <v>43</v>
      </c>
      <c r="E78" s="15" t="s">
        <v>228</v>
      </c>
      <c r="F78" s="15" t="s">
        <v>107</v>
      </c>
      <c r="G78" s="195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</row>
    <row r="79" spans="1:18" ht="15" customHeight="1" x14ac:dyDescent="0.3">
      <c r="A79" s="19" t="s">
        <v>36</v>
      </c>
      <c r="B79" s="19" t="s">
        <v>553</v>
      </c>
      <c r="C79" s="20">
        <v>0.6875</v>
      </c>
      <c r="D79" s="19" t="s">
        <v>38</v>
      </c>
      <c r="E79" s="19" t="s">
        <v>54</v>
      </c>
      <c r="F79" s="19" t="s">
        <v>400</v>
      </c>
      <c r="G79" s="195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</row>
    <row r="80" spans="1:18" ht="15" customHeight="1" x14ac:dyDescent="0.3">
      <c r="A80" s="15" t="s">
        <v>36</v>
      </c>
      <c r="B80" s="15" t="s">
        <v>553</v>
      </c>
      <c r="C80" s="16">
        <v>0.6875</v>
      </c>
      <c r="D80" s="15" t="s">
        <v>41</v>
      </c>
      <c r="E80" s="15" t="s">
        <v>69</v>
      </c>
      <c r="F80" s="15" t="s">
        <v>319</v>
      </c>
      <c r="G80" s="195"/>
      <c r="H80" s="10"/>
      <c r="I80" s="11"/>
      <c r="J80" s="11"/>
      <c r="K80" s="11"/>
      <c r="L80" s="11"/>
      <c r="M80" s="11"/>
      <c r="N80" s="11"/>
      <c r="O80" s="12"/>
      <c r="P80" s="11"/>
      <c r="Q80" s="13"/>
      <c r="R80" s="14"/>
    </row>
    <row r="81" spans="1:18" ht="15" customHeight="1" x14ac:dyDescent="0.3">
      <c r="A81" s="15" t="s">
        <v>36</v>
      </c>
      <c r="B81" s="15" t="s">
        <v>553</v>
      </c>
      <c r="C81" s="16">
        <v>0.6875</v>
      </c>
      <c r="D81" s="15" t="s">
        <v>43</v>
      </c>
      <c r="E81" s="15" t="s">
        <v>69</v>
      </c>
      <c r="F81" s="15" t="s">
        <v>107</v>
      </c>
      <c r="G81" s="195"/>
      <c r="H81" s="10"/>
      <c r="I81" s="11"/>
      <c r="J81" s="11"/>
      <c r="K81" s="11"/>
      <c r="L81" s="11"/>
      <c r="M81" s="11"/>
      <c r="N81" s="11"/>
      <c r="O81" s="12"/>
      <c r="P81" s="11"/>
      <c r="Q81" s="13"/>
      <c r="R81" s="14"/>
    </row>
    <row r="82" spans="1:18" ht="15" customHeight="1" x14ac:dyDescent="0.3">
      <c r="A82" s="19" t="s">
        <v>36</v>
      </c>
      <c r="B82" s="19" t="s">
        <v>555</v>
      </c>
      <c r="C82" s="20">
        <v>0.56597222222222221</v>
      </c>
      <c r="D82" s="19" t="s">
        <v>38</v>
      </c>
      <c r="E82" s="19" t="s">
        <v>117</v>
      </c>
      <c r="F82" s="19" t="s">
        <v>400</v>
      </c>
      <c r="G82" s="195"/>
      <c r="H82" s="10"/>
      <c r="I82" s="11"/>
      <c r="J82" s="11"/>
      <c r="K82" s="11"/>
      <c r="L82" s="11"/>
      <c r="M82" s="11"/>
      <c r="N82" s="11"/>
      <c r="O82" s="12"/>
      <c r="P82" s="11"/>
      <c r="Q82" s="13"/>
      <c r="R82" s="14"/>
    </row>
    <row r="83" spans="1:18" ht="15" customHeight="1" x14ac:dyDescent="0.3">
      <c r="A83" s="15" t="s">
        <v>36</v>
      </c>
      <c r="B83" s="15" t="s">
        <v>555</v>
      </c>
      <c r="C83" s="16">
        <v>0.56597222222222221</v>
      </c>
      <c r="D83" s="15" t="s">
        <v>41</v>
      </c>
      <c r="E83" s="15" t="s">
        <v>83</v>
      </c>
      <c r="F83" s="15" t="s">
        <v>319</v>
      </c>
      <c r="G83" s="195"/>
      <c r="H83" s="10"/>
      <c r="I83" s="11"/>
      <c r="J83" s="11"/>
      <c r="K83" s="11"/>
      <c r="L83" s="11"/>
      <c r="M83" s="11"/>
      <c r="N83" s="11"/>
      <c r="O83" s="12"/>
      <c r="P83" s="11"/>
      <c r="Q83" s="13"/>
      <c r="R83" s="14"/>
    </row>
    <row r="84" spans="1:18" ht="15" customHeight="1" x14ac:dyDescent="0.3">
      <c r="A84" s="15" t="s">
        <v>36</v>
      </c>
      <c r="B84" s="15" t="s">
        <v>555</v>
      </c>
      <c r="C84" s="16">
        <v>0.56597222222222221</v>
      </c>
      <c r="D84" s="15" t="s">
        <v>43</v>
      </c>
      <c r="E84" s="15" t="s">
        <v>83</v>
      </c>
      <c r="F84" s="15" t="s">
        <v>107</v>
      </c>
      <c r="G84" s="195"/>
      <c r="H84" s="10"/>
      <c r="I84" s="11"/>
      <c r="J84" s="11"/>
      <c r="K84" s="11"/>
      <c r="L84" s="11"/>
      <c r="M84" s="11"/>
      <c r="N84" s="11"/>
      <c r="O84" s="12"/>
      <c r="P84" s="11"/>
      <c r="Q84" s="13"/>
      <c r="R84" s="14"/>
    </row>
    <row r="85" spans="1:18" ht="15" customHeight="1" x14ac:dyDescent="0.3">
      <c r="A85" s="19" t="s">
        <v>36</v>
      </c>
      <c r="B85" s="19" t="s">
        <v>552</v>
      </c>
      <c r="C85" s="20">
        <v>0.42708333333333331</v>
      </c>
      <c r="D85" s="19" t="s">
        <v>38</v>
      </c>
      <c r="E85" s="19" t="s">
        <v>65</v>
      </c>
      <c r="F85" s="19" t="s">
        <v>401</v>
      </c>
      <c r="G85" s="195"/>
      <c r="H85" s="10"/>
      <c r="I85" s="11"/>
      <c r="J85" s="11"/>
      <c r="K85" s="11"/>
      <c r="L85" s="11"/>
      <c r="M85" s="11"/>
      <c r="N85" s="11"/>
      <c r="O85" s="12"/>
      <c r="P85" s="11"/>
      <c r="Q85" s="13"/>
      <c r="R85" s="14"/>
    </row>
    <row r="86" spans="1:18" ht="15" customHeight="1" x14ac:dyDescent="0.3">
      <c r="A86" s="15" t="s">
        <v>36</v>
      </c>
      <c r="B86" s="15" t="s">
        <v>552</v>
      </c>
      <c r="C86" s="16">
        <v>0.42708333333333331</v>
      </c>
      <c r="D86" s="15" t="s">
        <v>41</v>
      </c>
      <c r="E86" s="15" t="s">
        <v>239</v>
      </c>
      <c r="F86" s="15" t="s">
        <v>316</v>
      </c>
      <c r="G86" s="195"/>
      <c r="H86" s="10"/>
      <c r="I86" s="11"/>
      <c r="J86" s="11"/>
      <c r="K86" s="11"/>
      <c r="L86" s="11"/>
      <c r="M86" s="11"/>
      <c r="N86" s="11"/>
      <c r="O86" s="12"/>
      <c r="P86" s="11"/>
      <c r="Q86" s="13"/>
      <c r="R86" s="14"/>
    </row>
    <row r="87" spans="1:18" ht="15" customHeight="1" x14ac:dyDescent="0.3">
      <c r="A87" s="15" t="s">
        <v>36</v>
      </c>
      <c r="B87" s="15" t="s">
        <v>552</v>
      </c>
      <c r="C87" s="16">
        <v>0.42708333333333331</v>
      </c>
      <c r="D87" s="15" t="s">
        <v>43</v>
      </c>
      <c r="E87" s="15" t="s">
        <v>239</v>
      </c>
      <c r="F87" s="15" t="s">
        <v>402</v>
      </c>
      <c r="G87" s="195"/>
      <c r="H87" s="10"/>
      <c r="I87" s="11"/>
      <c r="J87" s="11"/>
      <c r="K87" s="11"/>
      <c r="L87" s="11"/>
      <c r="M87" s="11"/>
      <c r="N87" s="11"/>
      <c r="O87" s="12"/>
      <c r="P87" s="11"/>
      <c r="Q87" s="13"/>
      <c r="R87" s="14"/>
    </row>
    <row r="88" spans="1:18" ht="15" customHeight="1" x14ac:dyDescent="0.3">
      <c r="A88" s="19" t="s">
        <v>36</v>
      </c>
      <c r="B88" s="19" t="s">
        <v>554</v>
      </c>
      <c r="C88" s="20">
        <v>0.375</v>
      </c>
      <c r="D88" s="19" t="s">
        <v>38</v>
      </c>
      <c r="E88" s="19" t="s">
        <v>65</v>
      </c>
      <c r="F88" s="19" t="s">
        <v>401</v>
      </c>
      <c r="G88" s="195"/>
      <c r="H88" s="10"/>
      <c r="I88" s="11"/>
      <c r="J88" s="11"/>
      <c r="K88" s="11"/>
      <c r="L88" s="11"/>
      <c r="M88" s="11"/>
      <c r="N88" s="11"/>
      <c r="O88" s="12"/>
      <c r="P88" s="11"/>
      <c r="Q88" s="13"/>
      <c r="R88" s="14"/>
    </row>
    <row r="89" spans="1:18" ht="15" customHeight="1" x14ac:dyDescent="0.3">
      <c r="A89" s="15" t="s">
        <v>36</v>
      </c>
      <c r="B89" s="15" t="s">
        <v>554</v>
      </c>
      <c r="C89" s="16">
        <v>0.375</v>
      </c>
      <c r="D89" s="15" t="s">
        <v>41</v>
      </c>
      <c r="E89" s="15" t="s">
        <v>239</v>
      </c>
      <c r="F89" s="15" t="s">
        <v>316</v>
      </c>
      <c r="G89" s="195"/>
      <c r="H89" s="10"/>
      <c r="I89" s="11"/>
      <c r="J89" s="11"/>
      <c r="K89" s="11"/>
      <c r="L89" s="11"/>
      <c r="M89" s="11"/>
      <c r="N89" s="11"/>
      <c r="O89" s="12"/>
      <c r="P89" s="11"/>
      <c r="Q89" s="13"/>
      <c r="R89" s="14"/>
    </row>
    <row r="90" spans="1:18" ht="15" customHeight="1" x14ac:dyDescent="0.3">
      <c r="A90" s="15" t="s">
        <v>36</v>
      </c>
      <c r="B90" s="15" t="s">
        <v>554</v>
      </c>
      <c r="C90" s="16">
        <v>0.375</v>
      </c>
      <c r="D90" s="15" t="s">
        <v>43</v>
      </c>
      <c r="E90" s="15" t="s">
        <v>239</v>
      </c>
      <c r="F90" s="15" t="s">
        <v>402</v>
      </c>
      <c r="G90" s="195"/>
      <c r="H90" s="10"/>
      <c r="I90" s="11"/>
      <c r="J90" s="11"/>
      <c r="K90" s="11"/>
      <c r="L90" s="11"/>
      <c r="M90" s="11"/>
      <c r="N90" s="11"/>
      <c r="O90" s="12"/>
      <c r="P90" s="11"/>
      <c r="Q90" s="13"/>
      <c r="R90" s="14"/>
    </row>
    <row r="91" spans="1:18" ht="15" customHeight="1" x14ac:dyDescent="0.3">
      <c r="A91" s="19" t="s">
        <v>36</v>
      </c>
      <c r="B91" s="19" t="s">
        <v>549</v>
      </c>
      <c r="C91" s="20">
        <v>0.30555555555555552</v>
      </c>
      <c r="D91" s="19" t="s">
        <v>38</v>
      </c>
      <c r="E91" s="19" t="s">
        <v>65</v>
      </c>
      <c r="F91" s="19" t="s">
        <v>313</v>
      </c>
      <c r="G91" s="195"/>
      <c r="H91" s="10"/>
      <c r="I91" s="11"/>
      <c r="J91" s="11"/>
      <c r="K91" s="11"/>
      <c r="L91" s="11"/>
      <c r="M91" s="11"/>
      <c r="N91" s="11"/>
      <c r="O91" s="12"/>
      <c r="P91" s="11"/>
      <c r="Q91" s="13"/>
      <c r="R91" s="14"/>
    </row>
    <row r="92" spans="1:18" ht="15" customHeight="1" x14ac:dyDescent="0.3">
      <c r="A92" s="15" t="s">
        <v>36</v>
      </c>
      <c r="B92" s="15" t="s">
        <v>549</v>
      </c>
      <c r="C92" s="16">
        <v>0.30555555555555552</v>
      </c>
      <c r="D92" s="15" t="s">
        <v>41</v>
      </c>
      <c r="E92" s="15" t="s">
        <v>239</v>
      </c>
      <c r="F92" s="15" t="s">
        <v>107</v>
      </c>
      <c r="G92" s="195"/>
      <c r="H92" s="10"/>
      <c r="I92" s="11"/>
      <c r="J92" s="11"/>
      <c r="K92" s="11"/>
      <c r="L92" s="11"/>
      <c r="M92" s="11"/>
      <c r="N92" s="11"/>
      <c r="O92" s="12"/>
      <c r="P92" s="11"/>
      <c r="Q92" s="13"/>
      <c r="R92" s="14"/>
    </row>
    <row r="93" spans="1:18" ht="15" customHeight="1" x14ac:dyDescent="0.3">
      <c r="A93" s="15" t="s">
        <v>36</v>
      </c>
      <c r="B93" s="15" t="s">
        <v>549</v>
      </c>
      <c r="C93" s="16">
        <v>0.30555555555555552</v>
      </c>
      <c r="D93" s="15" t="s">
        <v>43</v>
      </c>
      <c r="E93" s="15" t="s">
        <v>239</v>
      </c>
      <c r="F93" s="15" t="s">
        <v>587</v>
      </c>
      <c r="G93" s="195"/>
      <c r="H93" s="10"/>
      <c r="I93" s="11"/>
      <c r="J93" s="11"/>
      <c r="K93" s="11"/>
      <c r="L93" s="11"/>
      <c r="M93" s="11"/>
      <c r="N93" s="11"/>
      <c r="O93" s="12"/>
      <c r="P93" s="11"/>
      <c r="Q93" s="13"/>
      <c r="R93" s="14"/>
    </row>
    <row r="94" spans="1:18" ht="15" customHeight="1" x14ac:dyDescent="0.3">
      <c r="A94" s="17" t="s">
        <v>260</v>
      </c>
      <c r="B94" s="17" t="s">
        <v>588</v>
      </c>
      <c r="C94" s="18">
        <v>0.3576388888888889</v>
      </c>
      <c r="D94" s="17" t="s">
        <v>111</v>
      </c>
      <c r="E94" s="17" t="s">
        <v>312</v>
      </c>
      <c r="F94" s="17" t="s">
        <v>589</v>
      </c>
      <c r="G94" s="195"/>
      <c r="H94" s="10"/>
      <c r="I94" s="11"/>
      <c r="J94" s="11"/>
      <c r="K94" s="11"/>
      <c r="L94" s="11"/>
      <c r="M94" s="11"/>
      <c r="N94" s="11"/>
      <c r="O94" s="12"/>
      <c r="P94" s="11"/>
      <c r="Q94" s="13"/>
      <c r="R94" s="14"/>
    </row>
    <row r="95" spans="1:18" ht="15" customHeight="1" x14ac:dyDescent="0.3">
      <c r="A95" s="17" t="s">
        <v>56</v>
      </c>
      <c r="B95" s="17" t="s">
        <v>574</v>
      </c>
      <c r="C95" s="18">
        <v>0.68402777777777779</v>
      </c>
      <c r="D95" s="17" t="s">
        <v>58</v>
      </c>
      <c r="E95" s="17" t="s">
        <v>82</v>
      </c>
      <c r="F95" s="17" t="s">
        <v>590</v>
      </c>
      <c r="G95" s="195"/>
      <c r="H95" s="10"/>
      <c r="I95" s="11"/>
      <c r="J95" s="11"/>
      <c r="K95" s="11"/>
      <c r="L95" s="11"/>
      <c r="M95" s="11"/>
      <c r="N95" s="11"/>
      <c r="O95" s="12"/>
      <c r="P95" s="11"/>
      <c r="Q95" s="13"/>
      <c r="R95" s="14"/>
    </row>
    <row r="96" spans="1:18" ht="15" customHeight="1" x14ac:dyDescent="0.3">
      <c r="A96" s="15" t="s">
        <v>56</v>
      </c>
      <c r="B96" s="15" t="s">
        <v>574</v>
      </c>
      <c r="C96" s="16">
        <v>0.68402777777777779</v>
      </c>
      <c r="D96" s="15" t="s">
        <v>61</v>
      </c>
      <c r="E96" s="15" t="s">
        <v>83</v>
      </c>
      <c r="F96" s="15" t="s">
        <v>591</v>
      </c>
      <c r="G96" s="195"/>
      <c r="H96" s="10"/>
      <c r="I96" s="11"/>
      <c r="J96" s="11"/>
      <c r="K96" s="11"/>
      <c r="L96" s="11"/>
      <c r="M96" s="11"/>
      <c r="N96" s="11"/>
      <c r="O96" s="12"/>
      <c r="P96" s="11"/>
      <c r="Q96" s="13"/>
      <c r="R96" s="14"/>
    </row>
    <row r="97" spans="1:18" ht="15" customHeight="1" x14ac:dyDescent="0.3">
      <c r="A97" s="19" t="s">
        <v>56</v>
      </c>
      <c r="B97" s="19" t="s">
        <v>575</v>
      </c>
      <c r="C97" s="20">
        <v>0.83680555555555547</v>
      </c>
      <c r="D97" s="19" t="s">
        <v>58</v>
      </c>
      <c r="E97" s="19" t="s">
        <v>92</v>
      </c>
      <c r="F97" s="19" t="s">
        <v>590</v>
      </c>
      <c r="G97" s="195"/>
      <c r="H97" s="10"/>
      <c r="I97" s="11"/>
      <c r="J97" s="11"/>
      <c r="K97" s="11"/>
      <c r="L97" s="11"/>
      <c r="M97" s="11"/>
      <c r="N97" s="11"/>
      <c r="O97" s="12"/>
      <c r="P97" s="11"/>
      <c r="Q97" s="13"/>
      <c r="R97" s="14"/>
    </row>
    <row r="98" spans="1:18" ht="15" customHeight="1" x14ac:dyDescent="0.3">
      <c r="A98" s="15" t="s">
        <v>56</v>
      </c>
      <c r="B98" s="15" t="s">
        <v>575</v>
      </c>
      <c r="C98" s="16">
        <v>0.83680555555555547</v>
      </c>
      <c r="D98" s="15" t="s">
        <v>61</v>
      </c>
      <c r="E98" s="15" t="s">
        <v>94</v>
      </c>
      <c r="F98" s="15" t="s">
        <v>591</v>
      </c>
      <c r="G98" s="195"/>
      <c r="H98" s="10"/>
      <c r="I98" s="11"/>
      <c r="J98" s="11"/>
      <c r="K98" s="11"/>
      <c r="L98" s="11"/>
      <c r="M98" s="11"/>
      <c r="N98" s="11"/>
      <c r="O98" s="12"/>
      <c r="P98" s="11"/>
      <c r="Q98" s="13"/>
      <c r="R98" s="14"/>
    </row>
    <row r="99" spans="1:18" ht="15" customHeight="1" x14ac:dyDescent="0.3">
      <c r="A99" s="19" t="s">
        <v>56</v>
      </c>
      <c r="B99" s="19" t="s">
        <v>571</v>
      </c>
      <c r="C99" s="20">
        <v>0.2986111111111111</v>
      </c>
      <c r="D99" s="19" t="s">
        <v>58</v>
      </c>
      <c r="E99" s="19" t="s">
        <v>92</v>
      </c>
      <c r="F99" s="19" t="s">
        <v>592</v>
      </c>
      <c r="G99" s="195"/>
      <c r="H99" s="10"/>
      <c r="I99" s="11"/>
      <c r="J99" s="11"/>
      <c r="K99" s="11"/>
      <c r="L99" s="11"/>
      <c r="M99" s="11"/>
      <c r="N99" s="11"/>
      <c r="O99" s="12"/>
      <c r="P99" s="11"/>
      <c r="Q99" s="13"/>
      <c r="R99" s="14"/>
    </row>
    <row r="100" spans="1:18" ht="15" customHeight="1" x14ac:dyDescent="0.3">
      <c r="A100" s="15" t="s">
        <v>56</v>
      </c>
      <c r="B100" s="15" t="s">
        <v>571</v>
      </c>
      <c r="C100" s="16">
        <v>0.2986111111111111</v>
      </c>
      <c r="D100" s="15" t="s">
        <v>61</v>
      </c>
      <c r="E100" s="15" t="s">
        <v>94</v>
      </c>
      <c r="F100" s="15" t="s">
        <v>593</v>
      </c>
      <c r="G100" s="195"/>
      <c r="H100" s="10"/>
      <c r="I100" s="11"/>
      <c r="J100" s="11"/>
      <c r="K100" s="11"/>
      <c r="L100" s="11"/>
      <c r="M100" s="11"/>
      <c r="N100" s="11"/>
      <c r="O100" s="12"/>
      <c r="P100" s="11"/>
      <c r="Q100" s="13"/>
      <c r="R100" s="14"/>
    </row>
    <row r="101" spans="1:18" ht="15" customHeight="1" x14ac:dyDescent="0.3">
      <c r="A101" s="19" t="s">
        <v>56</v>
      </c>
      <c r="B101" s="19" t="s">
        <v>594</v>
      </c>
      <c r="C101" s="20">
        <v>0.55208333333333337</v>
      </c>
      <c r="D101" s="19" t="s">
        <v>58</v>
      </c>
      <c r="E101" s="19" t="s">
        <v>92</v>
      </c>
      <c r="F101" s="19" t="s">
        <v>592</v>
      </c>
      <c r="G101" s="195"/>
      <c r="H101" s="10"/>
      <c r="I101" s="11"/>
      <c r="J101" s="11"/>
      <c r="K101" s="11"/>
      <c r="L101" s="11"/>
      <c r="M101" s="11"/>
      <c r="N101" s="11"/>
      <c r="O101" s="12"/>
      <c r="P101" s="11"/>
      <c r="Q101" s="13"/>
      <c r="R101" s="14"/>
    </row>
    <row r="102" spans="1:18" ht="15" customHeight="1" x14ac:dyDescent="0.3">
      <c r="A102" s="15" t="s">
        <v>56</v>
      </c>
      <c r="B102" s="15" t="s">
        <v>594</v>
      </c>
      <c r="C102" s="16">
        <v>0.55208333333333337</v>
      </c>
      <c r="D102" s="15" t="s">
        <v>61</v>
      </c>
      <c r="E102" s="15" t="s">
        <v>94</v>
      </c>
      <c r="F102" s="15" t="s">
        <v>593</v>
      </c>
      <c r="G102" s="195"/>
      <c r="H102" s="10"/>
      <c r="I102" s="11"/>
      <c r="J102" s="11"/>
      <c r="K102" s="11"/>
      <c r="L102" s="11"/>
      <c r="M102" s="11"/>
      <c r="N102" s="11"/>
      <c r="O102" s="12"/>
      <c r="P102" s="11"/>
      <c r="Q102" s="13"/>
      <c r="R102" s="14"/>
    </row>
    <row r="103" spans="1:18" ht="15" customHeight="1" x14ac:dyDescent="0.3">
      <c r="A103" s="19" t="s">
        <v>56</v>
      </c>
      <c r="B103" s="19" t="s">
        <v>576</v>
      </c>
      <c r="C103" s="20">
        <v>0.4826388888888889</v>
      </c>
      <c r="D103" s="19" t="s">
        <v>58</v>
      </c>
      <c r="E103" s="19" t="s">
        <v>92</v>
      </c>
      <c r="F103" s="19" t="s">
        <v>592</v>
      </c>
      <c r="G103" s="195"/>
      <c r="H103" s="10"/>
      <c r="I103" s="11"/>
      <c r="J103" s="11"/>
      <c r="K103" s="11"/>
      <c r="L103" s="11"/>
      <c r="M103" s="11"/>
      <c r="N103" s="11"/>
      <c r="O103" s="12"/>
      <c r="P103" s="11"/>
      <c r="Q103" s="13"/>
      <c r="R103" s="14"/>
    </row>
    <row r="104" spans="1:18" ht="15" customHeight="1" x14ac:dyDescent="0.3">
      <c r="A104" s="15" t="s">
        <v>56</v>
      </c>
      <c r="B104" s="15" t="s">
        <v>576</v>
      </c>
      <c r="C104" s="16">
        <v>0.4826388888888889</v>
      </c>
      <c r="D104" s="15" t="s">
        <v>61</v>
      </c>
      <c r="E104" s="15" t="s">
        <v>94</v>
      </c>
      <c r="F104" s="15" t="s">
        <v>593</v>
      </c>
      <c r="G104" s="195"/>
      <c r="H104" s="10"/>
      <c r="I104" s="11"/>
      <c r="J104" s="11"/>
      <c r="K104" s="11"/>
      <c r="L104" s="11"/>
      <c r="M104" s="11"/>
      <c r="N104" s="11"/>
      <c r="O104" s="12"/>
      <c r="P104" s="11"/>
      <c r="Q104" s="13"/>
      <c r="R104" s="14"/>
    </row>
    <row r="105" spans="1:18" ht="15" customHeight="1" x14ac:dyDescent="0.3">
      <c r="A105" s="19" t="s">
        <v>56</v>
      </c>
      <c r="B105" s="19" t="s">
        <v>577</v>
      </c>
      <c r="C105" s="20">
        <v>0.76041666666666663</v>
      </c>
      <c r="D105" s="19" t="s">
        <v>61</v>
      </c>
      <c r="E105" s="19" t="s">
        <v>65</v>
      </c>
      <c r="F105" s="19" t="s">
        <v>595</v>
      </c>
      <c r="G105" s="195"/>
      <c r="H105" s="10"/>
      <c r="I105" s="11"/>
      <c r="J105" s="11"/>
      <c r="K105" s="11"/>
      <c r="L105" s="11"/>
      <c r="M105" s="11"/>
      <c r="N105" s="11"/>
      <c r="O105" s="12"/>
      <c r="P105" s="11"/>
      <c r="Q105" s="13"/>
      <c r="R105" s="14"/>
    </row>
    <row r="106" spans="1:18" ht="15" customHeight="1" x14ac:dyDescent="0.3">
      <c r="A106" s="19" t="s">
        <v>56</v>
      </c>
      <c r="B106" s="19" t="s">
        <v>569</v>
      </c>
      <c r="C106" s="20">
        <v>0.81597222222222221</v>
      </c>
      <c r="D106" s="19" t="s">
        <v>61</v>
      </c>
      <c r="E106" s="19" t="s">
        <v>65</v>
      </c>
      <c r="F106" s="19" t="s">
        <v>595</v>
      </c>
      <c r="G106" s="195"/>
      <c r="H106" s="10"/>
      <c r="I106" s="11"/>
      <c r="J106" s="11"/>
      <c r="K106" s="11"/>
      <c r="L106" s="11"/>
      <c r="M106" s="11"/>
      <c r="N106" s="11"/>
      <c r="O106" s="12"/>
      <c r="P106" s="11"/>
      <c r="Q106" s="13"/>
      <c r="R106" s="14"/>
    </row>
    <row r="107" spans="1:18" ht="15" customHeight="1" x14ac:dyDescent="0.3">
      <c r="A107" s="19" t="s">
        <v>56</v>
      </c>
      <c r="B107" s="19" t="s">
        <v>579</v>
      </c>
      <c r="C107" s="20">
        <v>0.5</v>
      </c>
      <c r="D107" s="19" t="s">
        <v>61</v>
      </c>
      <c r="E107" s="19" t="s">
        <v>65</v>
      </c>
      <c r="F107" s="19" t="s">
        <v>596</v>
      </c>
      <c r="G107" s="195"/>
      <c r="H107" s="10"/>
      <c r="I107" s="11"/>
      <c r="J107" s="11"/>
      <c r="K107" s="11"/>
      <c r="L107" s="11"/>
      <c r="M107" s="11"/>
      <c r="N107" s="11"/>
      <c r="O107" s="12"/>
      <c r="P107" s="11"/>
      <c r="Q107" s="13"/>
      <c r="R107" s="14"/>
    </row>
    <row r="108" spans="1:18" ht="15" customHeight="1" x14ac:dyDescent="0.3">
      <c r="A108" s="17" t="s">
        <v>48</v>
      </c>
      <c r="B108" s="17" t="s">
        <v>563</v>
      </c>
      <c r="C108" s="18">
        <v>0.92013888888888884</v>
      </c>
      <c r="D108" s="17" t="s">
        <v>50</v>
      </c>
      <c r="E108" s="17" t="s">
        <v>51</v>
      </c>
      <c r="F108" s="17" t="s">
        <v>597</v>
      </c>
      <c r="G108" s="195"/>
      <c r="H108" s="10"/>
      <c r="I108" s="11"/>
      <c r="J108" s="11"/>
      <c r="K108" s="11"/>
      <c r="L108" s="11"/>
      <c r="M108" s="11"/>
      <c r="N108" s="11"/>
      <c r="O108" s="12"/>
      <c r="P108" s="11"/>
      <c r="Q108" s="13"/>
      <c r="R108" s="14"/>
    </row>
    <row r="109" spans="1:18" ht="15" customHeight="1" x14ac:dyDescent="0.3">
      <c r="A109" s="19" t="s">
        <v>48</v>
      </c>
      <c r="B109" s="19" t="s">
        <v>567</v>
      </c>
      <c r="C109" s="20">
        <v>0.16666666666666671</v>
      </c>
      <c r="D109" s="19" t="s">
        <v>50</v>
      </c>
      <c r="E109" s="19" t="s">
        <v>92</v>
      </c>
      <c r="F109" s="19" t="s">
        <v>597</v>
      </c>
      <c r="G109" s="195"/>
      <c r="H109" s="10"/>
      <c r="I109" s="11"/>
      <c r="J109" s="11"/>
      <c r="K109" s="11"/>
      <c r="L109" s="11"/>
      <c r="M109" s="11"/>
      <c r="N109" s="11"/>
      <c r="O109" s="12"/>
      <c r="P109" s="11"/>
      <c r="Q109" s="13"/>
      <c r="R109" s="14"/>
    </row>
    <row r="110" spans="1:18" ht="15" customHeight="1" thickBot="1" x14ac:dyDescent="0.35">
      <c r="A110" s="178" t="s">
        <v>73</v>
      </c>
      <c r="B110" s="178" t="s">
        <v>560</v>
      </c>
      <c r="C110" s="179">
        <v>0.625</v>
      </c>
      <c r="D110" s="178" t="s">
        <v>75</v>
      </c>
      <c r="E110" s="180"/>
      <c r="F110" s="178" t="s">
        <v>76</v>
      </c>
      <c r="G110" s="196"/>
      <c r="H110" s="181" t="s">
        <v>560</v>
      </c>
      <c r="I110" s="182">
        <v>1.0825</v>
      </c>
      <c r="J110" s="183">
        <v>105</v>
      </c>
      <c r="K110" s="184">
        <v>45980</v>
      </c>
      <c r="L110" s="183">
        <v>40</v>
      </c>
      <c r="M110" s="183">
        <v>0</v>
      </c>
      <c r="N110" s="183">
        <v>5</v>
      </c>
      <c r="O110" s="185" t="s">
        <v>77</v>
      </c>
      <c r="P110" s="186">
        <v>0.625</v>
      </c>
      <c r="Q110" s="183">
        <v>97</v>
      </c>
      <c r="R110" s="187" t="s">
        <v>598</v>
      </c>
    </row>
    <row r="111" spans="1:18" ht="17.399999999999999" customHeight="1" thickBot="1" x14ac:dyDescent="0.35">
      <c r="A111" s="222"/>
      <c r="B111" s="223"/>
      <c r="C111" s="223"/>
      <c r="D111" s="223"/>
      <c r="E111" s="223"/>
      <c r="F111" s="223"/>
      <c r="G111" s="223"/>
      <c r="H111" s="223"/>
      <c r="I111" s="223"/>
      <c r="J111" s="223"/>
      <c r="K111" s="223"/>
      <c r="L111" s="223"/>
      <c r="M111" s="223"/>
      <c r="N111" s="223"/>
      <c r="O111" s="223"/>
      <c r="P111" s="223"/>
      <c r="Q111" s="223"/>
      <c r="R111" s="224"/>
    </row>
    <row r="112" spans="1:18" ht="22.05" customHeight="1" thickTop="1" thickBot="1" x14ac:dyDescent="0.35">
      <c r="A112" s="193" t="s">
        <v>6</v>
      </c>
      <c r="B112" s="191"/>
      <c r="C112" s="191"/>
      <c r="D112" s="191"/>
      <c r="E112" s="191"/>
      <c r="F112" s="192"/>
      <c r="G112" s="31">
        <v>45985</v>
      </c>
      <c r="H112" s="190" t="s">
        <v>7</v>
      </c>
      <c r="I112" s="191"/>
      <c r="J112" s="191"/>
      <c r="K112" s="191"/>
      <c r="L112" s="191"/>
      <c r="M112" s="191"/>
      <c r="N112" s="191"/>
      <c r="O112" s="191"/>
      <c r="P112" s="191"/>
      <c r="Q112" s="191"/>
      <c r="R112" s="192"/>
    </row>
    <row r="113" spans="1:18" ht="24" customHeight="1" x14ac:dyDescent="0.3">
      <c r="A113" s="32" t="s">
        <v>8</v>
      </c>
      <c r="B113" s="32" t="s">
        <v>9</v>
      </c>
      <c r="C113" s="33" t="s">
        <v>10</v>
      </c>
      <c r="D113" s="32" t="s">
        <v>11</v>
      </c>
      <c r="E113" s="32" t="s">
        <v>12</v>
      </c>
      <c r="F113" s="34" t="s">
        <v>13</v>
      </c>
      <c r="G113" s="35" t="s">
        <v>14</v>
      </c>
      <c r="H113" s="32" t="s">
        <v>15</v>
      </c>
      <c r="I113" s="36" t="s">
        <v>16</v>
      </c>
      <c r="J113" s="37" t="s">
        <v>17</v>
      </c>
      <c r="K113" s="38" t="s">
        <v>18</v>
      </c>
      <c r="L113" s="37" t="s">
        <v>19</v>
      </c>
      <c r="M113" s="37" t="s">
        <v>20</v>
      </c>
      <c r="N113" s="37" t="s">
        <v>21</v>
      </c>
      <c r="O113" s="32" t="s">
        <v>22</v>
      </c>
      <c r="P113" s="33" t="s">
        <v>23</v>
      </c>
      <c r="Q113" s="37" t="s">
        <v>24</v>
      </c>
      <c r="R113" s="32" t="s">
        <v>25</v>
      </c>
    </row>
    <row r="114" spans="1:18" ht="15" customHeight="1" x14ac:dyDescent="0.3">
      <c r="A114" s="8" t="s">
        <v>26</v>
      </c>
      <c r="B114" s="8" t="s">
        <v>548</v>
      </c>
      <c r="C114" s="9">
        <v>0.76041666666666663</v>
      </c>
      <c r="D114" s="8" t="s">
        <v>599</v>
      </c>
      <c r="E114" s="8" t="s">
        <v>268</v>
      </c>
      <c r="F114" s="8" t="s">
        <v>600</v>
      </c>
      <c r="G114" s="194"/>
      <c r="H114" s="10"/>
      <c r="I114" s="11"/>
      <c r="J114" s="11"/>
      <c r="K114" s="11"/>
      <c r="L114" s="11"/>
      <c r="M114" s="11"/>
      <c r="N114" s="11"/>
      <c r="O114" s="12"/>
      <c r="P114" s="11"/>
      <c r="Q114" s="13"/>
      <c r="R114" s="14"/>
    </row>
    <row r="115" spans="1:18" ht="15" customHeight="1" x14ac:dyDescent="0.3">
      <c r="A115" s="15" t="s">
        <v>26</v>
      </c>
      <c r="B115" s="15" t="s">
        <v>548</v>
      </c>
      <c r="C115" s="16">
        <v>0.76041666666666663</v>
      </c>
      <c r="D115" s="15" t="s">
        <v>31</v>
      </c>
      <c r="E115" s="15" t="s">
        <v>69</v>
      </c>
      <c r="F115" s="15" t="s">
        <v>584</v>
      </c>
      <c r="G115" s="195"/>
      <c r="H115" s="10"/>
      <c r="I115" s="11"/>
      <c r="J115" s="11"/>
      <c r="K115" s="11"/>
      <c r="L115" s="11"/>
      <c r="M115" s="11"/>
      <c r="N115" s="11"/>
      <c r="O115" s="12"/>
      <c r="P115" s="11"/>
      <c r="Q115" s="13"/>
      <c r="R115" s="14"/>
    </row>
    <row r="116" spans="1:18" ht="15" customHeight="1" x14ac:dyDescent="0.3">
      <c r="A116" s="15" t="s">
        <v>26</v>
      </c>
      <c r="B116" s="15" t="s">
        <v>548</v>
      </c>
      <c r="C116" s="16">
        <v>0.76041666666666663</v>
      </c>
      <c r="D116" s="15" t="s">
        <v>34</v>
      </c>
      <c r="E116" s="15" t="s">
        <v>69</v>
      </c>
      <c r="F116" s="15" t="s">
        <v>544</v>
      </c>
      <c r="G116" s="195"/>
      <c r="H116" s="10"/>
      <c r="I116" s="11"/>
      <c r="J116" s="11"/>
      <c r="K116" s="11"/>
      <c r="L116" s="11"/>
      <c r="M116" s="11"/>
      <c r="N116" s="11"/>
      <c r="O116" s="12"/>
      <c r="P116" s="11"/>
      <c r="Q116" s="13"/>
      <c r="R116" s="14"/>
    </row>
    <row r="117" spans="1:18" ht="15" customHeight="1" x14ac:dyDescent="0.3">
      <c r="A117" s="19" t="s">
        <v>26</v>
      </c>
      <c r="B117" s="19" t="s">
        <v>543</v>
      </c>
      <c r="C117" s="20">
        <v>0.81597222222222221</v>
      </c>
      <c r="D117" s="19" t="s">
        <v>599</v>
      </c>
      <c r="E117" s="19" t="s">
        <v>243</v>
      </c>
      <c r="F117" s="19" t="s">
        <v>600</v>
      </c>
      <c r="G117" s="195"/>
      <c r="H117" s="10"/>
      <c r="I117" s="11"/>
      <c r="J117" s="11"/>
      <c r="K117" s="11"/>
      <c r="L117" s="11"/>
      <c r="M117" s="11"/>
      <c r="N117" s="11"/>
      <c r="O117" s="12"/>
      <c r="P117" s="11"/>
      <c r="Q117" s="13"/>
      <c r="R117" s="14"/>
    </row>
    <row r="118" spans="1:18" ht="15" customHeight="1" x14ac:dyDescent="0.3">
      <c r="A118" s="15" t="s">
        <v>26</v>
      </c>
      <c r="B118" s="15" t="s">
        <v>543</v>
      </c>
      <c r="C118" s="16">
        <v>0.81597222222222221</v>
      </c>
      <c r="D118" s="15" t="s">
        <v>31</v>
      </c>
      <c r="E118" s="15" t="s">
        <v>244</v>
      </c>
      <c r="F118" s="15" t="s">
        <v>584</v>
      </c>
      <c r="G118" s="195"/>
      <c r="H118" s="10"/>
      <c r="I118" s="11"/>
      <c r="J118" s="11"/>
      <c r="K118" s="11"/>
      <c r="L118" s="11"/>
      <c r="M118" s="11"/>
      <c r="N118" s="11"/>
      <c r="O118" s="12"/>
      <c r="P118" s="11"/>
      <c r="Q118" s="13"/>
      <c r="R118" s="14"/>
    </row>
    <row r="119" spans="1:18" ht="15" customHeight="1" x14ac:dyDescent="0.3">
      <c r="A119" s="15" t="s">
        <v>26</v>
      </c>
      <c r="B119" s="15" t="s">
        <v>543</v>
      </c>
      <c r="C119" s="16">
        <v>0.81597222222222221</v>
      </c>
      <c r="D119" s="15" t="s">
        <v>34</v>
      </c>
      <c r="E119" s="15" t="s">
        <v>244</v>
      </c>
      <c r="F119" s="15" t="s">
        <v>544</v>
      </c>
      <c r="G119" s="195"/>
      <c r="H119" s="10"/>
      <c r="I119" s="11"/>
      <c r="J119" s="11"/>
      <c r="K119" s="11"/>
      <c r="L119" s="11"/>
      <c r="M119" s="11"/>
      <c r="N119" s="11"/>
      <c r="O119" s="12"/>
      <c r="P119" s="11"/>
      <c r="Q119" s="13"/>
      <c r="R119" s="14"/>
    </row>
    <row r="120" spans="1:18" ht="15" customHeight="1" x14ac:dyDescent="0.3">
      <c r="A120" s="19" t="s">
        <v>26</v>
      </c>
      <c r="B120" s="19" t="s">
        <v>545</v>
      </c>
      <c r="C120" s="20">
        <v>0.44791666666666669</v>
      </c>
      <c r="D120" s="19" t="s">
        <v>599</v>
      </c>
      <c r="E120" s="19" t="s">
        <v>349</v>
      </c>
      <c r="F120" s="19" t="s">
        <v>601</v>
      </c>
      <c r="G120" s="195"/>
      <c r="H120" s="10"/>
      <c r="I120" s="11"/>
      <c r="J120" s="11"/>
      <c r="K120" s="11"/>
      <c r="L120" s="11"/>
      <c r="M120" s="11"/>
      <c r="N120" s="11"/>
      <c r="O120" s="12"/>
      <c r="P120" s="11"/>
      <c r="Q120" s="13"/>
      <c r="R120" s="14"/>
    </row>
    <row r="121" spans="1:18" ht="15" customHeight="1" x14ac:dyDescent="0.3">
      <c r="A121" s="15" t="s">
        <v>26</v>
      </c>
      <c r="B121" s="15" t="s">
        <v>545</v>
      </c>
      <c r="C121" s="16">
        <v>0.44791666666666669</v>
      </c>
      <c r="D121" s="15" t="s">
        <v>31</v>
      </c>
      <c r="E121" s="15" t="s">
        <v>42</v>
      </c>
      <c r="F121" s="15" t="s">
        <v>357</v>
      </c>
      <c r="G121" s="195"/>
      <c r="H121" s="10"/>
      <c r="I121" s="11"/>
      <c r="J121" s="11"/>
      <c r="K121" s="11"/>
      <c r="L121" s="11"/>
      <c r="M121" s="11"/>
      <c r="N121" s="11"/>
      <c r="O121" s="12"/>
      <c r="P121" s="11"/>
      <c r="Q121" s="13"/>
      <c r="R121" s="14"/>
    </row>
    <row r="122" spans="1:18" ht="15" customHeight="1" x14ac:dyDescent="0.3">
      <c r="A122" s="15" t="s">
        <v>26</v>
      </c>
      <c r="B122" s="15" t="s">
        <v>545</v>
      </c>
      <c r="C122" s="16">
        <v>0.44791666666666669</v>
      </c>
      <c r="D122" s="15" t="s">
        <v>34</v>
      </c>
      <c r="E122" s="15" t="s">
        <v>42</v>
      </c>
      <c r="F122" s="15" t="s">
        <v>544</v>
      </c>
      <c r="G122" s="195"/>
      <c r="H122" s="10"/>
      <c r="I122" s="11"/>
      <c r="J122" s="11"/>
      <c r="K122" s="11"/>
      <c r="L122" s="11"/>
      <c r="M122" s="11"/>
      <c r="N122" s="11"/>
      <c r="O122" s="12"/>
      <c r="P122" s="11"/>
      <c r="Q122" s="13"/>
      <c r="R122" s="14"/>
    </row>
    <row r="123" spans="1:18" ht="15" customHeight="1" x14ac:dyDescent="0.3">
      <c r="A123" s="19" t="s">
        <v>26</v>
      </c>
      <c r="B123" s="19" t="s">
        <v>547</v>
      </c>
      <c r="C123" s="20">
        <v>0.5</v>
      </c>
      <c r="D123" s="19" t="s">
        <v>599</v>
      </c>
      <c r="E123" s="19" t="s">
        <v>54</v>
      </c>
      <c r="F123" s="19" t="s">
        <v>601</v>
      </c>
      <c r="G123" s="195"/>
      <c r="H123" s="10"/>
      <c r="I123" s="11"/>
      <c r="J123" s="11"/>
      <c r="K123" s="11"/>
      <c r="L123" s="11"/>
      <c r="M123" s="11"/>
      <c r="N123" s="11"/>
      <c r="O123" s="12"/>
      <c r="P123" s="11"/>
      <c r="Q123" s="13"/>
      <c r="R123" s="14"/>
    </row>
    <row r="124" spans="1:18" ht="15" customHeight="1" x14ac:dyDescent="0.3">
      <c r="A124" s="15" t="s">
        <v>26</v>
      </c>
      <c r="B124" s="15" t="s">
        <v>547</v>
      </c>
      <c r="C124" s="16">
        <v>0.5</v>
      </c>
      <c r="D124" s="15" t="s">
        <v>31</v>
      </c>
      <c r="E124" s="15" t="s">
        <v>69</v>
      </c>
      <c r="F124" s="15" t="s">
        <v>357</v>
      </c>
      <c r="G124" s="195"/>
      <c r="H124" s="10"/>
      <c r="I124" s="11"/>
      <c r="J124" s="11"/>
      <c r="K124" s="11"/>
      <c r="L124" s="11"/>
      <c r="M124" s="11"/>
      <c r="N124" s="11"/>
      <c r="O124" s="12"/>
      <c r="P124" s="11"/>
      <c r="Q124" s="13"/>
      <c r="R124" s="14"/>
    </row>
    <row r="125" spans="1:18" ht="15" customHeight="1" x14ac:dyDescent="0.3">
      <c r="A125" s="15" t="s">
        <v>26</v>
      </c>
      <c r="B125" s="15" t="s">
        <v>547</v>
      </c>
      <c r="C125" s="16">
        <v>0.5</v>
      </c>
      <c r="D125" s="15" t="s">
        <v>34</v>
      </c>
      <c r="E125" s="15" t="s">
        <v>69</v>
      </c>
      <c r="F125" s="15" t="s">
        <v>544</v>
      </c>
      <c r="G125" s="195"/>
      <c r="H125" s="10"/>
      <c r="I125" s="11"/>
      <c r="J125" s="11"/>
      <c r="K125" s="11"/>
      <c r="L125" s="11"/>
      <c r="M125" s="11"/>
      <c r="N125" s="11"/>
      <c r="O125" s="12"/>
      <c r="P125" s="11"/>
      <c r="Q125" s="13"/>
      <c r="R125" s="14"/>
    </row>
    <row r="126" spans="1:18" ht="15" customHeight="1" x14ac:dyDescent="0.3">
      <c r="A126" s="17" t="s">
        <v>36</v>
      </c>
      <c r="B126" s="17" t="s">
        <v>549</v>
      </c>
      <c r="C126" s="18">
        <v>0.30555555555555552</v>
      </c>
      <c r="D126" s="17" t="s">
        <v>366</v>
      </c>
      <c r="E126" s="17" t="s">
        <v>227</v>
      </c>
      <c r="F126" s="17" t="s">
        <v>602</v>
      </c>
      <c r="G126" s="195"/>
      <c r="H126" s="10"/>
      <c r="I126" s="11"/>
      <c r="J126" s="11"/>
      <c r="K126" s="11"/>
      <c r="L126" s="11"/>
      <c r="M126" s="11"/>
      <c r="N126" s="11"/>
      <c r="O126" s="12"/>
      <c r="P126" s="11"/>
      <c r="Q126" s="13"/>
      <c r="R126" s="14"/>
    </row>
    <row r="127" spans="1:18" ht="15" customHeight="1" x14ac:dyDescent="0.3">
      <c r="A127" s="15" t="s">
        <v>36</v>
      </c>
      <c r="B127" s="15" t="s">
        <v>549</v>
      </c>
      <c r="C127" s="16">
        <v>0.30555555555555552</v>
      </c>
      <c r="D127" s="15" t="s">
        <v>41</v>
      </c>
      <c r="E127" s="15" t="s">
        <v>228</v>
      </c>
      <c r="F127" s="15" t="s">
        <v>584</v>
      </c>
      <c r="G127" s="195"/>
      <c r="H127" s="10"/>
      <c r="I127" s="11"/>
      <c r="J127" s="11"/>
      <c r="K127" s="11"/>
      <c r="L127" s="11"/>
      <c r="M127" s="11"/>
      <c r="N127" s="11"/>
      <c r="O127" s="12"/>
      <c r="P127" s="11"/>
      <c r="Q127" s="13"/>
      <c r="R127" s="14"/>
    </row>
    <row r="128" spans="1:18" ht="15" customHeight="1" x14ac:dyDescent="0.3">
      <c r="A128" s="15" t="s">
        <v>36</v>
      </c>
      <c r="B128" s="15" t="s">
        <v>549</v>
      </c>
      <c r="C128" s="16">
        <v>0.30555555555555552</v>
      </c>
      <c r="D128" s="15" t="s">
        <v>43</v>
      </c>
      <c r="E128" s="15" t="s">
        <v>228</v>
      </c>
      <c r="F128" s="15" t="s">
        <v>603</v>
      </c>
      <c r="G128" s="195"/>
      <c r="H128" s="10"/>
      <c r="I128" s="11"/>
      <c r="J128" s="11"/>
      <c r="K128" s="11"/>
      <c r="L128" s="11"/>
      <c r="M128" s="11"/>
      <c r="N128" s="11"/>
      <c r="O128" s="12"/>
      <c r="P128" s="11"/>
      <c r="Q128" s="13"/>
      <c r="R128" s="14"/>
    </row>
    <row r="129" spans="1:18" ht="15" customHeight="1" x14ac:dyDescent="0.3">
      <c r="A129" s="19" t="s">
        <v>36</v>
      </c>
      <c r="B129" s="19" t="s">
        <v>551</v>
      </c>
      <c r="C129" s="20">
        <v>0.5</v>
      </c>
      <c r="D129" s="19" t="s">
        <v>366</v>
      </c>
      <c r="E129" s="19" t="s">
        <v>46</v>
      </c>
      <c r="F129" s="19" t="s">
        <v>602</v>
      </c>
      <c r="G129" s="195"/>
      <c r="H129" s="10"/>
      <c r="I129" s="11"/>
      <c r="J129" s="11"/>
      <c r="K129" s="11"/>
      <c r="L129" s="11"/>
      <c r="M129" s="11"/>
      <c r="N129" s="11"/>
      <c r="O129" s="12"/>
      <c r="P129" s="11"/>
      <c r="Q129" s="13"/>
      <c r="R129" s="14"/>
    </row>
    <row r="130" spans="1:18" ht="15" customHeight="1" x14ac:dyDescent="0.3">
      <c r="A130" s="15" t="s">
        <v>36</v>
      </c>
      <c r="B130" s="15" t="s">
        <v>551</v>
      </c>
      <c r="C130" s="16">
        <v>0.5</v>
      </c>
      <c r="D130" s="15" t="s">
        <v>41</v>
      </c>
      <c r="E130" s="15" t="s">
        <v>47</v>
      </c>
      <c r="F130" s="15" t="s">
        <v>604</v>
      </c>
      <c r="G130" s="195"/>
      <c r="H130" s="10"/>
      <c r="I130" s="11"/>
      <c r="J130" s="11"/>
      <c r="K130" s="11"/>
      <c r="L130" s="11"/>
      <c r="M130" s="11"/>
      <c r="N130" s="11"/>
      <c r="O130" s="12"/>
      <c r="P130" s="11"/>
      <c r="Q130" s="13"/>
      <c r="R130" s="14"/>
    </row>
    <row r="131" spans="1:18" ht="15" customHeight="1" x14ac:dyDescent="0.3">
      <c r="A131" s="15" t="s">
        <v>36</v>
      </c>
      <c r="B131" s="15" t="s">
        <v>551</v>
      </c>
      <c r="C131" s="16">
        <v>0.5</v>
      </c>
      <c r="D131" s="15" t="s">
        <v>43</v>
      </c>
      <c r="E131" s="15" t="s">
        <v>47</v>
      </c>
      <c r="F131" s="15" t="s">
        <v>30</v>
      </c>
      <c r="G131" s="195"/>
      <c r="H131" s="10"/>
      <c r="I131" s="11"/>
      <c r="J131" s="11"/>
      <c r="K131" s="11"/>
      <c r="L131" s="11"/>
      <c r="M131" s="11"/>
      <c r="N131" s="11"/>
      <c r="O131" s="12"/>
      <c r="P131" s="11"/>
      <c r="Q131" s="13"/>
      <c r="R131" s="14"/>
    </row>
    <row r="132" spans="1:18" ht="15" customHeight="1" x14ac:dyDescent="0.3">
      <c r="A132" s="19" t="s">
        <v>36</v>
      </c>
      <c r="B132" s="19" t="s">
        <v>552</v>
      </c>
      <c r="C132" s="20">
        <v>0.42708333333333331</v>
      </c>
      <c r="D132" s="19" t="s">
        <v>366</v>
      </c>
      <c r="E132" s="19" t="s">
        <v>46</v>
      </c>
      <c r="F132" s="19" t="s">
        <v>602</v>
      </c>
      <c r="G132" s="195"/>
      <c r="H132" s="10"/>
      <c r="I132" s="11"/>
      <c r="J132" s="11"/>
      <c r="K132" s="11"/>
      <c r="L132" s="11"/>
      <c r="M132" s="11"/>
      <c r="N132" s="11"/>
      <c r="O132" s="12"/>
      <c r="P132" s="11"/>
      <c r="Q132" s="13"/>
      <c r="R132" s="14"/>
    </row>
    <row r="133" spans="1:18" ht="15" customHeight="1" x14ac:dyDescent="0.3">
      <c r="A133" s="15" t="s">
        <v>36</v>
      </c>
      <c r="B133" s="15" t="s">
        <v>552</v>
      </c>
      <c r="C133" s="16">
        <v>0.42708333333333331</v>
      </c>
      <c r="D133" s="15" t="s">
        <v>41</v>
      </c>
      <c r="E133" s="15" t="s">
        <v>47</v>
      </c>
      <c r="F133" s="15" t="s">
        <v>584</v>
      </c>
      <c r="G133" s="195"/>
      <c r="H133" s="10"/>
      <c r="I133" s="11"/>
      <c r="J133" s="11"/>
      <c r="K133" s="11"/>
      <c r="L133" s="11"/>
      <c r="M133" s="11"/>
      <c r="N133" s="11"/>
      <c r="O133" s="12"/>
      <c r="P133" s="11"/>
      <c r="Q133" s="13"/>
      <c r="R133" s="14"/>
    </row>
    <row r="134" spans="1:18" ht="15" customHeight="1" x14ac:dyDescent="0.3">
      <c r="A134" s="15" t="s">
        <v>36</v>
      </c>
      <c r="B134" s="15" t="s">
        <v>552</v>
      </c>
      <c r="C134" s="16">
        <v>0.42708333333333331</v>
      </c>
      <c r="D134" s="15" t="s">
        <v>43</v>
      </c>
      <c r="E134" s="15" t="s">
        <v>47</v>
      </c>
      <c r="F134" s="15" t="s">
        <v>603</v>
      </c>
      <c r="G134" s="195"/>
      <c r="H134" s="10"/>
      <c r="I134" s="11"/>
      <c r="J134" s="11"/>
      <c r="K134" s="11"/>
      <c r="L134" s="11"/>
      <c r="M134" s="11"/>
      <c r="N134" s="11"/>
      <c r="O134" s="12"/>
      <c r="P134" s="11"/>
      <c r="Q134" s="13"/>
      <c r="R134" s="14"/>
    </row>
    <row r="135" spans="1:18" ht="15" customHeight="1" x14ac:dyDescent="0.3">
      <c r="A135" s="19" t="s">
        <v>36</v>
      </c>
      <c r="B135" s="19" t="s">
        <v>554</v>
      </c>
      <c r="C135" s="20">
        <v>0.375</v>
      </c>
      <c r="D135" s="19" t="s">
        <v>366</v>
      </c>
      <c r="E135" s="19" t="s">
        <v>243</v>
      </c>
      <c r="F135" s="19" t="s">
        <v>602</v>
      </c>
      <c r="G135" s="195"/>
      <c r="H135" s="10"/>
      <c r="I135" s="11"/>
      <c r="J135" s="11"/>
      <c r="K135" s="11"/>
      <c r="L135" s="11"/>
      <c r="M135" s="11"/>
      <c r="N135" s="11"/>
      <c r="O135" s="12"/>
      <c r="P135" s="11"/>
      <c r="Q135" s="13"/>
      <c r="R135" s="14"/>
    </row>
    <row r="136" spans="1:18" ht="15" customHeight="1" x14ac:dyDescent="0.3">
      <c r="A136" s="15" t="s">
        <v>36</v>
      </c>
      <c r="B136" s="15" t="s">
        <v>554</v>
      </c>
      <c r="C136" s="16">
        <v>0.375</v>
      </c>
      <c r="D136" s="15" t="s">
        <v>41</v>
      </c>
      <c r="E136" s="15" t="s">
        <v>244</v>
      </c>
      <c r="F136" s="15" t="s">
        <v>584</v>
      </c>
      <c r="G136" s="195"/>
      <c r="H136" s="10"/>
      <c r="I136" s="11"/>
      <c r="J136" s="11"/>
      <c r="K136" s="11"/>
      <c r="L136" s="11"/>
      <c r="M136" s="11"/>
      <c r="N136" s="11"/>
      <c r="O136" s="12"/>
      <c r="P136" s="11"/>
      <c r="Q136" s="13"/>
      <c r="R136" s="14"/>
    </row>
    <row r="137" spans="1:18" ht="15" customHeight="1" x14ac:dyDescent="0.3">
      <c r="A137" s="15" t="s">
        <v>36</v>
      </c>
      <c r="B137" s="15" t="s">
        <v>554</v>
      </c>
      <c r="C137" s="16">
        <v>0.375</v>
      </c>
      <c r="D137" s="15" t="s">
        <v>43</v>
      </c>
      <c r="E137" s="15" t="s">
        <v>244</v>
      </c>
      <c r="F137" s="15" t="s">
        <v>603</v>
      </c>
      <c r="G137" s="195"/>
      <c r="H137" s="10"/>
      <c r="I137" s="11"/>
      <c r="J137" s="11"/>
      <c r="K137" s="11"/>
      <c r="L137" s="11"/>
      <c r="M137" s="11"/>
      <c r="N137" s="11"/>
      <c r="O137" s="12"/>
      <c r="P137" s="11"/>
      <c r="Q137" s="13"/>
      <c r="R137" s="14"/>
    </row>
    <row r="138" spans="1:18" ht="15" customHeight="1" x14ac:dyDescent="0.3">
      <c r="A138" s="19" t="s">
        <v>36</v>
      </c>
      <c r="B138" s="19" t="s">
        <v>555</v>
      </c>
      <c r="C138" s="20">
        <v>0.56597222222222221</v>
      </c>
      <c r="D138" s="19" t="s">
        <v>366</v>
      </c>
      <c r="E138" s="19" t="s">
        <v>72</v>
      </c>
      <c r="F138" s="19" t="s">
        <v>602</v>
      </c>
      <c r="G138" s="195"/>
      <c r="H138" s="10"/>
      <c r="I138" s="11"/>
      <c r="J138" s="11"/>
      <c r="K138" s="11"/>
      <c r="L138" s="11"/>
      <c r="M138" s="11"/>
      <c r="N138" s="11"/>
      <c r="O138" s="12"/>
      <c r="P138" s="11"/>
      <c r="Q138" s="13"/>
      <c r="R138" s="14"/>
    </row>
    <row r="139" spans="1:18" ht="15" customHeight="1" x14ac:dyDescent="0.3">
      <c r="A139" s="15" t="s">
        <v>36</v>
      </c>
      <c r="B139" s="15" t="s">
        <v>555</v>
      </c>
      <c r="C139" s="16">
        <v>0.56597222222222221</v>
      </c>
      <c r="D139" s="15" t="s">
        <v>41</v>
      </c>
      <c r="E139" s="15" t="s">
        <v>62</v>
      </c>
      <c r="F139" s="15" t="s">
        <v>584</v>
      </c>
      <c r="G139" s="195"/>
      <c r="H139" s="10"/>
      <c r="I139" s="11"/>
      <c r="J139" s="11"/>
      <c r="K139" s="11"/>
      <c r="L139" s="11"/>
      <c r="M139" s="11"/>
      <c r="N139" s="11"/>
      <c r="O139" s="12"/>
      <c r="P139" s="11"/>
      <c r="Q139" s="13"/>
      <c r="R139" s="14"/>
    </row>
    <row r="140" spans="1:18" ht="15" customHeight="1" x14ac:dyDescent="0.3">
      <c r="A140" s="15" t="s">
        <v>36</v>
      </c>
      <c r="B140" s="15" t="s">
        <v>555</v>
      </c>
      <c r="C140" s="16">
        <v>0.56597222222222221</v>
      </c>
      <c r="D140" s="15" t="s">
        <v>43</v>
      </c>
      <c r="E140" s="15" t="s">
        <v>62</v>
      </c>
      <c r="F140" s="15" t="s">
        <v>603</v>
      </c>
      <c r="G140" s="195"/>
      <c r="H140" s="10"/>
      <c r="I140" s="11"/>
      <c r="J140" s="11"/>
      <c r="K140" s="11"/>
      <c r="L140" s="11"/>
      <c r="M140" s="11"/>
      <c r="N140" s="11"/>
      <c r="O140" s="12"/>
      <c r="P140" s="11"/>
      <c r="Q140" s="13"/>
      <c r="R140" s="14"/>
    </row>
    <row r="141" spans="1:18" ht="15" customHeight="1" x14ac:dyDescent="0.3">
      <c r="A141" s="19" t="s">
        <v>36</v>
      </c>
      <c r="B141" s="19" t="s">
        <v>550</v>
      </c>
      <c r="C141" s="20">
        <v>0.82638888888888884</v>
      </c>
      <c r="D141" s="19" t="s">
        <v>366</v>
      </c>
      <c r="E141" s="19" t="s">
        <v>243</v>
      </c>
      <c r="F141" s="19" t="s">
        <v>605</v>
      </c>
      <c r="G141" s="195"/>
      <c r="H141" s="10"/>
      <c r="I141" s="11"/>
      <c r="J141" s="11"/>
      <c r="K141" s="11"/>
      <c r="L141" s="11"/>
      <c r="M141" s="11"/>
      <c r="N141" s="11"/>
      <c r="O141" s="12"/>
      <c r="P141" s="11"/>
      <c r="Q141" s="13"/>
      <c r="R141" s="14"/>
    </row>
    <row r="142" spans="1:18" ht="15" customHeight="1" x14ac:dyDescent="0.3">
      <c r="A142" s="15" t="s">
        <v>36</v>
      </c>
      <c r="B142" s="15" t="s">
        <v>550</v>
      </c>
      <c r="C142" s="16">
        <v>0.82638888888888884</v>
      </c>
      <c r="D142" s="15" t="s">
        <v>41</v>
      </c>
      <c r="E142" s="15" t="s">
        <v>244</v>
      </c>
      <c r="F142" s="15" t="s">
        <v>604</v>
      </c>
      <c r="G142" s="195"/>
      <c r="H142" s="10"/>
      <c r="I142" s="11"/>
      <c r="J142" s="11"/>
      <c r="K142" s="11"/>
      <c r="L142" s="11"/>
      <c r="M142" s="11"/>
      <c r="N142" s="11"/>
      <c r="O142" s="12"/>
      <c r="P142" s="11"/>
      <c r="Q142" s="13"/>
      <c r="R142" s="14"/>
    </row>
    <row r="143" spans="1:18" ht="15" customHeight="1" x14ac:dyDescent="0.3">
      <c r="A143" s="15" t="s">
        <v>36</v>
      </c>
      <c r="B143" s="15" t="s">
        <v>550</v>
      </c>
      <c r="C143" s="16">
        <v>0.82638888888888884</v>
      </c>
      <c r="D143" s="15" t="s">
        <v>43</v>
      </c>
      <c r="E143" s="15" t="s">
        <v>244</v>
      </c>
      <c r="F143" s="15" t="s">
        <v>30</v>
      </c>
      <c r="G143" s="195"/>
      <c r="H143" s="10"/>
      <c r="I143" s="11"/>
      <c r="J143" s="11"/>
      <c r="K143" s="11"/>
      <c r="L143" s="11"/>
      <c r="M143" s="11"/>
      <c r="N143" s="11"/>
      <c r="O143" s="12"/>
      <c r="P143" s="11"/>
      <c r="Q143" s="13"/>
      <c r="R143" s="14"/>
    </row>
    <row r="144" spans="1:18" ht="15" customHeight="1" x14ac:dyDescent="0.3">
      <c r="A144" s="19" t="s">
        <v>36</v>
      </c>
      <c r="B144" s="19" t="s">
        <v>553</v>
      </c>
      <c r="C144" s="20">
        <v>0.6875</v>
      </c>
      <c r="D144" s="19" t="s">
        <v>366</v>
      </c>
      <c r="E144" s="19" t="s">
        <v>46</v>
      </c>
      <c r="F144" s="19" t="s">
        <v>606</v>
      </c>
      <c r="G144" s="195"/>
      <c r="H144" s="10"/>
      <c r="I144" s="11"/>
      <c r="J144" s="11"/>
      <c r="K144" s="11"/>
      <c r="L144" s="11"/>
      <c r="M144" s="11"/>
      <c r="N144" s="11"/>
      <c r="O144" s="12"/>
      <c r="P144" s="11"/>
      <c r="Q144" s="13"/>
      <c r="R144" s="14"/>
    </row>
    <row r="145" spans="1:18" ht="15" customHeight="1" x14ac:dyDescent="0.3">
      <c r="A145" s="15" t="s">
        <v>36</v>
      </c>
      <c r="B145" s="15" t="s">
        <v>553</v>
      </c>
      <c r="C145" s="16">
        <v>0.6875</v>
      </c>
      <c r="D145" s="15" t="s">
        <v>41</v>
      </c>
      <c r="E145" s="15" t="s">
        <v>47</v>
      </c>
      <c r="F145" s="15" t="s">
        <v>364</v>
      </c>
      <c r="G145" s="195"/>
      <c r="H145" s="10"/>
      <c r="I145" s="11"/>
      <c r="J145" s="11"/>
      <c r="K145" s="11"/>
      <c r="L145" s="11"/>
      <c r="M145" s="11"/>
      <c r="N145" s="11"/>
      <c r="O145" s="12"/>
      <c r="P145" s="11"/>
      <c r="Q145" s="13"/>
      <c r="R145" s="14"/>
    </row>
    <row r="146" spans="1:18" ht="15" customHeight="1" x14ac:dyDescent="0.3">
      <c r="A146" s="15" t="s">
        <v>36</v>
      </c>
      <c r="B146" s="15" t="s">
        <v>553</v>
      </c>
      <c r="C146" s="16">
        <v>0.6875</v>
      </c>
      <c r="D146" s="15" t="s">
        <v>43</v>
      </c>
      <c r="E146" s="15" t="s">
        <v>47</v>
      </c>
      <c r="F146" s="15" t="s">
        <v>326</v>
      </c>
      <c r="G146" s="195"/>
      <c r="H146" s="10"/>
      <c r="I146" s="11"/>
      <c r="J146" s="11"/>
      <c r="K146" s="11"/>
      <c r="L146" s="11"/>
      <c r="M146" s="11"/>
      <c r="N146" s="11"/>
      <c r="O146" s="12"/>
      <c r="P146" s="11"/>
      <c r="Q146" s="13"/>
      <c r="R146" s="14"/>
    </row>
    <row r="147" spans="1:18" ht="15" customHeight="1" x14ac:dyDescent="0.3">
      <c r="A147" s="17" t="s">
        <v>260</v>
      </c>
      <c r="B147" s="17" t="s">
        <v>607</v>
      </c>
      <c r="C147" s="18">
        <v>0.73611111111111116</v>
      </c>
      <c r="D147" s="17" t="s">
        <v>111</v>
      </c>
      <c r="E147" s="17" t="s">
        <v>51</v>
      </c>
      <c r="F147" s="17" t="s">
        <v>608</v>
      </c>
      <c r="G147" s="195"/>
      <c r="H147" s="10"/>
      <c r="I147" s="11"/>
      <c r="J147" s="11"/>
      <c r="K147" s="11"/>
      <c r="L147" s="11"/>
      <c r="M147" s="11"/>
      <c r="N147" s="11"/>
      <c r="O147" s="12"/>
      <c r="P147" s="11"/>
      <c r="Q147" s="13"/>
      <c r="R147" s="14"/>
    </row>
    <row r="148" spans="1:18" ht="15" customHeight="1" x14ac:dyDescent="0.3">
      <c r="A148" s="17" t="s">
        <v>252</v>
      </c>
      <c r="B148" s="17" t="s">
        <v>609</v>
      </c>
      <c r="C148" s="18">
        <v>0.51041666666666663</v>
      </c>
      <c r="D148" s="17" t="s">
        <v>610</v>
      </c>
      <c r="E148" s="17" t="s">
        <v>97</v>
      </c>
      <c r="F148" s="17" t="s">
        <v>611</v>
      </c>
      <c r="G148" s="195"/>
      <c r="H148" s="10"/>
      <c r="I148" s="11"/>
      <c r="J148" s="11"/>
      <c r="K148" s="11"/>
      <c r="L148" s="11"/>
      <c r="M148" s="11"/>
      <c r="N148" s="11"/>
      <c r="O148" s="12"/>
      <c r="P148" s="11"/>
      <c r="Q148" s="13"/>
      <c r="R148" s="14"/>
    </row>
    <row r="149" spans="1:18" ht="15" customHeight="1" x14ac:dyDescent="0.3">
      <c r="A149" s="15" t="s">
        <v>252</v>
      </c>
      <c r="B149" s="15" t="s">
        <v>609</v>
      </c>
      <c r="C149" s="16">
        <v>0.51041666666666663</v>
      </c>
      <c r="D149" s="15" t="s">
        <v>34</v>
      </c>
      <c r="E149" s="15" t="s">
        <v>47</v>
      </c>
      <c r="F149" s="15" t="s">
        <v>612</v>
      </c>
      <c r="G149" s="195"/>
      <c r="H149" s="10"/>
      <c r="I149" s="11"/>
      <c r="J149" s="11"/>
      <c r="K149" s="11"/>
      <c r="L149" s="11"/>
      <c r="M149" s="11"/>
      <c r="N149" s="11"/>
      <c r="O149" s="12"/>
      <c r="P149" s="11"/>
      <c r="Q149" s="13"/>
      <c r="R149" s="14"/>
    </row>
    <row r="150" spans="1:18" ht="15" customHeight="1" x14ac:dyDescent="0.3">
      <c r="A150" s="56" t="s">
        <v>73</v>
      </c>
      <c r="B150" s="56" t="s">
        <v>613</v>
      </c>
      <c r="C150" s="57">
        <v>0.92361111111111116</v>
      </c>
      <c r="D150" s="56" t="s">
        <v>111</v>
      </c>
      <c r="E150" s="56" t="s">
        <v>39</v>
      </c>
      <c r="F150" s="56" t="s">
        <v>614</v>
      </c>
      <c r="G150" s="195"/>
      <c r="H150" s="58" t="s">
        <v>615</v>
      </c>
      <c r="I150" s="174">
        <v>0.73209999999999997</v>
      </c>
      <c r="J150" s="60">
        <v>123</v>
      </c>
      <c r="K150" s="61">
        <v>45981</v>
      </c>
      <c r="L150" s="60">
        <v>83</v>
      </c>
      <c r="M150" s="60">
        <v>33</v>
      </c>
      <c r="N150" s="60">
        <v>6</v>
      </c>
      <c r="O150" s="62" t="s">
        <v>368</v>
      </c>
      <c r="P150" s="63">
        <v>0.92361111111111116</v>
      </c>
      <c r="Q150" s="60">
        <v>168</v>
      </c>
      <c r="R150" s="64" t="s">
        <v>616</v>
      </c>
    </row>
    <row r="151" spans="1:18" ht="15" customHeight="1" x14ac:dyDescent="0.3">
      <c r="A151" s="17" t="s">
        <v>48</v>
      </c>
      <c r="B151" s="17" t="s">
        <v>567</v>
      </c>
      <c r="C151" s="18">
        <v>0.16666666666666671</v>
      </c>
      <c r="D151" s="17" t="s">
        <v>50</v>
      </c>
      <c r="E151" s="17" t="s">
        <v>51</v>
      </c>
      <c r="F151" s="17" t="s">
        <v>617</v>
      </c>
      <c r="G151" s="195"/>
      <c r="H151" s="10"/>
      <c r="I151" s="11"/>
      <c r="J151" s="11"/>
      <c r="K151" s="11"/>
      <c r="L151" s="11"/>
      <c r="M151" s="11"/>
      <c r="N151" s="11"/>
      <c r="O151" s="12"/>
      <c r="P151" s="11"/>
      <c r="Q151" s="13"/>
      <c r="R151" s="14"/>
    </row>
    <row r="152" spans="1:18" ht="15" customHeight="1" x14ac:dyDescent="0.3">
      <c r="A152" s="19" t="s">
        <v>48</v>
      </c>
      <c r="B152" s="19" t="s">
        <v>563</v>
      </c>
      <c r="C152" s="20">
        <v>0.91666666666666663</v>
      </c>
      <c r="D152" s="19" t="s">
        <v>50</v>
      </c>
      <c r="E152" s="19" t="s">
        <v>92</v>
      </c>
      <c r="F152" s="19" t="s">
        <v>618</v>
      </c>
      <c r="G152" s="195"/>
      <c r="H152" s="10"/>
      <c r="I152" s="11"/>
      <c r="J152" s="11"/>
      <c r="K152" s="11"/>
      <c r="L152" s="11"/>
      <c r="M152" s="11"/>
      <c r="N152" s="11"/>
      <c r="O152" s="12"/>
      <c r="P152" s="11"/>
      <c r="Q152" s="13"/>
      <c r="R152" s="14"/>
    </row>
    <row r="153" spans="1:18" ht="15" customHeight="1" x14ac:dyDescent="0.3">
      <c r="A153" s="19" t="s">
        <v>48</v>
      </c>
      <c r="B153" s="19" t="s">
        <v>565</v>
      </c>
      <c r="C153" s="20">
        <v>0.54166666666666663</v>
      </c>
      <c r="D153" s="19" t="s">
        <v>50</v>
      </c>
      <c r="E153" s="19" t="s">
        <v>92</v>
      </c>
      <c r="F153" s="19" t="s">
        <v>618</v>
      </c>
      <c r="G153" s="195"/>
      <c r="H153" s="10"/>
      <c r="I153" s="11"/>
      <c r="J153" s="11"/>
      <c r="K153" s="11"/>
      <c r="L153" s="11"/>
      <c r="M153" s="11"/>
      <c r="N153" s="11"/>
      <c r="O153" s="12"/>
      <c r="P153" s="11"/>
      <c r="Q153" s="13"/>
      <c r="R153" s="14"/>
    </row>
    <row r="154" spans="1:18" ht="15" customHeight="1" x14ac:dyDescent="0.3">
      <c r="A154" s="17" t="s">
        <v>56</v>
      </c>
      <c r="B154" s="17" t="s">
        <v>619</v>
      </c>
      <c r="C154" s="18">
        <v>4.8611111111111112E-2</v>
      </c>
      <c r="D154" s="17" t="s">
        <v>353</v>
      </c>
      <c r="E154" s="17" t="s">
        <v>51</v>
      </c>
      <c r="F154" s="17" t="s">
        <v>620</v>
      </c>
      <c r="G154" s="195"/>
      <c r="H154" s="10"/>
      <c r="I154" s="11"/>
      <c r="J154" s="11"/>
      <c r="K154" s="11"/>
      <c r="L154" s="11"/>
      <c r="M154" s="11"/>
      <c r="N154" s="11"/>
      <c r="O154" s="12"/>
      <c r="P154" s="11"/>
      <c r="Q154" s="13"/>
      <c r="R154" s="14"/>
    </row>
    <row r="155" spans="1:18" ht="15" customHeight="1" x14ac:dyDescent="0.3">
      <c r="A155" s="15" t="s">
        <v>56</v>
      </c>
      <c r="B155" s="15" t="s">
        <v>619</v>
      </c>
      <c r="C155" s="16">
        <v>4.8611111111111112E-2</v>
      </c>
      <c r="D155" s="15" t="s">
        <v>58</v>
      </c>
      <c r="E155" s="15" t="s">
        <v>94</v>
      </c>
      <c r="F155" s="15" t="s">
        <v>620</v>
      </c>
      <c r="G155" s="195"/>
      <c r="H155" s="10"/>
      <c r="I155" s="11"/>
      <c r="J155" s="11"/>
      <c r="K155" s="11"/>
      <c r="L155" s="11"/>
      <c r="M155" s="11"/>
      <c r="N155" s="11"/>
      <c r="O155" s="12"/>
      <c r="P155" s="11"/>
      <c r="Q155" s="13"/>
      <c r="R155" s="14"/>
    </row>
    <row r="156" spans="1:18" ht="15" customHeight="1" x14ac:dyDescent="0.3">
      <c r="A156" s="15" t="s">
        <v>56</v>
      </c>
      <c r="B156" s="15" t="s">
        <v>619</v>
      </c>
      <c r="C156" s="16">
        <v>4.8611111111111112E-2</v>
      </c>
      <c r="D156" s="15" t="s">
        <v>61</v>
      </c>
      <c r="E156" s="15" t="s">
        <v>94</v>
      </c>
      <c r="F156" s="15" t="s">
        <v>621</v>
      </c>
      <c r="G156" s="195"/>
      <c r="H156" s="10"/>
      <c r="I156" s="11"/>
      <c r="J156" s="11"/>
      <c r="K156" s="11"/>
      <c r="L156" s="11"/>
      <c r="M156" s="11"/>
      <c r="N156" s="11"/>
      <c r="O156" s="12"/>
      <c r="P156" s="11"/>
      <c r="Q156" s="13"/>
      <c r="R156" s="14"/>
    </row>
    <row r="157" spans="1:18" ht="15" customHeight="1" x14ac:dyDescent="0.3">
      <c r="A157" s="19" t="s">
        <v>56</v>
      </c>
      <c r="B157" s="19" t="s">
        <v>571</v>
      </c>
      <c r="C157" s="20">
        <v>0.2986111111111111</v>
      </c>
      <c r="D157" s="19" t="s">
        <v>353</v>
      </c>
      <c r="E157" s="19" t="s">
        <v>92</v>
      </c>
      <c r="F157" s="19" t="s">
        <v>622</v>
      </c>
      <c r="G157" s="195"/>
      <c r="H157" s="10"/>
      <c r="I157" s="11"/>
      <c r="J157" s="11"/>
      <c r="K157" s="11"/>
      <c r="L157" s="11"/>
      <c r="M157" s="11"/>
      <c r="N157" s="11"/>
      <c r="O157" s="12"/>
      <c r="P157" s="11"/>
      <c r="Q157" s="13"/>
      <c r="R157" s="14"/>
    </row>
    <row r="158" spans="1:18" ht="15" customHeight="1" x14ac:dyDescent="0.3">
      <c r="A158" s="15" t="s">
        <v>56</v>
      </c>
      <c r="B158" s="15" t="s">
        <v>571</v>
      </c>
      <c r="C158" s="16">
        <v>0.2986111111111111</v>
      </c>
      <c r="D158" s="15" t="s">
        <v>58</v>
      </c>
      <c r="E158" s="15" t="s">
        <v>94</v>
      </c>
      <c r="F158" s="15" t="s">
        <v>622</v>
      </c>
      <c r="G158" s="195"/>
      <c r="H158" s="10"/>
      <c r="I158" s="11"/>
      <c r="J158" s="11"/>
      <c r="K158" s="11"/>
      <c r="L158" s="11"/>
      <c r="M158" s="11"/>
      <c r="N158" s="11"/>
      <c r="O158" s="12"/>
      <c r="P158" s="11"/>
      <c r="Q158" s="13"/>
      <c r="R158" s="14"/>
    </row>
    <row r="159" spans="1:18" ht="15" customHeight="1" x14ac:dyDescent="0.3">
      <c r="A159" s="15" t="s">
        <v>56</v>
      </c>
      <c r="B159" s="15" t="s">
        <v>571</v>
      </c>
      <c r="C159" s="16">
        <v>0.2986111111111111</v>
      </c>
      <c r="D159" s="15" t="s">
        <v>61</v>
      </c>
      <c r="E159" s="15" t="s">
        <v>94</v>
      </c>
      <c r="F159" s="15" t="s">
        <v>623</v>
      </c>
      <c r="G159" s="195"/>
      <c r="H159" s="10"/>
      <c r="I159" s="11"/>
      <c r="J159" s="11"/>
      <c r="K159" s="11"/>
      <c r="L159" s="11"/>
      <c r="M159" s="11"/>
      <c r="N159" s="11"/>
      <c r="O159" s="12"/>
      <c r="P159" s="11"/>
      <c r="Q159" s="13"/>
      <c r="R159" s="14"/>
    </row>
    <row r="160" spans="1:18" ht="15" customHeight="1" x14ac:dyDescent="0.3">
      <c r="A160" s="19" t="s">
        <v>56</v>
      </c>
      <c r="B160" s="19" t="s">
        <v>574</v>
      </c>
      <c r="C160" s="20">
        <v>0.68402777777777779</v>
      </c>
      <c r="D160" s="19" t="s">
        <v>353</v>
      </c>
      <c r="E160" s="19" t="s">
        <v>54</v>
      </c>
      <c r="F160" s="19" t="s">
        <v>622</v>
      </c>
      <c r="G160" s="195"/>
      <c r="H160" s="10"/>
      <c r="I160" s="11"/>
      <c r="J160" s="11"/>
      <c r="K160" s="11"/>
      <c r="L160" s="11"/>
      <c r="M160" s="11"/>
      <c r="N160" s="11"/>
      <c r="O160" s="12"/>
      <c r="P160" s="11"/>
      <c r="Q160" s="13"/>
      <c r="R160" s="14"/>
    </row>
    <row r="161" spans="1:18" ht="15" customHeight="1" x14ac:dyDescent="0.3">
      <c r="A161" s="15" t="s">
        <v>56</v>
      </c>
      <c r="B161" s="15" t="s">
        <v>574</v>
      </c>
      <c r="C161" s="16">
        <v>0.68402777777777779</v>
      </c>
      <c r="D161" s="15" t="s">
        <v>58</v>
      </c>
      <c r="E161" s="15" t="s">
        <v>94</v>
      </c>
      <c r="F161" s="15" t="s">
        <v>622</v>
      </c>
      <c r="G161" s="195"/>
      <c r="H161" s="10"/>
      <c r="I161" s="11"/>
      <c r="J161" s="11"/>
      <c r="K161" s="11"/>
      <c r="L161" s="11"/>
      <c r="M161" s="11"/>
      <c r="N161" s="11"/>
      <c r="O161" s="12"/>
      <c r="P161" s="11"/>
      <c r="Q161" s="13"/>
      <c r="R161" s="14"/>
    </row>
    <row r="162" spans="1:18" ht="15" customHeight="1" x14ac:dyDescent="0.3">
      <c r="A162" s="15" t="s">
        <v>56</v>
      </c>
      <c r="B162" s="15" t="s">
        <v>574</v>
      </c>
      <c r="C162" s="16">
        <v>0.68402777777777779</v>
      </c>
      <c r="D162" s="15" t="s">
        <v>61</v>
      </c>
      <c r="E162" s="15" t="s">
        <v>94</v>
      </c>
      <c r="F162" s="15" t="s">
        <v>623</v>
      </c>
      <c r="G162" s="195"/>
      <c r="H162" s="10"/>
      <c r="I162" s="11"/>
      <c r="J162" s="11"/>
      <c r="K162" s="11"/>
      <c r="L162" s="11"/>
      <c r="M162" s="11"/>
      <c r="N162" s="11"/>
      <c r="O162" s="12"/>
      <c r="P162" s="11"/>
      <c r="Q162" s="13"/>
      <c r="R162" s="14"/>
    </row>
    <row r="163" spans="1:18" ht="15" customHeight="1" x14ac:dyDescent="0.3">
      <c r="A163" s="19" t="s">
        <v>56</v>
      </c>
      <c r="B163" s="19" t="s">
        <v>575</v>
      </c>
      <c r="C163" s="20">
        <v>0.83680555555555547</v>
      </c>
      <c r="D163" s="19" t="s">
        <v>353</v>
      </c>
      <c r="E163" s="19" t="s">
        <v>92</v>
      </c>
      <c r="F163" s="19" t="s">
        <v>622</v>
      </c>
      <c r="G163" s="195"/>
      <c r="H163" s="10"/>
      <c r="I163" s="11"/>
      <c r="J163" s="11"/>
      <c r="K163" s="11"/>
      <c r="L163" s="11"/>
      <c r="M163" s="11"/>
      <c r="N163" s="11"/>
      <c r="O163" s="12"/>
      <c r="P163" s="11"/>
      <c r="Q163" s="13"/>
      <c r="R163" s="14"/>
    </row>
    <row r="164" spans="1:18" ht="15" customHeight="1" x14ac:dyDescent="0.3">
      <c r="A164" s="15" t="s">
        <v>56</v>
      </c>
      <c r="B164" s="15" t="s">
        <v>575</v>
      </c>
      <c r="C164" s="16">
        <v>0.83680555555555547</v>
      </c>
      <c r="D164" s="15" t="s">
        <v>58</v>
      </c>
      <c r="E164" s="15" t="s">
        <v>94</v>
      </c>
      <c r="F164" s="15" t="s">
        <v>622</v>
      </c>
      <c r="G164" s="195"/>
      <c r="H164" s="10"/>
      <c r="I164" s="11"/>
      <c r="J164" s="11"/>
      <c r="K164" s="11"/>
      <c r="L164" s="11"/>
      <c r="M164" s="11"/>
      <c r="N164" s="11"/>
      <c r="O164" s="12"/>
      <c r="P164" s="11"/>
      <c r="Q164" s="13"/>
      <c r="R164" s="14"/>
    </row>
    <row r="165" spans="1:18" ht="15" customHeight="1" x14ac:dyDescent="0.3">
      <c r="A165" s="15" t="s">
        <v>56</v>
      </c>
      <c r="B165" s="15" t="s">
        <v>575</v>
      </c>
      <c r="C165" s="16">
        <v>0.83680555555555547</v>
      </c>
      <c r="D165" s="15" t="s">
        <v>61</v>
      </c>
      <c r="E165" s="15" t="s">
        <v>94</v>
      </c>
      <c r="F165" s="15" t="s">
        <v>623</v>
      </c>
      <c r="G165" s="195"/>
      <c r="H165" s="10"/>
      <c r="I165" s="11"/>
      <c r="J165" s="11"/>
      <c r="K165" s="11"/>
      <c r="L165" s="11"/>
      <c r="M165" s="11"/>
      <c r="N165" s="11"/>
      <c r="O165" s="12"/>
      <c r="P165" s="11"/>
      <c r="Q165" s="13"/>
      <c r="R165" s="14"/>
    </row>
    <row r="166" spans="1:18" ht="15" customHeight="1" x14ac:dyDescent="0.3">
      <c r="A166" s="19" t="s">
        <v>56</v>
      </c>
      <c r="B166" s="19" t="s">
        <v>576</v>
      </c>
      <c r="C166" s="20">
        <v>0.4826388888888889</v>
      </c>
      <c r="D166" s="19" t="s">
        <v>353</v>
      </c>
      <c r="E166" s="19" t="s">
        <v>92</v>
      </c>
      <c r="F166" s="19" t="s">
        <v>622</v>
      </c>
      <c r="G166" s="195"/>
      <c r="H166" s="10"/>
      <c r="I166" s="11"/>
      <c r="J166" s="11"/>
      <c r="K166" s="11"/>
      <c r="L166" s="11"/>
      <c r="M166" s="11"/>
      <c r="N166" s="11"/>
      <c r="O166" s="12"/>
      <c r="P166" s="11"/>
      <c r="Q166" s="13"/>
      <c r="R166" s="14"/>
    </row>
    <row r="167" spans="1:18" ht="15" customHeight="1" x14ac:dyDescent="0.3">
      <c r="A167" s="15" t="s">
        <v>56</v>
      </c>
      <c r="B167" s="15" t="s">
        <v>576</v>
      </c>
      <c r="C167" s="16">
        <v>0.4826388888888889</v>
      </c>
      <c r="D167" s="15" t="s">
        <v>58</v>
      </c>
      <c r="E167" s="15" t="s">
        <v>94</v>
      </c>
      <c r="F167" s="15" t="s">
        <v>622</v>
      </c>
      <c r="G167" s="195"/>
      <c r="H167" s="10"/>
      <c r="I167" s="11"/>
      <c r="J167" s="11"/>
      <c r="K167" s="11"/>
      <c r="L167" s="11"/>
      <c r="M167" s="11"/>
      <c r="N167" s="11"/>
      <c r="O167" s="12"/>
      <c r="P167" s="11"/>
      <c r="Q167" s="13"/>
      <c r="R167" s="14"/>
    </row>
    <row r="168" spans="1:18" ht="15" customHeight="1" x14ac:dyDescent="0.3">
      <c r="A168" s="15" t="s">
        <v>56</v>
      </c>
      <c r="B168" s="15" t="s">
        <v>576</v>
      </c>
      <c r="C168" s="16">
        <v>0.4826388888888889</v>
      </c>
      <c r="D168" s="15" t="s">
        <v>61</v>
      </c>
      <c r="E168" s="15" t="s">
        <v>94</v>
      </c>
      <c r="F168" s="15" t="s">
        <v>623</v>
      </c>
      <c r="G168" s="195"/>
      <c r="H168" s="10"/>
      <c r="I168" s="11"/>
      <c r="J168" s="11"/>
      <c r="K168" s="11"/>
      <c r="L168" s="11"/>
      <c r="M168" s="11"/>
      <c r="N168" s="11"/>
      <c r="O168" s="12"/>
      <c r="P168" s="11"/>
      <c r="Q168" s="13"/>
      <c r="R168" s="14"/>
    </row>
    <row r="169" spans="1:18" ht="15" customHeight="1" x14ac:dyDescent="0.3">
      <c r="A169" s="19" t="s">
        <v>56</v>
      </c>
      <c r="B169" s="19" t="s">
        <v>577</v>
      </c>
      <c r="C169" s="20">
        <v>0.76041666666666663</v>
      </c>
      <c r="D169" s="19" t="s">
        <v>50</v>
      </c>
      <c r="E169" s="19" t="s">
        <v>65</v>
      </c>
      <c r="F169" s="19" t="s">
        <v>624</v>
      </c>
      <c r="G169" s="195"/>
      <c r="H169" s="10"/>
      <c r="I169" s="11"/>
      <c r="J169" s="11"/>
      <c r="K169" s="11"/>
      <c r="L169" s="11"/>
      <c r="M169" s="11"/>
      <c r="N169" s="11"/>
      <c r="O169" s="12"/>
      <c r="P169" s="11"/>
      <c r="Q169" s="13"/>
      <c r="R169" s="14"/>
    </row>
    <row r="170" spans="1:18" ht="15" customHeight="1" x14ac:dyDescent="0.3">
      <c r="A170" s="15" t="s">
        <v>56</v>
      </c>
      <c r="B170" s="15" t="s">
        <v>577</v>
      </c>
      <c r="C170" s="16">
        <v>0.76041666666666663</v>
      </c>
      <c r="D170" s="15" t="s">
        <v>61</v>
      </c>
      <c r="E170" s="15" t="s">
        <v>239</v>
      </c>
      <c r="F170" s="15" t="s">
        <v>624</v>
      </c>
      <c r="G170" s="195"/>
      <c r="H170" s="10"/>
      <c r="I170" s="11"/>
      <c r="J170" s="11"/>
      <c r="K170" s="11"/>
      <c r="L170" s="11"/>
      <c r="M170" s="11"/>
      <c r="N170" s="11"/>
      <c r="O170" s="12"/>
      <c r="P170" s="11"/>
      <c r="Q170" s="13"/>
      <c r="R170" s="14"/>
    </row>
    <row r="171" spans="1:18" ht="15" customHeight="1" x14ac:dyDescent="0.3">
      <c r="A171" s="19" t="s">
        <v>56</v>
      </c>
      <c r="B171" s="19" t="s">
        <v>569</v>
      </c>
      <c r="C171" s="20">
        <v>0.81597222222222221</v>
      </c>
      <c r="D171" s="19" t="s">
        <v>50</v>
      </c>
      <c r="E171" s="19" t="s">
        <v>65</v>
      </c>
      <c r="F171" s="19" t="s">
        <v>624</v>
      </c>
      <c r="G171" s="195"/>
      <c r="H171" s="10"/>
      <c r="I171" s="11"/>
      <c r="J171" s="11"/>
      <c r="K171" s="11"/>
      <c r="L171" s="11"/>
      <c r="M171" s="11"/>
      <c r="N171" s="11"/>
      <c r="O171" s="12"/>
      <c r="P171" s="11"/>
      <c r="Q171" s="13"/>
      <c r="R171" s="14"/>
    </row>
    <row r="172" spans="1:18" ht="15" customHeight="1" x14ac:dyDescent="0.3">
      <c r="A172" s="15" t="s">
        <v>56</v>
      </c>
      <c r="B172" s="15" t="s">
        <v>569</v>
      </c>
      <c r="C172" s="16">
        <v>0.81597222222222221</v>
      </c>
      <c r="D172" s="15" t="s">
        <v>61</v>
      </c>
      <c r="E172" s="15" t="s">
        <v>239</v>
      </c>
      <c r="F172" s="15" t="s">
        <v>624</v>
      </c>
      <c r="G172" s="195"/>
      <c r="H172" s="10"/>
      <c r="I172" s="11"/>
      <c r="J172" s="11"/>
      <c r="K172" s="11"/>
      <c r="L172" s="11"/>
      <c r="M172" s="11"/>
      <c r="N172" s="11"/>
      <c r="O172" s="12"/>
      <c r="P172" s="11"/>
      <c r="Q172" s="13"/>
      <c r="R172" s="14"/>
    </row>
    <row r="173" spans="1:18" ht="15" customHeight="1" x14ac:dyDescent="0.3">
      <c r="A173" s="19" t="s">
        <v>56</v>
      </c>
      <c r="B173" s="19" t="s">
        <v>579</v>
      </c>
      <c r="C173" s="20">
        <v>0.5</v>
      </c>
      <c r="D173" s="19" t="s">
        <v>50</v>
      </c>
      <c r="E173" s="19" t="s">
        <v>65</v>
      </c>
      <c r="F173" s="19" t="s">
        <v>625</v>
      </c>
      <c r="G173" s="195"/>
      <c r="H173" s="10"/>
      <c r="I173" s="11"/>
      <c r="J173" s="11"/>
      <c r="K173" s="11"/>
      <c r="L173" s="11"/>
      <c r="M173" s="11"/>
      <c r="N173" s="11"/>
      <c r="O173" s="12"/>
      <c r="P173" s="11"/>
      <c r="Q173" s="13"/>
      <c r="R173" s="14"/>
    </row>
    <row r="174" spans="1:18" ht="15" customHeight="1" thickBot="1" x14ac:dyDescent="0.35">
      <c r="A174" s="49" t="s">
        <v>56</v>
      </c>
      <c r="B174" s="49" t="s">
        <v>579</v>
      </c>
      <c r="C174" s="50">
        <v>0.5</v>
      </c>
      <c r="D174" s="49" t="s">
        <v>61</v>
      </c>
      <c r="E174" s="49" t="s">
        <v>239</v>
      </c>
      <c r="F174" s="49" t="s">
        <v>625</v>
      </c>
      <c r="G174" s="196"/>
      <c r="H174" s="51"/>
      <c r="I174" s="52"/>
      <c r="J174" s="52"/>
      <c r="K174" s="52"/>
      <c r="L174" s="52"/>
      <c r="M174" s="52"/>
      <c r="N174" s="52"/>
      <c r="O174" s="53"/>
      <c r="P174" s="52"/>
      <c r="Q174" s="54"/>
      <c r="R174" s="55"/>
    </row>
    <row r="175" spans="1:18" ht="17.399999999999999" customHeight="1" thickBot="1" x14ac:dyDescent="0.35">
      <c r="A175" s="222"/>
      <c r="B175" s="223"/>
      <c r="C175" s="223"/>
      <c r="D175" s="223"/>
      <c r="E175" s="223"/>
      <c r="F175" s="223"/>
      <c r="G175" s="223"/>
      <c r="H175" s="223"/>
      <c r="I175" s="223"/>
      <c r="J175" s="223"/>
      <c r="K175" s="223"/>
      <c r="L175" s="223"/>
      <c r="M175" s="223"/>
      <c r="N175" s="223"/>
      <c r="O175" s="223"/>
      <c r="P175" s="223"/>
      <c r="Q175" s="223"/>
      <c r="R175" s="224"/>
    </row>
    <row r="176" spans="1:18" ht="22.05" customHeight="1" thickTop="1" thickBot="1" x14ac:dyDescent="0.35">
      <c r="A176" s="193" t="s">
        <v>6</v>
      </c>
      <c r="B176" s="191"/>
      <c r="C176" s="191"/>
      <c r="D176" s="191"/>
      <c r="E176" s="191"/>
      <c r="F176" s="192"/>
      <c r="G176" s="31">
        <v>45986</v>
      </c>
      <c r="H176" s="190" t="s">
        <v>7</v>
      </c>
      <c r="I176" s="191"/>
      <c r="J176" s="191"/>
      <c r="K176" s="191"/>
      <c r="L176" s="191"/>
      <c r="M176" s="191"/>
      <c r="N176" s="191"/>
      <c r="O176" s="191"/>
      <c r="P176" s="191"/>
      <c r="Q176" s="191"/>
      <c r="R176" s="192"/>
    </row>
    <row r="177" spans="1:18" ht="24" customHeight="1" x14ac:dyDescent="0.3">
      <c r="A177" s="32" t="s">
        <v>8</v>
      </c>
      <c r="B177" s="32" t="s">
        <v>9</v>
      </c>
      <c r="C177" s="33" t="s">
        <v>10</v>
      </c>
      <c r="D177" s="32" t="s">
        <v>11</v>
      </c>
      <c r="E177" s="32" t="s">
        <v>12</v>
      </c>
      <c r="F177" s="34" t="s">
        <v>13</v>
      </c>
      <c r="G177" s="35" t="s">
        <v>14</v>
      </c>
      <c r="H177" s="32" t="s">
        <v>15</v>
      </c>
      <c r="I177" s="36" t="s">
        <v>16</v>
      </c>
      <c r="J177" s="37" t="s">
        <v>17</v>
      </c>
      <c r="K177" s="38" t="s">
        <v>18</v>
      </c>
      <c r="L177" s="37" t="s">
        <v>19</v>
      </c>
      <c r="M177" s="37" t="s">
        <v>20</v>
      </c>
      <c r="N177" s="37" t="s">
        <v>21</v>
      </c>
      <c r="O177" s="32" t="s">
        <v>22</v>
      </c>
      <c r="P177" s="33" t="s">
        <v>23</v>
      </c>
      <c r="Q177" s="37" t="s">
        <v>24</v>
      </c>
      <c r="R177" s="32" t="s">
        <v>25</v>
      </c>
    </row>
    <row r="178" spans="1:18" ht="15" customHeight="1" x14ac:dyDescent="0.3">
      <c r="A178" s="8" t="s">
        <v>26</v>
      </c>
      <c r="B178" s="8" t="s">
        <v>545</v>
      </c>
      <c r="C178" s="9">
        <v>0.44791666666666669</v>
      </c>
      <c r="D178" s="8" t="s">
        <v>28</v>
      </c>
      <c r="E178" s="8" t="s">
        <v>626</v>
      </c>
      <c r="F178" s="8" t="s">
        <v>627</v>
      </c>
      <c r="G178" s="194"/>
      <c r="H178" s="10"/>
      <c r="I178" s="11"/>
      <c r="J178" s="11"/>
      <c r="K178" s="11"/>
      <c r="L178" s="11"/>
      <c r="M178" s="11"/>
      <c r="N178" s="11"/>
      <c r="O178" s="12"/>
      <c r="P178" s="11"/>
      <c r="Q178" s="13"/>
      <c r="R178" s="14"/>
    </row>
    <row r="179" spans="1:18" ht="15" customHeight="1" x14ac:dyDescent="0.3">
      <c r="A179" s="15" t="s">
        <v>26</v>
      </c>
      <c r="B179" s="15" t="s">
        <v>545</v>
      </c>
      <c r="C179" s="16">
        <v>0.44791666666666669</v>
      </c>
      <c r="D179" s="15" t="s">
        <v>31</v>
      </c>
      <c r="E179" s="15" t="s">
        <v>628</v>
      </c>
      <c r="F179" s="15" t="s">
        <v>606</v>
      </c>
      <c r="G179" s="195"/>
      <c r="H179" s="10"/>
      <c r="I179" s="11"/>
      <c r="J179" s="11"/>
      <c r="K179" s="11"/>
      <c r="L179" s="11"/>
      <c r="M179" s="11"/>
      <c r="N179" s="11"/>
      <c r="O179" s="12"/>
      <c r="P179" s="11"/>
      <c r="Q179" s="13"/>
      <c r="R179" s="14"/>
    </row>
    <row r="180" spans="1:18" ht="15" customHeight="1" x14ac:dyDescent="0.3">
      <c r="A180" s="15" t="s">
        <v>26</v>
      </c>
      <c r="B180" s="15" t="s">
        <v>545</v>
      </c>
      <c r="C180" s="16">
        <v>0.44791666666666669</v>
      </c>
      <c r="D180" s="15" t="s">
        <v>34</v>
      </c>
      <c r="E180" s="15" t="s">
        <v>628</v>
      </c>
      <c r="F180" s="15" t="s">
        <v>544</v>
      </c>
      <c r="G180" s="195"/>
      <c r="H180" s="10"/>
      <c r="I180" s="11"/>
      <c r="J180" s="11"/>
      <c r="K180" s="11"/>
      <c r="L180" s="11"/>
      <c r="M180" s="11"/>
      <c r="N180" s="11"/>
      <c r="O180" s="12"/>
      <c r="P180" s="11"/>
      <c r="Q180" s="13"/>
      <c r="R180" s="14"/>
    </row>
    <row r="181" spans="1:18" ht="15" customHeight="1" x14ac:dyDescent="0.3">
      <c r="A181" s="19" t="s">
        <v>26</v>
      </c>
      <c r="B181" s="19" t="s">
        <v>547</v>
      </c>
      <c r="C181" s="20">
        <v>0.5</v>
      </c>
      <c r="D181" s="19" t="s">
        <v>28</v>
      </c>
      <c r="E181" s="19" t="s">
        <v>629</v>
      </c>
      <c r="F181" s="19" t="s">
        <v>627</v>
      </c>
      <c r="G181" s="195"/>
      <c r="H181" s="10"/>
      <c r="I181" s="11"/>
      <c r="J181" s="11"/>
      <c r="K181" s="11"/>
      <c r="L181" s="11"/>
      <c r="M181" s="11"/>
      <c r="N181" s="11"/>
      <c r="O181" s="12"/>
      <c r="P181" s="11"/>
      <c r="Q181" s="13"/>
      <c r="R181" s="14"/>
    </row>
    <row r="182" spans="1:18" ht="15" customHeight="1" x14ac:dyDescent="0.3">
      <c r="A182" s="15" t="s">
        <v>26</v>
      </c>
      <c r="B182" s="15" t="s">
        <v>547</v>
      </c>
      <c r="C182" s="16">
        <v>0.5</v>
      </c>
      <c r="D182" s="15" t="s">
        <v>31</v>
      </c>
      <c r="E182" s="15" t="s">
        <v>32</v>
      </c>
      <c r="F182" s="15" t="s">
        <v>606</v>
      </c>
      <c r="G182" s="195"/>
      <c r="H182" s="10"/>
      <c r="I182" s="11"/>
      <c r="J182" s="11"/>
      <c r="K182" s="11"/>
      <c r="L182" s="11"/>
      <c r="M182" s="11"/>
      <c r="N182" s="11"/>
      <c r="O182" s="12"/>
      <c r="P182" s="11"/>
      <c r="Q182" s="13"/>
      <c r="R182" s="14"/>
    </row>
    <row r="183" spans="1:18" ht="15" customHeight="1" x14ac:dyDescent="0.3">
      <c r="A183" s="15" t="s">
        <v>26</v>
      </c>
      <c r="B183" s="15" t="s">
        <v>547</v>
      </c>
      <c r="C183" s="16">
        <v>0.5</v>
      </c>
      <c r="D183" s="15" t="s">
        <v>34</v>
      </c>
      <c r="E183" s="15" t="s">
        <v>32</v>
      </c>
      <c r="F183" s="15" t="s">
        <v>546</v>
      </c>
      <c r="G183" s="195"/>
      <c r="H183" s="10"/>
      <c r="I183" s="11"/>
      <c r="J183" s="11"/>
      <c r="K183" s="11"/>
      <c r="L183" s="11"/>
      <c r="M183" s="11"/>
      <c r="N183" s="11"/>
      <c r="O183" s="12"/>
      <c r="P183" s="11"/>
      <c r="Q183" s="13"/>
      <c r="R183" s="14"/>
    </row>
    <row r="184" spans="1:18" ht="15" customHeight="1" x14ac:dyDescent="0.3">
      <c r="A184" s="19" t="s">
        <v>26</v>
      </c>
      <c r="B184" s="19" t="s">
        <v>548</v>
      </c>
      <c r="C184" s="20">
        <v>0.76041666666666663</v>
      </c>
      <c r="D184" s="19" t="s">
        <v>28</v>
      </c>
      <c r="E184" s="19" t="s">
        <v>630</v>
      </c>
      <c r="F184" s="19" t="s">
        <v>627</v>
      </c>
      <c r="G184" s="195"/>
      <c r="H184" s="10"/>
      <c r="I184" s="11"/>
      <c r="J184" s="11"/>
      <c r="K184" s="11"/>
      <c r="L184" s="11"/>
      <c r="M184" s="11"/>
      <c r="N184" s="11"/>
      <c r="O184" s="12"/>
      <c r="P184" s="11"/>
      <c r="Q184" s="13"/>
      <c r="R184" s="14"/>
    </row>
    <row r="185" spans="1:18" ht="15" customHeight="1" x14ac:dyDescent="0.3">
      <c r="A185" s="15" t="s">
        <v>26</v>
      </c>
      <c r="B185" s="15" t="s">
        <v>548</v>
      </c>
      <c r="C185" s="16">
        <v>0.76041666666666663</v>
      </c>
      <c r="D185" s="15" t="s">
        <v>31</v>
      </c>
      <c r="E185" s="15" t="s">
        <v>631</v>
      </c>
      <c r="F185" s="15" t="s">
        <v>606</v>
      </c>
      <c r="G185" s="195"/>
      <c r="H185" s="10"/>
      <c r="I185" s="11"/>
      <c r="J185" s="11"/>
      <c r="K185" s="11"/>
      <c r="L185" s="11"/>
      <c r="M185" s="11"/>
      <c r="N185" s="11"/>
      <c r="O185" s="12"/>
      <c r="P185" s="11"/>
      <c r="Q185" s="13"/>
      <c r="R185" s="14"/>
    </row>
    <row r="186" spans="1:18" ht="15" customHeight="1" x14ac:dyDescent="0.3">
      <c r="A186" s="15" t="s">
        <v>26</v>
      </c>
      <c r="B186" s="15" t="s">
        <v>548</v>
      </c>
      <c r="C186" s="16">
        <v>0.76041666666666663</v>
      </c>
      <c r="D186" s="15" t="s">
        <v>34</v>
      </c>
      <c r="E186" s="15" t="s">
        <v>631</v>
      </c>
      <c r="F186" s="15" t="s">
        <v>544</v>
      </c>
      <c r="G186" s="195"/>
      <c r="H186" s="10"/>
      <c r="I186" s="11"/>
      <c r="J186" s="11"/>
      <c r="K186" s="11"/>
      <c r="L186" s="11"/>
      <c r="M186" s="11"/>
      <c r="N186" s="11"/>
      <c r="O186" s="12"/>
      <c r="P186" s="11"/>
      <c r="Q186" s="13"/>
      <c r="R186" s="14"/>
    </row>
    <row r="187" spans="1:18" ht="15" customHeight="1" x14ac:dyDescent="0.3">
      <c r="A187" s="19" t="s">
        <v>26</v>
      </c>
      <c r="B187" s="19" t="s">
        <v>543</v>
      </c>
      <c r="C187" s="20">
        <v>0.81597222222222221</v>
      </c>
      <c r="D187" s="19" t="s">
        <v>28</v>
      </c>
      <c r="E187" s="19" t="s">
        <v>632</v>
      </c>
      <c r="F187" s="19" t="s">
        <v>627</v>
      </c>
      <c r="G187" s="195"/>
      <c r="H187" s="10"/>
      <c r="I187" s="11"/>
      <c r="J187" s="11"/>
      <c r="K187" s="11"/>
      <c r="L187" s="11"/>
      <c r="M187" s="11"/>
      <c r="N187" s="11"/>
      <c r="O187" s="12"/>
      <c r="P187" s="11"/>
      <c r="Q187" s="13"/>
      <c r="R187" s="14"/>
    </row>
    <row r="188" spans="1:18" ht="15" customHeight="1" x14ac:dyDescent="0.3">
      <c r="A188" s="15" t="s">
        <v>26</v>
      </c>
      <c r="B188" s="15" t="s">
        <v>543</v>
      </c>
      <c r="C188" s="16">
        <v>0.81597222222222221</v>
      </c>
      <c r="D188" s="15" t="s">
        <v>31</v>
      </c>
      <c r="E188" s="15" t="s">
        <v>582</v>
      </c>
      <c r="F188" s="15" t="s">
        <v>606</v>
      </c>
      <c r="G188" s="195"/>
      <c r="H188" s="10"/>
      <c r="I188" s="11"/>
      <c r="J188" s="11"/>
      <c r="K188" s="11"/>
      <c r="L188" s="11"/>
      <c r="M188" s="11"/>
      <c r="N188" s="11"/>
      <c r="O188" s="12"/>
      <c r="P188" s="11"/>
      <c r="Q188" s="13"/>
      <c r="R188" s="14"/>
    </row>
    <row r="189" spans="1:18" ht="15" customHeight="1" x14ac:dyDescent="0.3">
      <c r="A189" s="15" t="s">
        <v>26</v>
      </c>
      <c r="B189" s="15" t="s">
        <v>543</v>
      </c>
      <c r="C189" s="16">
        <v>0.81597222222222221</v>
      </c>
      <c r="D189" s="15" t="s">
        <v>34</v>
      </c>
      <c r="E189" s="15" t="s">
        <v>582</v>
      </c>
      <c r="F189" s="15" t="s">
        <v>546</v>
      </c>
      <c r="G189" s="195"/>
      <c r="H189" s="10"/>
      <c r="I189" s="11"/>
      <c r="J189" s="11"/>
      <c r="K189" s="11"/>
      <c r="L189" s="11"/>
      <c r="M189" s="11"/>
      <c r="N189" s="11"/>
      <c r="O189" s="12"/>
      <c r="P189" s="11"/>
      <c r="Q189" s="13"/>
      <c r="R189" s="14"/>
    </row>
    <row r="190" spans="1:18" ht="15" customHeight="1" x14ac:dyDescent="0.3">
      <c r="A190" s="17" t="s">
        <v>36</v>
      </c>
      <c r="B190" s="17" t="s">
        <v>549</v>
      </c>
      <c r="C190" s="18">
        <v>0.30555555555555552</v>
      </c>
      <c r="D190" s="17" t="s">
        <v>38</v>
      </c>
      <c r="E190" s="17" t="s">
        <v>97</v>
      </c>
      <c r="F190" s="17" t="s">
        <v>633</v>
      </c>
      <c r="G190" s="195"/>
      <c r="H190" s="10"/>
      <c r="I190" s="11"/>
      <c r="J190" s="11"/>
      <c r="K190" s="11"/>
      <c r="L190" s="11"/>
      <c r="M190" s="11"/>
      <c r="N190" s="11"/>
      <c r="O190" s="12"/>
      <c r="P190" s="11"/>
      <c r="Q190" s="13"/>
      <c r="R190" s="14"/>
    </row>
    <row r="191" spans="1:18" ht="15" customHeight="1" x14ac:dyDescent="0.3">
      <c r="A191" s="15" t="s">
        <v>36</v>
      </c>
      <c r="B191" s="15" t="s">
        <v>549</v>
      </c>
      <c r="C191" s="16">
        <v>0.30555555555555552</v>
      </c>
      <c r="D191" s="15" t="s">
        <v>41</v>
      </c>
      <c r="E191" s="15" t="s">
        <v>47</v>
      </c>
      <c r="F191" s="15" t="s">
        <v>634</v>
      </c>
      <c r="G191" s="195"/>
      <c r="H191" s="10"/>
      <c r="I191" s="11"/>
      <c r="J191" s="11"/>
      <c r="K191" s="11"/>
      <c r="L191" s="11"/>
      <c r="M191" s="11"/>
      <c r="N191" s="11"/>
      <c r="O191" s="12"/>
      <c r="P191" s="11"/>
      <c r="Q191" s="13"/>
      <c r="R191" s="14"/>
    </row>
    <row r="192" spans="1:18" ht="15" customHeight="1" x14ac:dyDescent="0.3">
      <c r="A192" s="15" t="s">
        <v>36</v>
      </c>
      <c r="B192" s="15" t="s">
        <v>549</v>
      </c>
      <c r="C192" s="16">
        <v>0.30555555555555552</v>
      </c>
      <c r="D192" s="15" t="s">
        <v>43</v>
      </c>
      <c r="E192" s="15" t="s">
        <v>47</v>
      </c>
      <c r="F192" s="15" t="s">
        <v>635</v>
      </c>
      <c r="G192" s="195"/>
      <c r="H192" s="10"/>
      <c r="I192" s="11"/>
      <c r="J192" s="11"/>
      <c r="K192" s="11"/>
      <c r="L192" s="11"/>
      <c r="M192" s="11"/>
      <c r="N192" s="11"/>
      <c r="O192" s="12"/>
      <c r="P192" s="11"/>
      <c r="Q192" s="13"/>
      <c r="R192" s="14"/>
    </row>
    <row r="193" spans="1:18" ht="15" customHeight="1" x14ac:dyDescent="0.3">
      <c r="A193" s="19" t="s">
        <v>36</v>
      </c>
      <c r="B193" s="19" t="s">
        <v>550</v>
      </c>
      <c r="C193" s="20">
        <v>0.82638888888888884</v>
      </c>
      <c r="D193" s="19" t="s">
        <v>38</v>
      </c>
      <c r="E193" s="19" t="s">
        <v>72</v>
      </c>
      <c r="F193" s="19" t="s">
        <v>633</v>
      </c>
      <c r="G193" s="195"/>
      <c r="H193" s="10"/>
      <c r="I193" s="11"/>
      <c r="J193" s="11"/>
      <c r="K193" s="11"/>
      <c r="L193" s="11"/>
      <c r="M193" s="11"/>
      <c r="N193" s="11"/>
      <c r="O193" s="12"/>
      <c r="P193" s="11"/>
      <c r="Q193" s="13"/>
      <c r="R193" s="14"/>
    </row>
    <row r="194" spans="1:18" ht="15" customHeight="1" x14ac:dyDescent="0.3">
      <c r="A194" s="15" t="s">
        <v>36</v>
      </c>
      <c r="B194" s="15" t="s">
        <v>550</v>
      </c>
      <c r="C194" s="16">
        <v>0.82638888888888884</v>
      </c>
      <c r="D194" s="15" t="s">
        <v>41</v>
      </c>
      <c r="E194" s="15" t="s">
        <v>62</v>
      </c>
      <c r="F194" s="15" t="s">
        <v>634</v>
      </c>
      <c r="G194" s="195"/>
      <c r="H194" s="10"/>
      <c r="I194" s="11"/>
      <c r="J194" s="11"/>
      <c r="K194" s="11"/>
      <c r="L194" s="11"/>
      <c r="M194" s="11"/>
      <c r="N194" s="11"/>
      <c r="O194" s="12"/>
      <c r="P194" s="11"/>
      <c r="Q194" s="13"/>
      <c r="R194" s="14"/>
    </row>
    <row r="195" spans="1:18" ht="15" customHeight="1" x14ac:dyDescent="0.3">
      <c r="A195" s="15" t="s">
        <v>36</v>
      </c>
      <c r="B195" s="15" t="s">
        <v>550</v>
      </c>
      <c r="C195" s="16">
        <v>0.82638888888888884</v>
      </c>
      <c r="D195" s="15" t="s">
        <v>43</v>
      </c>
      <c r="E195" s="15" t="s">
        <v>62</v>
      </c>
      <c r="F195" s="15" t="s">
        <v>635</v>
      </c>
      <c r="G195" s="195"/>
      <c r="H195" s="10"/>
      <c r="I195" s="11"/>
      <c r="J195" s="11"/>
      <c r="K195" s="11"/>
      <c r="L195" s="11"/>
      <c r="M195" s="11"/>
      <c r="N195" s="11"/>
      <c r="O195" s="12"/>
      <c r="P195" s="11"/>
      <c r="Q195" s="13"/>
      <c r="R195" s="14"/>
    </row>
    <row r="196" spans="1:18" ht="15" customHeight="1" x14ac:dyDescent="0.3">
      <c r="A196" s="19" t="s">
        <v>36</v>
      </c>
      <c r="B196" s="19" t="s">
        <v>555</v>
      </c>
      <c r="C196" s="20">
        <v>0.56597222222222221</v>
      </c>
      <c r="D196" s="19" t="s">
        <v>38</v>
      </c>
      <c r="E196" s="19" t="s">
        <v>243</v>
      </c>
      <c r="F196" s="19" t="s">
        <v>633</v>
      </c>
      <c r="G196" s="195"/>
      <c r="H196" s="10"/>
      <c r="I196" s="11"/>
      <c r="J196" s="11"/>
      <c r="K196" s="11"/>
      <c r="L196" s="11"/>
      <c r="M196" s="11"/>
      <c r="N196" s="11"/>
      <c r="O196" s="12"/>
      <c r="P196" s="11"/>
      <c r="Q196" s="13"/>
      <c r="R196" s="14"/>
    </row>
    <row r="197" spans="1:18" ht="15" customHeight="1" x14ac:dyDescent="0.3">
      <c r="A197" s="15" t="s">
        <v>36</v>
      </c>
      <c r="B197" s="15" t="s">
        <v>555</v>
      </c>
      <c r="C197" s="16">
        <v>0.56597222222222221</v>
      </c>
      <c r="D197" s="15" t="s">
        <v>41</v>
      </c>
      <c r="E197" s="15" t="s">
        <v>244</v>
      </c>
      <c r="F197" s="15" t="s">
        <v>634</v>
      </c>
      <c r="G197" s="195"/>
      <c r="H197" s="10"/>
      <c r="I197" s="11"/>
      <c r="J197" s="11"/>
      <c r="K197" s="11"/>
      <c r="L197" s="11"/>
      <c r="M197" s="11"/>
      <c r="N197" s="11"/>
      <c r="O197" s="12"/>
      <c r="P197" s="11"/>
      <c r="Q197" s="13"/>
      <c r="R197" s="14"/>
    </row>
    <row r="198" spans="1:18" ht="15" customHeight="1" x14ac:dyDescent="0.3">
      <c r="A198" s="15" t="s">
        <v>36</v>
      </c>
      <c r="B198" s="15" t="s">
        <v>555</v>
      </c>
      <c r="C198" s="16">
        <v>0.56597222222222221</v>
      </c>
      <c r="D198" s="15" t="s">
        <v>43</v>
      </c>
      <c r="E198" s="15" t="s">
        <v>244</v>
      </c>
      <c r="F198" s="15" t="s">
        <v>635</v>
      </c>
      <c r="G198" s="195"/>
      <c r="H198" s="10"/>
      <c r="I198" s="11"/>
      <c r="J198" s="11"/>
      <c r="K198" s="11"/>
      <c r="L198" s="11"/>
      <c r="M198" s="11"/>
      <c r="N198" s="11"/>
      <c r="O198" s="12"/>
      <c r="P198" s="11"/>
      <c r="Q198" s="13"/>
      <c r="R198" s="14"/>
    </row>
    <row r="199" spans="1:18" ht="15" customHeight="1" x14ac:dyDescent="0.3">
      <c r="A199" s="19" t="s">
        <v>36</v>
      </c>
      <c r="B199" s="19" t="s">
        <v>552</v>
      </c>
      <c r="C199" s="20">
        <v>0.42708333333333331</v>
      </c>
      <c r="D199" s="19" t="s">
        <v>38</v>
      </c>
      <c r="E199" s="19" t="s">
        <v>46</v>
      </c>
      <c r="F199" s="19" t="s">
        <v>602</v>
      </c>
      <c r="G199" s="195"/>
      <c r="H199" s="10"/>
      <c r="I199" s="11"/>
      <c r="J199" s="11"/>
      <c r="K199" s="11"/>
      <c r="L199" s="11"/>
      <c r="M199" s="11"/>
      <c r="N199" s="11"/>
      <c r="O199" s="12"/>
      <c r="P199" s="11"/>
      <c r="Q199" s="13"/>
      <c r="R199" s="14"/>
    </row>
    <row r="200" spans="1:18" ht="15" customHeight="1" x14ac:dyDescent="0.3">
      <c r="A200" s="15" t="s">
        <v>36</v>
      </c>
      <c r="B200" s="15" t="s">
        <v>552</v>
      </c>
      <c r="C200" s="16">
        <v>0.42708333333333331</v>
      </c>
      <c r="D200" s="15" t="s">
        <v>41</v>
      </c>
      <c r="E200" s="15" t="s">
        <v>47</v>
      </c>
      <c r="F200" s="15" t="s">
        <v>584</v>
      </c>
      <c r="G200" s="195"/>
      <c r="H200" s="10"/>
      <c r="I200" s="11"/>
      <c r="J200" s="11"/>
      <c r="K200" s="11"/>
      <c r="L200" s="11"/>
      <c r="M200" s="11"/>
      <c r="N200" s="11"/>
      <c r="O200" s="12"/>
      <c r="P200" s="11"/>
      <c r="Q200" s="13"/>
      <c r="R200" s="14"/>
    </row>
    <row r="201" spans="1:18" ht="15" customHeight="1" x14ac:dyDescent="0.3">
      <c r="A201" s="15" t="s">
        <v>36</v>
      </c>
      <c r="B201" s="15" t="s">
        <v>552</v>
      </c>
      <c r="C201" s="16">
        <v>0.42708333333333331</v>
      </c>
      <c r="D201" s="15" t="s">
        <v>43</v>
      </c>
      <c r="E201" s="15" t="s">
        <v>47</v>
      </c>
      <c r="F201" s="15" t="s">
        <v>603</v>
      </c>
      <c r="G201" s="195"/>
      <c r="H201" s="10"/>
      <c r="I201" s="11"/>
      <c r="J201" s="11"/>
      <c r="K201" s="11"/>
      <c r="L201" s="11"/>
      <c r="M201" s="11"/>
      <c r="N201" s="11"/>
      <c r="O201" s="12"/>
      <c r="P201" s="11"/>
      <c r="Q201" s="13"/>
      <c r="R201" s="14"/>
    </row>
    <row r="202" spans="1:18" ht="15" customHeight="1" x14ac:dyDescent="0.3">
      <c r="A202" s="19" t="s">
        <v>36</v>
      </c>
      <c r="B202" s="19" t="s">
        <v>553</v>
      </c>
      <c r="C202" s="20">
        <v>0.6875</v>
      </c>
      <c r="D202" s="19" t="s">
        <v>38</v>
      </c>
      <c r="E202" s="19" t="s">
        <v>46</v>
      </c>
      <c r="F202" s="19" t="s">
        <v>602</v>
      </c>
      <c r="G202" s="195"/>
      <c r="H202" s="10"/>
      <c r="I202" s="11"/>
      <c r="J202" s="11"/>
      <c r="K202" s="11"/>
      <c r="L202" s="11"/>
      <c r="M202" s="11"/>
      <c r="N202" s="11"/>
      <c r="O202" s="12"/>
      <c r="P202" s="11"/>
      <c r="Q202" s="13"/>
      <c r="R202" s="14"/>
    </row>
    <row r="203" spans="1:18" ht="15" customHeight="1" x14ac:dyDescent="0.3">
      <c r="A203" s="15" t="s">
        <v>36</v>
      </c>
      <c r="B203" s="15" t="s">
        <v>553</v>
      </c>
      <c r="C203" s="16">
        <v>0.6875</v>
      </c>
      <c r="D203" s="15" t="s">
        <v>41</v>
      </c>
      <c r="E203" s="15" t="s">
        <v>47</v>
      </c>
      <c r="F203" s="15" t="s">
        <v>584</v>
      </c>
      <c r="G203" s="195"/>
      <c r="H203" s="10"/>
      <c r="I203" s="11"/>
      <c r="J203" s="11"/>
      <c r="K203" s="11"/>
      <c r="L203" s="11"/>
      <c r="M203" s="11"/>
      <c r="N203" s="11"/>
      <c r="O203" s="12"/>
      <c r="P203" s="11"/>
      <c r="Q203" s="13"/>
      <c r="R203" s="14"/>
    </row>
    <row r="204" spans="1:18" ht="15" customHeight="1" x14ac:dyDescent="0.3">
      <c r="A204" s="15" t="s">
        <v>36</v>
      </c>
      <c r="B204" s="15" t="s">
        <v>553</v>
      </c>
      <c r="C204" s="16">
        <v>0.6875</v>
      </c>
      <c r="D204" s="15" t="s">
        <v>43</v>
      </c>
      <c r="E204" s="15" t="s">
        <v>47</v>
      </c>
      <c r="F204" s="15" t="s">
        <v>603</v>
      </c>
      <c r="G204" s="195"/>
      <c r="H204" s="10"/>
      <c r="I204" s="11"/>
      <c r="J204" s="11"/>
      <c r="K204" s="11"/>
      <c r="L204" s="11"/>
      <c r="M204" s="11"/>
      <c r="N204" s="11"/>
      <c r="O204" s="12"/>
      <c r="P204" s="11"/>
      <c r="Q204" s="13"/>
      <c r="R204" s="14"/>
    </row>
    <row r="205" spans="1:18" ht="15" customHeight="1" x14ac:dyDescent="0.3">
      <c r="A205" s="19" t="s">
        <v>36</v>
      </c>
      <c r="B205" s="19" t="s">
        <v>554</v>
      </c>
      <c r="C205" s="20">
        <v>0.375</v>
      </c>
      <c r="D205" s="19" t="s">
        <v>38</v>
      </c>
      <c r="E205" s="19" t="s">
        <v>46</v>
      </c>
      <c r="F205" s="19" t="s">
        <v>602</v>
      </c>
      <c r="G205" s="195"/>
      <c r="H205" s="10"/>
      <c r="I205" s="11"/>
      <c r="J205" s="11"/>
      <c r="K205" s="11"/>
      <c r="L205" s="11"/>
      <c r="M205" s="11"/>
      <c r="N205" s="11"/>
      <c r="O205" s="12"/>
      <c r="P205" s="11"/>
      <c r="Q205" s="13"/>
      <c r="R205" s="14"/>
    </row>
    <row r="206" spans="1:18" ht="15" customHeight="1" x14ac:dyDescent="0.3">
      <c r="A206" s="15" t="s">
        <v>36</v>
      </c>
      <c r="B206" s="15" t="s">
        <v>554</v>
      </c>
      <c r="C206" s="16">
        <v>0.375</v>
      </c>
      <c r="D206" s="15" t="s">
        <v>41</v>
      </c>
      <c r="E206" s="15" t="s">
        <v>47</v>
      </c>
      <c r="F206" s="15" t="s">
        <v>584</v>
      </c>
      <c r="G206" s="195"/>
      <c r="H206" s="10"/>
      <c r="I206" s="11"/>
      <c r="J206" s="11"/>
      <c r="K206" s="11"/>
      <c r="L206" s="11"/>
      <c r="M206" s="11"/>
      <c r="N206" s="11"/>
      <c r="O206" s="12"/>
      <c r="P206" s="11"/>
      <c r="Q206" s="13"/>
      <c r="R206" s="14"/>
    </row>
    <row r="207" spans="1:18" ht="15" customHeight="1" x14ac:dyDescent="0.3">
      <c r="A207" s="15" t="s">
        <v>36</v>
      </c>
      <c r="B207" s="15" t="s">
        <v>554</v>
      </c>
      <c r="C207" s="16">
        <v>0.375</v>
      </c>
      <c r="D207" s="15" t="s">
        <v>43</v>
      </c>
      <c r="E207" s="15" t="s">
        <v>47</v>
      </c>
      <c r="F207" s="15" t="s">
        <v>603</v>
      </c>
      <c r="G207" s="195"/>
      <c r="H207" s="10"/>
      <c r="I207" s="11"/>
      <c r="J207" s="11"/>
      <c r="K207" s="11"/>
      <c r="L207" s="11"/>
      <c r="M207" s="11"/>
      <c r="N207" s="11"/>
      <c r="O207" s="12"/>
      <c r="P207" s="11"/>
      <c r="Q207" s="13"/>
      <c r="R207" s="14"/>
    </row>
    <row r="208" spans="1:18" ht="15" customHeight="1" x14ac:dyDescent="0.3">
      <c r="A208" s="19" t="s">
        <v>36</v>
      </c>
      <c r="B208" s="19" t="s">
        <v>551</v>
      </c>
      <c r="C208" s="20">
        <v>0.5</v>
      </c>
      <c r="D208" s="19" t="s">
        <v>38</v>
      </c>
      <c r="E208" s="19" t="s">
        <v>46</v>
      </c>
      <c r="F208" s="19" t="s">
        <v>605</v>
      </c>
      <c r="G208" s="195"/>
      <c r="H208" s="10"/>
      <c r="I208" s="11"/>
      <c r="J208" s="11"/>
      <c r="K208" s="11"/>
      <c r="L208" s="11"/>
      <c r="M208" s="11"/>
      <c r="N208" s="11"/>
      <c r="O208" s="12"/>
      <c r="P208" s="11"/>
      <c r="Q208" s="13"/>
      <c r="R208" s="14"/>
    </row>
    <row r="209" spans="1:18" ht="15" customHeight="1" x14ac:dyDescent="0.3">
      <c r="A209" s="15" t="s">
        <v>36</v>
      </c>
      <c r="B209" s="15" t="s">
        <v>551</v>
      </c>
      <c r="C209" s="16">
        <v>0.5</v>
      </c>
      <c r="D209" s="15" t="s">
        <v>41</v>
      </c>
      <c r="E209" s="15" t="s">
        <v>47</v>
      </c>
      <c r="F209" s="15" t="s">
        <v>604</v>
      </c>
      <c r="G209" s="195"/>
      <c r="H209" s="10"/>
      <c r="I209" s="11"/>
      <c r="J209" s="11"/>
      <c r="K209" s="11"/>
      <c r="L209" s="11"/>
      <c r="M209" s="11"/>
      <c r="N209" s="11"/>
      <c r="O209" s="12"/>
      <c r="P209" s="11"/>
      <c r="Q209" s="13"/>
      <c r="R209" s="14"/>
    </row>
    <row r="210" spans="1:18" ht="15" customHeight="1" x14ac:dyDescent="0.3">
      <c r="A210" s="15" t="s">
        <v>36</v>
      </c>
      <c r="B210" s="15" t="s">
        <v>551</v>
      </c>
      <c r="C210" s="16">
        <v>0.5</v>
      </c>
      <c r="D210" s="15" t="s">
        <v>43</v>
      </c>
      <c r="E210" s="15" t="s">
        <v>47</v>
      </c>
      <c r="F210" s="15" t="s">
        <v>30</v>
      </c>
      <c r="G210" s="195"/>
      <c r="H210" s="10"/>
      <c r="I210" s="11"/>
      <c r="J210" s="11"/>
      <c r="K210" s="11"/>
      <c r="L210" s="11"/>
      <c r="M210" s="11"/>
      <c r="N210" s="11"/>
      <c r="O210" s="12"/>
      <c r="P210" s="11"/>
      <c r="Q210" s="13"/>
      <c r="R210" s="14"/>
    </row>
    <row r="211" spans="1:18" ht="15" customHeight="1" x14ac:dyDescent="0.3">
      <c r="A211" s="17" t="s">
        <v>264</v>
      </c>
      <c r="B211" s="17" t="s">
        <v>541</v>
      </c>
      <c r="C211" s="18">
        <v>0.27777777777777779</v>
      </c>
      <c r="D211" s="17" t="s">
        <v>111</v>
      </c>
      <c r="E211" s="17" t="s">
        <v>51</v>
      </c>
      <c r="F211" s="17" t="s">
        <v>636</v>
      </c>
      <c r="G211" s="195"/>
      <c r="H211" s="10"/>
      <c r="I211" s="11"/>
      <c r="J211" s="11"/>
      <c r="K211" s="11"/>
      <c r="L211" s="11"/>
      <c r="M211" s="11"/>
      <c r="N211" s="11"/>
      <c r="O211" s="12"/>
      <c r="P211" s="11"/>
      <c r="Q211" s="13"/>
      <c r="R211" s="14"/>
    </row>
    <row r="212" spans="1:18" ht="15" customHeight="1" x14ac:dyDescent="0.3">
      <c r="A212" s="188" t="s">
        <v>73</v>
      </c>
      <c r="B212" s="188" t="s">
        <v>613</v>
      </c>
      <c r="C212" s="189">
        <v>0.91319444444444453</v>
      </c>
      <c r="D212" s="188" t="s">
        <v>111</v>
      </c>
      <c r="E212" s="188" t="s">
        <v>51</v>
      </c>
      <c r="F212" s="188" t="s">
        <v>637</v>
      </c>
      <c r="G212" s="195"/>
      <c r="H212" s="121" t="s">
        <v>615</v>
      </c>
      <c r="I212" s="149">
        <v>0.59519999999999995</v>
      </c>
      <c r="J212" s="123">
        <v>100</v>
      </c>
      <c r="K212" s="124">
        <v>45981</v>
      </c>
      <c r="L212" s="123">
        <v>40</v>
      </c>
      <c r="M212" s="123">
        <v>11</v>
      </c>
      <c r="N212" s="123">
        <v>4</v>
      </c>
      <c r="O212" s="125" t="s">
        <v>174</v>
      </c>
      <c r="P212" s="126">
        <v>0.91319444444444453</v>
      </c>
      <c r="Q212" s="123">
        <v>168</v>
      </c>
      <c r="R212" s="127" t="s">
        <v>638</v>
      </c>
    </row>
    <row r="213" spans="1:18" ht="15" customHeight="1" x14ac:dyDescent="0.3">
      <c r="A213" s="17" t="s">
        <v>252</v>
      </c>
      <c r="B213" s="17" t="s">
        <v>609</v>
      </c>
      <c r="C213" s="18">
        <v>0.62152777777777779</v>
      </c>
      <c r="D213" s="17" t="s">
        <v>254</v>
      </c>
      <c r="E213" s="17" t="s">
        <v>97</v>
      </c>
      <c r="F213" s="17" t="s">
        <v>639</v>
      </c>
      <c r="G213" s="195"/>
      <c r="H213" s="10"/>
      <c r="I213" s="11"/>
      <c r="J213" s="11"/>
      <c r="K213" s="11"/>
      <c r="L213" s="11"/>
      <c r="M213" s="11"/>
      <c r="N213" s="11"/>
      <c r="O213" s="12"/>
      <c r="P213" s="11"/>
      <c r="Q213" s="13"/>
      <c r="R213" s="14"/>
    </row>
    <row r="214" spans="1:18" ht="15" customHeight="1" x14ac:dyDescent="0.3">
      <c r="A214" s="15" t="s">
        <v>252</v>
      </c>
      <c r="B214" s="15" t="s">
        <v>609</v>
      </c>
      <c r="C214" s="16">
        <v>0.62152777777777779</v>
      </c>
      <c r="D214" s="15" t="s">
        <v>34</v>
      </c>
      <c r="E214" s="15" t="s">
        <v>47</v>
      </c>
      <c r="F214" s="15" t="s">
        <v>640</v>
      </c>
      <c r="G214" s="195"/>
      <c r="H214" s="10"/>
      <c r="I214" s="11"/>
      <c r="J214" s="11"/>
      <c r="K214" s="11"/>
      <c r="L214" s="11"/>
      <c r="M214" s="11"/>
      <c r="N214" s="11"/>
      <c r="O214" s="12"/>
      <c r="P214" s="11"/>
      <c r="Q214" s="13"/>
      <c r="R214" s="14"/>
    </row>
    <row r="215" spans="1:18" ht="15" customHeight="1" x14ac:dyDescent="0.3">
      <c r="A215" s="17" t="s">
        <v>48</v>
      </c>
      <c r="B215" s="17" t="s">
        <v>567</v>
      </c>
      <c r="C215" s="18">
        <v>0.16666666666666671</v>
      </c>
      <c r="D215" s="17" t="s">
        <v>50</v>
      </c>
      <c r="E215" s="17" t="s">
        <v>51</v>
      </c>
      <c r="F215" s="17" t="s">
        <v>641</v>
      </c>
      <c r="G215" s="195"/>
      <c r="H215" s="10"/>
      <c r="I215" s="11"/>
      <c r="J215" s="11"/>
      <c r="K215" s="11"/>
      <c r="L215" s="11"/>
      <c r="M215" s="11"/>
      <c r="N215" s="11"/>
      <c r="O215" s="12"/>
      <c r="P215" s="11"/>
      <c r="Q215" s="13"/>
      <c r="R215" s="14"/>
    </row>
    <row r="216" spans="1:18" ht="15" customHeight="1" x14ac:dyDescent="0.3">
      <c r="A216" s="19" t="s">
        <v>48</v>
      </c>
      <c r="B216" s="19" t="s">
        <v>565</v>
      </c>
      <c r="C216" s="20">
        <v>0.54166666666666663</v>
      </c>
      <c r="D216" s="19" t="s">
        <v>50</v>
      </c>
      <c r="E216" s="19" t="s">
        <v>92</v>
      </c>
      <c r="F216" s="19" t="s">
        <v>642</v>
      </c>
      <c r="G216" s="195"/>
      <c r="H216" s="10"/>
      <c r="I216" s="11"/>
      <c r="J216" s="11"/>
      <c r="K216" s="11"/>
      <c r="L216" s="11"/>
      <c r="M216" s="11"/>
      <c r="N216" s="11"/>
      <c r="O216" s="12"/>
      <c r="P216" s="11"/>
      <c r="Q216" s="13"/>
      <c r="R216" s="14"/>
    </row>
    <row r="217" spans="1:18" ht="15" customHeight="1" x14ac:dyDescent="0.3">
      <c r="A217" s="19" t="s">
        <v>48</v>
      </c>
      <c r="B217" s="19" t="s">
        <v>563</v>
      </c>
      <c r="C217" s="20">
        <v>0.91666666666666663</v>
      </c>
      <c r="D217" s="19" t="s">
        <v>50</v>
      </c>
      <c r="E217" s="19" t="s">
        <v>92</v>
      </c>
      <c r="F217" s="19" t="s">
        <v>643</v>
      </c>
      <c r="G217" s="195"/>
      <c r="H217" s="10"/>
      <c r="I217" s="11"/>
      <c r="J217" s="11"/>
      <c r="K217" s="11"/>
      <c r="L217" s="11"/>
      <c r="M217" s="11"/>
      <c r="N217" s="11"/>
      <c r="O217" s="12"/>
      <c r="P217" s="11"/>
      <c r="Q217" s="13"/>
      <c r="R217" s="14"/>
    </row>
    <row r="218" spans="1:18" ht="15" customHeight="1" x14ac:dyDescent="0.3">
      <c r="A218" s="17" t="s">
        <v>56</v>
      </c>
      <c r="B218" s="17" t="s">
        <v>571</v>
      </c>
      <c r="C218" s="18">
        <v>0.2986111111111111</v>
      </c>
      <c r="D218" s="17" t="s">
        <v>58</v>
      </c>
      <c r="E218" s="17" t="s">
        <v>51</v>
      </c>
      <c r="F218" s="17" t="s">
        <v>622</v>
      </c>
      <c r="G218" s="195"/>
      <c r="H218" s="10"/>
      <c r="I218" s="11"/>
      <c r="J218" s="11"/>
      <c r="K218" s="11"/>
      <c r="L218" s="11"/>
      <c r="M218" s="11"/>
      <c r="N218" s="11"/>
      <c r="O218" s="12"/>
      <c r="P218" s="11"/>
      <c r="Q218" s="13"/>
      <c r="R218" s="14"/>
    </row>
    <row r="219" spans="1:18" ht="15" customHeight="1" x14ac:dyDescent="0.3">
      <c r="A219" s="15" t="s">
        <v>56</v>
      </c>
      <c r="B219" s="15" t="s">
        <v>571</v>
      </c>
      <c r="C219" s="16">
        <v>0.2986111111111111</v>
      </c>
      <c r="D219" s="15" t="s">
        <v>61</v>
      </c>
      <c r="E219" s="15" t="s">
        <v>94</v>
      </c>
      <c r="F219" s="15" t="s">
        <v>623</v>
      </c>
      <c r="G219" s="195"/>
      <c r="H219" s="10"/>
      <c r="I219" s="11"/>
      <c r="J219" s="11"/>
      <c r="K219" s="11"/>
      <c r="L219" s="11"/>
      <c r="M219" s="11"/>
      <c r="N219" s="11"/>
      <c r="O219" s="12"/>
      <c r="P219" s="11"/>
      <c r="Q219" s="13"/>
      <c r="R219" s="14"/>
    </row>
    <row r="220" spans="1:18" ht="15" customHeight="1" x14ac:dyDescent="0.3">
      <c r="A220" s="19" t="s">
        <v>56</v>
      </c>
      <c r="B220" s="19" t="s">
        <v>574</v>
      </c>
      <c r="C220" s="20">
        <v>0.68402777777777779</v>
      </c>
      <c r="D220" s="19" t="s">
        <v>58</v>
      </c>
      <c r="E220" s="19" t="s">
        <v>92</v>
      </c>
      <c r="F220" s="19" t="s">
        <v>622</v>
      </c>
      <c r="G220" s="195"/>
      <c r="H220" s="10"/>
      <c r="I220" s="11"/>
      <c r="J220" s="11"/>
      <c r="K220" s="11"/>
      <c r="L220" s="11"/>
      <c r="M220" s="11"/>
      <c r="N220" s="11"/>
      <c r="O220" s="12"/>
      <c r="P220" s="11"/>
      <c r="Q220" s="13"/>
      <c r="R220" s="14"/>
    </row>
    <row r="221" spans="1:18" ht="15" customHeight="1" x14ac:dyDescent="0.3">
      <c r="A221" s="15" t="s">
        <v>56</v>
      </c>
      <c r="B221" s="15" t="s">
        <v>574</v>
      </c>
      <c r="C221" s="16">
        <v>0.68402777777777779</v>
      </c>
      <c r="D221" s="15" t="s">
        <v>61</v>
      </c>
      <c r="E221" s="15" t="s">
        <v>94</v>
      </c>
      <c r="F221" s="15" t="s">
        <v>623</v>
      </c>
      <c r="G221" s="195"/>
      <c r="H221" s="10"/>
      <c r="I221" s="11"/>
      <c r="J221" s="11"/>
      <c r="K221" s="11"/>
      <c r="L221" s="11"/>
      <c r="M221" s="11"/>
      <c r="N221" s="11"/>
      <c r="O221" s="12"/>
      <c r="P221" s="11"/>
      <c r="Q221" s="13"/>
      <c r="R221" s="14"/>
    </row>
    <row r="222" spans="1:18" ht="15" customHeight="1" x14ac:dyDescent="0.3">
      <c r="A222" s="19" t="s">
        <v>56</v>
      </c>
      <c r="B222" s="19" t="s">
        <v>594</v>
      </c>
      <c r="C222" s="20">
        <v>0.55208333333333337</v>
      </c>
      <c r="D222" s="19" t="s">
        <v>58</v>
      </c>
      <c r="E222" s="19" t="s">
        <v>92</v>
      </c>
      <c r="F222" s="19" t="s">
        <v>622</v>
      </c>
      <c r="G222" s="195"/>
      <c r="H222" s="10"/>
      <c r="I222" s="11"/>
      <c r="J222" s="11"/>
      <c r="K222" s="11"/>
      <c r="L222" s="11"/>
      <c r="M222" s="11"/>
      <c r="N222" s="11"/>
      <c r="O222" s="12"/>
      <c r="P222" s="11"/>
      <c r="Q222" s="13"/>
      <c r="R222" s="14"/>
    </row>
    <row r="223" spans="1:18" ht="15" customHeight="1" x14ac:dyDescent="0.3">
      <c r="A223" s="15" t="s">
        <v>56</v>
      </c>
      <c r="B223" s="15" t="s">
        <v>594</v>
      </c>
      <c r="C223" s="16">
        <v>0.55208333333333337</v>
      </c>
      <c r="D223" s="15" t="s">
        <v>61</v>
      </c>
      <c r="E223" s="15" t="s">
        <v>94</v>
      </c>
      <c r="F223" s="15" t="s">
        <v>623</v>
      </c>
      <c r="G223" s="195"/>
      <c r="H223" s="10"/>
      <c r="I223" s="11"/>
      <c r="J223" s="11"/>
      <c r="K223" s="11"/>
      <c r="L223" s="11"/>
      <c r="M223" s="11"/>
      <c r="N223" s="11"/>
      <c r="O223" s="12"/>
      <c r="P223" s="11"/>
      <c r="Q223" s="13"/>
      <c r="R223" s="14"/>
    </row>
    <row r="224" spans="1:18" ht="15" customHeight="1" x14ac:dyDescent="0.3">
      <c r="A224" s="19" t="s">
        <v>56</v>
      </c>
      <c r="B224" s="19" t="s">
        <v>576</v>
      </c>
      <c r="C224" s="20">
        <v>0.4826388888888889</v>
      </c>
      <c r="D224" s="19" t="s">
        <v>58</v>
      </c>
      <c r="E224" s="19" t="s">
        <v>92</v>
      </c>
      <c r="F224" s="19" t="s">
        <v>622</v>
      </c>
      <c r="G224" s="195"/>
      <c r="H224" s="10"/>
      <c r="I224" s="11"/>
      <c r="J224" s="11"/>
      <c r="K224" s="11"/>
      <c r="L224" s="11"/>
      <c r="M224" s="11"/>
      <c r="N224" s="11"/>
      <c r="O224" s="12"/>
      <c r="P224" s="11"/>
      <c r="Q224" s="13"/>
      <c r="R224" s="14"/>
    </row>
    <row r="225" spans="1:18" ht="15" customHeight="1" x14ac:dyDescent="0.3">
      <c r="A225" s="15" t="s">
        <v>56</v>
      </c>
      <c r="B225" s="15" t="s">
        <v>576</v>
      </c>
      <c r="C225" s="16">
        <v>0.4826388888888889</v>
      </c>
      <c r="D225" s="15" t="s">
        <v>61</v>
      </c>
      <c r="E225" s="15" t="s">
        <v>94</v>
      </c>
      <c r="F225" s="15" t="s">
        <v>623</v>
      </c>
      <c r="G225" s="195"/>
      <c r="H225" s="10"/>
      <c r="I225" s="11"/>
      <c r="J225" s="11"/>
      <c r="K225" s="11"/>
      <c r="L225" s="11"/>
      <c r="M225" s="11"/>
      <c r="N225" s="11"/>
      <c r="O225" s="12"/>
      <c r="P225" s="11"/>
      <c r="Q225" s="13"/>
      <c r="R225" s="14"/>
    </row>
    <row r="226" spans="1:18" ht="15" customHeight="1" x14ac:dyDescent="0.3">
      <c r="A226" s="19" t="s">
        <v>56</v>
      </c>
      <c r="B226" s="19" t="s">
        <v>575</v>
      </c>
      <c r="C226" s="20">
        <v>0.83680555555555547</v>
      </c>
      <c r="D226" s="19" t="s">
        <v>58</v>
      </c>
      <c r="E226" s="19" t="s">
        <v>92</v>
      </c>
      <c r="F226" s="19" t="s">
        <v>590</v>
      </c>
      <c r="G226" s="195"/>
      <c r="H226" s="10"/>
      <c r="I226" s="11"/>
      <c r="J226" s="11"/>
      <c r="K226" s="11"/>
      <c r="L226" s="11"/>
      <c r="M226" s="11"/>
      <c r="N226" s="11"/>
      <c r="O226" s="12"/>
      <c r="P226" s="11"/>
      <c r="Q226" s="13"/>
      <c r="R226" s="14"/>
    </row>
    <row r="227" spans="1:18" ht="15" customHeight="1" x14ac:dyDescent="0.3">
      <c r="A227" s="15" t="s">
        <v>56</v>
      </c>
      <c r="B227" s="15" t="s">
        <v>575</v>
      </c>
      <c r="C227" s="16">
        <v>0.83680555555555547</v>
      </c>
      <c r="D227" s="15" t="s">
        <v>61</v>
      </c>
      <c r="E227" s="15" t="s">
        <v>94</v>
      </c>
      <c r="F227" s="15" t="s">
        <v>591</v>
      </c>
      <c r="G227" s="195"/>
      <c r="H227" s="10"/>
      <c r="I227" s="11"/>
      <c r="J227" s="11"/>
      <c r="K227" s="11"/>
      <c r="L227" s="11"/>
      <c r="M227" s="11"/>
      <c r="N227" s="11"/>
      <c r="O227" s="12"/>
      <c r="P227" s="11"/>
      <c r="Q227" s="13"/>
      <c r="R227" s="14"/>
    </row>
    <row r="228" spans="1:18" ht="15" customHeight="1" x14ac:dyDescent="0.3">
      <c r="A228" s="19" t="s">
        <v>56</v>
      </c>
      <c r="B228" s="19" t="s">
        <v>577</v>
      </c>
      <c r="C228" s="20">
        <v>0.76041666666666663</v>
      </c>
      <c r="D228" s="19" t="s">
        <v>61</v>
      </c>
      <c r="E228" s="19" t="s">
        <v>65</v>
      </c>
      <c r="F228" s="19" t="s">
        <v>624</v>
      </c>
      <c r="G228" s="195"/>
      <c r="H228" s="10"/>
      <c r="I228" s="11"/>
      <c r="J228" s="11"/>
      <c r="K228" s="11"/>
      <c r="L228" s="11"/>
      <c r="M228" s="11"/>
      <c r="N228" s="11"/>
      <c r="O228" s="12"/>
      <c r="P228" s="11"/>
      <c r="Q228" s="13"/>
      <c r="R228" s="14"/>
    </row>
    <row r="229" spans="1:18" ht="15" customHeight="1" x14ac:dyDescent="0.3">
      <c r="A229" s="19" t="s">
        <v>56</v>
      </c>
      <c r="B229" s="19" t="s">
        <v>579</v>
      </c>
      <c r="C229" s="20">
        <v>0.5</v>
      </c>
      <c r="D229" s="19" t="s">
        <v>61</v>
      </c>
      <c r="E229" s="19" t="s">
        <v>65</v>
      </c>
      <c r="F229" s="19" t="s">
        <v>624</v>
      </c>
      <c r="G229" s="195"/>
      <c r="H229" s="10"/>
      <c r="I229" s="11"/>
      <c r="J229" s="11"/>
      <c r="K229" s="11"/>
      <c r="L229" s="11"/>
      <c r="M229" s="11"/>
      <c r="N229" s="11"/>
      <c r="O229" s="12"/>
      <c r="P229" s="11"/>
      <c r="Q229" s="13"/>
      <c r="R229" s="14"/>
    </row>
    <row r="230" spans="1:18" ht="15" customHeight="1" x14ac:dyDescent="0.3">
      <c r="A230" s="138" t="s">
        <v>56</v>
      </c>
      <c r="B230" s="138" t="s">
        <v>569</v>
      </c>
      <c r="C230" s="139">
        <v>0.81597222222222221</v>
      </c>
      <c r="D230" s="138" t="s">
        <v>61</v>
      </c>
      <c r="E230" s="138" t="s">
        <v>65</v>
      </c>
      <c r="F230" s="138" t="s">
        <v>624</v>
      </c>
      <c r="G230" s="196"/>
      <c r="H230" s="51"/>
      <c r="I230" s="52"/>
      <c r="J230" s="52"/>
      <c r="K230" s="52"/>
      <c r="L230" s="52"/>
      <c r="M230" s="52"/>
      <c r="N230" s="52"/>
      <c r="O230" s="53"/>
      <c r="P230" s="52"/>
      <c r="Q230" s="54"/>
      <c r="R230" s="55"/>
    </row>
  </sheetData>
  <mergeCells count="22">
    <mergeCell ref="G178:G230"/>
    <mergeCell ref="H176:R176"/>
    <mergeCell ref="A57:R57"/>
    <mergeCell ref="A175:R175"/>
    <mergeCell ref="G2:J2"/>
    <mergeCell ref="A4:F4"/>
    <mergeCell ref="G60:G110"/>
    <mergeCell ref="A112:F112"/>
    <mergeCell ref="A58:F58"/>
    <mergeCell ref="K2:R2"/>
    <mergeCell ref="A111:R111"/>
    <mergeCell ref="A176:F176"/>
    <mergeCell ref="G114:G174"/>
    <mergeCell ref="G6:G56"/>
    <mergeCell ref="H1:L1"/>
    <mergeCell ref="A1:E1"/>
    <mergeCell ref="H112:R112"/>
    <mergeCell ref="H4:R4"/>
    <mergeCell ref="H58:R58"/>
    <mergeCell ref="A2:F2"/>
    <mergeCell ref="A3:R3"/>
    <mergeCell ref="N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6"/>
  <sheetViews>
    <sheetView workbookViewId="0"/>
  </sheetViews>
  <sheetFormatPr defaultRowHeight="15.6" outlineLevelCol="1" x14ac:dyDescent="0.3"/>
  <cols>
    <col min="1" max="1" width="9.77734375" style="209" bestFit="1" customWidth="1"/>
    <col min="2" max="2" width="10.44140625" style="209" bestFit="1" customWidth="1"/>
    <col min="3" max="3" width="6.77734375" style="209" bestFit="1" customWidth="1"/>
    <col min="4" max="4" width="5.5546875" style="209" bestFit="1" customWidth="1"/>
    <col min="5" max="5" width="8.33203125" style="209" bestFit="1" customWidth="1"/>
    <col min="6" max="6" width="4.21875" style="209" bestFit="1" customWidth="1"/>
    <col min="7" max="7" width="10" style="209" bestFit="1" customWidth="1"/>
    <col min="8" max="10" width="7" style="209" bestFit="1" customWidth="1"/>
    <col min="11" max="11" width="10.5546875" style="209" bestFit="1" customWidth="1"/>
    <col min="12" max="12" width="9.109375" style="209" bestFit="1" customWidth="1"/>
    <col min="13" max="13" width="7.6640625" style="209" bestFit="1" customWidth="1" outlineLevel="1"/>
    <col min="14" max="14" width="6.33203125" style="209" bestFit="1" customWidth="1" outlineLevel="1"/>
    <col min="15" max="15" width="8" style="209" bestFit="1" customWidth="1" outlineLevel="1"/>
    <col min="16" max="16" width="13.6640625" style="209" bestFit="1" customWidth="1"/>
    <col min="17" max="26" width="3.88671875" style="209" bestFit="1" customWidth="1"/>
    <col min="27" max="27" width="4" style="209" bestFit="1" customWidth="1"/>
    <col min="28" max="29" width="4.21875" style="209" bestFit="1" customWidth="1"/>
    <col min="30" max="31" width="4.5546875" style="209" bestFit="1" customWidth="1"/>
    <col min="32" max="36" width="3.88671875" style="209" bestFit="1" customWidth="1"/>
    <col min="37" max="16384" width="8.88671875" style="209"/>
  </cols>
  <sheetData>
    <row r="1" spans="1:36" x14ac:dyDescent="0.3">
      <c r="A1" s="208" t="s">
        <v>125</v>
      </c>
      <c r="B1" s="208" t="s">
        <v>126</v>
      </c>
      <c r="C1" s="208" t="s">
        <v>127</v>
      </c>
      <c r="D1" s="208" t="s">
        <v>23</v>
      </c>
      <c r="E1" s="208" t="s">
        <v>128</v>
      </c>
      <c r="F1" s="208" t="s">
        <v>129</v>
      </c>
      <c r="G1" s="208" t="s">
        <v>16</v>
      </c>
      <c r="H1" s="208" t="s">
        <v>130</v>
      </c>
      <c r="I1" s="208" t="s">
        <v>131</v>
      </c>
      <c r="J1" s="208" t="s">
        <v>132</v>
      </c>
      <c r="K1" s="208" t="s">
        <v>133</v>
      </c>
      <c r="L1" s="208" t="s">
        <v>18</v>
      </c>
      <c r="M1" s="208" t="s">
        <v>20</v>
      </c>
      <c r="N1" s="208" t="s">
        <v>21</v>
      </c>
      <c r="O1" s="208" t="s">
        <v>19</v>
      </c>
      <c r="P1" s="208" t="s">
        <v>22</v>
      </c>
      <c r="Q1" s="208" t="s">
        <v>134</v>
      </c>
      <c r="R1" s="208" t="s">
        <v>135</v>
      </c>
      <c r="S1" s="208" t="s">
        <v>136</v>
      </c>
      <c r="T1" s="208" t="s">
        <v>137</v>
      </c>
      <c r="U1" s="208" t="s">
        <v>138</v>
      </c>
      <c r="V1" s="208" t="s">
        <v>139</v>
      </c>
      <c r="W1" s="208" t="s">
        <v>140</v>
      </c>
      <c r="X1" s="208" t="s">
        <v>141</v>
      </c>
      <c r="Y1" s="208" t="s">
        <v>142</v>
      </c>
      <c r="Z1" s="208" t="s">
        <v>143</v>
      </c>
      <c r="AA1" s="208" t="s">
        <v>144</v>
      </c>
      <c r="AB1" s="208" t="s">
        <v>145</v>
      </c>
      <c r="AC1" s="208" t="s">
        <v>146</v>
      </c>
      <c r="AD1" s="208" t="s">
        <v>147</v>
      </c>
      <c r="AE1" s="208" t="s">
        <v>148</v>
      </c>
      <c r="AF1" s="208" t="s">
        <v>149</v>
      </c>
      <c r="AG1" s="208" t="s">
        <v>150</v>
      </c>
      <c r="AH1" s="208" t="s">
        <v>151</v>
      </c>
      <c r="AI1" s="208" t="s">
        <v>152</v>
      </c>
      <c r="AJ1" s="208" t="s">
        <v>153</v>
      </c>
    </row>
    <row r="2" spans="1:36" x14ac:dyDescent="0.3">
      <c r="A2" s="210" t="s">
        <v>154</v>
      </c>
      <c r="B2" s="211">
        <v>45983</v>
      </c>
      <c r="C2" s="212" t="s">
        <v>560</v>
      </c>
      <c r="D2" s="213" t="s">
        <v>644</v>
      </c>
      <c r="E2" s="212" t="s">
        <v>540</v>
      </c>
      <c r="F2" s="212" t="s">
        <v>156</v>
      </c>
      <c r="G2" s="214">
        <v>0.83930000000000005</v>
      </c>
      <c r="H2" s="215">
        <v>168</v>
      </c>
      <c r="I2" s="215">
        <v>141</v>
      </c>
      <c r="J2" s="215">
        <v>0</v>
      </c>
      <c r="K2" s="212" t="s">
        <v>157</v>
      </c>
      <c r="L2" s="216">
        <v>45981</v>
      </c>
      <c r="M2" s="215">
        <v>24</v>
      </c>
      <c r="N2" s="215">
        <v>23</v>
      </c>
      <c r="O2" s="215">
        <v>52</v>
      </c>
      <c r="P2" s="212" t="s">
        <v>561</v>
      </c>
      <c r="Q2" s="208"/>
      <c r="R2" s="208"/>
      <c r="S2" s="208"/>
      <c r="T2" s="208"/>
      <c r="U2" s="208"/>
      <c r="V2" s="215" t="s">
        <v>645</v>
      </c>
      <c r="W2" s="208"/>
      <c r="X2" s="208"/>
      <c r="Y2" s="208"/>
      <c r="Z2" s="215" t="s">
        <v>475</v>
      </c>
      <c r="AA2" s="215" t="s">
        <v>495</v>
      </c>
      <c r="AB2" s="215" t="s">
        <v>646</v>
      </c>
      <c r="AC2" s="215" t="s">
        <v>647</v>
      </c>
      <c r="AD2" s="215" t="s">
        <v>648</v>
      </c>
      <c r="AE2" s="215" t="s">
        <v>493</v>
      </c>
      <c r="AF2" s="215" t="s">
        <v>649</v>
      </c>
      <c r="AG2" s="208"/>
      <c r="AH2" s="208"/>
      <c r="AI2" s="208"/>
      <c r="AJ2" s="208"/>
    </row>
    <row r="3" spans="1:36" x14ac:dyDescent="0.3">
      <c r="A3" s="210" t="s">
        <v>166</v>
      </c>
      <c r="B3" s="211">
        <v>45984</v>
      </c>
      <c r="C3" s="212" t="s">
        <v>560</v>
      </c>
      <c r="D3" s="213" t="s">
        <v>650</v>
      </c>
      <c r="E3" s="212" t="s">
        <v>540</v>
      </c>
      <c r="F3" s="212" t="s">
        <v>651</v>
      </c>
      <c r="G3" s="214">
        <v>1.0825</v>
      </c>
      <c r="H3" s="215">
        <v>97</v>
      </c>
      <c r="I3" s="215">
        <v>105</v>
      </c>
      <c r="J3" s="215">
        <v>0</v>
      </c>
      <c r="K3" s="212" t="s">
        <v>157</v>
      </c>
      <c r="L3" s="216">
        <v>45980</v>
      </c>
      <c r="M3" s="215">
        <v>0</v>
      </c>
      <c r="N3" s="215">
        <v>5</v>
      </c>
      <c r="O3" s="215">
        <v>40</v>
      </c>
      <c r="P3" s="212" t="s">
        <v>77</v>
      </c>
      <c r="Q3" s="208"/>
      <c r="R3" s="208"/>
      <c r="S3" s="208"/>
      <c r="T3" s="208"/>
      <c r="U3" s="208"/>
      <c r="V3" s="215" t="s">
        <v>276</v>
      </c>
      <c r="W3" s="208"/>
      <c r="X3" s="208"/>
      <c r="Y3" s="208"/>
      <c r="Z3" s="208"/>
      <c r="AA3" s="208"/>
      <c r="AB3" s="215" t="s">
        <v>171</v>
      </c>
      <c r="AC3" s="215" t="s">
        <v>652</v>
      </c>
      <c r="AD3" s="215" t="s">
        <v>653</v>
      </c>
      <c r="AE3" s="215" t="s">
        <v>501</v>
      </c>
      <c r="AF3" s="215" t="s">
        <v>654</v>
      </c>
      <c r="AG3" s="208"/>
      <c r="AH3" s="208"/>
      <c r="AI3" s="208"/>
      <c r="AJ3" s="215" t="s">
        <v>432</v>
      </c>
    </row>
    <row r="4" spans="1:36" x14ac:dyDescent="0.3">
      <c r="A4" s="210" t="s">
        <v>461</v>
      </c>
      <c r="B4" s="211">
        <v>45985</v>
      </c>
      <c r="C4" s="212" t="s">
        <v>615</v>
      </c>
      <c r="D4" s="213" t="s">
        <v>655</v>
      </c>
      <c r="E4" s="212" t="s">
        <v>540</v>
      </c>
      <c r="F4" s="212" t="s">
        <v>156</v>
      </c>
      <c r="G4" s="214">
        <v>0.73209999999999997</v>
      </c>
      <c r="H4" s="215">
        <v>168</v>
      </c>
      <c r="I4" s="215">
        <v>123</v>
      </c>
      <c r="J4" s="215">
        <v>0</v>
      </c>
      <c r="K4" s="212" t="s">
        <v>157</v>
      </c>
      <c r="L4" s="216">
        <v>45981</v>
      </c>
      <c r="M4" s="215">
        <v>33</v>
      </c>
      <c r="N4" s="215">
        <v>6</v>
      </c>
      <c r="O4" s="215">
        <v>83</v>
      </c>
      <c r="P4" s="212" t="s">
        <v>368</v>
      </c>
      <c r="Q4" s="208"/>
      <c r="R4" s="208"/>
      <c r="S4" s="208"/>
      <c r="T4" s="208"/>
      <c r="U4" s="208"/>
      <c r="V4" s="215" t="s">
        <v>195</v>
      </c>
      <c r="W4" s="208"/>
      <c r="X4" s="208"/>
      <c r="Y4" s="208"/>
      <c r="Z4" s="215" t="s">
        <v>426</v>
      </c>
      <c r="AA4" s="208"/>
      <c r="AB4" s="208"/>
      <c r="AC4" s="215" t="s">
        <v>437</v>
      </c>
      <c r="AD4" s="215" t="s">
        <v>190</v>
      </c>
      <c r="AE4" s="215" t="s">
        <v>656</v>
      </c>
      <c r="AF4" s="215" t="s">
        <v>657</v>
      </c>
      <c r="AG4" s="208"/>
      <c r="AH4" s="208"/>
      <c r="AI4" s="208"/>
      <c r="AJ4" s="215" t="s">
        <v>432</v>
      </c>
    </row>
    <row r="5" spans="1:36" x14ac:dyDescent="0.3">
      <c r="A5" s="210" t="s">
        <v>177</v>
      </c>
      <c r="B5" s="211">
        <v>45986</v>
      </c>
      <c r="C5" s="212" t="s">
        <v>615</v>
      </c>
      <c r="D5" s="213" t="s">
        <v>658</v>
      </c>
      <c r="E5" s="212" t="s">
        <v>540</v>
      </c>
      <c r="F5" s="212" t="s">
        <v>156</v>
      </c>
      <c r="G5" s="214">
        <v>0.59519999999999995</v>
      </c>
      <c r="H5" s="215">
        <v>168</v>
      </c>
      <c r="I5" s="215">
        <v>100</v>
      </c>
      <c r="J5" s="215">
        <v>0</v>
      </c>
      <c r="K5" s="212" t="s">
        <v>157</v>
      </c>
      <c r="L5" s="216">
        <v>45981</v>
      </c>
      <c r="M5" s="215">
        <v>11</v>
      </c>
      <c r="N5" s="215">
        <v>4</v>
      </c>
      <c r="O5" s="215">
        <v>40</v>
      </c>
      <c r="P5" s="212" t="s">
        <v>174</v>
      </c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15" t="s">
        <v>455</v>
      </c>
      <c r="AE5" s="215" t="s">
        <v>659</v>
      </c>
      <c r="AF5" s="215" t="s">
        <v>660</v>
      </c>
      <c r="AG5" s="208"/>
      <c r="AH5" s="208"/>
      <c r="AI5" s="208"/>
      <c r="AJ5" s="208"/>
    </row>
    <row r="6" spans="1:36" ht="21" x14ac:dyDescent="0.3">
      <c r="A6" s="217" t="s">
        <v>683</v>
      </c>
      <c r="B6" s="218"/>
      <c r="C6" s="217">
        <f>SUBTOTAL(103,RUH_CAI_LF_LEGACY[Flt])</f>
        <v>4</v>
      </c>
      <c r="D6" s="217"/>
      <c r="E6" s="217">
        <f>SUBTOTAL(103,RUH_CAI_LF_LEGACY[Brd-Off])</f>
        <v>4</v>
      </c>
      <c r="F6" s="217"/>
      <c r="G6" s="219">
        <f>SUBTOTAL(101,RUH_CAI_LF_LEGACY[LF%])</f>
        <v>0.81227500000000008</v>
      </c>
      <c r="H6" s="220">
        <f>SUBTOTAL(109,RUH_CAI_LF_LEGACY[CAP])</f>
        <v>601</v>
      </c>
      <c r="I6" s="220">
        <f>SUBTOTAL(109,RUH_CAI_LF_LEGACY[BKG(Y)])</f>
        <v>469</v>
      </c>
      <c r="J6" s="220">
        <f>SUBTOTAL(109,RUH_CAI_LF_LEGACY[GRP(Y)])</f>
        <v>0</v>
      </c>
      <c r="K6" s="217"/>
      <c r="L6" s="218"/>
      <c r="M6" s="220">
        <f>SUBTOTAL(109,RUH_CAI_LF_LEGACY[TO-DAY])</f>
        <v>68</v>
      </c>
      <c r="N6" s="220">
        <f>SUBTOTAL(109,RUH_CAI_LF_LEGACY[Y-DAY])</f>
        <v>38</v>
      </c>
      <c r="O6" s="220">
        <f>SUBTOTAL(109,RUH_CAI_LF_LEGACY[WEEKLY])</f>
        <v>215</v>
      </c>
      <c r="P6" s="221"/>
      <c r="Q6" s="220">
        <f>SUBTOTAL(109,RUH_CAI_LF_LEGACY[Y])</f>
        <v>0</v>
      </c>
      <c r="R6" s="220">
        <f>SUBTOTAL(109,RUH_CAI_LF_LEGACY[B])</f>
        <v>0</v>
      </c>
      <c r="S6" s="220">
        <f>SUBTOTAL(109,RUH_CAI_LF_LEGACY[M])</f>
        <v>0</v>
      </c>
      <c r="T6" s="220">
        <f>SUBTOTAL(109,RUH_CAI_LF_LEGACY[H])</f>
        <v>0</v>
      </c>
      <c r="U6" s="220">
        <f>SUBTOTAL(109,RUH_CAI_LF_LEGACY[Q])</f>
        <v>0</v>
      </c>
      <c r="V6" s="220">
        <f>SUBTOTAL(109,RUH_CAI_LF_LEGACY[K])</f>
        <v>0</v>
      </c>
      <c r="W6" s="220">
        <f>SUBTOTAL(109,RUH_CAI_LF_LEGACY[V])</f>
        <v>0</v>
      </c>
      <c r="X6" s="220">
        <f>SUBTOTAL(109,RUH_CAI_LF_LEGACY[L])</f>
        <v>0</v>
      </c>
      <c r="Y6" s="220">
        <f>SUBTOTAL(109,RUH_CAI_LF_LEGACY[G])</f>
        <v>0</v>
      </c>
      <c r="Z6" s="220">
        <f>SUBTOTAL(109,RUH_CAI_LF_LEGACY[S])</f>
        <v>0</v>
      </c>
      <c r="AA6" s="220">
        <f>SUBTOTAL(109,RUH_CAI_LF_LEGACY[W])</f>
        <v>0</v>
      </c>
      <c r="AB6" s="220">
        <f>SUBTOTAL(109,RUH_CAI_LF_LEGACY[T])</f>
        <v>0</v>
      </c>
      <c r="AC6" s="220">
        <f>SUBTOTAL(109,RUH_CAI_LF_LEGACY[X])</f>
        <v>0</v>
      </c>
      <c r="AD6" s="220">
        <f>SUBTOTAL(109,RUH_CAI_LF_LEGACY[U])</f>
        <v>0</v>
      </c>
      <c r="AE6" s="220">
        <f>SUBTOTAL(109,RUH_CAI_LF_LEGACY[O])</f>
        <v>0</v>
      </c>
      <c r="AF6" s="220">
        <f>SUBTOTAL(109,RUH_CAI_LF_LEGACY[I])</f>
        <v>0</v>
      </c>
      <c r="AG6" s="220">
        <f>SUBTOTAL(109,RUH_CAI_LF_LEGACY[E])</f>
        <v>0</v>
      </c>
      <c r="AH6" s="220">
        <f>SUBTOTAL(109,RUH_CAI_LF_LEGACY[A])</f>
        <v>0</v>
      </c>
      <c r="AI6" s="220">
        <f>SUBTOTAL(109,RUH_CAI_LF_LEGACY[P])</f>
        <v>0</v>
      </c>
      <c r="AJ6" s="220">
        <f>SUBTOTAL(103,RUH_CAI_LF_LEGACY[N])</f>
        <v>2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7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7.6640625" hidden="1" customWidth="1"/>
  </cols>
  <sheetData>
    <row r="1" spans="1:8" ht="18" x14ac:dyDescent="0.3">
      <c r="A1" s="78" t="s">
        <v>201</v>
      </c>
      <c r="B1" s="79" t="s">
        <v>8</v>
      </c>
      <c r="C1" s="79" t="s">
        <v>9</v>
      </c>
      <c r="D1" s="79" t="s">
        <v>202</v>
      </c>
      <c r="E1" s="79" t="s">
        <v>10</v>
      </c>
      <c r="F1" s="79" t="s">
        <v>11</v>
      </c>
      <c r="G1" s="79" t="s">
        <v>12</v>
      </c>
      <c r="H1" s="80" t="s">
        <v>13</v>
      </c>
    </row>
    <row r="2" spans="1:8" ht="19.8" customHeight="1" x14ac:dyDescent="0.3">
      <c r="A2" s="81" t="s">
        <v>203</v>
      </c>
      <c r="B2" s="82" t="s">
        <v>264</v>
      </c>
      <c r="C2" s="83" t="s">
        <v>541</v>
      </c>
      <c r="D2" s="82" t="s">
        <v>540</v>
      </c>
      <c r="E2" s="82" t="s">
        <v>526</v>
      </c>
      <c r="F2" s="82" t="s">
        <v>262</v>
      </c>
      <c r="G2" s="84">
        <v>7</v>
      </c>
      <c r="H2" s="85">
        <v>500</v>
      </c>
    </row>
    <row r="3" spans="1:8" ht="19.8" customHeight="1" x14ac:dyDescent="0.3">
      <c r="A3" s="81" t="s">
        <v>203</v>
      </c>
      <c r="B3" s="82" t="s">
        <v>26</v>
      </c>
      <c r="C3" s="83" t="s">
        <v>543</v>
      </c>
      <c r="D3" s="82" t="s">
        <v>540</v>
      </c>
      <c r="E3" s="82" t="s">
        <v>661</v>
      </c>
      <c r="F3" s="82" t="s">
        <v>28</v>
      </c>
      <c r="G3" s="84">
        <v>6</v>
      </c>
      <c r="H3" s="85">
        <v>509</v>
      </c>
    </row>
    <row r="4" spans="1:8" ht="19.8" customHeight="1" x14ac:dyDescent="0.3">
      <c r="A4" s="81" t="s">
        <v>203</v>
      </c>
      <c r="B4" s="82" t="s">
        <v>26</v>
      </c>
      <c r="C4" s="83" t="s">
        <v>545</v>
      </c>
      <c r="D4" s="82" t="s">
        <v>540</v>
      </c>
      <c r="E4" s="82" t="s">
        <v>662</v>
      </c>
      <c r="F4" s="82" t="s">
        <v>28</v>
      </c>
      <c r="G4" s="84">
        <v>4</v>
      </c>
      <c r="H4" s="85">
        <v>549</v>
      </c>
    </row>
    <row r="5" spans="1:8" ht="19.8" customHeight="1" x14ac:dyDescent="0.3">
      <c r="A5" s="81" t="s">
        <v>203</v>
      </c>
      <c r="B5" s="82" t="s">
        <v>26</v>
      </c>
      <c r="C5" s="83" t="s">
        <v>547</v>
      </c>
      <c r="D5" s="82" t="s">
        <v>540</v>
      </c>
      <c r="E5" s="82" t="s">
        <v>663</v>
      </c>
      <c r="F5" s="82" t="s">
        <v>28</v>
      </c>
      <c r="G5" s="84">
        <v>10</v>
      </c>
      <c r="H5" s="85">
        <v>549</v>
      </c>
    </row>
    <row r="6" spans="1:8" ht="19.8" customHeight="1" x14ac:dyDescent="0.3">
      <c r="A6" s="81" t="s">
        <v>203</v>
      </c>
      <c r="B6" s="82" t="s">
        <v>36</v>
      </c>
      <c r="C6" s="83" t="s">
        <v>549</v>
      </c>
      <c r="D6" s="82" t="s">
        <v>540</v>
      </c>
      <c r="E6" s="82" t="s">
        <v>664</v>
      </c>
      <c r="F6" s="82" t="s">
        <v>38</v>
      </c>
      <c r="G6" s="84">
        <v>9</v>
      </c>
      <c r="H6" s="85">
        <v>589</v>
      </c>
    </row>
    <row r="7" spans="1:8" ht="19.8" customHeight="1" x14ac:dyDescent="0.3">
      <c r="A7" s="81" t="s">
        <v>203</v>
      </c>
      <c r="B7" s="82" t="s">
        <v>36</v>
      </c>
      <c r="C7" s="83" t="s">
        <v>550</v>
      </c>
      <c r="D7" s="82" t="s">
        <v>540</v>
      </c>
      <c r="E7" s="82" t="s">
        <v>665</v>
      </c>
      <c r="F7" s="82" t="s">
        <v>38</v>
      </c>
      <c r="G7" s="84">
        <v>6</v>
      </c>
      <c r="H7" s="85">
        <v>589</v>
      </c>
    </row>
    <row r="8" spans="1:8" ht="19.8" customHeight="1" x14ac:dyDescent="0.3">
      <c r="A8" s="81" t="s">
        <v>203</v>
      </c>
      <c r="B8" s="82" t="s">
        <v>36</v>
      </c>
      <c r="C8" s="83" t="s">
        <v>551</v>
      </c>
      <c r="D8" s="82" t="s">
        <v>540</v>
      </c>
      <c r="E8" s="82" t="s">
        <v>663</v>
      </c>
      <c r="F8" s="82" t="s">
        <v>38</v>
      </c>
      <c r="G8" s="84">
        <v>9</v>
      </c>
      <c r="H8" s="85">
        <v>589</v>
      </c>
    </row>
    <row r="9" spans="1:8" ht="19.8" customHeight="1" x14ac:dyDescent="0.3">
      <c r="A9" s="81" t="s">
        <v>203</v>
      </c>
      <c r="B9" s="82" t="s">
        <v>36</v>
      </c>
      <c r="C9" s="83" t="s">
        <v>552</v>
      </c>
      <c r="D9" s="82" t="s">
        <v>540</v>
      </c>
      <c r="E9" s="82" t="s">
        <v>666</v>
      </c>
      <c r="F9" s="82" t="s">
        <v>38</v>
      </c>
      <c r="G9" s="84">
        <v>9</v>
      </c>
      <c r="H9" s="85">
        <v>589</v>
      </c>
    </row>
    <row r="10" spans="1:8" ht="19.8" customHeight="1" x14ac:dyDescent="0.3">
      <c r="A10" s="81" t="s">
        <v>203</v>
      </c>
      <c r="B10" s="82" t="s">
        <v>36</v>
      </c>
      <c r="C10" s="83" t="s">
        <v>553</v>
      </c>
      <c r="D10" s="82" t="s">
        <v>540</v>
      </c>
      <c r="E10" s="82" t="s">
        <v>667</v>
      </c>
      <c r="F10" s="82" t="s">
        <v>38</v>
      </c>
      <c r="G10" s="84">
        <v>9</v>
      </c>
      <c r="H10" s="85">
        <v>589</v>
      </c>
    </row>
    <row r="11" spans="1:8" ht="19.8" customHeight="1" x14ac:dyDescent="0.3">
      <c r="A11" s="81" t="s">
        <v>203</v>
      </c>
      <c r="B11" s="82" t="s">
        <v>36</v>
      </c>
      <c r="C11" s="83" t="s">
        <v>554</v>
      </c>
      <c r="D11" s="82" t="s">
        <v>540</v>
      </c>
      <c r="E11" s="82" t="s">
        <v>668</v>
      </c>
      <c r="F11" s="82" t="s">
        <v>38</v>
      </c>
      <c r="G11" s="84">
        <v>9</v>
      </c>
      <c r="H11" s="85">
        <v>589</v>
      </c>
    </row>
    <row r="12" spans="1:8" ht="19.8" customHeight="1" x14ac:dyDescent="0.3">
      <c r="A12" s="81" t="s">
        <v>203</v>
      </c>
      <c r="B12" s="82" t="s">
        <v>36</v>
      </c>
      <c r="C12" s="83" t="s">
        <v>555</v>
      </c>
      <c r="D12" s="82" t="s">
        <v>540</v>
      </c>
      <c r="E12" s="82" t="s">
        <v>669</v>
      </c>
      <c r="F12" s="82" t="s">
        <v>38</v>
      </c>
      <c r="G12" s="84">
        <v>9</v>
      </c>
      <c r="H12" s="85">
        <v>589</v>
      </c>
    </row>
    <row r="13" spans="1:8" ht="19.8" customHeight="1" x14ac:dyDescent="0.3">
      <c r="A13" s="81" t="s">
        <v>203</v>
      </c>
      <c r="B13" s="82" t="s">
        <v>26</v>
      </c>
      <c r="C13" s="83" t="s">
        <v>548</v>
      </c>
      <c r="D13" s="82" t="s">
        <v>540</v>
      </c>
      <c r="E13" s="82" t="s">
        <v>670</v>
      </c>
      <c r="F13" s="82" t="s">
        <v>28</v>
      </c>
      <c r="G13" s="84">
        <v>6</v>
      </c>
      <c r="H13" s="85">
        <v>599</v>
      </c>
    </row>
    <row r="14" spans="1:8" ht="19.8" customHeight="1" x14ac:dyDescent="0.3">
      <c r="A14" s="81" t="s">
        <v>203</v>
      </c>
      <c r="B14" s="82" t="s">
        <v>260</v>
      </c>
      <c r="C14" s="83" t="s">
        <v>556</v>
      </c>
      <c r="D14" s="82" t="s">
        <v>540</v>
      </c>
      <c r="E14" s="82" t="s">
        <v>671</v>
      </c>
      <c r="F14" s="82" t="s">
        <v>262</v>
      </c>
      <c r="G14" s="84">
        <v>9</v>
      </c>
      <c r="H14" s="85">
        <v>616</v>
      </c>
    </row>
    <row r="15" spans="1:8" ht="19.8" customHeight="1" x14ac:dyDescent="0.3">
      <c r="A15" s="81" t="s">
        <v>203</v>
      </c>
      <c r="B15" s="82" t="s">
        <v>26</v>
      </c>
      <c r="C15" s="83" t="s">
        <v>543</v>
      </c>
      <c r="D15" s="82" t="s">
        <v>540</v>
      </c>
      <c r="E15" s="82" t="s">
        <v>661</v>
      </c>
      <c r="F15" s="82" t="s">
        <v>31</v>
      </c>
      <c r="G15" s="84">
        <v>6</v>
      </c>
      <c r="H15" s="85">
        <v>659</v>
      </c>
    </row>
    <row r="16" spans="1:8" ht="19.8" customHeight="1" x14ac:dyDescent="0.3">
      <c r="A16" s="81" t="s">
        <v>203</v>
      </c>
      <c r="B16" s="82" t="s">
        <v>36</v>
      </c>
      <c r="C16" s="83" t="s">
        <v>549</v>
      </c>
      <c r="D16" s="82" t="s">
        <v>540</v>
      </c>
      <c r="E16" s="82" t="s">
        <v>664</v>
      </c>
      <c r="F16" s="82" t="s">
        <v>41</v>
      </c>
      <c r="G16" s="84">
        <v>9</v>
      </c>
      <c r="H16" s="85">
        <v>689</v>
      </c>
    </row>
    <row r="17" spans="1:8" ht="19.8" customHeight="1" x14ac:dyDescent="0.3">
      <c r="A17" s="81" t="s">
        <v>203</v>
      </c>
      <c r="B17" s="82" t="s">
        <v>36</v>
      </c>
      <c r="C17" s="83" t="s">
        <v>550</v>
      </c>
      <c r="D17" s="82" t="s">
        <v>540</v>
      </c>
      <c r="E17" s="82" t="s">
        <v>665</v>
      </c>
      <c r="F17" s="82" t="s">
        <v>41</v>
      </c>
      <c r="G17" s="84">
        <v>6</v>
      </c>
      <c r="H17" s="85">
        <v>689</v>
      </c>
    </row>
    <row r="18" spans="1:8" ht="19.8" customHeight="1" x14ac:dyDescent="0.3">
      <c r="A18" s="81" t="s">
        <v>203</v>
      </c>
      <c r="B18" s="82" t="s">
        <v>36</v>
      </c>
      <c r="C18" s="83" t="s">
        <v>551</v>
      </c>
      <c r="D18" s="82" t="s">
        <v>540</v>
      </c>
      <c r="E18" s="82" t="s">
        <v>663</v>
      </c>
      <c r="F18" s="82" t="s">
        <v>41</v>
      </c>
      <c r="G18" s="84">
        <v>9</v>
      </c>
      <c r="H18" s="85">
        <v>689</v>
      </c>
    </row>
    <row r="19" spans="1:8" ht="19.8" customHeight="1" x14ac:dyDescent="0.3">
      <c r="A19" s="81" t="s">
        <v>203</v>
      </c>
      <c r="B19" s="82" t="s">
        <v>36</v>
      </c>
      <c r="C19" s="83" t="s">
        <v>552</v>
      </c>
      <c r="D19" s="82" t="s">
        <v>540</v>
      </c>
      <c r="E19" s="82" t="s">
        <v>666</v>
      </c>
      <c r="F19" s="82" t="s">
        <v>41</v>
      </c>
      <c r="G19" s="84">
        <v>9</v>
      </c>
      <c r="H19" s="85">
        <v>689</v>
      </c>
    </row>
    <row r="20" spans="1:8" ht="19.8" customHeight="1" x14ac:dyDescent="0.3">
      <c r="A20" s="81" t="s">
        <v>203</v>
      </c>
      <c r="B20" s="82" t="s">
        <v>36</v>
      </c>
      <c r="C20" s="83" t="s">
        <v>553</v>
      </c>
      <c r="D20" s="82" t="s">
        <v>540</v>
      </c>
      <c r="E20" s="82" t="s">
        <v>667</v>
      </c>
      <c r="F20" s="82" t="s">
        <v>41</v>
      </c>
      <c r="G20" s="84">
        <v>9</v>
      </c>
      <c r="H20" s="85">
        <v>689</v>
      </c>
    </row>
    <row r="21" spans="1:8" ht="19.8" customHeight="1" x14ac:dyDescent="0.3">
      <c r="A21" s="81" t="s">
        <v>203</v>
      </c>
      <c r="B21" s="82" t="s">
        <v>36</v>
      </c>
      <c r="C21" s="83" t="s">
        <v>554</v>
      </c>
      <c r="D21" s="82" t="s">
        <v>540</v>
      </c>
      <c r="E21" s="82" t="s">
        <v>668</v>
      </c>
      <c r="F21" s="82" t="s">
        <v>41</v>
      </c>
      <c r="G21" s="84">
        <v>9</v>
      </c>
      <c r="H21" s="85">
        <v>689</v>
      </c>
    </row>
    <row r="22" spans="1:8" ht="19.8" customHeight="1" x14ac:dyDescent="0.3">
      <c r="A22" s="81" t="s">
        <v>203</v>
      </c>
      <c r="B22" s="82" t="s">
        <v>36</v>
      </c>
      <c r="C22" s="83" t="s">
        <v>555</v>
      </c>
      <c r="D22" s="82" t="s">
        <v>540</v>
      </c>
      <c r="E22" s="82" t="s">
        <v>669</v>
      </c>
      <c r="F22" s="82" t="s">
        <v>41</v>
      </c>
      <c r="G22" s="84">
        <v>9</v>
      </c>
      <c r="H22" s="85">
        <v>689</v>
      </c>
    </row>
    <row r="23" spans="1:8" ht="19.8" customHeight="1" x14ac:dyDescent="0.3">
      <c r="A23" s="81" t="s">
        <v>203</v>
      </c>
      <c r="B23" s="82" t="s">
        <v>26</v>
      </c>
      <c r="C23" s="83" t="s">
        <v>545</v>
      </c>
      <c r="D23" s="82" t="s">
        <v>540</v>
      </c>
      <c r="E23" s="82" t="s">
        <v>662</v>
      </c>
      <c r="F23" s="82" t="s">
        <v>31</v>
      </c>
      <c r="G23" s="84">
        <v>4</v>
      </c>
      <c r="H23" s="85">
        <v>699</v>
      </c>
    </row>
    <row r="24" spans="1:8" ht="19.8" customHeight="1" x14ac:dyDescent="0.3">
      <c r="A24" s="81" t="s">
        <v>203</v>
      </c>
      <c r="B24" s="82" t="s">
        <v>26</v>
      </c>
      <c r="C24" s="83" t="s">
        <v>547</v>
      </c>
      <c r="D24" s="82" t="s">
        <v>540</v>
      </c>
      <c r="E24" s="82" t="s">
        <v>663</v>
      </c>
      <c r="F24" s="82" t="s">
        <v>31</v>
      </c>
      <c r="G24" s="84">
        <v>10</v>
      </c>
      <c r="H24" s="85">
        <v>699</v>
      </c>
    </row>
    <row r="25" spans="1:8" ht="19.8" customHeight="1" x14ac:dyDescent="0.3">
      <c r="A25" s="81" t="s">
        <v>203</v>
      </c>
      <c r="B25" s="82" t="s">
        <v>26</v>
      </c>
      <c r="C25" s="83" t="s">
        <v>548</v>
      </c>
      <c r="D25" s="82" t="s">
        <v>540</v>
      </c>
      <c r="E25" s="82" t="s">
        <v>670</v>
      </c>
      <c r="F25" s="82" t="s">
        <v>31</v>
      </c>
      <c r="G25" s="84">
        <v>6</v>
      </c>
      <c r="H25" s="85">
        <v>749</v>
      </c>
    </row>
    <row r="26" spans="1:8" ht="19.8" customHeight="1" x14ac:dyDescent="0.3">
      <c r="A26" s="81" t="s">
        <v>203</v>
      </c>
      <c r="B26" s="82" t="s">
        <v>36</v>
      </c>
      <c r="C26" s="83" t="s">
        <v>549</v>
      </c>
      <c r="D26" s="82" t="s">
        <v>540</v>
      </c>
      <c r="E26" s="82" t="s">
        <v>664</v>
      </c>
      <c r="F26" s="82" t="s">
        <v>43</v>
      </c>
      <c r="G26" s="84">
        <v>9</v>
      </c>
      <c r="H26" s="85">
        <v>779</v>
      </c>
    </row>
    <row r="27" spans="1:8" ht="19.8" customHeight="1" x14ac:dyDescent="0.3">
      <c r="A27" s="81" t="s">
        <v>203</v>
      </c>
      <c r="B27" s="82" t="s">
        <v>36</v>
      </c>
      <c r="C27" s="83" t="s">
        <v>550</v>
      </c>
      <c r="D27" s="82" t="s">
        <v>540</v>
      </c>
      <c r="E27" s="82" t="s">
        <v>665</v>
      </c>
      <c r="F27" s="82" t="s">
        <v>43</v>
      </c>
      <c r="G27" s="84">
        <v>6</v>
      </c>
      <c r="H27" s="85">
        <v>779</v>
      </c>
    </row>
    <row r="28" spans="1:8" ht="19.8" customHeight="1" x14ac:dyDescent="0.3">
      <c r="A28" s="81" t="s">
        <v>203</v>
      </c>
      <c r="B28" s="82" t="s">
        <v>36</v>
      </c>
      <c r="C28" s="83" t="s">
        <v>551</v>
      </c>
      <c r="D28" s="82" t="s">
        <v>540</v>
      </c>
      <c r="E28" s="82" t="s">
        <v>663</v>
      </c>
      <c r="F28" s="82" t="s">
        <v>43</v>
      </c>
      <c r="G28" s="84">
        <v>9</v>
      </c>
      <c r="H28" s="85">
        <v>779</v>
      </c>
    </row>
    <row r="29" spans="1:8" ht="19.8" customHeight="1" x14ac:dyDescent="0.3">
      <c r="A29" s="81" t="s">
        <v>203</v>
      </c>
      <c r="B29" s="82" t="s">
        <v>36</v>
      </c>
      <c r="C29" s="83" t="s">
        <v>552</v>
      </c>
      <c r="D29" s="82" t="s">
        <v>540</v>
      </c>
      <c r="E29" s="82" t="s">
        <v>666</v>
      </c>
      <c r="F29" s="82" t="s">
        <v>43</v>
      </c>
      <c r="G29" s="84">
        <v>9</v>
      </c>
      <c r="H29" s="85">
        <v>779</v>
      </c>
    </row>
    <row r="30" spans="1:8" ht="19.8" customHeight="1" x14ac:dyDescent="0.3">
      <c r="A30" s="81" t="s">
        <v>203</v>
      </c>
      <c r="B30" s="82" t="s">
        <v>36</v>
      </c>
      <c r="C30" s="83" t="s">
        <v>553</v>
      </c>
      <c r="D30" s="82" t="s">
        <v>540</v>
      </c>
      <c r="E30" s="82" t="s">
        <v>667</v>
      </c>
      <c r="F30" s="82" t="s">
        <v>43</v>
      </c>
      <c r="G30" s="84">
        <v>9</v>
      </c>
      <c r="H30" s="85">
        <v>779</v>
      </c>
    </row>
    <row r="31" spans="1:8" ht="19.8" customHeight="1" x14ac:dyDescent="0.3">
      <c r="A31" s="81" t="s">
        <v>203</v>
      </c>
      <c r="B31" s="82" t="s">
        <v>36</v>
      </c>
      <c r="C31" s="83" t="s">
        <v>554</v>
      </c>
      <c r="D31" s="82" t="s">
        <v>540</v>
      </c>
      <c r="E31" s="82" t="s">
        <v>668</v>
      </c>
      <c r="F31" s="82" t="s">
        <v>43</v>
      </c>
      <c r="G31" s="84">
        <v>9</v>
      </c>
      <c r="H31" s="85">
        <v>779</v>
      </c>
    </row>
    <row r="32" spans="1:8" ht="19.8" customHeight="1" x14ac:dyDescent="0.3">
      <c r="A32" s="81" t="s">
        <v>203</v>
      </c>
      <c r="B32" s="82" t="s">
        <v>36</v>
      </c>
      <c r="C32" s="83" t="s">
        <v>555</v>
      </c>
      <c r="D32" s="82" t="s">
        <v>540</v>
      </c>
      <c r="E32" s="82" t="s">
        <v>669</v>
      </c>
      <c r="F32" s="82" t="s">
        <v>43</v>
      </c>
      <c r="G32" s="84">
        <v>9</v>
      </c>
      <c r="H32" s="85">
        <v>779</v>
      </c>
    </row>
    <row r="33" spans="1:8" ht="19.8" customHeight="1" x14ac:dyDescent="0.3">
      <c r="A33" s="176" t="s">
        <v>203</v>
      </c>
      <c r="B33" s="102" t="s">
        <v>73</v>
      </c>
      <c r="C33" s="103" t="s">
        <v>558</v>
      </c>
      <c r="D33" s="102" t="s">
        <v>540</v>
      </c>
      <c r="E33" s="102" t="s">
        <v>644</v>
      </c>
      <c r="F33" s="102" t="s">
        <v>111</v>
      </c>
      <c r="G33" s="105">
        <v>7</v>
      </c>
      <c r="H33" s="106">
        <v>864</v>
      </c>
    </row>
    <row r="34" spans="1:8" ht="19.8" customHeight="1" x14ac:dyDescent="0.3">
      <c r="A34" s="91">
        <v>45983</v>
      </c>
      <c r="B34" s="82" t="s">
        <v>26</v>
      </c>
      <c r="C34" s="83" t="s">
        <v>547</v>
      </c>
      <c r="D34" s="82" t="s">
        <v>540</v>
      </c>
      <c r="E34" s="92">
        <v>1.5</v>
      </c>
      <c r="F34" s="82" t="s">
        <v>34</v>
      </c>
      <c r="G34" s="84">
        <v>10</v>
      </c>
      <c r="H34" s="85">
        <v>899</v>
      </c>
    </row>
    <row r="35" spans="1:8" ht="19.8" customHeight="1" x14ac:dyDescent="0.3">
      <c r="A35" s="91">
        <v>45983</v>
      </c>
      <c r="B35" s="82" t="s">
        <v>26</v>
      </c>
      <c r="C35" s="83" t="s">
        <v>548</v>
      </c>
      <c r="D35" s="82" t="s">
        <v>540</v>
      </c>
      <c r="E35" s="92">
        <v>1.760416666666667</v>
      </c>
      <c r="F35" s="82" t="s">
        <v>34</v>
      </c>
      <c r="G35" s="84">
        <v>6</v>
      </c>
      <c r="H35" s="85">
        <v>899</v>
      </c>
    </row>
    <row r="36" spans="1:8" ht="19.8" customHeight="1" x14ac:dyDescent="0.3">
      <c r="A36" s="91">
        <v>45983</v>
      </c>
      <c r="B36" s="82" t="s">
        <v>26</v>
      </c>
      <c r="C36" s="83" t="s">
        <v>543</v>
      </c>
      <c r="D36" s="82" t="s">
        <v>540</v>
      </c>
      <c r="E36" s="92">
        <v>1.8159722222222221</v>
      </c>
      <c r="F36" s="82" t="s">
        <v>34</v>
      </c>
      <c r="G36" s="84">
        <v>6</v>
      </c>
      <c r="H36" s="85">
        <v>899</v>
      </c>
    </row>
    <row r="37" spans="1:8" ht="19.8" customHeight="1" x14ac:dyDescent="0.3">
      <c r="A37" s="91">
        <v>45983</v>
      </c>
      <c r="B37" s="82" t="s">
        <v>48</v>
      </c>
      <c r="C37" s="83" t="s">
        <v>563</v>
      </c>
      <c r="D37" s="82" t="s">
        <v>540</v>
      </c>
      <c r="E37" s="92">
        <v>1.9201388888888891</v>
      </c>
      <c r="F37" s="82" t="s">
        <v>50</v>
      </c>
      <c r="G37" s="84">
        <v>9</v>
      </c>
      <c r="H37" s="86" t="s">
        <v>564</v>
      </c>
    </row>
    <row r="38" spans="1:8" ht="19.8" customHeight="1" x14ac:dyDescent="0.3">
      <c r="A38" s="91">
        <v>45983</v>
      </c>
      <c r="B38" s="82" t="s">
        <v>26</v>
      </c>
      <c r="C38" s="83" t="s">
        <v>545</v>
      </c>
      <c r="D38" s="82" t="s">
        <v>540</v>
      </c>
      <c r="E38" s="92">
        <v>1.447916666666667</v>
      </c>
      <c r="F38" s="82" t="s">
        <v>34</v>
      </c>
      <c r="G38" s="84">
        <v>4</v>
      </c>
      <c r="H38" s="86" t="s">
        <v>546</v>
      </c>
    </row>
    <row r="39" spans="1:8" ht="19.8" customHeight="1" x14ac:dyDescent="0.3">
      <c r="A39" s="91">
        <v>45983</v>
      </c>
      <c r="B39" s="82" t="s">
        <v>48</v>
      </c>
      <c r="C39" s="83" t="s">
        <v>565</v>
      </c>
      <c r="D39" s="82" t="s">
        <v>540</v>
      </c>
      <c r="E39" s="92">
        <v>1.541666666666667</v>
      </c>
      <c r="F39" s="82" t="s">
        <v>50</v>
      </c>
      <c r="G39" s="84">
        <v>9</v>
      </c>
      <c r="H39" s="86" t="s">
        <v>566</v>
      </c>
    </row>
    <row r="40" spans="1:8" ht="19.8" customHeight="1" x14ac:dyDescent="0.3">
      <c r="A40" s="91">
        <v>45983</v>
      </c>
      <c r="B40" s="82" t="s">
        <v>48</v>
      </c>
      <c r="C40" s="83" t="s">
        <v>567</v>
      </c>
      <c r="D40" s="82" t="s">
        <v>540</v>
      </c>
      <c r="E40" s="92">
        <v>1.166666666666667</v>
      </c>
      <c r="F40" s="82" t="s">
        <v>50</v>
      </c>
      <c r="G40" s="84">
        <v>9</v>
      </c>
      <c r="H40" s="86" t="s">
        <v>568</v>
      </c>
    </row>
    <row r="41" spans="1:8" ht="19.8" customHeight="1" x14ac:dyDescent="0.3">
      <c r="A41" s="91">
        <v>45983</v>
      </c>
      <c r="B41" s="82" t="s">
        <v>56</v>
      </c>
      <c r="C41" s="83" t="s">
        <v>569</v>
      </c>
      <c r="D41" s="82" t="s">
        <v>540</v>
      </c>
      <c r="E41" s="92">
        <v>1.8159722222222221</v>
      </c>
      <c r="F41" s="82" t="s">
        <v>61</v>
      </c>
      <c r="G41" s="84">
        <v>4</v>
      </c>
      <c r="H41" s="86" t="s">
        <v>570</v>
      </c>
    </row>
    <row r="42" spans="1:8" ht="19.8" customHeight="1" x14ac:dyDescent="0.3">
      <c r="A42" s="91">
        <v>45983</v>
      </c>
      <c r="B42" s="82" t="s">
        <v>56</v>
      </c>
      <c r="C42" s="83" t="s">
        <v>571</v>
      </c>
      <c r="D42" s="82" t="s">
        <v>540</v>
      </c>
      <c r="E42" s="92">
        <v>1.2986111111111109</v>
      </c>
      <c r="F42" s="82" t="s">
        <v>58</v>
      </c>
      <c r="G42" s="84">
        <v>9</v>
      </c>
      <c r="H42" s="86" t="s">
        <v>572</v>
      </c>
    </row>
    <row r="43" spans="1:8" ht="19.8" customHeight="1" x14ac:dyDescent="0.3">
      <c r="A43" s="91">
        <v>45983</v>
      </c>
      <c r="B43" s="82" t="s">
        <v>56</v>
      </c>
      <c r="C43" s="83" t="s">
        <v>574</v>
      </c>
      <c r="D43" s="82" t="s">
        <v>540</v>
      </c>
      <c r="E43" s="92">
        <v>1.6840277777777779</v>
      </c>
      <c r="F43" s="82" t="s">
        <v>58</v>
      </c>
      <c r="G43" s="84">
        <v>9</v>
      </c>
      <c r="H43" s="86" t="s">
        <v>572</v>
      </c>
    </row>
    <row r="44" spans="1:8" ht="19.8" customHeight="1" x14ac:dyDescent="0.3">
      <c r="A44" s="91">
        <v>45983</v>
      </c>
      <c r="B44" s="82" t="s">
        <v>56</v>
      </c>
      <c r="C44" s="83" t="s">
        <v>575</v>
      </c>
      <c r="D44" s="82" t="s">
        <v>540</v>
      </c>
      <c r="E44" s="92">
        <v>1.836805555555556</v>
      </c>
      <c r="F44" s="82" t="s">
        <v>58</v>
      </c>
      <c r="G44" s="84">
        <v>9</v>
      </c>
      <c r="H44" s="86" t="s">
        <v>572</v>
      </c>
    </row>
    <row r="45" spans="1:8" ht="19.8" customHeight="1" x14ac:dyDescent="0.3">
      <c r="A45" s="91">
        <v>45983</v>
      </c>
      <c r="B45" s="82" t="s">
        <v>56</v>
      </c>
      <c r="C45" s="83" t="s">
        <v>576</v>
      </c>
      <c r="D45" s="82" t="s">
        <v>540</v>
      </c>
      <c r="E45" s="92">
        <v>1.4826388888888891</v>
      </c>
      <c r="F45" s="82" t="s">
        <v>353</v>
      </c>
      <c r="G45" s="84">
        <v>9</v>
      </c>
      <c r="H45" s="86" t="s">
        <v>572</v>
      </c>
    </row>
    <row r="46" spans="1:8" ht="19.8" customHeight="1" x14ac:dyDescent="0.3">
      <c r="A46" s="91">
        <v>45983</v>
      </c>
      <c r="B46" s="82" t="s">
        <v>56</v>
      </c>
      <c r="C46" s="83" t="s">
        <v>576</v>
      </c>
      <c r="D46" s="82" t="s">
        <v>540</v>
      </c>
      <c r="E46" s="92">
        <v>1.4826388888888891</v>
      </c>
      <c r="F46" s="82" t="s">
        <v>58</v>
      </c>
      <c r="G46" s="84">
        <v>9</v>
      </c>
      <c r="H46" s="86" t="s">
        <v>572</v>
      </c>
    </row>
    <row r="47" spans="1:8" ht="19.8" customHeight="1" x14ac:dyDescent="0.3">
      <c r="A47" s="91">
        <v>45983</v>
      </c>
      <c r="B47" s="82" t="s">
        <v>56</v>
      </c>
      <c r="C47" s="83" t="s">
        <v>571</v>
      </c>
      <c r="D47" s="82" t="s">
        <v>540</v>
      </c>
      <c r="E47" s="92">
        <v>1.2986111111111109</v>
      </c>
      <c r="F47" s="82" t="s">
        <v>61</v>
      </c>
      <c r="G47" s="84">
        <v>9</v>
      </c>
      <c r="H47" s="86" t="s">
        <v>573</v>
      </c>
    </row>
    <row r="48" spans="1:8" ht="19.8" customHeight="1" x14ac:dyDescent="0.3">
      <c r="A48" s="91">
        <v>45983</v>
      </c>
      <c r="B48" s="82" t="s">
        <v>56</v>
      </c>
      <c r="C48" s="83" t="s">
        <v>574</v>
      </c>
      <c r="D48" s="82" t="s">
        <v>540</v>
      </c>
      <c r="E48" s="92">
        <v>1.6840277777777779</v>
      </c>
      <c r="F48" s="82" t="s">
        <v>61</v>
      </c>
      <c r="G48" s="84">
        <v>9</v>
      </c>
      <c r="H48" s="86" t="s">
        <v>573</v>
      </c>
    </row>
    <row r="49" spans="1:8" ht="19.8" customHeight="1" x14ac:dyDescent="0.3">
      <c r="A49" s="91">
        <v>45983</v>
      </c>
      <c r="B49" s="82" t="s">
        <v>56</v>
      </c>
      <c r="C49" s="83" t="s">
        <v>575</v>
      </c>
      <c r="D49" s="82" t="s">
        <v>540</v>
      </c>
      <c r="E49" s="92">
        <v>1.836805555555556</v>
      </c>
      <c r="F49" s="82" t="s">
        <v>61</v>
      </c>
      <c r="G49" s="84">
        <v>9</v>
      </c>
      <c r="H49" s="86" t="s">
        <v>573</v>
      </c>
    </row>
    <row r="50" spans="1:8" ht="19.8" customHeight="1" x14ac:dyDescent="0.3">
      <c r="A50" s="91">
        <v>45983</v>
      </c>
      <c r="B50" s="82" t="s">
        <v>56</v>
      </c>
      <c r="C50" s="83" t="s">
        <v>576</v>
      </c>
      <c r="D50" s="82" t="s">
        <v>540</v>
      </c>
      <c r="E50" s="92">
        <v>1.4826388888888891</v>
      </c>
      <c r="F50" s="82" t="s">
        <v>61</v>
      </c>
      <c r="G50" s="84">
        <v>9</v>
      </c>
      <c r="H50" s="86" t="s">
        <v>573</v>
      </c>
    </row>
    <row r="51" spans="1:8" ht="19.8" customHeight="1" x14ac:dyDescent="0.3">
      <c r="A51" s="91">
        <v>45983</v>
      </c>
      <c r="B51" s="82" t="s">
        <v>56</v>
      </c>
      <c r="C51" s="83" t="s">
        <v>577</v>
      </c>
      <c r="D51" s="82" t="s">
        <v>540</v>
      </c>
      <c r="E51" s="92">
        <v>1.760416666666667</v>
      </c>
      <c r="F51" s="82" t="s">
        <v>61</v>
      </c>
      <c r="G51" s="84">
        <v>4</v>
      </c>
      <c r="H51" s="86" t="s">
        <v>578</v>
      </c>
    </row>
    <row r="52" spans="1:8" ht="19.8" customHeight="1" x14ac:dyDescent="0.3">
      <c r="A52" s="95">
        <v>45983</v>
      </c>
      <c r="B52" s="96" t="s">
        <v>56</v>
      </c>
      <c r="C52" s="97" t="s">
        <v>579</v>
      </c>
      <c r="D52" s="96" t="s">
        <v>540</v>
      </c>
      <c r="E52" s="98">
        <v>1.5</v>
      </c>
      <c r="F52" s="96" t="s">
        <v>61</v>
      </c>
      <c r="G52" s="99">
        <v>4</v>
      </c>
      <c r="H52" s="100" t="s">
        <v>578</v>
      </c>
    </row>
    <row r="53" spans="1:8" ht="19.8" customHeight="1" x14ac:dyDescent="0.3">
      <c r="A53" s="91">
        <v>45984</v>
      </c>
      <c r="B53" s="82" t="s">
        <v>26</v>
      </c>
      <c r="C53" s="83" t="s">
        <v>548</v>
      </c>
      <c r="D53" s="82" t="s">
        <v>540</v>
      </c>
      <c r="E53" s="92">
        <v>1.760416666666667</v>
      </c>
      <c r="F53" s="82" t="s">
        <v>28</v>
      </c>
      <c r="G53" s="84">
        <v>20</v>
      </c>
      <c r="H53" s="85">
        <v>399</v>
      </c>
    </row>
    <row r="54" spans="1:8" ht="19.8" customHeight="1" x14ac:dyDescent="0.3">
      <c r="A54" s="91">
        <v>45984</v>
      </c>
      <c r="B54" s="82" t="s">
        <v>26</v>
      </c>
      <c r="C54" s="83" t="s">
        <v>543</v>
      </c>
      <c r="D54" s="82" t="s">
        <v>540</v>
      </c>
      <c r="E54" s="92">
        <v>1.8159722222222221</v>
      </c>
      <c r="F54" s="82" t="s">
        <v>28</v>
      </c>
      <c r="G54" s="84">
        <v>18</v>
      </c>
      <c r="H54" s="85">
        <v>399</v>
      </c>
    </row>
    <row r="55" spans="1:8" ht="19.8" customHeight="1" x14ac:dyDescent="0.3">
      <c r="A55" s="91">
        <v>45984</v>
      </c>
      <c r="B55" s="82" t="s">
        <v>264</v>
      </c>
      <c r="C55" s="83" t="s">
        <v>586</v>
      </c>
      <c r="D55" s="82" t="s">
        <v>540</v>
      </c>
      <c r="E55" s="92">
        <v>1.586805555555556</v>
      </c>
      <c r="F55" s="82" t="s">
        <v>111</v>
      </c>
      <c r="G55" s="84">
        <v>4</v>
      </c>
      <c r="H55" s="85">
        <v>401</v>
      </c>
    </row>
    <row r="56" spans="1:8" ht="19.8" customHeight="1" x14ac:dyDescent="0.3">
      <c r="A56" s="91">
        <v>45984</v>
      </c>
      <c r="B56" s="82" t="s">
        <v>26</v>
      </c>
      <c r="C56" s="83" t="s">
        <v>545</v>
      </c>
      <c r="D56" s="82" t="s">
        <v>540</v>
      </c>
      <c r="E56" s="92">
        <v>1.447916666666667</v>
      </c>
      <c r="F56" s="82" t="s">
        <v>28</v>
      </c>
      <c r="G56" s="84">
        <v>3</v>
      </c>
      <c r="H56" s="85">
        <v>429</v>
      </c>
    </row>
    <row r="57" spans="1:8" ht="19.8" customHeight="1" x14ac:dyDescent="0.3">
      <c r="A57" s="91">
        <v>45984</v>
      </c>
      <c r="B57" s="82" t="s">
        <v>26</v>
      </c>
      <c r="C57" s="83" t="s">
        <v>547</v>
      </c>
      <c r="D57" s="82" t="s">
        <v>540</v>
      </c>
      <c r="E57" s="92">
        <v>1.5</v>
      </c>
      <c r="F57" s="82" t="s">
        <v>28</v>
      </c>
      <c r="G57" s="84">
        <v>10</v>
      </c>
      <c r="H57" s="85">
        <v>429</v>
      </c>
    </row>
    <row r="58" spans="1:8" ht="19.8" customHeight="1" x14ac:dyDescent="0.3">
      <c r="A58" s="91">
        <v>45984</v>
      </c>
      <c r="B58" s="82" t="s">
        <v>36</v>
      </c>
      <c r="C58" s="83" t="s">
        <v>550</v>
      </c>
      <c r="D58" s="82" t="s">
        <v>540</v>
      </c>
      <c r="E58" s="92">
        <v>1.8263888888888891</v>
      </c>
      <c r="F58" s="82" t="s">
        <v>38</v>
      </c>
      <c r="G58" s="84">
        <v>2</v>
      </c>
      <c r="H58" s="85">
        <v>449</v>
      </c>
    </row>
    <row r="59" spans="1:8" ht="19.8" customHeight="1" x14ac:dyDescent="0.3">
      <c r="A59" s="91">
        <v>45984</v>
      </c>
      <c r="B59" s="82" t="s">
        <v>36</v>
      </c>
      <c r="C59" s="83" t="s">
        <v>551</v>
      </c>
      <c r="D59" s="82" t="s">
        <v>540</v>
      </c>
      <c r="E59" s="92">
        <v>1.5</v>
      </c>
      <c r="F59" s="82" t="s">
        <v>38</v>
      </c>
      <c r="G59" s="84">
        <v>5</v>
      </c>
      <c r="H59" s="85">
        <v>449</v>
      </c>
    </row>
    <row r="60" spans="1:8" ht="19.8" customHeight="1" x14ac:dyDescent="0.3">
      <c r="A60" s="91">
        <v>45984</v>
      </c>
      <c r="B60" s="82" t="s">
        <v>36</v>
      </c>
      <c r="C60" s="83" t="s">
        <v>553</v>
      </c>
      <c r="D60" s="82" t="s">
        <v>540</v>
      </c>
      <c r="E60" s="92">
        <v>1.6875</v>
      </c>
      <c r="F60" s="82" t="s">
        <v>38</v>
      </c>
      <c r="G60" s="84">
        <v>2</v>
      </c>
      <c r="H60" s="85">
        <v>449</v>
      </c>
    </row>
    <row r="61" spans="1:8" ht="19.8" customHeight="1" x14ac:dyDescent="0.3">
      <c r="A61" s="91">
        <v>45984</v>
      </c>
      <c r="B61" s="82" t="s">
        <v>36</v>
      </c>
      <c r="C61" s="83" t="s">
        <v>555</v>
      </c>
      <c r="D61" s="82" t="s">
        <v>540</v>
      </c>
      <c r="E61" s="92">
        <v>1.5659722222222221</v>
      </c>
      <c r="F61" s="82" t="s">
        <v>38</v>
      </c>
      <c r="G61" s="84">
        <v>8</v>
      </c>
      <c r="H61" s="85">
        <v>449</v>
      </c>
    </row>
    <row r="62" spans="1:8" ht="19.8" customHeight="1" x14ac:dyDescent="0.3">
      <c r="A62" s="91">
        <v>45984</v>
      </c>
      <c r="B62" s="82" t="s">
        <v>36</v>
      </c>
      <c r="C62" s="83" t="s">
        <v>552</v>
      </c>
      <c r="D62" s="82" t="s">
        <v>540</v>
      </c>
      <c r="E62" s="92">
        <v>1.427083333333333</v>
      </c>
      <c r="F62" s="82" t="s">
        <v>38</v>
      </c>
      <c r="G62" s="84">
        <v>4</v>
      </c>
      <c r="H62" s="85">
        <v>489</v>
      </c>
    </row>
    <row r="63" spans="1:8" ht="19.8" customHeight="1" x14ac:dyDescent="0.3">
      <c r="A63" s="91">
        <v>45984</v>
      </c>
      <c r="B63" s="82" t="s">
        <v>36</v>
      </c>
      <c r="C63" s="83" t="s">
        <v>554</v>
      </c>
      <c r="D63" s="82" t="s">
        <v>540</v>
      </c>
      <c r="E63" s="92">
        <v>1.375</v>
      </c>
      <c r="F63" s="82" t="s">
        <v>38</v>
      </c>
      <c r="G63" s="84">
        <v>4</v>
      </c>
      <c r="H63" s="85">
        <v>489</v>
      </c>
    </row>
    <row r="64" spans="1:8" ht="19.8" customHeight="1" x14ac:dyDescent="0.3">
      <c r="A64" s="91">
        <v>45984</v>
      </c>
      <c r="B64" s="82" t="s">
        <v>260</v>
      </c>
      <c r="C64" s="83" t="s">
        <v>588</v>
      </c>
      <c r="D64" s="82" t="s">
        <v>540</v>
      </c>
      <c r="E64" s="92">
        <v>1.3576388888888891</v>
      </c>
      <c r="F64" s="82" t="s">
        <v>111</v>
      </c>
      <c r="G64" s="84">
        <v>7</v>
      </c>
      <c r="H64" s="85">
        <v>518</v>
      </c>
    </row>
    <row r="65" spans="1:8" ht="19.8" customHeight="1" x14ac:dyDescent="0.3">
      <c r="A65" s="91">
        <v>45984</v>
      </c>
      <c r="B65" s="82" t="s">
        <v>36</v>
      </c>
      <c r="C65" s="83" t="s">
        <v>549</v>
      </c>
      <c r="D65" s="82" t="s">
        <v>540</v>
      </c>
      <c r="E65" s="92">
        <v>1.305555555555556</v>
      </c>
      <c r="F65" s="82" t="s">
        <v>38</v>
      </c>
      <c r="G65" s="84">
        <v>4</v>
      </c>
      <c r="H65" s="85">
        <v>539</v>
      </c>
    </row>
    <row r="66" spans="1:8" ht="19.8" customHeight="1" x14ac:dyDescent="0.3">
      <c r="A66" s="91">
        <v>45984</v>
      </c>
      <c r="B66" s="82" t="s">
        <v>26</v>
      </c>
      <c r="C66" s="83" t="s">
        <v>548</v>
      </c>
      <c r="D66" s="82" t="s">
        <v>540</v>
      </c>
      <c r="E66" s="92">
        <v>1.760416666666667</v>
      </c>
      <c r="F66" s="82" t="s">
        <v>31</v>
      </c>
      <c r="G66" s="84">
        <v>20</v>
      </c>
      <c r="H66" s="85">
        <v>549</v>
      </c>
    </row>
    <row r="67" spans="1:8" ht="19.8" customHeight="1" x14ac:dyDescent="0.3">
      <c r="A67" s="91">
        <v>45984</v>
      </c>
      <c r="B67" s="82" t="s">
        <v>26</v>
      </c>
      <c r="C67" s="83" t="s">
        <v>543</v>
      </c>
      <c r="D67" s="82" t="s">
        <v>540</v>
      </c>
      <c r="E67" s="92">
        <v>1.8159722222222221</v>
      </c>
      <c r="F67" s="82" t="s">
        <v>31</v>
      </c>
      <c r="G67" s="84">
        <v>18</v>
      </c>
      <c r="H67" s="85">
        <v>549</v>
      </c>
    </row>
    <row r="68" spans="1:8" ht="19.8" customHeight="1" x14ac:dyDescent="0.3">
      <c r="A68" s="91">
        <v>45984</v>
      </c>
      <c r="B68" s="82" t="s">
        <v>36</v>
      </c>
      <c r="C68" s="83" t="s">
        <v>550</v>
      </c>
      <c r="D68" s="82" t="s">
        <v>540</v>
      </c>
      <c r="E68" s="92">
        <v>1.8263888888888891</v>
      </c>
      <c r="F68" s="82" t="s">
        <v>41</v>
      </c>
      <c r="G68" s="84">
        <v>2</v>
      </c>
      <c r="H68" s="85">
        <v>549</v>
      </c>
    </row>
    <row r="69" spans="1:8" ht="19.8" customHeight="1" x14ac:dyDescent="0.3">
      <c r="A69" s="91">
        <v>45984</v>
      </c>
      <c r="B69" s="82" t="s">
        <v>36</v>
      </c>
      <c r="C69" s="83" t="s">
        <v>551</v>
      </c>
      <c r="D69" s="82" t="s">
        <v>540</v>
      </c>
      <c r="E69" s="92">
        <v>1.5</v>
      </c>
      <c r="F69" s="82" t="s">
        <v>41</v>
      </c>
      <c r="G69" s="84">
        <v>5</v>
      </c>
      <c r="H69" s="85">
        <v>549</v>
      </c>
    </row>
    <row r="70" spans="1:8" ht="19.8" customHeight="1" x14ac:dyDescent="0.3">
      <c r="A70" s="91">
        <v>45984</v>
      </c>
      <c r="B70" s="82" t="s">
        <v>36</v>
      </c>
      <c r="C70" s="83" t="s">
        <v>553</v>
      </c>
      <c r="D70" s="82" t="s">
        <v>540</v>
      </c>
      <c r="E70" s="92">
        <v>1.6875</v>
      </c>
      <c r="F70" s="82" t="s">
        <v>41</v>
      </c>
      <c r="G70" s="84">
        <v>2</v>
      </c>
      <c r="H70" s="85">
        <v>549</v>
      </c>
    </row>
    <row r="71" spans="1:8" ht="19.8" customHeight="1" x14ac:dyDescent="0.3">
      <c r="A71" s="91">
        <v>45984</v>
      </c>
      <c r="B71" s="82" t="s">
        <v>36</v>
      </c>
      <c r="C71" s="83" t="s">
        <v>555</v>
      </c>
      <c r="D71" s="82" t="s">
        <v>540</v>
      </c>
      <c r="E71" s="92">
        <v>1.5659722222222221</v>
      </c>
      <c r="F71" s="82" t="s">
        <v>41</v>
      </c>
      <c r="G71" s="84">
        <v>8</v>
      </c>
      <c r="H71" s="85">
        <v>549</v>
      </c>
    </row>
    <row r="72" spans="1:8" ht="19.8" customHeight="1" x14ac:dyDescent="0.3">
      <c r="A72" s="91">
        <v>45984</v>
      </c>
      <c r="B72" s="82" t="s">
        <v>26</v>
      </c>
      <c r="C72" s="83" t="s">
        <v>545</v>
      </c>
      <c r="D72" s="82" t="s">
        <v>540</v>
      </c>
      <c r="E72" s="92">
        <v>1.447916666666667</v>
      </c>
      <c r="F72" s="82" t="s">
        <v>31</v>
      </c>
      <c r="G72" s="84">
        <v>3</v>
      </c>
      <c r="H72" s="85">
        <v>579</v>
      </c>
    </row>
    <row r="73" spans="1:8" ht="19.8" customHeight="1" x14ac:dyDescent="0.3">
      <c r="A73" s="91">
        <v>45984</v>
      </c>
      <c r="B73" s="82" t="s">
        <v>26</v>
      </c>
      <c r="C73" s="83" t="s">
        <v>547</v>
      </c>
      <c r="D73" s="82" t="s">
        <v>540</v>
      </c>
      <c r="E73" s="92">
        <v>1.5</v>
      </c>
      <c r="F73" s="82" t="s">
        <v>31</v>
      </c>
      <c r="G73" s="84">
        <v>10</v>
      </c>
      <c r="H73" s="85">
        <v>579</v>
      </c>
    </row>
    <row r="74" spans="1:8" ht="19.8" customHeight="1" x14ac:dyDescent="0.3">
      <c r="A74" s="91">
        <v>45984</v>
      </c>
      <c r="B74" s="82" t="s">
        <v>36</v>
      </c>
      <c r="C74" s="83" t="s">
        <v>552</v>
      </c>
      <c r="D74" s="82" t="s">
        <v>540</v>
      </c>
      <c r="E74" s="92">
        <v>1.427083333333333</v>
      </c>
      <c r="F74" s="82" t="s">
        <v>41</v>
      </c>
      <c r="G74" s="84">
        <v>4</v>
      </c>
      <c r="H74" s="85">
        <v>589</v>
      </c>
    </row>
    <row r="75" spans="1:8" ht="19.8" customHeight="1" x14ac:dyDescent="0.3">
      <c r="A75" s="91">
        <v>45984</v>
      </c>
      <c r="B75" s="82" t="s">
        <v>36</v>
      </c>
      <c r="C75" s="83" t="s">
        <v>554</v>
      </c>
      <c r="D75" s="82" t="s">
        <v>540</v>
      </c>
      <c r="E75" s="92">
        <v>1.375</v>
      </c>
      <c r="F75" s="82" t="s">
        <v>41</v>
      </c>
      <c r="G75" s="84">
        <v>4</v>
      </c>
      <c r="H75" s="85">
        <v>589</v>
      </c>
    </row>
    <row r="76" spans="1:8" ht="19.8" customHeight="1" x14ac:dyDescent="0.3">
      <c r="A76" s="91">
        <v>45984</v>
      </c>
      <c r="B76" s="82" t="s">
        <v>36</v>
      </c>
      <c r="C76" s="83" t="s">
        <v>549</v>
      </c>
      <c r="D76" s="82" t="s">
        <v>540</v>
      </c>
      <c r="E76" s="92">
        <v>1.305555555555556</v>
      </c>
      <c r="F76" s="82" t="s">
        <v>41</v>
      </c>
      <c r="G76" s="84">
        <v>4</v>
      </c>
      <c r="H76" s="85">
        <v>639</v>
      </c>
    </row>
    <row r="77" spans="1:8" ht="19.8" customHeight="1" x14ac:dyDescent="0.3">
      <c r="A77" s="91">
        <v>45984</v>
      </c>
      <c r="B77" s="82" t="s">
        <v>36</v>
      </c>
      <c r="C77" s="83" t="s">
        <v>550</v>
      </c>
      <c r="D77" s="82" t="s">
        <v>540</v>
      </c>
      <c r="E77" s="92">
        <v>1.8263888888888891</v>
      </c>
      <c r="F77" s="82" t="s">
        <v>43</v>
      </c>
      <c r="G77" s="84">
        <v>2</v>
      </c>
      <c r="H77" s="85">
        <v>639</v>
      </c>
    </row>
    <row r="78" spans="1:8" ht="19.8" customHeight="1" x14ac:dyDescent="0.3">
      <c r="A78" s="91">
        <v>45984</v>
      </c>
      <c r="B78" s="82" t="s">
        <v>36</v>
      </c>
      <c r="C78" s="83" t="s">
        <v>551</v>
      </c>
      <c r="D78" s="82" t="s">
        <v>540</v>
      </c>
      <c r="E78" s="92">
        <v>1.5</v>
      </c>
      <c r="F78" s="82" t="s">
        <v>43</v>
      </c>
      <c r="G78" s="84">
        <v>5</v>
      </c>
      <c r="H78" s="85">
        <v>639</v>
      </c>
    </row>
    <row r="79" spans="1:8" ht="19.8" customHeight="1" x14ac:dyDescent="0.3">
      <c r="A79" s="91">
        <v>45984</v>
      </c>
      <c r="B79" s="82" t="s">
        <v>36</v>
      </c>
      <c r="C79" s="83" t="s">
        <v>553</v>
      </c>
      <c r="D79" s="82" t="s">
        <v>540</v>
      </c>
      <c r="E79" s="92">
        <v>1.6875</v>
      </c>
      <c r="F79" s="82" t="s">
        <v>43</v>
      </c>
      <c r="G79" s="84">
        <v>2</v>
      </c>
      <c r="H79" s="85">
        <v>639</v>
      </c>
    </row>
    <row r="80" spans="1:8" ht="19.8" customHeight="1" x14ac:dyDescent="0.3">
      <c r="A80" s="91">
        <v>45984</v>
      </c>
      <c r="B80" s="82" t="s">
        <v>36</v>
      </c>
      <c r="C80" s="83" t="s">
        <v>555</v>
      </c>
      <c r="D80" s="82" t="s">
        <v>540</v>
      </c>
      <c r="E80" s="92">
        <v>1.5659722222222221</v>
      </c>
      <c r="F80" s="82" t="s">
        <v>43</v>
      </c>
      <c r="G80" s="84">
        <v>8</v>
      </c>
      <c r="H80" s="85">
        <v>639</v>
      </c>
    </row>
    <row r="81" spans="1:8" ht="19.8" customHeight="1" x14ac:dyDescent="0.3">
      <c r="A81" s="91">
        <v>45984</v>
      </c>
      <c r="B81" s="82" t="s">
        <v>36</v>
      </c>
      <c r="C81" s="83" t="s">
        <v>552</v>
      </c>
      <c r="D81" s="82" t="s">
        <v>540</v>
      </c>
      <c r="E81" s="92">
        <v>1.427083333333333</v>
      </c>
      <c r="F81" s="82" t="s">
        <v>43</v>
      </c>
      <c r="G81" s="84">
        <v>4</v>
      </c>
      <c r="H81" s="85">
        <v>679</v>
      </c>
    </row>
    <row r="82" spans="1:8" ht="19.8" customHeight="1" x14ac:dyDescent="0.3">
      <c r="A82" s="91">
        <v>45984</v>
      </c>
      <c r="B82" s="82" t="s">
        <v>36</v>
      </c>
      <c r="C82" s="83" t="s">
        <v>554</v>
      </c>
      <c r="D82" s="82" t="s">
        <v>540</v>
      </c>
      <c r="E82" s="92">
        <v>1.375</v>
      </c>
      <c r="F82" s="82" t="s">
        <v>43</v>
      </c>
      <c r="G82" s="84">
        <v>4</v>
      </c>
      <c r="H82" s="85">
        <v>679</v>
      </c>
    </row>
    <row r="83" spans="1:8" ht="19.8" customHeight="1" x14ac:dyDescent="0.3">
      <c r="A83" s="91">
        <v>45984</v>
      </c>
      <c r="B83" s="82" t="s">
        <v>36</v>
      </c>
      <c r="C83" s="83" t="s">
        <v>549</v>
      </c>
      <c r="D83" s="82" t="s">
        <v>540</v>
      </c>
      <c r="E83" s="92">
        <v>1.305555555555556</v>
      </c>
      <c r="F83" s="82" t="s">
        <v>43</v>
      </c>
      <c r="G83" s="84">
        <v>4</v>
      </c>
      <c r="H83" s="85">
        <v>729</v>
      </c>
    </row>
    <row r="84" spans="1:8" ht="19.8" customHeight="1" x14ac:dyDescent="0.3">
      <c r="A84" s="91">
        <v>45984</v>
      </c>
      <c r="B84" s="82" t="s">
        <v>56</v>
      </c>
      <c r="C84" s="83" t="s">
        <v>574</v>
      </c>
      <c r="D84" s="82" t="s">
        <v>540</v>
      </c>
      <c r="E84" s="92">
        <v>1.6840277777777779</v>
      </c>
      <c r="F84" s="82" t="s">
        <v>58</v>
      </c>
      <c r="G84" s="84">
        <v>8</v>
      </c>
      <c r="H84" s="85">
        <v>774</v>
      </c>
    </row>
    <row r="85" spans="1:8" ht="19.8" customHeight="1" x14ac:dyDescent="0.3">
      <c r="A85" s="91">
        <v>45984</v>
      </c>
      <c r="B85" s="82" t="s">
        <v>56</v>
      </c>
      <c r="C85" s="83" t="s">
        <v>575</v>
      </c>
      <c r="D85" s="82" t="s">
        <v>540</v>
      </c>
      <c r="E85" s="92">
        <v>1.836805555555556</v>
      </c>
      <c r="F85" s="82" t="s">
        <v>58</v>
      </c>
      <c r="G85" s="84">
        <v>9</v>
      </c>
      <c r="H85" s="85">
        <v>774</v>
      </c>
    </row>
    <row r="86" spans="1:8" ht="19.8" customHeight="1" x14ac:dyDescent="0.3">
      <c r="A86" s="91">
        <v>45984</v>
      </c>
      <c r="B86" s="82" t="s">
        <v>56</v>
      </c>
      <c r="C86" s="83" t="s">
        <v>574</v>
      </c>
      <c r="D86" s="82" t="s">
        <v>540</v>
      </c>
      <c r="E86" s="92">
        <v>1.6840277777777779</v>
      </c>
      <c r="F86" s="82" t="s">
        <v>61</v>
      </c>
      <c r="G86" s="84">
        <v>8</v>
      </c>
      <c r="H86" s="85">
        <v>824</v>
      </c>
    </row>
    <row r="87" spans="1:8" ht="19.8" customHeight="1" x14ac:dyDescent="0.3">
      <c r="A87" s="91">
        <v>45984</v>
      </c>
      <c r="B87" s="82" t="s">
        <v>56</v>
      </c>
      <c r="C87" s="83" t="s">
        <v>575</v>
      </c>
      <c r="D87" s="82" t="s">
        <v>540</v>
      </c>
      <c r="E87" s="92">
        <v>1.836805555555556</v>
      </c>
      <c r="F87" s="82" t="s">
        <v>61</v>
      </c>
      <c r="G87" s="84">
        <v>9</v>
      </c>
      <c r="H87" s="85">
        <v>824</v>
      </c>
    </row>
    <row r="88" spans="1:8" ht="19.8" customHeight="1" x14ac:dyDescent="0.3">
      <c r="A88" s="91">
        <v>45984</v>
      </c>
      <c r="B88" s="82" t="s">
        <v>48</v>
      </c>
      <c r="C88" s="83" t="s">
        <v>563</v>
      </c>
      <c r="D88" s="82" t="s">
        <v>540</v>
      </c>
      <c r="E88" s="92">
        <v>1.9201388888888891</v>
      </c>
      <c r="F88" s="82" t="s">
        <v>50</v>
      </c>
      <c r="G88" s="84">
        <v>9</v>
      </c>
      <c r="H88" s="85">
        <v>837</v>
      </c>
    </row>
    <row r="89" spans="1:8" ht="19.8" customHeight="1" x14ac:dyDescent="0.3">
      <c r="A89" s="91">
        <v>45984</v>
      </c>
      <c r="B89" s="82" t="s">
        <v>48</v>
      </c>
      <c r="C89" s="83" t="s">
        <v>567</v>
      </c>
      <c r="D89" s="82" t="s">
        <v>540</v>
      </c>
      <c r="E89" s="92">
        <v>1.166666666666667</v>
      </c>
      <c r="F89" s="82" t="s">
        <v>50</v>
      </c>
      <c r="G89" s="84">
        <v>9</v>
      </c>
      <c r="H89" s="85">
        <v>837</v>
      </c>
    </row>
    <row r="90" spans="1:8" ht="19.8" customHeight="1" x14ac:dyDescent="0.3">
      <c r="A90" s="91">
        <v>45984</v>
      </c>
      <c r="B90" s="82" t="s">
        <v>26</v>
      </c>
      <c r="C90" s="83" t="s">
        <v>545</v>
      </c>
      <c r="D90" s="82" t="s">
        <v>540</v>
      </c>
      <c r="E90" s="92">
        <v>1.447916666666667</v>
      </c>
      <c r="F90" s="82" t="s">
        <v>34</v>
      </c>
      <c r="G90" s="84">
        <v>3</v>
      </c>
      <c r="H90" s="85">
        <v>899</v>
      </c>
    </row>
    <row r="91" spans="1:8" ht="19.8" customHeight="1" x14ac:dyDescent="0.3">
      <c r="A91" s="91">
        <v>45984</v>
      </c>
      <c r="B91" s="82" t="s">
        <v>26</v>
      </c>
      <c r="C91" s="83" t="s">
        <v>547</v>
      </c>
      <c r="D91" s="82" t="s">
        <v>540</v>
      </c>
      <c r="E91" s="92">
        <v>1.5</v>
      </c>
      <c r="F91" s="82" t="s">
        <v>34</v>
      </c>
      <c r="G91" s="84">
        <v>10</v>
      </c>
      <c r="H91" s="85">
        <v>899</v>
      </c>
    </row>
    <row r="92" spans="1:8" ht="19.8" customHeight="1" x14ac:dyDescent="0.3">
      <c r="A92" s="91">
        <v>45984</v>
      </c>
      <c r="B92" s="82" t="s">
        <v>26</v>
      </c>
      <c r="C92" s="83" t="s">
        <v>548</v>
      </c>
      <c r="D92" s="82" t="s">
        <v>540</v>
      </c>
      <c r="E92" s="92">
        <v>1.760416666666667</v>
      </c>
      <c r="F92" s="82" t="s">
        <v>34</v>
      </c>
      <c r="G92" s="84">
        <v>20</v>
      </c>
      <c r="H92" s="85">
        <v>899</v>
      </c>
    </row>
    <row r="93" spans="1:8" ht="19.8" customHeight="1" x14ac:dyDescent="0.3">
      <c r="A93" s="91">
        <v>45984</v>
      </c>
      <c r="B93" s="82" t="s">
        <v>26</v>
      </c>
      <c r="C93" s="83" t="s">
        <v>543</v>
      </c>
      <c r="D93" s="82" t="s">
        <v>540</v>
      </c>
      <c r="E93" s="92">
        <v>1.8159722222222221</v>
      </c>
      <c r="F93" s="82" t="s">
        <v>34</v>
      </c>
      <c r="G93" s="84">
        <v>18</v>
      </c>
      <c r="H93" s="85">
        <v>899</v>
      </c>
    </row>
    <row r="94" spans="1:8" ht="19.8" customHeight="1" x14ac:dyDescent="0.3">
      <c r="A94" s="91">
        <v>45984</v>
      </c>
      <c r="B94" s="82" t="s">
        <v>56</v>
      </c>
      <c r="C94" s="83" t="s">
        <v>571</v>
      </c>
      <c r="D94" s="82" t="s">
        <v>540</v>
      </c>
      <c r="E94" s="92">
        <v>1.2986111111111109</v>
      </c>
      <c r="F94" s="82" t="s">
        <v>58</v>
      </c>
      <c r="G94" s="84">
        <v>9</v>
      </c>
      <c r="H94" s="86" t="s">
        <v>592</v>
      </c>
    </row>
    <row r="95" spans="1:8" ht="19.8" customHeight="1" x14ac:dyDescent="0.3">
      <c r="A95" s="91">
        <v>45984</v>
      </c>
      <c r="B95" s="82" t="s">
        <v>56</v>
      </c>
      <c r="C95" s="83" t="s">
        <v>594</v>
      </c>
      <c r="D95" s="82" t="s">
        <v>540</v>
      </c>
      <c r="E95" s="92">
        <v>1.552083333333333</v>
      </c>
      <c r="F95" s="82" t="s">
        <v>58</v>
      </c>
      <c r="G95" s="84">
        <v>9</v>
      </c>
      <c r="H95" s="86" t="s">
        <v>592</v>
      </c>
    </row>
    <row r="96" spans="1:8" ht="19.8" customHeight="1" x14ac:dyDescent="0.3">
      <c r="A96" s="91">
        <v>45984</v>
      </c>
      <c r="B96" s="82" t="s">
        <v>56</v>
      </c>
      <c r="C96" s="83" t="s">
        <v>576</v>
      </c>
      <c r="D96" s="82" t="s">
        <v>540</v>
      </c>
      <c r="E96" s="92">
        <v>1.4826388888888891</v>
      </c>
      <c r="F96" s="82" t="s">
        <v>58</v>
      </c>
      <c r="G96" s="84">
        <v>9</v>
      </c>
      <c r="H96" s="86" t="s">
        <v>592</v>
      </c>
    </row>
    <row r="97" spans="1:8" ht="19.8" customHeight="1" x14ac:dyDescent="0.3">
      <c r="A97" s="91">
        <v>45984</v>
      </c>
      <c r="B97" s="82" t="s">
        <v>56</v>
      </c>
      <c r="C97" s="83" t="s">
        <v>577</v>
      </c>
      <c r="D97" s="82" t="s">
        <v>540</v>
      </c>
      <c r="E97" s="92">
        <v>1.760416666666667</v>
      </c>
      <c r="F97" s="82" t="s">
        <v>61</v>
      </c>
      <c r="G97" s="84">
        <v>4</v>
      </c>
      <c r="H97" s="86" t="s">
        <v>595</v>
      </c>
    </row>
    <row r="98" spans="1:8" ht="19.8" customHeight="1" x14ac:dyDescent="0.3">
      <c r="A98" s="91">
        <v>45984</v>
      </c>
      <c r="B98" s="82" t="s">
        <v>56</v>
      </c>
      <c r="C98" s="83" t="s">
        <v>569</v>
      </c>
      <c r="D98" s="82" t="s">
        <v>540</v>
      </c>
      <c r="E98" s="92">
        <v>1.8159722222222221</v>
      </c>
      <c r="F98" s="82" t="s">
        <v>61</v>
      </c>
      <c r="G98" s="84">
        <v>4</v>
      </c>
      <c r="H98" s="86" t="s">
        <v>595</v>
      </c>
    </row>
    <row r="99" spans="1:8" ht="19.8" customHeight="1" x14ac:dyDescent="0.3">
      <c r="A99" s="91">
        <v>45984</v>
      </c>
      <c r="B99" s="82" t="s">
        <v>56</v>
      </c>
      <c r="C99" s="83" t="s">
        <v>571</v>
      </c>
      <c r="D99" s="82" t="s">
        <v>540</v>
      </c>
      <c r="E99" s="92">
        <v>1.2986111111111109</v>
      </c>
      <c r="F99" s="82" t="s">
        <v>61</v>
      </c>
      <c r="G99" s="84">
        <v>9</v>
      </c>
      <c r="H99" s="86" t="s">
        <v>593</v>
      </c>
    </row>
    <row r="100" spans="1:8" ht="19.8" customHeight="1" x14ac:dyDescent="0.3">
      <c r="A100" s="91">
        <v>45984</v>
      </c>
      <c r="B100" s="82" t="s">
        <v>56</v>
      </c>
      <c r="C100" s="83" t="s">
        <v>594</v>
      </c>
      <c r="D100" s="82" t="s">
        <v>540</v>
      </c>
      <c r="E100" s="92">
        <v>1.552083333333333</v>
      </c>
      <c r="F100" s="82" t="s">
        <v>61</v>
      </c>
      <c r="G100" s="84">
        <v>9</v>
      </c>
      <c r="H100" s="86" t="s">
        <v>593</v>
      </c>
    </row>
    <row r="101" spans="1:8" ht="19.8" customHeight="1" x14ac:dyDescent="0.3">
      <c r="A101" s="91">
        <v>45984</v>
      </c>
      <c r="B101" s="82" t="s">
        <v>56</v>
      </c>
      <c r="C101" s="83" t="s">
        <v>576</v>
      </c>
      <c r="D101" s="82" t="s">
        <v>540</v>
      </c>
      <c r="E101" s="92">
        <v>1.4826388888888891</v>
      </c>
      <c r="F101" s="82" t="s">
        <v>61</v>
      </c>
      <c r="G101" s="84">
        <v>9</v>
      </c>
      <c r="H101" s="86" t="s">
        <v>593</v>
      </c>
    </row>
    <row r="102" spans="1:8" ht="19.8" customHeight="1" x14ac:dyDescent="0.3">
      <c r="A102" s="91">
        <v>45984</v>
      </c>
      <c r="B102" s="82" t="s">
        <v>56</v>
      </c>
      <c r="C102" s="83" t="s">
        <v>579</v>
      </c>
      <c r="D102" s="82" t="s">
        <v>540</v>
      </c>
      <c r="E102" s="92">
        <v>1.5</v>
      </c>
      <c r="F102" s="82" t="s">
        <v>61</v>
      </c>
      <c r="G102" s="84">
        <v>4</v>
      </c>
      <c r="H102" s="86" t="s">
        <v>596</v>
      </c>
    </row>
    <row r="103" spans="1:8" ht="19.8" customHeight="1" x14ac:dyDescent="0.3">
      <c r="A103" s="93">
        <v>45984</v>
      </c>
      <c r="B103" s="88" t="s">
        <v>73</v>
      </c>
      <c r="C103" s="89" t="s">
        <v>560</v>
      </c>
      <c r="D103" s="88" t="s">
        <v>540</v>
      </c>
      <c r="E103" s="94">
        <v>1.625</v>
      </c>
      <c r="F103" s="88" t="s">
        <v>75</v>
      </c>
      <c r="G103" s="88"/>
      <c r="H103" s="90" t="s">
        <v>76</v>
      </c>
    </row>
    <row r="104" spans="1:8" ht="19.8" customHeight="1" x14ac:dyDescent="0.3">
      <c r="A104" s="91">
        <v>45985</v>
      </c>
      <c r="B104" s="82" t="s">
        <v>26</v>
      </c>
      <c r="C104" s="83" t="s">
        <v>548</v>
      </c>
      <c r="D104" s="82" t="s">
        <v>540</v>
      </c>
      <c r="E104" s="92">
        <v>1.760416666666667</v>
      </c>
      <c r="F104" s="82" t="s">
        <v>599</v>
      </c>
      <c r="G104" s="84">
        <v>3</v>
      </c>
      <c r="H104" s="85">
        <v>279</v>
      </c>
    </row>
    <row r="105" spans="1:8" ht="19.8" customHeight="1" x14ac:dyDescent="0.3">
      <c r="A105" s="91">
        <v>45985</v>
      </c>
      <c r="B105" s="82" t="s">
        <v>26</v>
      </c>
      <c r="C105" s="83" t="s">
        <v>543</v>
      </c>
      <c r="D105" s="82" t="s">
        <v>540</v>
      </c>
      <c r="E105" s="92">
        <v>1.8159722222222221</v>
      </c>
      <c r="F105" s="82" t="s">
        <v>599</v>
      </c>
      <c r="G105" s="84">
        <v>3</v>
      </c>
      <c r="H105" s="85">
        <v>279</v>
      </c>
    </row>
    <row r="106" spans="1:8" ht="19.8" customHeight="1" x14ac:dyDescent="0.3">
      <c r="A106" s="91">
        <v>45985</v>
      </c>
      <c r="B106" s="82" t="s">
        <v>26</v>
      </c>
      <c r="C106" s="83" t="s">
        <v>545</v>
      </c>
      <c r="D106" s="82" t="s">
        <v>540</v>
      </c>
      <c r="E106" s="92">
        <v>1.447916666666667</v>
      </c>
      <c r="F106" s="82" t="s">
        <v>599</v>
      </c>
      <c r="G106" s="84">
        <v>6</v>
      </c>
      <c r="H106" s="85">
        <v>309</v>
      </c>
    </row>
    <row r="107" spans="1:8" ht="19.8" customHeight="1" x14ac:dyDescent="0.3">
      <c r="A107" s="91">
        <v>45985</v>
      </c>
      <c r="B107" s="82" t="s">
        <v>26</v>
      </c>
      <c r="C107" s="83" t="s">
        <v>547</v>
      </c>
      <c r="D107" s="82" t="s">
        <v>540</v>
      </c>
      <c r="E107" s="92">
        <v>1.5</v>
      </c>
      <c r="F107" s="82" t="s">
        <v>599</v>
      </c>
      <c r="G107" s="84">
        <v>2</v>
      </c>
      <c r="H107" s="85">
        <v>309</v>
      </c>
    </row>
    <row r="108" spans="1:8" ht="19.8" customHeight="1" x14ac:dyDescent="0.3">
      <c r="A108" s="91">
        <v>45985</v>
      </c>
      <c r="B108" s="82" t="s">
        <v>36</v>
      </c>
      <c r="C108" s="83" t="s">
        <v>549</v>
      </c>
      <c r="D108" s="82" t="s">
        <v>540</v>
      </c>
      <c r="E108" s="92">
        <v>1.305555555555556</v>
      </c>
      <c r="F108" s="82" t="s">
        <v>366</v>
      </c>
      <c r="G108" s="84">
        <v>5</v>
      </c>
      <c r="H108" s="85">
        <v>329</v>
      </c>
    </row>
    <row r="109" spans="1:8" ht="19.8" customHeight="1" x14ac:dyDescent="0.3">
      <c r="A109" s="91">
        <v>45985</v>
      </c>
      <c r="B109" s="82" t="s">
        <v>36</v>
      </c>
      <c r="C109" s="83" t="s">
        <v>551</v>
      </c>
      <c r="D109" s="82" t="s">
        <v>540</v>
      </c>
      <c r="E109" s="92">
        <v>1.5</v>
      </c>
      <c r="F109" s="82" t="s">
        <v>366</v>
      </c>
      <c r="G109" s="84">
        <v>9</v>
      </c>
      <c r="H109" s="85">
        <v>329</v>
      </c>
    </row>
    <row r="110" spans="1:8" ht="19.8" customHeight="1" x14ac:dyDescent="0.3">
      <c r="A110" s="91">
        <v>45985</v>
      </c>
      <c r="B110" s="82" t="s">
        <v>36</v>
      </c>
      <c r="C110" s="83" t="s">
        <v>552</v>
      </c>
      <c r="D110" s="82" t="s">
        <v>540</v>
      </c>
      <c r="E110" s="92">
        <v>1.427083333333333</v>
      </c>
      <c r="F110" s="82" t="s">
        <v>366</v>
      </c>
      <c r="G110" s="84">
        <v>9</v>
      </c>
      <c r="H110" s="85">
        <v>329</v>
      </c>
    </row>
    <row r="111" spans="1:8" ht="19.8" customHeight="1" x14ac:dyDescent="0.3">
      <c r="A111" s="91">
        <v>45985</v>
      </c>
      <c r="B111" s="82" t="s">
        <v>36</v>
      </c>
      <c r="C111" s="83" t="s">
        <v>554</v>
      </c>
      <c r="D111" s="82" t="s">
        <v>540</v>
      </c>
      <c r="E111" s="92">
        <v>1.375</v>
      </c>
      <c r="F111" s="82" t="s">
        <v>366</v>
      </c>
      <c r="G111" s="84">
        <v>3</v>
      </c>
      <c r="H111" s="85">
        <v>329</v>
      </c>
    </row>
    <row r="112" spans="1:8" ht="19.8" customHeight="1" x14ac:dyDescent="0.3">
      <c r="A112" s="91">
        <v>45985</v>
      </c>
      <c r="B112" s="82" t="s">
        <v>36</v>
      </c>
      <c r="C112" s="83" t="s">
        <v>555</v>
      </c>
      <c r="D112" s="82" t="s">
        <v>540</v>
      </c>
      <c r="E112" s="92">
        <v>1.5659722222222221</v>
      </c>
      <c r="F112" s="82" t="s">
        <v>366</v>
      </c>
      <c r="G112" s="84">
        <v>1</v>
      </c>
      <c r="H112" s="85">
        <v>329</v>
      </c>
    </row>
    <row r="113" spans="1:8" ht="19.8" customHeight="1" x14ac:dyDescent="0.3">
      <c r="A113" s="91">
        <v>45985</v>
      </c>
      <c r="B113" s="82" t="s">
        <v>36</v>
      </c>
      <c r="C113" s="83" t="s">
        <v>550</v>
      </c>
      <c r="D113" s="82" t="s">
        <v>540</v>
      </c>
      <c r="E113" s="92">
        <v>1.8263888888888891</v>
      </c>
      <c r="F113" s="82" t="s">
        <v>366</v>
      </c>
      <c r="G113" s="84">
        <v>3</v>
      </c>
      <c r="H113" s="85">
        <v>369</v>
      </c>
    </row>
    <row r="114" spans="1:8" ht="19.8" customHeight="1" x14ac:dyDescent="0.3">
      <c r="A114" s="91">
        <v>45985</v>
      </c>
      <c r="B114" s="82" t="s">
        <v>36</v>
      </c>
      <c r="C114" s="83" t="s">
        <v>553</v>
      </c>
      <c r="D114" s="82" t="s">
        <v>540</v>
      </c>
      <c r="E114" s="92">
        <v>1.6875</v>
      </c>
      <c r="F114" s="82" t="s">
        <v>366</v>
      </c>
      <c r="G114" s="84">
        <v>9</v>
      </c>
      <c r="H114" s="85">
        <v>409</v>
      </c>
    </row>
    <row r="115" spans="1:8" ht="19.8" customHeight="1" x14ac:dyDescent="0.3">
      <c r="A115" s="91">
        <v>45985</v>
      </c>
      <c r="B115" s="82" t="s">
        <v>260</v>
      </c>
      <c r="C115" s="83" t="s">
        <v>607</v>
      </c>
      <c r="D115" s="82" t="s">
        <v>540</v>
      </c>
      <c r="E115" s="92">
        <v>1.7361111111111109</v>
      </c>
      <c r="F115" s="82" t="s">
        <v>111</v>
      </c>
      <c r="G115" s="84">
        <v>9</v>
      </c>
      <c r="H115" s="85">
        <v>416</v>
      </c>
    </row>
    <row r="116" spans="1:8" ht="19.8" customHeight="1" x14ac:dyDescent="0.3">
      <c r="A116" s="91">
        <v>45985</v>
      </c>
      <c r="B116" s="82" t="s">
        <v>26</v>
      </c>
      <c r="C116" s="83" t="s">
        <v>548</v>
      </c>
      <c r="D116" s="82" t="s">
        <v>540</v>
      </c>
      <c r="E116" s="92">
        <v>1.760416666666667</v>
      </c>
      <c r="F116" s="82" t="s">
        <v>31</v>
      </c>
      <c r="G116" s="84">
        <v>2</v>
      </c>
      <c r="H116" s="85">
        <v>429</v>
      </c>
    </row>
    <row r="117" spans="1:8" ht="19.8" customHeight="1" x14ac:dyDescent="0.3">
      <c r="A117" s="91">
        <v>45985</v>
      </c>
      <c r="B117" s="82" t="s">
        <v>26</v>
      </c>
      <c r="C117" s="83" t="s">
        <v>543</v>
      </c>
      <c r="D117" s="82" t="s">
        <v>540</v>
      </c>
      <c r="E117" s="92">
        <v>1.8159722222222221</v>
      </c>
      <c r="F117" s="82" t="s">
        <v>31</v>
      </c>
      <c r="G117" s="84">
        <v>3</v>
      </c>
      <c r="H117" s="85">
        <v>429</v>
      </c>
    </row>
    <row r="118" spans="1:8" ht="19.8" customHeight="1" x14ac:dyDescent="0.3">
      <c r="A118" s="91">
        <v>45985</v>
      </c>
      <c r="B118" s="82" t="s">
        <v>36</v>
      </c>
      <c r="C118" s="83" t="s">
        <v>549</v>
      </c>
      <c r="D118" s="82" t="s">
        <v>540</v>
      </c>
      <c r="E118" s="92">
        <v>1.305555555555556</v>
      </c>
      <c r="F118" s="82" t="s">
        <v>41</v>
      </c>
      <c r="G118" s="84">
        <v>5</v>
      </c>
      <c r="H118" s="85">
        <v>429</v>
      </c>
    </row>
    <row r="119" spans="1:8" ht="19.8" customHeight="1" x14ac:dyDescent="0.3">
      <c r="A119" s="91">
        <v>45985</v>
      </c>
      <c r="B119" s="82" t="s">
        <v>36</v>
      </c>
      <c r="C119" s="83" t="s">
        <v>552</v>
      </c>
      <c r="D119" s="82" t="s">
        <v>540</v>
      </c>
      <c r="E119" s="92">
        <v>1.427083333333333</v>
      </c>
      <c r="F119" s="82" t="s">
        <v>41</v>
      </c>
      <c r="G119" s="84">
        <v>9</v>
      </c>
      <c r="H119" s="85">
        <v>429</v>
      </c>
    </row>
    <row r="120" spans="1:8" ht="19.8" customHeight="1" x14ac:dyDescent="0.3">
      <c r="A120" s="91">
        <v>45985</v>
      </c>
      <c r="B120" s="82" t="s">
        <v>36</v>
      </c>
      <c r="C120" s="83" t="s">
        <v>554</v>
      </c>
      <c r="D120" s="82" t="s">
        <v>540</v>
      </c>
      <c r="E120" s="92">
        <v>1.375</v>
      </c>
      <c r="F120" s="82" t="s">
        <v>41</v>
      </c>
      <c r="G120" s="84">
        <v>3</v>
      </c>
      <c r="H120" s="85">
        <v>429</v>
      </c>
    </row>
    <row r="121" spans="1:8" ht="19.8" customHeight="1" x14ac:dyDescent="0.3">
      <c r="A121" s="91">
        <v>45985</v>
      </c>
      <c r="B121" s="82" t="s">
        <v>36</v>
      </c>
      <c r="C121" s="83" t="s">
        <v>555</v>
      </c>
      <c r="D121" s="82" t="s">
        <v>540</v>
      </c>
      <c r="E121" s="92">
        <v>1.5659722222222221</v>
      </c>
      <c r="F121" s="82" t="s">
        <v>41</v>
      </c>
      <c r="G121" s="84">
        <v>1</v>
      </c>
      <c r="H121" s="85">
        <v>429</v>
      </c>
    </row>
    <row r="122" spans="1:8" ht="19.8" customHeight="1" x14ac:dyDescent="0.3">
      <c r="A122" s="91">
        <v>45985</v>
      </c>
      <c r="B122" s="82" t="s">
        <v>252</v>
      </c>
      <c r="C122" s="83" t="s">
        <v>609</v>
      </c>
      <c r="D122" s="82" t="s">
        <v>540</v>
      </c>
      <c r="E122" s="92">
        <v>1.510416666666667</v>
      </c>
      <c r="F122" s="82" t="s">
        <v>610</v>
      </c>
      <c r="G122" s="84">
        <v>9</v>
      </c>
      <c r="H122" s="85">
        <v>439</v>
      </c>
    </row>
    <row r="123" spans="1:8" ht="19.8" customHeight="1" x14ac:dyDescent="0.3">
      <c r="A123" s="101">
        <v>45985</v>
      </c>
      <c r="B123" s="102" t="s">
        <v>73</v>
      </c>
      <c r="C123" s="103" t="s">
        <v>613</v>
      </c>
      <c r="D123" s="102" t="s">
        <v>540</v>
      </c>
      <c r="E123" s="104">
        <v>1.9236111111111109</v>
      </c>
      <c r="F123" s="102" t="s">
        <v>111</v>
      </c>
      <c r="G123" s="105">
        <v>6</v>
      </c>
      <c r="H123" s="106">
        <v>450</v>
      </c>
    </row>
    <row r="124" spans="1:8" ht="19.8" customHeight="1" x14ac:dyDescent="0.3">
      <c r="A124" s="91">
        <v>45985</v>
      </c>
      <c r="B124" s="82" t="s">
        <v>26</v>
      </c>
      <c r="C124" s="83" t="s">
        <v>545</v>
      </c>
      <c r="D124" s="82" t="s">
        <v>540</v>
      </c>
      <c r="E124" s="92">
        <v>1.447916666666667</v>
      </c>
      <c r="F124" s="82" t="s">
        <v>31</v>
      </c>
      <c r="G124" s="84">
        <v>6</v>
      </c>
      <c r="H124" s="85">
        <v>459</v>
      </c>
    </row>
    <row r="125" spans="1:8" ht="19.8" customHeight="1" x14ac:dyDescent="0.3">
      <c r="A125" s="91">
        <v>45985</v>
      </c>
      <c r="B125" s="82" t="s">
        <v>26</v>
      </c>
      <c r="C125" s="83" t="s">
        <v>547</v>
      </c>
      <c r="D125" s="82" t="s">
        <v>540</v>
      </c>
      <c r="E125" s="92">
        <v>1.5</v>
      </c>
      <c r="F125" s="82" t="s">
        <v>31</v>
      </c>
      <c r="G125" s="84">
        <v>2</v>
      </c>
      <c r="H125" s="85">
        <v>459</v>
      </c>
    </row>
    <row r="126" spans="1:8" ht="19.8" customHeight="1" x14ac:dyDescent="0.3">
      <c r="A126" s="91">
        <v>45985</v>
      </c>
      <c r="B126" s="82" t="s">
        <v>36</v>
      </c>
      <c r="C126" s="83" t="s">
        <v>550</v>
      </c>
      <c r="D126" s="82" t="s">
        <v>540</v>
      </c>
      <c r="E126" s="92">
        <v>1.8263888888888891</v>
      </c>
      <c r="F126" s="82" t="s">
        <v>41</v>
      </c>
      <c r="G126" s="84">
        <v>3</v>
      </c>
      <c r="H126" s="85">
        <v>469</v>
      </c>
    </row>
    <row r="127" spans="1:8" ht="19.8" customHeight="1" x14ac:dyDescent="0.3">
      <c r="A127" s="91">
        <v>45985</v>
      </c>
      <c r="B127" s="82" t="s">
        <v>36</v>
      </c>
      <c r="C127" s="83" t="s">
        <v>551</v>
      </c>
      <c r="D127" s="82" t="s">
        <v>540</v>
      </c>
      <c r="E127" s="92">
        <v>1.5</v>
      </c>
      <c r="F127" s="82" t="s">
        <v>41</v>
      </c>
      <c r="G127" s="84">
        <v>9</v>
      </c>
      <c r="H127" s="85">
        <v>469</v>
      </c>
    </row>
    <row r="128" spans="1:8" ht="19.8" customHeight="1" x14ac:dyDescent="0.3">
      <c r="A128" s="91">
        <v>45985</v>
      </c>
      <c r="B128" s="82" t="s">
        <v>36</v>
      </c>
      <c r="C128" s="83" t="s">
        <v>553</v>
      </c>
      <c r="D128" s="82" t="s">
        <v>540</v>
      </c>
      <c r="E128" s="92">
        <v>1.6875</v>
      </c>
      <c r="F128" s="82" t="s">
        <v>41</v>
      </c>
      <c r="G128" s="84">
        <v>9</v>
      </c>
      <c r="H128" s="85">
        <v>509</v>
      </c>
    </row>
    <row r="129" spans="1:8" ht="19.8" customHeight="1" x14ac:dyDescent="0.3">
      <c r="A129" s="91">
        <v>45985</v>
      </c>
      <c r="B129" s="82" t="s">
        <v>36</v>
      </c>
      <c r="C129" s="83" t="s">
        <v>549</v>
      </c>
      <c r="D129" s="82" t="s">
        <v>540</v>
      </c>
      <c r="E129" s="92">
        <v>1.305555555555556</v>
      </c>
      <c r="F129" s="82" t="s">
        <v>43</v>
      </c>
      <c r="G129" s="84">
        <v>5</v>
      </c>
      <c r="H129" s="85">
        <v>519</v>
      </c>
    </row>
    <row r="130" spans="1:8" ht="19.8" customHeight="1" x14ac:dyDescent="0.3">
      <c r="A130" s="91">
        <v>45985</v>
      </c>
      <c r="B130" s="82" t="s">
        <v>36</v>
      </c>
      <c r="C130" s="83" t="s">
        <v>552</v>
      </c>
      <c r="D130" s="82" t="s">
        <v>540</v>
      </c>
      <c r="E130" s="92">
        <v>1.427083333333333</v>
      </c>
      <c r="F130" s="82" t="s">
        <v>43</v>
      </c>
      <c r="G130" s="84">
        <v>9</v>
      </c>
      <c r="H130" s="85">
        <v>519</v>
      </c>
    </row>
    <row r="131" spans="1:8" ht="19.8" customHeight="1" x14ac:dyDescent="0.3">
      <c r="A131" s="91">
        <v>45985</v>
      </c>
      <c r="B131" s="82" t="s">
        <v>36</v>
      </c>
      <c r="C131" s="83" t="s">
        <v>554</v>
      </c>
      <c r="D131" s="82" t="s">
        <v>540</v>
      </c>
      <c r="E131" s="92">
        <v>1.375</v>
      </c>
      <c r="F131" s="82" t="s">
        <v>43</v>
      </c>
      <c r="G131" s="84">
        <v>3</v>
      </c>
      <c r="H131" s="85">
        <v>519</v>
      </c>
    </row>
    <row r="132" spans="1:8" ht="19.8" customHeight="1" x14ac:dyDescent="0.3">
      <c r="A132" s="91">
        <v>45985</v>
      </c>
      <c r="B132" s="82" t="s">
        <v>36</v>
      </c>
      <c r="C132" s="83" t="s">
        <v>555</v>
      </c>
      <c r="D132" s="82" t="s">
        <v>540</v>
      </c>
      <c r="E132" s="92">
        <v>1.5659722222222221</v>
      </c>
      <c r="F132" s="82" t="s">
        <v>43</v>
      </c>
      <c r="G132" s="84">
        <v>1</v>
      </c>
      <c r="H132" s="85">
        <v>519</v>
      </c>
    </row>
    <row r="133" spans="1:8" ht="19.8" customHeight="1" x14ac:dyDescent="0.3">
      <c r="A133" s="91">
        <v>45985</v>
      </c>
      <c r="B133" s="82" t="s">
        <v>48</v>
      </c>
      <c r="C133" s="83" t="s">
        <v>567</v>
      </c>
      <c r="D133" s="82" t="s">
        <v>540</v>
      </c>
      <c r="E133" s="92">
        <v>1.166666666666667</v>
      </c>
      <c r="F133" s="82" t="s">
        <v>50</v>
      </c>
      <c r="G133" s="84">
        <v>9</v>
      </c>
      <c r="H133" s="85">
        <v>527</v>
      </c>
    </row>
    <row r="134" spans="1:8" ht="19.8" customHeight="1" x14ac:dyDescent="0.3">
      <c r="A134" s="91">
        <v>45985</v>
      </c>
      <c r="B134" s="82" t="s">
        <v>36</v>
      </c>
      <c r="C134" s="83" t="s">
        <v>550</v>
      </c>
      <c r="D134" s="82" t="s">
        <v>540</v>
      </c>
      <c r="E134" s="92">
        <v>1.8263888888888891</v>
      </c>
      <c r="F134" s="82" t="s">
        <v>43</v>
      </c>
      <c r="G134" s="84">
        <v>3</v>
      </c>
      <c r="H134" s="85">
        <v>559</v>
      </c>
    </row>
    <row r="135" spans="1:8" ht="19.8" customHeight="1" x14ac:dyDescent="0.3">
      <c r="A135" s="91">
        <v>45985</v>
      </c>
      <c r="B135" s="82" t="s">
        <v>36</v>
      </c>
      <c r="C135" s="83" t="s">
        <v>551</v>
      </c>
      <c r="D135" s="82" t="s">
        <v>540</v>
      </c>
      <c r="E135" s="92">
        <v>1.5</v>
      </c>
      <c r="F135" s="82" t="s">
        <v>43</v>
      </c>
      <c r="G135" s="84">
        <v>9</v>
      </c>
      <c r="H135" s="85">
        <v>559</v>
      </c>
    </row>
    <row r="136" spans="1:8" ht="19.8" customHeight="1" x14ac:dyDescent="0.3">
      <c r="A136" s="91">
        <v>45985</v>
      </c>
      <c r="B136" s="82" t="s">
        <v>252</v>
      </c>
      <c r="C136" s="83" t="s">
        <v>609</v>
      </c>
      <c r="D136" s="82" t="s">
        <v>540</v>
      </c>
      <c r="E136" s="92">
        <v>1.510416666666667</v>
      </c>
      <c r="F136" s="82" t="s">
        <v>34</v>
      </c>
      <c r="G136" s="84">
        <v>9</v>
      </c>
      <c r="H136" s="85">
        <v>563</v>
      </c>
    </row>
    <row r="137" spans="1:8" ht="19.8" customHeight="1" x14ac:dyDescent="0.3">
      <c r="A137" s="91">
        <v>45985</v>
      </c>
      <c r="B137" s="82" t="s">
        <v>56</v>
      </c>
      <c r="C137" s="83" t="s">
        <v>619</v>
      </c>
      <c r="D137" s="82" t="s">
        <v>540</v>
      </c>
      <c r="E137" s="92">
        <v>1.0486111111111109</v>
      </c>
      <c r="F137" s="82" t="s">
        <v>353</v>
      </c>
      <c r="G137" s="84">
        <v>9</v>
      </c>
      <c r="H137" s="85">
        <v>582</v>
      </c>
    </row>
    <row r="138" spans="1:8" ht="19.8" customHeight="1" x14ac:dyDescent="0.3">
      <c r="A138" s="91">
        <v>45985</v>
      </c>
      <c r="B138" s="82" t="s">
        <v>56</v>
      </c>
      <c r="C138" s="83" t="s">
        <v>619</v>
      </c>
      <c r="D138" s="82" t="s">
        <v>540</v>
      </c>
      <c r="E138" s="92">
        <v>1.0486111111111109</v>
      </c>
      <c r="F138" s="82" t="s">
        <v>58</v>
      </c>
      <c r="G138" s="84">
        <v>9</v>
      </c>
      <c r="H138" s="85">
        <v>582</v>
      </c>
    </row>
    <row r="139" spans="1:8" ht="19.8" customHeight="1" x14ac:dyDescent="0.3">
      <c r="A139" s="91">
        <v>45985</v>
      </c>
      <c r="B139" s="82" t="s">
        <v>36</v>
      </c>
      <c r="C139" s="83" t="s">
        <v>553</v>
      </c>
      <c r="D139" s="82" t="s">
        <v>540</v>
      </c>
      <c r="E139" s="92">
        <v>1.6875</v>
      </c>
      <c r="F139" s="82" t="s">
        <v>43</v>
      </c>
      <c r="G139" s="84">
        <v>9</v>
      </c>
      <c r="H139" s="85">
        <v>599</v>
      </c>
    </row>
    <row r="140" spans="1:8" ht="19.8" customHeight="1" x14ac:dyDescent="0.3">
      <c r="A140" s="91">
        <v>45985</v>
      </c>
      <c r="B140" s="82" t="s">
        <v>56</v>
      </c>
      <c r="C140" s="83" t="s">
        <v>619</v>
      </c>
      <c r="D140" s="82" t="s">
        <v>540</v>
      </c>
      <c r="E140" s="92">
        <v>1.0486111111111109</v>
      </c>
      <c r="F140" s="82" t="s">
        <v>61</v>
      </c>
      <c r="G140" s="84">
        <v>9</v>
      </c>
      <c r="H140" s="85">
        <v>626</v>
      </c>
    </row>
    <row r="141" spans="1:8" ht="19.8" customHeight="1" x14ac:dyDescent="0.3">
      <c r="A141" s="91">
        <v>45985</v>
      </c>
      <c r="B141" s="82" t="s">
        <v>56</v>
      </c>
      <c r="C141" s="83" t="s">
        <v>571</v>
      </c>
      <c r="D141" s="82" t="s">
        <v>540</v>
      </c>
      <c r="E141" s="92">
        <v>1.2986111111111109</v>
      </c>
      <c r="F141" s="82" t="s">
        <v>353</v>
      </c>
      <c r="G141" s="84">
        <v>9</v>
      </c>
      <c r="H141" s="85">
        <v>661</v>
      </c>
    </row>
    <row r="142" spans="1:8" ht="19.8" customHeight="1" x14ac:dyDescent="0.3">
      <c r="A142" s="91">
        <v>45985</v>
      </c>
      <c r="B142" s="82" t="s">
        <v>56</v>
      </c>
      <c r="C142" s="83" t="s">
        <v>571</v>
      </c>
      <c r="D142" s="82" t="s">
        <v>540</v>
      </c>
      <c r="E142" s="92">
        <v>1.2986111111111109</v>
      </c>
      <c r="F142" s="82" t="s">
        <v>58</v>
      </c>
      <c r="G142" s="84">
        <v>9</v>
      </c>
      <c r="H142" s="85">
        <v>661</v>
      </c>
    </row>
    <row r="143" spans="1:8" ht="19.8" customHeight="1" x14ac:dyDescent="0.3">
      <c r="A143" s="91">
        <v>45985</v>
      </c>
      <c r="B143" s="82" t="s">
        <v>56</v>
      </c>
      <c r="C143" s="83" t="s">
        <v>574</v>
      </c>
      <c r="D143" s="82" t="s">
        <v>540</v>
      </c>
      <c r="E143" s="92">
        <v>1.6840277777777779</v>
      </c>
      <c r="F143" s="82" t="s">
        <v>353</v>
      </c>
      <c r="G143" s="84">
        <v>2</v>
      </c>
      <c r="H143" s="85">
        <v>661</v>
      </c>
    </row>
    <row r="144" spans="1:8" ht="19.8" customHeight="1" x14ac:dyDescent="0.3">
      <c r="A144" s="91">
        <v>45985</v>
      </c>
      <c r="B144" s="82" t="s">
        <v>56</v>
      </c>
      <c r="C144" s="83" t="s">
        <v>574</v>
      </c>
      <c r="D144" s="82" t="s">
        <v>540</v>
      </c>
      <c r="E144" s="92">
        <v>1.6840277777777779</v>
      </c>
      <c r="F144" s="82" t="s">
        <v>58</v>
      </c>
      <c r="G144" s="84">
        <v>9</v>
      </c>
      <c r="H144" s="85">
        <v>661</v>
      </c>
    </row>
    <row r="145" spans="1:8" ht="19.8" customHeight="1" x14ac:dyDescent="0.3">
      <c r="A145" s="91">
        <v>45985</v>
      </c>
      <c r="B145" s="82" t="s">
        <v>56</v>
      </c>
      <c r="C145" s="83" t="s">
        <v>575</v>
      </c>
      <c r="D145" s="82" t="s">
        <v>540</v>
      </c>
      <c r="E145" s="92">
        <v>1.836805555555556</v>
      </c>
      <c r="F145" s="82" t="s">
        <v>353</v>
      </c>
      <c r="G145" s="84">
        <v>9</v>
      </c>
      <c r="H145" s="85">
        <v>661</v>
      </c>
    </row>
    <row r="146" spans="1:8" ht="19.8" customHeight="1" x14ac:dyDescent="0.3">
      <c r="A146" s="91">
        <v>45985</v>
      </c>
      <c r="B146" s="82" t="s">
        <v>56</v>
      </c>
      <c r="C146" s="83" t="s">
        <v>575</v>
      </c>
      <c r="D146" s="82" t="s">
        <v>540</v>
      </c>
      <c r="E146" s="92">
        <v>1.836805555555556</v>
      </c>
      <c r="F146" s="82" t="s">
        <v>58</v>
      </c>
      <c r="G146" s="84">
        <v>9</v>
      </c>
      <c r="H146" s="85">
        <v>661</v>
      </c>
    </row>
    <row r="147" spans="1:8" ht="19.8" customHeight="1" x14ac:dyDescent="0.3">
      <c r="A147" s="91">
        <v>45985</v>
      </c>
      <c r="B147" s="82" t="s">
        <v>56</v>
      </c>
      <c r="C147" s="83" t="s">
        <v>576</v>
      </c>
      <c r="D147" s="82" t="s">
        <v>540</v>
      </c>
      <c r="E147" s="92">
        <v>1.4826388888888891</v>
      </c>
      <c r="F147" s="82" t="s">
        <v>353</v>
      </c>
      <c r="G147" s="84">
        <v>9</v>
      </c>
      <c r="H147" s="85">
        <v>661</v>
      </c>
    </row>
    <row r="148" spans="1:8" ht="19.8" customHeight="1" x14ac:dyDescent="0.3">
      <c r="A148" s="91">
        <v>45985</v>
      </c>
      <c r="B148" s="82" t="s">
        <v>56</v>
      </c>
      <c r="C148" s="83" t="s">
        <v>576</v>
      </c>
      <c r="D148" s="82" t="s">
        <v>540</v>
      </c>
      <c r="E148" s="92">
        <v>1.4826388888888891</v>
      </c>
      <c r="F148" s="82" t="s">
        <v>58</v>
      </c>
      <c r="G148" s="84">
        <v>9</v>
      </c>
      <c r="H148" s="85">
        <v>661</v>
      </c>
    </row>
    <row r="149" spans="1:8" ht="19.8" customHeight="1" x14ac:dyDescent="0.3">
      <c r="A149" s="91">
        <v>45985</v>
      </c>
      <c r="B149" s="82" t="s">
        <v>48</v>
      </c>
      <c r="C149" s="83" t="s">
        <v>563</v>
      </c>
      <c r="D149" s="82" t="s">
        <v>540</v>
      </c>
      <c r="E149" s="92">
        <v>1.916666666666667</v>
      </c>
      <c r="F149" s="82" t="s">
        <v>50</v>
      </c>
      <c r="G149" s="84">
        <v>9</v>
      </c>
      <c r="H149" s="85">
        <v>702</v>
      </c>
    </row>
    <row r="150" spans="1:8" ht="19.8" customHeight="1" x14ac:dyDescent="0.3">
      <c r="A150" s="91">
        <v>45985</v>
      </c>
      <c r="B150" s="82" t="s">
        <v>48</v>
      </c>
      <c r="C150" s="83" t="s">
        <v>565</v>
      </c>
      <c r="D150" s="82" t="s">
        <v>540</v>
      </c>
      <c r="E150" s="92">
        <v>1.541666666666667</v>
      </c>
      <c r="F150" s="82" t="s">
        <v>50</v>
      </c>
      <c r="G150" s="84">
        <v>9</v>
      </c>
      <c r="H150" s="85">
        <v>702</v>
      </c>
    </row>
    <row r="151" spans="1:8" ht="19.8" customHeight="1" x14ac:dyDescent="0.3">
      <c r="A151" s="91">
        <v>45985</v>
      </c>
      <c r="B151" s="82" t="s">
        <v>56</v>
      </c>
      <c r="C151" s="83" t="s">
        <v>571</v>
      </c>
      <c r="D151" s="82" t="s">
        <v>540</v>
      </c>
      <c r="E151" s="92">
        <v>1.2986111111111109</v>
      </c>
      <c r="F151" s="82" t="s">
        <v>61</v>
      </c>
      <c r="G151" s="84">
        <v>9</v>
      </c>
      <c r="H151" s="85">
        <v>711</v>
      </c>
    </row>
    <row r="152" spans="1:8" ht="19.8" customHeight="1" x14ac:dyDescent="0.3">
      <c r="A152" s="91">
        <v>45985</v>
      </c>
      <c r="B152" s="82" t="s">
        <v>56</v>
      </c>
      <c r="C152" s="83" t="s">
        <v>574</v>
      </c>
      <c r="D152" s="82" t="s">
        <v>540</v>
      </c>
      <c r="E152" s="92">
        <v>1.6840277777777779</v>
      </c>
      <c r="F152" s="82" t="s">
        <v>61</v>
      </c>
      <c r="G152" s="84">
        <v>9</v>
      </c>
      <c r="H152" s="85">
        <v>711</v>
      </c>
    </row>
    <row r="153" spans="1:8" ht="19.8" customHeight="1" x14ac:dyDescent="0.3">
      <c r="A153" s="91">
        <v>45985</v>
      </c>
      <c r="B153" s="82" t="s">
        <v>56</v>
      </c>
      <c r="C153" s="83" t="s">
        <v>575</v>
      </c>
      <c r="D153" s="82" t="s">
        <v>540</v>
      </c>
      <c r="E153" s="92">
        <v>1.836805555555556</v>
      </c>
      <c r="F153" s="82" t="s">
        <v>61</v>
      </c>
      <c r="G153" s="84">
        <v>9</v>
      </c>
      <c r="H153" s="85">
        <v>711</v>
      </c>
    </row>
    <row r="154" spans="1:8" ht="19.8" customHeight="1" x14ac:dyDescent="0.3">
      <c r="A154" s="91">
        <v>45985</v>
      </c>
      <c r="B154" s="82" t="s">
        <v>56</v>
      </c>
      <c r="C154" s="83" t="s">
        <v>576</v>
      </c>
      <c r="D154" s="82" t="s">
        <v>540</v>
      </c>
      <c r="E154" s="92">
        <v>1.4826388888888891</v>
      </c>
      <c r="F154" s="82" t="s">
        <v>61</v>
      </c>
      <c r="G154" s="84">
        <v>9</v>
      </c>
      <c r="H154" s="85">
        <v>711</v>
      </c>
    </row>
    <row r="155" spans="1:8" ht="19.8" customHeight="1" x14ac:dyDescent="0.3">
      <c r="A155" s="91">
        <v>45985</v>
      </c>
      <c r="B155" s="82" t="s">
        <v>26</v>
      </c>
      <c r="C155" s="83" t="s">
        <v>545</v>
      </c>
      <c r="D155" s="82" t="s">
        <v>540</v>
      </c>
      <c r="E155" s="92">
        <v>1.447916666666667</v>
      </c>
      <c r="F155" s="82" t="s">
        <v>34</v>
      </c>
      <c r="G155" s="84">
        <v>6</v>
      </c>
      <c r="H155" s="85">
        <v>899</v>
      </c>
    </row>
    <row r="156" spans="1:8" ht="19.8" customHeight="1" x14ac:dyDescent="0.3">
      <c r="A156" s="91">
        <v>45985</v>
      </c>
      <c r="B156" s="82" t="s">
        <v>26</v>
      </c>
      <c r="C156" s="83" t="s">
        <v>547</v>
      </c>
      <c r="D156" s="82" t="s">
        <v>540</v>
      </c>
      <c r="E156" s="92">
        <v>1.5</v>
      </c>
      <c r="F156" s="82" t="s">
        <v>34</v>
      </c>
      <c r="G156" s="84">
        <v>2</v>
      </c>
      <c r="H156" s="85">
        <v>899</v>
      </c>
    </row>
    <row r="157" spans="1:8" ht="19.8" customHeight="1" x14ac:dyDescent="0.3">
      <c r="A157" s="91">
        <v>45985</v>
      </c>
      <c r="B157" s="82" t="s">
        <v>26</v>
      </c>
      <c r="C157" s="83" t="s">
        <v>548</v>
      </c>
      <c r="D157" s="82" t="s">
        <v>540</v>
      </c>
      <c r="E157" s="92">
        <v>1.760416666666667</v>
      </c>
      <c r="F157" s="82" t="s">
        <v>34</v>
      </c>
      <c r="G157" s="84">
        <v>2</v>
      </c>
      <c r="H157" s="85">
        <v>899</v>
      </c>
    </row>
    <row r="158" spans="1:8" ht="19.8" customHeight="1" x14ac:dyDescent="0.3">
      <c r="A158" s="91">
        <v>45985</v>
      </c>
      <c r="B158" s="82" t="s">
        <v>26</v>
      </c>
      <c r="C158" s="83" t="s">
        <v>543</v>
      </c>
      <c r="D158" s="82" t="s">
        <v>540</v>
      </c>
      <c r="E158" s="92">
        <v>1.8159722222222221</v>
      </c>
      <c r="F158" s="82" t="s">
        <v>34</v>
      </c>
      <c r="G158" s="84">
        <v>3</v>
      </c>
      <c r="H158" s="85">
        <v>899</v>
      </c>
    </row>
    <row r="159" spans="1:8" ht="19.8" customHeight="1" x14ac:dyDescent="0.3">
      <c r="A159" s="91">
        <v>45985</v>
      </c>
      <c r="B159" s="82" t="s">
        <v>56</v>
      </c>
      <c r="C159" s="83" t="s">
        <v>577</v>
      </c>
      <c r="D159" s="82" t="s">
        <v>540</v>
      </c>
      <c r="E159" s="92">
        <v>1.760416666666667</v>
      </c>
      <c r="F159" s="82" t="s">
        <v>50</v>
      </c>
      <c r="G159" s="84">
        <v>4</v>
      </c>
      <c r="H159" s="86" t="s">
        <v>624</v>
      </c>
    </row>
    <row r="160" spans="1:8" ht="19.8" customHeight="1" x14ac:dyDescent="0.3">
      <c r="A160" s="91">
        <v>45985</v>
      </c>
      <c r="B160" s="82" t="s">
        <v>56</v>
      </c>
      <c r="C160" s="83" t="s">
        <v>577</v>
      </c>
      <c r="D160" s="82" t="s">
        <v>540</v>
      </c>
      <c r="E160" s="92">
        <v>1.760416666666667</v>
      </c>
      <c r="F160" s="82" t="s">
        <v>61</v>
      </c>
      <c r="G160" s="84">
        <v>4</v>
      </c>
      <c r="H160" s="86" t="s">
        <v>624</v>
      </c>
    </row>
    <row r="161" spans="1:8" ht="19.8" customHeight="1" x14ac:dyDescent="0.3">
      <c r="A161" s="91">
        <v>45985</v>
      </c>
      <c r="B161" s="82" t="s">
        <v>56</v>
      </c>
      <c r="C161" s="83" t="s">
        <v>569</v>
      </c>
      <c r="D161" s="82" t="s">
        <v>540</v>
      </c>
      <c r="E161" s="92">
        <v>1.8159722222222221</v>
      </c>
      <c r="F161" s="82" t="s">
        <v>50</v>
      </c>
      <c r="G161" s="84">
        <v>4</v>
      </c>
      <c r="H161" s="86" t="s">
        <v>624</v>
      </c>
    </row>
    <row r="162" spans="1:8" ht="19.8" customHeight="1" x14ac:dyDescent="0.3">
      <c r="A162" s="91">
        <v>45985</v>
      </c>
      <c r="B162" s="82" t="s">
        <v>56</v>
      </c>
      <c r="C162" s="83" t="s">
        <v>569</v>
      </c>
      <c r="D162" s="82" t="s">
        <v>540</v>
      </c>
      <c r="E162" s="92">
        <v>1.8159722222222221</v>
      </c>
      <c r="F162" s="82" t="s">
        <v>61</v>
      </c>
      <c r="G162" s="84">
        <v>4</v>
      </c>
      <c r="H162" s="86" t="s">
        <v>624</v>
      </c>
    </row>
    <row r="163" spans="1:8" ht="19.8" customHeight="1" x14ac:dyDescent="0.3">
      <c r="A163" s="91">
        <v>45985</v>
      </c>
      <c r="B163" s="82" t="s">
        <v>56</v>
      </c>
      <c r="C163" s="83" t="s">
        <v>579</v>
      </c>
      <c r="D163" s="82" t="s">
        <v>540</v>
      </c>
      <c r="E163" s="92">
        <v>1.5</v>
      </c>
      <c r="F163" s="82" t="s">
        <v>50</v>
      </c>
      <c r="G163" s="84">
        <v>4</v>
      </c>
      <c r="H163" s="86" t="s">
        <v>625</v>
      </c>
    </row>
    <row r="164" spans="1:8" ht="19.8" customHeight="1" x14ac:dyDescent="0.3">
      <c r="A164" s="95">
        <v>45985</v>
      </c>
      <c r="B164" s="96" t="s">
        <v>56</v>
      </c>
      <c r="C164" s="97" t="s">
        <v>579</v>
      </c>
      <c r="D164" s="96" t="s">
        <v>540</v>
      </c>
      <c r="E164" s="98">
        <v>1.5</v>
      </c>
      <c r="F164" s="96" t="s">
        <v>61</v>
      </c>
      <c r="G164" s="99">
        <v>4</v>
      </c>
      <c r="H164" s="100" t="s">
        <v>625</v>
      </c>
    </row>
    <row r="165" spans="1:8" ht="19.8" customHeight="1" x14ac:dyDescent="0.3">
      <c r="A165" s="91">
        <v>45986</v>
      </c>
      <c r="B165" s="82" t="s">
        <v>26</v>
      </c>
      <c r="C165" s="83" t="s">
        <v>545</v>
      </c>
      <c r="D165" s="82" t="s">
        <v>540</v>
      </c>
      <c r="E165" s="92">
        <v>1.447916666666667</v>
      </c>
      <c r="F165" s="82" t="s">
        <v>28</v>
      </c>
      <c r="G165" s="84">
        <v>34</v>
      </c>
      <c r="H165" s="85">
        <v>259</v>
      </c>
    </row>
    <row r="166" spans="1:8" ht="19.8" customHeight="1" x14ac:dyDescent="0.3">
      <c r="A166" s="91">
        <v>45986</v>
      </c>
      <c r="B166" s="82" t="s">
        <v>26</v>
      </c>
      <c r="C166" s="83" t="s">
        <v>547</v>
      </c>
      <c r="D166" s="82" t="s">
        <v>540</v>
      </c>
      <c r="E166" s="92">
        <v>1.5</v>
      </c>
      <c r="F166" s="82" t="s">
        <v>28</v>
      </c>
      <c r="G166" s="84">
        <v>40</v>
      </c>
      <c r="H166" s="85">
        <v>259</v>
      </c>
    </row>
    <row r="167" spans="1:8" ht="19.8" customHeight="1" x14ac:dyDescent="0.3">
      <c r="A167" s="91">
        <v>45986</v>
      </c>
      <c r="B167" s="82" t="s">
        <v>26</v>
      </c>
      <c r="C167" s="83" t="s">
        <v>548</v>
      </c>
      <c r="D167" s="82" t="s">
        <v>540</v>
      </c>
      <c r="E167" s="92">
        <v>1.760416666666667</v>
      </c>
      <c r="F167" s="82" t="s">
        <v>28</v>
      </c>
      <c r="G167" s="84">
        <v>35</v>
      </c>
      <c r="H167" s="85">
        <v>259</v>
      </c>
    </row>
    <row r="168" spans="1:8" ht="19.8" customHeight="1" x14ac:dyDescent="0.3">
      <c r="A168" s="91">
        <v>45986</v>
      </c>
      <c r="B168" s="82" t="s">
        <v>26</v>
      </c>
      <c r="C168" s="83" t="s">
        <v>543</v>
      </c>
      <c r="D168" s="82" t="s">
        <v>540</v>
      </c>
      <c r="E168" s="92">
        <v>1.8159722222222221</v>
      </c>
      <c r="F168" s="82" t="s">
        <v>28</v>
      </c>
      <c r="G168" s="84">
        <v>20</v>
      </c>
      <c r="H168" s="85">
        <v>259</v>
      </c>
    </row>
    <row r="169" spans="1:8" ht="19.8" customHeight="1" x14ac:dyDescent="0.3">
      <c r="A169" s="91">
        <v>45986</v>
      </c>
      <c r="B169" s="82" t="s">
        <v>36</v>
      </c>
      <c r="C169" s="83" t="s">
        <v>549</v>
      </c>
      <c r="D169" s="82" t="s">
        <v>540</v>
      </c>
      <c r="E169" s="92">
        <v>1.305555555555556</v>
      </c>
      <c r="F169" s="82" t="s">
        <v>38</v>
      </c>
      <c r="G169" s="84">
        <v>9</v>
      </c>
      <c r="H169" s="85">
        <v>289</v>
      </c>
    </row>
    <row r="170" spans="1:8" ht="19.8" customHeight="1" x14ac:dyDescent="0.3">
      <c r="A170" s="91">
        <v>45986</v>
      </c>
      <c r="B170" s="82" t="s">
        <v>36</v>
      </c>
      <c r="C170" s="83" t="s">
        <v>550</v>
      </c>
      <c r="D170" s="82" t="s">
        <v>540</v>
      </c>
      <c r="E170" s="92">
        <v>1.8263888888888891</v>
      </c>
      <c r="F170" s="82" t="s">
        <v>38</v>
      </c>
      <c r="G170" s="84">
        <v>1</v>
      </c>
      <c r="H170" s="85">
        <v>289</v>
      </c>
    </row>
    <row r="171" spans="1:8" ht="19.8" customHeight="1" x14ac:dyDescent="0.3">
      <c r="A171" s="91">
        <v>45986</v>
      </c>
      <c r="B171" s="82" t="s">
        <v>36</v>
      </c>
      <c r="C171" s="83" t="s">
        <v>555</v>
      </c>
      <c r="D171" s="82" t="s">
        <v>540</v>
      </c>
      <c r="E171" s="92">
        <v>1.5659722222222221</v>
      </c>
      <c r="F171" s="82" t="s">
        <v>38</v>
      </c>
      <c r="G171" s="84">
        <v>3</v>
      </c>
      <c r="H171" s="85">
        <v>289</v>
      </c>
    </row>
    <row r="172" spans="1:8" ht="19.8" customHeight="1" x14ac:dyDescent="0.3">
      <c r="A172" s="91">
        <v>45986</v>
      </c>
      <c r="B172" s="82" t="s">
        <v>36</v>
      </c>
      <c r="C172" s="83" t="s">
        <v>552</v>
      </c>
      <c r="D172" s="82" t="s">
        <v>540</v>
      </c>
      <c r="E172" s="92">
        <v>1.427083333333333</v>
      </c>
      <c r="F172" s="82" t="s">
        <v>38</v>
      </c>
      <c r="G172" s="84">
        <v>9</v>
      </c>
      <c r="H172" s="85">
        <v>329</v>
      </c>
    </row>
    <row r="173" spans="1:8" ht="19.8" customHeight="1" x14ac:dyDescent="0.3">
      <c r="A173" s="91">
        <v>45986</v>
      </c>
      <c r="B173" s="82" t="s">
        <v>36</v>
      </c>
      <c r="C173" s="83" t="s">
        <v>553</v>
      </c>
      <c r="D173" s="82" t="s">
        <v>540</v>
      </c>
      <c r="E173" s="92">
        <v>1.6875</v>
      </c>
      <c r="F173" s="82" t="s">
        <v>38</v>
      </c>
      <c r="G173" s="84">
        <v>9</v>
      </c>
      <c r="H173" s="85">
        <v>329</v>
      </c>
    </row>
    <row r="174" spans="1:8" ht="19.8" customHeight="1" x14ac:dyDescent="0.3">
      <c r="A174" s="91">
        <v>45986</v>
      </c>
      <c r="B174" s="82" t="s">
        <v>36</v>
      </c>
      <c r="C174" s="83" t="s">
        <v>554</v>
      </c>
      <c r="D174" s="82" t="s">
        <v>540</v>
      </c>
      <c r="E174" s="92">
        <v>1.375</v>
      </c>
      <c r="F174" s="82" t="s">
        <v>38</v>
      </c>
      <c r="G174" s="84">
        <v>9</v>
      </c>
      <c r="H174" s="85">
        <v>329</v>
      </c>
    </row>
    <row r="175" spans="1:8" ht="19.8" customHeight="1" x14ac:dyDescent="0.3">
      <c r="A175" s="91">
        <v>45986</v>
      </c>
      <c r="B175" s="82" t="s">
        <v>264</v>
      </c>
      <c r="C175" s="83" t="s">
        <v>541</v>
      </c>
      <c r="D175" s="82" t="s">
        <v>540</v>
      </c>
      <c r="E175" s="92">
        <v>1.2777777777777779</v>
      </c>
      <c r="F175" s="82" t="s">
        <v>111</v>
      </c>
      <c r="G175" s="84">
        <v>9</v>
      </c>
      <c r="H175" s="85">
        <v>350</v>
      </c>
    </row>
    <row r="176" spans="1:8" ht="19.8" customHeight="1" x14ac:dyDescent="0.3">
      <c r="A176" s="101">
        <v>45986</v>
      </c>
      <c r="B176" s="102" t="s">
        <v>73</v>
      </c>
      <c r="C176" s="103" t="s">
        <v>613</v>
      </c>
      <c r="D176" s="102" t="s">
        <v>540</v>
      </c>
      <c r="E176" s="104">
        <v>1.913194444444444</v>
      </c>
      <c r="F176" s="102" t="s">
        <v>111</v>
      </c>
      <c r="G176" s="105">
        <v>9</v>
      </c>
      <c r="H176" s="106">
        <v>355</v>
      </c>
    </row>
    <row r="177" spans="1:8" ht="19.8" customHeight="1" x14ac:dyDescent="0.3">
      <c r="A177" s="91">
        <v>45986</v>
      </c>
      <c r="B177" s="82" t="s">
        <v>252</v>
      </c>
      <c r="C177" s="83" t="s">
        <v>609</v>
      </c>
      <c r="D177" s="82" t="s">
        <v>540</v>
      </c>
      <c r="E177" s="92">
        <v>1.6215277777777779</v>
      </c>
      <c r="F177" s="82" t="s">
        <v>254</v>
      </c>
      <c r="G177" s="84">
        <v>9</v>
      </c>
      <c r="H177" s="85">
        <v>361</v>
      </c>
    </row>
    <row r="178" spans="1:8" ht="19.8" customHeight="1" x14ac:dyDescent="0.3">
      <c r="A178" s="91">
        <v>45986</v>
      </c>
      <c r="B178" s="82" t="s">
        <v>36</v>
      </c>
      <c r="C178" s="83" t="s">
        <v>551</v>
      </c>
      <c r="D178" s="82" t="s">
        <v>540</v>
      </c>
      <c r="E178" s="92">
        <v>1.5</v>
      </c>
      <c r="F178" s="82" t="s">
        <v>38</v>
      </c>
      <c r="G178" s="84">
        <v>9</v>
      </c>
      <c r="H178" s="85">
        <v>369</v>
      </c>
    </row>
    <row r="179" spans="1:8" ht="19.8" customHeight="1" x14ac:dyDescent="0.3">
      <c r="A179" s="91">
        <v>45986</v>
      </c>
      <c r="B179" s="82" t="s">
        <v>36</v>
      </c>
      <c r="C179" s="83" t="s">
        <v>549</v>
      </c>
      <c r="D179" s="82" t="s">
        <v>540</v>
      </c>
      <c r="E179" s="92">
        <v>1.305555555555556</v>
      </c>
      <c r="F179" s="82" t="s">
        <v>41</v>
      </c>
      <c r="G179" s="84">
        <v>9</v>
      </c>
      <c r="H179" s="85">
        <v>389</v>
      </c>
    </row>
    <row r="180" spans="1:8" ht="19.8" customHeight="1" x14ac:dyDescent="0.3">
      <c r="A180" s="91">
        <v>45986</v>
      </c>
      <c r="B180" s="82" t="s">
        <v>36</v>
      </c>
      <c r="C180" s="83" t="s">
        <v>550</v>
      </c>
      <c r="D180" s="82" t="s">
        <v>540</v>
      </c>
      <c r="E180" s="92">
        <v>1.8263888888888891</v>
      </c>
      <c r="F180" s="82" t="s">
        <v>41</v>
      </c>
      <c r="G180" s="84">
        <v>1</v>
      </c>
      <c r="H180" s="85">
        <v>389</v>
      </c>
    </row>
    <row r="181" spans="1:8" ht="19.8" customHeight="1" x14ac:dyDescent="0.3">
      <c r="A181" s="91">
        <v>45986</v>
      </c>
      <c r="B181" s="82" t="s">
        <v>36</v>
      </c>
      <c r="C181" s="83" t="s">
        <v>555</v>
      </c>
      <c r="D181" s="82" t="s">
        <v>540</v>
      </c>
      <c r="E181" s="92">
        <v>1.5659722222222221</v>
      </c>
      <c r="F181" s="82" t="s">
        <v>41</v>
      </c>
      <c r="G181" s="84">
        <v>3</v>
      </c>
      <c r="H181" s="85">
        <v>389</v>
      </c>
    </row>
    <row r="182" spans="1:8" ht="19.8" customHeight="1" x14ac:dyDescent="0.3">
      <c r="A182" s="91">
        <v>45986</v>
      </c>
      <c r="B182" s="82" t="s">
        <v>26</v>
      </c>
      <c r="C182" s="83" t="s">
        <v>545</v>
      </c>
      <c r="D182" s="82" t="s">
        <v>540</v>
      </c>
      <c r="E182" s="92">
        <v>1.447916666666667</v>
      </c>
      <c r="F182" s="82" t="s">
        <v>31</v>
      </c>
      <c r="G182" s="84">
        <v>34</v>
      </c>
      <c r="H182" s="85">
        <v>409</v>
      </c>
    </row>
    <row r="183" spans="1:8" ht="19.8" customHeight="1" x14ac:dyDescent="0.3">
      <c r="A183" s="91">
        <v>45986</v>
      </c>
      <c r="B183" s="82" t="s">
        <v>26</v>
      </c>
      <c r="C183" s="83" t="s">
        <v>547</v>
      </c>
      <c r="D183" s="82" t="s">
        <v>540</v>
      </c>
      <c r="E183" s="92">
        <v>1.5</v>
      </c>
      <c r="F183" s="82" t="s">
        <v>31</v>
      </c>
      <c r="G183" s="84">
        <v>40</v>
      </c>
      <c r="H183" s="85">
        <v>409</v>
      </c>
    </row>
    <row r="184" spans="1:8" ht="19.8" customHeight="1" x14ac:dyDescent="0.3">
      <c r="A184" s="91">
        <v>45986</v>
      </c>
      <c r="B184" s="82" t="s">
        <v>26</v>
      </c>
      <c r="C184" s="83" t="s">
        <v>548</v>
      </c>
      <c r="D184" s="82" t="s">
        <v>540</v>
      </c>
      <c r="E184" s="92">
        <v>1.760416666666667</v>
      </c>
      <c r="F184" s="82" t="s">
        <v>31</v>
      </c>
      <c r="G184" s="84">
        <v>35</v>
      </c>
      <c r="H184" s="85">
        <v>409</v>
      </c>
    </row>
    <row r="185" spans="1:8" ht="19.8" customHeight="1" x14ac:dyDescent="0.3">
      <c r="A185" s="91">
        <v>45986</v>
      </c>
      <c r="B185" s="82" t="s">
        <v>26</v>
      </c>
      <c r="C185" s="83" t="s">
        <v>543</v>
      </c>
      <c r="D185" s="82" t="s">
        <v>540</v>
      </c>
      <c r="E185" s="92">
        <v>1.8159722222222221</v>
      </c>
      <c r="F185" s="82" t="s">
        <v>31</v>
      </c>
      <c r="G185" s="84">
        <v>20</v>
      </c>
      <c r="H185" s="85">
        <v>409</v>
      </c>
    </row>
    <row r="186" spans="1:8" ht="19.8" customHeight="1" x14ac:dyDescent="0.3">
      <c r="A186" s="91">
        <v>45986</v>
      </c>
      <c r="B186" s="82" t="s">
        <v>36</v>
      </c>
      <c r="C186" s="83" t="s">
        <v>552</v>
      </c>
      <c r="D186" s="82" t="s">
        <v>540</v>
      </c>
      <c r="E186" s="92">
        <v>1.427083333333333</v>
      </c>
      <c r="F186" s="82" t="s">
        <v>41</v>
      </c>
      <c r="G186" s="84">
        <v>9</v>
      </c>
      <c r="H186" s="85">
        <v>429</v>
      </c>
    </row>
    <row r="187" spans="1:8" ht="19.8" customHeight="1" x14ac:dyDescent="0.3">
      <c r="A187" s="91">
        <v>45986</v>
      </c>
      <c r="B187" s="82" t="s">
        <v>36</v>
      </c>
      <c r="C187" s="83" t="s">
        <v>553</v>
      </c>
      <c r="D187" s="82" t="s">
        <v>540</v>
      </c>
      <c r="E187" s="92">
        <v>1.6875</v>
      </c>
      <c r="F187" s="82" t="s">
        <v>41</v>
      </c>
      <c r="G187" s="84">
        <v>9</v>
      </c>
      <c r="H187" s="85">
        <v>429</v>
      </c>
    </row>
    <row r="188" spans="1:8" ht="19.8" customHeight="1" x14ac:dyDescent="0.3">
      <c r="A188" s="91">
        <v>45986</v>
      </c>
      <c r="B188" s="82" t="s">
        <v>36</v>
      </c>
      <c r="C188" s="83" t="s">
        <v>554</v>
      </c>
      <c r="D188" s="82" t="s">
        <v>540</v>
      </c>
      <c r="E188" s="92">
        <v>1.375</v>
      </c>
      <c r="F188" s="82" t="s">
        <v>41</v>
      </c>
      <c r="G188" s="84">
        <v>9</v>
      </c>
      <c r="H188" s="85">
        <v>429</v>
      </c>
    </row>
    <row r="189" spans="1:8" ht="19.8" customHeight="1" x14ac:dyDescent="0.3">
      <c r="A189" s="91">
        <v>45986</v>
      </c>
      <c r="B189" s="82" t="s">
        <v>48</v>
      </c>
      <c r="C189" s="83" t="s">
        <v>567</v>
      </c>
      <c r="D189" s="82" t="s">
        <v>540</v>
      </c>
      <c r="E189" s="92">
        <v>1.166666666666667</v>
      </c>
      <c r="F189" s="82" t="s">
        <v>50</v>
      </c>
      <c r="G189" s="84">
        <v>9</v>
      </c>
      <c r="H189" s="85">
        <v>462</v>
      </c>
    </row>
    <row r="190" spans="1:8" ht="19.8" customHeight="1" x14ac:dyDescent="0.3">
      <c r="A190" s="91">
        <v>45986</v>
      </c>
      <c r="B190" s="82" t="s">
        <v>36</v>
      </c>
      <c r="C190" s="83" t="s">
        <v>551</v>
      </c>
      <c r="D190" s="82" t="s">
        <v>540</v>
      </c>
      <c r="E190" s="92">
        <v>1.5</v>
      </c>
      <c r="F190" s="82" t="s">
        <v>41</v>
      </c>
      <c r="G190" s="84">
        <v>9</v>
      </c>
      <c r="H190" s="85">
        <v>469</v>
      </c>
    </row>
    <row r="191" spans="1:8" ht="19.8" customHeight="1" x14ac:dyDescent="0.3">
      <c r="A191" s="91">
        <v>45986</v>
      </c>
      <c r="B191" s="82" t="s">
        <v>36</v>
      </c>
      <c r="C191" s="83" t="s">
        <v>549</v>
      </c>
      <c r="D191" s="82" t="s">
        <v>540</v>
      </c>
      <c r="E191" s="92">
        <v>1.305555555555556</v>
      </c>
      <c r="F191" s="82" t="s">
        <v>43</v>
      </c>
      <c r="G191" s="84">
        <v>9</v>
      </c>
      <c r="H191" s="85">
        <v>479</v>
      </c>
    </row>
    <row r="192" spans="1:8" ht="19.8" customHeight="1" x14ac:dyDescent="0.3">
      <c r="A192" s="91">
        <v>45986</v>
      </c>
      <c r="B192" s="82" t="s">
        <v>36</v>
      </c>
      <c r="C192" s="83" t="s">
        <v>550</v>
      </c>
      <c r="D192" s="82" t="s">
        <v>540</v>
      </c>
      <c r="E192" s="92">
        <v>1.8263888888888891</v>
      </c>
      <c r="F192" s="82" t="s">
        <v>43</v>
      </c>
      <c r="G192" s="84">
        <v>1</v>
      </c>
      <c r="H192" s="85">
        <v>479</v>
      </c>
    </row>
    <row r="193" spans="1:8" ht="19.8" customHeight="1" x14ac:dyDescent="0.3">
      <c r="A193" s="91">
        <v>45986</v>
      </c>
      <c r="B193" s="82" t="s">
        <v>36</v>
      </c>
      <c r="C193" s="83" t="s">
        <v>555</v>
      </c>
      <c r="D193" s="82" t="s">
        <v>540</v>
      </c>
      <c r="E193" s="92">
        <v>1.5659722222222221</v>
      </c>
      <c r="F193" s="82" t="s">
        <v>43</v>
      </c>
      <c r="G193" s="84">
        <v>3</v>
      </c>
      <c r="H193" s="85">
        <v>479</v>
      </c>
    </row>
    <row r="194" spans="1:8" ht="19.8" customHeight="1" x14ac:dyDescent="0.3">
      <c r="A194" s="91">
        <v>45986</v>
      </c>
      <c r="B194" s="82" t="s">
        <v>252</v>
      </c>
      <c r="C194" s="83" t="s">
        <v>609</v>
      </c>
      <c r="D194" s="82" t="s">
        <v>540</v>
      </c>
      <c r="E194" s="92">
        <v>1.6215277777777779</v>
      </c>
      <c r="F194" s="82" t="s">
        <v>34</v>
      </c>
      <c r="G194" s="84">
        <v>9</v>
      </c>
      <c r="H194" s="85">
        <v>484</v>
      </c>
    </row>
    <row r="195" spans="1:8" ht="19.8" customHeight="1" x14ac:dyDescent="0.3">
      <c r="A195" s="91">
        <v>45986</v>
      </c>
      <c r="B195" s="82" t="s">
        <v>36</v>
      </c>
      <c r="C195" s="83" t="s">
        <v>552</v>
      </c>
      <c r="D195" s="82" t="s">
        <v>540</v>
      </c>
      <c r="E195" s="92">
        <v>1.427083333333333</v>
      </c>
      <c r="F195" s="82" t="s">
        <v>43</v>
      </c>
      <c r="G195" s="84">
        <v>9</v>
      </c>
      <c r="H195" s="85">
        <v>519</v>
      </c>
    </row>
    <row r="196" spans="1:8" ht="19.8" customHeight="1" x14ac:dyDescent="0.3">
      <c r="A196" s="91">
        <v>45986</v>
      </c>
      <c r="B196" s="82" t="s">
        <v>36</v>
      </c>
      <c r="C196" s="83" t="s">
        <v>553</v>
      </c>
      <c r="D196" s="82" t="s">
        <v>540</v>
      </c>
      <c r="E196" s="92">
        <v>1.6875</v>
      </c>
      <c r="F196" s="82" t="s">
        <v>43</v>
      </c>
      <c r="G196" s="84">
        <v>9</v>
      </c>
      <c r="H196" s="85">
        <v>519</v>
      </c>
    </row>
    <row r="197" spans="1:8" ht="19.8" customHeight="1" x14ac:dyDescent="0.3">
      <c r="A197" s="91">
        <v>45986</v>
      </c>
      <c r="B197" s="82" t="s">
        <v>36</v>
      </c>
      <c r="C197" s="83" t="s">
        <v>554</v>
      </c>
      <c r="D197" s="82" t="s">
        <v>540</v>
      </c>
      <c r="E197" s="92">
        <v>1.375</v>
      </c>
      <c r="F197" s="82" t="s">
        <v>43</v>
      </c>
      <c r="G197" s="84">
        <v>9</v>
      </c>
      <c r="H197" s="85">
        <v>519</v>
      </c>
    </row>
    <row r="198" spans="1:8" ht="19.8" customHeight="1" x14ac:dyDescent="0.3">
      <c r="A198" s="91">
        <v>45986</v>
      </c>
      <c r="B198" s="82" t="s">
        <v>36</v>
      </c>
      <c r="C198" s="83" t="s">
        <v>551</v>
      </c>
      <c r="D198" s="82" t="s">
        <v>540</v>
      </c>
      <c r="E198" s="92">
        <v>1.5</v>
      </c>
      <c r="F198" s="82" t="s">
        <v>43</v>
      </c>
      <c r="G198" s="84">
        <v>9</v>
      </c>
      <c r="H198" s="85">
        <v>559</v>
      </c>
    </row>
    <row r="199" spans="1:8" ht="19.8" customHeight="1" x14ac:dyDescent="0.3">
      <c r="A199" s="91">
        <v>45986</v>
      </c>
      <c r="B199" s="82" t="s">
        <v>48</v>
      </c>
      <c r="C199" s="83" t="s">
        <v>565</v>
      </c>
      <c r="D199" s="82" t="s">
        <v>540</v>
      </c>
      <c r="E199" s="92">
        <v>1.541666666666667</v>
      </c>
      <c r="F199" s="82" t="s">
        <v>50</v>
      </c>
      <c r="G199" s="84">
        <v>9</v>
      </c>
      <c r="H199" s="85">
        <v>597</v>
      </c>
    </row>
    <row r="200" spans="1:8" ht="19.8" customHeight="1" x14ac:dyDescent="0.3">
      <c r="A200" s="91">
        <v>45986</v>
      </c>
      <c r="B200" s="82" t="s">
        <v>48</v>
      </c>
      <c r="C200" s="83" t="s">
        <v>563</v>
      </c>
      <c r="D200" s="82" t="s">
        <v>540</v>
      </c>
      <c r="E200" s="92">
        <v>1.916666666666667</v>
      </c>
      <c r="F200" s="82" t="s">
        <v>50</v>
      </c>
      <c r="G200" s="84">
        <v>9</v>
      </c>
      <c r="H200" s="85">
        <v>601</v>
      </c>
    </row>
    <row r="201" spans="1:8" ht="19.8" customHeight="1" x14ac:dyDescent="0.3">
      <c r="A201" s="91">
        <v>45986</v>
      </c>
      <c r="B201" s="82" t="s">
        <v>56</v>
      </c>
      <c r="C201" s="83" t="s">
        <v>571</v>
      </c>
      <c r="D201" s="82" t="s">
        <v>540</v>
      </c>
      <c r="E201" s="92">
        <v>1.2986111111111109</v>
      </c>
      <c r="F201" s="82" t="s">
        <v>58</v>
      </c>
      <c r="G201" s="84">
        <v>9</v>
      </c>
      <c r="H201" s="85">
        <v>661</v>
      </c>
    </row>
    <row r="202" spans="1:8" ht="19.8" customHeight="1" x14ac:dyDescent="0.3">
      <c r="A202" s="91">
        <v>45986</v>
      </c>
      <c r="B202" s="82" t="s">
        <v>56</v>
      </c>
      <c r="C202" s="83" t="s">
        <v>574</v>
      </c>
      <c r="D202" s="82" t="s">
        <v>540</v>
      </c>
      <c r="E202" s="92">
        <v>1.6840277777777779</v>
      </c>
      <c r="F202" s="82" t="s">
        <v>58</v>
      </c>
      <c r="G202" s="84">
        <v>9</v>
      </c>
      <c r="H202" s="85">
        <v>661</v>
      </c>
    </row>
    <row r="203" spans="1:8" ht="19.8" customHeight="1" x14ac:dyDescent="0.3">
      <c r="A203" s="91">
        <v>45986</v>
      </c>
      <c r="B203" s="82" t="s">
        <v>56</v>
      </c>
      <c r="C203" s="83" t="s">
        <v>594</v>
      </c>
      <c r="D203" s="82" t="s">
        <v>540</v>
      </c>
      <c r="E203" s="92">
        <v>1.552083333333333</v>
      </c>
      <c r="F203" s="82" t="s">
        <v>58</v>
      </c>
      <c r="G203" s="84">
        <v>9</v>
      </c>
      <c r="H203" s="85">
        <v>661</v>
      </c>
    </row>
    <row r="204" spans="1:8" ht="19.8" customHeight="1" x14ac:dyDescent="0.3">
      <c r="A204" s="91">
        <v>45986</v>
      </c>
      <c r="B204" s="82" t="s">
        <v>56</v>
      </c>
      <c r="C204" s="83" t="s">
        <v>576</v>
      </c>
      <c r="D204" s="82" t="s">
        <v>540</v>
      </c>
      <c r="E204" s="92">
        <v>1.4826388888888891</v>
      </c>
      <c r="F204" s="82" t="s">
        <v>58</v>
      </c>
      <c r="G204" s="84">
        <v>9</v>
      </c>
      <c r="H204" s="85">
        <v>661</v>
      </c>
    </row>
    <row r="205" spans="1:8" ht="19.8" customHeight="1" x14ac:dyDescent="0.3">
      <c r="A205" s="91">
        <v>45986</v>
      </c>
      <c r="B205" s="82" t="s">
        <v>56</v>
      </c>
      <c r="C205" s="83" t="s">
        <v>571</v>
      </c>
      <c r="D205" s="82" t="s">
        <v>540</v>
      </c>
      <c r="E205" s="92">
        <v>1.2986111111111109</v>
      </c>
      <c r="F205" s="82" t="s">
        <v>61</v>
      </c>
      <c r="G205" s="84">
        <v>9</v>
      </c>
      <c r="H205" s="85">
        <v>711</v>
      </c>
    </row>
    <row r="206" spans="1:8" ht="19.8" customHeight="1" x14ac:dyDescent="0.3">
      <c r="A206" s="91">
        <v>45986</v>
      </c>
      <c r="B206" s="82" t="s">
        <v>56</v>
      </c>
      <c r="C206" s="83" t="s">
        <v>574</v>
      </c>
      <c r="D206" s="82" t="s">
        <v>540</v>
      </c>
      <c r="E206" s="92">
        <v>1.6840277777777779</v>
      </c>
      <c r="F206" s="82" t="s">
        <v>61</v>
      </c>
      <c r="G206" s="84">
        <v>9</v>
      </c>
      <c r="H206" s="85">
        <v>711</v>
      </c>
    </row>
    <row r="207" spans="1:8" ht="19.8" customHeight="1" x14ac:dyDescent="0.3">
      <c r="A207" s="91">
        <v>45986</v>
      </c>
      <c r="B207" s="82" t="s">
        <v>56</v>
      </c>
      <c r="C207" s="83" t="s">
        <v>594</v>
      </c>
      <c r="D207" s="82" t="s">
        <v>540</v>
      </c>
      <c r="E207" s="92">
        <v>1.552083333333333</v>
      </c>
      <c r="F207" s="82" t="s">
        <v>61</v>
      </c>
      <c r="G207" s="84">
        <v>9</v>
      </c>
      <c r="H207" s="85">
        <v>711</v>
      </c>
    </row>
    <row r="208" spans="1:8" ht="19.8" customHeight="1" x14ac:dyDescent="0.3">
      <c r="A208" s="91">
        <v>45986</v>
      </c>
      <c r="B208" s="82" t="s">
        <v>56</v>
      </c>
      <c r="C208" s="83" t="s">
        <v>576</v>
      </c>
      <c r="D208" s="82" t="s">
        <v>540</v>
      </c>
      <c r="E208" s="92">
        <v>1.4826388888888891</v>
      </c>
      <c r="F208" s="82" t="s">
        <v>61</v>
      </c>
      <c r="G208" s="84">
        <v>9</v>
      </c>
      <c r="H208" s="85">
        <v>711</v>
      </c>
    </row>
    <row r="209" spans="1:8" ht="19.8" customHeight="1" x14ac:dyDescent="0.3">
      <c r="A209" s="91">
        <v>45986</v>
      </c>
      <c r="B209" s="82" t="s">
        <v>56</v>
      </c>
      <c r="C209" s="83" t="s">
        <v>575</v>
      </c>
      <c r="D209" s="82" t="s">
        <v>540</v>
      </c>
      <c r="E209" s="92">
        <v>1.836805555555556</v>
      </c>
      <c r="F209" s="82" t="s">
        <v>58</v>
      </c>
      <c r="G209" s="84">
        <v>9</v>
      </c>
      <c r="H209" s="85">
        <v>774</v>
      </c>
    </row>
    <row r="210" spans="1:8" ht="19.8" customHeight="1" x14ac:dyDescent="0.3">
      <c r="A210" s="91">
        <v>45986</v>
      </c>
      <c r="B210" s="82" t="s">
        <v>56</v>
      </c>
      <c r="C210" s="83" t="s">
        <v>575</v>
      </c>
      <c r="D210" s="82" t="s">
        <v>540</v>
      </c>
      <c r="E210" s="92">
        <v>1.836805555555556</v>
      </c>
      <c r="F210" s="82" t="s">
        <v>61</v>
      </c>
      <c r="G210" s="84">
        <v>9</v>
      </c>
      <c r="H210" s="85">
        <v>824</v>
      </c>
    </row>
    <row r="211" spans="1:8" ht="19.8" customHeight="1" x14ac:dyDescent="0.3">
      <c r="A211" s="91">
        <v>45986</v>
      </c>
      <c r="B211" s="82" t="s">
        <v>26</v>
      </c>
      <c r="C211" s="83" t="s">
        <v>545</v>
      </c>
      <c r="D211" s="82" t="s">
        <v>540</v>
      </c>
      <c r="E211" s="92">
        <v>1.447916666666667</v>
      </c>
      <c r="F211" s="82" t="s">
        <v>34</v>
      </c>
      <c r="G211" s="84">
        <v>34</v>
      </c>
      <c r="H211" s="85">
        <v>899</v>
      </c>
    </row>
    <row r="212" spans="1:8" ht="19.8" customHeight="1" x14ac:dyDescent="0.3">
      <c r="A212" s="91">
        <v>45986</v>
      </c>
      <c r="B212" s="82" t="s">
        <v>26</v>
      </c>
      <c r="C212" s="83" t="s">
        <v>548</v>
      </c>
      <c r="D212" s="82" t="s">
        <v>540</v>
      </c>
      <c r="E212" s="92">
        <v>1.760416666666667</v>
      </c>
      <c r="F212" s="82" t="s">
        <v>34</v>
      </c>
      <c r="G212" s="84">
        <v>35</v>
      </c>
      <c r="H212" s="85">
        <v>899</v>
      </c>
    </row>
    <row r="213" spans="1:8" ht="19.8" customHeight="1" x14ac:dyDescent="0.3">
      <c r="A213" s="91">
        <v>45986</v>
      </c>
      <c r="B213" s="82" t="s">
        <v>56</v>
      </c>
      <c r="C213" s="83" t="s">
        <v>577</v>
      </c>
      <c r="D213" s="82" t="s">
        <v>540</v>
      </c>
      <c r="E213" s="92">
        <v>1.760416666666667</v>
      </c>
      <c r="F213" s="82" t="s">
        <v>61</v>
      </c>
      <c r="G213" s="84">
        <v>4</v>
      </c>
      <c r="H213" s="86" t="s">
        <v>624</v>
      </c>
    </row>
    <row r="214" spans="1:8" ht="19.8" customHeight="1" x14ac:dyDescent="0.3">
      <c r="A214" s="91">
        <v>45986</v>
      </c>
      <c r="B214" s="82" t="s">
        <v>56</v>
      </c>
      <c r="C214" s="83" t="s">
        <v>579</v>
      </c>
      <c r="D214" s="82" t="s">
        <v>540</v>
      </c>
      <c r="E214" s="92">
        <v>1.5</v>
      </c>
      <c r="F214" s="82" t="s">
        <v>61</v>
      </c>
      <c r="G214" s="84">
        <v>4</v>
      </c>
      <c r="H214" s="86" t="s">
        <v>624</v>
      </c>
    </row>
    <row r="215" spans="1:8" ht="19.8" customHeight="1" x14ac:dyDescent="0.3">
      <c r="A215" s="91">
        <v>45986</v>
      </c>
      <c r="B215" s="82" t="s">
        <v>56</v>
      </c>
      <c r="C215" s="83" t="s">
        <v>569</v>
      </c>
      <c r="D215" s="82" t="s">
        <v>540</v>
      </c>
      <c r="E215" s="92">
        <v>1.8159722222222221</v>
      </c>
      <c r="F215" s="82" t="s">
        <v>61</v>
      </c>
      <c r="G215" s="84">
        <v>4</v>
      </c>
      <c r="H215" s="86" t="s">
        <v>624</v>
      </c>
    </row>
    <row r="216" spans="1:8" ht="19.8" customHeight="1" x14ac:dyDescent="0.3">
      <c r="A216" s="91">
        <v>45986</v>
      </c>
      <c r="B216" s="82" t="s">
        <v>26</v>
      </c>
      <c r="C216" s="83" t="s">
        <v>547</v>
      </c>
      <c r="D216" s="82" t="s">
        <v>540</v>
      </c>
      <c r="E216" s="92">
        <v>1.5</v>
      </c>
      <c r="F216" s="82" t="s">
        <v>34</v>
      </c>
      <c r="G216" s="84">
        <v>40</v>
      </c>
      <c r="H216" s="86" t="s">
        <v>546</v>
      </c>
    </row>
    <row r="217" spans="1:8" ht="19.8" customHeight="1" x14ac:dyDescent="0.3">
      <c r="A217" s="95">
        <v>45986</v>
      </c>
      <c r="B217" s="96" t="s">
        <v>26</v>
      </c>
      <c r="C217" s="97" t="s">
        <v>543</v>
      </c>
      <c r="D217" s="96" t="s">
        <v>540</v>
      </c>
      <c r="E217" s="98">
        <v>1.8159722222222221</v>
      </c>
      <c r="F217" s="96" t="s">
        <v>34</v>
      </c>
      <c r="G217" s="99">
        <v>20</v>
      </c>
      <c r="H217" s="100" t="s">
        <v>546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91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107" t="s">
        <v>201</v>
      </c>
      <c r="B1" s="107" t="s">
        <v>8</v>
      </c>
      <c r="C1" s="107" t="s">
        <v>9</v>
      </c>
      <c r="D1" s="107" t="s">
        <v>202</v>
      </c>
      <c r="E1" s="107" t="s">
        <v>10</v>
      </c>
      <c r="F1" s="107" t="s">
        <v>11</v>
      </c>
      <c r="G1" s="107" t="s">
        <v>12</v>
      </c>
      <c r="H1" s="107" t="s">
        <v>13</v>
      </c>
      <c r="I1" s="107" t="s">
        <v>212</v>
      </c>
    </row>
    <row r="2" spans="1:9" ht="15.6" x14ac:dyDescent="0.3">
      <c r="A2" s="108" t="s">
        <v>203</v>
      </c>
      <c r="B2" s="108" t="s">
        <v>73</v>
      </c>
      <c r="C2" s="108" t="s">
        <v>558</v>
      </c>
      <c r="D2" s="108" t="s">
        <v>540</v>
      </c>
      <c r="E2" s="108" t="s">
        <v>644</v>
      </c>
      <c r="F2" s="108" t="s">
        <v>111</v>
      </c>
      <c r="G2" s="108" t="s">
        <v>525</v>
      </c>
      <c r="H2" s="108" t="s">
        <v>559</v>
      </c>
      <c r="I2" s="108" t="s">
        <v>213</v>
      </c>
    </row>
    <row r="3" spans="1:9" ht="15.6" x14ac:dyDescent="0.3">
      <c r="A3" s="109" t="s">
        <v>203</v>
      </c>
      <c r="B3" s="109" t="s">
        <v>264</v>
      </c>
      <c r="C3" s="109" t="s">
        <v>541</v>
      </c>
      <c r="D3" s="109" t="s">
        <v>540</v>
      </c>
      <c r="E3" s="109" t="s">
        <v>526</v>
      </c>
      <c r="F3" s="109" t="s">
        <v>262</v>
      </c>
      <c r="G3" s="109" t="s">
        <v>525</v>
      </c>
      <c r="H3" s="109" t="s">
        <v>542</v>
      </c>
      <c r="I3" s="109" t="s">
        <v>224</v>
      </c>
    </row>
    <row r="4" spans="1:9" ht="15.6" x14ac:dyDescent="0.3">
      <c r="A4" s="109" t="s">
        <v>203</v>
      </c>
      <c r="B4" s="109" t="s">
        <v>26</v>
      </c>
      <c r="C4" s="109" t="s">
        <v>543</v>
      </c>
      <c r="D4" s="109" t="s">
        <v>540</v>
      </c>
      <c r="E4" s="109" t="s">
        <v>661</v>
      </c>
      <c r="F4" s="109" t="s">
        <v>28</v>
      </c>
      <c r="G4" s="109" t="s">
        <v>214</v>
      </c>
      <c r="H4" s="109" t="s">
        <v>364</v>
      </c>
      <c r="I4" s="109" t="s">
        <v>215</v>
      </c>
    </row>
    <row r="5" spans="1:9" ht="15.6" x14ac:dyDescent="0.3">
      <c r="A5" s="109" t="s">
        <v>203</v>
      </c>
      <c r="B5" s="109" t="s">
        <v>26</v>
      </c>
      <c r="C5" s="109" t="s">
        <v>545</v>
      </c>
      <c r="D5" s="109" t="s">
        <v>540</v>
      </c>
      <c r="E5" s="109" t="s">
        <v>662</v>
      </c>
      <c r="F5" s="109" t="s">
        <v>28</v>
      </c>
      <c r="G5" s="109" t="s">
        <v>520</v>
      </c>
      <c r="H5" s="109" t="s">
        <v>319</v>
      </c>
      <c r="I5" s="109" t="s">
        <v>215</v>
      </c>
    </row>
    <row r="6" spans="1:9" ht="15.6" x14ac:dyDescent="0.3">
      <c r="A6" s="109" t="s">
        <v>203</v>
      </c>
      <c r="B6" s="109" t="s">
        <v>26</v>
      </c>
      <c r="C6" s="109" t="s">
        <v>547</v>
      </c>
      <c r="D6" s="109" t="s">
        <v>540</v>
      </c>
      <c r="E6" s="109" t="s">
        <v>663</v>
      </c>
      <c r="F6" s="109" t="s">
        <v>28</v>
      </c>
      <c r="G6" s="109" t="s">
        <v>538</v>
      </c>
      <c r="H6" s="109" t="s">
        <v>319</v>
      </c>
      <c r="I6" s="109" t="s">
        <v>215</v>
      </c>
    </row>
    <row r="7" spans="1:9" ht="15.6" x14ac:dyDescent="0.3">
      <c r="A7" s="109" t="s">
        <v>203</v>
      </c>
      <c r="B7" s="109" t="s">
        <v>36</v>
      </c>
      <c r="C7" s="109" t="s">
        <v>549</v>
      </c>
      <c r="D7" s="109" t="s">
        <v>540</v>
      </c>
      <c r="E7" s="109" t="s">
        <v>664</v>
      </c>
      <c r="F7" s="109" t="s">
        <v>38</v>
      </c>
      <c r="G7" s="109" t="s">
        <v>216</v>
      </c>
      <c r="H7" s="109" t="s">
        <v>316</v>
      </c>
      <c r="I7" s="109" t="s">
        <v>215</v>
      </c>
    </row>
    <row r="8" spans="1:9" ht="15.6" x14ac:dyDescent="0.3">
      <c r="A8" s="109" t="s">
        <v>203</v>
      </c>
      <c r="B8" s="109" t="s">
        <v>36</v>
      </c>
      <c r="C8" s="109" t="s">
        <v>550</v>
      </c>
      <c r="D8" s="109" t="s">
        <v>540</v>
      </c>
      <c r="E8" s="109" t="s">
        <v>665</v>
      </c>
      <c r="F8" s="109" t="s">
        <v>38</v>
      </c>
      <c r="G8" s="109" t="s">
        <v>214</v>
      </c>
      <c r="H8" s="109" t="s">
        <v>316</v>
      </c>
      <c r="I8" s="109" t="s">
        <v>215</v>
      </c>
    </row>
    <row r="9" spans="1:9" ht="15.6" x14ac:dyDescent="0.3">
      <c r="A9" s="109" t="s">
        <v>203</v>
      </c>
      <c r="B9" s="109" t="s">
        <v>36</v>
      </c>
      <c r="C9" s="109" t="s">
        <v>551</v>
      </c>
      <c r="D9" s="109" t="s">
        <v>540</v>
      </c>
      <c r="E9" s="109" t="s">
        <v>663</v>
      </c>
      <c r="F9" s="109" t="s">
        <v>38</v>
      </c>
      <c r="G9" s="109" t="s">
        <v>216</v>
      </c>
      <c r="H9" s="109" t="s">
        <v>316</v>
      </c>
      <c r="I9" s="109" t="s">
        <v>215</v>
      </c>
    </row>
    <row r="10" spans="1:9" ht="15.6" x14ac:dyDescent="0.3">
      <c r="A10" s="109" t="s">
        <v>203</v>
      </c>
      <c r="B10" s="109" t="s">
        <v>36</v>
      </c>
      <c r="C10" s="109" t="s">
        <v>552</v>
      </c>
      <c r="D10" s="109" t="s">
        <v>540</v>
      </c>
      <c r="E10" s="109" t="s">
        <v>666</v>
      </c>
      <c r="F10" s="109" t="s">
        <v>38</v>
      </c>
      <c r="G10" s="109" t="s">
        <v>216</v>
      </c>
      <c r="H10" s="109" t="s">
        <v>316</v>
      </c>
      <c r="I10" s="109" t="s">
        <v>215</v>
      </c>
    </row>
    <row r="11" spans="1:9" ht="15.6" x14ac:dyDescent="0.3">
      <c r="A11" s="109" t="s">
        <v>203</v>
      </c>
      <c r="B11" s="109" t="s">
        <v>36</v>
      </c>
      <c r="C11" s="109" t="s">
        <v>553</v>
      </c>
      <c r="D11" s="109" t="s">
        <v>540</v>
      </c>
      <c r="E11" s="109" t="s">
        <v>667</v>
      </c>
      <c r="F11" s="109" t="s">
        <v>38</v>
      </c>
      <c r="G11" s="109" t="s">
        <v>216</v>
      </c>
      <c r="H11" s="109" t="s">
        <v>316</v>
      </c>
      <c r="I11" s="109" t="s">
        <v>215</v>
      </c>
    </row>
    <row r="12" spans="1:9" ht="15.6" x14ac:dyDescent="0.3">
      <c r="A12" s="109" t="s">
        <v>203</v>
      </c>
      <c r="B12" s="109" t="s">
        <v>36</v>
      </c>
      <c r="C12" s="109" t="s">
        <v>554</v>
      </c>
      <c r="D12" s="109" t="s">
        <v>540</v>
      </c>
      <c r="E12" s="109" t="s">
        <v>668</v>
      </c>
      <c r="F12" s="109" t="s">
        <v>38</v>
      </c>
      <c r="G12" s="109" t="s">
        <v>216</v>
      </c>
      <c r="H12" s="109" t="s">
        <v>316</v>
      </c>
      <c r="I12" s="109" t="s">
        <v>215</v>
      </c>
    </row>
    <row r="13" spans="1:9" ht="15.6" x14ac:dyDescent="0.3">
      <c r="A13" s="109" t="s">
        <v>203</v>
      </c>
      <c r="B13" s="109" t="s">
        <v>36</v>
      </c>
      <c r="C13" s="109" t="s">
        <v>555</v>
      </c>
      <c r="D13" s="109" t="s">
        <v>540</v>
      </c>
      <c r="E13" s="109" t="s">
        <v>669</v>
      </c>
      <c r="F13" s="109" t="s">
        <v>38</v>
      </c>
      <c r="G13" s="109" t="s">
        <v>216</v>
      </c>
      <c r="H13" s="109" t="s">
        <v>316</v>
      </c>
      <c r="I13" s="109" t="s">
        <v>215</v>
      </c>
    </row>
    <row r="14" spans="1:9" ht="15.6" x14ac:dyDescent="0.3">
      <c r="A14" s="109" t="s">
        <v>203</v>
      </c>
      <c r="B14" s="109" t="s">
        <v>260</v>
      </c>
      <c r="C14" s="109" t="s">
        <v>556</v>
      </c>
      <c r="D14" s="109" t="s">
        <v>540</v>
      </c>
      <c r="E14" s="109" t="s">
        <v>671</v>
      </c>
      <c r="F14" s="109" t="s">
        <v>262</v>
      </c>
      <c r="G14" s="109" t="s">
        <v>222</v>
      </c>
      <c r="H14" s="109" t="s">
        <v>557</v>
      </c>
      <c r="I14" s="109" t="s">
        <v>219</v>
      </c>
    </row>
    <row r="15" spans="1:9" ht="15.6" x14ac:dyDescent="0.3">
      <c r="A15" s="109" t="s">
        <v>203</v>
      </c>
      <c r="B15" s="109" t="s">
        <v>26</v>
      </c>
      <c r="C15" s="109" t="s">
        <v>543</v>
      </c>
      <c r="D15" s="109" t="s">
        <v>540</v>
      </c>
      <c r="E15" s="109" t="s">
        <v>661</v>
      </c>
      <c r="F15" s="109" t="s">
        <v>31</v>
      </c>
      <c r="G15" s="109" t="s">
        <v>214</v>
      </c>
      <c r="H15" s="109" t="s">
        <v>84</v>
      </c>
      <c r="I15" s="109" t="s">
        <v>215</v>
      </c>
    </row>
    <row r="16" spans="1:9" ht="15.6" x14ac:dyDescent="0.3">
      <c r="A16" s="109" t="s">
        <v>203</v>
      </c>
      <c r="B16" s="109" t="s">
        <v>36</v>
      </c>
      <c r="C16" s="109" t="s">
        <v>549</v>
      </c>
      <c r="D16" s="109" t="s">
        <v>540</v>
      </c>
      <c r="E16" s="109" t="s">
        <v>664</v>
      </c>
      <c r="F16" s="109" t="s">
        <v>41</v>
      </c>
      <c r="G16" s="109" t="s">
        <v>216</v>
      </c>
      <c r="H16" s="109" t="s">
        <v>235</v>
      </c>
      <c r="I16" s="109" t="s">
        <v>219</v>
      </c>
    </row>
    <row r="17" spans="1:9" ht="15.6" x14ac:dyDescent="0.3">
      <c r="A17" s="109" t="s">
        <v>203</v>
      </c>
      <c r="B17" s="109" t="s">
        <v>36</v>
      </c>
      <c r="C17" s="109" t="s">
        <v>550</v>
      </c>
      <c r="D17" s="109" t="s">
        <v>540</v>
      </c>
      <c r="E17" s="109" t="s">
        <v>665</v>
      </c>
      <c r="F17" s="109" t="s">
        <v>41</v>
      </c>
      <c r="G17" s="109" t="s">
        <v>214</v>
      </c>
      <c r="H17" s="109" t="s">
        <v>235</v>
      </c>
      <c r="I17" s="109" t="s">
        <v>219</v>
      </c>
    </row>
    <row r="18" spans="1:9" ht="15.6" x14ac:dyDescent="0.3">
      <c r="A18" s="109" t="s">
        <v>203</v>
      </c>
      <c r="B18" s="109" t="s">
        <v>36</v>
      </c>
      <c r="C18" s="109" t="s">
        <v>551</v>
      </c>
      <c r="D18" s="109" t="s">
        <v>540</v>
      </c>
      <c r="E18" s="109" t="s">
        <v>663</v>
      </c>
      <c r="F18" s="109" t="s">
        <v>41</v>
      </c>
      <c r="G18" s="109" t="s">
        <v>216</v>
      </c>
      <c r="H18" s="109" t="s">
        <v>235</v>
      </c>
      <c r="I18" s="109" t="s">
        <v>219</v>
      </c>
    </row>
    <row r="19" spans="1:9" ht="15.6" x14ac:dyDescent="0.3">
      <c r="A19" s="109" t="s">
        <v>203</v>
      </c>
      <c r="B19" s="109" t="s">
        <v>36</v>
      </c>
      <c r="C19" s="109" t="s">
        <v>552</v>
      </c>
      <c r="D19" s="109" t="s">
        <v>540</v>
      </c>
      <c r="E19" s="109" t="s">
        <v>666</v>
      </c>
      <c r="F19" s="109" t="s">
        <v>41</v>
      </c>
      <c r="G19" s="109" t="s">
        <v>216</v>
      </c>
      <c r="H19" s="109" t="s">
        <v>235</v>
      </c>
      <c r="I19" s="109" t="s">
        <v>219</v>
      </c>
    </row>
    <row r="20" spans="1:9" ht="15.6" x14ac:dyDescent="0.3">
      <c r="A20" s="109" t="s">
        <v>203</v>
      </c>
      <c r="B20" s="109" t="s">
        <v>36</v>
      </c>
      <c r="C20" s="109" t="s">
        <v>553</v>
      </c>
      <c r="D20" s="109" t="s">
        <v>540</v>
      </c>
      <c r="E20" s="109" t="s">
        <v>667</v>
      </c>
      <c r="F20" s="109" t="s">
        <v>41</v>
      </c>
      <c r="G20" s="109" t="s">
        <v>216</v>
      </c>
      <c r="H20" s="109" t="s">
        <v>235</v>
      </c>
      <c r="I20" s="109" t="s">
        <v>219</v>
      </c>
    </row>
    <row r="21" spans="1:9" ht="15.6" x14ac:dyDescent="0.3">
      <c r="A21" s="109" t="s">
        <v>203</v>
      </c>
      <c r="B21" s="109" t="s">
        <v>36</v>
      </c>
      <c r="C21" s="109" t="s">
        <v>554</v>
      </c>
      <c r="D21" s="109" t="s">
        <v>540</v>
      </c>
      <c r="E21" s="109" t="s">
        <v>668</v>
      </c>
      <c r="F21" s="109" t="s">
        <v>41</v>
      </c>
      <c r="G21" s="109" t="s">
        <v>216</v>
      </c>
      <c r="H21" s="109" t="s">
        <v>235</v>
      </c>
      <c r="I21" s="109" t="s">
        <v>219</v>
      </c>
    </row>
    <row r="22" spans="1:9" ht="15.6" x14ac:dyDescent="0.3">
      <c r="A22" s="109" t="s">
        <v>203</v>
      </c>
      <c r="B22" s="109" t="s">
        <v>36</v>
      </c>
      <c r="C22" s="109" t="s">
        <v>555</v>
      </c>
      <c r="D22" s="109" t="s">
        <v>540</v>
      </c>
      <c r="E22" s="109" t="s">
        <v>669</v>
      </c>
      <c r="F22" s="109" t="s">
        <v>41</v>
      </c>
      <c r="G22" s="109" t="s">
        <v>216</v>
      </c>
      <c r="H22" s="109" t="s">
        <v>235</v>
      </c>
      <c r="I22" s="109" t="s">
        <v>219</v>
      </c>
    </row>
    <row r="23" spans="1:9" ht="15.6" x14ac:dyDescent="0.3">
      <c r="A23" s="109" t="s">
        <v>203</v>
      </c>
      <c r="B23" s="109" t="s">
        <v>26</v>
      </c>
      <c r="C23" s="109" t="s">
        <v>545</v>
      </c>
      <c r="D23" s="109" t="s">
        <v>540</v>
      </c>
      <c r="E23" s="109" t="s">
        <v>662</v>
      </c>
      <c r="F23" s="109" t="s">
        <v>31</v>
      </c>
      <c r="G23" s="109" t="s">
        <v>520</v>
      </c>
      <c r="H23" s="109" t="s">
        <v>365</v>
      </c>
      <c r="I23" s="109" t="s">
        <v>215</v>
      </c>
    </row>
    <row r="24" spans="1:9" ht="15.6" x14ac:dyDescent="0.3">
      <c r="A24" s="109" t="s">
        <v>203</v>
      </c>
      <c r="B24" s="109" t="s">
        <v>26</v>
      </c>
      <c r="C24" s="109" t="s">
        <v>547</v>
      </c>
      <c r="D24" s="109" t="s">
        <v>540</v>
      </c>
      <c r="E24" s="109" t="s">
        <v>663</v>
      </c>
      <c r="F24" s="109" t="s">
        <v>31</v>
      </c>
      <c r="G24" s="109" t="s">
        <v>538</v>
      </c>
      <c r="H24" s="109" t="s">
        <v>365</v>
      </c>
      <c r="I24" s="109" t="s">
        <v>215</v>
      </c>
    </row>
    <row r="25" spans="1:9" ht="15.6" x14ac:dyDescent="0.3">
      <c r="A25" s="109" t="s">
        <v>203</v>
      </c>
      <c r="B25" s="109" t="s">
        <v>36</v>
      </c>
      <c r="C25" s="109" t="s">
        <v>549</v>
      </c>
      <c r="D25" s="109" t="s">
        <v>540</v>
      </c>
      <c r="E25" s="109" t="s">
        <v>664</v>
      </c>
      <c r="F25" s="109" t="s">
        <v>43</v>
      </c>
      <c r="G25" s="109" t="s">
        <v>216</v>
      </c>
      <c r="H25" s="109" t="s">
        <v>321</v>
      </c>
      <c r="I25" s="109" t="s">
        <v>224</v>
      </c>
    </row>
    <row r="26" spans="1:9" ht="15.6" x14ac:dyDescent="0.3">
      <c r="A26" s="109" t="s">
        <v>203</v>
      </c>
      <c r="B26" s="109" t="s">
        <v>36</v>
      </c>
      <c r="C26" s="109" t="s">
        <v>550</v>
      </c>
      <c r="D26" s="109" t="s">
        <v>540</v>
      </c>
      <c r="E26" s="109" t="s">
        <v>665</v>
      </c>
      <c r="F26" s="109" t="s">
        <v>43</v>
      </c>
      <c r="G26" s="109" t="s">
        <v>214</v>
      </c>
      <c r="H26" s="109" t="s">
        <v>321</v>
      </c>
      <c r="I26" s="109" t="s">
        <v>224</v>
      </c>
    </row>
    <row r="27" spans="1:9" ht="15.6" x14ac:dyDescent="0.3">
      <c r="A27" s="109" t="s">
        <v>203</v>
      </c>
      <c r="B27" s="109" t="s">
        <v>36</v>
      </c>
      <c r="C27" s="109" t="s">
        <v>551</v>
      </c>
      <c r="D27" s="109" t="s">
        <v>540</v>
      </c>
      <c r="E27" s="109" t="s">
        <v>663</v>
      </c>
      <c r="F27" s="109" t="s">
        <v>43</v>
      </c>
      <c r="G27" s="109" t="s">
        <v>216</v>
      </c>
      <c r="H27" s="109" t="s">
        <v>321</v>
      </c>
      <c r="I27" s="109" t="s">
        <v>224</v>
      </c>
    </row>
    <row r="28" spans="1:9" ht="15.6" x14ac:dyDescent="0.3">
      <c r="A28" s="109" t="s">
        <v>203</v>
      </c>
      <c r="B28" s="109" t="s">
        <v>36</v>
      </c>
      <c r="C28" s="109" t="s">
        <v>552</v>
      </c>
      <c r="D28" s="109" t="s">
        <v>540</v>
      </c>
      <c r="E28" s="109" t="s">
        <v>666</v>
      </c>
      <c r="F28" s="109" t="s">
        <v>43</v>
      </c>
      <c r="G28" s="109" t="s">
        <v>216</v>
      </c>
      <c r="H28" s="109" t="s">
        <v>321</v>
      </c>
      <c r="I28" s="109" t="s">
        <v>224</v>
      </c>
    </row>
    <row r="29" spans="1:9" ht="15.6" x14ac:dyDescent="0.3">
      <c r="A29" s="109" t="s">
        <v>203</v>
      </c>
      <c r="B29" s="109" t="s">
        <v>36</v>
      </c>
      <c r="C29" s="109" t="s">
        <v>553</v>
      </c>
      <c r="D29" s="109" t="s">
        <v>540</v>
      </c>
      <c r="E29" s="109" t="s">
        <v>667</v>
      </c>
      <c r="F29" s="109" t="s">
        <v>43</v>
      </c>
      <c r="G29" s="109" t="s">
        <v>216</v>
      </c>
      <c r="H29" s="109" t="s">
        <v>321</v>
      </c>
      <c r="I29" s="109" t="s">
        <v>224</v>
      </c>
    </row>
    <row r="30" spans="1:9" ht="15.6" x14ac:dyDescent="0.3">
      <c r="A30" s="109" t="s">
        <v>203</v>
      </c>
      <c r="B30" s="109" t="s">
        <v>36</v>
      </c>
      <c r="C30" s="109" t="s">
        <v>554</v>
      </c>
      <c r="D30" s="109" t="s">
        <v>540</v>
      </c>
      <c r="E30" s="109" t="s">
        <v>668</v>
      </c>
      <c r="F30" s="109" t="s">
        <v>43</v>
      </c>
      <c r="G30" s="109" t="s">
        <v>216</v>
      </c>
      <c r="H30" s="109" t="s">
        <v>321</v>
      </c>
      <c r="I30" s="109" t="s">
        <v>224</v>
      </c>
    </row>
    <row r="31" spans="1:9" ht="15.6" x14ac:dyDescent="0.3">
      <c r="A31" s="109" t="s">
        <v>203</v>
      </c>
      <c r="B31" s="109" t="s">
        <v>36</v>
      </c>
      <c r="C31" s="109" t="s">
        <v>555</v>
      </c>
      <c r="D31" s="109" t="s">
        <v>540</v>
      </c>
      <c r="E31" s="109" t="s">
        <v>669</v>
      </c>
      <c r="F31" s="109" t="s">
        <v>43</v>
      </c>
      <c r="G31" s="109" t="s">
        <v>216</v>
      </c>
      <c r="H31" s="109" t="s">
        <v>321</v>
      </c>
      <c r="I31" s="109" t="s">
        <v>224</v>
      </c>
    </row>
    <row r="32" spans="1:9" ht="15.6" x14ac:dyDescent="0.3">
      <c r="A32" s="109" t="s">
        <v>203</v>
      </c>
      <c r="B32" s="109" t="s">
        <v>26</v>
      </c>
      <c r="C32" s="109" t="s">
        <v>547</v>
      </c>
      <c r="D32" s="109" t="s">
        <v>540</v>
      </c>
      <c r="E32" s="109" t="s">
        <v>663</v>
      </c>
      <c r="F32" s="109" t="s">
        <v>34</v>
      </c>
      <c r="G32" s="109" t="s">
        <v>538</v>
      </c>
      <c r="H32" s="109" t="s">
        <v>544</v>
      </c>
      <c r="I32" s="109" t="s">
        <v>224</v>
      </c>
    </row>
    <row r="33" spans="1:9" ht="15.6" x14ac:dyDescent="0.3">
      <c r="A33" s="109" t="s">
        <v>203</v>
      </c>
      <c r="B33" s="109" t="s">
        <v>26</v>
      </c>
      <c r="C33" s="109" t="s">
        <v>548</v>
      </c>
      <c r="D33" s="109" t="s">
        <v>540</v>
      </c>
      <c r="E33" s="109" t="s">
        <v>670</v>
      </c>
      <c r="F33" s="109" t="s">
        <v>34</v>
      </c>
      <c r="G33" s="109" t="s">
        <v>214</v>
      </c>
      <c r="H33" s="109" t="s">
        <v>544</v>
      </c>
      <c r="I33" s="109" t="s">
        <v>224</v>
      </c>
    </row>
    <row r="34" spans="1:9" ht="15.6" x14ac:dyDescent="0.3">
      <c r="A34" s="109" t="s">
        <v>203</v>
      </c>
      <c r="B34" s="109" t="s">
        <v>26</v>
      </c>
      <c r="C34" s="109" t="s">
        <v>543</v>
      </c>
      <c r="D34" s="109" t="s">
        <v>540</v>
      </c>
      <c r="E34" s="109" t="s">
        <v>661</v>
      </c>
      <c r="F34" s="109" t="s">
        <v>34</v>
      </c>
      <c r="G34" s="109" t="s">
        <v>214</v>
      </c>
      <c r="H34" s="109" t="s">
        <v>544</v>
      </c>
      <c r="I34" s="109" t="s">
        <v>224</v>
      </c>
    </row>
    <row r="35" spans="1:9" ht="15.6" x14ac:dyDescent="0.3">
      <c r="A35" s="109" t="s">
        <v>203</v>
      </c>
      <c r="B35" s="109" t="s">
        <v>48</v>
      </c>
      <c r="C35" s="109" t="s">
        <v>563</v>
      </c>
      <c r="D35" s="109" t="s">
        <v>540</v>
      </c>
      <c r="E35" s="109" t="s">
        <v>672</v>
      </c>
      <c r="F35" s="109" t="s">
        <v>50</v>
      </c>
      <c r="G35" s="109" t="s">
        <v>222</v>
      </c>
      <c r="H35" s="109" t="s">
        <v>564</v>
      </c>
      <c r="I35" s="109" t="s">
        <v>215</v>
      </c>
    </row>
    <row r="36" spans="1:9" ht="15.6" x14ac:dyDescent="0.3">
      <c r="A36" s="109" t="s">
        <v>203</v>
      </c>
      <c r="B36" s="109" t="s">
        <v>26</v>
      </c>
      <c r="C36" s="109" t="s">
        <v>545</v>
      </c>
      <c r="D36" s="109" t="s">
        <v>540</v>
      </c>
      <c r="E36" s="109" t="s">
        <v>662</v>
      </c>
      <c r="F36" s="109" t="s">
        <v>34</v>
      </c>
      <c r="G36" s="109" t="s">
        <v>520</v>
      </c>
      <c r="H36" s="109" t="s">
        <v>546</v>
      </c>
      <c r="I36" s="109" t="s">
        <v>224</v>
      </c>
    </row>
    <row r="37" spans="1:9" ht="15.6" x14ac:dyDescent="0.3">
      <c r="A37" s="109" t="s">
        <v>203</v>
      </c>
      <c r="B37" s="109" t="s">
        <v>56</v>
      </c>
      <c r="C37" s="109" t="s">
        <v>569</v>
      </c>
      <c r="D37" s="109" t="s">
        <v>540</v>
      </c>
      <c r="E37" s="109" t="s">
        <v>661</v>
      </c>
      <c r="F37" s="109" t="s">
        <v>61</v>
      </c>
      <c r="G37" s="109" t="s">
        <v>520</v>
      </c>
      <c r="H37" s="109" t="s">
        <v>570</v>
      </c>
      <c r="I37" s="109" t="s">
        <v>215</v>
      </c>
    </row>
    <row r="38" spans="1:9" ht="15.6" x14ac:dyDescent="0.3">
      <c r="A38" s="108" t="s">
        <v>217</v>
      </c>
      <c r="B38" s="108" t="s">
        <v>73</v>
      </c>
      <c r="C38" s="108" t="s">
        <v>560</v>
      </c>
      <c r="D38" s="108" t="s">
        <v>540</v>
      </c>
      <c r="E38" s="108" t="s">
        <v>650</v>
      </c>
      <c r="F38" s="108" t="s">
        <v>75</v>
      </c>
      <c r="G38" s="108"/>
      <c r="H38" s="108" t="s">
        <v>76</v>
      </c>
      <c r="I38" s="108" t="s">
        <v>213</v>
      </c>
    </row>
    <row r="39" spans="1:9" ht="15.6" x14ac:dyDescent="0.3">
      <c r="A39" s="109" t="s">
        <v>217</v>
      </c>
      <c r="B39" s="109" t="s">
        <v>36</v>
      </c>
      <c r="C39" s="109" t="s">
        <v>550</v>
      </c>
      <c r="D39" s="109" t="s">
        <v>540</v>
      </c>
      <c r="E39" s="109" t="s">
        <v>665</v>
      </c>
      <c r="F39" s="109" t="s">
        <v>43</v>
      </c>
      <c r="G39" s="109" t="s">
        <v>223</v>
      </c>
      <c r="H39" s="109" t="s">
        <v>107</v>
      </c>
      <c r="I39" s="109" t="s">
        <v>224</v>
      </c>
    </row>
    <row r="40" spans="1:9" ht="15.6" x14ac:dyDescent="0.3">
      <c r="A40" s="109" t="s">
        <v>217</v>
      </c>
      <c r="B40" s="109" t="s">
        <v>36</v>
      </c>
      <c r="C40" s="109" t="s">
        <v>551</v>
      </c>
      <c r="D40" s="109" t="s">
        <v>540</v>
      </c>
      <c r="E40" s="109" t="s">
        <v>663</v>
      </c>
      <c r="F40" s="109" t="s">
        <v>43</v>
      </c>
      <c r="G40" s="109" t="s">
        <v>518</v>
      </c>
      <c r="H40" s="109" t="s">
        <v>107</v>
      </c>
      <c r="I40" s="109" t="s">
        <v>224</v>
      </c>
    </row>
    <row r="41" spans="1:9" ht="15.6" x14ac:dyDescent="0.3">
      <c r="A41" s="109" t="s">
        <v>217</v>
      </c>
      <c r="B41" s="109" t="s">
        <v>36</v>
      </c>
      <c r="C41" s="109" t="s">
        <v>553</v>
      </c>
      <c r="D41" s="109" t="s">
        <v>540</v>
      </c>
      <c r="E41" s="109" t="s">
        <v>667</v>
      </c>
      <c r="F41" s="109" t="s">
        <v>43</v>
      </c>
      <c r="G41" s="109" t="s">
        <v>223</v>
      </c>
      <c r="H41" s="109" t="s">
        <v>107</v>
      </c>
      <c r="I41" s="109" t="s">
        <v>224</v>
      </c>
    </row>
    <row r="42" spans="1:9" ht="15.6" x14ac:dyDescent="0.3">
      <c r="A42" s="109" t="s">
        <v>217</v>
      </c>
      <c r="B42" s="109" t="s">
        <v>36</v>
      </c>
      <c r="C42" s="109" t="s">
        <v>555</v>
      </c>
      <c r="D42" s="109" t="s">
        <v>540</v>
      </c>
      <c r="E42" s="109" t="s">
        <v>669</v>
      </c>
      <c r="F42" s="109" t="s">
        <v>43</v>
      </c>
      <c r="G42" s="109" t="s">
        <v>218</v>
      </c>
      <c r="H42" s="109" t="s">
        <v>107</v>
      </c>
      <c r="I42" s="109" t="s">
        <v>224</v>
      </c>
    </row>
    <row r="43" spans="1:9" ht="15.6" x14ac:dyDescent="0.3">
      <c r="A43" s="109" t="s">
        <v>217</v>
      </c>
      <c r="B43" s="109" t="s">
        <v>36</v>
      </c>
      <c r="C43" s="109" t="s">
        <v>552</v>
      </c>
      <c r="D43" s="109" t="s">
        <v>540</v>
      </c>
      <c r="E43" s="109" t="s">
        <v>666</v>
      </c>
      <c r="F43" s="109" t="s">
        <v>43</v>
      </c>
      <c r="G43" s="109" t="s">
        <v>520</v>
      </c>
      <c r="H43" s="109" t="s">
        <v>402</v>
      </c>
      <c r="I43" s="109" t="s">
        <v>219</v>
      </c>
    </row>
    <row r="44" spans="1:9" ht="15.6" x14ac:dyDescent="0.3">
      <c r="A44" s="109" t="s">
        <v>217</v>
      </c>
      <c r="B44" s="109" t="s">
        <v>36</v>
      </c>
      <c r="C44" s="109" t="s">
        <v>554</v>
      </c>
      <c r="D44" s="109" t="s">
        <v>540</v>
      </c>
      <c r="E44" s="109" t="s">
        <v>668</v>
      </c>
      <c r="F44" s="109" t="s">
        <v>43</v>
      </c>
      <c r="G44" s="109" t="s">
        <v>520</v>
      </c>
      <c r="H44" s="109" t="s">
        <v>402</v>
      </c>
      <c r="I44" s="109" t="s">
        <v>219</v>
      </c>
    </row>
    <row r="45" spans="1:9" ht="15.6" x14ac:dyDescent="0.3">
      <c r="A45" s="109" t="s">
        <v>217</v>
      </c>
      <c r="B45" s="109" t="s">
        <v>36</v>
      </c>
      <c r="C45" s="109" t="s">
        <v>549</v>
      </c>
      <c r="D45" s="109" t="s">
        <v>540</v>
      </c>
      <c r="E45" s="109" t="s">
        <v>664</v>
      </c>
      <c r="F45" s="109" t="s">
        <v>43</v>
      </c>
      <c r="G45" s="109" t="s">
        <v>520</v>
      </c>
      <c r="H45" s="109" t="s">
        <v>587</v>
      </c>
      <c r="I45" s="109" t="s">
        <v>219</v>
      </c>
    </row>
    <row r="46" spans="1:9" ht="15.6" x14ac:dyDescent="0.3">
      <c r="A46" s="109" t="s">
        <v>217</v>
      </c>
      <c r="B46" s="109" t="s">
        <v>56</v>
      </c>
      <c r="C46" s="109" t="s">
        <v>574</v>
      </c>
      <c r="D46" s="109" t="s">
        <v>540</v>
      </c>
      <c r="E46" s="109" t="s">
        <v>673</v>
      </c>
      <c r="F46" s="109" t="s">
        <v>61</v>
      </c>
      <c r="G46" s="109" t="s">
        <v>218</v>
      </c>
      <c r="H46" s="109" t="s">
        <v>591</v>
      </c>
      <c r="I46" s="109" t="s">
        <v>224</v>
      </c>
    </row>
    <row r="47" spans="1:9" ht="15.6" x14ac:dyDescent="0.3">
      <c r="A47" s="109" t="s">
        <v>217</v>
      </c>
      <c r="B47" s="109" t="s">
        <v>56</v>
      </c>
      <c r="C47" s="109" t="s">
        <v>575</v>
      </c>
      <c r="D47" s="109" t="s">
        <v>540</v>
      </c>
      <c r="E47" s="109" t="s">
        <v>674</v>
      </c>
      <c r="F47" s="109" t="s">
        <v>61</v>
      </c>
      <c r="G47" s="109" t="s">
        <v>222</v>
      </c>
      <c r="H47" s="109" t="s">
        <v>591</v>
      </c>
      <c r="I47" s="109" t="s">
        <v>224</v>
      </c>
    </row>
    <row r="48" spans="1:9" ht="15.6" x14ac:dyDescent="0.3">
      <c r="A48" s="108" t="s">
        <v>220</v>
      </c>
      <c r="B48" s="108" t="s">
        <v>73</v>
      </c>
      <c r="C48" s="108" t="s">
        <v>613</v>
      </c>
      <c r="D48" s="108" t="s">
        <v>540</v>
      </c>
      <c r="E48" s="108" t="s">
        <v>655</v>
      </c>
      <c r="F48" s="108" t="s">
        <v>111</v>
      </c>
      <c r="G48" s="108" t="s">
        <v>214</v>
      </c>
      <c r="H48" s="108" t="s">
        <v>614</v>
      </c>
      <c r="I48" s="108" t="s">
        <v>213</v>
      </c>
    </row>
    <row r="49" spans="1:9" ht="15.6" x14ac:dyDescent="0.3">
      <c r="A49" s="109" t="s">
        <v>220</v>
      </c>
      <c r="B49" s="109" t="s">
        <v>260</v>
      </c>
      <c r="C49" s="109" t="s">
        <v>607</v>
      </c>
      <c r="D49" s="109" t="s">
        <v>540</v>
      </c>
      <c r="E49" s="109" t="s">
        <v>675</v>
      </c>
      <c r="F49" s="109" t="s">
        <v>111</v>
      </c>
      <c r="G49" s="109" t="s">
        <v>222</v>
      </c>
      <c r="H49" s="109" t="s">
        <v>608</v>
      </c>
      <c r="I49" s="109" t="s">
        <v>219</v>
      </c>
    </row>
    <row r="50" spans="1:9" ht="15.6" x14ac:dyDescent="0.3">
      <c r="A50" s="109" t="s">
        <v>220</v>
      </c>
      <c r="B50" s="109" t="s">
        <v>36</v>
      </c>
      <c r="C50" s="109" t="s">
        <v>549</v>
      </c>
      <c r="D50" s="109" t="s">
        <v>540</v>
      </c>
      <c r="E50" s="109" t="s">
        <v>664</v>
      </c>
      <c r="F50" s="109" t="s">
        <v>43</v>
      </c>
      <c r="G50" s="109" t="s">
        <v>518</v>
      </c>
      <c r="H50" s="109" t="s">
        <v>603</v>
      </c>
      <c r="I50" s="109" t="s">
        <v>224</v>
      </c>
    </row>
    <row r="51" spans="1:9" ht="15.6" x14ac:dyDescent="0.3">
      <c r="A51" s="109" t="s">
        <v>220</v>
      </c>
      <c r="B51" s="109" t="s">
        <v>36</v>
      </c>
      <c r="C51" s="109" t="s">
        <v>552</v>
      </c>
      <c r="D51" s="109" t="s">
        <v>540</v>
      </c>
      <c r="E51" s="109" t="s">
        <v>666</v>
      </c>
      <c r="F51" s="109" t="s">
        <v>43</v>
      </c>
      <c r="G51" s="109" t="s">
        <v>216</v>
      </c>
      <c r="H51" s="109" t="s">
        <v>603</v>
      </c>
      <c r="I51" s="109" t="s">
        <v>224</v>
      </c>
    </row>
    <row r="52" spans="1:9" ht="15.6" x14ac:dyDescent="0.3">
      <c r="A52" s="109" t="s">
        <v>220</v>
      </c>
      <c r="B52" s="109" t="s">
        <v>36</v>
      </c>
      <c r="C52" s="109" t="s">
        <v>554</v>
      </c>
      <c r="D52" s="109" t="s">
        <v>540</v>
      </c>
      <c r="E52" s="109" t="s">
        <v>668</v>
      </c>
      <c r="F52" s="109" t="s">
        <v>43</v>
      </c>
      <c r="G52" s="109" t="s">
        <v>516</v>
      </c>
      <c r="H52" s="109" t="s">
        <v>603</v>
      </c>
      <c r="I52" s="109" t="s">
        <v>224</v>
      </c>
    </row>
    <row r="53" spans="1:9" ht="15.6" x14ac:dyDescent="0.3">
      <c r="A53" s="109" t="s">
        <v>220</v>
      </c>
      <c r="B53" s="109" t="s">
        <v>36</v>
      </c>
      <c r="C53" s="109" t="s">
        <v>555</v>
      </c>
      <c r="D53" s="109" t="s">
        <v>540</v>
      </c>
      <c r="E53" s="109" t="s">
        <v>669</v>
      </c>
      <c r="F53" s="109" t="s">
        <v>43</v>
      </c>
      <c r="G53" s="109" t="s">
        <v>517</v>
      </c>
      <c r="H53" s="109" t="s">
        <v>603</v>
      </c>
      <c r="I53" s="109" t="s">
        <v>224</v>
      </c>
    </row>
    <row r="54" spans="1:9" ht="15.6" x14ac:dyDescent="0.3">
      <c r="A54" s="109" t="s">
        <v>220</v>
      </c>
      <c r="B54" s="109" t="s">
        <v>36</v>
      </c>
      <c r="C54" s="109" t="s">
        <v>550</v>
      </c>
      <c r="D54" s="109" t="s">
        <v>540</v>
      </c>
      <c r="E54" s="109" t="s">
        <v>665</v>
      </c>
      <c r="F54" s="109" t="s">
        <v>43</v>
      </c>
      <c r="G54" s="109" t="s">
        <v>516</v>
      </c>
      <c r="H54" s="109" t="s">
        <v>30</v>
      </c>
      <c r="I54" s="109" t="s">
        <v>224</v>
      </c>
    </row>
    <row r="55" spans="1:9" ht="15.6" x14ac:dyDescent="0.3">
      <c r="A55" s="109" t="s">
        <v>220</v>
      </c>
      <c r="B55" s="109" t="s">
        <v>36</v>
      </c>
      <c r="C55" s="109" t="s">
        <v>551</v>
      </c>
      <c r="D55" s="109" t="s">
        <v>540</v>
      </c>
      <c r="E55" s="109" t="s">
        <v>663</v>
      </c>
      <c r="F55" s="109" t="s">
        <v>43</v>
      </c>
      <c r="G55" s="109" t="s">
        <v>216</v>
      </c>
      <c r="H55" s="109" t="s">
        <v>30</v>
      </c>
      <c r="I55" s="109" t="s">
        <v>224</v>
      </c>
    </row>
    <row r="56" spans="1:9" ht="15.6" x14ac:dyDescent="0.3">
      <c r="A56" s="109" t="s">
        <v>220</v>
      </c>
      <c r="B56" s="109" t="s">
        <v>252</v>
      </c>
      <c r="C56" s="109" t="s">
        <v>609</v>
      </c>
      <c r="D56" s="109" t="s">
        <v>540</v>
      </c>
      <c r="E56" s="109" t="s">
        <v>452</v>
      </c>
      <c r="F56" s="109" t="s">
        <v>34</v>
      </c>
      <c r="G56" s="109" t="s">
        <v>216</v>
      </c>
      <c r="H56" s="109" t="s">
        <v>612</v>
      </c>
      <c r="I56" s="109" t="s">
        <v>224</v>
      </c>
    </row>
    <row r="57" spans="1:9" ht="15.6" x14ac:dyDescent="0.3">
      <c r="A57" s="109" t="s">
        <v>220</v>
      </c>
      <c r="B57" s="109" t="s">
        <v>36</v>
      </c>
      <c r="C57" s="109" t="s">
        <v>553</v>
      </c>
      <c r="D57" s="109" t="s">
        <v>540</v>
      </c>
      <c r="E57" s="109" t="s">
        <v>667</v>
      </c>
      <c r="F57" s="109" t="s">
        <v>43</v>
      </c>
      <c r="G57" s="109" t="s">
        <v>216</v>
      </c>
      <c r="H57" s="109" t="s">
        <v>326</v>
      </c>
      <c r="I57" s="109" t="s">
        <v>224</v>
      </c>
    </row>
    <row r="58" spans="1:9" ht="15.6" x14ac:dyDescent="0.3">
      <c r="A58" s="109" t="s">
        <v>220</v>
      </c>
      <c r="B58" s="109" t="s">
        <v>56</v>
      </c>
      <c r="C58" s="109" t="s">
        <v>619</v>
      </c>
      <c r="D58" s="109" t="s">
        <v>540</v>
      </c>
      <c r="E58" s="109" t="s">
        <v>178</v>
      </c>
      <c r="F58" s="109" t="s">
        <v>61</v>
      </c>
      <c r="G58" s="109" t="s">
        <v>222</v>
      </c>
      <c r="H58" s="109" t="s">
        <v>621</v>
      </c>
      <c r="I58" s="109" t="s">
        <v>224</v>
      </c>
    </row>
    <row r="59" spans="1:9" ht="15.6" x14ac:dyDescent="0.3">
      <c r="A59" s="109" t="s">
        <v>220</v>
      </c>
      <c r="B59" s="109" t="s">
        <v>56</v>
      </c>
      <c r="C59" s="109" t="s">
        <v>571</v>
      </c>
      <c r="D59" s="109" t="s">
        <v>540</v>
      </c>
      <c r="E59" s="109" t="s">
        <v>676</v>
      </c>
      <c r="F59" s="109" t="s">
        <v>61</v>
      </c>
      <c r="G59" s="109" t="s">
        <v>222</v>
      </c>
      <c r="H59" s="109" t="s">
        <v>623</v>
      </c>
      <c r="I59" s="109" t="s">
        <v>224</v>
      </c>
    </row>
    <row r="60" spans="1:9" ht="15.6" x14ac:dyDescent="0.3">
      <c r="A60" s="109" t="s">
        <v>220</v>
      </c>
      <c r="B60" s="109" t="s">
        <v>56</v>
      </c>
      <c r="C60" s="109" t="s">
        <v>574</v>
      </c>
      <c r="D60" s="109" t="s">
        <v>540</v>
      </c>
      <c r="E60" s="109" t="s">
        <v>673</v>
      </c>
      <c r="F60" s="109" t="s">
        <v>61</v>
      </c>
      <c r="G60" s="109" t="s">
        <v>222</v>
      </c>
      <c r="H60" s="109" t="s">
        <v>623</v>
      </c>
      <c r="I60" s="109" t="s">
        <v>224</v>
      </c>
    </row>
    <row r="61" spans="1:9" ht="15.6" x14ac:dyDescent="0.3">
      <c r="A61" s="109" t="s">
        <v>220</v>
      </c>
      <c r="B61" s="109" t="s">
        <v>56</v>
      </c>
      <c r="C61" s="109" t="s">
        <v>575</v>
      </c>
      <c r="D61" s="109" t="s">
        <v>540</v>
      </c>
      <c r="E61" s="109" t="s">
        <v>674</v>
      </c>
      <c r="F61" s="109" t="s">
        <v>61</v>
      </c>
      <c r="G61" s="109" t="s">
        <v>222</v>
      </c>
      <c r="H61" s="109" t="s">
        <v>623</v>
      </c>
      <c r="I61" s="109" t="s">
        <v>224</v>
      </c>
    </row>
    <row r="62" spans="1:9" ht="15.6" x14ac:dyDescent="0.3">
      <c r="A62" s="109" t="s">
        <v>220</v>
      </c>
      <c r="B62" s="109" t="s">
        <v>56</v>
      </c>
      <c r="C62" s="109" t="s">
        <v>576</v>
      </c>
      <c r="D62" s="109" t="s">
        <v>540</v>
      </c>
      <c r="E62" s="109" t="s">
        <v>677</v>
      </c>
      <c r="F62" s="109" t="s">
        <v>61</v>
      </c>
      <c r="G62" s="109" t="s">
        <v>222</v>
      </c>
      <c r="H62" s="109" t="s">
        <v>623</v>
      </c>
      <c r="I62" s="109" t="s">
        <v>224</v>
      </c>
    </row>
    <row r="63" spans="1:9" ht="15.6" x14ac:dyDescent="0.3">
      <c r="A63" s="109" t="s">
        <v>220</v>
      </c>
      <c r="B63" s="109" t="s">
        <v>26</v>
      </c>
      <c r="C63" s="109" t="s">
        <v>545</v>
      </c>
      <c r="D63" s="109" t="s">
        <v>540</v>
      </c>
      <c r="E63" s="109" t="s">
        <v>662</v>
      </c>
      <c r="F63" s="109" t="s">
        <v>34</v>
      </c>
      <c r="G63" s="109" t="s">
        <v>214</v>
      </c>
      <c r="H63" s="109" t="s">
        <v>544</v>
      </c>
      <c r="I63" s="109" t="s">
        <v>224</v>
      </c>
    </row>
    <row r="64" spans="1:9" ht="15.6" x14ac:dyDescent="0.3">
      <c r="A64" s="109" t="s">
        <v>220</v>
      </c>
      <c r="B64" s="109" t="s">
        <v>26</v>
      </c>
      <c r="C64" s="109" t="s">
        <v>547</v>
      </c>
      <c r="D64" s="109" t="s">
        <v>540</v>
      </c>
      <c r="E64" s="109" t="s">
        <v>663</v>
      </c>
      <c r="F64" s="109" t="s">
        <v>34</v>
      </c>
      <c r="G64" s="109" t="s">
        <v>223</v>
      </c>
      <c r="H64" s="109" t="s">
        <v>544</v>
      </c>
      <c r="I64" s="109" t="s">
        <v>224</v>
      </c>
    </row>
    <row r="65" spans="1:9" ht="15.6" x14ac:dyDescent="0.3">
      <c r="A65" s="109" t="s">
        <v>220</v>
      </c>
      <c r="B65" s="109" t="s">
        <v>26</v>
      </c>
      <c r="C65" s="109" t="s">
        <v>548</v>
      </c>
      <c r="D65" s="109" t="s">
        <v>540</v>
      </c>
      <c r="E65" s="109" t="s">
        <v>670</v>
      </c>
      <c r="F65" s="109" t="s">
        <v>34</v>
      </c>
      <c r="G65" s="109" t="s">
        <v>223</v>
      </c>
      <c r="H65" s="109" t="s">
        <v>544</v>
      </c>
      <c r="I65" s="109" t="s">
        <v>224</v>
      </c>
    </row>
    <row r="66" spans="1:9" ht="15.6" x14ac:dyDescent="0.3">
      <c r="A66" s="109" t="s">
        <v>220</v>
      </c>
      <c r="B66" s="109" t="s">
        <v>26</v>
      </c>
      <c r="C66" s="109" t="s">
        <v>543</v>
      </c>
      <c r="D66" s="109" t="s">
        <v>540</v>
      </c>
      <c r="E66" s="109" t="s">
        <v>661</v>
      </c>
      <c r="F66" s="109" t="s">
        <v>34</v>
      </c>
      <c r="G66" s="109" t="s">
        <v>516</v>
      </c>
      <c r="H66" s="109" t="s">
        <v>544</v>
      </c>
      <c r="I66" s="109" t="s">
        <v>224</v>
      </c>
    </row>
    <row r="67" spans="1:9" ht="15.6" x14ac:dyDescent="0.3">
      <c r="A67" s="109" t="s">
        <v>220</v>
      </c>
      <c r="B67" s="109" t="s">
        <v>56</v>
      </c>
      <c r="C67" s="109" t="s">
        <v>577</v>
      </c>
      <c r="D67" s="109" t="s">
        <v>540</v>
      </c>
      <c r="E67" s="109" t="s">
        <v>670</v>
      </c>
      <c r="F67" s="109" t="s">
        <v>61</v>
      </c>
      <c r="G67" s="109" t="s">
        <v>520</v>
      </c>
      <c r="H67" s="109" t="s">
        <v>624</v>
      </c>
      <c r="I67" s="109" t="s">
        <v>219</v>
      </c>
    </row>
    <row r="68" spans="1:9" ht="15.6" x14ac:dyDescent="0.3">
      <c r="A68" s="109" t="s">
        <v>220</v>
      </c>
      <c r="B68" s="109" t="s">
        <v>56</v>
      </c>
      <c r="C68" s="109" t="s">
        <v>569</v>
      </c>
      <c r="D68" s="109" t="s">
        <v>540</v>
      </c>
      <c r="E68" s="109" t="s">
        <v>661</v>
      </c>
      <c r="F68" s="109" t="s">
        <v>61</v>
      </c>
      <c r="G68" s="109" t="s">
        <v>520</v>
      </c>
      <c r="H68" s="109" t="s">
        <v>624</v>
      </c>
      <c r="I68" s="109" t="s">
        <v>219</v>
      </c>
    </row>
    <row r="69" spans="1:9" ht="15.6" x14ac:dyDescent="0.3">
      <c r="A69" s="109" t="s">
        <v>220</v>
      </c>
      <c r="B69" s="109" t="s">
        <v>56</v>
      </c>
      <c r="C69" s="109" t="s">
        <v>579</v>
      </c>
      <c r="D69" s="109" t="s">
        <v>540</v>
      </c>
      <c r="E69" s="109" t="s">
        <v>663</v>
      </c>
      <c r="F69" s="109" t="s">
        <v>61</v>
      </c>
      <c r="G69" s="109" t="s">
        <v>520</v>
      </c>
      <c r="H69" s="109" t="s">
        <v>625</v>
      </c>
      <c r="I69" s="109" t="s">
        <v>219</v>
      </c>
    </row>
    <row r="70" spans="1:9" ht="15.6" x14ac:dyDescent="0.3">
      <c r="A70" s="108" t="s">
        <v>221</v>
      </c>
      <c r="B70" s="108" t="s">
        <v>73</v>
      </c>
      <c r="C70" s="108" t="s">
        <v>613</v>
      </c>
      <c r="D70" s="108" t="s">
        <v>540</v>
      </c>
      <c r="E70" s="108" t="s">
        <v>658</v>
      </c>
      <c r="F70" s="108" t="s">
        <v>111</v>
      </c>
      <c r="G70" s="108" t="s">
        <v>222</v>
      </c>
      <c r="H70" s="108" t="s">
        <v>637</v>
      </c>
      <c r="I70" s="108" t="s">
        <v>213</v>
      </c>
    </row>
    <row r="71" spans="1:9" ht="15.6" x14ac:dyDescent="0.3">
      <c r="A71" s="109" t="s">
        <v>221</v>
      </c>
      <c r="B71" s="109" t="s">
        <v>264</v>
      </c>
      <c r="C71" s="109" t="s">
        <v>541</v>
      </c>
      <c r="D71" s="109" t="s">
        <v>540</v>
      </c>
      <c r="E71" s="109" t="s">
        <v>183</v>
      </c>
      <c r="F71" s="109" t="s">
        <v>111</v>
      </c>
      <c r="G71" s="109" t="s">
        <v>222</v>
      </c>
      <c r="H71" s="109" t="s">
        <v>636</v>
      </c>
      <c r="I71" s="109" t="s">
        <v>224</v>
      </c>
    </row>
    <row r="72" spans="1:9" ht="15.6" x14ac:dyDescent="0.3">
      <c r="A72" s="109" t="s">
        <v>221</v>
      </c>
      <c r="B72" s="109" t="s">
        <v>36</v>
      </c>
      <c r="C72" s="109" t="s">
        <v>549</v>
      </c>
      <c r="D72" s="109" t="s">
        <v>540</v>
      </c>
      <c r="E72" s="109" t="s">
        <v>664</v>
      </c>
      <c r="F72" s="109" t="s">
        <v>41</v>
      </c>
      <c r="G72" s="109" t="s">
        <v>216</v>
      </c>
      <c r="H72" s="109" t="s">
        <v>634</v>
      </c>
      <c r="I72" s="109" t="s">
        <v>215</v>
      </c>
    </row>
    <row r="73" spans="1:9" ht="15.6" x14ac:dyDescent="0.3">
      <c r="A73" s="109" t="s">
        <v>221</v>
      </c>
      <c r="B73" s="109" t="s">
        <v>48</v>
      </c>
      <c r="C73" s="109" t="s">
        <v>567</v>
      </c>
      <c r="D73" s="109" t="s">
        <v>540</v>
      </c>
      <c r="E73" s="109" t="s">
        <v>678</v>
      </c>
      <c r="F73" s="109" t="s">
        <v>50</v>
      </c>
      <c r="G73" s="109" t="s">
        <v>222</v>
      </c>
      <c r="H73" s="109" t="s">
        <v>641</v>
      </c>
      <c r="I73" s="109" t="s">
        <v>219</v>
      </c>
    </row>
    <row r="74" spans="1:9" ht="15.6" x14ac:dyDescent="0.3">
      <c r="A74" s="109" t="s">
        <v>221</v>
      </c>
      <c r="B74" s="109" t="s">
        <v>36</v>
      </c>
      <c r="C74" s="109" t="s">
        <v>549</v>
      </c>
      <c r="D74" s="109" t="s">
        <v>540</v>
      </c>
      <c r="E74" s="109" t="s">
        <v>664</v>
      </c>
      <c r="F74" s="109" t="s">
        <v>43</v>
      </c>
      <c r="G74" s="109" t="s">
        <v>216</v>
      </c>
      <c r="H74" s="109" t="s">
        <v>635</v>
      </c>
      <c r="I74" s="109" t="s">
        <v>224</v>
      </c>
    </row>
    <row r="75" spans="1:9" ht="15.6" x14ac:dyDescent="0.3">
      <c r="A75" s="109" t="s">
        <v>221</v>
      </c>
      <c r="B75" s="109" t="s">
        <v>36</v>
      </c>
      <c r="C75" s="109" t="s">
        <v>550</v>
      </c>
      <c r="D75" s="109" t="s">
        <v>540</v>
      </c>
      <c r="E75" s="109" t="s">
        <v>665</v>
      </c>
      <c r="F75" s="109" t="s">
        <v>43</v>
      </c>
      <c r="G75" s="109" t="s">
        <v>517</v>
      </c>
      <c r="H75" s="109" t="s">
        <v>635</v>
      </c>
      <c r="I75" s="109" t="s">
        <v>224</v>
      </c>
    </row>
    <row r="76" spans="1:9" ht="15.6" x14ac:dyDescent="0.3">
      <c r="A76" s="109" t="s">
        <v>221</v>
      </c>
      <c r="B76" s="109" t="s">
        <v>36</v>
      </c>
      <c r="C76" s="109" t="s">
        <v>555</v>
      </c>
      <c r="D76" s="109" t="s">
        <v>540</v>
      </c>
      <c r="E76" s="109" t="s">
        <v>669</v>
      </c>
      <c r="F76" s="109" t="s">
        <v>43</v>
      </c>
      <c r="G76" s="109" t="s">
        <v>516</v>
      </c>
      <c r="H76" s="109" t="s">
        <v>635</v>
      </c>
      <c r="I76" s="109" t="s">
        <v>224</v>
      </c>
    </row>
    <row r="77" spans="1:9" ht="15.6" x14ac:dyDescent="0.3">
      <c r="A77" s="109" t="s">
        <v>221</v>
      </c>
      <c r="B77" s="109" t="s">
        <v>252</v>
      </c>
      <c r="C77" s="109" t="s">
        <v>609</v>
      </c>
      <c r="D77" s="109" t="s">
        <v>540</v>
      </c>
      <c r="E77" s="109" t="s">
        <v>679</v>
      </c>
      <c r="F77" s="109" t="s">
        <v>34</v>
      </c>
      <c r="G77" s="109" t="s">
        <v>216</v>
      </c>
      <c r="H77" s="109" t="s">
        <v>640</v>
      </c>
      <c r="I77" s="109" t="s">
        <v>224</v>
      </c>
    </row>
    <row r="78" spans="1:9" ht="15.6" x14ac:dyDescent="0.3">
      <c r="A78" s="109" t="s">
        <v>221</v>
      </c>
      <c r="B78" s="109" t="s">
        <v>36</v>
      </c>
      <c r="C78" s="109" t="s">
        <v>552</v>
      </c>
      <c r="D78" s="109" t="s">
        <v>540</v>
      </c>
      <c r="E78" s="109" t="s">
        <v>666</v>
      </c>
      <c r="F78" s="109" t="s">
        <v>43</v>
      </c>
      <c r="G78" s="109" t="s">
        <v>216</v>
      </c>
      <c r="H78" s="109" t="s">
        <v>603</v>
      </c>
      <c r="I78" s="109" t="s">
        <v>224</v>
      </c>
    </row>
    <row r="79" spans="1:9" ht="15.6" x14ac:dyDescent="0.3">
      <c r="A79" s="109" t="s">
        <v>221</v>
      </c>
      <c r="B79" s="109" t="s">
        <v>36</v>
      </c>
      <c r="C79" s="109" t="s">
        <v>553</v>
      </c>
      <c r="D79" s="109" t="s">
        <v>540</v>
      </c>
      <c r="E79" s="109" t="s">
        <v>667</v>
      </c>
      <c r="F79" s="109" t="s">
        <v>43</v>
      </c>
      <c r="G79" s="109" t="s">
        <v>216</v>
      </c>
      <c r="H79" s="109" t="s">
        <v>603</v>
      </c>
      <c r="I79" s="109" t="s">
        <v>224</v>
      </c>
    </row>
    <row r="80" spans="1:9" ht="15.6" x14ac:dyDescent="0.3">
      <c r="A80" s="109" t="s">
        <v>221</v>
      </c>
      <c r="B80" s="109" t="s">
        <v>36</v>
      </c>
      <c r="C80" s="109" t="s">
        <v>554</v>
      </c>
      <c r="D80" s="109" t="s">
        <v>540</v>
      </c>
      <c r="E80" s="109" t="s">
        <v>668</v>
      </c>
      <c r="F80" s="109" t="s">
        <v>43</v>
      </c>
      <c r="G80" s="109" t="s">
        <v>216</v>
      </c>
      <c r="H80" s="109" t="s">
        <v>603</v>
      </c>
      <c r="I80" s="109" t="s">
        <v>224</v>
      </c>
    </row>
    <row r="81" spans="1:9" ht="15.6" x14ac:dyDescent="0.3">
      <c r="A81" s="109" t="s">
        <v>221</v>
      </c>
      <c r="B81" s="109" t="s">
        <v>36</v>
      </c>
      <c r="C81" s="109" t="s">
        <v>551</v>
      </c>
      <c r="D81" s="109" t="s">
        <v>540</v>
      </c>
      <c r="E81" s="109" t="s">
        <v>663</v>
      </c>
      <c r="F81" s="109" t="s">
        <v>43</v>
      </c>
      <c r="G81" s="109" t="s">
        <v>216</v>
      </c>
      <c r="H81" s="109" t="s">
        <v>30</v>
      </c>
      <c r="I81" s="109" t="s">
        <v>224</v>
      </c>
    </row>
    <row r="82" spans="1:9" ht="15.6" x14ac:dyDescent="0.3">
      <c r="A82" s="109" t="s">
        <v>221</v>
      </c>
      <c r="B82" s="109" t="s">
        <v>56</v>
      </c>
      <c r="C82" s="109" t="s">
        <v>571</v>
      </c>
      <c r="D82" s="109" t="s">
        <v>540</v>
      </c>
      <c r="E82" s="109" t="s">
        <v>676</v>
      </c>
      <c r="F82" s="109" t="s">
        <v>61</v>
      </c>
      <c r="G82" s="109" t="s">
        <v>222</v>
      </c>
      <c r="H82" s="109" t="s">
        <v>623</v>
      </c>
      <c r="I82" s="109" t="s">
        <v>224</v>
      </c>
    </row>
    <row r="83" spans="1:9" ht="15.6" x14ac:dyDescent="0.3">
      <c r="A83" s="109" t="s">
        <v>221</v>
      </c>
      <c r="B83" s="109" t="s">
        <v>56</v>
      </c>
      <c r="C83" s="109" t="s">
        <v>574</v>
      </c>
      <c r="D83" s="109" t="s">
        <v>540</v>
      </c>
      <c r="E83" s="109" t="s">
        <v>673</v>
      </c>
      <c r="F83" s="109" t="s">
        <v>61</v>
      </c>
      <c r="G83" s="109" t="s">
        <v>222</v>
      </c>
      <c r="H83" s="109" t="s">
        <v>623</v>
      </c>
      <c r="I83" s="109" t="s">
        <v>224</v>
      </c>
    </row>
    <row r="84" spans="1:9" ht="15.6" x14ac:dyDescent="0.3">
      <c r="A84" s="109" t="s">
        <v>221</v>
      </c>
      <c r="B84" s="109" t="s">
        <v>56</v>
      </c>
      <c r="C84" s="109" t="s">
        <v>594</v>
      </c>
      <c r="D84" s="109" t="s">
        <v>540</v>
      </c>
      <c r="E84" s="109" t="s">
        <v>680</v>
      </c>
      <c r="F84" s="109" t="s">
        <v>61</v>
      </c>
      <c r="G84" s="109" t="s">
        <v>222</v>
      </c>
      <c r="H84" s="109" t="s">
        <v>623</v>
      </c>
      <c r="I84" s="109" t="s">
        <v>224</v>
      </c>
    </row>
    <row r="85" spans="1:9" ht="15.6" x14ac:dyDescent="0.3">
      <c r="A85" s="109" t="s">
        <v>221</v>
      </c>
      <c r="B85" s="109" t="s">
        <v>56</v>
      </c>
      <c r="C85" s="109" t="s">
        <v>576</v>
      </c>
      <c r="D85" s="109" t="s">
        <v>540</v>
      </c>
      <c r="E85" s="109" t="s">
        <v>677</v>
      </c>
      <c r="F85" s="109" t="s">
        <v>61</v>
      </c>
      <c r="G85" s="109" t="s">
        <v>222</v>
      </c>
      <c r="H85" s="109" t="s">
        <v>623</v>
      </c>
      <c r="I85" s="109" t="s">
        <v>224</v>
      </c>
    </row>
    <row r="86" spans="1:9" ht="15.6" x14ac:dyDescent="0.3">
      <c r="A86" s="109" t="s">
        <v>221</v>
      </c>
      <c r="B86" s="109" t="s">
        <v>56</v>
      </c>
      <c r="C86" s="109" t="s">
        <v>575</v>
      </c>
      <c r="D86" s="109" t="s">
        <v>540</v>
      </c>
      <c r="E86" s="109" t="s">
        <v>674</v>
      </c>
      <c r="F86" s="109" t="s">
        <v>61</v>
      </c>
      <c r="G86" s="109" t="s">
        <v>222</v>
      </c>
      <c r="H86" s="109" t="s">
        <v>591</v>
      </c>
      <c r="I86" s="109" t="s">
        <v>224</v>
      </c>
    </row>
    <row r="87" spans="1:9" ht="15.6" x14ac:dyDescent="0.3">
      <c r="A87" s="109" t="s">
        <v>221</v>
      </c>
      <c r="B87" s="109" t="s">
        <v>26</v>
      </c>
      <c r="C87" s="109" t="s">
        <v>545</v>
      </c>
      <c r="D87" s="109" t="s">
        <v>540</v>
      </c>
      <c r="E87" s="109" t="s">
        <v>662</v>
      </c>
      <c r="F87" s="109" t="s">
        <v>34</v>
      </c>
      <c r="G87" s="109" t="s">
        <v>681</v>
      </c>
      <c r="H87" s="109" t="s">
        <v>544</v>
      </c>
      <c r="I87" s="109" t="s">
        <v>219</v>
      </c>
    </row>
    <row r="88" spans="1:9" ht="15.6" x14ac:dyDescent="0.3">
      <c r="A88" s="109" t="s">
        <v>221</v>
      </c>
      <c r="B88" s="109" t="s">
        <v>26</v>
      </c>
      <c r="C88" s="109" t="s">
        <v>548</v>
      </c>
      <c r="D88" s="109" t="s">
        <v>540</v>
      </c>
      <c r="E88" s="109" t="s">
        <v>670</v>
      </c>
      <c r="F88" s="109" t="s">
        <v>34</v>
      </c>
      <c r="G88" s="109" t="s">
        <v>682</v>
      </c>
      <c r="H88" s="109" t="s">
        <v>544</v>
      </c>
      <c r="I88" s="109" t="s">
        <v>219</v>
      </c>
    </row>
    <row r="89" spans="1:9" ht="15.6" x14ac:dyDescent="0.3">
      <c r="A89" s="109" t="s">
        <v>221</v>
      </c>
      <c r="B89" s="109" t="s">
        <v>56</v>
      </c>
      <c r="C89" s="109" t="s">
        <v>577</v>
      </c>
      <c r="D89" s="109" t="s">
        <v>540</v>
      </c>
      <c r="E89" s="109" t="s">
        <v>670</v>
      </c>
      <c r="F89" s="109" t="s">
        <v>61</v>
      </c>
      <c r="G89" s="109" t="s">
        <v>520</v>
      </c>
      <c r="H89" s="109" t="s">
        <v>624</v>
      </c>
      <c r="I89" s="109" t="s">
        <v>215</v>
      </c>
    </row>
    <row r="90" spans="1:9" ht="15.6" x14ac:dyDescent="0.3">
      <c r="A90" s="109" t="s">
        <v>221</v>
      </c>
      <c r="B90" s="109" t="s">
        <v>56</v>
      </c>
      <c r="C90" s="109" t="s">
        <v>579</v>
      </c>
      <c r="D90" s="109" t="s">
        <v>540</v>
      </c>
      <c r="E90" s="109" t="s">
        <v>663</v>
      </c>
      <c r="F90" s="109" t="s">
        <v>61</v>
      </c>
      <c r="G90" s="109" t="s">
        <v>520</v>
      </c>
      <c r="H90" s="109" t="s">
        <v>624</v>
      </c>
      <c r="I90" s="109" t="s">
        <v>215</v>
      </c>
    </row>
    <row r="91" spans="1:9" ht="15.6" x14ac:dyDescent="0.3">
      <c r="A91" s="109" t="s">
        <v>221</v>
      </c>
      <c r="B91" s="109" t="s">
        <v>56</v>
      </c>
      <c r="C91" s="109" t="s">
        <v>569</v>
      </c>
      <c r="D91" s="109" t="s">
        <v>540</v>
      </c>
      <c r="E91" s="109" t="s">
        <v>661</v>
      </c>
      <c r="F91" s="109" t="s">
        <v>61</v>
      </c>
      <c r="G91" s="109" t="s">
        <v>520</v>
      </c>
      <c r="H91" s="109" t="s">
        <v>624</v>
      </c>
      <c r="I91" s="109" t="s">
        <v>215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MED-CAI</vt:lpstr>
      <vt:lpstr>MED-CAI LF LEGACY</vt:lpstr>
      <vt:lpstr>MED-CAI - FOCUS MODE</vt:lpstr>
      <vt:lpstr>MED-CAI - OAL Threats Alert</vt:lpstr>
      <vt:lpstr>JED-CAI</vt:lpstr>
      <vt:lpstr>JED-CAI LF LEGACY</vt:lpstr>
      <vt:lpstr>JED-CAI - FOCUS MODE</vt:lpstr>
      <vt:lpstr>JED-CAI - OAL Threats Alert</vt:lpstr>
      <vt:lpstr>RUH-CAI</vt:lpstr>
      <vt:lpstr>RUH-CAI LF LEGACY</vt:lpstr>
      <vt:lpstr>RUH-CAI - FOCUS MODE</vt:lpstr>
      <vt:lpstr>RUH-CAI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2025-11-20T19:39:54Z</dcterms:created>
  <dcterms:modified xsi:type="dcterms:W3CDTF">2025-11-20T19:40:21Z</dcterms:modified>
</cp:coreProperties>
</file>