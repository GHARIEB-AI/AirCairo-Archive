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comments9.xml" ContentType="application/vnd.openxmlformats-officedocument.spreadsheetml.comments+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omments10.xml" ContentType="application/vnd.openxmlformats-officedocument.spreadsheetml.comments+xml"/>
  <Override PartName="/xl/tables/table20.xml" ContentType="application/vnd.openxmlformats-officedocument.spreadsheetml.table+xml"/>
  <Override PartName="/xl/comments11.xml" ContentType="application/vnd.openxmlformats-officedocument.spreadsheetml.comments+xml"/>
  <Override PartName="/xl/tables/table21.xml" ContentType="application/vnd.openxmlformats-officedocument.spreadsheetml.table+xml"/>
  <Override PartName="/xl/tables/table22.xml" ContentType="application/vnd.openxmlformats-officedocument.spreadsheetml.table+xml"/>
  <Override PartName="/xl/comments12.xml" ContentType="application/vnd.openxmlformats-officedocument.spreadsheetml.comments+xml"/>
  <Override PartName="/xl/tables/table23.xml" ContentType="application/vnd.openxmlformats-officedocument.spreadsheetml.table+xml"/>
  <Override PartName="/xl/tables/table24.xml" ContentType="application/vnd.openxmlformats-officedocument.spreadsheetml.table+xml"/>
  <Override PartName="/xl/comments13.xml" ContentType="application/vnd.openxmlformats-officedocument.spreadsheetml.comments+xml"/>
  <Override PartName="/xl/tables/table25.xml" ContentType="application/vnd.openxmlformats-officedocument.spreadsheetml.table+xml"/>
  <Override PartName="/xl/comments14.xml" ContentType="application/vnd.openxmlformats-officedocument.spreadsheetml.comments+xml"/>
  <Override PartName="/xl/tables/table26.xml" ContentType="application/vnd.openxmlformats-officedocument.spreadsheetml.table+xml"/>
  <Override PartName="/xl/tables/table27.xml" ContentType="application/vnd.openxmlformats-officedocument.spreadsheetml.table+xml"/>
  <Override PartName="/xl/comments15.xml" ContentType="application/vnd.openxmlformats-officedocument.spreadsheetml.comments+xml"/>
  <Override PartName="/xl/tables/table28.xml" ContentType="application/vnd.openxmlformats-officedocument.spreadsheetml.table+xml"/>
  <Override PartName="/xl/tables/table29.xml" ContentType="application/vnd.openxmlformats-officedocument.spreadsheetml.table+xml"/>
  <Override PartName="/xl/comments16.xml" ContentType="application/vnd.openxmlformats-officedocument.spreadsheetml.comments+xml"/>
  <Override PartName="/xl/tables/table30.xml" ContentType="application/vnd.openxmlformats-officedocument.spreadsheetml.table+xml"/>
  <Override PartName="/xl/comments17.xml" ContentType="application/vnd.openxmlformats-officedocument.spreadsheetml.comments+xml"/>
  <Override PartName="/xl/tables/table31.xml" ContentType="application/vnd.openxmlformats-officedocument.spreadsheetml.table+xml"/>
  <Override PartName="/xl/tables/table32.xml" ContentType="application/vnd.openxmlformats-officedocument.spreadsheetml.table+xml"/>
  <Override PartName="/xl/comments18.xml" ContentType="application/vnd.openxmlformats-officedocument.spreadsheetml.comments+xml"/>
  <Override PartName="/xl/tables/table33.xml" ContentType="application/vnd.openxmlformats-officedocument.spreadsheetml.table+xml"/>
  <Override PartName="/xl/tables/table34.xml" ContentType="application/vnd.openxmlformats-officedocument.spreadsheetml.table+xml"/>
  <Override PartName="/xl/comments19.xml" ContentType="application/vnd.openxmlformats-officedocument.spreadsheetml.comments+xml"/>
  <Override PartName="/xl/tables/table35.xml" ContentType="application/vnd.openxmlformats-officedocument.spreadsheetml.table+xml"/>
  <Override PartName="/xl/comments20.xml" ContentType="application/vnd.openxmlformats-officedocument.spreadsheetml.comments+xml"/>
  <Override PartName="/xl/tables/table36.xml" ContentType="application/vnd.openxmlformats-officedocument.spreadsheetml.table+xml"/>
  <Override PartName="/xl/tables/table37.xml" ContentType="application/vnd.openxmlformats-officedocument.spreadsheetml.table+xml"/>
  <Override PartName="/xl/comments21.xml" ContentType="application/vnd.openxmlformats-officedocument.spreadsheetml.comments+xml"/>
  <Override PartName="/xl/tables/table38.xml" ContentType="application/vnd.openxmlformats-officedocument.spreadsheetml.table+xml"/>
  <Override PartName="/xl/tables/table39.xml" ContentType="application/vnd.openxmlformats-officedocument.spreadsheetml.table+xml"/>
  <Override PartName="/xl/comments22.xml" ContentType="application/vnd.openxmlformats-officedocument.spreadsheetml.comments+xml"/>
  <Override PartName="/xl/tables/table40.xml" ContentType="application/vnd.openxmlformats-officedocument.spreadsheetml.table+xml"/>
  <Override PartName="/xl/comments23.xml" ContentType="application/vnd.openxmlformats-officedocument.spreadsheetml.comments+xml"/>
  <Override PartName="/xl/tables/table41.xml" ContentType="application/vnd.openxmlformats-officedocument.spreadsheetml.table+xml"/>
  <Override PartName="/xl/tables/table42.xml" ContentType="application/vnd.openxmlformats-officedocument.spreadsheetml.table+xml"/>
  <Override PartName="/xl/comments24.xml" ContentType="application/vnd.openxmlformats-officedocument.spreadsheetml.comments+xml"/>
  <Override PartName="/xl/tables/table43.xml" ContentType="application/vnd.openxmlformats-officedocument.spreadsheetml.table+xml"/>
  <Override PartName="/xl/comments25.xml" ContentType="application/vnd.openxmlformats-officedocument.spreadsheetml.comments+xml"/>
  <Override PartName="/xl/tables/table44.xml" ContentType="application/vnd.openxmlformats-officedocument.spreadsheetml.table+xml"/>
  <Override PartName="/xl/tables/table45.xml" ContentType="application/vnd.openxmlformats-officedocument.spreadsheetml.table+xml"/>
  <Override PartName="/xl/comments26.xml" ContentType="application/vnd.openxmlformats-officedocument.spreadsheetml.comments+xml"/>
  <Override PartName="/xl/tables/table46.xml" ContentType="application/vnd.openxmlformats-officedocument.spreadsheetml.table+xml"/>
  <Override PartName="/xl/tables/table47.xml" ContentType="application/vnd.openxmlformats-officedocument.spreadsheetml.table+xml"/>
  <Override PartName="/xl/comments27.xml" ContentType="application/vnd.openxmlformats-officedocument.spreadsheetml.comments+xml"/>
  <Override PartName="/xl/tables/table48.xml" ContentType="application/vnd.openxmlformats-officedocument.spreadsheetml.table+xml"/>
  <Override PartName="/xl/comments28.xml" ContentType="application/vnd.openxmlformats-officedocument.spreadsheetml.comments+xml"/>
  <Override PartName="/xl/tables/table49.xml" ContentType="application/vnd.openxmlformats-officedocument.spreadsheetml.table+xml"/>
  <Override PartName="/xl/tables/table50.xml" ContentType="application/vnd.openxmlformats-officedocument.spreadsheetml.table+xml"/>
  <Override PartName="/xl/comments29.xml" ContentType="application/vnd.openxmlformats-officedocument.spreadsheetml.comments+xml"/>
  <Override PartName="/xl/tables/table51.xml" ContentType="application/vnd.openxmlformats-officedocument.spreadsheetml.table+xml"/>
  <Override PartName="/xl/tables/table52.xml" ContentType="application/vnd.openxmlformats-officedocument.spreadsheetml.table+xml"/>
  <Override PartName="/xl/comments30.xml" ContentType="application/vnd.openxmlformats-officedocument.spreadsheetml.comments+xml"/>
  <Override PartName="/xl/tables/table53.xml" ContentType="application/vnd.openxmlformats-officedocument.spreadsheetml.table+xml"/>
  <Override PartName="/xl/comments31.xml" ContentType="application/vnd.openxmlformats-officedocument.spreadsheetml.comments+xml"/>
  <Override PartName="/xl/tables/table5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ADA958AE-57F7-4608-A40E-00B1A7F8DE82}" xr6:coauthVersionLast="47" xr6:coauthVersionMax="47" xr10:uidLastSave="{00000000-0000-0000-0000-000000000000}"/>
  <bookViews>
    <workbookView xWindow="-108" yWindow="-108" windowWidth="23256" windowHeight="12456" xr2:uid="{00000000-000D-0000-FFFF-FFFF00000000}"/>
  </bookViews>
  <sheets>
    <sheet name="CAI-MED" sheetId="1" r:id="rId1"/>
    <sheet name="CAI-MED LF LEGACY" sheetId="2" r:id="rId2"/>
    <sheet name="CAI-MED - FOCUS MODE" sheetId="3" r:id="rId3"/>
    <sheet name="CAI-MED - OAL Threats Alert" sheetId="4" r:id="rId4"/>
    <sheet name="HBE-MED" sheetId="5" r:id="rId5"/>
    <sheet name="HBE-MED LF LEGACY" sheetId="6" r:id="rId6"/>
    <sheet name="HBE-MED - FOCUS MODE" sheetId="7" r:id="rId7"/>
    <sheet name="ATZ-MED" sheetId="8" r:id="rId8"/>
    <sheet name="ATZ-MED LF LEGACY" sheetId="9" r:id="rId9"/>
    <sheet name="ATZ-MED - FOCUS MODE" sheetId="10" r:id="rId10"/>
    <sheet name="CAI-JED" sheetId="11" r:id="rId11"/>
    <sheet name="CAI-JED LF LEGACY" sheetId="12" r:id="rId12"/>
    <sheet name="CAI-JED - FOCUS MODE" sheetId="13" r:id="rId13"/>
    <sheet name="CAI-JED - OAL Threats Alert" sheetId="14" r:id="rId14"/>
    <sheet name="HBE-JED" sheetId="15" r:id="rId15"/>
    <sheet name="HBE-JED LF LEGACY" sheetId="16" r:id="rId16"/>
    <sheet name="HBE-JED - FOCUS MODE" sheetId="17" r:id="rId17"/>
    <sheet name="ATZ-JED" sheetId="18" r:id="rId18"/>
    <sheet name="ATZ-JED LF LEGACY" sheetId="19" r:id="rId19"/>
    <sheet name="ATZ-JED - FOCUS MODE" sheetId="20" r:id="rId20"/>
    <sheet name="LXR-JED" sheetId="21" r:id="rId21"/>
    <sheet name="LXR-JED LF LEGACY" sheetId="22" r:id="rId22"/>
    <sheet name="LXR-JED - FOCUS MODE" sheetId="23" r:id="rId23"/>
    <sheet name="ASW-JED" sheetId="24" r:id="rId24"/>
    <sheet name="ASW-JED LF LEGACY" sheetId="25" r:id="rId25"/>
    <sheet name="ASW-JED - FOCUS MODE" sheetId="26" r:id="rId26"/>
    <sheet name="SSH-JED" sheetId="27" r:id="rId27"/>
    <sheet name="SSH-JED LF LEGACY" sheetId="28" r:id="rId28"/>
    <sheet name="SSH-JED - FOCUS MODE" sheetId="29" r:id="rId29"/>
    <sheet name="HRG-JED" sheetId="30" r:id="rId30"/>
    <sheet name="HRG-JED LF LEGACY" sheetId="31" r:id="rId31"/>
    <sheet name="HRG-JED - FOCUS MODE" sheetId="32" r:id="rId32"/>
    <sheet name="CAI-RUH" sheetId="33" r:id="rId33"/>
    <sheet name="CAI-RUH LF LEGACY" sheetId="34" r:id="rId34"/>
    <sheet name="CAI-RUH - FOCUS MODE" sheetId="35" r:id="rId35"/>
    <sheet name="CAI-RUH - OAL Threats Alert" sheetId="36" r:id="rId36"/>
    <sheet name="ATZ-RUH" sheetId="37" r:id="rId37"/>
    <sheet name="ATZ-RUH LF LEGACY" sheetId="38" r:id="rId38"/>
    <sheet name="ATZ-RUH - FOCUS MODE" sheetId="39" r:id="rId39"/>
    <sheet name="CAI-DMM" sheetId="40" r:id="rId40"/>
    <sheet name="CAI-DMM LF LEGACY" sheetId="41" r:id="rId41"/>
    <sheet name="CAI-DMM - FOCUS MODE" sheetId="42" r:id="rId42"/>
    <sheet name="CAI-DMM - OAL Threats Alert" sheetId="43" r:id="rId43"/>
    <sheet name="ATZ-DMM" sheetId="44" r:id="rId44"/>
    <sheet name="ATZ-DMM LF LEGACY" sheetId="45" r:id="rId45"/>
    <sheet name="ATZ-DMM - FOCUS MODE" sheetId="46" r:id="rId46"/>
    <sheet name="CAI-TUU" sheetId="47" r:id="rId47"/>
    <sheet name="CAI-TUU LF LEGACY" sheetId="48" r:id="rId48"/>
    <sheet name="CAI-TUU - FOCUS MODE" sheetId="49" r:id="rId49"/>
    <sheet name="CAI-TUU - OAL Threats Alert" sheetId="50" r:id="rId50"/>
    <sheet name="ATZ-TUU" sheetId="51" r:id="rId51"/>
    <sheet name="ATZ-TUU LF LEGACY" sheetId="52" r:id="rId52"/>
    <sheet name="ATZ-TUU - FOCUS MODE" sheetId="53" r:id="rId53"/>
    <sheet name="CAI-AJF" sheetId="54" r:id="rId54"/>
    <sheet name="CAI-AJF LF LEGACY" sheetId="55" r:id="rId55"/>
    <sheet name="CAI-AJF - FOCUS MODE" sheetId="56" r:id="rId56"/>
    <sheet name="CAI-AJF - OAL Threats Alert" sheetId="57" r:id="rId57"/>
    <sheet name="ATZ-AJF" sheetId="58" r:id="rId58"/>
    <sheet name="ATZ-AJF LF LEGACY" sheetId="59" r:id="rId59"/>
    <sheet name="ATZ-AJF - FOCUS MODE" sheetId="60" r:id="rId60"/>
    <sheet name="CAI-YNB" sheetId="61" r:id="rId61"/>
    <sheet name="CAI-YNB LF LEGACY" sheetId="62" r:id="rId62"/>
    <sheet name="CAI-YNB - FOCUS MODE" sheetId="63" r:id="rId63"/>
    <sheet name="CAI-YNB - OAL Threats Alert" sheetId="64" r:id="rId64"/>
    <sheet name="CAI-AHB" sheetId="65" r:id="rId65"/>
    <sheet name="CAI-AHB LF LEGACY" sheetId="66" r:id="rId66"/>
    <sheet name="CAI-AHB - FOCUS MODE" sheetId="67" r:id="rId67"/>
    <sheet name="CAI-AHB - OAL Threats Alert" sheetId="68" r:id="rId68"/>
    <sheet name="ATZ-AHB" sheetId="69" r:id="rId69"/>
    <sheet name="ATZ-AHB LF LEGACY" sheetId="70" r:id="rId70"/>
    <sheet name="ATZ-AHB - FOCUS MODE" sheetId="71" r:id="rId71"/>
    <sheet name="CAI-ELQ" sheetId="72" r:id="rId72"/>
    <sheet name="CAI-ELQ LF LEGACY" sheetId="73" r:id="rId73"/>
    <sheet name="CAI-ELQ - FOCUS MODE" sheetId="74" r:id="rId74"/>
    <sheet name="CAI-ELQ - OAL Threats Alert" sheetId="75" r:id="rId75"/>
    <sheet name="ATZ-ELQ" sheetId="76" r:id="rId76"/>
    <sheet name="ATZ-ELQ LF LEGACY" sheetId="77" r:id="rId77"/>
    <sheet name="ATZ-ELQ - FOCUS MODE" sheetId="78" r:id="rId78"/>
    <sheet name="CAI-GIZ" sheetId="79" r:id="rId79"/>
    <sheet name="CAI-GIZ LF LEGACY" sheetId="80" r:id="rId80"/>
    <sheet name="CAI-GIZ - FOCUS MODE" sheetId="81" r:id="rId81"/>
    <sheet name="CAI-GIZ - OAL Threats Alert" sheetId="82" r:id="rId82"/>
    <sheet name="EGY_TO_KSA_ALL_ROUTES" sheetId="83" r:id="rId8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80" l="1"/>
  <c r="E6" i="80"/>
  <c r="G6" i="80"/>
  <c r="H6" i="80"/>
  <c r="I6" i="80"/>
  <c r="J6" i="80"/>
  <c r="M6" i="80"/>
  <c r="N6" i="80"/>
  <c r="O6" i="80"/>
  <c r="Q6" i="80"/>
  <c r="R6" i="80"/>
  <c r="S6" i="80"/>
  <c r="T6" i="80"/>
  <c r="U6" i="80"/>
  <c r="V6" i="80"/>
  <c r="W6" i="80"/>
  <c r="X6" i="80"/>
  <c r="Y6" i="80"/>
  <c r="Z6" i="80"/>
  <c r="AA6" i="80"/>
  <c r="AB6" i="80"/>
  <c r="AC6" i="80"/>
  <c r="AD6" i="80"/>
  <c r="AE6" i="80"/>
  <c r="AF6" i="80"/>
  <c r="AG6" i="80"/>
  <c r="AH6" i="80"/>
  <c r="AI6" i="80"/>
  <c r="AJ6" i="80"/>
  <c r="C5" i="77"/>
  <c r="E5" i="77"/>
  <c r="G5" i="77"/>
  <c r="H5" i="77"/>
  <c r="I5" i="77"/>
  <c r="J5" i="77"/>
  <c r="M5" i="77"/>
  <c r="N5" i="77"/>
  <c r="O5" i="77"/>
  <c r="Q5" i="77"/>
  <c r="R5" i="77"/>
  <c r="S5" i="77"/>
  <c r="T5" i="77"/>
  <c r="U5" i="77"/>
  <c r="V5" i="77"/>
  <c r="W5" i="77"/>
  <c r="X5" i="77"/>
  <c r="Y5" i="77"/>
  <c r="Z5" i="77"/>
  <c r="AA5" i="77"/>
  <c r="AB5" i="77"/>
  <c r="AC5" i="77"/>
  <c r="AD5" i="77"/>
  <c r="AE5" i="77"/>
  <c r="AF5" i="77"/>
  <c r="AG5" i="77"/>
  <c r="AH5" i="77"/>
  <c r="AI5" i="77"/>
  <c r="AJ5" i="77"/>
  <c r="C8" i="73"/>
  <c r="E8" i="73"/>
  <c r="G8" i="73"/>
  <c r="H8" i="73"/>
  <c r="I8" i="73"/>
  <c r="J8" i="73"/>
  <c r="M8" i="73"/>
  <c r="N8" i="73"/>
  <c r="O8" i="73"/>
  <c r="Q8" i="73"/>
  <c r="R8" i="73"/>
  <c r="S8" i="73"/>
  <c r="T8" i="73"/>
  <c r="U8" i="73"/>
  <c r="V8" i="73"/>
  <c r="W8" i="73"/>
  <c r="X8" i="73"/>
  <c r="Y8" i="73"/>
  <c r="Z8" i="73"/>
  <c r="AA8" i="73"/>
  <c r="AB8" i="73"/>
  <c r="AC8" i="73"/>
  <c r="AD8" i="73"/>
  <c r="AE8" i="73"/>
  <c r="AF8" i="73"/>
  <c r="AG8" i="73"/>
  <c r="AH8" i="73"/>
  <c r="AI8" i="73"/>
  <c r="AJ8" i="73"/>
  <c r="C4" i="70"/>
  <c r="E4" i="70"/>
  <c r="G4" i="70"/>
  <c r="H4" i="70"/>
  <c r="I4" i="70"/>
  <c r="J4" i="70"/>
  <c r="M4" i="70"/>
  <c r="N4" i="70"/>
  <c r="O4" i="70"/>
  <c r="Q4" i="70"/>
  <c r="R4" i="70"/>
  <c r="S4" i="70"/>
  <c r="T4" i="70"/>
  <c r="U4" i="70"/>
  <c r="V4" i="70"/>
  <c r="W4" i="70"/>
  <c r="X4" i="70"/>
  <c r="Y4" i="70"/>
  <c r="Z4" i="70"/>
  <c r="AA4" i="70"/>
  <c r="AB4" i="70"/>
  <c r="AC4" i="70"/>
  <c r="AD4" i="70"/>
  <c r="AE4" i="70"/>
  <c r="AF4" i="70"/>
  <c r="AG4" i="70"/>
  <c r="AH4" i="70"/>
  <c r="AI4" i="70"/>
  <c r="AJ4" i="70"/>
  <c r="C7" i="66"/>
  <c r="E7" i="66"/>
  <c r="G7" i="66"/>
  <c r="H7" i="66"/>
  <c r="I7" i="66"/>
  <c r="J7" i="66"/>
  <c r="M7" i="66"/>
  <c r="N7" i="66"/>
  <c r="O7" i="66"/>
  <c r="Q7" i="66"/>
  <c r="R7" i="66"/>
  <c r="S7" i="66"/>
  <c r="T7" i="66"/>
  <c r="U7" i="66"/>
  <c r="V7" i="66"/>
  <c r="W7" i="66"/>
  <c r="X7" i="66"/>
  <c r="Y7" i="66"/>
  <c r="Z7" i="66"/>
  <c r="AA7" i="66"/>
  <c r="AB7" i="66"/>
  <c r="AC7" i="66"/>
  <c r="AD7" i="66"/>
  <c r="AE7" i="66"/>
  <c r="AF7" i="66"/>
  <c r="AG7" i="66"/>
  <c r="AH7" i="66"/>
  <c r="AI7" i="66"/>
  <c r="AJ7" i="66"/>
  <c r="C13" i="62"/>
  <c r="E13" i="62"/>
  <c r="G13" i="62"/>
  <c r="H13" i="62"/>
  <c r="I13" i="62"/>
  <c r="J13" i="62"/>
  <c r="M13" i="62"/>
  <c r="N13" i="62"/>
  <c r="O13" i="62"/>
  <c r="Q13" i="62"/>
  <c r="R13" i="62"/>
  <c r="S13" i="62"/>
  <c r="T13" i="62"/>
  <c r="U13" i="62"/>
  <c r="V13" i="62"/>
  <c r="W13" i="62"/>
  <c r="X13" i="62"/>
  <c r="Y13" i="62"/>
  <c r="Z13" i="62"/>
  <c r="AA13" i="62"/>
  <c r="AB13" i="62"/>
  <c r="AC13" i="62"/>
  <c r="AD13" i="62"/>
  <c r="AE13" i="62"/>
  <c r="AF13" i="62"/>
  <c r="AG13" i="62"/>
  <c r="AH13" i="62"/>
  <c r="AI13" i="62"/>
  <c r="AJ13" i="62"/>
  <c r="C4" i="59"/>
  <c r="E4" i="59"/>
  <c r="G4" i="59"/>
  <c r="H4" i="59"/>
  <c r="I4" i="59"/>
  <c r="J4" i="59"/>
  <c r="M4" i="59"/>
  <c r="N4" i="59"/>
  <c r="O4" i="59"/>
  <c r="Q4" i="59"/>
  <c r="R4" i="59"/>
  <c r="S4" i="59"/>
  <c r="T4" i="59"/>
  <c r="U4" i="59"/>
  <c r="V4" i="59"/>
  <c r="W4" i="59"/>
  <c r="X4" i="59"/>
  <c r="Y4" i="59"/>
  <c r="Z4" i="59"/>
  <c r="AA4" i="59"/>
  <c r="AB4" i="59"/>
  <c r="AC4" i="59"/>
  <c r="AD4" i="59"/>
  <c r="AE4" i="59"/>
  <c r="AF4" i="59"/>
  <c r="AG4" i="59"/>
  <c r="AH4" i="59"/>
  <c r="AI4" i="59"/>
  <c r="AJ4" i="59"/>
  <c r="C7" i="55"/>
  <c r="E7" i="55"/>
  <c r="G7" i="55"/>
  <c r="H7" i="55"/>
  <c r="I7" i="55"/>
  <c r="J7" i="55"/>
  <c r="M7" i="55"/>
  <c r="N7" i="55"/>
  <c r="O7" i="55"/>
  <c r="Q7" i="55"/>
  <c r="R7" i="55"/>
  <c r="S7" i="55"/>
  <c r="T7" i="55"/>
  <c r="U7" i="55"/>
  <c r="V7" i="55"/>
  <c r="W7" i="55"/>
  <c r="X7" i="55"/>
  <c r="Y7" i="55"/>
  <c r="Z7" i="55"/>
  <c r="AA7" i="55"/>
  <c r="AB7" i="55"/>
  <c r="AC7" i="55"/>
  <c r="AD7" i="55"/>
  <c r="AE7" i="55"/>
  <c r="AF7" i="55"/>
  <c r="AG7" i="55"/>
  <c r="AH7" i="55"/>
  <c r="AI7" i="55"/>
  <c r="AJ7" i="55"/>
  <c r="C4" i="52"/>
  <c r="E4" i="52"/>
  <c r="G4" i="52"/>
  <c r="H4" i="52"/>
  <c r="I4" i="52"/>
  <c r="J4" i="52"/>
  <c r="M4" i="52"/>
  <c r="N4" i="52"/>
  <c r="O4" i="52"/>
  <c r="Q4" i="52"/>
  <c r="R4" i="52"/>
  <c r="S4" i="52"/>
  <c r="T4" i="52"/>
  <c r="U4" i="52"/>
  <c r="V4" i="52"/>
  <c r="W4" i="52"/>
  <c r="X4" i="52"/>
  <c r="Y4" i="52"/>
  <c r="Z4" i="52"/>
  <c r="AA4" i="52"/>
  <c r="AB4" i="52"/>
  <c r="AC4" i="52"/>
  <c r="AD4" i="52"/>
  <c r="AE4" i="52"/>
  <c r="AF4" i="52"/>
  <c r="AG4" i="52"/>
  <c r="AH4" i="52"/>
  <c r="AI4" i="52"/>
  <c r="AJ4" i="52"/>
  <c r="C7" i="48"/>
  <c r="E7" i="48"/>
  <c r="G7" i="48"/>
  <c r="H7" i="48"/>
  <c r="I7" i="48"/>
  <c r="J7" i="48"/>
  <c r="M7" i="48"/>
  <c r="N7" i="48"/>
  <c r="O7" i="48"/>
  <c r="Q7" i="48"/>
  <c r="R7" i="48"/>
  <c r="S7" i="48"/>
  <c r="T7" i="48"/>
  <c r="U7" i="48"/>
  <c r="V7" i="48"/>
  <c r="W7" i="48"/>
  <c r="X7" i="48"/>
  <c r="Y7" i="48"/>
  <c r="Z7" i="48"/>
  <c r="AA7" i="48"/>
  <c r="AB7" i="48"/>
  <c r="AC7" i="48"/>
  <c r="AD7" i="48"/>
  <c r="AE7" i="48"/>
  <c r="AF7" i="48"/>
  <c r="AG7" i="48"/>
  <c r="AH7" i="48"/>
  <c r="AI7" i="48"/>
  <c r="AJ7" i="48"/>
  <c r="C5" i="45"/>
  <c r="E5" i="45"/>
  <c r="G5" i="45"/>
  <c r="H5" i="45"/>
  <c r="I5" i="45"/>
  <c r="J5" i="45"/>
  <c r="M5" i="45"/>
  <c r="N5" i="45"/>
  <c r="O5" i="45"/>
  <c r="Q5" i="45"/>
  <c r="R5" i="45"/>
  <c r="S5" i="45"/>
  <c r="T5" i="45"/>
  <c r="U5" i="45"/>
  <c r="V5" i="45"/>
  <c r="W5" i="45"/>
  <c r="X5" i="45"/>
  <c r="Y5" i="45"/>
  <c r="Z5" i="45"/>
  <c r="AA5" i="45"/>
  <c r="AB5" i="45"/>
  <c r="AC5" i="45"/>
  <c r="AD5" i="45"/>
  <c r="AE5" i="45"/>
  <c r="AF5" i="45"/>
  <c r="AG5" i="45"/>
  <c r="AH5" i="45"/>
  <c r="AI5" i="45"/>
  <c r="AJ5" i="45"/>
  <c r="C9" i="41"/>
  <c r="E9" i="41"/>
  <c r="G9" i="41"/>
  <c r="H9" i="41"/>
  <c r="I9" i="41"/>
  <c r="J9" i="41"/>
  <c r="M9" i="41"/>
  <c r="N9" i="41"/>
  <c r="O9" i="41"/>
  <c r="Q9" i="41"/>
  <c r="R9" i="41"/>
  <c r="S9" i="41"/>
  <c r="T9" i="41"/>
  <c r="U9" i="41"/>
  <c r="V9" i="41"/>
  <c r="W9" i="41"/>
  <c r="X9" i="41"/>
  <c r="Y9" i="41"/>
  <c r="Z9" i="41"/>
  <c r="AA9" i="41"/>
  <c r="AB9" i="41"/>
  <c r="AC9" i="41"/>
  <c r="AD9" i="41"/>
  <c r="AE9" i="41"/>
  <c r="AF9" i="41"/>
  <c r="AG9" i="41"/>
  <c r="AH9" i="41"/>
  <c r="AI9" i="41"/>
  <c r="AJ9" i="41"/>
  <c r="C6" i="38"/>
  <c r="E6" i="38"/>
  <c r="G6" i="38"/>
  <c r="H6" i="38"/>
  <c r="I6" i="38"/>
  <c r="J6" i="38"/>
  <c r="M6" i="38"/>
  <c r="N6" i="38"/>
  <c r="O6" i="38"/>
  <c r="Q6" i="38"/>
  <c r="R6" i="38"/>
  <c r="S6" i="38"/>
  <c r="T6" i="38"/>
  <c r="U6" i="38"/>
  <c r="V6" i="38"/>
  <c r="W6" i="38"/>
  <c r="X6" i="38"/>
  <c r="Y6" i="38"/>
  <c r="Z6" i="38"/>
  <c r="AA6" i="38"/>
  <c r="AB6" i="38"/>
  <c r="AC6" i="38"/>
  <c r="AD6" i="38"/>
  <c r="AE6" i="38"/>
  <c r="AF6" i="38"/>
  <c r="AG6" i="38"/>
  <c r="AH6" i="38"/>
  <c r="AI6" i="38"/>
  <c r="AJ6" i="38"/>
  <c r="C16" i="34"/>
  <c r="E16" i="34"/>
  <c r="G16" i="34"/>
  <c r="H16" i="34"/>
  <c r="I16" i="34"/>
  <c r="J16" i="34"/>
  <c r="M16" i="34"/>
  <c r="N16" i="34"/>
  <c r="O16" i="34"/>
  <c r="Q16" i="34"/>
  <c r="R16" i="34"/>
  <c r="S16" i="34"/>
  <c r="T16" i="34"/>
  <c r="U16" i="34"/>
  <c r="V16" i="34"/>
  <c r="W16" i="34"/>
  <c r="X16" i="34"/>
  <c r="Y16" i="34"/>
  <c r="Z16" i="34"/>
  <c r="AA16" i="34"/>
  <c r="AB16" i="34"/>
  <c r="AC16" i="34"/>
  <c r="AD16" i="34"/>
  <c r="AE16" i="34"/>
  <c r="AF16" i="34"/>
  <c r="AG16" i="34"/>
  <c r="AH16" i="34"/>
  <c r="AI16" i="34"/>
  <c r="AJ16" i="34"/>
  <c r="C6" i="22"/>
  <c r="E6" i="22"/>
  <c r="G6" i="22"/>
  <c r="H6" i="22"/>
  <c r="I6" i="22"/>
  <c r="J6" i="22"/>
  <c r="M6" i="22"/>
  <c r="N6" i="22"/>
  <c r="O6" i="22"/>
  <c r="Q6" i="22"/>
  <c r="R6" i="22"/>
  <c r="S6" i="22"/>
  <c r="T6" i="22"/>
  <c r="U6" i="22"/>
  <c r="V6" i="22"/>
  <c r="W6" i="22"/>
  <c r="X6" i="22"/>
  <c r="Y6" i="22"/>
  <c r="Z6" i="22"/>
  <c r="AA6" i="22"/>
  <c r="AB6" i="22"/>
  <c r="AC6" i="22"/>
  <c r="AD6" i="22"/>
  <c r="AE6" i="22"/>
  <c r="AF6" i="22"/>
  <c r="AG6" i="22"/>
  <c r="AH6" i="22"/>
  <c r="AI6" i="22"/>
  <c r="AJ6" i="22"/>
  <c r="C24" i="19"/>
  <c r="E24" i="19"/>
  <c r="G24" i="19"/>
  <c r="H24" i="19"/>
  <c r="I24" i="19"/>
  <c r="J24" i="19"/>
  <c r="M24" i="19"/>
  <c r="N24" i="19"/>
  <c r="O24" i="19"/>
  <c r="Q24" i="19"/>
  <c r="R24" i="19"/>
  <c r="S24" i="19"/>
  <c r="T24" i="19"/>
  <c r="U24" i="19"/>
  <c r="V24" i="19"/>
  <c r="W24" i="19"/>
  <c r="X24" i="19"/>
  <c r="Y24" i="19"/>
  <c r="Z24" i="19"/>
  <c r="AA24" i="19"/>
  <c r="AB24" i="19"/>
  <c r="AC24" i="19"/>
  <c r="AD24" i="19"/>
  <c r="AE24" i="19"/>
  <c r="AF24" i="19"/>
  <c r="AG24" i="19"/>
  <c r="AH24" i="19"/>
  <c r="AI24" i="19"/>
  <c r="AJ24" i="19"/>
  <c r="C20" i="16"/>
  <c r="E20" i="16"/>
  <c r="G20" i="16"/>
  <c r="H20" i="16"/>
  <c r="I20" i="16"/>
  <c r="J20" i="16"/>
  <c r="M20" i="16"/>
  <c r="N20" i="16"/>
  <c r="O20" i="16"/>
  <c r="Q20" i="16"/>
  <c r="R20" i="16"/>
  <c r="S20" i="16"/>
  <c r="T20" i="16"/>
  <c r="U20" i="16"/>
  <c r="V20" i="16"/>
  <c r="W20" i="16"/>
  <c r="X20" i="16"/>
  <c r="Y20" i="16"/>
  <c r="Z20" i="16"/>
  <c r="AA20" i="16"/>
  <c r="AB20" i="16"/>
  <c r="AC20" i="16"/>
  <c r="AD20" i="16"/>
  <c r="AE20" i="16"/>
  <c r="AF20" i="16"/>
  <c r="AG20" i="16"/>
  <c r="AH20" i="16"/>
  <c r="AI20" i="16"/>
  <c r="AJ20" i="16"/>
  <c r="C56" i="12"/>
  <c r="E56" i="12"/>
  <c r="G56" i="12"/>
  <c r="H56" i="12"/>
  <c r="I56" i="12"/>
  <c r="J56" i="12"/>
  <c r="M56" i="12"/>
  <c r="N56" i="12"/>
  <c r="O56" i="12"/>
  <c r="Q56" i="12"/>
  <c r="R56" i="12"/>
  <c r="S56" i="12"/>
  <c r="T56" i="12"/>
  <c r="U56" i="12"/>
  <c r="V56" i="12"/>
  <c r="W56" i="12"/>
  <c r="X56" i="12"/>
  <c r="Y56" i="12"/>
  <c r="Z56" i="12"/>
  <c r="AA56" i="12"/>
  <c r="AB56" i="12"/>
  <c r="AC56" i="12"/>
  <c r="AD56" i="12"/>
  <c r="AE56" i="12"/>
  <c r="AF56" i="12"/>
  <c r="AG56" i="12"/>
  <c r="AH56" i="12"/>
  <c r="AI56" i="12"/>
  <c r="AJ56" i="12"/>
  <c r="C6" i="9"/>
  <c r="E6" i="9"/>
  <c r="G6" i="9"/>
  <c r="H6" i="9"/>
  <c r="I6" i="9"/>
  <c r="J6" i="9"/>
  <c r="M6" i="9"/>
  <c r="N6" i="9"/>
  <c r="O6" i="9"/>
  <c r="Q6" i="9"/>
  <c r="R6" i="9"/>
  <c r="S6" i="9"/>
  <c r="T6" i="9"/>
  <c r="U6" i="9"/>
  <c r="V6" i="9"/>
  <c r="W6" i="9"/>
  <c r="X6" i="9"/>
  <c r="Y6" i="9"/>
  <c r="Z6" i="9"/>
  <c r="AA6" i="9"/>
  <c r="AB6" i="9"/>
  <c r="AC6" i="9"/>
  <c r="AD6" i="9"/>
  <c r="AE6" i="9"/>
  <c r="AF6" i="9"/>
  <c r="AG6" i="9"/>
  <c r="AH6" i="9"/>
  <c r="AI6" i="9"/>
  <c r="AJ6" i="9"/>
  <c r="C8" i="6"/>
  <c r="E8" i="6"/>
  <c r="G8" i="6"/>
  <c r="H8" i="6"/>
  <c r="I8" i="6"/>
  <c r="J8" i="6"/>
  <c r="M8" i="6"/>
  <c r="N8" i="6"/>
  <c r="O8" i="6"/>
  <c r="Q8" i="6"/>
  <c r="R8" i="6"/>
  <c r="S8" i="6"/>
  <c r="T8" i="6"/>
  <c r="U8" i="6"/>
  <c r="V8" i="6"/>
  <c r="W8" i="6"/>
  <c r="X8" i="6"/>
  <c r="Y8" i="6"/>
  <c r="Z8" i="6"/>
  <c r="AA8" i="6"/>
  <c r="AB8" i="6"/>
  <c r="AC8" i="6"/>
  <c r="AD8" i="6"/>
  <c r="AE8" i="6"/>
  <c r="AF8" i="6"/>
  <c r="AG8" i="6"/>
  <c r="AH8" i="6"/>
  <c r="AI8" i="6"/>
  <c r="AJ8" i="6"/>
  <c r="C11" i="2"/>
  <c r="E11" i="2"/>
  <c r="G11" i="2"/>
  <c r="H11" i="2"/>
  <c r="I11" i="2"/>
  <c r="J11" i="2"/>
  <c r="M11" i="2"/>
  <c r="N11" i="2"/>
  <c r="O11" i="2"/>
  <c r="Q11" i="2"/>
  <c r="R11" i="2"/>
  <c r="S11" i="2"/>
  <c r="T11" i="2"/>
  <c r="U11" i="2"/>
  <c r="V11" i="2"/>
  <c r="W11" i="2"/>
  <c r="X11" i="2"/>
  <c r="Y11" i="2"/>
  <c r="Z11" i="2"/>
  <c r="AA11" i="2"/>
  <c r="AB11" i="2"/>
  <c r="AC11" i="2"/>
  <c r="AD11" i="2"/>
  <c r="AE11" i="2"/>
  <c r="AF11" i="2"/>
  <c r="AG11" i="2"/>
  <c r="AH11" i="2"/>
  <c r="AI11" i="2"/>
  <c r="AJ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0" authorId="0" shapeId="0" xr:uid="{B16872AD-ABA3-4C44-A2CC-9543E5A9E280}">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97.9%] - [</t>
        </r>
        <r>
          <rPr>
            <b/>
            <sz val="10"/>
            <color indexed="48"/>
            <rFont val="Calibri"/>
            <family val="2"/>
          </rPr>
          <t xml:space="preserve">SOLD </t>
        </r>
        <r>
          <rPr>
            <b/>
            <sz val="10"/>
            <color indexed="8"/>
            <rFont val="Calibri"/>
            <family val="2"/>
          </rPr>
          <t>» 184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V3 &amp; S2 &amp; X10 &amp; U11 &amp; O11 &amp; I10 &amp; P130 &amp; N7</t>
        </r>
      </text>
    </comment>
    <comment ref="F53" authorId="0" shapeId="0" xr:uid="{D1E9F145-45E0-43A6-BE68-7BF6549647F5}">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46]_x000D_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E46 &amp; P131</t>
        </r>
      </text>
    </comment>
    <comment ref="F67" authorId="0" shapeId="0" xr:uid="{F4455123-5B14-407E-8ACA-7A48A0EF30EC}">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X5 &amp; U11 &amp; O11 &amp; I10 &amp; P139</t>
        </r>
      </text>
    </comment>
    <comment ref="F88" authorId="0" shapeId="0" xr:uid="{BECE7DBF-CA85-4E13-ADE4-3F57D2970774}">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174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V1 &amp; G1 &amp; I9 &amp; P161 &amp; N2</t>
        </r>
      </text>
    </comment>
    <comment ref="F110" authorId="0" shapeId="0" xr:uid="{19090B6B-42A3-436F-A33C-5FED1BA13331}">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T9 &amp; X10 &amp; U10 &amp; O10 &amp; I10 &amp; P130</t>
        </r>
      </text>
    </comment>
    <comment ref="F111" authorId="0" shapeId="0" xr:uid="{27AA4D2B-AA78-48DA-91CA-A279A569F90C}">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U3 &amp; O12 &amp; I8 &amp; E65 &amp; P90 &amp; N2</t>
        </r>
      </text>
    </comment>
    <comment ref="F137" authorId="0" shapeId="0" xr:uid="{FF640AF8-BC35-414F-A3AA-877B837A5951}">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L1 &amp; O3 &amp; I8 &amp; P168</t>
        </r>
      </text>
    </comment>
    <comment ref="F169" authorId="0" shapeId="0" xr:uid="{DF88CEFF-43B6-48E0-B37F-9858B4D67D3B}">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G2 &amp; X7 &amp; U11 &amp; O11 &amp; I10 &amp; P135 &amp; N3</t>
        </r>
      </text>
    </comment>
    <comment ref="F183" authorId="0" shapeId="0" xr:uid="{BDC5179F-2210-40DC-9D57-0B577AAAD177}">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L5 &amp; X8 &amp; U11 &amp; O11 &amp; I10 &amp; P135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C8E6570A-A57F-4295-851A-A574C1FC68D9}">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97.9%] - [</t>
        </r>
        <r>
          <rPr>
            <b/>
            <sz val="10"/>
            <color indexed="48"/>
            <rFont val="Calibri"/>
            <family val="2"/>
          </rPr>
          <t xml:space="preserve">SOLD </t>
        </r>
        <r>
          <rPr>
            <b/>
            <sz val="10"/>
            <color indexed="8"/>
            <rFont val="Calibri"/>
            <family val="2"/>
          </rPr>
          <t>» 184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V3 &amp; S2 &amp; X10 &amp; U11 &amp; O11 &amp; I10 &amp; P130 &amp; N7</t>
        </r>
      </text>
    </comment>
    <comment ref="F19" authorId="0" shapeId="0" xr:uid="{FDCE4CDD-1F0F-4ECA-B4F8-89DFBB643607}">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46]_x000D_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E46 &amp; P131</t>
        </r>
      </text>
    </comment>
    <comment ref="F20" authorId="0" shapeId="0" xr:uid="{2D7C6095-068E-44B4-9241-D623904EF19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V1 &amp; X5 &amp; U11 &amp; O11 &amp; I10 &amp; P139</t>
        </r>
      </text>
    </comment>
    <comment ref="F21" authorId="0" shapeId="0" xr:uid="{4FAF8952-75B4-4499-B2AC-A7431B27C95A}">
      <text>
        <r>
          <rPr>
            <b/>
            <sz val="10"/>
            <color indexed="8"/>
            <rFont val="Calibri"/>
            <family val="2"/>
          </rPr>
          <t>-{ SM495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174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V1 &amp; G1 &amp; I9 &amp; P161 &amp; N2</t>
        </r>
      </text>
    </comment>
    <comment ref="F22" authorId="0" shapeId="0" xr:uid="{80CF580E-1DBC-44D7-ABBA-78F482D18C46}">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T9 &amp; X10 &amp; U10 &amp; O10 &amp; I10 &amp; P130</t>
        </r>
      </text>
    </comment>
    <comment ref="F23" authorId="0" shapeId="0" xr:uid="{AE1B9D4E-991B-47A2-BE60-7A284C8E68F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U3 &amp; O12 &amp; I8 &amp; E65 &amp; P90 &amp; N2</t>
        </r>
      </text>
    </comment>
    <comment ref="F36" authorId="0" shapeId="0" xr:uid="{DC318DE6-C51D-4C25-BCB4-292C1B98DACF}">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09-NOV]_x000D_
{</t>
        </r>
        <r>
          <rPr>
            <b/>
            <sz val="8.5"/>
            <color indexed="10"/>
            <rFont val="Calibri"/>
            <family val="2"/>
          </rPr>
          <t>CLASSES</t>
        </r>
        <r>
          <rPr>
            <b/>
            <sz val="8.5"/>
            <color indexed="8"/>
            <rFont val="Calibri"/>
            <family val="2"/>
          </rPr>
          <t>}_x000D_
L1 &amp; O3 &amp; I8 &amp; P168</t>
        </r>
      </text>
    </comment>
    <comment ref="F50" authorId="0" shapeId="0" xr:uid="{2A858DBA-9D0F-4AE7-93A0-50D967A78446}">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G2 &amp; X7 &amp; U11 &amp; O11 &amp; I10 &amp; P135 &amp; N3</t>
        </r>
      </text>
    </comment>
    <comment ref="F51" authorId="0" shapeId="0" xr:uid="{DB01BD13-5139-436A-9774-6A79E8E2C403}">
      <text>
        <r>
          <rPr>
            <b/>
            <sz val="10"/>
            <color indexed="8"/>
            <rFont val="Calibri"/>
            <family val="2"/>
          </rPr>
          <t>-{ SM493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L5 &amp; X8 &amp; U11 &amp; O11 &amp; I10 &amp; P135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100F11E7-BB6D-4C84-A322-D5086E5450A1}">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Q3 &amp; L3 &amp; S17 &amp; X2 &amp; O7 &amp; I10 &amp; E45 &amp; P90</t>
        </r>
      </text>
    </comment>
    <comment ref="F37" authorId="0" shapeId="0" xr:uid="{782C13C5-C89B-4CB5-AC07-F6E3BC05C397}">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29-OCT]_x000D_
{</t>
        </r>
        <r>
          <rPr>
            <b/>
            <sz val="8.5"/>
            <color indexed="10"/>
            <rFont val="Calibri"/>
            <family val="2"/>
          </rPr>
          <t>CLASSES</t>
        </r>
        <r>
          <rPr>
            <b/>
            <sz val="8.5"/>
            <color indexed="8"/>
            <rFont val="Calibri"/>
            <family val="2"/>
          </rPr>
          <t>}_x000D_
S1 &amp; X2 &amp; O8 &amp; I8 &amp; P162</t>
        </r>
      </text>
    </comment>
    <comment ref="F60" authorId="0" shapeId="0" xr:uid="{400F3815-AC89-4EAE-99DA-84BEBF60ED73}">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01-NOV]_x000D_
{</t>
        </r>
        <r>
          <rPr>
            <b/>
            <sz val="8.5"/>
            <color indexed="10"/>
            <rFont val="Calibri"/>
            <family val="2"/>
          </rPr>
          <t>CLASSES</t>
        </r>
        <r>
          <rPr>
            <b/>
            <sz val="8.5"/>
            <color indexed="8"/>
            <rFont val="Calibri"/>
            <family val="2"/>
          </rPr>
          <t>}_x000D_
T5 &amp; X5 &amp; A45 &amp; P125</t>
        </r>
      </text>
    </comment>
    <comment ref="F72" authorId="0" shapeId="0" xr:uid="{C4AFBA67-09DA-4D66-99E2-7EC54E26849E}">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G1 &amp; I3 &amp; P175</t>
        </r>
      </text>
    </comment>
    <comment ref="F85" authorId="0" shapeId="0" xr:uid="{B21CFEA4-5364-4D6F-86DD-51E5D2DACCF3}">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G3 &amp; X3 &amp; I8 &amp; P166</t>
        </r>
      </text>
    </comment>
    <comment ref="F120" authorId="0" shapeId="0" xr:uid="{CD7FAB87-1E39-4DE1-AEB9-3ABB98EBC6FA}">
      <text>
        <r>
          <rPr>
            <b/>
            <sz val="10"/>
            <color indexed="8"/>
            <rFont val="Calibri"/>
            <family val="2"/>
          </rPr>
          <t>-{ SM485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L3 &amp; X10 &amp; U11 &amp; O11 &amp; I10 &amp; P135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4" authorId="0" shapeId="0" xr:uid="{85F19552-8CE6-490F-AC58-FA5021A4EA03}">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S7 &amp; W1 &amp; T6 &amp; X15 &amp; U12 &amp; O9 &amp; I9 &amp; P105</t>
        </r>
      </text>
    </comment>
    <comment ref="F47" authorId="0" shapeId="0" xr:uid="{7235DA6B-00A5-4795-8A74-BE53BEBB9BE8}">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53.9%] - [</t>
        </r>
        <r>
          <rPr>
            <b/>
            <sz val="10"/>
            <color indexed="48"/>
            <rFont val="Calibri"/>
            <family val="2"/>
          </rPr>
          <t xml:space="preserve">SOLD </t>
        </r>
        <r>
          <rPr>
            <b/>
            <sz val="10"/>
            <color indexed="8"/>
            <rFont val="Calibri"/>
            <family val="2"/>
          </rPr>
          <t>» 97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T8]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T2 &amp; X10 &amp; U10 &amp; O11 &amp; I19 &amp; P45</t>
        </r>
      </text>
    </comment>
    <comment ref="F70" authorId="0" shapeId="0" xr:uid="{1369DFDB-B6A4-4FE1-B003-328BA9DF4169}">
      <text>
        <r>
          <rPr>
            <b/>
            <sz val="10"/>
            <color indexed="8"/>
            <rFont val="Calibri"/>
            <family val="2"/>
          </rPr>
          <t>-{ SM489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73.3%] - [</t>
        </r>
        <r>
          <rPr>
            <b/>
            <sz val="10"/>
            <color indexed="48"/>
            <rFont val="Calibri"/>
            <family val="2"/>
          </rPr>
          <t xml:space="preserve">SOLD </t>
        </r>
        <r>
          <rPr>
            <b/>
            <sz val="10"/>
            <color indexed="8"/>
            <rFont val="Calibri"/>
            <family val="2"/>
          </rPr>
          <t>» 132 PAX]</t>
        </r>
        <r>
          <rPr>
            <b/>
            <sz val="8.5"/>
            <color indexed="8"/>
            <rFont val="Calibri"/>
            <family val="2"/>
          </rPr>
          <t>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T1 &amp; X18 &amp; U18 &amp; O22 &amp; I23 &amp; P50</t>
        </r>
      </text>
    </comment>
    <comment ref="F104" authorId="0" shapeId="0" xr:uid="{8475A463-47C0-4764-AFE2-6CB35041D5FC}">
      <text>
        <r>
          <rPr>
            <b/>
            <sz val="10"/>
            <color indexed="8"/>
            <rFont val="Calibri"/>
            <family val="2"/>
          </rPr>
          <t>-{ SM487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77.8%] - [</t>
        </r>
        <r>
          <rPr>
            <b/>
            <sz val="10"/>
            <color indexed="48"/>
            <rFont val="Calibri"/>
            <family val="2"/>
          </rPr>
          <t xml:space="preserve">SOLD </t>
        </r>
        <r>
          <rPr>
            <b/>
            <sz val="10"/>
            <color indexed="8"/>
            <rFont val="Calibri"/>
            <family val="2"/>
          </rPr>
          <t>» 140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T6]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S1 &amp; T9 &amp; X21 &amp; U5 &amp; O4 &amp; I9 &amp; P90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2" authorId="0" shapeId="0" xr:uid="{F7A2C3DF-A469-492C-A455-5D28AFF6A768}">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97.2%]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S7 &amp; T4 &amp; X9 &amp; U10 &amp; O5 &amp; I5 &amp; P135</t>
        </r>
      </text>
    </comment>
    <comment ref="F38" authorId="0" shapeId="0" xr:uid="{030191B2-75AE-45F7-83A9-0FE8A6D65338}">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 &amp; S4 &amp; W10 &amp; T10 &amp; X10 &amp; U10 &amp; O15 &amp; I10 &amp; P92 &amp; N2</t>
        </r>
      </text>
    </comment>
    <comment ref="F39" authorId="0" shapeId="0" xr:uid="{1EE120E2-97B2-48A7-8FFD-285AFB5F8D4A}">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84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W12 &amp; T11 &amp; X11 &amp; U12 &amp; O11 &amp; I31 &amp; E34 &amp; P40</t>
        </r>
      </text>
    </comment>
    <comment ref="F40" authorId="0" shapeId="0" xr:uid="{615A8E24-DB00-450D-999D-5C59DD5044D0}">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84.4%] - [</t>
        </r>
        <r>
          <rPr>
            <b/>
            <sz val="10"/>
            <color indexed="48"/>
            <rFont val="Calibri"/>
            <family val="2"/>
          </rPr>
          <t xml:space="preserve">SOLD </t>
        </r>
        <r>
          <rPr>
            <b/>
            <sz val="10"/>
            <color indexed="8"/>
            <rFont val="Calibri"/>
            <family val="2"/>
          </rPr>
          <t>» 152 PAX]</t>
        </r>
        <r>
          <rPr>
            <b/>
            <sz val="8.5"/>
            <color indexed="8"/>
            <rFont val="Calibri"/>
            <family val="2"/>
          </rPr>
          <t>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S8 &amp; W12 &amp; T11 &amp; X11 &amp; U12 &amp; O11 &amp; I40 &amp; P46</t>
        </r>
      </text>
    </comment>
    <comment ref="F45" authorId="0" shapeId="0" xr:uid="{3BAB6EB7-321D-4166-93CD-2372494DF709}">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82.2%] - [</t>
        </r>
        <r>
          <rPr>
            <b/>
            <sz val="10"/>
            <color indexed="48"/>
            <rFont val="Calibri"/>
            <family val="2"/>
          </rPr>
          <t xml:space="preserve">SOLD </t>
        </r>
        <r>
          <rPr>
            <b/>
            <sz val="10"/>
            <color indexed="8"/>
            <rFont val="Calibri"/>
            <family val="2"/>
          </rPr>
          <t>» 148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S12 &amp; W11 &amp; T11 &amp; X11 &amp; U12 &amp; O11 &amp; I50 &amp; E29 &amp; N1</t>
        </r>
      </text>
    </comment>
    <comment ref="F81" authorId="0" shapeId="0" xr:uid="{050F0299-14EE-4EF9-8AB9-9735D3DF0DFE}">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101.1%] - [</t>
        </r>
        <r>
          <rPr>
            <b/>
            <sz val="10"/>
            <color indexed="48"/>
            <rFont val="Calibri"/>
            <family val="2"/>
          </rPr>
          <t xml:space="preserve">SOLD </t>
        </r>
        <r>
          <rPr>
            <b/>
            <sz val="10"/>
            <color indexed="8"/>
            <rFont val="Calibri"/>
            <family val="2"/>
          </rPr>
          <t>» 182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S11 &amp; X2 &amp; O4 &amp; I17 &amp; P142 &amp; N6</t>
        </r>
      </text>
    </comment>
    <comment ref="F82" authorId="0" shapeId="0" xr:uid="{6AD0969B-A9FC-4649-BDC8-A84B0E2DB6C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65.6%] - [</t>
        </r>
        <r>
          <rPr>
            <b/>
            <sz val="10"/>
            <color indexed="48"/>
            <rFont val="Calibri"/>
            <family val="2"/>
          </rPr>
          <t xml:space="preserve">SOLD </t>
        </r>
        <r>
          <rPr>
            <b/>
            <sz val="10"/>
            <color indexed="8"/>
            <rFont val="Calibri"/>
            <family val="2"/>
          </rPr>
          <t>» 118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W10 &amp; T10 &amp; X10 &amp; U10 &amp; O10 &amp; I15 &amp; P50</t>
        </r>
      </text>
    </comment>
    <comment ref="F96" authorId="0" shapeId="0" xr:uid="{71B446BA-11D7-4FD7-99D4-7555B9AAF666}">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62.2%] - [</t>
        </r>
        <r>
          <rPr>
            <b/>
            <sz val="10"/>
            <color indexed="48"/>
            <rFont val="Calibri"/>
            <family val="2"/>
          </rPr>
          <t xml:space="preserve">SOLD </t>
        </r>
        <r>
          <rPr>
            <b/>
            <sz val="10"/>
            <color indexed="8"/>
            <rFont val="Calibri"/>
            <family val="2"/>
          </rPr>
          <t>» 112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W9 &amp; T30 &amp; X10 &amp; U12 &amp; O17 &amp; I29</t>
        </r>
      </text>
    </comment>
    <comment ref="F98" authorId="0" shapeId="0" xr:uid="{688F1BB8-72D1-4D47-9D96-F7E7F5836284}">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78.0%] - [</t>
        </r>
        <r>
          <rPr>
            <b/>
            <sz val="10"/>
            <color indexed="48"/>
            <rFont val="Calibri"/>
            <family val="2"/>
          </rPr>
          <t xml:space="preserve">SOLD </t>
        </r>
        <r>
          <rPr>
            <b/>
            <sz val="10"/>
            <color indexed="8"/>
            <rFont val="Calibri"/>
            <family val="2"/>
          </rPr>
          <t>» 138 PAX]</t>
        </r>
        <r>
          <rPr>
            <b/>
            <sz val="8.5"/>
            <color indexed="8"/>
            <rFont val="Calibri"/>
            <family val="2"/>
          </rPr>
          <t>_x000D_
[</t>
        </r>
        <r>
          <rPr>
            <b/>
            <sz val="8.5"/>
            <color indexed="21"/>
            <rFont val="Calibri"/>
            <family val="2"/>
          </rPr>
          <t xml:space="preserve">WEEKLY </t>
        </r>
        <r>
          <rPr>
            <b/>
            <sz val="8.5"/>
            <color indexed="8"/>
            <rFont val="Calibri"/>
            <family val="2"/>
          </rPr>
          <t>» 88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26]_x000D_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W14 &amp; T25 &amp; X37 &amp; U12 &amp; O17 &amp; I33</t>
        </r>
      </text>
    </comment>
    <comment ref="F99" authorId="0" shapeId="0" xr:uid="{C0FA1787-1AAE-4F56-8BE4-611F1112CBAF}">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81.7%]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120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65]_x000D_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W10 &amp; T25 &amp; X33 &amp; U12 &amp; O15 &amp; I10 &amp; P41</t>
        </r>
      </text>
    </comment>
    <comment ref="F110" authorId="0" shapeId="0" xr:uid="{D15D9BC2-0910-45DC-A7DB-FE301D03CD35}">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60.6%] - [</t>
        </r>
        <r>
          <rPr>
            <b/>
            <sz val="10"/>
            <color indexed="48"/>
            <rFont val="Calibri"/>
            <family val="2"/>
          </rPr>
          <t xml:space="preserve">SOLD </t>
        </r>
        <r>
          <rPr>
            <b/>
            <sz val="10"/>
            <color indexed="8"/>
            <rFont val="Calibri"/>
            <family val="2"/>
          </rPr>
          <t>» 109 PAX]</t>
        </r>
        <r>
          <rPr>
            <b/>
            <sz val="8.5"/>
            <color indexed="8"/>
            <rFont val="Calibri"/>
            <family val="2"/>
          </rPr>
          <t>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W10 &amp; T12 &amp; X26 &amp; U11 &amp; O20 &amp; I30</t>
        </r>
      </text>
    </comment>
    <comment ref="F144" authorId="0" shapeId="0" xr:uid="{6B1A359F-3B09-4814-A7FE-9DF04C3A58F1}">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T8 &amp; X12 &amp; U12 &amp; O12 &amp; I22 &amp; E49 &amp; P64</t>
        </r>
      </text>
    </comment>
    <comment ref="F167" authorId="0" shapeId="0" xr:uid="{3477A08E-292E-4588-B1BC-D8CC666CFEBB}">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86.1%]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105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W8 &amp; T34 &amp; X11 &amp; U11 &amp; O11 &amp; I33 &amp; P45 &amp; N1</t>
        </r>
      </text>
    </comment>
    <comment ref="F168" authorId="0" shapeId="0" xr:uid="{C7F5C00A-A12B-4FC6-89FB-33FC257D873B}">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W8 &amp; T11 &amp; X11 &amp; U12 &amp; O11 &amp; I25 &amp; P94 &amp; N2</t>
        </r>
      </text>
    </comment>
    <comment ref="F218" authorId="0" shapeId="0" xr:uid="{1146F645-E42E-4D5A-BBF6-561C818B68A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G1 &amp; S1 &amp; X9 &amp; U12 &amp; O15 &amp; I15 &amp; P125 &amp; N1</t>
        </r>
      </text>
    </comment>
    <comment ref="F248" authorId="0" shapeId="0" xr:uid="{D3CC81EF-4634-41C9-999D-49FE1C946E8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93.3%]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W5 &amp; T10 &amp; X14 &amp; U15 &amp; O19 &amp; I21 &amp; P80</t>
        </r>
      </text>
    </comment>
    <comment ref="F262" authorId="0" shapeId="0" xr:uid="{69E6C8FA-3B3D-4703-BBDF-6A7B1C1D800F}">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56.7%]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S9 &amp; W9 &amp; T9 &amp; X24 &amp; U15 &amp; O20 &amp; I15</t>
        </r>
      </text>
    </comment>
    <comment ref="F287" authorId="0" shapeId="0" xr:uid="{526CC348-D354-4808-9522-B740FA93921F}">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W10 &amp; T15 &amp; X15 &amp; U15 &amp; O15 &amp; I15 &amp; P94</t>
        </r>
      </text>
    </comment>
    <comment ref="F288" authorId="0" shapeId="0" xr:uid="{EDA693CD-86C1-40ED-8CE8-D53D9C005DF5}">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W3 &amp; T3 &amp; X4 &amp; U30 &amp; O28 &amp; I21 &amp; P90</t>
        </r>
      </text>
    </comment>
    <comment ref="F289" authorId="0" shapeId="0" xr:uid="{9B948289-0722-4F8E-A936-143070F150C4}">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 &amp; O2 &amp; I9 &amp; P166</t>
        </r>
      </text>
    </comment>
    <comment ref="F313" authorId="0" shapeId="0" xr:uid="{023D0782-2F5F-4CDB-BAE8-BC7911C2FE9C}">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73.9%] - [</t>
        </r>
        <r>
          <rPr>
            <b/>
            <sz val="10"/>
            <color indexed="48"/>
            <rFont val="Calibri"/>
            <family val="2"/>
          </rPr>
          <t xml:space="preserve">SOLD </t>
        </r>
        <r>
          <rPr>
            <b/>
            <sz val="10"/>
            <color indexed="8"/>
            <rFont val="Calibri"/>
            <family val="2"/>
          </rPr>
          <t>» 133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W12 &amp; T11 &amp; X11 &amp; U12 &amp; O14 &amp; I21 &amp; P49</t>
        </r>
      </text>
    </comment>
    <comment ref="F355" authorId="0" shapeId="0" xr:uid="{A01F4FC8-F641-461D-A16C-B8CB3A2C810C}">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X4 &amp; U12 &amp; O11 &amp; I21 &amp; P130</t>
        </r>
      </text>
    </comment>
    <comment ref="F356" authorId="0" shapeId="0" xr:uid="{1A785FF6-B305-4BC7-9C47-15F59D89AC9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U16 &amp; O8 &amp; I20 &amp; P136</t>
        </r>
      </text>
    </comment>
    <comment ref="F368" authorId="0" shapeId="0" xr:uid="{3DDF5BCC-19B7-42EC-88F0-88EDAFF268B3}">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77.2%]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W12 &amp; T9 &amp; X28 &amp; U12 &amp; O11 &amp; I21 &amp; P45</t>
        </r>
      </text>
    </comment>
    <comment ref="F380" authorId="0" shapeId="0" xr:uid="{63A0F415-73D9-4E41-B805-4CAEB61ED5E2}">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89.4%]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S11 &amp; W12 &amp; T11 &amp; X11 &amp; U29 &amp; O11 &amp; I10 &amp; P60 &amp; N1</t>
        </r>
      </text>
    </comment>
    <comment ref="F413" authorId="0" shapeId="0" xr:uid="{9B5BB600-89A8-42BA-B947-1661EF597090}">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S4 &amp; T1 &amp; X9 &amp; U10 &amp; O10 &amp; I5 &amp; P137 &amp; N3</t>
        </r>
      </text>
    </comment>
    <comment ref="F414" authorId="0" shapeId="0" xr:uid="{A429648F-50DB-424E-9E88-3F66122A838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S7 &amp; W12 &amp; T12 &amp; X10 &amp; U12 &amp; O22 &amp; I10 &amp; P95</t>
        </r>
      </text>
    </comment>
    <comment ref="F415" authorId="0" shapeId="0" xr:uid="{2C5C6122-6035-4AA1-B246-F6BA4BC4BE99}">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S11 &amp; U14 &amp; O22 &amp; I10 &amp; P120</t>
        </r>
      </text>
    </comment>
    <comment ref="F416" authorId="0" shapeId="0" xr:uid="{7E38593A-C33B-4AB2-A4AC-708D1746E200}">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W2 &amp; T11 &amp; X11 &amp; U17 &amp; O23 &amp; I20 &amp; P90</t>
        </r>
      </text>
    </comment>
    <comment ref="F417" authorId="0" shapeId="0" xr:uid="{95AF4A9B-FF10-406C-B4F9-B1F12B6943C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97.8%] - [</t>
        </r>
        <r>
          <rPr>
            <b/>
            <sz val="10"/>
            <color indexed="48"/>
            <rFont val="Calibri"/>
            <family val="2"/>
          </rPr>
          <t xml:space="preserve">SOLD </t>
        </r>
        <r>
          <rPr>
            <b/>
            <sz val="10"/>
            <color indexed="8"/>
            <rFont val="Calibri"/>
            <family val="2"/>
          </rPr>
          <t>» 176 PAX]</t>
        </r>
        <r>
          <rPr>
            <b/>
            <sz val="8.5"/>
            <color indexed="8"/>
            <rFont val="Calibri"/>
            <family val="2"/>
          </rPr>
          <t>_x000D_
[</t>
        </r>
        <r>
          <rPr>
            <b/>
            <sz val="8.5"/>
            <color indexed="21"/>
            <rFont val="Calibri"/>
            <family val="2"/>
          </rPr>
          <t xml:space="preserve">WEEKLY </t>
        </r>
        <r>
          <rPr>
            <b/>
            <sz val="8.5"/>
            <color indexed="8"/>
            <rFont val="Calibri"/>
            <family val="2"/>
          </rPr>
          <t>» 69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S17 &amp; W18 &amp; T18 &amp; X18 &amp; U18 &amp; O18 &amp; I18 &amp; P51</t>
        </r>
      </text>
    </comment>
    <comment ref="F438" authorId="0" shapeId="0" xr:uid="{BD8D23A7-E298-4DAD-A8DC-C2C1FBE545A9}">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59.4%]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G7 &amp; S18 &amp; W18 &amp; T22 &amp; X10 &amp; U11 &amp; O11 &amp; I10</t>
        </r>
      </text>
    </comment>
    <comment ref="F474" authorId="0" shapeId="0" xr:uid="{B96A35EC-7A41-4ED1-9C7C-653DEDB6612F}">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W3 &amp; T11 &amp; X19 &amp; U17 &amp; O18 &amp; I18 &amp; P90</t>
        </r>
      </text>
    </comment>
    <comment ref="F475" authorId="0" shapeId="0" xr:uid="{E7BE2981-8764-4E42-B653-0DDF370BC80F}">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T14 &amp; X21 &amp; U18 &amp; O18 &amp; I18 &amp; P90</t>
        </r>
      </text>
    </comment>
    <comment ref="F476" authorId="0" shapeId="0" xr:uid="{16D537E8-6E42-4CB9-A198-50D0C6706475}">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W5 &amp; T11 &amp; X12 &amp; U12 &amp; O11 &amp; I11 &amp; P115</t>
        </r>
      </text>
    </comment>
    <comment ref="F481" authorId="0" shapeId="0" xr:uid="{FB93638B-7032-40C2-B5FF-123C49691897}">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74.4%]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G9 &amp; S31 &amp; W9 &amp; T20 &amp; X5 &amp; U5 &amp; O5 &amp; I5 &amp; P45</t>
        </r>
      </text>
    </comment>
    <comment ref="F482" authorId="0" shapeId="0" xr:uid="{B3707BC3-7129-4B62-B8D5-FB4BFFE7DA38}">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68.9%] - [</t>
        </r>
        <r>
          <rPr>
            <b/>
            <sz val="10"/>
            <color indexed="48"/>
            <rFont val="Calibri"/>
            <family val="2"/>
          </rPr>
          <t xml:space="preserve">SOLD </t>
        </r>
        <r>
          <rPr>
            <b/>
            <sz val="10"/>
            <color indexed="8"/>
            <rFont val="Calibri"/>
            <family val="2"/>
          </rPr>
          <t>» 124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G4 &amp; S15 &amp; W22 &amp; T20 &amp; X19 &amp; U12 &amp; O11 &amp; I21</t>
        </r>
      </text>
    </comment>
    <comment ref="F483" authorId="0" shapeId="0" xr:uid="{A7E11C66-DE7A-46BC-A589-5948413E115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86.1%]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G7 &amp; S15 &amp; W9 &amp; T9 &amp; X23 &amp; U12 &amp; O11 &amp; I21 &amp; P48</t>
        </r>
      </text>
    </comment>
    <comment ref="F498" authorId="0" shapeId="0" xr:uid="{0B9B5123-0D27-4C10-AAB6-FC53526C797F}">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82.8%]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K6 &amp; V21 &amp; L7 &amp; G11 &amp; S22 &amp; W12 &amp; T12 &amp; X12 &amp; U21 &amp; O11 &amp; I10 &amp; N4</t>
        </r>
      </text>
    </comment>
    <comment ref="F534" authorId="0" shapeId="0" xr:uid="{A61EFA02-6DC8-46FE-805A-F43765E1F6E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 &amp; U12 &amp; O11 &amp; I21 &amp; P135</t>
        </r>
      </text>
    </comment>
    <comment ref="F535" authorId="0" shapeId="0" xr:uid="{B05A128A-A459-4757-87FA-1E85968C769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K3 &amp; L5 &amp; S3 &amp; W2 &amp; T3 &amp; X13 &amp; U6 &amp; O4 &amp; I5 &amp; P135</t>
        </r>
      </text>
    </comment>
    <comment ref="F548" authorId="0" shapeId="0" xr:uid="{97894E6E-E36F-4AB8-8D54-E6ED16745C73}">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K8 &amp; V10 &amp; L24 &amp; G11 &amp; S14 &amp; W11 &amp; T9 &amp; X11 &amp; U23 &amp; O11 &amp; I10 &amp; P30 &amp; N1</t>
        </r>
      </text>
    </comment>
    <comment ref="F549" authorId="0" shapeId="0" xr:uid="{981FC8D1-0B9B-4D64-B233-6964FC0316D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75.0%]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V5 &amp; L19 &amp; G22 &amp; S11 &amp; W12 &amp; T11 &amp; X11 &amp; U12 &amp; O22 &amp; I10</t>
        </r>
      </text>
    </comment>
    <comment ref="F564" authorId="0" shapeId="0" xr:uid="{F4477403-D50C-4385-8AF6-5CAC2782CFC6}">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75.6%]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K2 &amp; V15 &amp; L22 &amp; G11 &amp; S11 &amp; W11 &amp; T10 &amp; X22 &amp; U11 &amp; O11 &amp; I10</t>
        </r>
      </text>
    </comment>
    <comment ref="F565" authorId="0" shapeId="0" xr:uid="{862D82A1-E78E-4F53-B897-DE0A73566DC1}">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87.8%] - [</t>
        </r>
        <r>
          <rPr>
            <b/>
            <sz val="10"/>
            <color indexed="48"/>
            <rFont val="Calibri"/>
            <family val="2"/>
          </rPr>
          <t xml:space="preserve">SOLD </t>
        </r>
        <r>
          <rPr>
            <b/>
            <sz val="10"/>
            <color indexed="8"/>
            <rFont val="Calibri"/>
            <family val="2"/>
          </rPr>
          <t>» 158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K3 &amp; V16 &amp; L17 &amp; G8 &amp; S9 &amp; W9 &amp; T9 &amp; X9 &amp; U8 &amp; O8 &amp; I17 &amp; P45</t>
        </r>
      </text>
    </comment>
    <comment ref="F567" authorId="0" shapeId="0" xr:uid="{60917CFD-97D9-4F84-8CA7-5930A01ECE8C}">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Q1]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K26 &amp; V29 &amp; L26 &amp; G10 &amp; S12 &amp; W21 &amp; T13 &amp; X9 &amp; U12 &amp; O11 &amp; I10</t>
        </r>
      </text>
    </comment>
    <comment ref="F617" authorId="0" shapeId="0" xr:uid="{0EC01F1F-7727-4D92-8150-6701D78F0928}">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89.4%]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Q8 &amp; K13 &amp; V20 &amp; L18 &amp; G11 &amp; S21 &amp; W12 &amp; T11 &amp; X11 &amp; U12 &amp; O11 &amp; I10 &amp; N3</t>
        </r>
      </text>
    </comment>
    <comment ref="F657" authorId="0" shapeId="0" xr:uid="{B39E1B80-0A9D-4980-A84B-FC8FF78D899B}">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103.3%] - [</t>
        </r>
        <r>
          <rPr>
            <b/>
            <sz val="10"/>
            <color indexed="48"/>
            <rFont val="Calibri"/>
            <family val="2"/>
          </rPr>
          <t xml:space="preserve">SOLD </t>
        </r>
        <r>
          <rPr>
            <b/>
            <sz val="10"/>
            <color indexed="8"/>
            <rFont val="Calibri"/>
            <family val="2"/>
          </rPr>
          <t>» 186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V1 &amp; G15 &amp; S21 &amp; W20 &amp; T42 &amp; X9 &amp; U12 &amp; O11 &amp; I10 &amp; P45</t>
        </r>
      </text>
    </comment>
    <comment ref="F658" authorId="0" shapeId="0" xr:uid="{D8FFF52E-538D-4D90-B1F9-FE0F63D40B6D}">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G6 &amp; X7 &amp; U11 &amp; O11 &amp; I10 &amp; P135 &amp; N1</t>
        </r>
      </text>
    </comment>
    <comment ref="F659" authorId="0" shapeId="0" xr:uid="{60F6F336-A357-4BBB-9E1A-111D2767CAB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Y3 &amp; K8 &amp; V9 &amp; L15 &amp; G9 &amp; S10 &amp; W18 &amp; T9 &amp; X9 &amp; P90</t>
        </r>
      </text>
    </comment>
    <comment ref="F666" authorId="0" shapeId="0" xr:uid="{0C01B38C-917B-49F9-A185-516CF8785CA4}">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G7 &amp; S8 &amp; W11 &amp; T10 &amp; X11 &amp; U12 &amp; O22 &amp; I10 &amp; P89</t>
        </r>
      </text>
    </comment>
    <comment ref="F672" authorId="0" shapeId="0" xr:uid="{E94405C6-CAB6-48A5-BA71-55A91B230A2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92.8%]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L7 &amp; G20 &amp; S10 &amp; W10 &amp; T10 &amp; X20 &amp; P90</t>
        </r>
      </text>
    </comment>
    <comment ref="F686" authorId="0" shapeId="0" xr:uid="{853B23FE-FA7D-40FE-9E8B-8E46B037B5E9}">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95.0%] - [</t>
        </r>
        <r>
          <rPr>
            <b/>
            <sz val="10"/>
            <color indexed="48"/>
            <rFont val="Calibri"/>
            <family val="2"/>
          </rPr>
          <t xml:space="preserve">SOLD </t>
        </r>
        <r>
          <rPr>
            <b/>
            <sz val="10"/>
            <color indexed="8"/>
            <rFont val="Calibri"/>
            <family val="2"/>
          </rPr>
          <t>» 171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V4]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L9 &amp; G15 &amp; S12 &amp; W9 &amp; T10 &amp; X4 &amp; U5 &amp; O5 &amp; I5 &amp; E45 &amp; P45</t>
        </r>
      </text>
    </comment>
    <comment ref="F687" authorId="0" shapeId="0" xr:uid="{2BA42D21-E5E1-423C-91D4-D2E79B063059}">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92.2%] - [</t>
        </r>
        <r>
          <rPr>
            <b/>
            <sz val="10"/>
            <color indexed="48"/>
            <rFont val="Calibri"/>
            <family val="2"/>
          </rPr>
          <t xml:space="preserve">SOLD </t>
        </r>
        <r>
          <rPr>
            <b/>
            <sz val="10"/>
            <color indexed="8"/>
            <rFont val="Calibri"/>
            <family val="2"/>
          </rPr>
          <t>» 166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V5 &amp; L11 &amp; G9 &amp; S11 &amp; W7 &amp; T9 &amp; X9 &amp; U5 &amp; O5 &amp; I5 &amp; P90</t>
        </r>
      </text>
    </comment>
    <comment ref="F723" authorId="0" shapeId="0" xr:uid="{E4245D34-F329-4197-B007-882C34D25865}">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G2 &amp; S10 &amp; W12 &amp; T11 &amp; X11 &amp; U23 &amp; O11 &amp; I10 &amp; P90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0" authorId="0" shapeId="0" xr:uid="{918B6FD2-7D88-4D09-B235-4C04D31D1E6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97.2%]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S7 &amp; T4 &amp; X9 &amp; U10 &amp; O5 &amp; I5 &amp; P135</t>
        </r>
      </text>
    </comment>
    <comment ref="F11" authorId="0" shapeId="0" xr:uid="{C24F4F91-88B9-40E3-8A48-463DC177D198}">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91.1%] - [</t>
        </r>
        <r>
          <rPr>
            <b/>
            <sz val="10"/>
            <color indexed="48"/>
            <rFont val="Calibri"/>
            <family val="2"/>
          </rPr>
          <t xml:space="preserve">SOLD </t>
        </r>
        <r>
          <rPr>
            <b/>
            <sz val="10"/>
            <color indexed="8"/>
            <rFont val="Calibri"/>
            <family val="2"/>
          </rPr>
          <t>» 164 PAX]</t>
        </r>
        <r>
          <rPr>
            <b/>
            <sz val="8.5"/>
            <color indexed="8"/>
            <rFont val="Calibri"/>
            <family val="2"/>
          </rPr>
          <t>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L1 &amp; S4 &amp; W10 &amp; T10 &amp; X10 &amp; U10 &amp; O15 &amp; I10 &amp; P92 &amp; N2</t>
        </r>
      </text>
    </comment>
    <comment ref="F12" authorId="0" shapeId="0" xr:uid="{5E161C35-9070-40C0-A273-D74476092C20}">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93.8%]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84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W12 &amp; T11 &amp; X11 &amp; U12 &amp; O11 &amp; I31 &amp; E34 &amp; P40</t>
        </r>
      </text>
    </comment>
    <comment ref="F13" authorId="0" shapeId="0" xr:uid="{5605E9B2-1382-4EA3-8E25-D5FF8AF19C1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84.4%] - [</t>
        </r>
        <r>
          <rPr>
            <b/>
            <sz val="10"/>
            <color indexed="48"/>
            <rFont val="Calibri"/>
            <family val="2"/>
          </rPr>
          <t xml:space="preserve">SOLD </t>
        </r>
        <r>
          <rPr>
            <b/>
            <sz val="10"/>
            <color indexed="8"/>
            <rFont val="Calibri"/>
            <family val="2"/>
          </rPr>
          <t>» 152 PAX]</t>
        </r>
        <r>
          <rPr>
            <b/>
            <sz val="8.5"/>
            <color indexed="8"/>
            <rFont val="Calibri"/>
            <family val="2"/>
          </rPr>
          <t>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S8 &amp; W12 &amp; T11 &amp; X11 &amp; U12 &amp; O11 &amp; I40 &amp; P46</t>
        </r>
      </text>
    </comment>
    <comment ref="F14" authorId="0" shapeId="0" xr:uid="{264F1AF1-F108-470F-A0A5-9D4F83DDAD5D}">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82.2%] - [</t>
        </r>
        <r>
          <rPr>
            <b/>
            <sz val="10"/>
            <color indexed="48"/>
            <rFont val="Calibri"/>
            <family val="2"/>
          </rPr>
          <t xml:space="preserve">SOLD </t>
        </r>
        <r>
          <rPr>
            <b/>
            <sz val="10"/>
            <color indexed="8"/>
            <rFont val="Calibri"/>
            <family val="2"/>
          </rPr>
          <t>» 148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S12 &amp; W11 &amp; T11 &amp; X11 &amp; U12 &amp; O11 &amp; I50 &amp; E29 &amp; N1</t>
        </r>
      </text>
    </comment>
    <comment ref="F16" authorId="0" shapeId="0" xr:uid="{22F2672A-772C-441F-83A7-CC6F9E106A5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101.1%] - [</t>
        </r>
        <r>
          <rPr>
            <b/>
            <sz val="10"/>
            <color indexed="48"/>
            <rFont val="Calibri"/>
            <family val="2"/>
          </rPr>
          <t xml:space="preserve">SOLD </t>
        </r>
        <r>
          <rPr>
            <b/>
            <sz val="10"/>
            <color indexed="8"/>
            <rFont val="Calibri"/>
            <family val="2"/>
          </rPr>
          <t>» 182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S11 &amp; X2 &amp; O4 &amp; I17 &amp; P142 &amp; N6</t>
        </r>
      </text>
    </comment>
    <comment ref="F17" authorId="0" shapeId="0" xr:uid="{E7A96FAD-93BD-4463-BF7B-A73FF4CD66FD}">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65.6%] - [</t>
        </r>
        <r>
          <rPr>
            <b/>
            <sz val="10"/>
            <color indexed="48"/>
            <rFont val="Calibri"/>
            <family val="2"/>
          </rPr>
          <t xml:space="preserve">SOLD </t>
        </r>
        <r>
          <rPr>
            <b/>
            <sz val="10"/>
            <color indexed="8"/>
            <rFont val="Calibri"/>
            <family val="2"/>
          </rPr>
          <t>» 118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W10 &amp; T10 &amp; X10 &amp; U10 &amp; O10 &amp; I15 &amp; P50</t>
        </r>
      </text>
    </comment>
    <comment ref="F24" authorId="0" shapeId="0" xr:uid="{CDDEC615-4302-4EB2-A45B-588034230DC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62.2%] - [</t>
        </r>
        <r>
          <rPr>
            <b/>
            <sz val="10"/>
            <color indexed="48"/>
            <rFont val="Calibri"/>
            <family val="2"/>
          </rPr>
          <t xml:space="preserve">SOLD </t>
        </r>
        <r>
          <rPr>
            <b/>
            <sz val="10"/>
            <color indexed="8"/>
            <rFont val="Calibri"/>
            <family val="2"/>
          </rPr>
          <t>» 112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W9 &amp; T30 &amp; X10 &amp; U12 &amp; O17 &amp; I29</t>
        </r>
      </text>
    </comment>
    <comment ref="F25" authorId="0" shapeId="0" xr:uid="{5F8C7FFA-2ECA-488B-8C5A-55CE0E011868}">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78.0%] - [</t>
        </r>
        <r>
          <rPr>
            <b/>
            <sz val="10"/>
            <color indexed="48"/>
            <rFont val="Calibri"/>
            <family val="2"/>
          </rPr>
          <t xml:space="preserve">SOLD </t>
        </r>
        <r>
          <rPr>
            <b/>
            <sz val="10"/>
            <color indexed="8"/>
            <rFont val="Calibri"/>
            <family val="2"/>
          </rPr>
          <t>» 138 PAX]</t>
        </r>
        <r>
          <rPr>
            <b/>
            <sz val="8.5"/>
            <color indexed="8"/>
            <rFont val="Calibri"/>
            <family val="2"/>
          </rPr>
          <t>_x000D_
[</t>
        </r>
        <r>
          <rPr>
            <b/>
            <sz val="8.5"/>
            <color indexed="21"/>
            <rFont val="Calibri"/>
            <family val="2"/>
          </rPr>
          <t xml:space="preserve">WEEKLY </t>
        </r>
        <r>
          <rPr>
            <b/>
            <sz val="8.5"/>
            <color indexed="8"/>
            <rFont val="Calibri"/>
            <family val="2"/>
          </rPr>
          <t>» 88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26]_x000D_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W14 &amp; T25 &amp; X37 &amp; U12 &amp; O17 &amp; I33</t>
        </r>
      </text>
    </comment>
    <comment ref="F26" authorId="0" shapeId="0" xr:uid="{B81AFC61-CD7F-4921-81A9-B34813231BB0}">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81.7%] - [</t>
        </r>
        <r>
          <rPr>
            <b/>
            <sz val="10"/>
            <color indexed="48"/>
            <rFont val="Calibri"/>
            <family val="2"/>
          </rPr>
          <t xml:space="preserve">SOLD </t>
        </r>
        <r>
          <rPr>
            <b/>
            <sz val="10"/>
            <color indexed="8"/>
            <rFont val="Calibri"/>
            <family val="2"/>
          </rPr>
          <t>» 147 PAX]</t>
        </r>
        <r>
          <rPr>
            <b/>
            <sz val="8.5"/>
            <color indexed="8"/>
            <rFont val="Calibri"/>
            <family val="2"/>
          </rPr>
          <t>_x000D_
[</t>
        </r>
        <r>
          <rPr>
            <b/>
            <sz val="8.5"/>
            <color indexed="21"/>
            <rFont val="Calibri"/>
            <family val="2"/>
          </rPr>
          <t xml:space="preserve">WEEKLY </t>
        </r>
        <r>
          <rPr>
            <b/>
            <sz val="8.5"/>
            <color indexed="8"/>
            <rFont val="Calibri"/>
            <family val="2"/>
          </rPr>
          <t>» 120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65]_x000D_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W10 &amp; T25 &amp; X33 &amp; U12 &amp; O15 &amp; I10 &amp; P41</t>
        </r>
      </text>
    </comment>
    <comment ref="F31" authorId="0" shapeId="0" xr:uid="{F20BAAF4-F503-4F4D-A3EF-161D9595C58C}">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60.6%] - [</t>
        </r>
        <r>
          <rPr>
            <b/>
            <sz val="10"/>
            <color indexed="48"/>
            <rFont val="Calibri"/>
            <family val="2"/>
          </rPr>
          <t xml:space="preserve">SOLD </t>
        </r>
        <r>
          <rPr>
            <b/>
            <sz val="10"/>
            <color indexed="8"/>
            <rFont val="Calibri"/>
            <family val="2"/>
          </rPr>
          <t>» 109 PAX]</t>
        </r>
        <r>
          <rPr>
            <b/>
            <sz val="8.5"/>
            <color indexed="8"/>
            <rFont val="Calibri"/>
            <family val="2"/>
          </rPr>
          <t>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W10 &amp; T12 &amp; X26 &amp; U11 &amp; O20 &amp; I30</t>
        </r>
      </text>
    </comment>
    <comment ref="F32" authorId="0" shapeId="0" xr:uid="{E0A6A19D-3C34-40D8-A426-E2F5BBB3E5EA}">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T8 &amp; X12 &amp; U12 &amp; O12 &amp; I22 &amp; E49 &amp; P64</t>
        </r>
      </text>
    </comment>
    <comment ref="F33" authorId="0" shapeId="0" xr:uid="{4CF9D07E-15DE-4DDD-B078-F2C20FC766FB}">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86.1%]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105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W8 &amp; T34 &amp; X11 &amp; U11 &amp; O11 &amp; I33 &amp; P45 &amp; N1</t>
        </r>
      </text>
    </comment>
    <comment ref="F34" authorId="0" shapeId="0" xr:uid="{902D620C-8179-4256-8AFB-084FD90527E6}">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98.9%]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 &amp; W8 &amp; T11 &amp; X11 &amp; U12 &amp; O11 &amp; I25 &amp; P94 &amp; N2</t>
        </r>
      </text>
    </comment>
    <comment ref="F35" authorId="0" shapeId="0" xr:uid="{E840419D-4DB8-439E-A00D-E77B3D62EADA}">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G1 &amp; S1 &amp; X9 &amp; U12 &amp; O15 &amp; I15 &amp; P125 &amp; N1</t>
        </r>
      </text>
    </comment>
    <comment ref="F36" authorId="0" shapeId="0" xr:uid="{8E6278CF-5232-4F3E-955B-AC13CBEA87E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93.3%] - [</t>
        </r>
        <r>
          <rPr>
            <b/>
            <sz val="10"/>
            <color indexed="48"/>
            <rFont val="Calibri"/>
            <family val="2"/>
          </rPr>
          <t xml:space="preserve">SOLD </t>
        </r>
        <r>
          <rPr>
            <b/>
            <sz val="10"/>
            <color indexed="8"/>
            <rFont val="Calibri"/>
            <family val="2"/>
          </rPr>
          <t>» 168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W5 &amp; T10 &amp; X14 &amp; U15 &amp; O19 &amp; I21 &amp; P80</t>
        </r>
      </text>
    </comment>
    <comment ref="F37" authorId="0" shapeId="0" xr:uid="{DC74BCFF-9FA1-43CE-A092-0AE9A3AB4899}">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56.7%]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S9 &amp; W9 &amp; T9 &amp; X24 &amp; U15 &amp; O20 &amp; I15</t>
        </r>
      </text>
    </comment>
    <comment ref="F38" authorId="0" shapeId="0" xr:uid="{9AD430A4-C8CF-480B-B70B-7AB38DA3706C}">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W10 &amp; T15 &amp; X15 &amp; U15 &amp; O15 &amp; I15 &amp; P94</t>
        </r>
      </text>
    </comment>
    <comment ref="F39" authorId="0" shapeId="0" xr:uid="{7B6C8DE4-CD08-4E07-9EF4-5184A111D7BA}">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W3 &amp; T3 &amp; X4 &amp; U30 &amp; O28 &amp; I21 &amp; P90</t>
        </r>
      </text>
    </comment>
    <comment ref="F40" authorId="0" shapeId="0" xr:uid="{40F4EF8C-10F2-4A86-A550-85B554ED56FE}">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t>
        </r>
        <r>
          <rPr>
            <b/>
            <sz val="8.5"/>
            <color indexed="10"/>
            <rFont val="Calibri"/>
            <family val="2"/>
          </rPr>
          <t>CLASSES</t>
        </r>
        <r>
          <rPr>
            <b/>
            <sz val="8.5"/>
            <color indexed="8"/>
            <rFont val="Calibri"/>
            <family val="2"/>
          </rPr>
          <t>}_x000D_
X3 &amp; O2 &amp; I9 &amp; P166</t>
        </r>
      </text>
    </comment>
    <comment ref="F46" authorId="0" shapeId="0" xr:uid="{12368A39-76E0-4225-816F-9E6B43B7FCC9}">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73.9%] - [</t>
        </r>
        <r>
          <rPr>
            <b/>
            <sz val="10"/>
            <color indexed="48"/>
            <rFont val="Calibri"/>
            <family val="2"/>
          </rPr>
          <t xml:space="preserve">SOLD </t>
        </r>
        <r>
          <rPr>
            <b/>
            <sz val="10"/>
            <color indexed="8"/>
            <rFont val="Calibri"/>
            <family val="2"/>
          </rPr>
          <t>» 133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W12 &amp; T11 &amp; X11 &amp; U12 &amp; O14 &amp; I21 &amp; P49</t>
        </r>
      </text>
    </comment>
    <comment ref="F47" authorId="0" shapeId="0" xr:uid="{9CBBCB2D-5A8C-4FEC-9091-4B4C55E4D22A}">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S2 &amp; X4 &amp; U12 &amp; O11 &amp; I21 &amp; P130</t>
        </r>
      </text>
    </comment>
    <comment ref="F48" authorId="0" shapeId="0" xr:uid="{69BCA176-5AA2-44D7-A603-D7721276582B}">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X1 &amp; U16 &amp; O8 &amp; I20 &amp; P136</t>
        </r>
      </text>
    </comment>
    <comment ref="F50" authorId="0" shapeId="0" xr:uid="{3DDA20A4-60C4-4A97-A002-9785708954D5}">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77.2%]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W12 &amp; T9 &amp; X28 &amp; U12 &amp; O11 &amp; I21 &amp; P45</t>
        </r>
      </text>
    </comment>
    <comment ref="F51" authorId="0" shapeId="0" xr:uid="{A0D49CB8-B226-45BC-82EA-EC3F2577160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89.4%]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G5 &amp; S11 &amp; W12 &amp; T11 &amp; X11 &amp; U29 &amp; O11 &amp; I10 &amp; P60 &amp; N1</t>
        </r>
      </text>
    </comment>
    <comment ref="F52" authorId="0" shapeId="0" xr:uid="{7CE4E592-BB3D-4C97-9DBA-5618AB82CACC}">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S4 &amp; T1 &amp; X9 &amp; U10 &amp; O10 &amp; I5 &amp; P137 &amp; N3</t>
        </r>
      </text>
    </comment>
    <comment ref="F53" authorId="0" shapeId="0" xr:uid="{BED4AF3F-3136-4996-9000-1CF6E5026258}">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S7 &amp; W12 &amp; T12 &amp; X10 &amp; U12 &amp; O22 &amp; I10 &amp; P95</t>
        </r>
      </text>
    </comment>
    <comment ref="F54" authorId="0" shapeId="0" xr:uid="{F7B14BB7-8A88-47A5-BD1C-8500D23A760A}">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S11 &amp; U14 &amp; O22 &amp; I10 &amp; P120</t>
        </r>
      </text>
    </comment>
    <comment ref="F55" authorId="0" shapeId="0" xr:uid="{F1816615-73C1-43B7-8BCA-482C90E567D5}">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S5 &amp; W2 &amp; T11 &amp; X11 &amp; U17 &amp; O23 &amp; I20 &amp; P90</t>
        </r>
      </text>
    </comment>
    <comment ref="F56" authorId="0" shapeId="0" xr:uid="{BB1E0003-C887-4924-96DE-1050C8AEAB31}">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97.8%] - [</t>
        </r>
        <r>
          <rPr>
            <b/>
            <sz val="10"/>
            <color indexed="48"/>
            <rFont val="Calibri"/>
            <family val="2"/>
          </rPr>
          <t xml:space="preserve">SOLD </t>
        </r>
        <r>
          <rPr>
            <b/>
            <sz val="10"/>
            <color indexed="8"/>
            <rFont val="Calibri"/>
            <family val="2"/>
          </rPr>
          <t>» 176 PAX]</t>
        </r>
        <r>
          <rPr>
            <b/>
            <sz val="8.5"/>
            <color indexed="8"/>
            <rFont val="Calibri"/>
            <family val="2"/>
          </rPr>
          <t>_x000D_
[</t>
        </r>
        <r>
          <rPr>
            <b/>
            <sz val="8.5"/>
            <color indexed="21"/>
            <rFont val="Calibri"/>
            <family val="2"/>
          </rPr>
          <t xml:space="preserve">WEEKLY </t>
        </r>
        <r>
          <rPr>
            <b/>
            <sz val="8.5"/>
            <color indexed="8"/>
            <rFont val="Calibri"/>
            <family val="2"/>
          </rPr>
          <t>» 69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S17 &amp; W18 &amp; T18 &amp; X18 &amp; U18 &amp; O18 &amp; I18 &amp; P51</t>
        </r>
      </text>
    </comment>
    <comment ref="F57" authorId="0" shapeId="0" xr:uid="{E628DE30-F65B-4CC8-BC4E-3216C4D5B103}">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59.4%]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G7 &amp; S18 &amp; W18 &amp; T22 &amp; X10 &amp; U11 &amp; O11 &amp; I10</t>
        </r>
      </text>
    </comment>
    <comment ref="F58" authorId="0" shapeId="0" xr:uid="{34D178BB-90FB-4640-8817-771C1868814D}">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W3 &amp; T11 &amp; X19 &amp; U17 &amp; O18 &amp; I18 &amp; P90</t>
        </r>
      </text>
    </comment>
    <comment ref="F59" authorId="0" shapeId="0" xr:uid="{A164228C-E407-47C2-913B-15484FE975C0}">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T14 &amp; X21 &amp; U18 &amp; O18 &amp; I18 &amp; P90</t>
        </r>
      </text>
    </comment>
    <comment ref="F60" authorId="0" shapeId="0" xr:uid="{3373524F-6805-45AD-BFD5-8ECC84DF202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W5 &amp; T11 &amp; X12 &amp; U12 &amp; O11 &amp; I11 &amp; P115</t>
        </r>
      </text>
    </comment>
    <comment ref="F61" authorId="0" shapeId="0" xr:uid="{09E04B4A-73C1-439A-AEE7-D3390D2B4A11}">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74.4%]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G9 &amp; S31 &amp; W9 &amp; T20 &amp; X5 &amp; U5 &amp; O5 &amp; I5 &amp; P45</t>
        </r>
      </text>
    </comment>
    <comment ref="F62" authorId="0" shapeId="0" xr:uid="{40628C9D-EC26-4524-8903-673B189E4165}">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68.9%] - [</t>
        </r>
        <r>
          <rPr>
            <b/>
            <sz val="10"/>
            <color indexed="48"/>
            <rFont val="Calibri"/>
            <family val="2"/>
          </rPr>
          <t xml:space="preserve">SOLD </t>
        </r>
        <r>
          <rPr>
            <b/>
            <sz val="10"/>
            <color indexed="8"/>
            <rFont val="Calibri"/>
            <family val="2"/>
          </rPr>
          <t>» 124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G4 &amp; S15 &amp; W22 &amp; T20 &amp; X19 &amp; U12 &amp; O11 &amp; I21</t>
        </r>
      </text>
    </comment>
    <comment ref="F63" authorId="0" shapeId="0" xr:uid="{37C415E8-9CE3-4DEF-8350-8AD411DF0638}">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86.1%] - [</t>
        </r>
        <r>
          <rPr>
            <b/>
            <sz val="10"/>
            <color indexed="48"/>
            <rFont val="Calibri"/>
            <family val="2"/>
          </rPr>
          <t xml:space="preserve">SOLD </t>
        </r>
        <r>
          <rPr>
            <b/>
            <sz val="10"/>
            <color indexed="8"/>
            <rFont val="Calibri"/>
            <family val="2"/>
          </rPr>
          <t>» 155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G7 &amp; S15 &amp; W9 &amp; T9 &amp; X23 &amp; U12 &amp; O11 &amp; I21 &amp; P48</t>
        </r>
      </text>
    </comment>
    <comment ref="F65" authorId="0" shapeId="0" xr:uid="{4BE66013-9175-4E98-9299-5CF51280E78E}">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82.8%]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K6 &amp; V21 &amp; L7 &amp; G11 &amp; S22 &amp; W12 &amp; T12 &amp; X12 &amp; U21 &amp; O11 &amp; I10 &amp; N4</t>
        </r>
      </text>
    </comment>
    <comment ref="F66" authorId="0" shapeId="0" xr:uid="{AE4A8EB5-FCB9-43D8-982D-2C291F618F33}">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30-OCT]_x000D_
{</t>
        </r>
        <r>
          <rPr>
            <b/>
            <sz val="8.5"/>
            <color indexed="10"/>
            <rFont val="Calibri"/>
            <family val="2"/>
          </rPr>
          <t>CLASSES</t>
        </r>
        <r>
          <rPr>
            <b/>
            <sz val="8.5"/>
            <color indexed="8"/>
            <rFont val="Calibri"/>
            <family val="2"/>
          </rPr>
          <t>}_x000D_
X1 &amp; U12 &amp; O11 &amp; I21 &amp; P135</t>
        </r>
      </text>
    </comment>
    <comment ref="F67" authorId="0" shapeId="0" xr:uid="{B8BF3575-1821-44F5-8C49-5A9E6ADB888A}">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K3 &amp; L5 &amp; S3 &amp; W2 &amp; T3 &amp; X13 &amp; U6 &amp; O4 &amp; I5 &amp; P135</t>
        </r>
      </text>
    </comment>
    <comment ref="F68" authorId="0" shapeId="0" xr:uid="{DFE9156C-0162-443C-B6B9-4D7166B742C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K8 &amp; V10 &amp; L24 &amp; G11 &amp; S14 &amp; W11 &amp; T9 &amp; X11 &amp; U23 &amp; O11 &amp; I10 &amp; P30 &amp; N1</t>
        </r>
      </text>
    </comment>
    <comment ref="F69" authorId="0" shapeId="0" xr:uid="{6E6BF1CE-B15A-4E9E-B3D4-C0FD589BAA4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75.0%] - [</t>
        </r>
        <r>
          <rPr>
            <b/>
            <sz val="10"/>
            <color indexed="48"/>
            <rFont val="Calibri"/>
            <family val="2"/>
          </rPr>
          <t xml:space="preserve">SOLD </t>
        </r>
        <r>
          <rPr>
            <b/>
            <sz val="10"/>
            <color indexed="8"/>
            <rFont val="Calibri"/>
            <family val="2"/>
          </rPr>
          <t>» 135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V5 &amp; L19 &amp; G22 &amp; S11 &amp; W12 &amp; T11 &amp; X11 &amp; U12 &amp; O22 &amp; I10</t>
        </r>
      </text>
    </comment>
    <comment ref="F78" authorId="0" shapeId="0" xr:uid="{CF44A81C-283E-447A-A504-4079FF46628F}">
      <text>
        <r>
          <rPr>
            <b/>
            <sz val="10"/>
            <color indexed="8"/>
            <rFont val="Calibri"/>
            <family val="2"/>
          </rPr>
          <t>-{ SM471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75.6%] - [</t>
        </r>
        <r>
          <rPr>
            <b/>
            <sz val="10"/>
            <color indexed="48"/>
            <rFont val="Calibri"/>
            <family val="2"/>
          </rPr>
          <t xml:space="preserve">SOLD </t>
        </r>
        <r>
          <rPr>
            <b/>
            <sz val="10"/>
            <color indexed="8"/>
            <rFont val="Calibri"/>
            <family val="2"/>
          </rPr>
          <t>» 136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K2 &amp; V15 &amp; L22 &amp; G11 &amp; S11 &amp; W11 &amp; T10 &amp; X22 &amp; U11 &amp; O11 &amp; I10</t>
        </r>
      </text>
    </comment>
    <comment ref="F79" authorId="0" shapeId="0" xr:uid="{10B77874-8305-4A78-A1C2-7600900279D8}">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87.8%] - [</t>
        </r>
        <r>
          <rPr>
            <b/>
            <sz val="10"/>
            <color indexed="48"/>
            <rFont val="Calibri"/>
            <family val="2"/>
          </rPr>
          <t xml:space="preserve">SOLD </t>
        </r>
        <r>
          <rPr>
            <b/>
            <sz val="10"/>
            <color indexed="8"/>
            <rFont val="Calibri"/>
            <family val="2"/>
          </rPr>
          <t>» 158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K3 &amp; V16 &amp; L17 &amp; G8 &amp; S9 &amp; W9 &amp; T9 &amp; X9 &amp; U8 &amp; O8 &amp; I17 &amp; P45</t>
        </r>
      </text>
    </comment>
    <comment ref="F80" authorId="0" shapeId="0" xr:uid="{8C2FA87F-8974-4CBC-8126-5A01C3D93AD1}">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Q1]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K26 &amp; V29 &amp; L26 &amp; G10 &amp; S12 &amp; W21 &amp; T13 &amp; X9 &amp; U12 &amp; O11 &amp; I10</t>
        </r>
      </text>
    </comment>
    <comment ref="F81" authorId="0" shapeId="0" xr:uid="{077F372D-625A-42FB-8044-766B7A4AE6D8}">
      <text>
        <r>
          <rPr>
            <b/>
            <sz val="10"/>
            <color indexed="8"/>
            <rFont val="Calibri"/>
            <family val="2"/>
          </rPr>
          <t>-{ SM423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89.4%]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Q8 &amp; K13 &amp; V20 &amp; L18 &amp; G11 &amp; S21 &amp; W12 &amp; T11 &amp; X11 &amp; U12 &amp; O11 &amp; I10 &amp; N3</t>
        </r>
      </text>
    </comment>
    <comment ref="F82" authorId="0" shapeId="0" xr:uid="{B1941A6B-FDAE-457A-A849-7C204985969A}">
      <text>
        <r>
          <rPr>
            <b/>
            <sz val="10"/>
            <color indexed="8"/>
            <rFont val="Calibri"/>
            <family val="2"/>
          </rPr>
          <t>-{ SM449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103.3%] - [</t>
        </r>
        <r>
          <rPr>
            <b/>
            <sz val="10"/>
            <color indexed="48"/>
            <rFont val="Calibri"/>
            <family val="2"/>
          </rPr>
          <t xml:space="preserve">SOLD </t>
        </r>
        <r>
          <rPr>
            <b/>
            <sz val="10"/>
            <color indexed="8"/>
            <rFont val="Calibri"/>
            <family val="2"/>
          </rPr>
          <t>» 186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t>
        </r>
        <r>
          <rPr>
            <b/>
            <sz val="8.5"/>
            <color indexed="10"/>
            <rFont val="Calibri"/>
            <family val="2"/>
          </rPr>
          <t>CLASSES</t>
        </r>
        <r>
          <rPr>
            <b/>
            <sz val="8.5"/>
            <color indexed="8"/>
            <rFont val="Calibri"/>
            <family val="2"/>
          </rPr>
          <t>}_x000D_
V1 &amp; G15 &amp; S21 &amp; W20 &amp; T42 &amp; X9 &amp; U12 &amp; O11 &amp; I10 &amp; P45</t>
        </r>
      </text>
    </comment>
    <comment ref="F83" authorId="0" shapeId="0" xr:uid="{79762BC3-706D-460A-8ACB-CB4E7A41723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100.6%] - [</t>
        </r>
        <r>
          <rPr>
            <b/>
            <sz val="10"/>
            <color indexed="48"/>
            <rFont val="Calibri"/>
            <family val="2"/>
          </rPr>
          <t xml:space="preserve">SOLD </t>
        </r>
        <r>
          <rPr>
            <b/>
            <sz val="10"/>
            <color indexed="8"/>
            <rFont val="Calibri"/>
            <family val="2"/>
          </rPr>
          <t>» 181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22-OCT]_x000D_
{</t>
        </r>
        <r>
          <rPr>
            <b/>
            <sz val="8.5"/>
            <color indexed="10"/>
            <rFont val="Calibri"/>
            <family val="2"/>
          </rPr>
          <t>CLASSES</t>
        </r>
        <r>
          <rPr>
            <b/>
            <sz val="8.5"/>
            <color indexed="8"/>
            <rFont val="Calibri"/>
            <family val="2"/>
          </rPr>
          <t>}_x000D_
G6 &amp; X7 &amp; U11 &amp; O11 &amp; I10 &amp; P135 &amp; N1</t>
        </r>
      </text>
    </comment>
    <comment ref="F84" authorId="0" shapeId="0" xr:uid="{B8185A98-5502-4ACE-83FF-AF66B53703D1}">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12-NOV]_x000D_
{</t>
        </r>
        <r>
          <rPr>
            <b/>
            <sz val="8.5"/>
            <color indexed="10"/>
            <rFont val="Calibri"/>
            <family val="2"/>
          </rPr>
          <t>CLASSES</t>
        </r>
        <r>
          <rPr>
            <b/>
            <sz val="8.5"/>
            <color indexed="8"/>
            <rFont val="Calibri"/>
            <family val="2"/>
          </rPr>
          <t>}_x000D_
Y3 &amp; K8 &amp; V9 &amp; L15 &amp; G9 &amp; S10 &amp; W18 &amp; T9 &amp; X9 &amp; P90</t>
        </r>
      </text>
    </comment>
    <comment ref="F88" authorId="0" shapeId="0" xr:uid="{F31DC242-865E-4F86-B9BA-F27D04DD91AD}">
      <text>
        <r>
          <rPr>
            <b/>
            <sz val="10"/>
            <color indexed="8"/>
            <rFont val="Calibri"/>
            <family val="2"/>
          </rPr>
          <t>-{ SM459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G7 &amp; S8 &amp; W11 &amp; T10 &amp; X11 &amp; U12 &amp; O22 &amp; I10 &amp; P89</t>
        </r>
      </text>
    </comment>
    <comment ref="F90" authorId="0" shapeId="0" xr:uid="{B83CE113-9257-4F8F-AFDF-D719D4646B99}">
      <text>
        <r>
          <rPr>
            <b/>
            <sz val="10"/>
            <color indexed="8"/>
            <rFont val="Calibri"/>
            <family val="2"/>
          </rPr>
          <t>-{ SM477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92.8%]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L7 &amp; G20 &amp; S10 &amp; W10 &amp; T10 &amp; X20 &amp; P90</t>
        </r>
      </text>
    </comment>
    <comment ref="F91" authorId="0" shapeId="0" xr:uid="{2189BD47-D070-40E1-A203-BCD8E9836B0B}">
      <text>
        <r>
          <rPr>
            <b/>
            <sz val="10"/>
            <color indexed="8"/>
            <rFont val="Calibri"/>
            <family val="2"/>
          </rPr>
          <t>-{ SM431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95.0%] - [</t>
        </r>
        <r>
          <rPr>
            <b/>
            <sz val="10"/>
            <color indexed="48"/>
            <rFont val="Calibri"/>
            <family val="2"/>
          </rPr>
          <t xml:space="preserve">SOLD </t>
        </r>
        <r>
          <rPr>
            <b/>
            <sz val="10"/>
            <color indexed="8"/>
            <rFont val="Calibri"/>
            <family val="2"/>
          </rPr>
          <t>» 171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V4]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V7 &amp; L9 &amp; G15 &amp; S12 &amp; W9 &amp; T10 &amp; X4 &amp; U5 &amp; O5 &amp; I5 &amp; E45 &amp; P45</t>
        </r>
      </text>
    </comment>
    <comment ref="F92" authorId="0" shapeId="0" xr:uid="{E41A330C-CE16-42DD-A112-BC78A71E3442}">
      <text>
        <r>
          <rPr>
            <b/>
            <sz val="10"/>
            <color indexed="8"/>
            <rFont val="Calibri"/>
            <family val="2"/>
          </rPr>
          <t>-{ SM479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92.2%] - [</t>
        </r>
        <r>
          <rPr>
            <b/>
            <sz val="10"/>
            <color indexed="48"/>
            <rFont val="Calibri"/>
            <family val="2"/>
          </rPr>
          <t xml:space="preserve">SOLD </t>
        </r>
        <r>
          <rPr>
            <b/>
            <sz val="10"/>
            <color indexed="8"/>
            <rFont val="Calibri"/>
            <family val="2"/>
          </rPr>
          <t>» 166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V8]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V5 &amp; L11 &amp; G9 &amp; S11 &amp; W7 &amp; T9 &amp; X9 &amp; U5 &amp; O5 &amp; I5 &amp; P90</t>
        </r>
      </text>
    </comment>
    <comment ref="F93" authorId="0" shapeId="0" xr:uid="{A7782A42-654A-4AC4-B038-FA41AA5F043E}">
      <text>
        <r>
          <rPr>
            <b/>
            <sz val="10"/>
            <color indexed="8"/>
            <rFont val="Calibri"/>
            <family val="2"/>
          </rPr>
          <t>-{ SM475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05-NOV]_x000D_
{</t>
        </r>
        <r>
          <rPr>
            <b/>
            <sz val="8.5"/>
            <color indexed="10"/>
            <rFont val="Calibri"/>
            <family val="2"/>
          </rPr>
          <t>CLASSES</t>
        </r>
        <r>
          <rPr>
            <b/>
            <sz val="8.5"/>
            <color indexed="8"/>
            <rFont val="Calibri"/>
            <family val="2"/>
          </rPr>
          <t>}_x000D_
G2 &amp; S10 &amp; W12 &amp; T11 &amp; X11 &amp; U23 &amp; O11 &amp; I10 &amp; P90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86EB3AF3-99AD-4054-B6E5-A0AF841E87C5}">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T12 &amp; X13 &amp; U3 &amp; O2 &amp; I17 &amp; P130</t>
        </r>
      </text>
    </comment>
    <comment ref="F19" authorId="0" shapeId="0" xr:uid="{934B767D-5484-439F-9EFD-BC3848DA830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74.4%]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L2 &amp; G1 &amp; S17 &amp; W18 &amp; T9 &amp; X27 &amp; U5 &amp; O5 &amp; I5 &amp; P45</t>
        </r>
      </text>
    </comment>
    <comment ref="F37" authorId="0" shapeId="0" xr:uid="{EF28DD4C-FB82-4FAD-B42D-3D55963E7523}">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90.0%] - [</t>
        </r>
        <r>
          <rPr>
            <b/>
            <sz val="10"/>
            <color indexed="48"/>
            <rFont val="Calibri"/>
            <family val="2"/>
          </rPr>
          <t xml:space="preserve">SOLD </t>
        </r>
        <r>
          <rPr>
            <b/>
            <sz val="10"/>
            <color indexed="8"/>
            <rFont val="Calibri"/>
            <family val="2"/>
          </rPr>
          <t>» 162 PAX]</t>
        </r>
        <r>
          <rPr>
            <b/>
            <sz val="8.5"/>
            <color indexed="8"/>
            <rFont val="Calibri"/>
            <family val="2"/>
          </rPr>
          <t>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S11 &amp; W11 &amp; T15 &amp; X15 &amp; U10 &amp; O10 &amp; P90</t>
        </r>
      </text>
    </comment>
    <comment ref="F38" authorId="0" shapeId="0" xr:uid="{51E87002-5863-434A-99F6-77EA004C378B}">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S8 &amp; W3 &amp; T15 &amp; X15 &amp; U5 &amp; P127</t>
        </r>
      </text>
    </comment>
    <comment ref="F58" authorId="0" shapeId="0" xr:uid="{83AE2E60-C27D-4707-9CE9-F8830B864A90}">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W6 &amp; T9 &amp; X10 &amp; U2 &amp; O3 &amp; I3 &amp; P134</t>
        </r>
      </text>
    </comment>
    <comment ref="F59" authorId="0" shapeId="0" xr:uid="{73C694E2-F82A-488F-9B11-5EC47F6933A3}">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88.9%] - [</t>
        </r>
        <r>
          <rPr>
            <b/>
            <sz val="10"/>
            <color indexed="48"/>
            <rFont val="Calibri"/>
            <family val="2"/>
          </rPr>
          <t xml:space="preserve">SOLD </t>
        </r>
        <r>
          <rPr>
            <b/>
            <sz val="10"/>
            <color indexed="8"/>
            <rFont val="Calibri"/>
            <family val="2"/>
          </rPr>
          <t>» 160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S3 &amp; W4 &amp; T9 &amp; X19 &amp; P125</t>
        </r>
      </text>
    </comment>
    <comment ref="F78" authorId="0" shapeId="0" xr:uid="{FB58DFFF-D4D2-4310-8A05-6562BBA980DA}">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X14 &amp; U12 &amp; O9 &amp; I9 &amp; P134</t>
        </r>
      </text>
    </comment>
    <comment ref="F79" authorId="0" shapeId="0" xr:uid="{A44E35FF-4E17-47F9-86C7-1A3C5A9BB1DA}">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W2 &amp; T8 &amp; X13 &amp; U4 &amp; O8 &amp; I8 &amp; P131</t>
        </r>
      </text>
    </comment>
    <comment ref="F103" authorId="0" shapeId="0" xr:uid="{B66D1ECE-C73C-435E-BB7C-BC0E5842030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102.2%] - [</t>
        </r>
        <r>
          <rPr>
            <b/>
            <sz val="10"/>
            <color indexed="48"/>
            <rFont val="Calibri"/>
            <family val="2"/>
          </rPr>
          <t xml:space="preserve">SOLD </t>
        </r>
        <r>
          <rPr>
            <b/>
            <sz val="10"/>
            <color indexed="8"/>
            <rFont val="Calibri"/>
            <family val="2"/>
          </rPr>
          <t>» 184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31-OCT]_x000D_
{</t>
        </r>
        <r>
          <rPr>
            <b/>
            <sz val="8.5"/>
            <color indexed="10"/>
            <rFont val="Calibri"/>
            <family val="2"/>
          </rPr>
          <t>CLASSES</t>
        </r>
        <r>
          <rPr>
            <b/>
            <sz val="8.5"/>
            <color indexed="8"/>
            <rFont val="Calibri"/>
            <family val="2"/>
          </rPr>
          <t>}_x000D_
X5 &amp; U4 &amp; O5 &amp; I5 &amp; P165</t>
        </r>
      </text>
    </comment>
    <comment ref="F116" authorId="0" shapeId="0" xr:uid="{769EDB66-AEFB-437D-ABFE-2C5EBEF54C46}">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97.2%]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K1 &amp; S3 &amp; W5 &amp; T19 &amp; X17 &amp; P130</t>
        </r>
      </text>
    </comment>
    <comment ref="F120" authorId="0" shapeId="0" xr:uid="{80E18ED8-4A4F-4429-8D66-BB096F4B88E5}">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t>
        </r>
        <r>
          <rPr>
            <b/>
            <sz val="8.5"/>
            <color indexed="10"/>
            <rFont val="Calibri"/>
            <family val="2"/>
          </rPr>
          <t>CLASSES</t>
        </r>
        <r>
          <rPr>
            <b/>
            <sz val="8.5"/>
            <color indexed="8"/>
            <rFont val="Calibri"/>
            <family val="2"/>
          </rPr>
          <t>}_x000D_
T9 &amp; X9 &amp; U9 &amp; O9 &amp; I9 &amp; P135</t>
        </r>
      </text>
    </comment>
    <comment ref="F121" authorId="0" shapeId="0" xr:uid="{7ACE3078-ABF1-46E6-9A59-2797975BA283}">
      <text>
        <r>
          <rPr>
            <b/>
            <sz val="10"/>
            <color indexed="8"/>
            <rFont val="Calibri"/>
            <family val="2"/>
          </rPr>
          <t>-{ SM473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10-NOV]_x000D_
{</t>
        </r>
        <r>
          <rPr>
            <b/>
            <sz val="8.5"/>
            <color indexed="10"/>
            <rFont val="Calibri"/>
            <family val="2"/>
          </rPr>
          <t>CLASSES</t>
        </r>
        <r>
          <rPr>
            <b/>
            <sz val="8.5"/>
            <color indexed="8"/>
            <rFont val="Calibri"/>
            <family val="2"/>
          </rPr>
          <t>}_x000D_
S1 &amp; T4 &amp; X9 &amp; P166</t>
        </r>
      </text>
    </comment>
    <comment ref="F140" authorId="0" shapeId="0" xr:uid="{A53272DF-BF34-4617-9E99-80FEA28C75F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S12 &amp; W10 &amp; T5 &amp; X5 &amp; U5 &amp; O5 &amp; I5 &amp; P127 &amp; N5</t>
        </r>
      </text>
    </comment>
    <comment ref="F153" authorId="0" shapeId="0" xr:uid="{7F7C0107-8B10-4483-9E73-EF5F4052C391}">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50.0%]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S9 &amp; W28 &amp; T33 &amp; X18 &amp; N2</t>
        </r>
      </text>
    </comment>
    <comment ref="F168" authorId="0" shapeId="0" xr:uid="{1D080FAA-F23E-41D4-992A-77C5ABD48BCF}">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94.4%] - [</t>
        </r>
        <r>
          <rPr>
            <b/>
            <sz val="10"/>
            <color indexed="48"/>
            <rFont val="Calibri"/>
            <family val="2"/>
          </rPr>
          <t xml:space="preserve">SOLD </t>
        </r>
        <r>
          <rPr>
            <b/>
            <sz val="10"/>
            <color indexed="8"/>
            <rFont val="Calibri"/>
            <family val="2"/>
          </rPr>
          <t>» 170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V4 &amp; L10 &amp; G7 &amp; S18 &amp; W18 &amp; T9 &amp; X9 &amp; P95</t>
        </r>
      </text>
    </comment>
    <comment ref="F178" authorId="0" shapeId="0" xr:uid="{006E0ED3-70CF-44F4-8189-0F4C96B53A4E}">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L2 &amp; S8 &amp; W17 &amp; T9 &amp; X9 &amp; P135</t>
        </r>
      </text>
    </comment>
    <comment ref="F194" authorId="0" shapeId="0" xr:uid="{3F5646EA-F97A-42B0-A872-82B33723C345}">
      <text>
        <r>
          <rPr>
            <b/>
            <sz val="10"/>
            <color indexed="8"/>
            <rFont val="Calibri"/>
            <family val="2"/>
          </rPr>
          <t>-{ SM451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G5 &amp; S10 &amp; W4 &amp; T5 &amp; X5 &amp; U5 &amp; O5 &amp; I5 &amp; P135</t>
        </r>
      </text>
    </comment>
    <comment ref="F195" authorId="0" shapeId="0" xr:uid="{6EA55258-EA42-4107-9993-394785463781}">
      <text>
        <r>
          <rPr>
            <b/>
            <sz val="10"/>
            <color indexed="8"/>
            <rFont val="Calibri"/>
            <family val="2"/>
          </rPr>
          <t>-{ SM457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G5 &amp; S3 &amp; W1 &amp; T18 &amp; X18 &amp; P135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80356E6F-716E-41A4-AECD-C40D701729FF}">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92.8%] - [</t>
        </r>
        <r>
          <rPr>
            <b/>
            <sz val="10"/>
            <color indexed="48"/>
            <rFont val="Calibri"/>
            <family val="2"/>
          </rPr>
          <t xml:space="preserve">SOLD </t>
        </r>
        <r>
          <rPr>
            <b/>
            <sz val="10"/>
            <color indexed="8"/>
            <rFont val="Calibri"/>
            <family val="2"/>
          </rPr>
          <t>» 167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S9 &amp; W24 &amp; X1 &amp; E47 &amp; P86</t>
        </r>
      </text>
    </comment>
    <comment ref="F3" authorId="0" shapeId="0" xr:uid="{39DB4900-6042-41D4-94DD-69C145442DE8}">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82.8%] - [</t>
        </r>
        <r>
          <rPr>
            <b/>
            <sz val="10"/>
            <color indexed="48"/>
            <rFont val="Calibri"/>
            <family val="2"/>
          </rPr>
          <t xml:space="preserve">SOLD </t>
        </r>
        <r>
          <rPr>
            <b/>
            <sz val="10"/>
            <color indexed="8"/>
            <rFont val="Calibri"/>
            <family val="2"/>
          </rPr>
          <t>» 149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S24 &amp; W30 &amp; P95</t>
        </r>
      </text>
    </comment>
    <comment ref="F16" authorId="0" shapeId="0" xr:uid="{57E2BFEE-0E09-4D29-8382-28205C0A3EB4}">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72.8%]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102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G5 &amp; S18 &amp; W18 &amp; T18 &amp; X18 &amp; U18 &amp; O18 &amp; I18</t>
        </r>
      </text>
    </comment>
    <comment ref="F28" authorId="0" shapeId="0" xr:uid="{67278F50-FD09-46EB-AE36-A2A3F43D827A}">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88.9%] - [</t>
        </r>
        <r>
          <rPr>
            <b/>
            <sz val="10"/>
            <color indexed="48"/>
            <rFont val="Calibri"/>
            <family val="2"/>
          </rPr>
          <t xml:space="preserve">SOLD </t>
        </r>
        <r>
          <rPr>
            <b/>
            <sz val="10"/>
            <color indexed="8"/>
            <rFont val="Calibri"/>
            <family val="2"/>
          </rPr>
          <t>» 160 PAX]</t>
        </r>
        <r>
          <rPr>
            <b/>
            <sz val="8.5"/>
            <color indexed="8"/>
            <rFont val="Calibri"/>
            <family val="2"/>
          </rPr>
          <t>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W14 &amp; T10 &amp; X10 &amp; U24 &amp; O5 &amp; I5 &amp; P90</t>
        </r>
      </text>
    </comment>
    <comment ref="F30" authorId="0" shapeId="0" xr:uid="{3DA894DF-8552-4072-B113-6EF0B99ECB20}">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S5 &amp; W12 &amp; T11 &amp; X17 &amp; U31 &amp; I2 &amp; P100</t>
        </r>
      </text>
    </comment>
    <comment ref="F45" authorId="0" shapeId="0" xr:uid="{38C5B07A-C064-4AD1-BD49-4C3D837601E8}">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97.2%]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W9 &amp; T11 &amp; X11 &amp; U33 &amp; O10 &amp; I10 &amp; P90</t>
        </r>
      </text>
    </comment>
    <comment ref="F47" authorId="0" shapeId="0" xr:uid="{49D8DCF9-955B-4B6C-8800-740A235F1BDA}">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 &amp; T4 &amp; X11 &amp; U13 &amp; O21 &amp; I10 &amp; P120</t>
        </r>
      </text>
    </comment>
    <comment ref="F59" authorId="0" shapeId="0" xr:uid="{92D6FF12-0F3D-4A0D-9F3A-6A724469F909}">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66.7%]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 &amp; S2 &amp; W5 &amp; T10 &amp; X18 &amp; U22 &amp; O5 &amp; I5 &amp; P52</t>
        </r>
      </text>
    </comment>
    <comment ref="F60" authorId="0" shapeId="0" xr:uid="{1821FA55-4AEE-41F3-AC25-40FB029AF6BD}">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97.2%] - [</t>
        </r>
        <r>
          <rPr>
            <b/>
            <sz val="10"/>
            <color indexed="48"/>
            <rFont val="Calibri"/>
            <family val="2"/>
          </rPr>
          <t xml:space="preserve">SOLD </t>
        </r>
        <r>
          <rPr>
            <b/>
            <sz val="10"/>
            <color indexed="8"/>
            <rFont val="Calibri"/>
            <family val="2"/>
          </rPr>
          <t>» 175 PAX]</t>
        </r>
        <r>
          <rPr>
            <b/>
            <sz val="8.5"/>
            <color indexed="8"/>
            <rFont val="Calibri"/>
            <family val="2"/>
          </rPr>
          <t>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9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G1 &amp; S5 &amp; W3 &amp; T11 &amp; X10 &amp; U12 &amp; O22 &amp; I11 &amp; P100</t>
        </r>
      </text>
    </comment>
    <comment ref="F63" authorId="0" shapeId="0" xr:uid="{6BA996AF-FCFC-4817-9BE8-FAAE5AFCE140}">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74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X1 &amp; U40 &amp; O31 &amp; I18 &amp; P90</t>
        </r>
      </text>
    </comment>
    <comment ref="F75" authorId="0" shapeId="0" xr:uid="{E302B379-1CD5-4F05-9376-5219756A284E}">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69.4%] - [</t>
        </r>
        <r>
          <rPr>
            <b/>
            <sz val="10"/>
            <color indexed="48"/>
            <rFont val="Calibri"/>
            <family val="2"/>
          </rPr>
          <t xml:space="preserve">SOLD </t>
        </r>
        <r>
          <rPr>
            <b/>
            <sz val="10"/>
            <color indexed="8"/>
            <rFont val="Calibri"/>
            <family val="2"/>
          </rPr>
          <t>» 125 PAX]</t>
        </r>
        <r>
          <rPr>
            <b/>
            <sz val="8.5"/>
            <color indexed="8"/>
            <rFont val="Calibri"/>
            <family val="2"/>
          </rPr>
          <t>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T10 &amp; X10 &amp; U20 &amp; O30 &amp; I10 &amp; P45</t>
        </r>
      </text>
    </comment>
    <comment ref="F76" authorId="0" shapeId="0" xr:uid="{E093153F-9D6E-495D-B3F3-A213A63977DA}">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73.9%] - [</t>
        </r>
        <r>
          <rPr>
            <b/>
            <sz val="10"/>
            <color indexed="48"/>
            <rFont val="Calibri"/>
            <family val="2"/>
          </rPr>
          <t xml:space="preserve">SOLD </t>
        </r>
        <r>
          <rPr>
            <b/>
            <sz val="10"/>
            <color indexed="8"/>
            <rFont val="Calibri"/>
            <family val="2"/>
          </rPr>
          <t>» 133 PAX]</t>
        </r>
        <r>
          <rPr>
            <b/>
            <sz val="8.5"/>
            <color indexed="8"/>
            <rFont val="Calibri"/>
            <family val="2"/>
          </rPr>
          <t>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W4 &amp; T11 &amp; X11 &amp; U41 &amp; O10 &amp; I2 &amp; P50</t>
        </r>
      </text>
    </comment>
    <comment ref="F92" authorId="0" shapeId="0" xr:uid="{84806959-AFDC-4DD8-94EC-37F79111DDF2}">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97.8%] - [</t>
        </r>
        <r>
          <rPr>
            <b/>
            <sz val="10"/>
            <color indexed="48"/>
            <rFont val="Calibri"/>
            <family val="2"/>
          </rPr>
          <t xml:space="preserve">SOLD </t>
        </r>
        <r>
          <rPr>
            <b/>
            <sz val="10"/>
            <color indexed="8"/>
            <rFont val="Calibri"/>
            <family val="2"/>
          </rPr>
          <t>» 176 PAX]</t>
        </r>
        <r>
          <rPr>
            <b/>
            <sz val="8.5"/>
            <color indexed="8"/>
            <rFont val="Calibri"/>
            <family val="2"/>
          </rPr>
          <t>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G3]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G2 &amp; X3 &amp; U15 &amp; O10 &amp; I12 &amp; P134</t>
        </r>
      </text>
    </comment>
    <comment ref="F95" authorId="0" shapeId="0" xr:uid="{194F2E3D-D84B-4ED7-8A8E-6849EAEB7137}">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05-SEP]_x000D_
{</t>
        </r>
        <r>
          <rPr>
            <b/>
            <sz val="8.5"/>
            <color indexed="10"/>
            <rFont val="Calibri"/>
            <family val="2"/>
          </rPr>
          <t>CLASSES</t>
        </r>
        <r>
          <rPr>
            <b/>
            <sz val="8.5"/>
            <color indexed="8"/>
            <rFont val="Calibri"/>
            <family val="2"/>
          </rPr>
          <t>}_x000D_
E45 &amp; P135</t>
        </r>
      </text>
    </comment>
    <comment ref="F96" authorId="0" shapeId="0" xr:uid="{DC683B19-C7BA-46BE-949E-D3E0E6AE912E}">
      <text>
        <r>
          <rPr>
            <b/>
            <sz val="10"/>
            <color indexed="8"/>
            <rFont val="Calibri"/>
            <family val="2"/>
          </rPr>
          <t>-{ SM421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W2 &amp; X12 &amp; U21 &amp; O18 &amp; I16 &amp; P109</t>
        </r>
      </text>
    </comment>
    <comment ref="F108" authorId="0" shapeId="0" xr:uid="{C16E5C31-2988-4E23-9D2D-AF027EFBF8AB}">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95.0%] - [</t>
        </r>
        <r>
          <rPr>
            <b/>
            <sz val="10"/>
            <color indexed="48"/>
            <rFont val="Calibri"/>
            <family val="2"/>
          </rPr>
          <t xml:space="preserve">SOLD </t>
        </r>
        <r>
          <rPr>
            <b/>
            <sz val="10"/>
            <color indexed="8"/>
            <rFont val="Calibri"/>
            <family val="2"/>
          </rPr>
          <t>» 171 PAX]</t>
        </r>
        <r>
          <rPr>
            <b/>
            <sz val="8.5"/>
            <color indexed="8"/>
            <rFont val="Calibri"/>
            <family val="2"/>
          </rPr>
          <t>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W5 &amp; T6 &amp; X15 &amp; O2 &amp; I1 &amp; P140</t>
        </r>
      </text>
    </comment>
    <comment ref="F109" authorId="0" shapeId="0" xr:uid="{C436755E-1B9B-4EA3-9571-7820F2D7E90E}">
      <text>
        <r>
          <rPr>
            <b/>
            <sz val="10"/>
            <color indexed="8"/>
            <rFont val="Calibri"/>
            <family val="2"/>
          </rPr>
          <t>-{ SM453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180 PAX]</t>
        </r>
        <r>
          <rPr>
            <b/>
            <sz val="8.5"/>
            <color indexed="8"/>
            <rFont val="Calibri"/>
            <family val="2"/>
          </rPr>
          <t>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W1 &amp; T9 &amp; X23 &amp; U5 &amp; O3 &amp; I2 &amp; P135</t>
        </r>
      </text>
    </comment>
    <comment ref="F121" authorId="0" shapeId="0" xr:uid="{227B5954-610A-4D56-BA5F-4383270B2E3D}">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39.4%] - [</t>
        </r>
        <r>
          <rPr>
            <b/>
            <sz val="10"/>
            <color indexed="48"/>
            <rFont val="Calibri"/>
            <family val="2"/>
          </rPr>
          <t xml:space="preserve">SOLD </t>
        </r>
        <r>
          <rPr>
            <b/>
            <sz val="10"/>
            <color indexed="8"/>
            <rFont val="Calibri"/>
            <family val="2"/>
          </rPr>
          <t>» 71 PAX]</t>
        </r>
        <r>
          <rPr>
            <b/>
            <sz val="8.5"/>
            <color indexed="8"/>
            <rFont val="Calibri"/>
            <family val="2"/>
          </rPr>
          <t>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S7 &amp; W9 &amp; T7 &amp; X46 &amp; U1 &amp; O1</t>
        </r>
      </text>
    </comment>
    <comment ref="F133" authorId="0" shapeId="0" xr:uid="{5191F7F0-532E-4A1D-9041-2C4FD7F8009C}">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65.6%] - [</t>
        </r>
        <r>
          <rPr>
            <b/>
            <sz val="10"/>
            <color indexed="48"/>
            <rFont val="Calibri"/>
            <family val="2"/>
          </rPr>
          <t xml:space="preserve">SOLD </t>
        </r>
        <r>
          <rPr>
            <b/>
            <sz val="10"/>
            <color indexed="8"/>
            <rFont val="Calibri"/>
            <family val="2"/>
          </rPr>
          <t>» 118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S12 &amp; W11 &amp; T5 &amp; X4 &amp; P85</t>
        </r>
      </text>
    </comment>
    <comment ref="F134" authorId="0" shapeId="0" xr:uid="{7D8C8F8D-5404-4AF2-B6EE-051331C10344}">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87.2%]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Y2 &amp; G13 &amp; S14 &amp; W25 &amp; T2 &amp; X11 &amp; P90</t>
        </r>
      </text>
    </comment>
    <comment ref="F146" authorId="0" shapeId="0" xr:uid="{F42F0186-1AC3-41EF-BF16-3FC9F2CE292F}">
      <text>
        <r>
          <rPr>
            <b/>
            <sz val="10"/>
            <color indexed="8"/>
            <rFont val="Calibri"/>
            <family val="2"/>
          </rPr>
          <t>-{ SM491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80.6%] - [</t>
        </r>
        <r>
          <rPr>
            <b/>
            <sz val="10"/>
            <color indexed="48"/>
            <rFont val="Calibri"/>
            <family val="2"/>
          </rPr>
          <t xml:space="preserve">SOLD </t>
        </r>
        <r>
          <rPr>
            <b/>
            <sz val="10"/>
            <color indexed="8"/>
            <rFont val="Calibri"/>
            <family val="2"/>
          </rPr>
          <t>» 145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18]_x000D_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W2 &amp; T16 &amp; X15 &amp; U25 &amp; O3 &amp; I2 &amp; E37 &amp; P45</t>
        </r>
      </text>
    </comment>
    <comment ref="F147" authorId="0" shapeId="0" xr:uid="{E4D3D84E-A133-427C-B515-5A981C6836D2}">
      <text>
        <r>
          <rPr>
            <b/>
            <sz val="10"/>
            <color indexed="8"/>
            <rFont val="Calibri"/>
            <family val="2"/>
          </rPr>
          <t>-{ SM455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52.2%] - [</t>
        </r>
        <r>
          <rPr>
            <b/>
            <sz val="10"/>
            <color indexed="48"/>
            <rFont val="Calibri"/>
            <family val="2"/>
          </rPr>
          <t xml:space="preserve">SOLD </t>
        </r>
        <r>
          <rPr>
            <b/>
            <sz val="10"/>
            <color indexed="8"/>
            <rFont val="Calibri"/>
            <family val="2"/>
          </rPr>
          <t>» 94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W7 &amp; T6 &amp; X15 &amp; U20 &amp; P45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C0DC89A4-F69C-46A9-84B5-A8D8A5BFF5A0}">
      <text>
        <r>
          <rPr>
            <b/>
            <sz val="10"/>
            <color indexed="8"/>
            <rFont val="Calibri"/>
            <family val="2"/>
          </rPr>
          <t>-{ SM481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3" authorId="0" shapeId="0" xr:uid="{7185B2FC-2FC2-43F4-946A-5B71CF945289}">
      <text>
        <r>
          <rPr>
            <b/>
            <sz val="10"/>
            <color indexed="8"/>
            <rFont val="Calibri"/>
            <family val="2"/>
          </rPr>
          <t>-{ SM429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4" authorId="0" shapeId="0" xr:uid="{B9E46A8B-078B-4571-BF0C-951D2863112F}">
      <text>
        <r>
          <rPr>
            <b/>
            <sz val="10"/>
            <color indexed="8"/>
            <rFont val="Calibri"/>
            <family val="2"/>
          </rPr>
          <t>-{ SM483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 ref="F5" authorId="0" shapeId="0" xr:uid="{C5DA9934-AF06-43ED-9415-45C373E2F71A}">
      <text>
        <r>
          <rPr>
            <b/>
            <sz val="10"/>
            <color indexed="8"/>
            <rFont val="Calibri"/>
            <family val="2"/>
          </rPr>
          <t>-{ SM981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NIL] - [</t>
        </r>
        <r>
          <rPr>
            <b/>
            <sz val="10"/>
            <color indexed="48"/>
            <rFont val="Calibri"/>
            <family val="2"/>
          </rPr>
          <t xml:space="preserve">SOLD </t>
        </r>
        <r>
          <rPr>
            <b/>
            <sz val="10"/>
            <color indexed="8"/>
            <rFont val="Calibri"/>
            <family val="2"/>
          </rPr>
          <t>» NIL]</t>
        </r>
        <r>
          <rPr>
            <b/>
            <sz val="8.5"/>
            <color indexed="8"/>
            <rFont val="Calibri"/>
            <family val="2"/>
          </rPr>
          <t>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NIL]_x000D_
{</t>
        </r>
        <r>
          <rPr>
            <b/>
            <sz val="8.5"/>
            <color indexed="10"/>
            <rFont val="Calibri"/>
            <family val="2"/>
          </rPr>
          <t>CLASSES</t>
        </r>
        <r>
          <rPr>
            <b/>
            <sz val="8.5"/>
            <color indexed="8"/>
            <rFont val="Calibri"/>
            <family val="2"/>
          </rPr>
          <t>}_x000D_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7" authorId="0" shapeId="0" xr:uid="{C25F2172-14FD-4FB7-88C3-2DD37316D19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T3 &amp; X31 &amp; U20 &amp; O15 &amp; I34</t>
        </r>
      </text>
    </comment>
    <comment ref="F97" authorId="0" shapeId="0" xr:uid="{C231A74E-DBAD-4BC9-89FE-9A77C6CDFB19}">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W4 &amp; T13 &amp; X19 &amp; U10 &amp; O17 &amp; I28</t>
        </r>
      </text>
    </comment>
    <comment ref="F98" authorId="0" shapeId="0" xr:uid="{67544F82-E30C-47B1-8880-1D940B921038}">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44.1%] - [</t>
        </r>
        <r>
          <rPr>
            <b/>
            <sz val="10"/>
            <color indexed="48"/>
            <rFont val="Calibri"/>
            <family val="2"/>
          </rPr>
          <t xml:space="preserve">SOLD </t>
        </r>
        <r>
          <rPr>
            <b/>
            <sz val="10"/>
            <color indexed="8"/>
            <rFont val="Calibri"/>
            <family val="2"/>
          </rPr>
          <t>» 79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W4 &amp; T15 &amp; X10 &amp; U14 &amp; O10 &amp; I26</t>
        </r>
      </text>
    </comment>
    <comment ref="F146" authorId="0" shapeId="0" xr:uid="{877BE573-3961-4D85-8E4E-18E0822C8ACD}">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17]_x000D_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W12 &amp; T19 &amp; X10 &amp; U17 &amp; O10 &amp; I35</t>
        </r>
      </text>
    </comment>
    <comment ref="F211" authorId="0" shapeId="0" xr:uid="{034179C2-1E3B-49A4-8868-1CD1EC7B6852}">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52.5%] - [</t>
        </r>
        <r>
          <rPr>
            <b/>
            <sz val="10"/>
            <color indexed="48"/>
            <rFont val="Calibri"/>
            <family val="2"/>
          </rPr>
          <t xml:space="preserve">SOLD </t>
        </r>
        <r>
          <rPr>
            <b/>
            <sz val="10"/>
            <color indexed="8"/>
            <rFont val="Calibri"/>
            <family val="2"/>
          </rPr>
          <t>» 94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9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T2 &amp; X38 &amp; U7 &amp; O20 &amp; I26 &amp; N1</t>
        </r>
      </text>
    </comment>
    <comment ref="F280" authorId="0" shapeId="0" xr:uid="{CFFCBFF5-0858-49EC-946F-6259AD799B02}">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44.7%] - [</t>
        </r>
        <r>
          <rPr>
            <b/>
            <sz val="10"/>
            <color indexed="48"/>
            <rFont val="Calibri"/>
            <family val="2"/>
          </rPr>
          <t xml:space="preserve">SOLD </t>
        </r>
        <r>
          <rPr>
            <b/>
            <sz val="10"/>
            <color indexed="8"/>
            <rFont val="Calibri"/>
            <family val="2"/>
          </rPr>
          <t>» 80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W5 &amp; T23 &amp; X9 &amp; U8 &amp; O8 &amp; I26</t>
        </r>
      </text>
    </comment>
    <comment ref="F344" authorId="0" shapeId="0" xr:uid="{AFCBE2FB-DA11-48FB-BE8C-8E778CC77850}">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55.9%]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 &amp; S3 &amp; W17 &amp; T18 &amp; X9 &amp; U8 &amp; O43 &amp; I1</t>
        </r>
      </text>
    </comment>
    <comment ref="F390" authorId="0" shapeId="0" xr:uid="{094E54D7-FB4C-4DCF-9B7A-AE698F4D5257}">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43.6%] - [</t>
        </r>
        <r>
          <rPr>
            <b/>
            <sz val="10"/>
            <color indexed="48"/>
            <rFont val="Calibri"/>
            <family val="2"/>
          </rPr>
          <t xml:space="preserve">SOLD </t>
        </r>
        <r>
          <rPr>
            <b/>
            <sz val="10"/>
            <color indexed="8"/>
            <rFont val="Calibri"/>
            <family val="2"/>
          </rPr>
          <t>» 78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W18 &amp; X7 &amp; U18 &amp; O8 &amp; I27</t>
        </r>
      </text>
    </comment>
    <comment ref="F396" authorId="0" shapeId="0" xr:uid="{0910508D-50D0-4C3E-A502-31124F1982CE}">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12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G25 &amp; S7 &amp; W5 &amp; T4 &amp; X21 &amp; U7 &amp; O30 &amp; I4</t>
        </r>
      </text>
    </comment>
    <comment ref="F419" authorId="0" shapeId="0" xr:uid="{55303CC5-3C61-4DE3-8097-982CE932B485}">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43.0%] - [</t>
        </r>
        <r>
          <rPr>
            <b/>
            <sz val="10"/>
            <color indexed="48"/>
            <rFont val="Calibri"/>
            <family val="2"/>
          </rPr>
          <t xml:space="preserve">SOLD </t>
        </r>
        <r>
          <rPr>
            <b/>
            <sz val="10"/>
            <color indexed="8"/>
            <rFont val="Calibri"/>
            <family val="2"/>
          </rPr>
          <t>» 77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G12 &amp; S18 &amp; W9 &amp; T7 &amp; X12 &amp; U10 &amp; O6 &amp; I3</t>
        </r>
      </text>
    </comment>
    <comment ref="F475" authorId="0" shapeId="0" xr:uid="{3712A8C4-FF07-42D7-BAF0-587B8D6D2629}">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58.1%] - [</t>
        </r>
        <r>
          <rPr>
            <b/>
            <sz val="10"/>
            <color indexed="48"/>
            <rFont val="Calibri"/>
            <family val="2"/>
          </rPr>
          <t xml:space="preserve">SOLD </t>
        </r>
        <r>
          <rPr>
            <b/>
            <sz val="10"/>
            <color indexed="8"/>
            <rFont val="Calibri"/>
            <family val="2"/>
          </rPr>
          <t>» 104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Q6]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 &amp; K22 &amp; V7 &amp; L9 &amp; G12 &amp; S15 &amp; W8 &amp; T6 &amp; X4 &amp; U9 &amp; O5 &amp; I6</t>
        </r>
      </text>
    </comment>
    <comment ref="F476" authorId="0" shapeId="0" xr:uid="{D8878E27-AFD0-4BF3-B890-E173728A75F9}">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H6 &amp; Q3 &amp; K9 &amp; V7 &amp; L16 &amp; G10 &amp; S3 &amp; W13 &amp; T5 &amp; X5 &amp; U4 &amp; O7 &amp; I7</t>
        </r>
      </text>
    </comment>
    <comment ref="F519" authorId="0" shapeId="0" xr:uid="{8C71DCA3-2E74-4613-B2D0-FD469E58F9B7}">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65.9%] - [</t>
        </r>
        <r>
          <rPr>
            <b/>
            <sz val="10"/>
            <color indexed="48"/>
            <rFont val="Calibri"/>
            <family val="2"/>
          </rPr>
          <t xml:space="preserve">SOLD </t>
        </r>
        <r>
          <rPr>
            <b/>
            <sz val="10"/>
            <color indexed="8"/>
            <rFont val="Calibri"/>
            <family val="2"/>
          </rPr>
          <t>» 118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M5 &amp; H21 &amp; K12 &amp; V14 &amp; L11 &amp; G12 &amp; S6 &amp; W10 &amp; T3 &amp; X4 &amp; U8 &amp; O9 &amp; I3</t>
        </r>
      </text>
    </comment>
    <comment ref="F541" authorId="0" shapeId="0" xr:uid="{A7C19E77-231D-4E6B-ADB5-4FC7200861AB}">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56.4%] - [</t>
        </r>
        <r>
          <rPr>
            <b/>
            <sz val="10"/>
            <color indexed="48"/>
            <rFont val="Calibri"/>
            <family val="2"/>
          </rPr>
          <t xml:space="preserve">SOLD </t>
        </r>
        <r>
          <rPr>
            <b/>
            <sz val="10"/>
            <color indexed="8"/>
            <rFont val="Calibri"/>
            <family val="2"/>
          </rPr>
          <t>» 101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V12 &amp; L25 &amp; G7 &amp; S19 &amp; W6 &amp; T8 &amp; X4 &amp; U6 &amp; O7 &amp; I5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C3680F87-CD5C-475D-BFB6-3C88D04C7EA8}">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T3 &amp; X31 &amp; U20 &amp; O15 &amp; I34</t>
        </r>
      </text>
    </comment>
    <comment ref="F3" authorId="0" shapeId="0" xr:uid="{0B32DBE0-22B4-4F7C-BF82-5264941EE071}">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S2 &amp; W4 &amp; T13 &amp; X19 &amp; U10 &amp; O17 &amp; I28</t>
        </r>
      </text>
    </comment>
    <comment ref="F4" authorId="0" shapeId="0" xr:uid="{D880630D-1D72-445C-92B6-3DEE8815CCC6}">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44.1%] - [</t>
        </r>
        <r>
          <rPr>
            <b/>
            <sz val="10"/>
            <color indexed="48"/>
            <rFont val="Calibri"/>
            <family val="2"/>
          </rPr>
          <t xml:space="preserve">SOLD </t>
        </r>
        <r>
          <rPr>
            <b/>
            <sz val="10"/>
            <color indexed="8"/>
            <rFont val="Calibri"/>
            <family val="2"/>
          </rPr>
          <t>» 79 PAX]</t>
        </r>
        <r>
          <rPr>
            <b/>
            <sz val="8.5"/>
            <color indexed="8"/>
            <rFont val="Calibri"/>
            <family val="2"/>
          </rPr>
          <t>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W4 &amp; T15 &amp; X10 &amp; U14 &amp; O10 &amp; I26</t>
        </r>
      </text>
    </comment>
    <comment ref="F7" authorId="0" shapeId="0" xr:uid="{8ABAEF3D-EC49-4CC3-8AC6-C6C7F5AA5B67}">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59.8%] - [</t>
        </r>
        <r>
          <rPr>
            <b/>
            <sz val="10"/>
            <color indexed="48"/>
            <rFont val="Calibri"/>
            <family val="2"/>
          </rPr>
          <t xml:space="preserve">SOLD </t>
        </r>
        <r>
          <rPr>
            <b/>
            <sz val="10"/>
            <color indexed="8"/>
            <rFont val="Calibri"/>
            <family val="2"/>
          </rPr>
          <t>» 107 PAX]</t>
        </r>
        <r>
          <rPr>
            <b/>
            <sz val="8.5"/>
            <color indexed="8"/>
            <rFont val="Calibri"/>
            <family val="2"/>
          </rPr>
          <t>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17]_x000D_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S4 &amp; W12 &amp; T19 &amp; X10 &amp; U17 &amp; O10 &amp; I35</t>
        </r>
      </text>
    </comment>
    <comment ref="F9" authorId="0" shapeId="0" xr:uid="{0E6293E8-4948-49A9-907F-18DE2A0F92E1}">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52.5%] - [</t>
        </r>
        <r>
          <rPr>
            <b/>
            <sz val="10"/>
            <color indexed="48"/>
            <rFont val="Calibri"/>
            <family val="2"/>
          </rPr>
          <t xml:space="preserve">SOLD </t>
        </r>
        <r>
          <rPr>
            <b/>
            <sz val="10"/>
            <color indexed="8"/>
            <rFont val="Calibri"/>
            <family val="2"/>
          </rPr>
          <t>» 94 PAX]</t>
        </r>
        <r>
          <rPr>
            <b/>
            <sz val="8.5"/>
            <color indexed="8"/>
            <rFont val="Calibri"/>
            <family val="2"/>
          </rPr>
          <t>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9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T2 &amp; X38 &amp; U7 &amp; O20 &amp; I26 &amp; N1</t>
        </r>
      </text>
    </comment>
    <comment ref="F11" authorId="0" shapeId="0" xr:uid="{F74FEB30-F26F-477F-966C-5E61A9D56DD1}">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44.7%] - [</t>
        </r>
        <r>
          <rPr>
            <b/>
            <sz val="10"/>
            <color indexed="48"/>
            <rFont val="Calibri"/>
            <family val="2"/>
          </rPr>
          <t xml:space="preserve">SOLD </t>
        </r>
        <r>
          <rPr>
            <b/>
            <sz val="10"/>
            <color indexed="8"/>
            <rFont val="Calibri"/>
            <family val="2"/>
          </rPr>
          <t>» 80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S1 &amp; W5 &amp; T23 &amp; X9 &amp; U8 &amp; O8 &amp; I26</t>
        </r>
      </text>
    </comment>
    <comment ref="F13" authorId="0" shapeId="0" xr:uid="{978303A6-857E-4714-8F43-847F6AFFDD19}">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55.9%]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 &amp; S3 &amp; W17 &amp; T18 &amp; X9 &amp; U8 &amp; O43 &amp; I1</t>
        </r>
      </text>
    </comment>
    <comment ref="F14" authorId="0" shapeId="0" xr:uid="{1CC5145F-A6F1-42E0-9C6D-AAA9002D5806}">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43.6%] - [</t>
        </r>
        <r>
          <rPr>
            <b/>
            <sz val="10"/>
            <color indexed="48"/>
            <rFont val="Calibri"/>
            <family val="2"/>
          </rPr>
          <t xml:space="preserve">SOLD </t>
        </r>
        <r>
          <rPr>
            <b/>
            <sz val="10"/>
            <color indexed="8"/>
            <rFont val="Calibri"/>
            <family val="2"/>
          </rPr>
          <t>» 78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W18 &amp; X7 &amp; U18 &amp; O8 &amp; I27</t>
        </r>
      </text>
    </comment>
    <comment ref="F16" authorId="0" shapeId="0" xr:uid="{165A4E4F-26EE-4DFF-B277-A82350548A5C}">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12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G25 &amp; S7 &amp; W5 &amp; T4 &amp; X21 &amp; U7 &amp; O30 &amp; I4</t>
        </r>
      </text>
    </comment>
    <comment ref="F17" authorId="0" shapeId="0" xr:uid="{20F5DE8F-BB34-415A-A934-9EC89FF521C9}">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43.0%] - [</t>
        </r>
        <r>
          <rPr>
            <b/>
            <sz val="10"/>
            <color indexed="48"/>
            <rFont val="Calibri"/>
            <family val="2"/>
          </rPr>
          <t xml:space="preserve">SOLD </t>
        </r>
        <r>
          <rPr>
            <b/>
            <sz val="10"/>
            <color indexed="8"/>
            <rFont val="Calibri"/>
            <family val="2"/>
          </rPr>
          <t>» 77 PAX]</t>
        </r>
        <r>
          <rPr>
            <b/>
            <sz val="8.5"/>
            <color indexed="8"/>
            <rFont val="Calibri"/>
            <family val="2"/>
          </rPr>
          <t>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G12 &amp; S18 &amp; W9 &amp; T7 &amp; X12 &amp; U10 &amp; O6 &amp; I3</t>
        </r>
      </text>
    </comment>
    <comment ref="F18" authorId="0" shapeId="0" xr:uid="{73B2FF69-4A8B-433A-AA05-1B10E0076014}">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58.1%] - [</t>
        </r>
        <r>
          <rPr>
            <b/>
            <sz val="10"/>
            <color indexed="48"/>
            <rFont val="Calibri"/>
            <family val="2"/>
          </rPr>
          <t xml:space="preserve">SOLD </t>
        </r>
        <r>
          <rPr>
            <b/>
            <sz val="10"/>
            <color indexed="8"/>
            <rFont val="Calibri"/>
            <family val="2"/>
          </rPr>
          <t>» 104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Q6]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 &amp; K22 &amp; V7 &amp; L9 &amp; G12 &amp; S15 &amp; W8 &amp; T6 &amp; X4 &amp; U9 &amp; O5 &amp; I6</t>
        </r>
      </text>
    </comment>
    <comment ref="F19" authorId="0" shapeId="0" xr:uid="{556C02E8-3188-433E-8C6D-FD4882A49E7A}">
      <text>
        <r>
          <rPr>
            <b/>
            <sz val="10"/>
            <color indexed="8"/>
            <rFont val="Calibri"/>
            <family val="2"/>
          </rPr>
          <t>-{ SM469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53.1%] - [</t>
        </r>
        <r>
          <rPr>
            <b/>
            <sz val="10"/>
            <color indexed="48"/>
            <rFont val="Calibri"/>
            <family val="2"/>
          </rPr>
          <t xml:space="preserve">SOLD </t>
        </r>
        <r>
          <rPr>
            <b/>
            <sz val="10"/>
            <color indexed="8"/>
            <rFont val="Calibri"/>
            <family val="2"/>
          </rPr>
          <t>» 95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H6 &amp; Q3 &amp; K9 &amp; V7 &amp; L16 &amp; G10 &amp; S3 &amp; W13 &amp; T5 &amp; X5 &amp; U4 &amp; O7 &amp; I7</t>
        </r>
      </text>
    </comment>
    <comment ref="F20" authorId="0" shapeId="0" xr:uid="{7210DB6A-EC4A-4611-83FC-9936353D3EFB}">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65.9%] - [</t>
        </r>
        <r>
          <rPr>
            <b/>
            <sz val="10"/>
            <color indexed="48"/>
            <rFont val="Calibri"/>
            <family val="2"/>
          </rPr>
          <t xml:space="preserve">SOLD </t>
        </r>
        <r>
          <rPr>
            <b/>
            <sz val="10"/>
            <color indexed="8"/>
            <rFont val="Calibri"/>
            <family val="2"/>
          </rPr>
          <t>» 118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M5 &amp; H21 &amp; K12 &amp; V14 &amp; L11 &amp; G12 &amp; S6 &amp; W10 &amp; T3 &amp; X4 &amp; U8 &amp; O9 &amp; I3</t>
        </r>
      </text>
    </comment>
    <comment ref="F21" authorId="0" shapeId="0" xr:uid="{A5B0C17A-D26E-4C43-BC7C-E02F901F7E9F}">
      <text>
        <r>
          <rPr>
            <b/>
            <sz val="10"/>
            <color indexed="8"/>
            <rFont val="Calibri"/>
            <family val="2"/>
          </rPr>
          <t>-{ SM461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56.4%] - [</t>
        </r>
        <r>
          <rPr>
            <b/>
            <sz val="10"/>
            <color indexed="48"/>
            <rFont val="Calibri"/>
            <family val="2"/>
          </rPr>
          <t xml:space="preserve">SOLD </t>
        </r>
        <r>
          <rPr>
            <b/>
            <sz val="10"/>
            <color indexed="8"/>
            <rFont val="Calibri"/>
            <family val="2"/>
          </rPr>
          <t>» 101 PAX]</t>
        </r>
        <r>
          <rPr>
            <b/>
            <sz val="8.5"/>
            <color indexed="8"/>
            <rFont val="Calibri"/>
            <family val="2"/>
          </rPr>
          <t>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 &amp; V12 &amp; L25 &amp; G7 &amp; S19 &amp; W6 &amp; T8 &amp; X4 &amp; U6 &amp; O7 &amp; I5</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1" authorId="0" shapeId="0" xr:uid="{1211019C-B5D0-4C6C-AA00-47C5549FEE8F}">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73.2%]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 &amp; Q1 &amp; V31 &amp; L29 &amp; S20 &amp; W20 &amp; X6 &amp; U13 &amp; O8 &amp; I2</t>
        </r>
      </text>
    </comment>
    <comment ref="F68" authorId="0" shapeId="0" xr:uid="{48770CA6-0FA3-41E3-8EA3-01BCE1E8D07A}">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58.7%] - [</t>
        </r>
        <r>
          <rPr>
            <b/>
            <sz val="10"/>
            <color indexed="48"/>
            <rFont val="Calibri"/>
            <family val="2"/>
          </rPr>
          <t xml:space="preserve">SOLD </t>
        </r>
        <r>
          <rPr>
            <b/>
            <sz val="10"/>
            <color indexed="8"/>
            <rFont val="Calibri"/>
            <family val="2"/>
          </rPr>
          <t>» 105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V20 &amp; L15 &amp; G10 &amp; S20 &amp; W13 &amp; T4 &amp; X7 &amp; U11 &amp; O5</t>
        </r>
      </text>
    </comment>
    <comment ref="F81" authorId="0" shapeId="0" xr:uid="{EE5D240D-0991-4CAB-BDE7-F8E495995975}">
      <text>
        <r>
          <rPr>
            <b/>
            <sz val="10"/>
            <color indexed="8"/>
            <rFont val="Calibri"/>
            <family val="2"/>
          </rPr>
          <t>-{ SM465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79.9%] - [</t>
        </r>
        <r>
          <rPr>
            <b/>
            <sz val="10"/>
            <color indexed="48"/>
            <rFont val="Calibri"/>
            <family val="2"/>
          </rPr>
          <t xml:space="preserve">SOLD </t>
        </r>
        <r>
          <rPr>
            <b/>
            <sz val="10"/>
            <color indexed="8"/>
            <rFont val="Calibri"/>
            <family val="2"/>
          </rPr>
          <t>» 143 PAX]</t>
        </r>
        <r>
          <rPr>
            <b/>
            <sz val="8.5"/>
            <color indexed="8"/>
            <rFont val="Calibri"/>
            <family val="2"/>
          </rPr>
          <t>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H1 &amp; V2 &amp; L12 &amp; G14 &amp; S27 &amp; W16 &amp; T17 &amp; X18 &amp; U32 &amp; O3</t>
        </r>
      </text>
    </comment>
    <comment ref="F133" authorId="0" shapeId="0" xr:uid="{4D6D430C-4CA0-4DBE-83BD-BB5D346E1B1B}">
      <text>
        <r>
          <rPr>
            <b/>
            <sz val="10"/>
            <color indexed="8"/>
            <rFont val="Calibri"/>
            <family val="2"/>
          </rPr>
          <t>-{ SM463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 &amp; Q14 &amp; K9 &amp; V7 &amp; L1 &amp; S1 &amp; W12 &amp; T16 &amp; X12 &amp; U13 &amp; O6 &amp; I1</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5" authorId="0" shapeId="0" xr:uid="{FED473D9-601F-470D-9176-A9B7857AC2C6}">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47.9%]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V2 &amp; L8 &amp; G10 &amp; S27 &amp; U36 &amp; O3 &amp; I4</t>
        </r>
      </text>
    </comment>
    <comment ref="F27" authorId="0" shapeId="0" xr:uid="{4CCDF46B-49C8-4571-9113-589AD821AE4A}">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55.6%]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L9 &amp; G10 &amp; S10 &amp; W10 &amp; T10 &amp; X20 &amp; O25 &amp; I5</t>
        </r>
      </text>
    </comment>
    <comment ref="F39" authorId="0" shapeId="0" xr:uid="{5B69BC54-9AD3-4145-8399-B9262168FFDD}">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63.9%] - [</t>
        </r>
        <r>
          <rPr>
            <b/>
            <sz val="10"/>
            <color indexed="48"/>
            <rFont val="Calibri"/>
            <family val="2"/>
          </rPr>
          <t xml:space="preserve">SOLD </t>
        </r>
        <r>
          <rPr>
            <b/>
            <sz val="10"/>
            <color indexed="8"/>
            <rFont val="Calibri"/>
            <family val="2"/>
          </rPr>
          <t>» 115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8 PAX]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V7 &amp; L13 &amp; G46 &amp; S3 &amp; W1 &amp; T6 &amp; X8 &amp; U22 &amp; O3 &amp; I6</t>
        </r>
      </text>
    </comment>
    <comment ref="F87" authorId="0" shapeId="0" xr:uid="{59E9D301-7A61-4142-BF92-CB057CC14F4F}">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38.3%] - [</t>
        </r>
        <r>
          <rPr>
            <b/>
            <sz val="10"/>
            <color indexed="48"/>
            <rFont val="Calibri"/>
            <family val="2"/>
          </rPr>
          <t xml:space="preserve">SOLD </t>
        </r>
        <r>
          <rPr>
            <b/>
            <sz val="10"/>
            <color indexed="8"/>
            <rFont val="Calibri"/>
            <family val="2"/>
          </rPr>
          <t>» 69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L8 &amp; G21 &amp; S7 &amp; T1 &amp; X1 &amp; U7 &amp; O19 &amp; I4</t>
        </r>
      </text>
    </comment>
    <comment ref="F120" authorId="0" shapeId="0" xr:uid="{13F64248-4F14-4FCB-89F9-147B7E79017A}">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70.0%] - [</t>
        </r>
        <r>
          <rPr>
            <b/>
            <sz val="10"/>
            <color indexed="48"/>
            <rFont val="Calibri"/>
            <family val="2"/>
          </rPr>
          <t xml:space="preserve">SOLD </t>
        </r>
        <r>
          <rPr>
            <b/>
            <sz val="10"/>
            <color indexed="8"/>
            <rFont val="Calibri"/>
            <family val="2"/>
          </rPr>
          <t>» 126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Q3]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H1 &amp; Q18 &amp; K18 &amp; V7 &amp; L10 &amp; G8 &amp; S8 &amp; W17 &amp; T9 &amp; X7 &amp; U9 &amp; O7 &amp; I7</t>
        </r>
      </text>
    </comment>
    <comment ref="F133" authorId="0" shapeId="0" xr:uid="{50B910A4-965F-4A9C-878D-8B0C33CEF17A}">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69.3%] - [</t>
        </r>
        <r>
          <rPr>
            <b/>
            <sz val="10"/>
            <color indexed="48"/>
            <rFont val="Calibri"/>
            <family val="2"/>
          </rPr>
          <t xml:space="preserve">SOLD </t>
        </r>
        <r>
          <rPr>
            <b/>
            <sz val="10"/>
            <color indexed="8"/>
            <rFont val="Calibri"/>
            <family val="2"/>
          </rPr>
          <t>» 129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M4 &amp; H11 &amp; Q3 &amp; K16 &amp; V7 &amp; L11 &amp; G27 &amp; S13 &amp; W12 &amp; T8 &amp; X5 &amp; U3 &amp; O5 &amp; I4</t>
        </r>
      </text>
    </comment>
    <comment ref="F154" authorId="0" shapeId="0" xr:uid="{F28BD79F-30EF-46F5-8A74-F3762AA92CDF}">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67.2%]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B1 &amp; M17 &amp; H21 &amp; Q9 &amp; V12 &amp; L12 &amp; G8 &amp; S6 &amp; W9 &amp; T10 &amp; X2 &amp; U4 &amp; O7 &amp; I3</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D8334854-F67B-4D63-AE1B-4954DB93EA30}">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47.9%] - [</t>
        </r>
        <r>
          <rPr>
            <b/>
            <sz val="10"/>
            <color indexed="48"/>
            <rFont val="Calibri"/>
            <family val="2"/>
          </rPr>
          <t xml:space="preserve">SOLD </t>
        </r>
        <r>
          <rPr>
            <b/>
            <sz val="10"/>
            <color indexed="8"/>
            <rFont val="Calibri"/>
            <family val="2"/>
          </rPr>
          <t>» 90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V2 &amp; L8 &amp; G10 &amp; S27 &amp; U36 &amp; O3 &amp; I4</t>
        </r>
      </text>
    </comment>
    <comment ref="F3" authorId="0" shapeId="0" xr:uid="{53258FFD-1839-4075-B799-5B184B0E28B9}">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55.6%]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L9 &amp; G10 &amp; S10 &amp; W10 &amp; T10 &amp; X20 &amp; O25 &amp; I5</t>
        </r>
      </text>
    </comment>
    <comment ref="F4" authorId="0" shapeId="0" xr:uid="{8DED5864-584A-46E2-9974-AAA049C9D2F3}">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63.9%] - [</t>
        </r>
        <r>
          <rPr>
            <b/>
            <sz val="10"/>
            <color indexed="48"/>
            <rFont val="Calibri"/>
            <family val="2"/>
          </rPr>
          <t xml:space="preserve">SOLD </t>
        </r>
        <r>
          <rPr>
            <b/>
            <sz val="10"/>
            <color indexed="8"/>
            <rFont val="Calibri"/>
            <family val="2"/>
          </rPr>
          <t>» 115 PAX]</t>
        </r>
        <r>
          <rPr>
            <b/>
            <sz val="8.5"/>
            <color indexed="8"/>
            <rFont val="Calibri"/>
            <family val="2"/>
          </rPr>
          <t>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8 PAX]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V7 &amp; L13 &amp; G46 &amp; S3 &amp; W1 &amp; T6 &amp; X8 &amp; U22 &amp; O3 &amp; I6</t>
        </r>
      </text>
    </comment>
    <comment ref="F34" authorId="0" shapeId="0" xr:uid="{5F96C7FC-C6AF-49C5-A466-7E06C319C14A}">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38.3%] - [</t>
        </r>
        <r>
          <rPr>
            <b/>
            <sz val="10"/>
            <color indexed="48"/>
            <rFont val="Calibri"/>
            <family val="2"/>
          </rPr>
          <t xml:space="preserve">SOLD </t>
        </r>
        <r>
          <rPr>
            <b/>
            <sz val="10"/>
            <color indexed="8"/>
            <rFont val="Calibri"/>
            <family val="2"/>
          </rPr>
          <t>» 69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V1 &amp; L8 &amp; G21 &amp; S7 &amp; T1 &amp; X1 &amp; U7 &amp; O19 &amp; I4</t>
        </r>
      </text>
    </comment>
    <comment ref="F46" authorId="0" shapeId="0" xr:uid="{2C45EC80-49D9-4AA4-9951-B0D1FD449E21}">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70.0%] - [</t>
        </r>
        <r>
          <rPr>
            <b/>
            <sz val="10"/>
            <color indexed="48"/>
            <rFont val="Calibri"/>
            <family val="2"/>
          </rPr>
          <t xml:space="preserve">SOLD </t>
        </r>
        <r>
          <rPr>
            <b/>
            <sz val="10"/>
            <color indexed="8"/>
            <rFont val="Calibri"/>
            <family val="2"/>
          </rPr>
          <t>» 126 PAX]</t>
        </r>
        <r>
          <rPr>
            <b/>
            <sz val="8.5"/>
            <color indexed="8"/>
            <rFont val="Calibri"/>
            <family val="2"/>
          </rPr>
          <t>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Q3]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H1 &amp; Q18 &amp; K18 &amp; V7 &amp; L10 &amp; G8 &amp; S8 &amp; W17 &amp; T9 &amp; X7 &amp; U9 &amp; O7 &amp; I7</t>
        </r>
      </text>
    </comment>
    <comment ref="F48" authorId="0" shapeId="0" xr:uid="{1451E0E4-6701-49DE-A4E6-27F5C3F9CF8B}">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69.3%] - [</t>
        </r>
        <r>
          <rPr>
            <b/>
            <sz val="10"/>
            <color indexed="48"/>
            <rFont val="Calibri"/>
            <family val="2"/>
          </rPr>
          <t xml:space="preserve">SOLD </t>
        </r>
        <r>
          <rPr>
            <b/>
            <sz val="10"/>
            <color indexed="8"/>
            <rFont val="Calibri"/>
            <family val="2"/>
          </rPr>
          <t>» 129 PAX]</t>
        </r>
        <r>
          <rPr>
            <b/>
            <sz val="8.5"/>
            <color indexed="8"/>
            <rFont val="Calibri"/>
            <family val="2"/>
          </rPr>
          <t>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186]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M4 &amp; H11 &amp; Q3 &amp; K16 &amp; V7 &amp; L11 &amp; G27 &amp; S13 &amp; W12 &amp; T8 &amp; X5 &amp; U3 &amp; O5 &amp; I4</t>
        </r>
      </text>
    </comment>
    <comment ref="F49" authorId="0" shapeId="0" xr:uid="{EFEE547E-67C9-4056-A209-C3AD79B091EC}">
      <text>
        <r>
          <rPr>
            <b/>
            <sz val="10"/>
            <color indexed="8"/>
            <rFont val="Calibri"/>
            <family val="2"/>
          </rPr>
          <t>-{ SM433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67.2%]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B1 &amp; M17 &amp; H21 &amp; Q9 &amp; V12 &amp; L12 &amp; G8 &amp; S6 &amp; W9 &amp; T10 &amp; X2 &amp; U4 &amp; O7 &amp; I3</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552ED42E-2507-4113-8798-7FD411DD3F24}">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98.3%] - [</t>
        </r>
        <r>
          <rPr>
            <b/>
            <sz val="10"/>
            <color indexed="48"/>
            <rFont val="Calibri"/>
            <family val="2"/>
          </rPr>
          <t xml:space="preserve">SOLD </t>
        </r>
        <r>
          <rPr>
            <b/>
            <sz val="10"/>
            <color indexed="8"/>
            <rFont val="Calibri"/>
            <family val="2"/>
          </rPr>
          <t>» 177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 &amp; V10 &amp; L11 &amp; G20 &amp; S20 &amp; W32 &amp; T16 &amp; X19 &amp; U30 &amp; O18</t>
        </r>
      </text>
    </comment>
    <comment ref="F47" authorId="0" shapeId="0" xr:uid="{E010F8A5-14D8-45FA-850E-B68811084950}">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89.4%]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K6 &amp; V15 &amp; L15 &amp; G15 &amp; S20 &amp; W14 &amp; T18 &amp; X14 &amp; U15 &amp; O15 &amp; I14</t>
        </r>
      </text>
    </comment>
    <comment ref="F92" authorId="0" shapeId="0" xr:uid="{7FED4D9E-1CB1-422C-ABCB-9EBCEE206C6F}">
      <text>
        <r>
          <rPr>
            <b/>
            <sz val="10"/>
            <color indexed="8"/>
            <rFont val="Calibri"/>
            <family val="2"/>
          </rPr>
          <t>-{ SM437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82.2%] - [</t>
        </r>
        <r>
          <rPr>
            <b/>
            <sz val="10"/>
            <color indexed="48"/>
            <rFont val="Calibri"/>
            <family val="2"/>
          </rPr>
          <t xml:space="preserve">SOLD </t>
        </r>
        <r>
          <rPr>
            <b/>
            <sz val="10"/>
            <color indexed="8"/>
            <rFont val="Calibri"/>
            <family val="2"/>
          </rPr>
          <t>» 148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Y2 &amp; Q1 &amp; K5 &amp; V10 &amp; L15 &amp; G30 &amp; S16 &amp; W19 &amp; T20 &amp; X20 &amp; U5 &amp; O4 &amp; I1</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BBF97A30-8182-43B3-ACD5-6A8CFC43F457}">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35.8%] - [</t>
        </r>
        <r>
          <rPr>
            <b/>
            <sz val="10"/>
            <color indexed="48"/>
            <rFont val="Calibri"/>
            <family val="2"/>
          </rPr>
          <t xml:space="preserve">SOLD </t>
        </r>
        <r>
          <rPr>
            <b/>
            <sz val="10"/>
            <color indexed="8"/>
            <rFont val="Calibri"/>
            <family val="2"/>
          </rPr>
          <t>» 64 PAX]</t>
        </r>
        <r>
          <rPr>
            <b/>
            <sz val="8.5"/>
            <color indexed="8"/>
            <rFont val="Calibri"/>
            <family val="2"/>
          </rPr>
          <t>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U4 &amp; O3 &amp; I55</t>
        </r>
      </text>
    </comment>
    <comment ref="F10" authorId="0" shapeId="0" xr:uid="{552DD410-8029-42C2-8FF0-23568220B290}">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68.8%] - [</t>
        </r>
        <r>
          <rPr>
            <b/>
            <sz val="10"/>
            <color indexed="48"/>
            <rFont val="Calibri"/>
            <family val="2"/>
          </rPr>
          <t xml:space="preserve">SOLD </t>
        </r>
        <r>
          <rPr>
            <b/>
            <sz val="10"/>
            <color indexed="8"/>
            <rFont val="Calibri"/>
            <family val="2"/>
          </rPr>
          <t>» 75 PAX]</t>
        </r>
        <r>
          <rPr>
            <b/>
            <sz val="8.5"/>
            <color indexed="8"/>
            <rFont val="Calibri"/>
            <family val="2"/>
          </rPr>
          <t>_x000D_
[</t>
        </r>
        <r>
          <rPr>
            <b/>
            <sz val="8.5"/>
            <color indexed="21"/>
            <rFont val="Calibri"/>
            <family val="2"/>
          </rPr>
          <t xml:space="preserve">WEEKLY </t>
        </r>
        <r>
          <rPr>
            <b/>
            <sz val="8.5"/>
            <color indexed="8"/>
            <rFont val="Calibri"/>
            <family val="2"/>
          </rPr>
          <t>» 42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14]_x000D_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U4 &amp; O13 &amp; I55</t>
        </r>
      </text>
    </comment>
    <comment ref="F20" authorId="0" shapeId="0" xr:uid="{824E098F-3856-4209-880E-E8E91FD8F3EE}">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O17 &amp; I35</t>
        </r>
      </text>
    </comment>
    <comment ref="F26" authorId="0" shapeId="0" xr:uid="{B52AA78D-F15B-4138-8555-126185FEAE1C}">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49.7%] - [</t>
        </r>
        <r>
          <rPr>
            <b/>
            <sz val="10"/>
            <color indexed="48"/>
            <rFont val="Calibri"/>
            <family val="2"/>
          </rPr>
          <t xml:space="preserve">SOLD </t>
        </r>
        <r>
          <rPr>
            <b/>
            <sz val="10"/>
            <color indexed="8"/>
            <rFont val="Calibri"/>
            <family val="2"/>
          </rPr>
          <t>» 89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T9 &amp; X10 &amp; U10 &amp; O20 &amp; I40</t>
        </r>
      </text>
    </comment>
    <comment ref="F33" authorId="0" shapeId="0" xr:uid="{B30DE3CF-C23B-4722-812F-80698F6D378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60.3%] - [</t>
        </r>
        <r>
          <rPr>
            <b/>
            <sz val="10"/>
            <color indexed="48"/>
            <rFont val="Calibri"/>
            <family val="2"/>
          </rPr>
          <t xml:space="preserve">SOLD </t>
        </r>
        <r>
          <rPr>
            <b/>
            <sz val="10"/>
            <color indexed="8"/>
            <rFont val="Calibri"/>
            <family val="2"/>
          </rPr>
          <t>» 108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H1 &amp; Q1 &amp; K11 &amp; V18 &amp; L18 &amp; G5 &amp; T7 &amp; X12 &amp; U9 &amp; O8 &amp; I18</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EE938952-182E-4AA7-9A39-C43CF493DF77}">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35.8%] - [</t>
        </r>
        <r>
          <rPr>
            <b/>
            <sz val="10"/>
            <color indexed="48"/>
            <rFont val="Calibri"/>
            <family val="2"/>
          </rPr>
          <t xml:space="preserve">SOLD </t>
        </r>
        <r>
          <rPr>
            <b/>
            <sz val="10"/>
            <color indexed="8"/>
            <rFont val="Calibri"/>
            <family val="2"/>
          </rPr>
          <t>» 64 PAX]</t>
        </r>
        <r>
          <rPr>
            <b/>
            <sz val="8.5"/>
            <color indexed="8"/>
            <rFont val="Calibri"/>
            <family val="2"/>
          </rPr>
          <t>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S2 &amp; U4 &amp; O3 &amp; I55</t>
        </r>
      </text>
    </comment>
    <comment ref="F9" authorId="0" shapeId="0" xr:uid="{4EE23FD1-F4B3-450C-89D8-8C3596B38D45}">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68.8%] - [</t>
        </r>
        <r>
          <rPr>
            <b/>
            <sz val="10"/>
            <color indexed="48"/>
            <rFont val="Calibri"/>
            <family val="2"/>
          </rPr>
          <t xml:space="preserve">SOLD </t>
        </r>
        <r>
          <rPr>
            <b/>
            <sz val="10"/>
            <color indexed="8"/>
            <rFont val="Calibri"/>
            <family val="2"/>
          </rPr>
          <t>» 75 PAX]</t>
        </r>
        <r>
          <rPr>
            <b/>
            <sz val="8.5"/>
            <color indexed="8"/>
            <rFont val="Calibri"/>
            <family val="2"/>
          </rPr>
          <t>_x000D_
[</t>
        </r>
        <r>
          <rPr>
            <b/>
            <sz val="8.5"/>
            <color indexed="21"/>
            <rFont val="Calibri"/>
            <family val="2"/>
          </rPr>
          <t xml:space="preserve">WEEKLY </t>
        </r>
        <r>
          <rPr>
            <b/>
            <sz val="8.5"/>
            <color indexed="8"/>
            <rFont val="Calibri"/>
            <family val="2"/>
          </rPr>
          <t>» 42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14]_x000D_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S3 &amp; U4 &amp; O13 &amp; I55</t>
        </r>
      </text>
    </comment>
    <comment ref="F17" authorId="0" shapeId="0" xr:uid="{9E2F857A-F856-4E17-95FD-31F43A701657}">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30.2%] - [</t>
        </r>
        <r>
          <rPr>
            <b/>
            <sz val="10"/>
            <color indexed="48"/>
            <rFont val="Calibri"/>
            <family val="2"/>
          </rPr>
          <t xml:space="preserve">SOLD </t>
        </r>
        <r>
          <rPr>
            <b/>
            <sz val="10"/>
            <color indexed="8"/>
            <rFont val="Calibri"/>
            <family val="2"/>
          </rPr>
          <t>» 54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I8]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U2 &amp; O17 &amp; I35</t>
        </r>
      </text>
    </comment>
    <comment ref="F18" authorId="0" shapeId="0" xr:uid="{22F0BFEF-F91F-4315-890D-1E913148DD15}">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49.7%] - [</t>
        </r>
        <r>
          <rPr>
            <b/>
            <sz val="10"/>
            <color indexed="48"/>
            <rFont val="Calibri"/>
            <family val="2"/>
          </rPr>
          <t xml:space="preserve">SOLD </t>
        </r>
        <r>
          <rPr>
            <b/>
            <sz val="10"/>
            <color indexed="8"/>
            <rFont val="Calibri"/>
            <family val="2"/>
          </rPr>
          <t>» 89 PAX]</t>
        </r>
        <r>
          <rPr>
            <b/>
            <sz val="8.5"/>
            <color indexed="8"/>
            <rFont val="Calibri"/>
            <family val="2"/>
          </rPr>
          <t>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X5]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T9 &amp; X10 &amp; U10 &amp; O20 &amp; I40</t>
        </r>
      </text>
    </comment>
    <comment ref="F22" authorId="0" shapeId="0" xr:uid="{3CCB0309-78E7-431B-8AAA-C5EAC03901F2}">
      <text>
        <r>
          <rPr>
            <b/>
            <sz val="10"/>
            <color indexed="8"/>
            <rFont val="Calibri"/>
            <family val="2"/>
          </rPr>
          <t>-{ SM325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60.3%] - [</t>
        </r>
        <r>
          <rPr>
            <b/>
            <sz val="10"/>
            <color indexed="48"/>
            <rFont val="Calibri"/>
            <family val="2"/>
          </rPr>
          <t xml:space="preserve">SOLD </t>
        </r>
        <r>
          <rPr>
            <b/>
            <sz val="10"/>
            <color indexed="8"/>
            <rFont val="Calibri"/>
            <family val="2"/>
          </rPr>
          <t>» 108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H1 &amp; Q1 &amp; K11 &amp; V18 &amp; L18 &amp; G5 &amp; T7 &amp; X12 &amp; U9 &amp; O8 &amp; I18</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6" authorId="0" shapeId="0" xr:uid="{BCDCC298-D659-45C2-A5C7-79C6B3E7FBF7}">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45.8%] - [</t>
        </r>
        <r>
          <rPr>
            <b/>
            <sz val="10"/>
            <color indexed="48"/>
            <rFont val="Calibri"/>
            <family val="2"/>
          </rPr>
          <t xml:space="preserve">SOLD </t>
        </r>
        <r>
          <rPr>
            <b/>
            <sz val="10"/>
            <color indexed="8"/>
            <rFont val="Calibri"/>
            <family val="2"/>
          </rPr>
          <t>» 82 PAX]</t>
        </r>
        <r>
          <rPr>
            <b/>
            <sz val="8.5"/>
            <color indexed="8"/>
            <rFont val="Calibri"/>
            <family val="2"/>
          </rPr>
          <t>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6]_x000D_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O2 &amp; I80</t>
        </r>
      </text>
    </comment>
    <comment ref="F37" authorId="0" shapeId="0" xr:uid="{48642EB6-91D4-4B62-AD8E-813B624DAC78}">
      <text>
        <r>
          <rPr>
            <b/>
            <sz val="10"/>
            <color indexed="8"/>
            <rFont val="Calibri"/>
            <family val="2"/>
          </rPr>
          <t>-{ SM327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32.4%] - [</t>
        </r>
        <r>
          <rPr>
            <b/>
            <sz val="10"/>
            <color indexed="48"/>
            <rFont val="Calibri"/>
            <family val="2"/>
          </rPr>
          <t xml:space="preserve">SOLD </t>
        </r>
        <r>
          <rPr>
            <b/>
            <sz val="10"/>
            <color indexed="8"/>
            <rFont val="Calibri"/>
            <family val="2"/>
          </rPr>
          <t>» 58 PAX]</t>
        </r>
        <r>
          <rPr>
            <b/>
            <sz val="8.5"/>
            <color indexed="8"/>
            <rFont val="Calibri"/>
            <family val="2"/>
          </rPr>
          <t>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t>
        </r>
        <r>
          <rPr>
            <b/>
            <sz val="8.5"/>
            <color indexed="48"/>
            <rFont val="Calibri"/>
            <family val="2"/>
          </rPr>
          <t>LOWESTAVAIL</t>
        </r>
        <r>
          <rPr>
            <b/>
            <sz val="8.5"/>
            <color indexed="8"/>
            <rFont val="Calibri"/>
            <family val="2"/>
          </rPr>
          <t xml:space="preserve"> » I2]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U1 &amp; O9 &amp; I48</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133282FD-A174-4076-BF7B-32DB620F4936}">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29.0%] - [</t>
        </r>
        <r>
          <rPr>
            <b/>
            <sz val="10"/>
            <color indexed="48"/>
            <rFont val="Calibri"/>
            <family val="2"/>
          </rPr>
          <t xml:space="preserve">SOLD </t>
        </r>
        <r>
          <rPr>
            <b/>
            <sz val="10"/>
            <color indexed="8"/>
            <rFont val="Calibri"/>
            <family val="2"/>
          </rPr>
          <t>» 52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S15 &amp; X22 &amp; U11 &amp; O3 &amp; I1</t>
        </r>
      </text>
    </comment>
    <comment ref="F4" authorId="0" shapeId="0" xr:uid="{DC93D44D-AF86-4F36-90C0-51882394465B}">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60.3%] - [</t>
        </r>
        <r>
          <rPr>
            <b/>
            <sz val="10"/>
            <color indexed="48"/>
            <rFont val="Calibri"/>
            <family val="2"/>
          </rPr>
          <t xml:space="preserve">SOLD </t>
        </r>
        <r>
          <rPr>
            <b/>
            <sz val="10"/>
            <color indexed="8"/>
            <rFont val="Calibri"/>
            <family val="2"/>
          </rPr>
          <t>» 108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21]_x000D_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G8 &amp; S76 &amp; X7 &amp; I17</t>
        </r>
      </text>
    </comment>
    <comment ref="F6" authorId="0" shapeId="0" xr:uid="{FAF0341B-476E-4808-BBBB-F3E47E6F92E4}">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43.6%] - [</t>
        </r>
        <r>
          <rPr>
            <b/>
            <sz val="10"/>
            <color indexed="48"/>
            <rFont val="Calibri"/>
            <family val="2"/>
          </rPr>
          <t xml:space="preserve">SOLD </t>
        </r>
        <r>
          <rPr>
            <b/>
            <sz val="10"/>
            <color indexed="8"/>
            <rFont val="Calibri"/>
            <family val="2"/>
          </rPr>
          <t>» 78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23]_x000D_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 &amp; G1 &amp; S10 &amp; W12 &amp; T10 &amp; X34 &amp; O1 &amp; I9</t>
        </r>
      </text>
    </comment>
    <comment ref="F8" authorId="0" shapeId="0" xr:uid="{394E8CBA-B2AF-4A7D-9330-A962818FA3AC}">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73.2%]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76 PAX] - [</t>
        </r>
        <r>
          <rPr>
            <b/>
            <sz val="8.5"/>
            <color indexed="21"/>
            <rFont val="Calibri"/>
            <family val="2"/>
          </rPr>
          <t xml:space="preserve">TO-DAY </t>
        </r>
        <r>
          <rPr>
            <b/>
            <sz val="8.5"/>
            <color indexed="8"/>
            <rFont val="Calibri"/>
            <family val="2"/>
          </rPr>
          <t>» 8 PAX] - [</t>
        </r>
        <r>
          <rPr>
            <b/>
            <sz val="8.5"/>
            <color indexed="21"/>
            <rFont val="Calibri"/>
            <family val="2"/>
          </rPr>
          <t xml:space="preserve">Y-DAY </t>
        </r>
        <r>
          <rPr>
            <b/>
            <sz val="8.5"/>
            <color indexed="8"/>
            <rFont val="Calibri"/>
            <family val="2"/>
          </rPr>
          <t>» 23]_x000D_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L20 &amp; G14 &amp; S26 &amp; W3 &amp; T15 &amp; X24 &amp; U8 &amp; O4 &amp; I17</t>
        </r>
      </text>
    </comment>
    <comment ref="F10" authorId="0" shapeId="0" xr:uid="{24AC971C-AE4E-4240-8FB1-61C15A3A4564}">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76.5%]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Q2 &amp; K9 &amp; V37 &amp; L17 &amp; G3 &amp; S6 &amp; W16 &amp; T12 &amp; X8 &amp; U9 &amp; O14 &amp; I4</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5C12C5A7-1135-4D45-9C2E-6BD91E2A1BC9}">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29.0%] - [</t>
        </r>
        <r>
          <rPr>
            <b/>
            <sz val="10"/>
            <color indexed="48"/>
            <rFont val="Calibri"/>
            <family val="2"/>
          </rPr>
          <t xml:space="preserve">SOLD </t>
        </r>
        <r>
          <rPr>
            <b/>
            <sz val="10"/>
            <color indexed="8"/>
            <rFont val="Calibri"/>
            <family val="2"/>
          </rPr>
          <t>» 52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S15 &amp; X22 &amp; U11 &amp; O3 &amp; I1</t>
        </r>
      </text>
    </comment>
    <comment ref="F4" authorId="0" shapeId="0" xr:uid="{811EB91A-11D8-4AAD-82A3-D4053461CA59}">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60.3%] - [</t>
        </r>
        <r>
          <rPr>
            <b/>
            <sz val="10"/>
            <color indexed="48"/>
            <rFont val="Calibri"/>
            <family val="2"/>
          </rPr>
          <t xml:space="preserve">SOLD </t>
        </r>
        <r>
          <rPr>
            <b/>
            <sz val="10"/>
            <color indexed="8"/>
            <rFont val="Calibri"/>
            <family val="2"/>
          </rPr>
          <t>» 108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21]_x000D_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G8 &amp; S76 &amp; X7 &amp; I17</t>
        </r>
      </text>
    </comment>
    <comment ref="F6" authorId="0" shapeId="0" xr:uid="{9C1C7D62-053C-40E5-A8EE-9FDC00F1D6FE}">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43.6%] - [</t>
        </r>
        <r>
          <rPr>
            <b/>
            <sz val="10"/>
            <color indexed="48"/>
            <rFont val="Calibri"/>
            <family val="2"/>
          </rPr>
          <t xml:space="preserve">SOLD </t>
        </r>
        <r>
          <rPr>
            <b/>
            <sz val="10"/>
            <color indexed="8"/>
            <rFont val="Calibri"/>
            <family val="2"/>
          </rPr>
          <t>» 78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23]_x000D_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Q1 &amp; G1 &amp; S10 &amp; W12 &amp; T10 &amp; X34 &amp; O1 &amp; I9</t>
        </r>
      </text>
    </comment>
    <comment ref="F7" authorId="0" shapeId="0" xr:uid="{B706F799-B151-49D4-9088-0C68D08587F6}">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73.2%] - [</t>
        </r>
        <r>
          <rPr>
            <b/>
            <sz val="10"/>
            <color indexed="48"/>
            <rFont val="Calibri"/>
            <family val="2"/>
          </rPr>
          <t xml:space="preserve">SOLD </t>
        </r>
        <r>
          <rPr>
            <b/>
            <sz val="10"/>
            <color indexed="8"/>
            <rFont val="Calibri"/>
            <family val="2"/>
          </rPr>
          <t>» 131 PAX]</t>
        </r>
        <r>
          <rPr>
            <b/>
            <sz val="8.5"/>
            <color indexed="8"/>
            <rFont val="Calibri"/>
            <family val="2"/>
          </rPr>
          <t>_x000D_
[</t>
        </r>
        <r>
          <rPr>
            <b/>
            <sz val="8.5"/>
            <color indexed="21"/>
            <rFont val="Calibri"/>
            <family val="2"/>
          </rPr>
          <t xml:space="preserve">WEEKLY </t>
        </r>
        <r>
          <rPr>
            <b/>
            <sz val="8.5"/>
            <color indexed="8"/>
            <rFont val="Calibri"/>
            <family val="2"/>
          </rPr>
          <t>» 76 PAX] - [</t>
        </r>
        <r>
          <rPr>
            <b/>
            <sz val="8.5"/>
            <color indexed="21"/>
            <rFont val="Calibri"/>
            <family val="2"/>
          </rPr>
          <t xml:space="preserve">TO-DAY </t>
        </r>
        <r>
          <rPr>
            <b/>
            <sz val="8.5"/>
            <color indexed="8"/>
            <rFont val="Calibri"/>
            <family val="2"/>
          </rPr>
          <t>» 8 PAX] - [</t>
        </r>
        <r>
          <rPr>
            <b/>
            <sz val="8.5"/>
            <color indexed="21"/>
            <rFont val="Calibri"/>
            <family val="2"/>
          </rPr>
          <t xml:space="preserve">Y-DAY </t>
        </r>
        <r>
          <rPr>
            <b/>
            <sz val="8.5"/>
            <color indexed="8"/>
            <rFont val="Calibri"/>
            <family val="2"/>
          </rPr>
          <t>» 23]_x000D_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L20 &amp; G14 &amp; S26 &amp; W3 &amp; T15 &amp; X24 &amp; U8 &amp; O4 &amp; I17</t>
        </r>
      </text>
    </comment>
    <comment ref="F9" authorId="0" shapeId="0" xr:uid="{4F856DCD-0255-4130-8B3D-0986D2BCE068}">
      <text>
        <r>
          <rPr>
            <b/>
            <sz val="10"/>
            <color indexed="8"/>
            <rFont val="Calibri"/>
            <family val="2"/>
          </rPr>
          <t>-{ SM321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76.5%] - [</t>
        </r>
        <r>
          <rPr>
            <b/>
            <sz val="10"/>
            <color indexed="48"/>
            <rFont val="Calibri"/>
            <family val="2"/>
          </rPr>
          <t xml:space="preserve">SOLD </t>
        </r>
        <r>
          <rPr>
            <b/>
            <sz val="10"/>
            <color indexed="8"/>
            <rFont val="Calibri"/>
            <family val="2"/>
          </rPr>
          <t>» 137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Q2 &amp; K9 &amp; V37 &amp; L17 &amp; G3 &amp; S6 &amp; W16 &amp; T12 &amp; X8 &amp; U9 &amp; O14 &amp; I4</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DEA35CD2-A61F-47FA-B91C-787D428EDFDB}">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52.0%] - [</t>
        </r>
        <r>
          <rPr>
            <b/>
            <sz val="10"/>
            <color indexed="48"/>
            <rFont val="Calibri"/>
            <family val="2"/>
          </rPr>
          <t xml:space="preserve">SOLD </t>
        </r>
        <r>
          <rPr>
            <b/>
            <sz val="10"/>
            <color indexed="8"/>
            <rFont val="Calibri"/>
            <family val="2"/>
          </rPr>
          <t>» 93 PAX]</t>
        </r>
        <r>
          <rPr>
            <b/>
            <sz val="8.5"/>
            <color indexed="8"/>
            <rFont val="Calibri"/>
            <family val="2"/>
          </rPr>
          <t>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X1 &amp; U11 &amp; O31 &amp; I50</t>
        </r>
      </text>
    </comment>
    <comment ref="F15" authorId="0" shapeId="0" xr:uid="{E085B8B6-1195-4C8F-B765-B5560720229A}">
      <text>
        <r>
          <rPr>
            <b/>
            <sz val="10"/>
            <color indexed="8"/>
            <rFont val="Calibri"/>
            <family val="2"/>
          </rPr>
          <t>-{ SM323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43.6%] - [</t>
        </r>
        <r>
          <rPr>
            <b/>
            <sz val="10"/>
            <color indexed="48"/>
            <rFont val="Calibri"/>
            <family val="2"/>
          </rPr>
          <t xml:space="preserve">SOLD </t>
        </r>
        <r>
          <rPr>
            <b/>
            <sz val="10"/>
            <color indexed="8"/>
            <rFont val="Calibri"/>
            <family val="2"/>
          </rPr>
          <t>» 78 PAX]</t>
        </r>
        <r>
          <rPr>
            <b/>
            <sz val="8.5"/>
            <color indexed="8"/>
            <rFont val="Calibri"/>
            <family val="2"/>
          </rPr>
          <t>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X3 &amp; U11 &amp; O20 &amp; I44</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77AA9E5B-5AFE-4B2B-B577-DDDE5C8C66B0}">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W35 &amp; T6 &amp; X17 &amp; U4 &amp; P91</t>
        </r>
      </text>
    </comment>
    <comment ref="F4" authorId="0" shapeId="0" xr:uid="{6CF0AAB2-675F-4DDD-BC97-4AD5F2031D63}">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81.6%] - [</t>
        </r>
        <r>
          <rPr>
            <b/>
            <sz val="10"/>
            <color indexed="48"/>
            <rFont val="Calibri"/>
            <family val="2"/>
          </rPr>
          <t xml:space="preserve">SOLD </t>
        </r>
        <r>
          <rPr>
            <b/>
            <sz val="10"/>
            <color indexed="8"/>
            <rFont val="Calibri"/>
            <family val="2"/>
          </rPr>
          <t>» 146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 &amp; G15 &amp; S14 &amp; W15 &amp; T20 &amp; X21 &amp; U19 &amp; P41</t>
        </r>
      </text>
    </comment>
    <comment ref="F5" authorId="0" shapeId="0" xr:uid="{F3152BFE-2483-4CA0-A259-0A4D215D1F77}">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V6 &amp; S3 &amp; W3 &amp; T8 &amp; X12 &amp; P146 &amp; N1</t>
        </r>
      </text>
    </comment>
    <comment ref="F6" authorId="0" shapeId="0" xr:uid="{44B66CC0-74A2-4A23-9A24-264389883CD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Q1 &amp; L13 &amp; G9 &amp; S5 &amp; W3 &amp; T5 &amp; X2 &amp; U16 &amp; P125</t>
        </r>
      </text>
    </comment>
    <comment ref="F7" authorId="0" shapeId="0" xr:uid="{7D020E90-F0F2-482D-893D-A0ED272E4D5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W10 &amp; T10 &amp; X10 &amp; P143</t>
        </r>
      </text>
    </comment>
    <comment ref="F9" authorId="0" shapeId="0" xr:uid="{9503C471-7BBA-407F-9AA7-1D685AB4FF4A}">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L8 &amp; G18 &amp; S29 &amp; W3 &amp; T4 &amp; X2 &amp; P115</t>
        </r>
      </text>
    </comment>
    <comment ref="F10" authorId="0" shapeId="0" xr:uid="{23DC5995-BDC0-4DF0-A4C9-F9D80D1AEEE7}">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42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K1 &amp; V6 &amp; L23 &amp; G18 &amp; S9 &amp; W7 &amp; T12 &amp; X10 &amp; P92</t>
        </r>
      </text>
    </comment>
    <comment ref="F12" authorId="0" shapeId="0" xr:uid="{029AFF15-A963-43C0-AC7D-50FBE9243E11}">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Q1 &amp; V1 &amp; L6 &amp; G18 &amp; S10 &amp; W2 &amp; T4 &amp; X2 &amp; P135</t>
        </r>
      </text>
    </comment>
    <comment ref="F13" authorId="0" shapeId="0" xr:uid="{00412475-B463-42F4-B468-0EC3ECD6D83A}">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Q2 &amp; K4 &amp; V13 &amp; L18 &amp; G18 &amp; S29 &amp; W3 &amp; T4 &amp; X2 &amp; P80</t>
        </r>
      </text>
    </comment>
    <comment ref="F14" authorId="0" shapeId="0" xr:uid="{AD47EC21-29A3-46DB-91B6-F61808A3CD6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B9]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B2 &amp; M1 &amp; H11 &amp; Q16 &amp; K16 &amp; V18 &amp; L17 &amp; G18 &amp; S9 &amp; W3 &amp; T4 &amp; X1 &amp; P45</t>
        </r>
      </text>
    </comment>
    <comment ref="F15" authorId="0" shapeId="0" xr:uid="{5E4F7313-3A2C-4D3E-B540-6F1304A7A5E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V9 &amp; L10 &amp; G20 &amp; S25 &amp; W19 &amp; T4 &amp; X2 &amp; P90</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94ABA8E2-79A6-41D8-9F61-74C7D7176EFC}">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G1 &amp; S7 &amp; W35 &amp; T6 &amp; X17 &amp; U4 &amp; P91</t>
        </r>
      </text>
    </comment>
    <comment ref="F3" authorId="0" shapeId="0" xr:uid="{9FAAC3A3-A7F6-4834-9D5B-99366A5261CB}">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81.6%] - [</t>
        </r>
        <r>
          <rPr>
            <b/>
            <sz val="10"/>
            <color indexed="48"/>
            <rFont val="Calibri"/>
            <family val="2"/>
          </rPr>
          <t xml:space="preserve">SOLD </t>
        </r>
        <r>
          <rPr>
            <b/>
            <sz val="10"/>
            <color indexed="8"/>
            <rFont val="Calibri"/>
            <family val="2"/>
          </rPr>
          <t>» 146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 &amp; G15 &amp; S14 &amp; W15 &amp; T20 &amp; X21 &amp; U19 &amp; P41</t>
        </r>
      </text>
    </comment>
    <comment ref="F4" authorId="0" shapeId="0" xr:uid="{481BBE1B-87C6-4DE4-BB29-15F1A47EFB68}">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V6 &amp; S3 &amp; W3 &amp; T8 &amp; X12 &amp; P146 &amp; N1</t>
        </r>
      </text>
    </comment>
    <comment ref="F5" authorId="0" shapeId="0" xr:uid="{8517FDEB-BB16-4ACB-8A71-F3D1EF5BBE72}">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Q1 &amp; L13 &amp; G9 &amp; S5 &amp; W3 &amp; T5 &amp; X2 &amp; U16 &amp; P125</t>
        </r>
      </text>
    </comment>
    <comment ref="F6" authorId="0" shapeId="0" xr:uid="{5F0A0C2D-0A2A-4210-B7B8-68457DBBD852}">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S6 &amp; W10 &amp; T10 &amp; X10 &amp; P143</t>
        </r>
      </text>
    </comment>
    <comment ref="F7" authorId="0" shapeId="0" xr:uid="{93DABACF-1025-43D3-8591-9B73AEAEDD44}">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L8 &amp; G18 &amp; S29 &amp; W3 &amp; T4 &amp; X2 &amp; P115</t>
        </r>
      </text>
    </comment>
    <comment ref="F8" authorId="0" shapeId="0" xr:uid="{2F3E2425-8ED1-499C-9239-33CA2A1D1A3E}">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99.4%] - [</t>
        </r>
        <r>
          <rPr>
            <b/>
            <sz val="10"/>
            <color indexed="48"/>
            <rFont val="Calibri"/>
            <family val="2"/>
          </rPr>
          <t xml:space="preserve">SOLD </t>
        </r>
        <r>
          <rPr>
            <b/>
            <sz val="10"/>
            <color indexed="8"/>
            <rFont val="Calibri"/>
            <family val="2"/>
          </rPr>
          <t>» 178 PAX]</t>
        </r>
        <r>
          <rPr>
            <b/>
            <sz val="8.5"/>
            <color indexed="8"/>
            <rFont val="Calibri"/>
            <family val="2"/>
          </rPr>
          <t>_x000D_
[</t>
        </r>
        <r>
          <rPr>
            <b/>
            <sz val="8.5"/>
            <color indexed="21"/>
            <rFont val="Calibri"/>
            <family val="2"/>
          </rPr>
          <t xml:space="preserve">WEEKLY </t>
        </r>
        <r>
          <rPr>
            <b/>
            <sz val="8.5"/>
            <color indexed="8"/>
            <rFont val="Calibri"/>
            <family val="2"/>
          </rPr>
          <t>» 42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K1 &amp; V6 &amp; L23 &amp; G18 &amp; S9 &amp; W7 &amp; T12 &amp; X10 &amp; P92</t>
        </r>
      </text>
    </comment>
    <comment ref="F9" authorId="0" shapeId="0" xr:uid="{7EA4D026-0A10-46C6-A433-B00BC437AA19}">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14-NOV]_x000D_
{</t>
        </r>
        <r>
          <rPr>
            <b/>
            <sz val="8.5"/>
            <color indexed="10"/>
            <rFont val="Calibri"/>
            <family val="2"/>
          </rPr>
          <t>CLASSES</t>
        </r>
        <r>
          <rPr>
            <b/>
            <sz val="8.5"/>
            <color indexed="8"/>
            <rFont val="Calibri"/>
            <family val="2"/>
          </rPr>
          <t>}_x000D_
Q1 &amp; V1 &amp; L6 &amp; G18 &amp; S10 &amp; W2 &amp; T4 &amp; X2 &amp; P135</t>
        </r>
      </text>
    </comment>
    <comment ref="F10" authorId="0" shapeId="0" xr:uid="{B315D1C8-CD58-47D0-A211-1C5232339D85}">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96.7%] - [</t>
        </r>
        <r>
          <rPr>
            <b/>
            <sz val="10"/>
            <color indexed="48"/>
            <rFont val="Calibri"/>
            <family val="2"/>
          </rPr>
          <t xml:space="preserve">SOLD </t>
        </r>
        <r>
          <rPr>
            <b/>
            <sz val="10"/>
            <color indexed="8"/>
            <rFont val="Calibri"/>
            <family val="2"/>
          </rPr>
          <t>» 173 PAX]</t>
        </r>
        <r>
          <rPr>
            <b/>
            <sz val="8.5"/>
            <color indexed="8"/>
            <rFont val="Calibri"/>
            <family val="2"/>
          </rPr>
          <t>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Q2 &amp; K4 &amp; V13 &amp; L18 &amp; G18 &amp; S29 &amp; W3 &amp; T4 &amp; X2 &amp; P80</t>
        </r>
      </text>
    </comment>
    <comment ref="F11" authorId="0" shapeId="0" xr:uid="{40901144-B850-4208-9669-3AF4C1C20292}">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89.9%] - [</t>
        </r>
        <r>
          <rPr>
            <b/>
            <sz val="10"/>
            <color indexed="48"/>
            <rFont val="Calibri"/>
            <family val="2"/>
          </rPr>
          <t xml:space="preserve">SOLD </t>
        </r>
        <r>
          <rPr>
            <b/>
            <sz val="10"/>
            <color indexed="8"/>
            <rFont val="Calibri"/>
            <family val="2"/>
          </rPr>
          <t>» 161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B9]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t>
        </r>
        <r>
          <rPr>
            <b/>
            <sz val="8.5"/>
            <color indexed="10"/>
            <rFont val="Calibri"/>
            <family val="2"/>
          </rPr>
          <t>CLASSES</t>
        </r>
        <r>
          <rPr>
            <b/>
            <sz val="8.5"/>
            <color indexed="8"/>
            <rFont val="Calibri"/>
            <family val="2"/>
          </rPr>
          <t>}_x000D_
B2 &amp; M1 &amp; H11 &amp; Q16 &amp; K16 &amp; V18 &amp; L17 &amp; G18 &amp; S9 &amp; W3 &amp; T4 &amp; X1 &amp; P45</t>
        </r>
      </text>
    </comment>
    <comment ref="F12" authorId="0" shapeId="0" xr:uid="{B144B83E-66E0-4985-BCBF-E08DCE068CB6}">
      <text>
        <r>
          <rPr>
            <b/>
            <sz val="10"/>
            <color indexed="8"/>
            <rFont val="Calibri"/>
            <family val="2"/>
          </rPr>
          <t>-{ SM441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100.0%] - [</t>
        </r>
        <r>
          <rPr>
            <b/>
            <sz val="10"/>
            <color indexed="48"/>
            <rFont val="Calibri"/>
            <family val="2"/>
          </rPr>
          <t xml:space="preserve">SOLD </t>
        </r>
        <r>
          <rPr>
            <b/>
            <sz val="10"/>
            <color indexed="8"/>
            <rFont val="Calibri"/>
            <family val="2"/>
          </rPr>
          <t>» 179 PAX]</t>
        </r>
        <r>
          <rPr>
            <b/>
            <sz val="8.5"/>
            <color indexed="8"/>
            <rFont val="Calibri"/>
            <family val="2"/>
          </rPr>
          <t>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V9 &amp; L10 &amp; G20 &amp; S25 &amp; W19 &amp; T4 &amp; X2 &amp; P90</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3C16C5FB-D222-4539-B625-32AD71FE8959}">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B2 &amp; M8 &amp; H18 &amp; Q18 &amp; K18 &amp; V18 &amp; L23 &amp; G12 &amp; S8 &amp; W4 &amp; T16 &amp; X9 &amp; U9 &amp; O7 &amp; I2</t>
        </r>
      </text>
    </comment>
    <comment ref="F5" authorId="0" shapeId="0" xr:uid="{BFB40661-2F2A-4B87-83D6-3F3DC33D0DAA}">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86.0%] - [</t>
        </r>
        <r>
          <rPr>
            <b/>
            <sz val="10"/>
            <color indexed="48"/>
            <rFont val="Calibri"/>
            <family val="2"/>
          </rPr>
          <t xml:space="preserve">SOLD </t>
        </r>
        <r>
          <rPr>
            <b/>
            <sz val="10"/>
            <color indexed="8"/>
            <rFont val="Calibri"/>
            <family val="2"/>
          </rPr>
          <t>» 154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M6]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M4 &amp; H15 &amp; Q15 &amp; K15 &amp; V15 &amp; L24 &amp; G13 &amp; S4 &amp; W2 &amp; T17 &amp; X8 &amp; U6 &amp; O11 &amp; I5</t>
        </r>
      </text>
    </comment>
    <comment ref="F9" authorId="0" shapeId="0" xr:uid="{E8889247-991D-479F-8A55-FF891F1AA870}">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87.2%] - [</t>
        </r>
        <r>
          <rPr>
            <b/>
            <sz val="10"/>
            <color indexed="48"/>
            <rFont val="Calibri"/>
            <family val="2"/>
          </rPr>
          <t xml:space="preserve">SOLD </t>
        </r>
        <r>
          <rPr>
            <b/>
            <sz val="10"/>
            <color indexed="8"/>
            <rFont val="Calibri"/>
            <family val="2"/>
          </rPr>
          <t>» 156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Q1]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H12 &amp; Q19 &amp; K26 &amp; V27 &amp; L9 &amp; G9 &amp; S8 &amp; W9 &amp; T10 &amp; X15 &amp; U3 &amp; O3 &amp; I6</t>
        </r>
      </text>
    </comment>
    <comment ref="F11" authorId="0" shapeId="0" xr:uid="{FBE16326-314E-4D2E-8F91-6F8063D9E3FB}">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M9 &amp; H25 &amp; Q12 &amp; K9 &amp; V8 &amp; L9 &amp; G9 &amp; S8 &amp; W13 &amp; T9 &amp; X8 &amp; U6 &amp; O6 &amp; I3</t>
        </r>
      </text>
    </comment>
    <comment ref="F15" authorId="0" shapeId="0" xr:uid="{C99FD291-FC1E-48C7-AA1D-6C3B35293BC2}">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Y9]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Y14 &amp; B5 &amp; M9 &amp; H7 &amp; Q21 &amp; L9 &amp; G3 &amp; S10 &amp; W8 &amp; T9 &amp; X7 &amp; U5 &amp; O7 &amp; I6</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B330E02F-D92A-4BCD-A79E-3B8CCC18736A}">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96.1%] - [</t>
        </r>
        <r>
          <rPr>
            <b/>
            <sz val="10"/>
            <color indexed="48"/>
            <rFont val="Calibri"/>
            <family val="2"/>
          </rPr>
          <t xml:space="preserve">SOLD </t>
        </r>
        <r>
          <rPr>
            <b/>
            <sz val="10"/>
            <color indexed="8"/>
            <rFont val="Calibri"/>
            <family val="2"/>
          </rPr>
          <t>» 172 PAX]</t>
        </r>
        <r>
          <rPr>
            <b/>
            <sz val="8.5"/>
            <color indexed="8"/>
            <rFont val="Calibri"/>
            <family val="2"/>
          </rPr>
          <t>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B2 &amp; M8 &amp; H18 &amp; Q18 &amp; K18 &amp; V18 &amp; L23 &amp; G12 &amp; S8 &amp; W4 &amp; T16 &amp; X9 &amp; U9 &amp; O7 &amp; I2</t>
        </r>
      </text>
    </comment>
    <comment ref="F3" authorId="0" shapeId="0" xr:uid="{6937CF7C-4D7A-41E4-8E0F-02CCB8B9E601}">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86.0%] - [</t>
        </r>
        <r>
          <rPr>
            <b/>
            <sz val="10"/>
            <color indexed="48"/>
            <rFont val="Calibri"/>
            <family val="2"/>
          </rPr>
          <t xml:space="preserve">SOLD </t>
        </r>
        <r>
          <rPr>
            <b/>
            <sz val="10"/>
            <color indexed="8"/>
            <rFont val="Calibri"/>
            <family val="2"/>
          </rPr>
          <t>» 154 PAX]</t>
        </r>
        <r>
          <rPr>
            <b/>
            <sz val="8.5"/>
            <color indexed="8"/>
            <rFont val="Calibri"/>
            <family val="2"/>
          </rPr>
          <t>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M6]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M4 &amp; H15 &amp; Q15 &amp; K15 &amp; V15 &amp; L24 &amp; G13 &amp; S4 &amp; W2 &amp; T17 &amp; X8 &amp; U6 &amp; O11 &amp; I5</t>
        </r>
      </text>
    </comment>
    <comment ref="F7" authorId="0" shapeId="0" xr:uid="{5E50E062-F600-4936-8171-4DC48F4289F6}">
      <text>
        <r>
          <rPr>
            <b/>
            <sz val="10"/>
            <color indexed="8"/>
            <rFont val="Calibri"/>
            <family val="2"/>
          </rPr>
          <t>-{ SM447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87.2%] - [</t>
        </r>
        <r>
          <rPr>
            <b/>
            <sz val="10"/>
            <color indexed="48"/>
            <rFont val="Calibri"/>
            <family val="2"/>
          </rPr>
          <t xml:space="preserve">SOLD </t>
        </r>
        <r>
          <rPr>
            <b/>
            <sz val="10"/>
            <color indexed="8"/>
            <rFont val="Calibri"/>
            <family val="2"/>
          </rPr>
          <t>» 156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Q1]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H12 &amp; Q19 &amp; K26 &amp; V27 &amp; L9 &amp; G9 &amp; S8 &amp; W9 &amp; T10 &amp; X15 &amp; U3 &amp; O3 &amp; I6</t>
        </r>
      </text>
    </comment>
    <comment ref="F8" authorId="0" shapeId="0" xr:uid="{B32FD149-C8B4-487F-8483-57DF9AB22527}">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74.9%] - [</t>
        </r>
        <r>
          <rPr>
            <b/>
            <sz val="10"/>
            <color indexed="48"/>
            <rFont val="Calibri"/>
            <family val="2"/>
          </rPr>
          <t xml:space="preserve">SOLD </t>
        </r>
        <r>
          <rPr>
            <b/>
            <sz val="10"/>
            <color indexed="8"/>
            <rFont val="Calibri"/>
            <family val="2"/>
          </rPr>
          <t>» 134 PAX]</t>
        </r>
        <r>
          <rPr>
            <b/>
            <sz val="8.5"/>
            <color indexed="8"/>
            <rFont val="Calibri"/>
            <family val="2"/>
          </rPr>
          <t>_x000D_
[</t>
        </r>
        <r>
          <rPr>
            <b/>
            <sz val="8.5"/>
            <color indexed="21"/>
            <rFont val="Calibri"/>
            <family val="2"/>
          </rPr>
          <t xml:space="preserve">WEEKLY </t>
        </r>
        <r>
          <rPr>
            <b/>
            <sz val="8.5"/>
            <color indexed="8"/>
            <rFont val="Calibri"/>
            <family val="2"/>
          </rPr>
          <t>» 17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t>
        </r>
        <r>
          <rPr>
            <b/>
            <sz val="8.5"/>
            <color indexed="10"/>
            <rFont val="Calibri"/>
            <family val="2"/>
          </rPr>
          <t>CLASSES</t>
        </r>
        <r>
          <rPr>
            <b/>
            <sz val="8.5"/>
            <color indexed="8"/>
            <rFont val="Calibri"/>
            <family val="2"/>
          </rPr>
          <t>}_x000D_
M9 &amp; H25 &amp; Q12 &amp; K9 &amp; V8 &amp; L9 &amp; G9 &amp; S8 &amp; W13 &amp; T9 &amp; X8 &amp; U6 &amp; O6 &amp; I3</t>
        </r>
      </text>
    </comment>
    <comment ref="F11" authorId="0" shapeId="0" xr:uid="{A5CE39DC-0F28-4DD9-9E8D-2B1BB053F9CD}">
      <text>
        <r>
          <rPr>
            <b/>
            <sz val="10"/>
            <color indexed="8"/>
            <rFont val="Calibri"/>
            <family val="2"/>
          </rPr>
          <t>-{ SM443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67.0%] - [</t>
        </r>
        <r>
          <rPr>
            <b/>
            <sz val="10"/>
            <color indexed="48"/>
            <rFont val="Calibri"/>
            <family val="2"/>
          </rPr>
          <t xml:space="preserve">SOLD </t>
        </r>
        <r>
          <rPr>
            <b/>
            <sz val="10"/>
            <color indexed="8"/>
            <rFont val="Calibri"/>
            <family val="2"/>
          </rPr>
          <t>» 120 PAX]</t>
        </r>
        <r>
          <rPr>
            <b/>
            <sz val="8.5"/>
            <color indexed="8"/>
            <rFont val="Calibri"/>
            <family val="2"/>
          </rPr>
          <t>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Y9]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Y14 &amp; B5 &amp; M9 &amp; H7 &amp; Q21 &amp; L9 &amp; G3 &amp; S10 &amp; W8 &amp; T9 &amp; X7 &amp; U5 &amp; O7 &amp; I6</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023251EF-18CC-4331-8578-537B9B9F45A8}">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92.2%] - [</t>
        </r>
        <r>
          <rPr>
            <b/>
            <sz val="10"/>
            <color indexed="48"/>
            <rFont val="Calibri"/>
            <family val="2"/>
          </rPr>
          <t xml:space="preserve">SOLD </t>
        </r>
        <r>
          <rPr>
            <b/>
            <sz val="10"/>
            <color indexed="8"/>
            <rFont val="Calibri"/>
            <family val="2"/>
          </rPr>
          <t>» 165 PAX]</t>
        </r>
        <r>
          <rPr>
            <b/>
            <sz val="8.5"/>
            <color indexed="8"/>
            <rFont val="Calibri"/>
            <family val="2"/>
          </rPr>
          <t>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L4 &amp; G18 &amp; S18 &amp; W53 &amp; T13 &amp; X17 &amp; U18 &amp; O24</t>
        </r>
      </text>
    </comment>
    <comment ref="F18" authorId="0" shapeId="0" xr:uid="{547DE0DE-558F-4546-A8BE-31CAC61935ED}">
      <text>
        <r>
          <rPr>
            <b/>
            <sz val="10"/>
            <color indexed="8"/>
            <rFont val="Calibri"/>
            <family val="2"/>
          </rPr>
          <t>-{ SM445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87.7%] - [</t>
        </r>
        <r>
          <rPr>
            <b/>
            <sz val="10"/>
            <color indexed="48"/>
            <rFont val="Calibri"/>
            <family val="2"/>
          </rPr>
          <t xml:space="preserve">SOLD </t>
        </r>
        <r>
          <rPr>
            <b/>
            <sz val="10"/>
            <color indexed="8"/>
            <rFont val="Calibri"/>
            <family val="2"/>
          </rPr>
          <t>» 157 PAX]</t>
        </r>
        <r>
          <rPr>
            <b/>
            <sz val="8.5"/>
            <color indexed="8"/>
            <rFont val="Calibri"/>
            <family val="2"/>
          </rPr>
          <t>_x000D_
[</t>
        </r>
        <r>
          <rPr>
            <b/>
            <sz val="8.5"/>
            <color indexed="21"/>
            <rFont val="Calibri"/>
            <family val="2"/>
          </rPr>
          <t xml:space="preserve">WEEKLY </t>
        </r>
        <r>
          <rPr>
            <b/>
            <sz val="8.5"/>
            <color indexed="8"/>
            <rFont val="Calibri"/>
            <family val="2"/>
          </rPr>
          <t>» 70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G7 &amp; S20 &amp; W20 &amp; T38 &amp; X18 &amp; U27 &amp; O27</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2CECB8BA-5680-4515-AFD9-82D302A71805}">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58.1%] - [</t>
        </r>
        <r>
          <rPr>
            <b/>
            <sz val="10"/>
            <color indexed="48"/>
            <rFont val="Calibri"/>
            <family val="2"/>
          </rPr>
          <t xml:space="preserve">SOLD </t>
        </r>
        <r>
          <rPr>
            <b/>
            <sz val="10"/>
            <color indexed="8"/>
            <rFont val="Calibri"/>
            <family val="2"/>
          </rPr>
          <t>» 104 PAX]</t>
        </r>
        <r>
          <rPr>
            <b/>
            <sz val="8.5"/>
            <color indexed="8"/>
            <rFont val="Calibri"/>
            <family val="2"/>
          </rPr>
          <t>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G6 &amp; S10 &amp; W47 &amp; U1 &amp; O6 &amp; I34</t>
        </r>
      </text>
    </comment>
    <comment ref="F9" authorId="0" shapeId="0" xr:uid="{F0C3AC5C-525C-4142-91F6-D84232EC8D63}">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43.0%] - [</t>
        </r>
        <r>
          <rPr>
            <b/>
            <sz val="10"/>
            <color indexed="48"/>
            <rFont val="Calibri"/>
            <family val="2"/>
          </rPr>
          <t xml:space="preserve">SOLD </t>
        </r>
        <r>
          <rPr>
            <b/>
            <sz val="10"/>
            <color indexed="8"/>
            <rFont val="Calibri"/>
            <family val="2"/>
          </rPr>
          <t>» 77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G2 &amp; S11 &amp; W42 &amp; O5 &amp; I17</t>
        </r>
      </text>
    </comment>
    <comment ref="F16" authorId="0" shapeId="0" xr:uid="{10285D40-79AA-4798-BCA8-3BA6A98421C0}">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55.9%]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10 PAX] - [</t>
        </r>
        <r>
          <rPr>
            <b/>
            <sz val="8.5"/>
            <color indexed="21"/>
            <rFont val="Calibri"/>
            <family val="2"/>
          </rPr>
          <t xml:space="preserve">Y-DAY </t>
        </r>
        <r>
          <rPr>
            <b/>
            <sz val="8.5"/>
            <color indexed="8"/>
            <rFont val="Calibri"/>
            <family val="2"/>
          </rPr>
          <t>» 18]_x000D_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G3 &amp; S23 &amp; W42 &amp; X1 &amp; U1 &amp; O4 &amp; I26</t>
        </r>
      </text>
    </comment>
    <comment ref="F30" authorId="0" shapeId="0" xr:uid="{3E43020D-6DB6-434E-8CBF-285C6F1D4A45}">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V9]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K4 &amp; V5 &amp; L9 &amp; G17 &amp; S10 &amp; W10 &amp; T21 &amp; X10 &amp; U3 &amp; O6 &amp; I8</t>
        </r>
      </text>
    </comment>
    <comment ref="F36" authorId="0" shapeId="0" xr:uid="{44B0B376-0A16-4A52-B6A4-D07817ECDD8A}">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67.6%]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H3]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M1 &amp; H38 &amp; K9 &amp; V7 &amp; L9 &amp; G11 &amp; S8 &amp; W5 &amp; T6 &amp; X7 &amp; U9 &amp; O11</t>
        </r>
      </text>
    </comment>
    <comment ref="F41" authorId="0" shapeId="0" xr:uid="{093C2E13-CDA7-4169-9CFD-D905382D494E}">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62.6%] - [</t>
        </r>
        <r>
          <rPr>
            <b/>
            <sz val="10"/>
            <color indexed="48"/>
            <rFont val="Calibri"/>
            <family val="2"/>
          </rPr>
          <t xml:space="preserve">SOLD </t>
        </r>
        <r>
          <rPr>
            <b/>
            <sz val="10"/>
            <color indexed="8"/>
            <rFont val="Calibri"/>
            <family val="2"/>
          </rPr>
          <t>» 112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 &amp; K2 &amp; V24 &amp; L8 &amp; G10 &amp; S15 &amp; W11 &amp; T10 &amp; X12 &amp; U5 &amp; O8 &amp; I4 &amp; N2</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B6535443-3E8C-4313-B2BF-B410F5E0A512}">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58.1%] - [</t>
        </r>
        <r>
          <rPr>
            <b/>
            <sz val="10"/>
            <color indexed="48"/>
            <rFont val="Calibri"/>
            <family val="2"/>
          </rPr>
          <t xml:space="preserve">SOLD </t>
        </r>
        <r>
          <rPr>
            <b/>
            <sz val="10"/>
            <color indexed="8"/>
            <rFont val="Calibri"/>
            <family val="2"/>
          </rPr>
          <t>» 104 PAX]</t>
        </r>
        <r>
          <rPr>
            <b/>
            <sz val="8.5"/>
            <color indexed="8"/>
            <rFont val="Calibri"/>
            <family val="2"/>
          </rPr>
          <t>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G6 &amp; S10 &amp; W47 &amp; U1 &amp; O6 &amp; I34</t>
        </r>
      </text>
    </comment>
    <comment ref="F6" authorId="0" shapeId="0" xr:uid="{79CD74B6-B6A0-4D1C-841F-28555B9E3A17}">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43.0%] - [</t>
        </r>
        <r>
          <rPr>
            <b/>
            <sz val="10"/>
            <color indexed="48"/>
            <rFont val="Calibri"/>
            <family val="2"/>
          </rPr>
          <t xml:space="preserve">SOLD </t>
        </r>
        <r>
          <rPr>
            <b/>
            <sz val="10"/>
            <color indexed="8"/>
            <rFont val="Calibri"/>
            <family val="2"/>
          </rPr>
          <t>» 77 PAX]</t>
        </r>
        <r>
          <rPr>
            <b/>
            <sz val="8.5"/>
            <color indexed="8"/>
            <rFont val="Calibri"/>
            <family val="2"/>
          </rPr>
          <t>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G2 &amp; S11 &amp; W42 &amp; O5 &amp; I17</t>
        </r>
      </text>
    </comment>
    <comment ref="F10" authorId="0" shapeId="0" xr:uid="{05034F0C-12A4-4EBA-AFFF-76CDA9CF1B30}">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55.9%] - [</t>
        </r>
        <r>
          <rPr>
            <b/>
            <sz val="10"/>
            <color indexed="48"/>
            <rFont val="Calibri"/>
            <family val="2"/>
          </rPr>
          <t xml:space="preserve">SOLD </t>
        </r>
        <r>
          <rPr>
            <b/>
            <sz val="10"/>
            <color indexed="8"/>
            <rFont val="Calibri"/>
            <family val="2"/>
          </rPr>
          <t>» 100 PAX]</t>
        </r>
        <r>
          <rPr>
            <b/>
            <sz val="8.5"/>
            <color indexed="8"/>
            <rFont val="Calibri"/>
            <family val="2"/>
          </rPr>
          <t>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10 PAX] - [</t>
        </r>
        <r>
          <rPr>
            <b/>
            <sz val="8.5"/>
            <color indexed="21"/>
            <rFont val="Calibri"/>
            <family val="2"/>
          </rPr>
          <t xml:space="preserve">Y-DAY </t>
        </r>
        <r>
          <rPr>
            <b/>
            <sz val="8.5"/>
            <color indexed="8"/>
            <rFont val="Calibri"/>
            <family val="2"/>
          </rPr>
          <t>» 18]_x000D_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G3 &amp; S23 &amp; W42 &amp; X1 &amp; U1 &amp; O4 &amp; I26</t>
        </r>
      </text>
    </comment>
    <comment ref="F22" authorId="0" shapeId="0" xr:uid="{8ED7A8C6-1DF4-44AF-A120-DED3C78C5F19}">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57.5%] - [</t>
        </r>
        <r>
          <rPr>
            <b/>
            <sz val="10"/>
            <color indexed="48"/>
            <rFont val="Calibri"/>
            <family val="2"/>
          </rPr>
          <t xml:space="preserve">SOLD </t>
        </r>
        <r>
          <rPr>
            <b/>
            <sz val="10"/>
            <color indexed="8"/>
            <rFont val="Calibri"/>
            <family val="2"/>
          </rPr>
          <t>» 103 PAX]</t>
        </r>
        <r>
          <rPr>
            <b/>
            <sz val="8.5"/>
            <color indexed="8"/>
            <rFont val="Calibri"/>
            <family val="2"/>
          </rPr>
          <t>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V9]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K4 &amp; V5 &amp; L9 &amp; G17 &amp; S10 &amp; W10 &amp; T21 &amp; X10 &amp; U3 &amp; O6 &amp; I8</t>
        </r>
      </text>
    </comment>
    <comment ref="F23" authorId="0" shapeId="0" xr:uid="{D0878E74-3F27-44A3-9047-DFE34006C156}">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67.6%]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t>
        </r>
        <r>
          <rPr>
            <b/>
            <sz val="8.5"/>
            <color indexed="48"/>
            <rFont val="Calibri"/>
            <family val="2"/>
          </rPr>
          <t>LOWESTAVAIL</t>
        </r>
        <r>
          <rPr>
            <b/>
            <sz val="8.5"/>
            <color indexed="8"/>
            <rFont val="Calibri"/>
            <family val="2"/>
          </rPr>
          <t xml:space="preserve"> » H3]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M1 &amp; H38 &amp; K9 &amp; V7 &amp; L9 &amp; G11 &amp; S8 &amp; W5 &amp; T6 &amp; X7 &amp; U9 &amp; O11</t>
        </r>
      </text>
    </comment>
    <comment ref="F26" authorId="0" shapeId="0" xr:uid="{5AA6D28A-42BB-442C-9E8C-1BBFE6519BB8}">
      <text>
        <r>
          <rPr>
            <b/>
            <sz val="10"/>
            <color indexed="8"/>
            <rFont val="Calibri"/>
            <family val="2"/>
          </rPr>
          <t>-{ SM427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62.6%] - [</t>
        </r>
        <r>
          <rPr>
            <b/>
            <sz val="10"/>
            <color indexed="48"/>
            <rFont val="Calibri"/>
            <family val="2"/>
          </rPr>
          <t xml:space="preserve">SOLD </t>
        </r>
        <r>
          <rPr>
            <b/>
            <sz val="10"/>
            <color indexed="8"/>
            <rFont val="Calibri"/>
            <family val="2"/>
          </rPr>
          <t>» 112 PAX]</t>
        </r>
        <r>
          <rPr>
            <b/>
            <sz val="8.5"/>
            <color indexed="8"/>
            <rFont val="Calibri"/>
            <family val="2"/>
          </rPr>
          <t>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9]_x000D_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H1 &amp; K2 &amp; V24 &amp; L8 &amp; G10 &amp; S15 &amp; W11 &amp; T10 &amp; X12 &amp; U5 &amp; O8 &amp; I4 &amp; N2</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4" authorId="0" shapeId="0" xr:uid="{ED06DCEF-E13E-4B4D-B49C-C124E033CABB}">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57.0%] - [</t>
        </r>
        <r>
          <rPr>
            <b/>
            <sz val="10"/>
            <color indexed="48"/>
            <rFont val="Calibri"/>
            <family val="2"/>
          </rPr>
          <t xml:space="preserve">SOLD </t>
        </r>
        <r>
          <rPr>
            <b/>
            <sz val="10"/>
            <color indexed="8"/>
            <rFont val="Calibri"/>
            <family val="2"/>
          </rPr>
          <t>» 102 PAX]</t>
        </r>
        <r>
          <rPr>
            <b/>
            <sz val="8.5"/>
            <color indexed="8"/>
            <rFont val="Calibri"/>
            <family val="2"/>
          </rPr>
          <t>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L11 &amp; G22 &amp; S4 &amp; W3 &amp; T2 &amp; X20 &amp; U13 &amp; O12 &amp; I15</t>
        </r>
      </text>
    </comment>
    <comment ref="F27" authorId="0" shapeId="0" xr:uid="{E1734865-E8EF-4655-801D-EE2242743824}">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46.4%] - [</t>
        </r>
        <r>
          <rPr>
            <b/>
            <sz val="10"/>
            <color indexed="48"/>
            <rFont val="Calibri"/>
            <family val="2"/>
          </rPr>
          <t xml:space="preserve">SOLD </t>
        </r>
        <r>
          <rPr>
            <b/>
            <sz val="10"/>
            <color indexed="8"/>
            <rFont val="Calibri"/>
            <family val="2"/>
          </rPr>
          <t>» 83 PAX]</t>
        </r>
        <r>
          <rPr>
            <b/>
            <sz val="8.5"/>
            <color indexed="8"/>
            <rFont val="Calibri"/>
            <family val="2"/>
          </rPr>
          <t>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G8 &amp; S15 &amp; W5 &amp; X7 &amp; U15 &amp; O14 &amp; I19</t>
        </r>
      </text>
    </comment>
    <comment ref="F49" authorId="0" shapeId="0" xr:uid="{58806EA3-C875-4B89-A330-DC8DF665D5A6}">
      <text>
        <r>
          <rPr>
            <b/>
            <sz val="10"/>
            <color indexed="8"/>
            <rFont val="Calibri"/>
            <family val="2"/>
          </rPr>
          <t>-{ SM435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36.3%] - [</t>
        </r>
        <r>
          <rPr>
            <b/>
            <sz val="10"/>
            <color indexed="48"/>
            <rFont val="Calibri"/>
            <family val="2"/>
          </rPr>
          <t xml:space="preserve">SOLD </t>
        </r>
        <r>
          <rPr>
            <b/>
            <sz val="10"/>
            <color indexed="8"/>
            <rFont val="Calibri"/>
            <family val="2"/>
          </rPr>
          <t>» 65 PAX]</t>
        </r>
        <r>
          <rPr>
            <b/>
            <sz val="8.5"/>
            <color indexed="8"/>
            <rFont val="Calibri"/>
            <family val="2"/>
          </rPr>
          <t>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G2 &amp; S15 &amp; W15 &amp; T12 &amp; X7 &amp; U9 &amp; O5</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4" authorId="0" shapeId="0" xr:uid="{D46819E7-D567-4CEF-BF98-51AD3B3ABBD8}">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72.6%]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S8 &amp; W1 &amp; T1 &amp; X59 &amp; U38 &amp; O22 &amp; I1</t>
        </r>
      </text>
    </comment>
    <comment ref="F6" authorId="0" shapeId="0" xr:uid="{09DE76C7-5283-42D7-B295-9AA3656519ED}">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77.6%]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W9 &amp; T8 &amp; X95 &amp; U11 &amp; O11 &amp; I5</t>
        </r>
      </text>
    </comment>
    <comment ref="F12" authorId="0" shapeId="0" xr:uid="{3C733C04-8245-434A-BD2E-7BDD8257D670}">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63.1%] - [</t>
        </r>
        <r>
          <rPr>
            <b/>
            <sz val="10"/>
            <color indexed="48"/>
            <rFont val="Calibri"/>
            <family val="2"/>
          </rPr>
          <t xml:space="preserve">SOLD </t>
        </r>
        <r>
          <rPr>
            <b/>
            <sz val="10"/>
            <color indexed="8"/>
            <rFont val="Calibri"/>
            <family val="2"/>
          </rPr>
          <t>» 113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K23 &amp; V20 &amp; L8 &amp; G7 &amp; S9 &amp; W9 &amp; T10 &amp; X6 &amp; U8 &amp; O9 &amp; I4</t>
        </r>
      </text>
    </comment>
    <comment ref="F16" authorId="0" shapeId="0" xr:uid="{A3153447-84D0-4F77-B284-EA340B55B1A7}">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67.6%]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M1 &amp; H20 &amp; Q16 &amp; K8 &amp; V5 &amp; L9 &amp; G7 &amp; S9 &amp; W7 &amp; T10 &amp; X9 &amp; U9 &amp; O9 &amp; I2</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1260C793-DBC6-462B-808C-3AC6A3024D97}">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72.6%] - [</t>
        </r>
        <r>
          <rPr>
            <b/>
            <sz val="10"/>
            <color indexed="48"/>
            <rFont val="Calibri"/>
            <family val="2"/>
          </rPr>
          <t xml:space="preserve">SOLD </t>
        </r>
        <r>
          <rPr>
            <b/>
            <sz val="10"/>
            <color indexed="8"/>
            <rFont val="Calibri"/>
            <family val="2"/>
          </rPr>
          <t>» 130 PAX]</t>
        </r>
        <r>
          <rPr>
            <b/>
            <sz val="8.5"/>
            <color indexed="8"/>
            <rFont val="Calibri"/>
            <family val="2"/>
          </rPr>
          <t>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t>
        </r>
        <r>
          <rPr>
            <b/>
            <sz val="8.5"/>
            <color indexed="10"/>
            <rFont val="Calibri"/>
            <family val="2"/>
          </rPr>
          <t>CLASSES</t>
        </r>
        <r>
          <rPr>
            <b/>
            <sz val="8.5"/>
            <color indexed="8"/>
            <rFont val="Calibri"/>
            <family val="2"/>
          </rPr>
          <t>}_x000D_
S8 &amp; W1 &amp; T1 &amp; X59 &amp; U38 &amp; O22 &amp; I1</t>
        </r>
      </text>
    </comment>
    <comment ref="F3" authorId="0" shapeId="0" xr:uid="{19FB4739-1497-48D3-A6A9-2A149EB20353}">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77.6%] - [</t>
        </r>
        <r>
          <rPr>
            <b/>
            <sz val="10"/>
            <color indexed="48"/>
            <rFont val="Calibri"/>
            <family val="2"/>
          </rPr>
          <t xml:space="preserve">SOLD </t>
        </r>
        <r>
          <rPr>
            <b/>
            <sz val="10"/>
            <color indexed="8"/>
            <rFont val="Calibri"/>
            <family val="2"/>
          </rPr>
          <t>» 139 PAX]</t>
        </r>
        <r>
          <rPr>
            <b/>
            <sz val="8.5"/>
            <color indexed="8"/>
            <rFont val="Calibri"/>
            <family val="2"/>
          </rPr>
          <t>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W9 &amp; T8 &amp; X95 &amp; U11 &amp; O11 &amp; I5</t>
        </r>
      </text>
    </comment>
    <comment ref="F8" authorId="0" shapeId="0" xr:uid="{5C7DADEC-1C34-4967-BD74-FE6577DEEFFC}">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63.1%] - [</t>
        </r>
        <r>
          <rPr>
            <b/>
            <sz val="10"/>
            <color indexed="48"/>
            <rFont val="Calibri"/>
            <family val="2"/>
          </rPr>
          <t xml:space="preserve">SOLD </t>
        </r>
        <r>
          <rPr>
            <b/>
            <sz val="10"/>
            <color indexed="8"/>
            <rFont val="Calibri"/>
            <family val="2"/>
          </rPr>
          <t>» 113 PAX]</t>
        </r>
        <r>
          <rPr>
            <b/>
            <sz val="8.5"/>
            <color indexed="8"/>
            <rFont val="Calibri"/>
            <family val="2"/>
          </rPr>
          <t>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K23 &amp; V20 &amp; L8 &amp; G7 &amp; S9 &amp; W9 &amp; T10 &amp; X6 &amp; U8 &amp; O9 &amp; I4</t>
        </r>
      </text>
    </comment>
    <comment ref="F10" authorId="0" shapeId="0" xr:uid="{B13B038C-C14B-4EE0-9493-5C17AB51ECBB}">
      <text>
        <r>
          <rPr>
            <b/>
            <sz val="10"/>
            <color indexed="8"/>
            <rFont val="Calibri"/>
            <family val="2"/>
          </rPr>
          <t>-{ SM329 }-</t>
        </r>
        <r>
          <rPr>
            <b/>
            <sz val="8.5"/>
            <color indexed="8"/>
            <rFont val="Calibri"/>
            <family val="2"/>
          </rPr>
          <t xml:space="preserve">_x000D_
</t>
        </r>
        <r>
          <rPr>
            <b/>
            <sz val="10"/>
            <color indexed="8"/>
            <rFont val="Calibri"/>
            <family val="2"/>
          </rPr>
          <t>[</t>
        </r>
        <r>
          <rPr>
            <b/>
            <sz val="10"/>
            <color indexed="48"/>
            <rFont val="Calibri"/>
            <family val="2"/>
          </rPr>
          <t xml:space="preserve">LF </t>
        </r>
        <r>
          <rPr>
            <b/>
            <sz val="10"/>
            <color indexed="8"/>
            <rFont val="Calibri"/>
            <family val="2"/>
          </rPr>
          <t>» 67.6%] - [</t>
        </r>
        <r>
          <rPr>
            <b/>
            <sz val="10"/>
            <color indexed="48"/>
            <rFont val="Calibri"/>
            <family val="2"/>
          </rPr>
          <t xml:space="preserve">SOLD </t>
        </r>
        <r>
          <rPr>
            <b/>
            <sz val="10"/>
            <color indexed="8"/>
            <rFont val="Calibri"/>
            <family val="2"/>
          </rPr>
          <t>» 121 PAX]</t>
        </r>
        <r>
          <rPr>
            <b/>
            <sz val="8.5"/>
            <color indexed="8"/>
            <rFont val="Calibri"/>
            <family val="2"/>
          </rPr>
          <t>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t>
        </r>
        <r>
          <rPr>
            <b/>
            <sz val="8.5"/>
            <color indexed="10"/>
            <rFont val="Calibri"/>
            <family val="2"/>
          </rPr>
          <t>CLASSES</t>
        </r>
        <r>
          <rPr>
            <b/>
            <sz val="8.5"/>
            <color indexed="8"/>
            <rFont val="Calibri"/>
            <family val="2"/>
          </rPr>
          <t>}_x000D_
M1 &amp; H20 &amp; Q16 &amp; K8 &amp; V5 &amp; L9 &amp; G7 &amp; S9 &amp; W7 &amp; T10 &amp; X9 &amp; U9 &amp; O9 &amp; I2</t>
        </r>
      </text>
    </comment>
  </commentList>
</comments>
</file>

<file path=xl/sharedStrings.xml><?xml version="1.0" encoding="utf-8"?>
<sst xmlns="http://schemas.openxmlformats.org/spreadsheetml/2006/main" count="37759" uniqueCount="1639">
  <si>
    <t>COMPREHENSIVE REPORT</t>
  </si>
  <si>
    <t>CAI-MED</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</si>
  <si>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</si>
  <si>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</si>
  <si>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</si>
  <si>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</si>
  <si>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</si>
  <si>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</si>
  <si>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</si>
  <si>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</si>
  <si>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</si>
  <si>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</si>
  <si>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</si>
  <si>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</si>
  <si>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</si>
  <si>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</si>
  <si>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</si>
  <si>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</si>
  <si>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</si>
  <si>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</si>
  <si>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</si>
  <si>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</si>
  <si>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</si>
  <si>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</si>
  <si>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</si>
  <si>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</si>
  <si>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</si>
  <si>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XY-794</t>
  </si>
  <si>
    <t>Cabin: 7 KG / Check-in: 20 KG</t>
  </si>
  <si>
    <r>
      <rPr>
        <b/>
        <i/>
        <sz val="13"/>
        <color rgb="FFBC0000"/>
        <rFont val="Calibri"/>
      </rPr>
      <t>5</t>
    </r>
    <r>
      <rPr>
        <b/>
        <i/>
        <sz val="10"/>
        <color rgb="FFBC0000"/>
        <rFont val="Calibri"/>
      </rPr>
      <t xml:space="preserve"> FOR SAME CLASS</t>
    </r>
  </si>
  <si>
    <t>6,902 EGP</t>
  </si>
  <si>
    <t>Cabin: 7 KG / Check-in: 30 KG</t>
  </si>
  <si>
    <r>
      <rPr>
        <i/>
        <sz val="13"/>
        <rFont val="Calibri"/>
      </rPr>
      <t>5</t>
    </r>
    <r>
      <rPr>
        <i/>
        <sz val="10"/>
        <rFont val="Calibri"/>
      </rPr>
      <t xml:space="preserve"> FOR SAME CLASS</t>
    </r>
  </si>
  <si>
    <t>8,182 EGP</t>
  </si>
  <si>
    <t>Cabin: 7 KG / Check-in: 2 x 40 KG</t>
  </si>
  <si>
    <t>9,335 EGP</t>
  </si>
  <si>
    <t>XY-575</t>
  </si>
  <si>
    <r>
      <rPr>
        <b/>
        <i/>
        <sz val="13"/>
        <rFont val="Calibri"/>
      </rPr>
      <t>9</t>
    </r>
    <r>
      <rPr>
        <b/>
        <i/>
        <sz val="10"/>
        <rFont val="Calibri"/>
      </rPr>
      <t xml:space="preserve"> FOR SAME CLASS</t>
    </r>
  </si>
  <si>
    <r>
      <rPr>
        <i/>
        <sz val="13"/>
        <rFont val="Calibri"/>
      </rPr>
      <t>9</t>
    </r>
    <r>
      <rPr>
        <i/>
        <sz val="10"/>
        <rFont val="Calibri"/>
      </rPr>
      <t xml:space="preserve"> FOR SAME CLASS</t>
    </r>
  </si>
  <si>
    <t>9,463 EGP</t>
  </si>
  <si>
    <t>10,616 EGP</t>
  </si>
  <si>
    <t>flyadeal</t>
  </si>
  <si>
    <t>F3-770</t>
  </si>
  <si>
    <t>Check-in: 15 KG</t>
  </si>
  <si>
    <t>7,414 EGP</t>
  </si>
  <si>
    <t>Cabin: 10 KG / Check-in: 25 KG</t>
  </si>
  <si>
    <t>Cabin: 10 KG / Check-in: 2 x 40 KG</t>
  </si>
  <si>
    <t>10,872 EGP</t>
  </si>
  <si>
    <t>EgyptAir</t>
  </si>
  <si>
    <t>MS-677</t>
  </si>
  <si>
    <t>Cabin: 7 KG | Check-in: 2 PIECE</t>
  </si>
  <si>
    <r>
      <rPr>
        <b/>
        <i/>
        <sz val="13"/>
        <color rgb="FFBC0000"/>
        <rFont val="Calibri"/>
      </rPr>
      <t>8</t>
    </r>
    <r>
      <rPr>
        <b/>
        <i/>
        <sz val="10"/>
        <color rgb="FFBC0000"/>
        <rFont val="Calibri"/>
      </rPr>
      <t xml:space="preserve"> FOR SAME CLASS</t>
    </r>
  </si>
  <si>
    <t>9,893 EGP</t>
  </si>
  <si>
    <t>MS-693</t>
  </si>
  <si>
    <r>
      <rPr>
        <b/>
        <i/>
        <sz val="13"/>
        <rFont val="Calibri"/>
      </rPr>
      <t>+9</t>
    </r>
    <r>
      <rPr>
        <b/>
        <i/>
        <sz val="10"/>
        <rFont val="Calibri"/>
      </rPr>
      <t xml:space="preserve"> FOR SAME CLASS</t>
    </r>
  </si>
  <si>
    <t>MS-675</t>
  </si>
  <si>
    <t>11,071 EGP</t>
  </si>
  <si>
    <t>MS-695</t>
  </si>
  <si>
    <r>
      <rPr>
        <b/>
        <i/>
        <sz val="13"/>
        <rFont val="Calibri"/>
      </rPr>
      <t>7</t>
    </r>
    <r>
      <rPr>
        <b/>
        <i/>
        <sz val="10"/>
        <rFont val="Calibri"/>
      </rPr>
      <t xml:space="preserve"> FOR SAME CLASS</t>
    </r>
  </si>
  <si>
    <t>16,462 EGP</t>
  </si>
  <si>
    <t>Saudia</t>
  </si>
  <si>
    <t>SV-390</t>
  </si>
  <si>
    <t>Cabin: 7 KG / Check-in: 23 KG</t>
  </si>
  <si>
    <r>
      <rPr>
        <b/>
        <i/>
        <sz val="13"/>
        <color rgb="FFBC0000"/>
        <rFont val="Calibri"/>
      </rPr>
      <t>+9</t>
    </r>
    <r>
      <rPr>
        <b/>
        <i/>
        <sz val="10"/>
        <color rgb="FFBC0000"/>
        <rFont val="Calibri"/>
      </rPr>
      <t xml:space="preserve"> FOR SAME CLASS</t>
    </r>
  </si>
  <si>
    <t>11,033 EGP</t>
  </si>
  <si>
    <t>Cabin: 7 KG / Check-in: 2 x 46 KG</t>
  </si>
  <si>
    <r>
      <rPr>
        <i/>
        <sz val="13"/>
        <rFont val="Calibri"/>
      </rPr>
      <t>+9</t>
    </r>
    <r>
      <rPr>
        <i/>
        <sz val="10"/>
        <rFont val="Calibri"/>
      </rPr>
      <t xml:space="preserve"> FOR SAME CLASS</t>
    </r>
  </si>
  <si>
    <t>11,686 EGP</t>
  </si>
  <si>
    <t>SV-318</t>
  </si>
  <si>
    <r>
      <rPr>
        <b/>
        <i/>
        <sz val="13"/>
        <rFont val="Calibri"/>
      </rPr>
      <t>1</t>
    </r>
    <r>
      <rPr>
        <b/>
        <i/>
        <sz val="10"/>
        <rFont val="Calibri"/>
      </rPr>
      <t xml:space="preserve"> FOR SAME CLASS</t>
    </r>
  </si>
  <si>
    <t>15,323 EGP</t>
  </si>
  <si>
    <t>SV-6904</t>
  </si>
  <si>
    <r>
      <rPr>
        <b/>
        <i/>
        <sz val="13"/>
        <rFont val="Calibri"/>
      </rPr>
      <t>4</t>
    </r>
    <r>
      <rPr>
        <b/>
        <i/>
        <sz val="10"/>
        <rFont val="Calibri"/>
      </rPr>
      <t xml:space="preserve"> FOR SAME CLASS</t>
    </r>
  </si>
  <si>
    <t>17,871 EGP</t>
  </si>
  <si>
    <t>SV-380</t>
  </si>
  <si>
    <r>
      <rPr>
        <b/>
        <i/>
        <sz val="13"/>
        <rFont val="Calibri"/>
      </rPr>
      <t>3</t>
    </r>
    <r>
      <rPr>
        <b/>
        <i/>
        <sz val="10"/>
        <rFont val="Calibri"/>
      </rPr>
      <t xml:space="preserve"> FOR SAME CLASS</t>
    </r>
  </si>
  <si>
    <t>22,532 EGP</t>
  </si>
  <si>
    <t>Air Cairo</t>
  </si>
  <si>
    <t>SM493</t>
  </si>
  <si>
    <t>30KG + 7KG CABIN</t>
  </si>
  <si>
    <t>FULLY BOOKED</t>
  </si>
  <si>
    <t>CLOSED</t>
  </si>
  <si>
    <t>V3 &amp; S2 &amp; X10 &amp; U11 &amp; O11 &amp; I10 &amp; P130 &amp; N7</t>
  </si>
  <si>
    <r>
      <rPr>
        <b/>
        <i/>
        <sz val="13"/>
        <color rgb="FFBC0000"/>
        <rFont val="Calibri"/>
      </rPr>
      <t>4</t>
    </r>
    <r>
      <rPr>
        <b/>
        <i/>
        <sz val="10"/>
        <color rgb="FFBC0000"/>
        <rFont val="Calibri"/>
      </rPr>
      <t xml:space="preserve"> FOR SAME CLASS</t>
    </r>
  </si>
  <si>
    <r>
      <rPr>
        <i/>
        <sz val="13"/>
        <rFont val="Calibri"/>
      </rPr>
      <t>4</t>
    </r>
    <r>
      <rPr>
        <i/>
        <sz val="10"/>
        <rFont val="Calibri"/>
      </rPr>
      <t xml:space="preserve"> FOR SAME CLASS</t>
    </r>
  </si>
  <si>
    <r>
      <rPr>
        <b/>
        <i/>
        <sz val="13"/>
        <color rgb="FFBC0000"/>
        <rFont val="Calibri"/>
      </rPr>
      <t>1</t>
    </r>
    <r>
      <rPr>
        <b/>
        <i/>
        <sz val="10"/>
        <color rgb="FFBC0000"/>
        <rFont val="Calibri"/>
      </rPr>
      <t xml:space="preserve"> FOR SAME CLASS</t>
    </r>
  </si>
  <si>
    <t>7,542 EGP</t>
  </si>
  <si>
    <r>
      <rPr>
        <i/>
        <sz val="13"/>
        <rFont val="Calibri"/>
      </rPr>
      <t>1</t>
    </r>
    <r>
      <rPr>
        <i/>
        <sz val="10"/>
        <rFont val="Calibri"/>
      </rPr>
      <t xml:space="preserve"> FOR SAME CLASS</t>
    </r>
  </si>
  <si>
    <t>8,823 EGP</t>
  </si>
  <si>
    <t>9,975 EGP</t>
  </si>
  <si>
    <t>MS-639</t>
  </si>
  <si>
    <t>12,249 EGP</t>
  </si>
  <si>
    <r>
      <rPr>
        <b/>
        <i/>
        <sz val="13"/>
        <color rgb="FFBC0000"/>
        <rFont val="Calibri"/>
      </rPr>
      <t>19</t>
    </r>
    <r>
      <rPr>
        <b/>
        <i/>
        <sz val="10"/>
        <color rgb="FFBC0000"/>
        <rFont val="Calibri"/>
      </rPr>
      <t xml:space="preserve"> FOR SAME CLASS</t>
    </r>
  </si>
  <si>
    <t>6,774 EGP</t>
  </si>
  <si>
    <r>
      <rPr>
        <i/>
        <sz val="13"/>
        <rFont val="Calibri"/>
      </rPr>
      <t>19</t>
    </r>
    <r>
      <rPr>
        <i/>
        <sz val="10"/>
        <rFont val="Calibri"/>
      </rPr>
      <t xml:space="preserve"> FOR SAME CLASS</t>
    </r>
  </si>
  <si>
    <t>8,695 EGP</t>
  </si>
  <si>
    <r>
      <rPr>
        <b/>
        <i/>
        <sz val="13"/>
        <color rgb="FFBC0000"/>
        <rFont val="Calibri"/>
      </rPr>
      <t>6</t>
    </r>
    <r>
      <rPr>
        <b/>
        <i/>
        <sz val="10"/>
        <color rgb="FFBC0000"/>
        <rFont val="Calibri"/>
      </rPr>
      <t xml:space="preserve"> FOR SAME CLASS</t>
    </r>
  </si>
  <si>
    <r>
      <rPr>
        <i/>
        <sz val="13"/>
        <rFont val="Calibri"/>
      </rPr>
      <t>6</t>
    </r>
    <r>
      <rPr>
        <i/>
        <sz val="10"/>
        <rFont val="Calibri"/>
      </rPr>
      <t xml:space="preserve"> FOR SAME CLASS</t>
    </r>
  </si>
  <si>
    <r>
      <rPr>
        <i/>
        <sz val="13"/>
        <rFont val="Calibri"/>
      </rPr>
      <t>3</t>
    </r>
    <r>
      <rPr>
        <i/>
        <sz val="10"/>
        <rFont val="Calibri"/>
      </rPr>
      <t xml:space="preserve"> FOR SAME CLASS</t>
    </r>
  </si>
  <si>
    <t>8,190 EGP</t>
  </si>
  <si>
    <t>SM-493</t>
  </si>
  <si>
    <t>Cabin: 7 KG | Check-in: 30 KG</t>
  </si>
  <si>
    <t>12,339 EGP</t>
  </si>
  <si>
    <t>V1</t>
  </si>
  <si>
    <t>V1 &amp; E46 &amp; P131</t>
  </si>
  <si>
    <r>
      <rPr>
        <b/>
        <i/>
        <sz val="13"/>
        <color rgb="FFBC0000"/>
        <rFont val="Calibri"/>
      </rPr>
      <t>10</t>
    </r>
    <r>
      <rPr>
        <b/>
        <i/>
        <sz val="10"/>
        <color rgb="FFBC0000"/>
        <rFont val="Calibri"/>
      </rPr>
      <t xml:space="preserve"> FOR SAME CLASS</t>
    </r>
  </si>
  <si>
    <r>
      <rPr>
        <i/>
        <sz val="13"/>
        <rFont val="Calibri"/>
      </rPr>
      <t>10</t>
    </r>
    <r>
      <rPr>
        <i/>
        <sz val="10"/>
        <rFont val="Calibri"/>
      </rPr>
      <t xml:space="preserve"> FOR SAME CLASS</t>
    </r>
  </si>
  <si>
    <t>Cabin: 7 KG | Check-in: 1 PIECE</t>
  </si>
  <si>
    <t>6,973 EGP</t>
  </si>
  <si>
    <t>23,096 EGP</t>
  </si>
  <si>
    <t>20,419 EGP</t>
  </si>
  <si>
    <r>
      <rPr>
        <b/>
        <i/>
        <sz val="13"/>
        <color rgb="FFBC0000"/>
        <rFont val="Calibri"/>
      </rPr>
      <t>2</t>
    </r>
    <r>
      <rPr>
        <b/>
        <i/>
        <sz val="10"/>
        <color rgb="FFBC0000"/>
        <rFont val="Calibri"/>
      </rPr>
      <t xml:space="preserve"> FOR SAME CLASS</t>
    </r>
  </si>
  <si>
    <t>V2</t>
  </si>
  <si>
    <t>V1 &amp; X5 &amp; U11 &amp; O11 &amp; I10 &amp; P139</t>
  </si>
  <si>
    <t>16,250 EGP</t>
  </si>
  <si>
    <r>
      <rPr>
        <i/>
        <sz val="13"/>
        <rFont val="Calibri"/>
      </rPr>
      <t>2</t>
    </r>
    <r>
      <rPr>
        <i/>
        <sz val="10"/>
        <rFont val="Calibri"/>
      </rPr>
      <t xml:space="preserve"> FOR SAME CLASS</t>
    </r>
  </si>
  <si>
    <t>25,278 EGP</t>
  </si>
  <si>
    <t>26,367 EGP</t>
  </si>
  <si>
    <r>
      <rPr>
        <b/>
        <i/>
        <sz val="13"/>
        <color rgb="FFBC0000"/>
        <rFont val="Calibri"/>
      </rPr>
      <t>7</t>
    </r>
    <r>
      <rPr>
        <b/>
        <i/>
        <sz val="10"/>
        <color rgb="FFBC0000"/>
        <rFont val="Calibri"/>
      </rPr>
      <t xml:space="preserve"> FOR SAME CLASS</t>
    </r>
  </si>
  <si>
    <r>
      <rPr>
        <i/>
        <sz val="13"/>
        <rFont val="Calibri"/>
      </rPr>
      <t>7</t>
    </r>
    <r>
      <rPr>
        <i/>
        <sz val="10"/>
        <rFont val="Calibri"/>
      </rPr>
      <t xml:space="preserve"> FOR SAME CLASS</t>
    </r>
  </si>
  <si>
    <t>15,354 EGP</t>
  </si>
  <si>
    <r>
      <rPr>
        <b/>
        <i/>
        <sz val="13"/>
        <rFont val="Calibri"/>
      </rPr>
      <t>5</t>
    </r>
    <r>
      <rPr>
        <b/>
        <i/>
        <sz val="10"/>
        <rFont val="Calibri"/>
      </rPr>
      <t xml:space="preserve"> FOR SAME CLASS</t>
    </r>
  </si>
  <si>
    <t>9,207 EGP</t>
  </si>
  <si>
    <t>10,487 EGP</t>
  </si>
  <si>
    <t>11,640 EGP</t>
  </si>
  <si>
    <t>13,427 EGP</t>
  </si>
  <si>
    <t>SM-495</t>
  </si>
  <si>
    <t>SM495</t>
  </si>
  <si>
    <t>V5</t>
  </si>
  <si>
    <t>V1 &amp; G1 &amp; I9 &amp; P161 &amp; N2</t>
  </si>
  <si>
    <r>
      <rPr>
        <b/>
        <i/>
        <sz val="13"/>
        <color rgb="FFBC0000"/>
        <rFont val="Calibri"/>
      </rPr>
      <t>12</t>
    </r>
    <r>
      <rPr>
        <b/>
        <i/>
        <sz val="10"/>
        <color rgb="FFBC0000"/>
        <rFont val="Calibri"/>
      </rPr>
      <t xml:space="preserve"> FOR SAME CLASS</t>
    </r>
  </si>
  <si>
    <r>
      <rPr>
        <i/>
        <sz val="13"/>
        <rFont val="Calibri"/>
      </rPr>
      <t>12</t>
    </r>
    <r>
      <rPr>
        <i/>
        <sz val="10"/>
        <rFont val="Calibri"/>
      </rPr>
      <t xml:space="preserve"> FOR SAME CLASS</t>
    </r>
  </si>
  <si>
    <t>10,103 EGP</t>
  </si>
  <si>
    <r>
      <rPr>
        <i/>
        <sz val="13"/>
        <rFont val="Calibri"/>
      </rPr>
      <t>8</t>
    </r>
    <r>
      <rPr>
        <i/>
        <sz val="10"/>
        <rFont val="Calibri"/>
      </rPr>
      <t xml:space="preserve"> FOR SAME CLASS</t>
    </r>
  </si>
  <si>
    <t>19,894 EGP</t>
  </si>
  <si>
    <t>SM487</t>
  </si>
  <si>
    <t>T9 &amp; X10 &amp; U10 &amp; O10 &amp; I10 &amp; P130</t>
  </si>
  <si>
    <t>G1 &amp; U3 &amp; O12 &amp; I8 &amp; E65 &amp; P90 &amp; N2</t>
  </si>
  <si>
    <r>
      <rPr>
        <b/>
        <i/>
        <sz val="13"/>
        <color rgb="FFBC0000"/>
        <rFont val="Calibri"/>
      </rPr>
      <t>9</t>
    </r>
    <r>
      <rPr>
        <b/>
        <i/>
        <sz val="10"/>
        <color rgb="FFBC0000"/>
        <rFont val="Calibri"/>
      </rPr>
      <t xml:space="preserve"> FOR SAME CLASS</t>
    </r>
  </si>
  <si>
    <r>
      <rPr>
        <b/>
        <i/>
        <sz val="13"/>
        <color rgb="FFBC0000"/>
        <rFont val="Calibri"/>
      </rPr>
      <t>3</t>
    </r>
    <r>
      <rPr>
        <b/>
        <i/>
        <sz val="10"/>
        <color rgb="FFBC0000"/>
        <rFont val="Calibri"/>
      </rPr>
      <t xml:space="preserve"> FOR SAME CLASS</t>
    </r>
  </si>
  <si>
    <t>12,921 EGP</t>
  </si>
  <si>
    <t>14,073 EGP</t>
  </si>
  <si>
    <t>20,560 EGP</t>
  </si>
  <si>
    <t>8,951 EGP</t>
  </si>
  <si>
    <r>
      <rPr>
        <b/>
        <i/>
        <sz val="13"/>
        <rFont val="Calibri"/>
      </rPr>
      <t>8</t>
    </r>
    <r>
      <rPr>
        <b/>
        <i/>
        <sz val="10"/>
        <rFont val="Calibri"/>
      </rPr>
      <t xml:space="preserve"> FOR SAME CLASS</t>
    </r>
  </si>
  <si>
    <t>10,359 EGP</t>
  </si>
  <si>
    <t>12,792 EGP</t>
  </si>
  <si>
    <t>22,724 EGP</t>
  </si>
  <si>
    <t>L1 &amp; O3 &amp; I8 &amp; P168</t>
  </si>
  <si>
    <t>9,847 EGP</t>
  </si>
  <si>
    <t>11,128 EGP</t>
  </si>
  <si>
    <t>12,280 EGP</t>
  </si>
  <si>
    <t>13,594 EGP</t>
  </si>
  <si>
    <t>8,439 EGP</t>
  </si>
  <si>
    <t>9,719 EGP</t>
  </si>
  <si>
    <t>G2 &amp; X7 &amp; U11 &amp; O11 &amp; I10 &amp; P135 &amp; N3</t>
  </si>
  <si>
    <t>14,964 EGP</t>
  </si>
  <si>
    <t>L5 &amp; X8 &amp; U11 &amp; O11 &amp; I10 &amp; P135</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</si>
  <si>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</si>
  <si>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</si>
  <si>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</si>
  <si>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</si>
  <si>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</si>
  <si>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</si>
  <si>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</si>
  <si>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</si>
  <si>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</si>
  <si>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</si>
  <si>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</si>
  <si>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</si>
  <si>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</si>
  <si>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</si>
  <si>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</si>
  <si>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</si>
  <si>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</si>
  <si>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</si>
  <si>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</si>
  <si>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</si>
  <si>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</si>
  <si>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</si>
  <si>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</si>
  <si>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</si>
  <si>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</si>
  <si>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</si>
  <si>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</si>
  <si>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</si>
  <si>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</si>
  <si>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</si>
  <si>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09:10</t>
  </si>
  <si>
    <t>320</t>
  </si>
  <si>
    <t>UPCOMING</t>
  </si>
  <si>
    <t>V3</t>
  </si>
  <si>
    <t>S2</t>
  </si>
  <si>
    <t>X10</t>
  </si>
  <si>
    <t>U11</t>
  </si>
  <si>
    <t>O11</t>
  </si>
  <si>
    <t>I10</t>
  </si>
  <si>
    <t>P130</t>
  </si>
  <si>
    <t>N7</t>
  </si>
  <si>
    <t>SATURDAY</t>
  </si>
  <si>
    <t>05:40</t>
  </si>
  <si>
    <t>E46</t>
  </si>
  <si>
    <t>P131</t>
  </si>
  <si>
    <t>SUNDAY</t>
  </si>
  <si>
    <t>17:50</t>
  </si>
  <si>
    <t>X5</t>
  </si>
  <si>
    <t>P139</t>
  </si>
  <si>
    <t>MONDAY</t>
  </si>
  <si>
    <t>20:50</t>
  </si>
  <si>
    <t>G1</t>
  </si>
  <si>
    <t>I9</t>
  </si>
  <si>
    <t>P161</t>
  </si>
  <si>
    <t>N2</t>
  </si>
  <si>
    <t>TUESDAY</t>
  </si>
  <si>
    <t>02:50</t>
  </si>
  <si>
    <t>T9</t>
  </si>
  <si>
    <t>U10</t>
  </si>
  <si>
    <t>O10</t>
  </si>
  <si>
    <t>19:40</t>
  </si>
  <si>
    <t>U3</t>
  </si>
  <si>
    <t>O12</t>
  </si>
  <si>
    <t>I8</t>
  </si>
  <si>
    <t>E65</t>
  </si>
  <si>
    <t>P90</t>
  </si>
  <si>
    <t>L1</t>
  </si>
  <si>
    <t>O3</t>
  </si>
  <si>
    <t>P168</t>
  </si>
  <si>
    <t>G2</t>
  </si>
  <si>
    <t>X7</t>
  </si>
  <si>
    <t>P135</t>
  </si>
  <si>
    <t>N3</t>
  </si>
  <si>
    <t>L5</t>
  </si>
  <si>
    <t>X8</t>
  </si>
  <si>
    <t>DATE</t>
  </si>
  <si>
    <t>ROUTE</t>
  </si>
  <si>
    <t>2025-11-20</t>
  </si>
  <si>
    <t>10:25</t>
  </si>
  <si>
    <t>05:30</t>
  </si>
  <si>
    <t>14:35</t>
  </si>
  <si>
    <t>16:45</t>
  </si>
  <si>
    <t>01:35</t>
  </si>
  <si>
    <t>04:25</t>
  </si>
  <si>
    <t>22:35</t>
  </si>
  <si>
    <t>08:30</t>
  </si>
  <si>
    <t>06:55</t>
  </si>
  <si>
    <t>21:30</t>
  </si>
  <si>
    <t>HBE-MED</t>
  </si>
  <si>
    <t>SM-485</t>
  </si>
  <si>
    <t>14,990 EGP</t>
  </si>
  <si>
    <t>SM485</t>
  </si>
  <si>
    <t>Q2</t>
  </si>
  <si>
    <t>Q3 &amp; L3 &amp; S17 &amp; X2 &amp; O7 &amp; I10 &amp; E45 &amp; P90</t>
  </si>
  <si>
    <t>Indirect competition route CAI – MED - diversion ratio &amp; passenger leakage</t>
  </si>
  <si>
    <t>5 FOR SAME CLASS</t>
  </si>
  <si>
    <t>9 FOR SAME CLASS</t>
  </si>
  <si>
    <t>8 FOR SAME CLASS</t>
  </si>
  <si>
    <t>+9 FOR SAME CLASS</t>
  </si>
  <si>
    <t>MS-679</t>
  </si>
  <si>
    <t>14,401 EGP</t>
  </si>
  <si>
    <t>4 FOR SAME CLASS</t>
  </si>
  <si>
    <t>1 FOR SAME CLASS</t>
  </si>
  <si>
    <t>S1 &amp; X2 &amp; O8 &amp; I8 &amp; P162</t>
  </si>
  <si>
    <t>10 FOR SAME CLASS</t>
  </si>
  <si>
    <t>22:45</t>
  </si>
  <si>
    <t>16:30</t>
  </si>
  <si>
    <t>T5 &amp; X5 &amp; A45 &amp; P125</t>
  </si>
  <si>
    <t>12 FOR SAME CLASS</t>
  </si>
  <si>
    <t>08:05</t>
  </si>
  <si>
    <t>G1 &amp; I3 &amp; P175</t>
  </si>
  <si>
    <t>3 FOR SAME CLASS</t>
  </si>
  <si>
    <t>08:25</t>
  </si>
  <si>
    <t>15,963 EGP</t>
  </si>
  <si>
    <t>G3 &amp; X3 &amp; I8 &amp; P166</t>
  </si>
  <si>
    <t>2 FOR SAME CLASS</t>
  </si>
  <si>
    <t>L3 &amp; X10 &amp; U11 &amp; O11 &amp; I10 &amp; P135</t>
  </si>
  <si>
    <t>7 FOR SAME CLASS</t>
  </si>
  <si>
    <t>11:30</t>
  </si>
  <si>
    <t>Q3</t>
  </si>
  <si>
    <t>L3</t>
  </si>
  <si>
    <t>S17</t>
  </si>
  <si>
    <t>X2</t>
  </si>
  <si>
    <t>O7</t>
  </si>
  <si>
    <t>E45</t>
  </si>
  <si>
    <t>S1</t>
  </si>
  <si>
    <t>O8</t>
  </si>
  <si>
    <t>P162</t>
  </si>
  <si>
    <t>03:50</t>
  </si>
  <si>
    <t>T5</t>
  </si>
  <si>
    <t>A45</t>
  </si>
  <si>
    <t>P125</t>
  </si>
  <si>
    <t>WEDNESDAY</t>
  </si>
  <si>
    <t>18:40</t>
  </si>
  <si>
    <t>I3</t>
  </si>
  <si>
    <t>P175</t>
  </si>
  <si>
    <t>G3</t>
  </si>
  <si>
    <t>X3</t>
  </si>
  <si>
    <t>P166</t>
  </si>
  <si>
    <t>CAI-MED AS ALTERNATIVE ROUTE</t>
  </si>
  <si>
    <t>ATZ-MED</t>
  </si>
  <si>
    <t>SM-487</t>
  </si>
  <si>
    <t>8,228 EGP</t>
  </si>
  <si>
    <t>S7 &amp; W1 &amp; T6 &amp; X15 &amp; U12 &amp; O9 &amp; I9 &amp; P105</t>
  </si>
  <si>
    <t>19 FOR SAME CLASS</t>
  </si>
  <si>
    <t>6 FOR SAME CLASS</t>
  </si>
  <si>
    <t>T8</t>
  </si>
  <si>
    <t>T2 &amp; X10 &amp; U10 &amp; O11 &amp; I19 &amp; P45</t>
  </si>
  <si>
    <t>SM-489</t>
  </si>
  <si>
    <t>SM489</t>
  </si>
  <si>
    <t>T1 &amp; X18 &amp; U18 &amp; O22 &amp; I23 &amp; P50</t>
  </si>
  <si>
    <t>T6</t>
  </si>
  <si>
    <t>Y1 &amp; S1 &amp; T9 &amp; X21 &amp; U5 &amp; O4 &amp; I9 &amp; P90</t>
  </si>
  <si>
    <t>19:15</t>
  </si>
  <si>
    <t>S7</t>
  </si>
  <si>
    <t>W1</t>
  </si>
  <si>
    <t>X15</t>
  </si>
  <si>
    <t>U12</t>
  </si>
  <si>
    <t>O9</t>
  </si>
  <si>
    <t>P105</t>
  </si>
  <si>
    <t>15:30</t>
  </si>
  <si>
    <t>T2</t>
  </si>
  <si>
    <t>I19</t>
  </si>
  <si>
    <t>P45</t>
  </si>
  <si>
    <t>11:05</t>
  </si>
  <si>
    <t>T1</t>
  </si>
  <si>
    <t>X18</t>
  </si>
  <si>
    <t>U18</t>
  </si>
  <si>
    <t>O22</t>
  </si>
  <si>
    <t>I23</t>
  </si>
  <si>
    <t>P50</t>
  </si>
  <si>
    <t>Y1</t>
  </si>
  <si>
    <t>X21</t>
  </si>
  <si>
    <t>U5</t>
  </si>
  <si>
    <t>O4</t>
  </si>
  <si>
    <t>2025-11-21</t>
  </si>
  <si>
    <t>2025-11-22</t>
  </si>
  <si>
    <t>CAI-JED</t>
  </si>
  <si>
    <t>F3-764</t>
  </si>
  <si>
    <t>Cabin: 0 KG | Check-in: 15 KG</t>
  </si>
  <si>
    <t>6,133 EGP</t>
  </si>
  <si>
    <t>8,054 EGP</t>
  </si>
  <si>
    <t>F3-754</t>
  </si>
  <si>
    <r>
      <rPr>
        <b/>
        <i/>
        <sz val="13"/>
        <rFont val="Calibri"/>
      </rPr>
      <t>38</t>
    </r>
    <r>
      <rPr>
        <b/>
        <i/>
        <sz val="10"/>
        <rFont val="Calibri"/>
      </rPr>
      <t xml:space="preserve"> FOR SAME CLASS</t>
    </r>
  </si>
  <si>
    <t>6,518 EGP</t>
  </si>
  <si>
    <r>
      <rPr>
        <i/>
        <sz val="13"/>
        <rFont val="Calibri"/>
      </rPr>
      <t>38</t>
    </r>
    <r>
      <rPr>
        <i/>
        <sz val="10"/>
        <rFont val="Calibri"/>
      </rPr>
      <t xml:space="preserve"> FOR SAME CLASS</t>
    </r>
  </si>
  <si>
    <t>F3-756</t>
  </si>
  <si>
    <r>
      <rPr>
        <b/>
        <i/>
        <sz val="13"/>
        <rFont val="Calibri"/>
      </rPr>
      <t>39</t>
    </r>
    <r>
      <rPr>
        <b/>
        <i/>
        <sz val="10"/>
        <rFont val="Calibri"/>
      </rPr>
      <t xml:space="preserve"> FOR SAME CLASS</t>
    </r>
  </si>
  <si>
    <r>
      <rPr>
        <i/>
        <sz val="13"/>
        <rFont val="Calibri"/>
      </rPr>
      <t>39</t>
    </r>
    <r>
      <rPr>
        <i/>
        <sz val="10"/>
        <rFont val="Calibri"/>
      </rPr>
      <t xml:space="preserve"> FOR SAME CLASS</t>
    </r>
  </si>
  <si>
    <t>F3-762</t>
  </si>
  <si>
    <r>
      <rPr>
        <b/>
        <i/>
        <sz val="13"/>
        <rFont val="Calibri"/>
      </rPr>
      <t>16</t>
    </r>
    <r>
      <rPr>
        <b/>
        <i/>
        <sz val="10"/>
        <rFont val="Calibri"/>
      </rPr>
      <t xml:space="preserve"> FOR SAME CLASS</t>
    </r>
  </si>
  <si>
    <r>
      <rPr>
        <i/>
        <sz val="13"/>
        <rFont val="Calibri"/>
      </rPr>
      <t>16</t>
    </r>
    <r>
      <rPr>
        <i/>
        <sz val="10"/>
        <rFont val="Calibri"/>
      </rPr>
      <t xml:space="preserve"> FOR SAME CLASS</t>
    </r>
  </si>
  <si>
    <t>XY-568</t>
  </si>
  <si>
    <t>Cabin: 7 KG | Check-in: 20 KG</t>
  </si>
  <si>
    <t>XY-574</t>
  </si>
  <si>
    <r>
      <rPr>
        <b/>
        <i/>
        <sz val="13"/>
        <rFont val="Calibri"/>
      </rPr>
      <t>6</t>
    </r>
    <r>
      <rPr>
        <b/>
        <i/>
        <sz val="10"/>
        <rFont val="Calibri"/>
      </rPr>
      <t xml:space="preserve"> FOR SAME CLASS</t>
    </r>
  </si>
  <si>
    <t>XY-566</t>
  </si>
  <si>
    <r>
      <rPr>
        <b/>
        <i/>
        <sz val="13"/>
        <rFont val="Calibri"/>
      </rPr>
      <t>2</t>
    </r>
    <r>
      <rPr>
        <b/>
        <i/>
        <sz val="10"/>
        <rFont val="Calibri"/>
      </rPr>
      <t xml:space="preserve"> FOR SAME CLASS</t>
    </r>
  </si>
  <si>
    <t>XY-572</t>
  </si>
  <si>
    <t>XY-584</t>
  </si>
  <si>
    <t>XY-590</t>
  </si>
  <si>
    <t>XY-570</t>
  </si>
  <si>
    <t>XY-578</t>
  </si>
  <si>
    <t>SM-479</t>
  </si>
  <si>
    <t>7,491 EGP</t>
  </si>
  <si>
    <t>SM479</t>
  </si>
  <si>
    <t>S7 &amp; T4 &amp; X9 &amp; U10 &amp; O5 &amp; I5 &amp; P135</t>
  </si>
  <si>
    <t>SM-431</t>
  </si>
  <si>
    <t>8,989 EGP</t>
  </si>
  <si>
    <t>SM431</t>
  </si>
  <si>
    <t>S6</t>
  </si>
  <si>
    <t>L1 &amp; S4 &amp; W10 &amp; T10 &amp; X10 &amp; U10 &amp; O15 &amp; I10 &amp; P92 &amp; N2</t>
  </si>
  <si>
    <t>SM-449</t>
  </si>
  <si>
    <t>SM449</t>
  </si>
  <si>
    <t>S5</t>
  </si>
  <si>
    <t>S6 &amp; W12 &amp; T11 &amp; X11 &amp; U12 &amp; O11 &amp; I31 &amp; E34 &amp; P40</t>
  </si>
  <si>
    <t>SM-475</t>
  </si>
  <si>
    <t>SM475</t>
  </si>
  <si>
    <t>S3</t>
  </si>
  <si>
    <t>G1 &amp; S8 &amp; W12 &amp; T11 &amp; X11 &amp; U12 &amp; O11 &amp; I40 &amp; P46</t>
  </si>
  <si>
    <t>SM-423</t>
  </si>
  <si>
    <t>9,770 EGP</t>
  </si>
  <si>
    <t>SM423</t>
  </si>
  <si>
    <t>G9</t>
  </si>
  <si>
    <t>S12 &amp; W11 &amp; T11 &amp; X11 &amp; U12 &amp; O11 &amp; I50 &amp; E29 &amp; N1</t>
  </si>
  <si>
    <t>SM477</t>
  </si>
  <si>
    <t>S11 &amp; X2 &amp; O4 &amp; I17 &amp; P142 &amp; N6</t>
  </si>
  <si>
    <t>Nile Air</t>
  </si>
  <si>
    <t>NP-127</t>
  </si>
  <si>
    <t>8,080 EGP</t>
  </si>
  <si>
    <t>Air Arabia Egypt</t>
  </si>
  <si>
    <t>E5-327</t>
  </si>
  <si>
    <t>Cabin: 10 KG / Check-in: 30 KG</t>
  </si>
  <si>
    <t>9,848 EGP</t>
  </si>
  <si>
    <t>11,485 EGP</t>
  </si>
  <si>
    <t>SV-382</t>
  </si>
  <si>
    <t>14,176 EGP</t>
  </si>
  <si>
    <t>SV-6665</t>
  </si>
  <si>
    <t>14,662 EGP</t>
  </si>
  <si>
    <t>SV-6892</t>
  </si>
  <si>
    <t>SV-6894</t>
  </si>
  <si>
    <t>SV-6896</t>
  </si>
  <si>
    <t>SV-302</t>
  </si>
  <si>
    <t>20,578 EGP</t>
  </si>
  <si>
    <t>SV-308</t>
  </si>
  <si>
    <t>SV-330</t>
  </si>
  <si>
    <t>SV-304</t>
  </si>
  <si>
    <t>23,844 EGP</t>
  </si>
  <si>
    <t>MS-669</t>
  </si>
  <si>
    <t>14,419 EGP</t>
  </si>
  <si>
    <t>MS-661</t>
  </si>
  <si>
    <t>20,860 EGP</t>
  </si>
  <si>
    <t>MS-663</t>
  </si>
  <si>
    <t>MS-665</t>
  </si>
  <si>
    <t>MS-671</t>
  </si>
  <si>
    <t>MS-643</t>
  </si>
  <si>
    <t>20,911 EGP</t>
  </si>
  <si>
    <t>MS-673</t>
  </si>
  <si>
    <t>6,057 EGP</t>
  </si>
  <si>
    <t>S3 &amp; W10 &amp; T10 &amp; X10 &amp; U10 &amp; O10 &amp; I15 &amp; P50</t>
  </si>
  <si>
    <t>S5 &amp; W9 &amp; T30 &amp; X10 &amp; U12 &amp; O17 &amp; I29</t>
  </si>
  <si>
    <t>SM-459</t>
  </si>
  <si>
    <t>8,208 EGP</t>
  </si>
  <si>
    <t>SM459</t>
  </si>
  <si>
    <t>W9</t>
  </si>
  <si>
    <t>W14 &amp; T25 &amp; X37 &amp; U12 &amp; O17 &amp; I33</t>
  </si>
  <si>
    <t>SM-477</t>
  </si>
  <si>
    <t>W5</t>
  </si>
  <si>
    <t>S1 &amp; W10 &amp; T25 &amp; X33 &amp; U12 &amp; O15 &amp; I10 &amp; P41</t>
  </si>
  <si>
    <t>SM-471</t>
  </si>
  <si>
    <t>SM471</t>
  </si>
  <si>
    <t>W10 &amp; T12 &amp; X26 &amp; U11 &amp; O20 &amp; I30</t>
  </si>
  <si>
    <r>
      <rPr>
        <b/>
        <i/>
        <sz val="13"/>
        <color rgb="FFBC0000"/>
        <rFont val="Calibri"/>
      </rPr>
      <t>16</t>
    </r>
    <r>
      <rPr>
        <b/>
        <i/>
        <sz val="10"/>
        <color rgb="FFBC0000"/>
        <rFont val="Calibri"/>
      </rPr>
      <t xml:space="preserve"> FOR SAME CLASS</t>
    </r>
  </si>
  <si>
    <t>7,030 EGP</t>
  </si>
  <si>
    <r>
      <rPr>
        <b/>
        <i/>
        <sz val="13"/>
        <rFont val="Calibri"/>
      </rPr>
      <t>14</t>
    </r>
    <r>
      <rPr>
        <b/>
        <i/>
        <sz val="10"/>
        <rFont val="Calibri"/>
      </rPr>
      <t xml:space="preserve"> FOR SAME CLASS</t>
    </r>
  </si>
  <si>
    <r>
      <rPr>
        <i/>
        <sz val="13"/>
        <rFont val="Calibri"/>
      </rPr>
      <t>14</t>
    </r>
    <r>
      <rPr>
        <i/>
        <sz val="10"/>
        <rFont val="Calibri"/>
      </rPr>
      <t xml:space="preserve"> FOR SAME CLASS</t>
    </r>
  </si>
  <si>
    <t>7,388 EGP</t>
  </si>
  <si>
    <t>NP-227</t>
  </si>
  <si>
    <t>9,202 EGP</t>
  </si>
  <si>
    <t>12,203 EGP</t>
  </si>
  <si>
    <t>E5-321</t>
  </si>
  <si>
    <t>9,776 EGP</t>
  </si>
  <si>
    <t>12,777 EGP</t>
  </si>
  <si>
    <t>10,884 EGP</t>
  </si>
  <si>
    <t>10,936 EGP</t>
  </si>
  <si>
    <t>11,960 EGP</t>
  </si>
  <si>
    <t>SV-386</t>
  </si>
  <si>
    <t>SV-388</t>
  </si>
  <si>
    <t>SV-300</t>
  </si>
  <si>
    <t>S1 &amp; T8 &amp; X12 &amp; U12 &amp; O12 &amp; I22 &amp; E49 &amp; P64</t>
  </si>
  <si>
    <t>W4</t>
  </si>
  <si>
    <t>S1 &amp; W8 &amp; T34 &amp; X11 &amp; U11 &amp; O11 &amp; I33 &amp; P45 &amp; N1</t>
  </si>
  <si>
    <t>W2</t>
  </si>
  <si>
    <t>S1 &amp; W8 &amp; T11 &amp; X11 &amp; U12 &amp; O11 &amp; I25 &amp; P94 &amp; N2</t>
  </si>
  <si>
    <t>G1 &amp; S1 &amp; X9 &amp; U12 &amp; O15 &amp; I15 &amp; P125 &amp; N1</t>
  </si>
  <si>
    <r>
      <rPr>
        <i/>
        <sz val="13"/>
        <rFont val="Calibri"/>
      </rPr>
      <t>11</t>
    </r>
    <r>
      <rPr>
        <i/>
        <sz val="10"/>
        <rFont val="Calibri"/>
      </rPr>
      <t xml:space="preserve"> FOR SAME CLASS</t>
    </r>
  </si>
  <si>
    <r>
      <rPr>
        <b/>
        <i/>
        <sz val="13"/>
        <rFont val="Calibri"/>
      </rPr>
      <t>10</t>
    </r>
    <r>
      <rPr>
        <b/>
        <i/>
        <sz val="10"/>
        <rFont val="Calibri"/>
      </rPr>
      <t xml:space="preserve"> FOR SAME CLASS</t>
    </r>
  </si>
  <si>
    <r>
      <rPr>
        <b/>
        <i/>
        <sz val="13"/>
        <rFont val="Calibri"/>
      </rPr>
      <t>11</t>
    </r>
    <r>
      <rPr>
        <b/>
        <i/>
        <sz val="10"/>
        <rFont val="Calibri"/>
      </rPr>
      <t xml:space="preserve"> FOR SAME CLASS</t>
    </r>
  </si>
  <si>
    <t>9,079 EGP</t>
  </si>
  <si>
    <t>11,512 EGP</t>
  </si>
  <si>
    <t>Nesma Airlines</t>
  </si>
  <si>
    <t>NE-170</t>
  </si>
  <si>
    <t>8,042 EGP</t>
  </si>
  <si>
    <t>Cabin: 10 KG | Check-in: 30 KG</t>
  </si>
  <si>
    <t>E5-361</t>
  </si>
  <si>
    <t>MS-667</t>
  </si>
  <si>
    <t>17,313 EGP</t>
  </si>
  <si>
    <t>15,853 EGP</t>
  </si>
  <si>
    <t>22,256 EGP</t>
  </si>
  <si>
    <t>NE-176</t>
  </si>
  <si>
    <t>S4 &amp; W5 &amp; T10 &amp; X14 &amp; U15 &amp; O19 &amp; I21 &amp; P80</t>
  </si>
  <si>
    <t>G8</t>
  </si>
  <si>
    <t>G1 &amp; S9 &amp; W9 &amp; T9 &amp; X24 &amp; U15 &amp; O20 &amp; I15</t>
  </si>
  <si>
    <t>W10 &amp; T15 &amp; X15 &amp; U15 &amp; O15 &amp; I15 &amp; P94</t>
  </si>
  <si>
    <t>S1 &amp; W3 &amp; T3 &amp; X4 &amp; U30 &amp; O28 &amp; I21 &amp; P90</t>
  </si>
  <si>
    <t>X3 &amp; O2 &amp; I9 &amp; P166</t>
  </si>
  <si>
    <t>8,580 EGP</t>
  </si>
  <si>
    <t>11,581 EGP</t>
  </si>
  <si>
    <t>13,138 EGP</t>
  </si>
  <si>
    <t>NP-327</t>
  </si>
  <si>
    <t>10,231 EGP</t>
  </si>
  <si>
    <t>12,664 EGP</t>
  </si>
  <si>
    <t>NE-172</t>
  </si>
  <si>
    <t>8,554 EGP</t>
  </si>
  <si>
    <t>8,812 EGP</t>
  </si>
  <si>
    <t>10,449 EGP</t>
  </si>
  <si>
    <t>8,987 EGP</t>
  </si>
  <si>
    <t>10,624 EGP</t>
  </si>
  <si>
    <t>S8</t>
  </si>
  <si>
    <t>S3 &amp; W12 &amp; T11 &amp; X11 &amp; U12 &amp; O14 &amp; I21 &amp; P49</t>
  </si>
  <si>
    <t>S2 &amp; X4 &amp; U12 &amp; O11 &amp; I21 &amp; P130</t>
  </si>
  <si>
    <t>X1 &amp; U16 &amp; O8 &amp; I20 &amp; P136</t>
  </si>
  <si>
    <t>13,023 EGP</t>
  </si>
  <si>
    <t>16,288 EGP</t>
  </si>
  <si>
    <t>7,670 EGP</t>
  </si>
  <si>
    <t>9,591 EGP</t>
  </si>
  <si>
    <t>S9</t>
  </si>
  <si>
    <t>S1 &amp; W12 &amp; T9 &amp; X28 &amp; U12 &amp; O11 &amp; I21 &amp; P45</t>
  </si>
  <si>
    <t>G6</t>
  </si>
  <si>
    <t>G5 &amp; S11 &amp; W12 &amp; T11 &amp; X11 &amp; U29 &amp; O11 &amp; I10 &amp; P60 &amp; N1</t>
  </si>
  <si>
    <t>S4 &amp; T1 &amp; X9 &amp; U10 &amp; O10 &amp; I5 &amp; P137 &amp; N3</t>
  </si>
  <si>
    <t>S7 &amp; W12 &amp; T12 &amp; X10 &amp; U12 &amp; O22 &amp; I10 &amp; P95</t>
  </si>
  <si>
    <t>S11 &amp; U14 &amp; O22 &amp; I10 &amp; P120</t>
  </si>
  <si>
    <t>S5 &amp; W2 &amp; T11 &amp; X11 &amp; U17 &amp; O23 &amp; I20 &amp; P90</t>
  </si>
  <si>
    <t>S17 &amp; W18 &amp; T18 &amp; X18 &amp; U18 &amp; O18 &amp; I18 &amp; P51</t>
  </si>
  <si>
    <t>G7 &amp; S18 &amp; W18 &amp; T22 &amp; X10 &amp; U11 &amp; O11 &amp; I10</t>
  </si>
  <si>
    <t>S4 &amp; W3 &amp; T11 &amp; X19 &amp; U17 &amp; O18 &amp; I18 &amp; P90</t>
  </si>
  <si>
    <t>T14 &amp; X21 &amp; U18 &amp; O18 &amp; I18 &amp; P90</t>
  </si>
  <si>
    <t>S3 &amp; W5 &amp; T11 &amp; X12 &amp; U12 &amp; O11 &amp; I11 &amp; P115</t>
  </si>
  <si>
    <r>
      <rPr>
        <b/>
        <i/>
        <sz val="13"/>
        <color rgb="FFBC0000"/>
        <rFont val="Calibri"/>
      </rPr>
      <t>11</t>
    </r>
    <r>
      <rPr>
        <b/>
        <i/>
        <sz val="10"/>
        <color rgb="FFBC0000"/>
        <rFont val="Calibri"/>
      </rPr>
      <t xml:space="preserve"> FOR SAME CLASS</t>
    </r>
  </si>
  <si>
    <t>8,310 EGP</t>
  </si>
  <si>
    <t>9,055 EGP</t>
  </si>
  <si>
    <t>10,692 EGP</t>
  </si>
  <si>
    <t>15,277 EGP</t>
  </si>
  <si>
    <t>18,120 EGP</t>
  </si>
  <si>
    <t>G9 &amp; S31 &amp; W9 &amp; T20 &amp; X5 &amp; U5 &amp; O5 &amp; I5 &amp; P45</t>
  </si>
  <si>
    <t>G4 &amp; S15 &amp; W22 &amp; T20 &amp; X19 &amp; U12 &amp; O11 &amp; I21</t>
  </si>
  <si>
    <t>G4</t>
  </si>
  <si>
    <t>G7 &amp; S15 &amp; W9 &amp; T9 &amp; X23 &amp; U12 &amp; O11 &amp; I21 &amp; P48</t>
  </si>
  <si>
    <t>11,345 EGP</t>
  </si>
  <si>
    <t>K6 &amp; V21 &amp; L7 &amp; G11 &amp; S22 &amp; W12 &amp; T12 &amp; X12 &amp; U21 &amp; O11 &amp; I10 &amp; N4</t>
  </si>
  <si>
    <t>X1 &amp; U12 &amp; O11 &amp; I21 &amp; P135</t>
  </si>
  <si>
    <t>K3 &amp; L5 &amp; S3 &amp; W2 &amp; T3 &amp; X13 &amp; U6 &amp; O4 &amp; I5 &amp; P135</t>
  </si>
  <si>
    <t>9,834 EGP</t>
  </si>
  <si>
    <t>13,945 EGP</t>
  </si>
  <si>
    <t>13,689 EGP</t>
  </si>
  <si>
    <t>19,989 EGP</t>
  </si>
  <si>
    <t>8,328 EGP</t>
  </si>
  <si>
    <t>11,329 EGP</t>
  </si>
  <si>
    <t>8,847 EGP</t>
  </si>
  <si>
    <t>11,848 EGP</t>
  </si>
  <si>
    <t>23,037 EGP</t>
  </si>
  <si>
    <r>
      <rPr>
        <b/>
        <i/>
        <sz val="13"/>
        <rFont val="Calibri"/>
      </rPr>
      <t>13</t>
    </r>
    <r>
      <rPr>
        <b/>
        <i/>
        <sz val="10"/>
        <rFont val="Calibri"/>
      </rPr>
      <t xml:space="preserve"> FOR SAME CLASS</t>
    </r>
  </si>
  <si>
    <r>
      <rPr>
        <i/>
        <sz val="13"/>
        <rFont val="Calibri"/>
      </rPr>
      <t>13</t>
    </r>
    <r>
      <rPr>
        <i/>
        <sz val="10"/>
        <rFont val="Calibri"/>
      </rPr>
      <t xml:space="preserve"> FOR SAME CLASS</t>
    </r>
  </si>
  <si>
    <t>12,152 EGP</t>
  </si>
  <si>
    <t>13,305 EGP</t>
  </si>
  <si>
    <t>13,433 EGP</t>
  </si>
  <si>
    <t>14,585 EGP</t>
  </si>
  <si>
    <t>K8 &amp; V10 &amp; L24 &amp; G11 &amp; S14 &amp; W11 &amp; T9 &amp; X11 &amp; U23 &amp; O11 &amp; I10 &amp; P30 &amp; N1</t>
  </si>
  <si>
    <t>V5 &amp; L19 &amp; G22 &amp; S11 &amp; W12 &amp; T11 &amp; X11 &amp; U12 &amp; O22 &amp; I10</t>
  </si>
  <si>
    <t>K9</t>
  </si>
  <si>
    <t>K2 &amp; V15 &amp; L22 &amp; G11 &amp; S11 &amp; W11 &amp; T10 &amp; X22 &amp; U11 &amp; O11 &amp; I10</t>
  </si>
  <si>
    <t>K3 &amp; V16 &amp; L17 &amp; G8 &amp; S9 &amp; W9 &amp; T9 &amp; X9 &amp; U8 &amp; O8 &amp; I17 &amp; P45</t>
  </si>
  <si>
    <t>13,279 EGP</t>
  </si>
  <si>
    <t>Q1</t>
  </si>
  <si>
    <t>K26 &amp; V29 &amp; L26 &amp; G10 &amp; S12 &amp; W21 &amp; T13 &amp; X9 &amp; U12 &amp; O11 &amp; I10</t>
  </si>
  <si>
    <t>17,364 EGP</t>
  </si>
  <si>
    <t>22,154 EGP</t>
  </si>
  <si>
    <t>9,325 EGP</t>
  </si>
  <si>
    <t>12,326 EGP</t>
  </si>
  <si>
    <t>10,244 EGP</t>
  </si>
  <si>
    <t>12,165 EGP</t>
  </si>
  <si>
    <t>14,713 EGP</t>
  </si>
  <si>
    <t>15,994 EGP</t>
  </si>
  <si>
    <t>17,146 EGP</t>
  </si>
  <si>
    <t>Q8 &amp; K13 &amp; V20 &amp; L18 &amp; G11 &amp; S21 &amp; W12 &amp; T11 &amp; X11 &amp; U12 &amp; O11 &amp; I10 &amp; N3</t>
  </si>
  <si>
    <t>V1 &amp; G15 &amp; S21 &amp; W20 &amp; T42 &amp; X9 &amp; U12 &amp; O11 &amp; I10 &amp; P45</t>
  </si>
  <si>
    <t>G6 &amp; X7 &amp; U11 &amp; O11 &amp; I10 &amp; P135 &amp; N1</t>
  </si>
  <si>
    <t>Y3 &amp; K8 &amp; V9 &amp; L15 &amp; G9 &amp; S10 &amp; W18 &amp; T9 &amp; X9 &amp; P90</t>
  </si>
  <si>
    <t>14,470 EGP</t>
  </si>
  <si>
    <t>15,482 EGP</t>
  </si>
  <si>
    <t>7,889 EGP</t>
  </si>
  <si>
    <t>10,890 EGP</t>
  </si>
  <si>
    <r>
      <rPr>
        <b/>
        <i/>
        <sz val="13"/>
        <rFont val="Calibri"/>
      </rPr>
      <t>15</t>
    </r>
    <r>
      <rPr>
        <b/>
        <i/>
        <sz val="10"/>
        <rFont val="Calibri"/>
      </rPr>
      <t xml:space="preserve"> FOR SAME CLASS</t>
    </r>
  </si>
  <si>
    <r>
      <rPr>
        <i/>
        <sz val="13"/>
        <rFont val="Calibri"/>
      </rPr>
      <t>15</t>
    </r>
    <r>
      <rPr>
        <i/>
        <sz val="10"/>
        <rFont val="Calibri"/>
      </rPr>
      <t xml:space="preserve"> FOR SAME CLASS</t>
    </r>
  </si>
  <si>
    <t>11,230 EGP</t>
  </si>
  <si>
    <t>9,002 EGP</t>
  </si>
  <si>
    <t>11,000 EGP</t>
  </si>
  <si>
    <t>G7 &amp; S8 &amp; W11 &amp; T10 &amp; X11 &amp; U12 &amp; O22 &amp; I10 &amp; P89</t>
  </si>
  <si>
    <t>10,564 EGP</t>
  </si>
  <si>
    <t>L2</t>
  </si>
  <si>
    <t>L7 &amp; G20 &amp; S10 &amp; W10 &amp; T10 &amp; X20 &amp; P90</t>
  </si>
  <si>
    <t>V4</t>
  </si>
  <si>
    <t>V7 &amp; L9 &amp; G15 &amp; S12 &amp; W9 &amp; T10 &amp; X4 &amp; U5 &amp; O5 &amp; I5 &amp; E45 &amp; P45</t>
  </si>
  <si>
    <t>V8</t>
  </si>
  <si>
    <t>V5 &amp; L11 &amp; G9 &amp; S11 &amp; W7 &amp; T9 &amp; X9 &amp; U5 &amp; O5 &amp; I5 &amp; P90</t>
  </si>
  <si>
    <t>G2 &amp; S10 &amp; W12 &amp; T11 &amp; X11 &amp; U23 &amp; O11 &amp; I10 &amp; P90</t>
  </si>
  <si>
    <t>W12</t>
  </si>
  <si>
    <t>T11</t>
  </si>
  <si>
    <t>X11</t>
  </si>
  <si>
    <t>I31</t>
  </si>
  <si>
    <t>E34</t>
  </si>
  <si>
    <t>P40</t>
  </si>
  <si>
    <t>03:45</t>
  </si>
  <si>
    <t>I40</t>
  </si>
  <si>
    <t>P46</t>
  </si>
  <si>
    <t>04:30</t>
  </si>
  <si>
    <t>S4</t>
  </si>
  <si>
    <t>W10</t>
  </si>
  <si>
    <t>T10</t>
  </si>
  <si>
    <t>O15</t>
  </si>
  <si>
    <t>P92</t>
  </si>
  <si>
    <t>09:45</t>
  </si>
  <si>
    <t>S11</t>
  </si>
  <si>
    <t>I17</t>
  </si>
  <si>
    <t>P142</t>
  </si>
  <si>
    <t>N6</t>
  </si>
  <si>
    <t>13:30</t>
  </si>
  <si>
    <t>T4</t>
  </si>
  <si>
    <t>X9</t>
  </si>
  <si>
    <t>O5</t>
  </si>
  <si>
    <t>I5</t>
  </si>
  <si>
    <t>22:30</t>
  </si>
  <si>
    <t>S12</t>
  </si>
  <si>
    <t>W11</t>
  </si>
  <si>
    <t>I50</t>
  </si>
  <si>
    <t>E29</t>
  </si>
  <si>
    <t>N1</t>
  </si>
  <si>
    <t>FRIDAY</t>
  </si>
  <si>
    <t>03:25</t>
  </si>
  <si>
    <t>T30</t>
  </si>
  <si>
    <t>O17</t>
  </si>
  <si>
    <t>I29</t>
  </si>
  <si>
    <t>06:45</t>
  </si>
  <si>
    <t>T25</t>
  </si>
  <si>
    <t>X33</t>
  </si>
  <si>
    <t>P41</t>
  </si>
  <si>
    <t>10:30</t>
  </si>
  <si>
    <t>I15</t>
  </si>
  <si>
    <t>13:25</t>
  </si>
  <si>
    <t>T12</t>
  </si>
  <si>
    <t>X26</t>
  </si>
  <si>
    <t>O20</t>
  </si>
  <si>
    <t>I30</t>
  </si>
  <si>
    <t>18:15</t>
  </si>
  <si>
    <t>W14</t>
  </si>
  <si>
    <t>X37</t>
  </si>
  <si>
    <t>I33</t>
  </si>
  <si>
    <t>01:10</t>
  </si>
  <si>
    <t>X12</t>
  </si>
  <si>
    <t>I22</t>
  </si>
  <si>
    <t>E49</t>
  </si>
  <si>
    <t>P64</t>
  </si>
  <si>
    <t>W8</t>
  </si>
  <si>
    <t>I25</t>
  </si>
  <si>
    <t>P94</t>
  </si>
  <si>
    <t>12:05</t>
  </si>
  <si>
    <t>21:45</t>
  </si>
  <si>
    <t>T34</t>
  </si>
  <si>
    <t>X14</t>
  </si>
  <si>
    <t>U15</t>
  </si>
  <si>
    <t>O19</t>
  </si>
  <si>
    <t>I21</t>
  </si>
  <si>
    <t>P80</t>
  </si>
  <si>
    <t>T15</t>
  </si>
  <si>
    <t>08:00</t>
  </si>
  <si>
    <t>W3</t>
  </si>
  <si>
    <t>T3</t>
  </si>
  <si>
    <t>X4</t>
  </si>
  <si>
    <t>U30</t>
  </si>
  <si>
    <t>O28</t>
  </si>
  <si>
    <t>10:55</t>
  </si>
  <si>
    <t>O2</t>
  </si>
  <si>
    <t>19:55</t>
  </si>
  <si>
    <t>X24</t>
  </si>
  <si>
    <t>05:55</t>
  </si>
  <si>
    <t>X1</t>
  </si>
  <si>
    <t>U16</t>
  </si>
  <si>
    <t>I20</t>
  </si>
  <si>
    <t>P136</t>
  </si>
  <si>
    <t>O14</t>
  </si>
  <si>
    <t>P49</t>
  </si>
  <si>
    <t>01:15</t>
  </si>
  <si>
    <t>X28</t>
  </si>
  <si>
    <t>P137</t>
  </si>
  <si>
    <t>P95</t>
  </si>
  <si>
    <t>13:15</t>
  </si>
  <si>
    <t>U14</t>
  </si>
  <si>
    <t>P120</t>
  </si>
  <si>
    <t>18:10</t>
  </si>
  <si>
    <t>U17</t>
  </si>
  <si>
    <t>O23</t>
  </si>
  <si>
    <t>19:00</t>
  </si>
  <si>
    <t>G5</t>
  </si>
  <si>
    <t>U29</t>
  </si>
  <si>
    <t>P60</t>
  </si>
  <si>
    <t>05:35</t>
  </si>
  <si>
    <t>X19</t>
  </si>
  <si>
    <t>O18</t>
  </si>
  <si>
    <t>I18</t>
  </si>
  <si>
    <t>08:10</t>
  </si>
  <si>
    <t>W18</t>
  </si>
  <si>
    <t>T18</t>
  </si>
  <si>
    <t>P51</t>
  </si>
  <si>
    <t>08:15</t>
  </si>
  <si>
    <t>T14</t>
  </si>
  <si>
    <t>I11</t>
  </si>
  <si>
    <t>P115</t>
  </si>
  <si>
    <t>G7</t>
  </si>
  <si>
    <t>S18</t>
  </si>
  <si>
    <t>T22</t>
  </si>
  <si>
    <t>S15</t>
  </si>
  <si>
    <t>W22</t>
  </si>
  <si>
    <t>T20</t>
  </si>
  <si>
    <t>X23</t>
  </si>
  <si>
    <t>P48</t>
  </si>
  <si>
    <t>S31</t>
  </si>
  <si>
    <t>K3</t>
  </si>
  <si>
    <t>X13</t>
  </si>
  <si>
    <t>U6</t>
  </si>
  <si>
    <t>K6</t>
  </si>
  <si>
    <t>V21</t>
  </si>
  <si>
    <t>L7</t>
  </si>
  <si>
    <t>G11</t>
  </si>
  <si>
    <t>S22</t>
  </si>
  <si>
    <t>U21</t>
  </si>
  <si>
    <t>N4</t>
  </si>
  <si>
    <t>K8</t>
  </si>
  <si>
    <t>V10</t>
  </si>
  <si>
    <t>L24</t>
  </si>
  <si>
    <t>S14</t>
  </si>
  <si>
    <t>U23</t>
  </si>
  <si>
    <t>P30</t>
  </si>
  <si>
    <t>L19</t>
  </si>
  <si>
    <t>G22</t>
  </si>
  <si>
    <t>V16</t>
  </si>
  <si>
    <t>L17</t>
  </si>
  <si>
    <t>U8</t>
  </si>
  <si>
    <t>K2</t>
  </si>
  <si>
    <t>V15</t>
  </si>
  <si>
    <t>L22</t>
  </si>
  <si>
    <t>X22</t>
  </si>
  <si>
    <t>K26</t>
  </si>
  <si>
    <t>V29</t>
  </si>
  <si>
    <t>L26</t>
  </si>
  <si>
    <t>G10</t>
  </si>
  <si>
    <t>W21</t>
  </si>
  <si>
    <t>T13</t>
  </si>
  <si>
    <t>G15</t>
  </si>
  <si>
    <t>S21</t>
  </si>
  <si>
    <t>W20</t>
  </si>
  <si>
    <t>T42</t>
  </si>
  <si>
    <t>Y3</t>
  </si>
  <si>
    <t>V9</t>
  </si>
  <si>
    <t>L15</t>
  </si>
  <si>
    <t>S10</t>
  </si>
  <si>
    <t>Q8</t>
  </si>
  <si>
    <t>K13</t>
  </si>
  <si>
    <t>V20</t>
  </si>
  <si>
    <t>L18</t>
  </si>
  <si>
    <t>V7</t>
  </si>
  <si>
    <t>L9</t>
  </si>
  <si>
    <t>P89</t>
  </si>
  <si>
    <t>G20</t>
  </si>
  <si>
    <t>X20</t>
  </si>
  <si>
    <t>L11</t>
  </si>
  <si>
    <t>W7</t>
  </si>
  <si>
    <t>23:45</t>
  </si>
  <si>
    <t>09:35</t>
  </si>
  <si>
    <t>11:45</t>
  </si>
  <si>
    <t>21:20</t>
  </si>
  <si>
    <t>23:50</t>
  </si>
  <si>
    <t>22:40</t>
  </si>
  <si>
    <t>08:20</t>
  </si>
  <si>
    <t>20:05</t>
  </si>
  <si>
    <t>09:25</t>
  </si>
  <si>
    <t>HBE-JED</t>
  </si>
  <si>
    <t>E5-325</t>
  </si>
  <si>
    <t>Cabin: 10 KG</t>
  </si>
  <si>
    <t>10,211 EGP</t>
  </si>
  <si>
    <t>SV-332</t>
  </si>
  <si>
    <t>19,183 EGP</t>
  </si>
  <si>
    <t>SV-410</t>
  </si>
  <si>
    <t>SM451</t>
  </si>
  <si>
    <t>S3 &amp; T12 &amp; X13 &amp; U3 &amp; O2 &amp; I17 &amp; P130</t>
  </si>
  <si>
    <t>Indirect competition route CAI – JED - diversion ratio &amp; passenger leakage</t>
  </si>
  <si>
    <t>38 FOR SAME CLASS</t>
  </si>
  <si>
    <t>39 FOR SAME CLASS</t>
  </si>
  <si>
    <t>16 FOR SAME CLASS</t>
  </si>
  <si>
    <t>E5-391</t>
  </si>
  <si>
    <t>7,816 EGP</t>
  </si>
  <si>
    <t>Cabin: 10 KG / Check-in: 20 KG</t>
  </si>
  <si>
    <t>8,630 EGP</t>
  </si>
  <si>
    <t>10,817 EGP</t>
  </si>
  <si>
    <t>SM-451</t>
  </si>
  <si>
    <t>L2 &amp; G1 &amp; S17 &amp; W18 &amp; T9 &amp; X27 &amp; U5 &amp; O5 &amp; I5 &amp; P45</t>
  </si>
  <si>
    <t>14 FOR SAME CLASS</t>
  </si>
  <si>
    <t>13:00</t>
  </si>
  <si>
    <t>05:45</t>
  </si>
  <si>
    <t>F3-774</t>
  </si>
  <si>
    <t>Hand baggage only</t>
  </si>
  <si>
    <t>6,646 EGP</t>
  </si>
  <si>
    <t>7,401 EGP</t>
  </si>
  <si>
    <t>7,709 EGP</t>
  </si>
  <si>
    <t>Cabin: 10 KG / Check-in: 32 KG</t>
  </si>
  <si>
    <t>8,191 EGP</t>
  </si>
  <si>
    <t>9,005 EGP</t>
  </si>
  <si>
    <t>11,192 EGP</t>
  </si>
  <si>
    <t>S11 &amp; W11 &amp; T15 &amp; X15 &amp; U10 &amp; O10 &amp; P90</t>
  </si>
  <si>
    <t>SM-457</t>
  </si>
  <si>
    <t>SM457</t>
  </si>
  <si>
    <t>W6</t>
  </si>
  <si>
    <t>S8 &amp; W3 &amp; T15 &amp; X15 &amp; U5 &amp; P127</t>
  </si>
  <si>
    <t>8,938 EGP</t>
  </si>
  <si>
    <t>10,744 EGP</t>
  </si>
  <si>
    <t>MS-655</t>
  </si>
  <si>
    <t>10,974 EGP</t>
  </si>
  <si>
    <t>11 FOR SAME CLASS</t>
  </si>
  <si>
    <t>8,036 EGP</t>
  </si>
  <si>
    <t>8,850 EGP</t>
  </si>
  <si>
    <t>11,037 EGP</t>
  </si>
  <si>
    <t>S6 &amp; W6 &amp; T9 &amp; X10 &amp; U2 &amp; O3 &amp; I3 &amp; P134</t>
  </si>
  <si>
    <t>S3 &amp; W4 &amp; T9 &amp; X19 &amp; P125</t>
  </si>
  <si>
    <t>11:40</t>
  </si>
  <si>
    <t>E5-323</t>
  </si>
  <si>
    <t>6,136 EGP</t>
  </si>
  <si>
    <t>7,055 EGP</t>
  </si>
  <si>
    <t>7,716 EGP</t>
  </si>
  <si>
    <t>S1 &amp; X14 &amp; U12 &amp; O9 &amp; I9 &amp; P134</t>
  </si>
  <si>
    <t>S6 &amp; W2 &amp; T8 &amp; X13 &amp; U4 &amp; O8 &amp; I8 &amp; P131</t>
  </si>
  <si>
    <t>03:15</t>
  </si>
  <si>
    <t>17:40</t>
  </si>
  <si>
    <t>7,286 EGP</t>
  </si>
  <si>
    <t>8,349 EGP</t>
  </si>
  <si>
    <t>7,342 EGP</t>
  </si>
  <si>
    <t>8,319 EGP</t>
  </si>
  <si>
    <t>8,979 EGP</t>
  </si>
  <si>
    <t>8,804 EGP</t>
  </si>
  <si>
    <t>9,838 EGP</t>
  </si>
  <si>
    <t>10,527 EGP</t>
  </si>
  <si>
    <t>X5 &amp; U4 &amp; O5 &amp; I5 &amp; P165</t>
  </si>
  <si>
    <t>11:50</t>
  </si>
  <si>
    <t>7,869 EGP</t>
  </si>
  <si>
    <t>8,845 EGP</t>
  </si>
  <si>
    <t>9,506 EGP</t>
  </si>
  <si>
    <t>K1 &amp; S3 &amp; W5 &amp; T19 &amp; X17 &amp; P130</t>
  </si>
  <si>
    <t>T9 &amp; X9 &amp; U9 &amp; O9 &amp; I9 &amp; P135</t>
  </si>
  <si>
    <t>SM473</t>
  </si>
  <si>
    <t>S1 &amp; T4 &amp; X9 &amp; P166</t>
  </si>
  <si>
    <t>04:40</t>
  </si>
  <si>
    <t>05:25</t>
  </si>
  <si>
    <t>8,249 EGP</t>
  </si>
  <si>
    <t>9,283 EGP</t>
  </si>
  <si>
    <t>9,972 EGP</t>
  </si>
  <si>
    <t>E5-393</t>
  </si>
  <si>
    <t>8,395 EGP</t>
  </si>
  <si>
    <t>9,429 EGP</t>
  </si>
  <si>
    <t>10,118 EGP</t>
  </si>
  <si>
    <t>20,719 EGP</t>
  </si>
  <si>
    <t>S12 &amp; W10 &amp; T5 &amp; X5 &amp; U5 &amp; O5 &amp; I5 &amp; P127 &amp; N5</t>
  </si>
  <si>
    <t>8,584 EGP</t>
  </si>
  <si>
    <t>9,445 EGP</t>
  </si>
  <si>
    <t>11,743 EGP</t>
  </si>
  <si>
    <t>S9 &amp; W28 &amp; T33 &amp; X18 &amp; N2</t>
  </si>
  <si>
    <t>16,634 EGP</t>
  </si>
  <si>
    <t>19:25</t>
  </si>
  <si>
    <t>13 FOR SAME CLASS</t>
  </si>
  <si>
    <t>V4 &amp; L10 &amp; G7 &amp; S18 &amp; W18 &amp; T9 &amp; X9 &amp; P95</t>
  </si>
  <si>
    <t>L2 &amp; S8 &amp; W17 &amp; T9 &amp; X9 &amp; P135</t>
  </si>
  <si>
    <t>11,499 EGP</t>
  </si>
  <si>
    <t>11,806 EGP</t>
  </si>
  <si>
    <t>11,800 EGP</t>
  </si>
  <si>
    <t>12,757 EGP</t>
  </si>
  <si>
    <t>15,222 EGP</t>
  </si>
  <si>
    <t>01:20</t>
  </si>
  <si>
    <t>04:05</t>
  </si>
  <si>
    <t>01:00</t>
  </si>
  <si>
    <t>9,350 EGP</t>
  </si>
  <si>
    <t>10,260 EGP</t>
  </si>
  <si>
    <t>12,614 EGP</t>
  </si>
  <si>
    <t>G5 &amp; S10 &amp; W4 &amp; T5 &amp; X5 &amp; U5 &amp; O5 &amp; I5 &amp; P135</t>
  </si>
  <si>
    <t>G5 &amp; S3 &amp; W1 &amp; T18 &amp; X18 &amp; P135</t>
  </si>
  <si>
    <t>04:55</t>
  </si>
  <si>
    <t>15 FOR SAME CLASS</t>
  </si>
  <si>
    <t>02:05</t>
  </si>
  <si>
    <t>X27</t>
  </si>
  <si>
    <t>06:30</t>
  </si>
  <si>
    <t>P127</t>
  </si>
  <si>
    <t>14:30</t>
  </si>
  <si>
    <t>11:55</t>
  </si>
  <si>
    <t>U2</t>
  </si>
  <si>
    <t>P134</t>
  </si>
  <si>
    <t>13:55</t>
  </si>
  <si>
    <t>03:35</t>
  </si>
  <si>
    <t>11:00</t>
  </si>
  <si>
    <t>U4</t>
  </si>
  <si>
    <t>12:30</t>
  </si>
  <si>
    <t>P165</t>
  </si>
  <si>
    <t>03:30</t>
  </si>
  <si>
    <t>K1</t>
  </si>
  <si>
    <t>T19</t>
  </si>
  <si>
    <t>X17</t>
  </si>
  <si>
    <t>12:45</t>
  </si>
  <si>
    <t>U9</t>
  </si>
  <si>
    <t>20:40</t>
  </si>
  <si>
    <t>N5</t>
  </si>
  <si>
    <t>W28</t>
  </si>
  <si>
    <t>T33</t>
  </si>
  <si>
    <t>W17</t>
  </si>
  <si>
    <t>L10</t>
  </si>
  <si>
    <t>08:40</t>
  </si>
  <si>
    <t>10:50</t>
  </si>
  <si>
    <t>CAI-JED AS ALTERNATIVE ROUTE</t>
  </si>
  <si>
    <t>ATZ-JED</t>
  </si>
  <si>
    <t>SM-453</t>
  </si>
  <si>
    <t>7,657 EGP</t>
  </si>
  <si>
    <t>SM453</t>
  </si>
  <si>
    <t>S9 &amp; W24 &amp; X1 &amp; E47 &amp; P86</t>
  </si>
  <si>
    <t>SM-455</t>
  </si>
  <si>
    <t>SM455</t>
  </si>
  <si>
    <t>S24 &amp; W30 &amp; P95</t>
  </si>
  <si>
    <t>MS-8223</t>
  </si>
  <si>
    <t>SM-491</t>
  </si>
  <si>
    <t>8,323 EGP</t>
  </si>
  <si>
    <t>SM491</t>
  </si>
  <si>
    <t>G5 &amp; S18 &amp; W18 &amp; T18 &amp; X18 &amp; U18 &amp; O18 &amp; I18</t>
  </si>
  <si>
    <t>7,158 EGP</t>
  </si>
  <si>
    <t>S2 &amp; W14 &amp; T10 &amp; X10 &amp; U24 &amp; O5 &amp; I5 &amp; P90</t>
  </si>
  <si>
    <t>Y1 &amp; S5 &amp; W12 &amp; T11 &amp; X17 &amp; U31 &amp; I2 &amp; P100</t>
  </si>
  <si>
    <t>10,001 EGP</t>
  </si>
  <si>
    <t>F3-778</t>
  </si>
  <si>
    <t>5,109 EGP</t>
  </si>
  <si>
    <t>5,865 EGP</t>
  </si>
  <si>
    <t>6,172 EGP</t>
  </si>
  <si>
    <t>Y1 &amp; W9 &amp; T11 &amp; X11 &amp; U33 &amp; O10 &amp; I10 &amp; P90</t>
  </si>
  <si>
    <t>W1 &amp; T4 &amp; X11 &amp; U13 &amp; O21 &amp; I10 &amp; P120</t>
  </si>
  <si>
    <t>L1 &amp; S2 &amp; W5 &amp; T10 &amp; X18 &amp; U22 &amp; O5 &amp; I5 &amp; P52</t>
  </si>
  <si>
    <t>G1 &amp; S5 &amp; W3 &amp; T11 &amp; X10 &amp; U12 &amp; O22 &amp; I11 &amp; P100</t>
  </si>
  <si>
    <t>SM421</t>
  </si>
  <si>
    <t>X1 &amp; U40 &amp; O31 &amp; I18 &amp; P90</t>
  </si>
  <si>
    <t>MS-8261</t>
  </si>
  <si>
    <t>8,336 EGP</t>
  </si>
  <si>
    <t>9,309 EGP</t>
  </si>
  <si>
    <t>T10 &amp; X10 &amp; U20 &amp; O30 &amp; I10 &amp; P45</t>
  </si>
  <si>
    <t>S4 &amp; W4 &amp; T11 &amp; X11 &amp; U41 &amp; O10 &amp; I2 &amp; P50</t>
  </si>
  <si>
    <t>5,749 EGP</t>
  </si>
  <si>
    <t>6,505 EGP</t>
  </si>
  <si>
    <t>6,812 EGP</t>
  </si>
  <si>
    <t>G2 &amp; X3 &amp; U15 &amp; O10 &amp; I12 &amp; P134</t>
  </si>
  <si>
    <t>E45 &amp; P135</t>
  </si>
  <si>
    <t>S1 &amp; W2 &amp; X12 &amp; U21 &amp; O18 &amp; I16 &amp; P109</t>
  </si>
  <si>
    <t>S2 &amp; W5 &amp; T6 &amp; X15 &amp; O2 &amp; I1 &amp; P140</t>
  </si>
  <si>
    <t>S2 &amp; W1 &amp; T9 &amp; X23 &amp; U5 &amp; O3 &amp; I2 &amp; P135</t>
  </si>
  <si>
    <t>S7 &amp; W9 &amp; T7 &amp; X46 &amp; U1 &amp; O1</t>
  </si>
  <si>
    <t>Y1 &amp; S12 &amp; W11 &amp; T5 &amp; X4 &amp; P85</t>
  </si>
  <si>
    <t>Y2 &amp; G13 &amp; S14 &amp; W25 &amp; T2 &amp; X11 &amp; P90</t>
  </si>
  <si>
    <t>6,185 EGP</t>
  </si>
  <si>
    <t>W2 &amp; T16 &amp; X15 &amp; U25 &amp; O3 &amp; I2 &amp; E37 &amp; P45</t>
  </si>
  <si>
    <t>6,671 EGP</t>
  </si>
  <si>
    <t>Y1 &amp; W7 &amp; T6 &amp; X15 &amp; U20 &amp; P45</t>
  </si>
  <si>
    <t>7,785 EGP</t>
  </si>
  <si>
    <t>8,093 EGP</t>
  </si>
  <si>
    <t>07:55</t>
  </si>
  <si>
    <t>W24</t>
  </si>
  <si>
    <t>E47</t>
  </si>
  <si>
    <t>P86</t>
  </si>
  <si>
    <t>13:10</t>
  </si>
  <si>
    <t>S24</t>
  </si>
  <si>
    <t>W30</t>
  </si>
  <si>
    <t>07:15</t>
  </si>
  <si>
    <t>U24</t>
  </si>
  <si>
    <t>12:40</t>
  </si>
  <si>
    <t>U31</t>
  </si>
  <si>
    <t>I2</t>
  </si>
  <si>
    <t>P100</t>
  </si>
  <si>
    <t>U13</t>
  </si>
  <si>
    <t>O21</t>
  </si>
  <si>
    <t>16:35</t>
  </si>
  <si>
    <t>U33</t>
  </si>
  <si>
    <t>02:15</t>
  </si>
  <si>
    <t>U40</t>
  </si>
  <si>
    <t>O31</t>
  </si>
  <si>
    <t>16:40</t>
  </si>
  <si>
    <t>U22</t>
  </si>
  <si>
    <t>P52</t>
  </si>
  <si>
    <t>04:00</t>
  </si>
  <si>
    <t>U20</t>
  </si>
  <si>
    <t>O30</t>
  </si>
  <si>
    <t>U41</t>
  </si>
  <si>
    <t>02:35</t>
  </si>
  <si>
    <t>12:00</t>
  </si>
  <si>
    <t>I12</t>
  </si>
  <si>
    <t>22:10</t>
  </si>
  <si>
    <t>I16</t>
  </si>
  <si>
    <t>P109</t>
  </si>
  <si>
    <t>I1</t>
  </si>
  <si>
    <t>P140</t>
  </si>
  <si>
    <t>T7</t>
  </si>
  <si>
    <t>X46</t>
  </si>
  <si>
    <t>U1</t>
  </si>
  <si>
    <t>O1</t>
  </si>
  <si>
    <t>P85</t>
  </si>
  <si>
    <t>Y2</t>
  </si>
  <si>
    <t>G13</t>
  </si>
  <si>
    <t>W25</t>
  </si>
  <si>
    <t>T16</t>
  </si>
  <si>
    <t>U25</t>
  </si>
  <si>
    <t>E37</t>
  </si>
  <si>
    <t>LXR-JED</t>
  </si>
  <si>
    <t>SM481</t>
  </si>
  <si>
    <t>NIL</t>
  </si>
  <si>
    <t>SM429</t>
  </si>
  <si>
    <t>SM483</t>
  </si>
  <si>
    <t>SM981</t>
  </si>
  <si>
    <t>NP-551</t>
  </si>
  <si>
    <t>10,680 EGP</t>
  </si>
  <si>
    <t>NE-675</t>
  </si>
  <si>
    <t>12,498 EGP</t>
  </si>
  <si>
    <t>23,396 EGP</t>
  </si>
  <si>
    <t>23:05</t>
  </si>
  <si>
    <t>06:20</t>
  </si>
  <si>
    <t>15:20</t>
  </si>
  <si>
    <t>2025-11-24</t>
  </si>
  <si>
    <t>SM-481</t>
  </si>
  <si>
    <t>SM-429</t>
  </si>
  <si>
    <t>SM-483</t>
  </si>
  <si>
    <t>SM-981</t>
  </si>
  <si>
    <t>ASW-JED</t>
  </si>
  <si>
    <t>SSH-JED</t>
  </si>
  <si>
    <t>SV-326</t>
  </si>
  <si>
    <t>11,602 EGP</t>
  </si>
  <si>
    <t>17,057 EGP</t>
  </si>
  <si>
    <t>19,951 EGP</t>
  </si>
  <si>
    <t>2025-11-23</t>
  </si>
  <si>
    <t>2025-11-25</t>
  </si>
  <si>
    <t>2025-11-26</t>
  </si>
  <si>
    <t>2025-11-30</t>
  </si>
  <si>
    <t>HRG-JED</t>
  </si>
  <si>
    <t>CAI-RUH</t>
  </si>
  <si>
    <t>XY-266</t>
  </si>
  <si>
    <t>3,956 EGP</t>
  </si>
  <si>
    <t>5,237 EGP</t>
  </si>
  <si>
    <t>6,390 EGP</t>
  </si>
  <si>
    <t>XY-268</t>
  </si>
  <si>
    <t>4,469 EGP</t>
  </si>
  <si>
    <t>XY-270</t>
  </si>
  <si>
    <t>XY-272</t>
  </si>
  <si>
    <t>XY-276</t>
  </si>
  <si>
    <t>XY-264</t>
  </si>
  <si>
    <t>4,981 EGP</t>
  </si>
  <si>
    <t>6,262 EGP</t>
  </si>
  <si>
    <t>XY-274</t>
  </si>
  <si>
    <t>F3-606</t>
  </si>
  <si>
    <r>
      <rPr>
        <b/>
        <i/>
        <sz val="13"/>
        <color rgb="FFBC0000"/>
        <rFont val="Calibri"/>
      </rPr>
      <t>57</t>
    </r>
    <r>
      <rPr>
        <b/>
        <i/>
        <sz val="10"/>
        <color rgb="FFBC0000"/>
        <rFont val="Calibri"/>
      </rPr>
      <t xml:space="preserve"> FOR SAME CLASS</t>
    </r>
  </si>
  <si>
    <t>4,213 EGP</t>
  </si>
  <si>
    <r>
      <rPr>
        <i/>
        <sz val="13"/>
        <rFont val="Calibri"/>
      </rPr>
      <t>57</t>
    </r>
    <r>
      <rPr>
        <i/>
        <sz val="10"/>
        <rFont val="Calibri"/>
      </rPr>
      <t xml:space="preserve"> FOR SAME CLASS</t>
    </r>
  </si>
  <si>
    <t>F3-608</t>
  </si>
  <si>
    <r>
      <rPr>
        <b/>
        <i/>
        <sz val="13"/>
        <rFont val="Calibri"/>
      </rPr>
      <t>68</t>
    </r>
    <r>
      <rPr>
        <b/>
        <i/>
        <sz val="10"/>
        <rFont val="Calibri"/>
      </rPr>
      <t xml:space="preserve"> FOR SAME CLASS</t>
    </r>
  </si>
  <si>
    <r>
      <rPr>
        <i/>
        <sz val="13"/>
        <rFont val="Calibri"/>
      </rPr>
      <t>68</t>
    </r>
    <r>
      <rPr>
        <i/>
        <sz val="10"/>
        <rFont val="Calibri"/>
      </rPr>
      <t xml:space="preserve"> FOR SAME CLASS</t>
    </r>
  </si>
  <si>
    <t>F3-612</t>
  </si>
  <si>
    <r>
      <rPr>
        <b/>
        <i/>
        <sz val="13"/>
        <rFont val="Calibri"/>
      </rPr>
      <t>81</t>
    </r>
    <r>
      <rPr>
        <b/>
        <i/>
        <sz val="10"/>
        <rFont val="Calibri"/>
      </rPr>
      <t xml:space="preserve"> FOR SAME CLASS</t>
    </r>
  </si>
  <si>
    <r>
      <rPr>
        <i/>
        <sz val="13"/>
        <rFont val="Calibri"/>
      </rPr>
      <t>81</t>
    </r>
    <r>
      <rPr>
        <i/>
        <sz val="10"/>
        <rFont val="Calibri"/>
      </rPr>
      <t xml:space="preserve"> FOR SAME CLASS</t>
    </r>
  </si>
  <si>
    <t>F3-616</t>
  </si>
  <si>
    <r>
      <rPr>
        <b/>
        <i/>
        <sz val="13"/>
        <rFont val="Calibri"/>
      </rPr>
      <t>79</t>
    </r>
    <r>
      <rPr>
        <b/>
        <i/>
        <sz val="10"/>
        <rFont val="Calibri"/>
      </rPr>
      <t xml:space="preserve"> FOR SAME CLASS</t>
    </r>
  </si>
  <si>
    <r>
      <rPr>
        <i/>
        <sz val="13"/>
        <rFont val="Calibri"/>
      </rPr>
      <t>79</t>
    </r>
    <r>
      <rPr>
        <i/>
        <sz val="10"/>
        <rFont val="Calibri"/>
      </rPr>
      <t xml:space="preserve"> FOR SAME CLASS</t>
    </r>
  </si>
  <si>
    <t>NP-151</t>
  </si>
  <si>
    <t>4,622 EGP</t>
  </si>
  <si>
    <t>NP-351</t>
  </si>
  <si>
    <t>NP-251</t>
  </si>
  <si>
    <t>5,685 EGP</t>
  </si>
  <si>
    <t>NE-160</t>
  </si>
  <si>
    <t>4,661 EGP</t>
  </si>
  <si>
    <t>NE-164</t>
  </si>
  <si>
    <t>5,698 EGP</t>
  </si>
  <si>
    <t>SM-461</t>
  </si>
  <si>
    <t>5,468 EGP</t>
  </si>
  <si>
    <t>SM461</t>
  </si>
  <si>
    <t>T3 &amp; X31 &amp; U20 &amp; O15 &amp; I34</t>
  </si>
  <si>
    <t>E5-410</t>
  </si>
  <si>
    <t>7,524 EGP</t>
  </si>
  <si>
    <t>9,161 EGP</t>
  </si>
  <si>
    <t>MS-649</t>
  </si>
  <si>
    <t>7,837 EGP</t>
  </si>
  <si>
    <t>MS-651</t>
  </si>
  <si>
    <t>MS-647</t>
  </si>
  <si>
    <t>18,696 EGP</t>
  </si>
  <si>
    <t>SV-320</t>
  </si>
  <si>
    <t>8,887 EGP</t>
  </si>
  <si>
    <t>10,641 EGP</t>
  </si>
  <si>
    <t>SV-6632</t>
  </si>
  <si>
    <t>13,497 EGP</t>
  </si>
  <si>
    <t>SV-6693</t>
  </si>
  <si>
    <t>SV-6905</t>
  </si>
  <si>
    <t>SV-310</t>
  </si>
  <si>
    <t>13,650 EGP</t>
  </si>
  <si>
    <t>SV-312</t>
  </si>
  <si>
    <t>SV-418</t>
  </si>
  <si>
    <r>
      <rPr>
        <b/>
        <i/>
        <sz val="13"/>
        <rFont val="Calibri"/>
      </rPr>
      <t>36</t>
    </r>
    <r>
      <rPr>
        <b/>
        <i/>
        <sz val="10"/>
        <rFont val="Calibri"/>
      </rPr>
      <t xml:space="preserve"> FOR SAME CLASS</t>
    </r>
  </si>
  <si>
    <r>
      <rPr>
        <i/>
        <sz val="13"/>
        <rFont val="Calibri"/>
      </rPr>
      <t>36</t>
    </r>
    <r>
      <rPr>
        <i/>
        <sz val="10"/>
        <rFont val="Calibri"/>
      </rPr>
      <t xml:space="preserve"> FOR SAME CLASS</t>
    </r>
  </si>
  <si>
    <t>41,606 EGP</t>
  </si>
  <si>
    <r>
      <rPr>
        <b/>
        <i/>
        <sz val="13"/>
        <rFont val="Calibri"/>
      </rPr>
      <t>30</t>
    </r>
    <r>
      <rPr>
        <b/>
        <i/>
        <sz val="10"/>
        <rFont val="Calibri"/>
      </rPr>
      <t xml:space="preserve"> FOR SAME CLASS</t>
    </r>
  </si>
  <si>
    <t>4,597 EGP</t>
  </si>
  <si>
    <r>
      <rPr>
        <i/>
        <sz val="13"/>
        <rFont val="Calibri"/>
      </rPr>
      <t>30</t>
    </r>
    <r>
      <rPr>
        <i/>
        <sz val="10"/>
        <rFont val="Calibri"/>
      </rPr>
      <t xml:space="preserve"> FOR SAME CLASS</t>
    </r>
  </si>
  <si>
    <t>18,299 EGP</t>
  </si>
  <si>
    <r>
      <rPr>
        <b/>
        <i/>
        <sz val="13"/>
        <rFont val="Calibri"/>
      </rPr>
      <t>52</t>
    </r>
    <r>
      <rPr>
        <b/>
        <i/>
        <sz val="10"/>
        <rFont val="Calibri"/>
      </rPr>
      <t xml:space="preserve"> FOR SAME CLASS</t>
    </r>
  </si>
  <si>
    <r>
      <rPr>
        <i/>
        <sz val="13"/>
        <rFont val="Calibri"/>
      </rPr>
      <t>52</t>
    </r>
    <r>
      <rPr>
        <i/>
        <sz val="10"/>
        <rFont val="Calibri"/>
      </rPr>
      <t xml:space="preserve"> FOR SAME CLASS</t>
    </r>
  </si>
  <si>
    <t>S2 &amp; W4 &amp; T13 &amp; X19 &amp; U10 &amp; O17 &amp; I28</t>
  </si>
  <si>
    <t>SM-469</t>
  </si>
  <si>
    <t>SM469</t>
  </si>
  <si>
    <t>W4 &amp; T15 &amp; X10 &amp; U14 &amp; O10 &amp; I26</t>
  </si>
  <si>
    <t>20,425 EGP</t>
  </si>
  <si>
    <t>18,645 EGP</t>
  </si>
  <si>
    <t>21,091 EGP</t>
  </si>
  <si>
    <t>5,621 EGP</t>
  </si>
  <si>
    <t>7,798 EGP</t>
  </si>
  <si>
    <t>5,877 EGP</t>
  </si>
  <si>
    <r>
      <rPr>
        <b/>
        <i/>
        <sz val="13"/>
        <rFont val="Calibri"/>
      </rPr>
      <t>17</t>
    </r>
    <r>
      <rPr>
        <b/>
        <i/>
        <sz val="10"/>
        <rFont val="Calibri"/>
      </rPr>
      <t xml:space="preserve"> FOR SAME CLASS</t>
    </r>
  </si>
  <si>
    <r>
      <rPr>
        <i/>
        <sz val="13"/>
        <rFont val="Calibri"/>
      </rPr>
      <t>17</t>
    </r>
    <r>
      <rPr>
        <i/>
        <sz val="10"/>
        <rFont val="Calibri"/>
      </rPr>
      <t xml:space="preserve"> FOR SAME CLASS</t>
    </r>
  </si>
  <si>
    <r>
      <rPr>
        <b/>
        <i/>
        <sz val="13"/>
        <rFont val="Calibri"/>
      </rPr>
      <t>12</t>
    </r>
    <r>
      <rPr>
        <b/>
        <i/>
        <sz val="10"/>
        <rFont val="Calibri"/>
      </rPr>
      <t xml:space="preserve"> FOR SAME CLASS</t>
    </r>
  </si>
  <si>
    <t>8,567 EGP</t>
  </si>
  <si>
    <t>6,338 EGP</t>
  </si>
  <si>
    <t>S4 &amp; W12 &amp; T19 &amp; X10 &amp; U17 &amp; O10 &amp; I35</t>
  </si>
  <si>
    <t>NP-353</t>
  </si>
  <si>
    <t>6,748 EGP</t>
  </si>
  <si>
    <t>13,599 EGP</t>
  </si>
  <si>
    <t>18,171 EGP</t>
  </si>
  <si>
    <t>14,752 EGP</t>
  </si>
  <si>
    <t>15,379 EGP</t>
  </si>
  <si>
    <t>16,045 EGP</t>
  </si>
  <si>
    <t>20,092 EGP</t>
  </si>
  <si>
    <t>10,756 EGP</t>
  </si>
  <si>
    <r>
      <rPr>
        <b/>
        <i/>
        <sz val="13"/>
        <rFont val="Calibri"/>
      </rPr>
      <t>18</t>
    </r>
    <r>
      <rPr>
        <b/>
        <i/>
        <sz val="10"/>
        <rFont val="Calibri"/>
      </rPr>
      <t xml:space="preserve"> FOR SAME CLASS</t>
    </r>
  </si>
  <si>
    <r>
      <rPr>
        <i/>
        <sz val="13"/>
        <rFont val="Calibri"/>
      </rPr>
      <t>18</t>
    </r>
    <r>
      <rPr>
        <i/>
        <sz val="10"/>
        <rFont val="Calibri"/>
      </rPr>
      <t xml:space="preserve"> FOR SAME CLASS</t>
    </r>
  </si>
  <si>
    <t>NE-162</t>
  </si>
  <si>
    <t>5,724 EGP</t>
  </si>
  <si>
    <t>T2 &amp; X38 &amp; U7 &amp; O20 &amp; I26 &amp; N1</t>
  </si>
  <si>
    <t>8,067 EGP</t>
  </si>
  <si>
    <t>9,822 EGP</t>
  </si>
  <si>
    <t>SV-324</t>
  </si>
  <si>
    <t>6,108 EGP</t>
  </si>
  <si>
    <t>S1 &amp; W5 &amp; T23 &amp; X9 &amp; U8 &amp; O8 &amp; I26</t>
  </si>
  <si>
    <t>7,773 EGP</t>
  </si>
  <si>
    <t>SV-314</t>
  </si>
  <si>
    <t>8,912 EGP</t>
  </si>
  <si>
    <t>8,528 EGP</t>
  </si>
  <si>
    <t>L1 &amp; S3 &amp; W17 &amp; T18 &amp; X9 &amp; U8 &amp; O43 &amp; I1</t>
  </si>
  <si>
    <t>6,953 EGP</t>
  </si>
  <si>
    <t>7,237 EGP</t>
  </si>
  <si>
    <t>8,874 EGP</t>
  </si>
  <si>
    <t>8,579 EGP</t>
  </si>
  <si>
    <t>5,493 EGP</t>
  </si>
  <si>
    <t>E5-415</t>
  </si>
  <si>
    <t>6,519 EGP</t>
  </si>
  <si>
    <t>8,156 EGP</t>
  </si>
  <si>
    <t>W18 &amp; X7 &amp; U18 &amp; O8 &amp; I27</t>
  </si>
  <si>
    <t>7,939 EGP</t>
  </si>
  <si>
    <t>G25 &amp; S7 &amp; W5 &amp; T4 &amp; X21 &amp; U7 &amp; O30 &amp; I4</t>
  </si>
  <si>
    <t>7,901 EGP</t>
  </si>
  <si>
    <t>10,705 EGP</t>
  </si>
  <si>
    <t>12,063 EGP</t>
  </si>
  <si>
    <t>13,983 EGP</t>
  </si>
  <si>
    <t>12,024 EGP</t>
  </si>
  <si>
    <t>G12 &amp; S18 &amp; W9 &amp; T7 &amp; X12 &amp; U10 &amp; O6 &amp; I3</t>
  </si>
  <si>
    <t>8,146 EGP</t>
  </si>
  <si>
    <t>9,783 EGP</t>
  </si>
  <si>
    <t>9,937 EGP</t>
  </si>
  <si>
    <t>11,141 EGP</t>
  </si>
  <si>
    <t>11,678 EGP</t>
  </si>
  <si>
    <t>17,492 EGP</t>
  </si>
  <si>
    <t>19,759 EGP</t>
  </si>
  <si>
    <t>12,011 EGP</t>
  </si>
  <si>
    <t>12,139 EGP</t>
  </si>
  <si>
    <t>12,447 EGP</t>
  </si>
  <si>
    <t>Q6</t>
  </si>
  <si>
    <t>Q1 &amp; K22 &amp; V7 &amp; L9 &amp; G12 &amp; S15 &amp; W8 &amp; T6 &amp; X4 &amp; U9 &amp; O5 &amp; I6</t>
  </si>
  <si>
    <t>Q7</t>
  </si>
  <si>
    <t>H6 &amp; Q3 &amp; K9 &amp; V7 &amp; L16 &amp; G10 &amp; S3 &amp; W13 &amp; T5 &amp; X5 &amp; U4 &amp; O7 &amp; I7</t>
  </si>
  <si>
    <t>15,904 EGP</t>
  </si>
  <si>
    <t>22,064 EGP</t>
  </si>
  <si>
    <t>21,039 EGP</t>
  </si>
  <si>
    <t>10,116 EGP</t>
  </si>
  <si>
    <t>12,408 EGP</t>
  </si>
  <si>
    <t>11,856 EGP</t>
  </si>
  <si>
    <t>14,857 EGP</t>
  </si>
  <si>
    <t>NP-153</t>
  </si>
  <si>
    <t>13,612 EGP</t>
  </si>
  <si>
    <t>15,866 EGP</t>
  </si>
  <si>
    <t>16,532 EGP</t>
  </si>
  <si>
    <t>M9</t>
  </si>
  <si>
    <t>M5 &amp; H21 &amp; K12 &amp; V14 &amp; L11 &amp; G12 &amp; S6 &amp; W10 &amp; T3 &amp; X4 &amp; U8 &amp; O9 &amp; I3</t>
  </si>
  <si>
    <t>22,358 EGP</t>
  </si>
  <si>
    <t>24,945 EGP</t>
  </si>
  <si>
    <t>11,384 EGP</t>
  </si>
  <si>
    <t>8,771 EGP</t>
  </si>
  <si>
    <t>L4</t>
  </si>
  <si>
    <t>K2 &amp; V12 &amp; L25 &amp; G7 &amp; S19 &amp; W6 &amp; T8 &amp; X4 &amp; U6 &amp; O7 &amp; I5</t>
  </si>
  <si>
    <t>9,399 EGP</t>
  </si>
  <si>
    <t>14,035 EGP</t>
  </si>
  <si>
    <t>09:55</t>
  </si>
  <si>
    <t>X31</t>
  </si>
  <si>
    <t>I34</t>
  </si>
  <si>
    <t>I28</t>
  </si>
  <si>
    <t>17:25</t>
  </si>
  <si>
    <t>I26</t>
  </si>
  <si>
    <t>I35</t>
  </si>
  <si>
    <t>10:15</t>
  </si>
  <si>
    <t>X38</t>
  </si>
  <si>
    <t>U7</t>
  </si>
  <si>
    <t>T23</t>
  </si>
  <si>
    <t>17:10</t>
  </si>
  <si>
    <t>O43</t>
  </si>
  <si>
    <t>I27</t>
  </si>
  <si>
    <t>G25</t>
  </si>
  <si>
    <t>I4</t>
  </si>
  <si>
    <t>G12</t>
  </si>
  <si>
    <t>O6</t>
  </si>
  <si>
    <t>K22</t>
  </si>
  <si>
    <t>I6</t>
  </si>
  <si>
    <t>H6</t>
  </si>
  <si>
    <t>L16</t>
  </si>
  <si>
    <t>W13</t>
  </si>
  <si>
    <t>I7</t>
  </si>
  <si>
    <t>M5</t>
  </si>
  <si>
    <t>H21</t>
  </si>
  <si>
    <t>K12</t>
  </si>
  <si>
    <t>V14</t>
  </si>
  <si>
    <t>V12</t>
  </si>
  <si>
    <t>L25</t>
  </si>
  <si>
    <t>S19</t>
  </si>
  <si>
    <t>23:00</t>
  </si>
  <si>
    <t>13:50</t>
  </si>
  <si>
    <t>15:05</t>
  </si>
  <si>
    <t>15:10</t>
  </si>
  <si>
    <t>02:10</t>
  </si>
  <si>
    <t>12:10</t>
  </si>
  <si>
    <t>ATZ-RUH</t>
  </si>
  <si>
    <t>XY-284</t>
  </si>
  <si>
    <t>Cabin: 7 KG</t>
  </si>
  <si>
    <t>9,604 EGP</t>
  </si>
  <si>
    <t>10,731 EGP</t>
  </si>
  <si>
    <t>11,794 EGP</t>
  </si>
  <si>
    <t>Indirect competition route CAI – RUH - diversion ratio &amp; passenger leakage</t>
  </si>
  <si>
    <t>57 FOR SAME CLASS</t>
  </si>
  <si>
    <t>68 FOR SAME CLASS</t>
  </si>
  <si>
    <t>81 FOR SAME CLASS</t>
  </si>
  <si>
    <t>79 FOR SAME CLASS</t>
  </si>
  <si>
    <t>13,074 EGP</t>
  </si>
  <si>
    <t>17 FOR SAME CLASS</t>
  </si>
  <si>
    <t>SM-463</t>
  </si>
  <si>
    <t>10,808 EGP</t>
  </si>
  <si>
    <t>SM463</t>
  </si>
  <si>
    <t>H1 &amp; Q1 &amp; V31 &amp; L29 &amp; S20 &amp; W20 &amp; X6 &amp; U13 &amp; O8 &amp; I2</t>
  </si>
  <si>
    <t>MS-8245</t>
  </si>
  <si>
    <t>18,209 EGP</t>
  </si>
  <si>
    <t>18 FOR SAME CLASS</t>
  </si>
  <si>
    <t>9,706 EGP</t>
  </si>
  <si>
    <t>10,769 EGP</t>
  </si>
  <si>
    <t>V20 &amp; L15 &amp; G10 &amp; S20 &amp; W13 &amp; T4 &amp; X7 &amp; U11 &amp; O5</t>
  </si>
  <si>
    <t>SM-465</t>
  </si>
  <si>
    <t>SM465</t>
  </si>
  <si>
    <t>H9</t>
  </si>
  <si>
    <t>Y1 &amp; H1 &amp; V2 &amp; L12 &amp; G14 &amp; S27 &amp; W16 &amp; T17 &amp; X18 &amp; U32 &amp; O3</t>
  </si>
  <si>
    <t>MS-8239</t>
  </si>
  <si>
    <t>22,166 EGP</t>
  </si>
  <si>
    <t>13,445 EGP</t>
  </si>
  <si>
    <t>14,572 EGP</t>
  </si>
  <si>
    <t>15,635 EGP</t>
  </si>
  <si>
    <t>00:35</t>
  </si>
  <si>
    <t>16:25</t>
  </si>
  <si>
    <t>Q9</t>
  </si>
  <si>
    <t>H1 &amp; Q14 &amp; K9 &amp; V7 &amp; L1 &amp; S1 &amp; W12 &amp; T16 &amp; X12 &amp; U13 &amp; O6 &amp; I1</t>
  </si>
  <si>
    <t>20,361 EGP</t>
  </si>
  <si>
    <t>H1</t>
  </si>
  <si>
    <t>V31</t>
  </si>
  <si>
    <t>L29</t>
  </si>
  <si>
    <t>S20</t>
  </si>
  <si>
    <t>X6</t>
  </si>
  <si>
    <t>10:20</t>
  </si>
  <si>
    <t>L12</t>
  </si>
  <si>
    <t>G14</t>
  </si>
  <si>
    <t>S27</t>
  </si>
  <si>
    <t>W16</t>
  </si>
  <si>
    <t>T17</t>
  </si>
  <si>
    <t>U32</t>
  </si>
  <si>
    <t>Q14</t>
  </si>
  <si>
    <t>CAI-RUH AS ALTERNATIVE ROUTE</t>
  </si>
  <si>
    <t>CAI-DMM</t>
  </si>
  <si>
    <t>F3-912</t>
  </si>
  <si>
    <t>XY-855</t>
  </si>
  <si>
    <t>7,926 EGP</t>
  </si>
  <si>
    <t>XY-895</t>
  </si>
  <si>
    <t>6,005 EGP</t>
  </si>
  <si>
    <t>NE-152</t>
  </si>
  <si>
    <t>6,543 EGP</t>
  </si>
  <si>
    <t>NE-154</t>
  </si>
  <si>
    <t>NP-331</t>
  </si>
  <si>
    <t>7,132 EGP</t>
  </si>
  <si>
    <t>NP-131</t>
  </si>
  <si>
    <t>7,747 EGP</t>
  </si>
  <si>
    <t>MS-681</t>
  </si>
  <si>
    <t>7,504 EGP</t>
  </si>
  <si>
    <t>MS-683</t>
  </si>
  <si>
    <t>MS-687</t>
  </si>
  <si>
    <t>14,163 EGP</t>
  </si>
  <si>
    <t>SM-433</t>
  </si>
  <si>
    <t>SM433</t>
  </si>
  <si>
    <t>V2 &amp; L8 &amp; G10 &amp; S27 &amp; U36 &amp; O3 &amp; I4</t>
  </si>
  <si>
    <t>SV-6447</t>
  </si>
  <si>
    <t>NE-150</t>
  </si>
  <si>
    <t>17,915 EGP</t>
  </si>
  <si>
    <t>NP-231</t>
  </si>
  <si>
    <t>8,131 EGP</t>
  </si>
  <si>
    <t>V1 &amp; L9 &amp; G10 &amp; S10 &amp; W10 &amp; T10 &amp; X20 &amp; O25 &amp; I5</t>
  </si>
  <si>
    <t>19,810 EGP</t>
  </si>
  <si>
    <t>13,561 EGP</t>
  </si>
  <si>
    <t>V7 &amp; L13 &amp; G46 &amp; S3 &amp; W1 &amp; T6 &amp; X8 &amp; U22 &amp; O3 &amp; I6</t>
  </si>
  <si>
    <t>E5-315</t>
  </si>
  <si>
    <t>9,664 EGP</t>
  </si>
  <si>
    <t>12,665 EGP</t>
  </si>
  <si>
    <t>16,890 EGP</t>
  </si>
  <si>
    <t>V1 &amp; L8 &amp; G21 &amp; S7 &amp; T1 &amp; X1 &amp; U7 &amp; O19 &amp; I4</t>
  </si>
  <si>
    <t>14,214 EGP</t>
  </si>
  <si>
    <t>11,550 EGP</t>
  </si>
  <si>
    <t>19,861 EGP</t>
  </si>
  <si>
    <t>30,119 EGP</t>
  </si>
  <si>
    <t>10,398 EGP</t>
  </si>
  <si>
    <t>11,858 EGP</t>
  </si>
  <si>
    <t>12,344 EGP</t>
  </si>
  <si>
    <t>H1 &amp; Q18 &amp; K18 &amp; V7 &amp; L10 &amp; G8 &amp; S8 &amp; W17 &amp; T9 &amp; X7 &amp; U9 &amp; O7 &amp; I7</t>
  </si>
  <si>
    <t>22,717 EGP</t>
  </si>
  <si>
    <t>25,637 EGP</t>
  </si>
  <si>
    <t>13,817 EGP</t>
  </si>
  <si>
    <t>15,738 EGP</t>
  </si>
  <si>
    <t>16,032 EGP</t>
  </si>
  <si>
    <t>16,173 EGP</t>
  </si>
  <si>
    <t>M4 &amp; H11 &amp; Q3 &amp; K16 &amp; V7 &amp; L11 &amp; G27 &amp; S13 &amp; W12 &amp; T8 &amp; X5 &amp; U3 &amp; O5 &amp; I4</t>
  </si>
  <si>
    <t>17,121 EGP</t>
  </si>
  <si>
    <t>30,170 EGP</t>
  </si>
  <si>
    <t>28,416 EGP</t>
  </si>
  <si>
    <t>11,768 EGP</t>
  </si>
  <si>
    <t>13,049 EGP</t>
  </si>
  <si>
    <t>14,201 EGP</t>
  </si>
  <si>
    <t>NP-233</t>
  </si>
  <si>
    <t>13,868 EGP</t>
  </si>
  <si>
    <t>14,790 EGP</t>
  </si>
  <si>
    <t>14,444 EGP</t>
  </si>
  <si>
    <t>17,445 EGP</t>
  </si>
  <si>
    <t>B1 &amp; M17 &amp; H21 &amp; Q9 &amp; V12 &amp; L12 &amp; G8 &amp; S6 &amp; W9 &amp; T10 &amp; X2 &amp; U4 &amp; O7 &amp; I3</t>
  </si>
  <si>
    <t>10,539 EGP</t>
  </si>
  <si>
    <t>NP-133</t>
  </si>
  <si>
    <t>17:20</t>
  </si>
  <si>
    <t>L8</t>
  </si>
  <si>
    <t>U36</t>
  </si>
  <si>
    <t>O25</t>
  </si>
  <si>
    <t>L13</t>
  </si>
  <si>
    <t>G46</t>
  </si>
  <si>
    <t>01:40</t>
  </si>
  <si>
    <t>G21</t>
  </si>
  <si>
    <t>Q18</t>
  </si>
  <si>
    <t>K18</t>
  </si>
  <si>
    <t>M4</t>
  </si>
  <si>
    <t>H11</t>
  </si>
  <si>
    <t>K16</t>
  </si>
  <si>
    <t>G27</t>
  </si>
  <si>
    <t>S13</t>
  </si>
  <si>
    <t>B1</t>
  </si>
  <si>
    <t>M17</t>
  </si>
  <si>
    <t>10:45</t>
  </si>
  <si>
    <t>23:20</t>
  </si>
  <si>
    <t>01:50</t>
  </si>
  <si>
    <t>16:20</t>
  </si>
  <si>
    <t>ATZ-DMM</t>
  </si>
  <si>
    <t>SM437</t>
  </si>
  <si>
    <t>Y1 &amp; V10 &amp; L11 &amp; G20 &amp; S20 &amp; W32 &amp; T16 &amp; X19 &amp; U30 &amp; O18</t>
  </si>
  <si>
    <t>Indirect competition route CAI – DMM - diversion ratio &amp; passenger leakage</t>
  </si>
  <si>
    <t>00:10</t>
  </si>
  <si>
    <t>23:10</t>
  </si>
  <si>
    <t>19:20</t>
  </si>
  <si>
    <t>SM-437</t>
  </si>
  <si>
    <t>10,577 EGP</t>
  </si>
  <si>
    <t>K6 &amp; V15 &amp; L15 &amp; G15 &amp; S20 &amp; W14 &amp; T18 &amp; X14 &amp; U15 &amp; O15 &amp; I14</t>
  </si>
  <si>
    <t>K5</t>
  </si>
  <si>
    <t>Y2 &amp; Q1 &amp; K5 &amp; V10 &amp; L15 &amp; G30 &amp; S16 &amp; W19 &amp; T20 &amp; X20 &amp; U5 &amp; O4 &amp; I1</t>
  </si>
  <si>
    <t>23:30</t>
  </si>
  <si>
    <t>01:45</t>
  </si>
  <si>
    <t>W32</t>
  </si>
  <si>
    <t>07:00</t>
  </si>
  <si>
    <t>I14</t>
  </si>
  <si>
    <t>G30</t>
  </si>
  <si>
    <t>S16</t>
  </si>
  <si>
    <t>W19</t>
  </si>
  <si>
    <t>CAI-DMM AS ALTERNATIVE ROUTE</t>
  </si>
  <si>
    <t>CAI-TUU</t>
  </si>
  <si>
    <t>NP-107</t>
  </si>
  <si>
    <t>6,633 EGP</t>
  </si>
  <si>
    <t>SM-325</t>
  </si>
  <si>
    <t>SM325</t>
  </si>
  <si>
    <t>S2 &amp; U4 &amp; O3 &amp; I55</t>
  </si>
  <si>
    <t>MS-811</t>
  </si>
  <si>
    <t>6,966 EGP</t>
  </si>
  <si>
    <t>E5-599</t>
  </si>
  <si>
    <t>6,527 EGP</t>
  </si>
  <si>
    <t>9,528 EGP</t>
  </si>
  <si>
    <t>NP-117</t>
  </si>
  <si>
    <t>NE-120</t>
  </si>
  <si>
    <t>7,094 EGP</t>
  </si>
  <si>
    <t>S3 &amp; U4 &amp; O13 &amp; I55</t>
  </si>
  <si>
    <t>6,383 EGP</t>
  </si>
  <si>
    <t>9,384 EGP</t>
  </si>
  <si>
    <t>6,312 EGP</t>
  </si>
  <si>
    <t>7,949 EGP</t>
  </si>
  <si>
    <t>U2 &amp; O17 &amp; I35</t>
  </si>
  <si>
    <t>8,157 EGP</t>
  </si>
  <si>
    <t>T9 &amp; X10 &amp; U10 &amp; O20 &amp; I40</t>
  </si>
  <si>
    <t>9,425 EGP</t>
  </si>
  <si>
    <t>6,890 EGP</t>
  </si>
  <si>
    <t>10,090 EGP</t>
  </si>
  <si>
    <t>10,411 EGP</t>
  </si>
  <si>
    <t>9,886 EGP</t>
  </si>
  <si>
    <t>13,228 EGP</t>
  </si>
  <si>
    <t>H1 &amp; Q1 &amp; K11 &amp; V18 &amp; L18 &amp; G5 &amp; T7 &amp; X12 &amp; U9 &amp; O8 &amp; I18</t>
  </si>
  <si>
    <t>NP-307</t>
  </si>
  <si>
    <t>17:05</t>
  </si>
  <si>
    <t>I55</t>
  </si>
  <si>
    <t>E90</t>
  </si>
  <si>
    <t>O13</t>
  </si>
  <si>
    <t>K11</t>
  </si>
  <si>
    <t>V18</t>
  </si>
  <si>
    <t>ATZ-TUU</t>
  </si>
  <si>
    <t>SM-327</t>
  </si>
  <si>
    <t>7,248 EGP</t>
  </si>
  <si>
    <t>SM327</t>
  </si>
  <si>
    <t>O2 &amp; I80</t>
  </si>
  <si>
    <t>Indirect competition route CAI – TUU - diversion ratio &amp; passenger leakage</t>
  </si>
  <si>
    <t>23:40</t>
  </si>
  <si>
    <t>23:35</t>
  </si>
  <si>
    <t>7,017 EGP</t>
  </si>
  <si>
    <t>U1 &amp; O9 &amp; I48</t>
  </si>
  <si>
    <t>09:05</t>
  </si>
  <si>
    <t>I80</t>
  </si>
  <si>
    <t>I48</t>
  </si>
  <si>
    <t>CAI-TUU AS ALTERNATIVE ROUTE</t>
  </si>
  <si>
    <t>CAI-AJF</t>
  </si>
  <si>
    <t>NP-119</t>
  </si>
  <si>
    <t>6,428 EGP</t>
  </si>
  <si>
    <t>SM-321</t>
  </si>
  <si>
    <t>6,454 EGP</t>
  </si>
  <si>
    <t>SM321</t>
  </si>
  <si>
    <t>S15 &amp; X22 &amp; U11 &amp; O3 &amp; I1</t>
  </si>
  <si>
    <t>G8 &amp; S76 &amp; X7 &amp; I17</t>
  </si>
  <si>
    <t>NP-109</t>
  </si>
  <si>
    <t>8,016 EGP</t>
  </si>
  <si>
    <t>6,927 EGP</t>
  </si>
  <si>
    <t>Q1 &amp; G1 &amp; S10 &amp; W12 &amp; T10 &amp; X34 &amp; O1 &amp; I9</t>
  </si>
  <si>
    <t>7,529 EGP</t>
  </si>
  <si>
    <t>L20 &amp; G14 &amp; S26 &amp; W3 &amp; T15 &amp; X24 &amp; U8 &amp; O4 &amp; I17</t>
  </si>
  <si>
    <t>8,272 EGP</t>
  </si>
  <si>
    <t>9,962 EGP</t>
  </si>
  <si>
    <t>Q2 &amp; K9 &amp; V37 &amp; L17 &amp; G3 &amp; S6 &amp; W16 &amp; T12 &amp; X8 &amp; U9 &amp; O14 &amp; I4</t>
  </si>
  <si>
    <t>18:25</t>
  </si>
  <si>
    <t>17:15</t>
  </si>
  <si>
    <t>S76</t>
  </si>
  <si>
    <t>07:30</t>
  </si>
  <si>
    <t>X34</t>
  </si>
  <si>
    <t>L20</t>
  </si>
  <si>
    <t>S26</t>
  </si>
  <si>
    <t>V37</t>
  </si>
  <si>
    <t>16:50</t>
  </si>
  <si>
    <t>ATZ-AJF</t>
  </si>
  <si>
    <t>SM-323</t>
  </si>
  <si>
    <t>6,492 EGP</t>
  </si>
  <si>
    <t>SM323</t>
  </si>
  <si>
    <t>X1 &amp; U11 &amp; O31 &amp; I50</t>
  </si>
  <si>
    <t>6,594 EGP</t>
  </si>
  <si>
    <t>X3 &amp; U11 &amp; O20 &amp; I44</t>
  </si>
  <si>
    <t>Indirect competition route CAI – AJF - diversion ratio &amp; passenger leakage</t>
  </si>
  <si>
    <t>07:25</t>
  </si>
  <si>
    <t>I44</t>
  </si>
  <si>
    <t>CAI-AJF AS ALTERNATIVE ROUTE</t>
  </si>
  <si>
    <t>CAI-YNB</t>
  </si>
  <si>
    <t>SM-441</t>
  </si>
  <si>
    <t>8,784 EGP</t>
  </si>
  <si>
    <t>SM441</t>
  </si>
  <si>
    <t>G1 &amp; S7 &amp; W35 &amp; T6 &amp; X17 &amp; U4 &amp; P91</t>
  </si>
  <si>
    <t>NP-103</t>
  </si>
  <si>
    <t>15,392 EGP</t>
  </si>
  <si>
    <t>9,950 EGP</t>
  </si>
  <si>
    <t>L1 &amp; G15 &amp; S14 &amp; W15 &amp; T20 &amp; X21 &amp; U19 &amp; P41</t>
  </si>
  <si>
    <t>V6 &amp; S3 &amp; W3 &amp; T8 &amp; X12 &amp; P146 &amp; N1</t>
  </si>
  <si>
    <t>Q1 &amp; L13 &amp; G9 &amp; S5 &amp; W3 &amp; T5 &amp; X2 &amp; U16 &amp; P125</t>
  </si>
  <si>
    <t>S6 &amp; W10 &amp; T10 &amp; X10 &amp; P143</t>
  </si>
  <si>
    <t>L8 &amp; G18 &amp; S29 &amp; W3 &amp; T4 &amp; X2 &amp; P115</t>
  </si>
  <si>
    <t>K1 &amp; V6 &amp; L23 &amp; G18 &amp; S9 &amp; W7 &amp; T12 &amp; X10 &amp; P92</t>
  </si>
  <si>
    <t>Q1 &amp; V1 &amp; L6 &amp; G18 &amp; S10 &amp; W2 &amp; T4 &amp; X2 &amp; P135</t>
  </si>
  <si>
    <t>Q2 &amp; K4 &amp; V13 &amp; L18 &amp; G18 &amp; S29 &amp; W3 &amp; T4 &amp; X2 &amp; P80</t>
  </si>
  <si>
    <t>18,465 EGP</t>
  </si>
  <si>
    <t>B9</t>
  </si>
  <si>
    <t>B2 &amp; M1 &amp; H11 &amp; Q16 &amp; K16 &amp; V18 &amp; L17 &amp; G18 &amp; S9 &amp; W3 &amp; T4 &amp; X1 &amp; P45</t>
  </si>
  <si>
    <t>V9 &amp; L10 &amp; G20 &amp; S25 &amp; W19 &amp; T4 &amp; X2 &amp; P90</t>
  </si>
  <si>
    <t>W35</t>
  </si>
  <si>
    <t>P91</t>
  </si>
  <si>
    <t>W15</t>
  </si>
  <si>
    <t>U19</t>
  </si>
  <si>
    <t>03:00</t>
  </si>
  <si>
    <t>V6</t>
  </si>
  <si>
    <t>P146</t>
  </si>
  <si>
    <t>05:10</t>
  </si>
  <si>
    <t>P143</t>
  </si>
  <si>
    <t>20:00</t>
  </si>
  <si>
    <t>G18</t>
  </si>
  <si>
    <t>S29</t>
  </si>
  <si>
    <t>19:50</t>
  </si>
  <si>
    <t>L23</t>
  </si>
  <si>
    <t>L6</t>
  </si>
  <si>
    <t>K4</t>
  </si>
  <si>
    <t>V13</t>
  </si>
  <si>
    <t>B2</t>
  </si>
  <si>
    <t>M1</t>
  </si>
  <si>
    <t>Q16</t>
  </si>
  <si>
    <t>S25</t>
  </si>
  <si>
    <t>CAI-AHB</t>
  </si>
  <si>
    <t>NP-143</t>
  </si>
  <si>
    <t>13,932 EGP</t>
  </si>
  <si>
    <t>SM-443</t>
  </si>
  <si>
    <t>14,380 EGP</t>
  </si>
  <si>
    <t>SM443</t>
  </si>
  <si>
    <t>B2 &amp; M8 &amp; H18 &amp; Q18 &amp; K18 &amp; V18 &amp; L23 &amp; G12 &amp; S8 &amp; W4 &amp; T16 &amp; X9 &amp; U9 &amp; O7 &amp; I2</t>
  </si>
  <si>
    <t>NP-243</t>
  </si>
  <si>
    <t>M6</t>
  </si>
  <si>
    <t>M4 &amp; H15 &amp; Q15 &amp; K15 &amp; V15 &amp; L24 &amp; G13 &amp; S4 &amp; W2 &amp; T17 &amp; X8 &amp; U6 &amp; O11 &amp; I5</t>
  </si>
  <si>
    <t>E5-511</t>
  </si>
  <si>
    <t>13,940 EGP</t>
  </si>
  <si>
    <t>15,577 EGP</t>
  </si>
  <si>
    <t>SM-447</t>
  </si>
  <si>
    <t>12,229 EGP</t>
  </si>
  <si>
    <t>SM447</t>
  </si>
  <si>
    <t>H12 &amp; Q19 &amp; K26 &amp; V27 &amp; L9 &amp; G9 &amp; S8 &amp; W9 &amp; T10 &amp; X15 &amp; U3 &amp; O3 &amp; I6</t>
  </si>
  <si>
    <t>M9 &amp; H25 &amp; Q12 &amp; K9 &amp; V8 &amp; L9 &amp; G9 &amp; S8 &amp; W13 &amp; T9 &amp; X8 &amp; U6 &amp; O6 &amp; I3</t>
  </si>
  <si>
    <t>12,681 EGP</t>
  </si>
  <si>
    <t>15,682 EGP</t>
  </si>
  <si>
    <t>19,580 EGP</t>
  </si>
  <si>
    <t>Y9</t>
  </si>
  <si>
    <t>Y14 &amp; B5 &amp; M9 &amp; H7 &amp; Q21 &amp; L9 &amp; G3 &amp; S10 &amp; W8 &amp; T9 &amp; X7 &amp; U5 &amp; O7 &amp; I6</t>
  </si>
  <si>
    <t>M8</t>
  </si>
  <si>
    <t>H18</t>
  </si>
  <si>
    <t>H15</t>
  </si>
  <si>
    <t>Q15</t>
  </si>
  <si>
    <t>K15</t>
  </si>
  <si>
    <t>20:15</t>
  </si>
  <si>
    <t>H12</t>
  </si>
  <si>
    <t>Q19</t>
  </si>
  <si>
    <t>V27</t>
  </si>
  <si>
    <t>H25</t>
  </si>
  <si>
    <t>Q12</t>
  </si>
  <si>
    <t>Y14</t>
  </si>
  <si>
    <t>B5</t>
  </si>
  <si>
    <t>H7</t>
  </si>
  <si>
    <t>Q21</t>
  </si>
  <si>
    <t>22:00</t>
  </si>
  <si>
    <t>ATZ-AHB</t>
  </si>
  <si>
    <t>SM-445</t>
  </si>
  <si>
    <t>9,809 EGP</t>
  </si>
  <si>
    <t>SM445</t>
  </si>
  <si>
    <t>L4 &amp; G18 &amp; S18 &amp; W53 &amp; T13 &amp; X17 &amp; U18 &amp; O24</t>
  </si>
  <si>
    <t>G7 &amp; S20 &amp; W20 &amp; T38 &amp; X18 &amp; U27 &amp; O27</t>
  </si>
  <si>
    <t>Indirect competition route CAI – AHB - diversion ratio &amp; passenger leakage</t>
  </si>
  <si>
    <t>14:00</t>
  </si>
  <si>
    <t>W53</t>
  </si>
  <si>
    <t>O24</t>
  </si>
  <si>
    <t>T38</t>
  </si>
  <si>
    <t>U27</t>
  </si>
  <si>
    <t>O27</t>
  </si>
  <si>
    <t>CAI-AHB AS ALTERNATIVE ROUTE</t>
  </si>
  <si>
    <t>CAI-ELQ</t>
  </si>
  <si>
    <t>NP-105</t>
  </si>
  <si>
    <t>SM-427</t>
  </si>
  <si>
    <t>SM427</t>
  </si>
  <si>
    <t>G6 &amp; S10 &amp; W47 &amp; U1 &amp; O6 &amp; I34</t>
  </si>
  <si>
    <t>NE-140</t>
  </si>
  <si>
    <t>6,659 EGP</t>
  </si>
  <si>
    <t>E5-591</t>
  </si>
  <si>
    <t>7,345 EGP</t>
  </si>
  <si>
    <t>8,982 EGP</t>
  </si>
  <si>
    <t>MS-633</t>
  </si>
  <si>
    <t>8,170 EGP</t>
  </si>
  <si>
    <t>G2 &amp; S11 &amp; W42 &amp; O5 &amp; I17</t>
  </si>
  <si>
    <t>7,081 EGP</t>
  </si>
  <si>
    <t>8,861 EGP</t>
  </si>
  <si>
    <t>NP-115</t>
  </si>
  <si>
    <t>9,540 EGP</t>
  </si>
  <si>
    <t>7,273 EGP</t>
  </si>
  <si>
    <t>G3 &amp; S23 &amp; W42 &amp; X1 &amp; U1 &amp; O4 &amp; I26</t>
  </si>
  <si>
    <t>7,201 EGP</t>
  </si>
  <si>
    <t>8,838 EGP</t>
  </si>
  <si>
    <t>7,683 EGP</t>
  </si>
  <si>
    <t>7,978 EGP</t>
  </si>
  <si>
    <t>7,057 EGP</t>
  </si>
  <si>
    <t>8,694 EGP</t>
  </si>
  <si>
    <t>8,259 EGP</t>
  </si>
  <si>
    <t>9,322 EGP</t>
  </si>
  <si>
    <t>12,882 EGP</t>
  </si>
  <si>
    <t>7,393 EGP</t>
  </si>
  <si>
    <t>9,030 EGP</t>
  </si>
  <si>
    <t>8,746 EGP</t>
  </si>
  <si>
    <t>K4 &amp; V5 &amp; L9 &amp; G17 &amp; S10 &amp; W10 &amp; T21 &amp; X10 &amp; U3 &amp; O6 &amp; I8</t>
  </si>
  <si>
    <t>14,316 EGP</t>
  </si>
  <si>
    <t>10,347 EGP</t>
  </si>
  <si>
    <t>11,115 EGP</t>
  </si>
  <si>
    <t>12,357 EGP</t>
  </si>
  <si>
    <t>H3</t>
  </si>
  <si>
    <t>M1 &amp; H38 &amp; K9 &amp; V7 &amp; L9 &amp; G11 &amp; S8 &amp; W5 &amp; T6 &amp; X7 &amp; U9 &amp; O11</t>
  </si>
  <si>
    <t>15,712 EGP</t>
  </si>
  <si>
    <t>H1 &amp; K2 &amp; V24 &amp; L8 &amp; G10 &amp; S15 &amp; W11 &amp; T10 &amp; X12 &amp; U5 &amp; O8 &amp; I4 &amp; N2</t>
  </si>
  <si>
    <t>W47</t>
  </si>
  <si>
    <t>W42</t>
  </si>
  <si>
    <t>S23</t>
  </si>
  <si>
    <t>G17</t>
  </si>
  <si>
    <t>T21</t>
  </si>
  <si>
    <t>H38</t>
  </si>
  <si>
    <t>V24</t>
  </si>
  <si>
    <t>ATZ-ELQ</t>
  </si>
  <si>
    <t>SM-435</t>
  </si>
  <si>
    <t>9,629 EGP</t>
  </si>
  <si>
    <t>SM435</t>
  </si>
  <si>
    <t>L11 &amp; G22 &amp; S4 &amp; W3 &amp; T2 &amp; X20 &amp; U13 &amp; O12 &amp; I15</t>
  </si>
  <si>
    <t>Indirect competition route CAI – ELQ - diversion ratio &amp; passenger leakage</t>
  </si>
  <si>
    <t>19:30</t>
  </si>
  <si>
    <t>20:55</t>
  </si>
  <si>
    <t>G8 &amp; S15 &amp; W5 &amp; X7 &amp; U15 &amp; O14 &amp; I19</t>
  </si>
  <si>
    <t>G2 &amp; S15 &amp; W15 &amp; T12 &amp; X7 &amp; U9 &amp; O5</t>
  </si>
  <si>
    <t>20:10</t>
  </si>
  <si>
    <t>20:35</t>
  </si>
  <si>
    <t>CAI-ELQ AS ALTERNATIVE ROUTE</t>
  </si>
  <si>
    <t>CAI-GIZ</t>
  </si>
  <si>
    <t>NP-141</t>
  </si>
  <si>
    <t>E5-585</t>
  </si>
  <si>
    <t>8,322 EGP</t>
  </si>
  <si>
    <t>9,959 EGP</t>
  </si>
  <si>
    <t>SM-329</t>
  </si>
  <si>
    <t>8,605 EGP</t>
  </si>
  <si>
    <t>SM329</t>
  </si>
  <si>
    <t>S8 &amp; W1 &amp; T1 &amp; X59 &amp; U38 &amp; O22 &amp; I1</t>
  </si>
  <si>
    <t>W9 &amp; T8 &amp; X95 &amp; U11 &amp; O11 &amp; I5</t>
  </si>
  <si>
    <t>8,631 EGP</t>
  </si>
  <si>
    <t>10,628 EGP</t>
  </si>
  <si>
    <t>9,946 EGP</t>
  </si>
  <si>
    <t>11,583 EGP</t>
  </si>
  <si>
    <t>11,555 EGP</t>
  </si>
  <si>
    <t>13,192 EGP</t>
  </si>
  <si>
    <t>12,511 EGP</t>
  </si>
  <si>
    <t>K23 &amp; V20 &amp; L8 &amp; G7 &amp; S9 &amp; W9 &amp; T10 &amp; X6 &amp; U8 &amp; O9 &amp; I4</t>
  </si>
  <si>
    <t>12,562 EGP</t>
  </si>
  <si>
    <t>16,647 EGP</t>
  </si>
  <si>
    <t>17,300 EGP</t>
  </si>
  <si>
    <t>M1 &amp; H20 &amp; Q16 &amp; K8 &amp; V5 &amp; L9 &amp; G7 &amp; S9 &amp; W7 &amp; T10 &amp; X9 &amp; U9 &amp; O9 &amp; I2</t>
  </si>
  <si>
    <t>X59</t>
  </si>
  <si>
    <t>U38</t>
  </si>
  <si>
    <t>X95</t>
  </si>
  <si>
    <t>K23</t>
  </si>
  <si>
    <t>H20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</si>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</sst>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6" formatCode="yyyy\-mm\-dd\ h:mm:ss"/>
    <numFmt numFmtId="167" formatCode="dddd\,\ mmmm\ dd\,\ yyyy"/>
    <numFmt numFmtId="168" formatCode="h:mm;@"/>
    <numFmt numFmtId="169" formatCode="0.0%"/>
    <numFmt numFmtId="170" formatCode="[$-409]dddd"/>
    <numFmt numFmtId="171" formatCode="dd\-mmm\-yy"/>
    <numFmt numFmtId="172" formatCode="hh:mm"/>
  </numFmts>
  <fonts count="39" x14ac:knownFonts="1">
    <font>
      <sz val="11"/>
      <color theme="1"/>
      <name val="Calibri"/>
      <family val="2"/>
      <scheme val="minor"/>
    </font>
    <font>
      <b/>
      <i/>
      <sz val="22"/>
      <color rgb="FFFFFFFF"/>
      <name val="Calibri"/>
    </font>
    <font>
      <b/>
      <i/>
      <sz val="16"/>
      <color rgb="FFED7D31"/>
      <name val="Calibri"/>
    </font>
    <font>
      <b/>
      <i/>
      <u/>
      <sz val="18"/>
      <name val="Calibri"/>
    </font>
    <font>
      <i/>
      <sz val="13"/>
      <name val="Calibri"/>
    </font>
    <font>
      <b/>
      <i/>
      <sz val="20"/>
      <color rgb="FFFFFFFF"/>
      <name val="Calibri"/>
    </font>
    <font>
      <b/>
      <i/>
      <sz val="20"/>
      <name val="Calibri"/>
    </font>
    <font>
      <b/>
      <i/>
      <sz val="18"/>
      <color rgb="FFFFFFFF"/>
      <name val="Calibri"/>
    </font>
    <font>
      <b/>
      <i/>
      <sz val="14"/>
      <color rgb="FF000000"/>
      <name val="Calibri"/>
    </font>
    <font>
      <b/>
      <i/>
      <sz val="16"/>
      <color rgb="FF000000"/>
      <name val="Calibri"/>
    </font>
    <font>
      <b/>
      <i/>
      <sz val="12"/>
      <color rgb="FFBC0000"/>
      <name val="Calibri"/>
    </font>
    <font>
      <b/>
      <sz val="13"/>
      <color theme="1"/>
      <name val="Calibri"/>
    </font>
    <font>
      <b/>
      <sz val="14"/>
      <color theme="1"/>
      <name val="Calibri"/>
    </font>
    <font>
      <i/>
      <sz val="12"/>
      <name val="Calibri"/>
    </font>
    <font>
      <b/>
      <i/>
      <sz val="12"/>
      <name val="Calibri"/>
    </font>
    <font>
      <b/>
      <i/>
      <sz val="13"/>
      <name val="Calibri"/>
    </font>
    <font>
      <b/>
      <i/>
      <sz val="13"/>
      <color rgb="FF006100"/>
      <name val="Calibri"/>
    </font>
    <font>
      <b/>
      <i/>
      <sz val="14"/>
      <name val="Calibri"/>
    </font>
    <font>
      <sz val="12"/>
      <color theme="1"/>
      <name val="Calibri"/>
    </font>
    <font>
      <b/>
      <i/>
      <sz val="18"/>
      <name val="Calibri"/>
    </font>
    <font>
      <i/>
      <sz val="18"/>
      <color rgb="FFFF0000"/>
      <name val="Calibri"/>
    </font>
    <font>
      <b/>
      <sz val="14"/>
      <color rgb="FFFFFFFF"/>
      <name val="Calibri"/>
    </font>
    <font>
      <i/>
      <sz val="12"/>
      <color rgb="FF494529"/>
      <name val="Calibri"/>
    </font>
    <font>
      <b/>
      <sz val="12"/>
      <color rgb="FF000000"/>
      <name val="Calibri"/>
    </font>
    <font>
      <b/>
      <i/>
      <sz val="12"/>
      <color rgb="FF0070C0"/>
      <name val="Calibri"/>
    </font>
    <font>
      <b/>
      <i/>
      <sz val="13"/>
      <color rgb="FF9C0006"/>
      <name val="Calibri"/>
    </font>
    <font>
      <i/>
      <sz val="11"/>
      <name val="Calibri"/>
    </font>
    <font>
      <b/>
      <i/>
      <sz val="13"/>
      <color rgb="FFBC0000"/>
      <name val="Calibri"/>
    </font>
    <font>
      <b/>
      <i/>
      <sz val="10"/>
      <color rgb="FFBC0000"/>
      <name val="Calibri"/>
    </font>
    <font>
      <i/>
      <sz val="10"/>
      <name val="Calibri"/>
    </font>
    <font>
      <b/>
      <i/>
      <sz val="10"/>
      <name val="Calibri"/>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8"/>
      <name val="Calibri"/>
      <family val="2"/>
    </font>
    <font>
      <b/>
      <sz val="10"/>
      <color indexed="48"/>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D8E4BC"/>
      </patternFill>
    </fill>
    <fill>
      <patternFill patternType="solid">
        <fgColor rgb="FFCCCCCC"/>
        <bgColor rgb="FFCCCCCC"/>
      </patternFill>
    </fill>
    <fill>
      <patternFill patternType="solid">
        <fgColor rgb="FFC5D9F1"/>
      </patternFill>
    </fill>
    <fill>
      <patternFill patternType="solid">
        <fgColor rgb="FFE6D5E6"/>
      </patternFill>
    </fill>
    <fill>
      <patternFill patternType="solid">
        <fgColor rgb="FFC7FFFF"/>
      </patternFill>
    </fill>
    <fill>
      <patternFill patternType="solid">
        <fgColor rgb="FFFFFFCC"/>
      </patternFill>
    </fill>
    <fill>
      <patternFill patternType="solid">
        <fgColor rgb="FF366092"/>
      </patternFill>
    </fill>
    <fill>
      <patternFill patternType="solid">
        <fgColor rgb="FFF2CA93"/>
      </patternFill>
    </fill>
    <fill>
      <patternFill patternType="solid">
        <fgColor rgb="FFFFE4B5"/>
      </patternFill>
    </fill>
    <fill>
      <patternFill patternType="solid">
        <fgColor rgb="FFB5E7D3"/>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332">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8" fontId="13"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0" fillId="8" borderId="13" xfId="0" applyNumberFormat="1" applyFont="1" applyFill="1" applyBorder="1" applyAlignment="1">
      <alignment horizontal="center" vertical="center"/>
    </xf>
    <xf numFmtId="168" fontId="10" fillId="8" borderId="13" xfId="0" applyNumberFormat="1" applyFont="1" applyFill="1" applyBorder="1" applyAlignment="1">
      <alignment horizontal="center" vertical="center"/>
    </xf>
    <xf numFmtId="0" fontId="10" fillId="8" borderId="13" xfId="0" applyFont="1" applyFill="1" applyBorder="1" applyAlignment="1">
      <alignment horizontal="center" vertical="center"/>
    </xf>
    <xf numFmtId="49" fontId="15" fillId="8" borderId="15" xfId="0" applyNumberFormat="1" applyFont="1" applyFill="1" applyBorder="1" applyAlignment="1">
      <alignment horizontal="center" vertical="center"/>
    </xf>
    <xf numFmtId="169" fontId="16" fillId="8" borderId="16" xfId="0" applyNumberFormat="1" applyFont="1" applyFill="1" applyBorder="1" applyAlignment="1">
      <alignment horizontal="center" vertical="center"/>
    </xf>
    <xf numFmtId="1" fontId="15" fillId="8" borderId="16" xfId="0" applyNumberFormat="1" applyFont="1" applyFill="1" applyBorder="1" applyAlignment="1">
      <alignment horizontal="center" vertical="center"/>
    </xf>
    <xf numFmtId="16" fontId="15" fillId="8" borderId="16" xfId="0" applyNumberFormat="1" applyFont="1" applyFill="1" applyBorder="1" applyAlignment="1">
      <alignment horizontal="center" vertical="center"/>
    </xf>
    <xf numFmtId="49" fontId="17" fillId="8" borderId="16" xfId="0" applyNumberFormat="1" applyFont="1" applyFill="1" applyBorder="1" applyAlignment="1">
      <alignment horizontal="center" vertical="center"/>
    </xf>
    <xf numFmtId="168" fontId="15" fillId="8" borderId="16" xfId="0" applyNumberFormat="1" applyFont="1" applyFill="1" applyBorder="1" applyAlignment="1">
      <alignment horizontal="center" vertical="center"/>
    </xf>
    <xf numFmtId="49" fontId="15" fillId="8" borderId="17" xfId="0" applyNumberFormat="1" applyFont="1" applyFill="1" applyBorder="1" applyAlignment="1">
      <alignment horizontal="center" vertical="center"/>
    </xf>
    <xf numFmtId="167"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4" fillId="0" borderId="13" xfId="0" applyNumberFormat="1" applyFont="1" applyBorder="1" applyAlignment="1">
      <alignment horizontal="center" vertical="center"/>
    </xf>
    <xf numFmtId="168" fontId="14" fillId="0" borderId="13"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49" fontId="10" fillId="10" borderId="13" xfId="0" applyNumberFormat="1" applyFont="1" applyFill="1" applyBorder="1" applyAlignment="1">
      <alignment horizontal="center" vertical="center"/>
    </xf>
    <xf numFmtId="168" fontId="10" fillId="10" borderId="13" xfId="0" applyNumberFormat="1" applyFont="1" applyFill="1" applyBorder="1" applyAlignment="1">
      <alignment horizontal="center" vertical="center"/>
    </xf>
    <xf numFmtId="49" fontId="15" fillId="10" borderId="15" xfId="0" applyNumberFormat="1" applyFont="1" applyFill="1" applyBorder="1" applyAlignment="1">
      <alignment horizontal="center" vertical="center"/>
    </xf>
    <xf numFmtId="169" fontId="16" fillId="10" borderId="16" xfId="0" applyNumberFormat="1" applyFont="1" applyFill="1" applyBorder="1" applyAlignment="1">
      <alignment horizontal="center" vertical="center"/>
    </xf>
    <xf numFmtId="1" fontId="15" fillId="10" borderId="16" xfId="0" applyNumberFormat="1" applyFont="1" applyFill="1" applyBorder="1" applyAlignment="1">
      <alignment horizontal="center" vertical="center"/>
    </xf>
    <xf numFmtId="16" fontId="15" fillId="10" borderId="16" xfId="0" applyNumberFormat="1" applyFont="1" applyFill="1" applyBorder="1" applyAlignment="1">
      <alignment horizontal="center" vertical="center"/>
    </xf>
    <xf numFmtId="49" fontId="17" fillId="10" borderId="16" xfId="0" applyNumberFormat="1" applyFont="1" applyFill="1" applyBorder="1" applyAlignment="1">
      <alignment horizontal="center" vertical="center"/>
    </xf>
    <xf numFmtId="168" fontId="15" fillId="10" borderId="16" xfId="0" applyNumberFormat="1" applyFont="1" applyFill="1" applyBorder="1" applyAlignment="1">
      <alignment horizontal="center" vertical="center"/>
    </xf>
    <xf numFmtId="49" fontId="15" fillId="10" borderId="17" xfId="0" applyNumberFormat="1" applyFont="1" applyFill="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49" fontId="15" fillId="10" borderId="21" xfId="0" applyNumberFormat="1" applyFont="1" applyFill="1" applyBorder="1" applyAlignment="1">
      <alignment horizontal="center" vertical="center"/>
    </xf>
    <xf numFmtId="169" fontId="16" fillId="10" borderId="22" xfId="0" applyNumberFormat="1" applyFont="1" applyFill="1" applyBorder="1" applyAlignment="1">
      <alignment horizontal="center" vertical="center"/>
    </xf>
    <xf numFmtId="1" fontId="15" fillId="10" borderId="22" xfId="0" applyNumberFormat="1" applyFont="1" applyFill="1" applyBorder="1" applyAlignment="1">
      <alignment horizontal="center" vertical="center"/>
    </xf>
    <xf numFmtId="16" fontId="15" fillId="10" borderId="22" xfId="0" applyNumberFormat="1" applyFont="1" applyFill="1" applyBorder="1" applyAlignment="1">
      <alignment horizontal="center" vertical="center"/>
    </xf>
    <xf numFmtId="49" fontId="17" fillId="10" borderId="22" xfId="0" applyNumberFormat="1" applyFont="1" applyFill="1" applyBorder="1" applyAlignment="1">
      <alignment horizontal="center" vertical="center"/>
    </xf>
    <xf numFmtId="168" fontId="15" fillId="10" borderId="22" xfId="0" applyNumberFormat="1" applyFont="1" applyFill="1" applyBorder="1" applyAlignment="1">
      <alignment horizontal="center" vertical="center"/>
    </xf>
    <xf numFmtId="49" fontId="15" fillId="10" borderId="23" xfId="0" applyNumberFormat="1" applyFont="1" applyFill="1" applyBorder="1" applyAlignment="1">
      <alignment horizontal="center" vertical="center"/>
    </xf>
    <xf numFmtId="49" fontId="13" fillId="0" borderId="13" xfId="0" applyNumberFormat="1" applyFont="1" applyBorder="1" applyAlignment="1">
      <alignment horizontal="center" vertical="center"/>
    </xf>
    <xf numFmtId="168" fontId="13" fillId="0" borderId="13" xfId="0" applyNumberFormat="1" applyFont="1" applyBorder="1" applyAlignment="1">
      <alignment horizontal="center" vertical="center"/>
    </xf>
    <xf numFmtId="49" fontId="10" fillId="11" borderId="13" xfId="0" applyNumberFormat="1" applyFont="1" applyFill="1" applyBorder="1" applyAlignment="1">
      <alignment horizontal="center" vertical="center"/>
    </xf>
    <xf numFmtId="168" fontId="10" fillId="11" borderId="13" xfId="0" applyNumberFormat="1" applyFont="1" applyFill="1" applyBorder="1" applyAlignment="1">
      <alignment horizontal="center" vertical="center"/>
    </xf>
    <xf numFmtId="49" fontId="15" fillId="11" borderId="15" xfId="0" applyNumberFormat="1" applyFont="1" applyFill="1" applyBorder="1" applyAlignment="1">
      <alignment horizontal="center" vertical="center"/>
    </xf>
    <xf numFmtId="169" fontId="16" fillId="11" borderId="16" xfId="0" applyNumberFormat="1" applyFont="1" applyFill="1" applyBorder="1" applyAlignment="1">
      <alignment horizontal="center" vertical="center"/>
    </xf>
    <xf numFmtId="1" fontId="15" fillId="11" borderId="16" xfId="0" applyNumberFormat="1" applyFont="1" applyFill="1" applyBorder="1" applyAlignment="1">
      <alignment horizontal="center" vertical="center"/>
    </xf>
    <xf numFmtId="16" fontId="15" fillId="11" borderId="16" xfId="0" applyNumberFormat="1" applyFont="1" applyFill="1" applyBorder="1" applyAlignment="1">
      <alignment horizontal="center" vertical="center"/>
    </xf>
    <xf numFmtId="49" fontId="17" fillId="11" borderId="16" xfId="0" applyNumberFormat="1" applyFont="1" applyFill="1" applyBorder="1" applyAlignment="1">
      <alignment horizontal="center" vertical="center"/>
    </xf>
    <xf numFmtId="168" fontId="15" fillId="11" borderId="16" xfId="0" applyNumberFormat="1" applyFont="1" applyFill="1" applyBorder="1" applyAlignment="1">
      <alignment horizontal="center" vertical="center"/>
    </xf>
    <xf numFmtId="49" fontId="15" fillId="11" borderId="17" xfId="0" applyNumberFormat="1" applyFont="1" applyFill="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0" fontId="10" fillId="12" borderId="2" xfId="0" applyFont="1" applyFill="1" applyBorder="1" applyAlignment="1">
      <alignment horizontal="center" vertical="center"/>
    </xf>
    <xf numFmtId="49" fontId="15" fillId="12" borderId="21" xfId="0" applyNumberFormat="1" applyFont="1" applyFill="1" applyBorder="1" applyAlignment="1">
      <alignment horizontal="center" vertical="center"/>
    </xf>
    <xf numFmtId="169" fontId="16" fillId="12" borderId="22" xfId="0" applyNumberFormat="1" applyFont="1" applyFill="1" applyBorder="1" applyAlignment="1">
      <alignment horizontal="center" vertical="center"/>
    </xf>
    <xf numFmtId="1" fontId="15" fillId="12" borderId="22" xfId="0" applyNumberFormat="1" applyFont="1" applyFill="1" applyBorder="1" applyAlignment="1">
      <alignment horizontal="center" vertical="center"/>
    </xf>
    <xf numFmtId="16" fontId="15" fillId="12" borderId="22" xfId="0" applyNumberFormat="1" applyFont="1" applyFill="1" applyBorder="1" applyAlignment="1">
      <alignment horizontal="center" vertical="center"/>
    </xf>
    <xf numFmtId="49" fontId="17" fillId="12" borderId="22" xfId="0" applyNumberFormat="1" applyFont="1" applyFill="1" applyBorder="1" applyAlignment="1">
      <alignment horizontal="center" vertical="center"/>
    </xf>
    <xf numFmtId="168" fontId="15" fillId="12" borderId="22" xfId="0" applyNumberFormat="1" applyFont="1" applyFill="1" applyBorder="1" applyAlignment="1">
      <alignment horizontal="center" vertical="center"/>
    </xf>
    <xf numFmtId="49" fontId="15" fillId="12" borderId="23" xfId="0" applyNumberFormat="1" applyFont="1" applyFill="1" applyBorder="1" applyAlignment="1">
      <alignment horizontal="center" vertical="center"/>
    </xf>
    <xf numFmtId="49" fontId="14" fillId="8" borderId="13" xfId="0" applyNumberFormat="1" applyFont="1" applyFill="1" applyBorder="1" applyAlignment="1">
      <alignment horizontal="center" vertical="center"/>
    </xf>
    <xf numFmtId="168" fontId="14" fillId="8" borderId="13" xfId="0" applyNumberFormat="1" applyFont="1" applyFill="1" applyBorder="1" applyAlignment="1">
      <alignment horizontal="center" vertical="center"/>
    </xf>
    <xf numFmtId="0" fontId="14" fillId="8" borderId="13" xfId="0" applyFont="1" applyFill="1" applyBorder="1" applyAlignment="1">
      <alignment horizontal="center" vertical="center"/>
    </xf>
    <xf numFmtId="49" fontId="10" fillId="13" borderId="13" xfId="0" applyNumberFormat="1" applyFont="1" applyFill="1" applyBorder="1" applyAlignment="1">
      <alignment horizontal="center" vertical="center"/>
    </xf>
    <xf numFmtId="168" fontId="10" fillId="13" borderId="13" xfId="0" applyNumberFormat="1" applyFont="1" applyFill="1" applyBorder="1" applyAlignment="1">
      <alignment horizontal="center" vertical="center"/>
    </xf>
    <xf numFmtId="0" fontId="10" fillId="13" borderId="13" xfId="0" applyFont="1" applyFill="1" applyBorder="1" applyAlignment="1">
      <alignment horizontal="center" vertical="center"/>
    </xf>
    <xf numFmtId="49" fontId="15" fillId="13" borderId="15" xfId="0" applyNumberFormat="1" applyFont="1" applyFill="1" applyBorder="1" applyAlignment="1">
      <alignment horizontal="center" vertical="center"/>
    </xf>
    <xf numFmtId="169" fontId="16" fillId="13" borderId="16" xfId="0" applyNumberFormat="1" applyFont="1" applyFill="1" applyBorder="1" applyAlignment="1">
      <alignment horizontal="center" vertical="center"/>
    </xf>
    <xf numFmtId="1" fontId="15" fillId="13" borderId="16" xfId="0" applyNumberFormat="1" applyFont="1" applyFill="1" applyBorder="1" applyAlignment="1">
      <alignment horizontal="center" vertical="center"/>
    </xf>
    <xf numFmtId="16" fontId="15" fillId="13" borderId="16" xfId="0" applyNumberFormat="1" applyFont="1" applyFill="1" applyBorder="1" applyAlignment="1">
      <alignment horizontal="center" vertical="center"/>
    </xf>
    <xf numFmtId="49" fontId="17" fillId="13" borderId="16" xfId="0" applyNumberFormat="1" applyFont="1" applyFill="1" applyBorder="1" applyAlignment="1">
      <alignment horizontal="center" vertical="center"/>
    </xf>
    <xf numFmtId="168" fontId="15" fillId="13" borderId="16" xfId="0" applyNumberFormat="1" applyFont="1" applyFill="1" applyBorder="1" applyAlignment="1">
      <alignment horizontal="center" vertical="center"/>
    </xf>
    <xf numFmtId="49" fontId="15" fillId="13" borderId="17" xfId="0" applyNumberFormat="1" applyFont="1" applyFill="1" applyBorder="1" applyAlignment="1">
      <alignment horizontal="center" vertical="center"/>
    </xf>
    <xf numFmtId="0" fontId="10" fillId="10" borderId="13" xfId="0" applyFont="1" applyFill="1" applyBorder="1" applyAlignment="1">
      <alignment horizontal="center" vertical="center"/>
    </xf>
    <xf numFmtId="0" fontId="0" fillId="0" borderId="0" xfId="0" applyAlignment="1">
      <alignment horizontal="center" vertical="center"/>
    </xf>
    <xf numFmtId="0" fontId="21" fillId="14" borderId="24" xfId="0" applyFont="1" applyFill="1" applyBorder="1" applyAlignment="1">
      <alignment horizontal="center" vertical="center"/>
    </xf>
    <xf numFmtId="0" fontId="21" fillId="14" borderId="25" xfId="0" applyFont="1" applyFill="1" applyBorder="1" applyAlignment="1">
      <alignment horizontal="center" vertical="center"/>
    </xf>
    <xf numFmtId="0" fontId="21" fillId="14" borderId="26" xfId="0" applyFont="1" applyFill="1" applyBorder="1" applyAlignment="1">
      <alignment horizontal="center" vertical="center"/>
    </xf>
    <xf numFmtId="0" fontId="22" fillId="0" borderId="27" xfId="0"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0" fontId="23" fillId="0" borderId="30" xfId="0" applyFont="1" applyBorder="1" applyAlignment="1">
      <alignment horizontal="center" vertical="center"/>
    </xf>
    <xf numFmtId="0" fontId="23" fillId="0" borderId="31" xfId="0" applyFont="1" applyBorder="1" applyAlignment="1">
      <alignment horizontal="center" vertical="center"/>
    </xf>
    <xf numFmtId="49" fontId="23" fillId="0" borderId="31" xfId="0" applyNumberFormat="1" applyFont="1" applyBorder="1" applyAlignment="1">
      <alignment horizontal="center" vertical="center"/>
    </xf>
    <xf numFmtId="0" fontId="23" fillId="0" borderId="32" xfId="0" applyFont="1" applyBorder="1" applyAlignment="1">
      <alignment horizontal="center" vertical="center"/>
    </xf>
    <xf numFmtId="171" fontId="22" fillId="0" borderId="27" xfId="0" applyNumberFormat="1" applyFont="1" applyBorder="1" applyAlignment="1">
      <alignment horizontal="center" vertical="center"/>
    </xf>
    <xf numFmtId="172" fontId="22" fillId="0" borderId="28" xfId="0" applyNumberFormat="1" applyFont="1" applyBorder="1" applyAlignment="1">
      <alignment horizontal="center" vertical="center"/>
    </xf>
    <xf numFmtId="171" fontId="22" fillId="0" borderId="30" xfId="0" applyNumberFormat="1" applyFont="1" applyBorder="1" applyAlignment="1">
      <alignment horizontal="center" vertical="center"/>
    </xf>
    <xf numFmtId="0" fontId="22" fillId="0" borderId="31" xfId="0" applyFont="1" applyBorder="1" applyAlignment="1">
      <alignment horizontal="center" vertical="center"/>
    </xf>
    <xf numFmtId="49" fontId="22" fillId="0" borderId="31" xfId="0" applyNumberFormat="1" applyFont="1" applyBorder="1" applyAlignment="1">
      <alignment horizontal="center" vertical="center"/>
    </xf>
    <xf numFmtId="172" fontId="22" fillId="0" borderId="31" xfId="0" applyNumberFormat="1" applyFont="1" applyBorder="1" applyAlignment="1">
      <alignment horizontal="center" vertical="center"/>
    </xf>
    <xf numFmtId="1" fontId="22" fillId="0" borderId="31" xfId="0" applyNumberFormat="1" applyFont="1" applyBorder="1" applyAlignment="1">
      <alignment horizontal="center" vertical="center"/>
    </xf>
    <xf numFmtId="0" fontId="22" fillId="0" borderId="32" xfId="0" applyFont="1" applyBorder="1" applyAlignment="1">
      <alignment horizontal="center" vertical="center"/>
    </xf>
    <xf numFmtId="171"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172"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1" fontId="23" fillId="0" borderId="30" xfId="0" applyNumberFormat="1" applyFont="1" applyBorder="1" applyAlignment="1">
      <alignment horizontal="center" vertical="center"/>
    </xf>
    <xf numFmtId="172" fontId="23" fillId="0" borderId="31" xfId="0" applyNumberFormat="1" applyFont="1" applyBorder="1" applyAlignment="1">
      <alignment horizontal="center" vertical="center"/>
    </xf>
    <xf numFmtId="1" fontId="23" fillId="0" borderId="31" xfId="0" applyNumberFormat="1" applyFont="1" applyBorder="1" applyAlignment="1">
      <alignment horizontal="center" vertical="center"/>
    </xf>
    <xf numFmtId="49" fontId="10" fillId="15" borderId="2" xfId="0" applyNumberFormat="1" applyFont="1" applyFill="1" applyBorder="1" applyAlignment="1">
      <alignment horizontal="center" vertical="center"/>
    </xf>
    <xf numFmtId="168" fontId="10" fillId="15" borderId="2" xfId="0" applyNumberFormat="1" applyFont="1" applyFill="1" applyBorder="1" applyAlignment="1">
      <alignment horizontal="center" vertical="center"/>
    </xf>
    <xf numFmtId="49" fontId="15" fillId="15" borderId="21" xfId="0" applyNumberFormat="1" applyFont="1" applyFill="1" applyBorder="1" applyAlignment="1">
      <alignment horizontal="center" vertical="center"/>
    </xf>
    <xf numFmtId="169" fontId="16" fillId="15" borderId="22" xfId="0" applyNumberFormat="1" applyFont="1" applyFill="1" applyBorder="1" applyAlignment="1">
      <alignment horizontal="center" vertical="center"/>
    </xf>
    <xf numFmtId="1" fontId="15" fillId="15" borderId="22" xfId="0" applyNumberFormat="1" applyFont="1" applyFill="1" applyBorder="1" applyAlignment="1">
      <alignment horizontal="center" vertical="center"/>
    </xf>
    <xf numFmtId="16" fontId="15" fillId="15" borderId="22" xfId="0" applyNumberFormat="1" applyFont="1" applyFill="1" applyBorder="1" applyAlignment="1">
      <alignment horizontal="center" vertical="center"/>
    </xf>
    <xf numFmtId="49" fontId="17" fillId="15" borderId="22" xfId="0" applyNumberFormat="1" applyFont="1" applyFill="1" applyBorder="1" applyAlignment="1">
      <alignment horizontal="center" vertical="center"/>
    </xf>
    <xf numFmtId="168" fontId="15" fillId="15" borderId="22" xfId="0" applyNumberFormat="1" applyFont="1" applyFill="1" applyBorder="1" applyAlignment="1">
      <alignment horizontal="center" vertical="center"/>
    </xf>
    <xf numFmtId="49" fontId="15" fillId="15" borderId="23" xfId="0" applyNumberFormat="1" applyFont="1" applyFill="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16" xfId="0" applyFont="1" applyBorder="1" applyAlignment="1">
      <alignment horizontal="center" vertical="center"/>
    </xf>
    <xf numFmtId="0" fontId="12" fillId="0" borderId="16" xfId="0" applyFont="1" applyBorder="1" applyAlignment="1">
      <alignment horizontal="center" vertical="center"/>
    </xf>
    <xf numFmtId="0" fontId="0" fillId="0" borderId="16" xfId="0" applyBorder="1" applyAlignment="1">
      <alignment horizontal="center" vertical="center"/>
    </xf>
    <xf numFmtId="0" fontId="10" fillId="15" borderId="2" xfId="0" applyFont="1" applyFill="1" applyBorder="1" applyAlignment="1">
      <alignment horizontal="center" vertical="center"/>
    </xf>
    <xf numFmtId="49"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0" fontId="10" fillId="16" borderId="2" xfId="0" applyFont="1" applyFill="1" applyBorder="1" applyAlignment="1">
      <alignment horizontal="center" vertical="center"/>
    </xf>
    <xf numFmtId="49" fontId="15" fillId="16" borderId="21" xfId="0" applyNumberFormat="1" applyFont="1" applyFill="1" applyBorder="1" applyAlignment="1">
      <alignment horizontal="center" vertical="center"/>
    </xf>
    <xf numFmtId="169" fontId="16" fillId="16" borderId="22" xfId="0" applyNumberFormat="1" applyFont="1" applyFill="1" applyBorder="1" applyAlignment="1">
      <alignment horizontal="center" vertical="center"/>
    </xf>
    <xf numFmtId="1" fontId="15" fillId="16" borderId="22" xfId="0" applyNumberFormat="1" applyFont="1" applyFill="1" applyBorder="1" applyAlignment="1">
      <alignment horizontal="center" vertical="center"/>
    </xf>
    <xf numFmtId="16" fontId="15" fillId="16" borderId="22" xfId="0" applyNumberFormat="1" applyFont="1" applyFill="1" applyBorder="1" applyAlignment="1">
      <alignment horizontal="center" vertical="center"/>
    </xf>
    <xf numFmtId="49" fontId="17" fillId="16" borderId="22" xfId="0" applyNumberFormat="1" applyFont="1" applyFill="1" applyBorder="1" applyAlignment="1">
      <alignment horizontal="center" vertical="center"/>
    </xf>
    <xf numFmtId="168" fontId="15" fillId="16" borderId="22" xfId="0" applyNumberFormat="1" applyFont="1" applyFill="1" applyBorder="1" applyAlignment="1">
      <alignment horizontal="center" vertical="center"/>
    </xf>
    <xf numFmtId="49" fontId="15" fillId="16" borderId="23" xfId="0" applyNumberFormat="1" applyFont="1" applyFill="1" applyBorder="1" applyAlignment="1">
      <alignment horizontal="center" vertical="center"/>
    </xf>
    <xf numFmtId="49" fontId="10" fillId="17" borderId="2" xfId="0" applyNumberFormat="1" applyFont="1" applyFill="1" applyBorder="1" applyAlignment="1">
      <alignment horizontal="center" vertical="center"/>
    </xf>
    <xf numFmtId="168" fontId="10" fillId="17" borderId="2" xfId="0" applyNumberFormat="1" applyFont="1" applyFill="1" applyBorder="1" applyAlignment="1">
      <alignment horizontal="center" vertical="center"/>
    </xf>
    <xf numFmtId="0" fontId="10" fillId="17" borderId="2" xfId="0" applyFont="1" applyFill="1" applyBorder="1" applyAlignment="1">
      <alignment horizontal="center" vertical="center"/>
    </xf>
    <xf numFmtId="49" fontId="15" fillId="17" borderId="21" xfId="0" applyNumberFormat="1" applyFont="1" applyFill="1" applyBorder="1" applyAlignment="1">
      <alignment horizontal="center" vertical="center"/>
    </xf>
    <xf numFmtId="169" fontId="16" fillId="17" borderId="22" xfId="0" applyNumberFormat="1" applyFont="1" applyFill="1" applyBorder="1" applyAlignment="1">
      <alignment horizontal="center" vertical="center"/>
    </xf>
    <xf numFmtId="1" fontId="15" fillId="17" borderId="22" xfId="0" applyNumberFormat="1" applyFont="1" applyFill="1" applyBorder="1" applyAlignment="1">
      <alignment horizontal="center" vertical="center"/>
    </xf>
    <xf numFmtId="16" fontId="15" fillId="17" borderId="22" xfId="0" applyNumberFormat="1" applyFont="1" applyFill="1" applyBorder="1" applyAlignment="1">
      <alignment horizontal="center" vertical="center"/>
    </xf>
    <xf numFmtId="49" fontId="17" fillId="17" borderId="22" xfId="0" applyNumberFormat="1" applyFont="1" applyFill="1" applyBorder="1" applyAlignment="1">
      <alignment horizontal="center" vertical="center"/>
    </xf>
    <xf numFmtId="168" fontId="15" fillId="17" borderId="22" xfId="0" applyNumberFormat="1" applyFont="1" applyFill="1" applyBorder="1" applyAlignment="1">
      <alignment horizontal="center" vertical="center"/>
    </xf>
    <xf numFmtId="49" fontId="15" fillId="17" borderId="23" xfId="0" applyNumberFormat="1" applyFont="1" applyFill="1" applyBorder="1" applyAlignment="1">
      <alignment horizontal="center" vertical="center"/>
    </xf>
    <xf numFmtId="49" fontId="10" fillId="11" borderId="2" xfId="0" applyNumberFormat="1" applyFont="1" applyFill="1" applyBorder="1" applyAlignment="1">
      <alignment horizontal="center" vertical="center"/>
    </xf>
    <xf numFmtId="168" fontId="10" fillId="11" borderId="2" xfId="0" applyNumberFormat="1" applyFont="1" applyFill="1" applyBorder="1" applyAlignment="1">
      <alignment horizontal="center" vertical="center"/>
    </xf>
    <xf numFmtId="0" fontId="10" fillId="11" borderId="2" xfId="0" applyFont="1" applyFill="1" applyBorder="1" applyAlignment="1">
      <alignment horizontal="center" vertical="center"/>
    </xf>
    <xf numFmtId="49" fontId="15" fillId="11" borderId="21" xfId="0" applyNumberFormat="1" applyFont="1" applyFill="1" applyBorder="1" applyAlignment="1">
      <alignment horizontal="center" vertical="center"/>
    </xf>
    <xf numFmtId="169" fontId="16" fillId="11" borderId="22" xfId="0" applyNumberFormat="1" applyFont="1" applyFill="1" applyBorder="1" applyAlignment="1">
      <alignment horizontal="center" vertical="center"/>
    </xf>
    <xf numFmtId="1" fontId="15" fillId="11" borderId="22" xfId="0" applyNumberFormat="1" applyFont="1" applyFill="1" applyBorder="1" applyAlignment="1">
      <alignment horizontal="center" vertical="center"/>
    </xf>
    <xf numFmtId="16" fontId="15" fillId="11" borderId="22" xfId="0" applyNumberFormat="1" applyFont="1" applyFill="1" applyBorder="1" applyAlignment="1">
      <alignment horizontal="center" vertical="center"/>
    </xf>
    <xf numFmtId="49" fontId="17" fillId="11" borderId="22" xfId="0" applyNumberFormat="1" applyFont="1" applyFill="1" applyBorder="1" applyAlignment="1">
      <alignment horizontal="center" vertical="center"/>
    </xf>
    <xf numFmtId="168" fontId="15" fillId="11" borderId="22" xfId="0" applyNumberFormat="1" applyFont="1" applyFill="1" applyBorder="1" applyAlignment="1">
      <alignment horizontal="center" vertical="center"/>
    </xf>
    <xf numFmtId="49" fontId="15" fillId="11" borderId="23" xfId="0" applyNumberFormat="1" applyFont="1" applyFill="1" applyBorder="1" applyAlignment="1">
      <alignment horizontal="center" vertical="center"/>
    </xf>
    <xf numFmtId="0" fontId="23" fillId="0" borderId="27" xfId="0" applyFont="1" applyBorder="1" applyAlignment="1">
      <alignment horizontal="center" vertical="center"/>
    </xf>
    <xf numFmtId="0" fontId="0" fillId="0" borderId="27" xfId="0" applyBorder="1"/>
    <xf numFmtId="0" fontId="0" fillId="0" borderId="28" xfId="0" applyBorder="1"/>
    <xf numFmtId="0" fontId="24" fillId="0" borderId="28" xfId="0" applyFont="1" applyBorder="1" applyAlignment="1">
      <alignment horizontal="center" vertical="center"/>
    </xf>
    <xf numFmtId="0" fontId="0" fillId="0" borderId="29" xfId="0" applyBorder="1"/>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49" fontId="15" fillId="13" borderId="21" xfId="0" applyNumberFormat="1" applyFont="1" applyFill="1" applyBorder="1" applyAlignment="1">
      <alignment horizontal="center" vertical="center"/>
    </xf>
    <xf numFmtId="169" fontId="16" fillId="13" borderId="22" xfId="0" applyNumberFormat="1" applyFont="1" applyFill="1" applyBorder="1" applyAlignment="1">
      <alignment horizontal="center" vertical="center"/>
    </xf>
    <xf numFmtId="1" fontId="15" fillId="13" borderId="22" xfId="0" applyNumberFormat="1" applyFont="1" applyFill="1" applyBorder="1" applyAlignment="1">
      <alignment horizontal="center" vertical="center"/>
    </xf>
    <xf numFmtId="16" fontId="15" fillId="13" borderId="22" xfId="0" applyNumberFormat="1" applyFont="1" applyFill="1" applyBorder="1" applyAlignment="1">
      <alignment horizontal="center" vertical="center"/>
    </xf>
    <xf numFmtId="49" fontId="17" fillId="13" borderId="22" xfId="0" applyNumberFormat="1" applyFont="1" applyFill="1" applyBorder="1" applyAlignment="1">
      <alignment horizontal="center" vertical="center"/>
    </xf>
    <xf numFmtId="168" fontId="15" fillId="13" borderId="22" xfId="0" applyNumberFormat="1" applyFont="1" applyFill="1" applyBorder="1" applyAlignment="1">
      <alignment horizontal="center" vertical="center"/>
    </xf>
    <xf numFmtId="49" fontId="15" fillId="13" borderId="23" xfId="0" applyNumberFormat="1" applyFont="1" applyFill="1" applyBorder="1" applyAlignment="1">
      <alignment horizontal="center" vertical="center"/>
    </xf>
    <xf numFmtId="169" fontId="25" fillId="11" borderId="22" xfId="0" applyNumberFormat="1" applyFont="1" applyFill="1" applyBorder="1" applyAlignment="1">
      <alignment horizontal="center" vertical="center"/>
    </xf>
    <xf numFmtId="169" fontId="15" fillId="10" borderId="22" xfId="0" applyNumberFormat="1" applyFont="1" applyFill="1" applyBorder="1" applyAlignment="1">
      <alignment horizontal="center" vertical="center"/>
    </xf>
    <xf numFmtId="0" fontId="22" fillId="0" borderId="30" xfId="0" applyFont="1" applyBorder="1" applyAlignment="1">
      <alignment horizontal="center" vertical="center"/>
    </xf>
    <xf numFmtId="49" fontId="14" fillId="16" borderId="2" xfId="0" applyNumberFormat="1" applyFont="1" applyFill="1" applyBorder="1" applyAlignment="1">
      <alignment horizontal="center" vertical="center"/>
    </xf>
    <xf numFmtId="168" fontId="14" fillId="16" borderId="2"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8" fontId="14" fillId="11" borderId="2"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8" fontId="14" fillId="13" borderId="2" xfId="0" applyNumberFormat="1" applyFont="1" applyFill="1" applyBorder="1" applyAlignment="1">
      <alignment horizontal="center" vertical="center"/>
    </xf>
    <xf numFmtId="169" fontId="15" fillId="13" borderId="22"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8" fontId="14" fillId="15" borderId="2" xfId="0" applyNumberFormat="1" applyFont="1" applyFill="1" applyBorder="1" applyAlignment="1">
      <alignment horizontal="center" vertical="center"/>
    </xf>
    <xf numFmtId="169" fontId="15" fillId="15" borderId="22"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0" fontId="14" fillId="12" borderId="2" xfId="0" applyFont="1" applyFill="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49" fontId="15" fillId="8" borderId="21" xfId="0" applyNumberFormat="1" applyFont="1" applyFill="1" applyBorder="1" applyAlignment="1">
      <alignment horizontal="center" vertical="center"/>
    </xf>
    <xf numFmtId="169" fontId="15" fillId="8" borderId="22" xfId="0" applyNumberFormat="1" applyFont="1" applyFill="1" applyBorder="1" applyAlignment="1">
      <alignment horizontal="center" vertical="center"/>
    </xf>
    <xf numFmtId="1" fontId="15" fillId="8" borderId="22" xfId="0" applyNumberFormat="1" applyFont="1" applyFill="1" applyBorder="1" applyAlignment="1">
      <alignment horizontal="center" vertical="center"/>
    </xf>
    <xf numFmtId="16" fontId="15" fillId="8" borderId="22" xfId="0" applyNumberFormat="1" applyFont="1" applyFill="1" applyBorder="1" applyAlignment="1">
      <alignment horizontal="center" vertical="center"/>
    </xf>
    <xf numFmtId="49" fontId="17" fillId="8" borderId="22" xfId="0" applyNumberFormat="1" applyFont="1" applyFill="1" applyBorder="1" applyAlignment="1">
      <alignment horizontal="center" vertical="center"/>
    </xf>
    <xf numFmtId="168" fontId="15" fillId="8" borderId="22" xfId="0" applyNumberFormat="1" applyFont="1" applyFill="1" applyBorder="1" applyAlignment="1">
      <alignment horizontal="center" vertical="center"/>
    </xf>
    <xf numFmtId="49" fontId="15" fillId="8" borderId="23"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8" fontId="14" fillId="10" borderId="2" xfId="0" applyNumberFormat="1" applyFont="1" applyFill="1" applyBorder="1" applyAlignment="1">
      <alignment horizontal="center" vertical="center"/>
    </xf>
    <xf numFmtId="169" fontId="15" fillId="11" borderId="22" xfId="0" applyNumberFormat="1" applyFont="1" applyFill="1" applyBorder="1" applyAlignment="1">
      <alignment horizontal="center" vertical="center"/>
    </xf>
    <xf numFmtId="169" fontId="15" fillId="16" borderId="22" xfId="0" applyNumberFormat="1" applyFont="1" applyFill="1" applyBorder="1" applyAlignment="1">
      <alignment horizontal="center" vertical="center"/>
    </xf>
    <xf numFmtId="49" fontId="14" fillId="17" borderId="2" xfId="0" applyNumberFormat="1" applyFont="1" applyFill="1" applyBorder="1" applyAlignment="1">
      <alignment horizontal="center" vertical="center"/>
    </xf>
    <xf numFmtId="168" fontId="14" fillId="17" borderId="2" xfId="0" applyNumberFormat="1" applyFont="1" applyFill="1" applyBorder="1" applyAlignment="1">
      <alignment horizontal="center" vertical="center"/>
    </xf>
    <xf numFmtId="0" fontId="14" fillId="17" borderId="2" xfId="0" applyFont="1" applyFill="1" applyBorder="1" applyAlignment="1">
      <alignment horizontal="center" vertical="center"/>
    </xf>
    <xf numFmtId="169" fontId="15" fillId="12" borderId="22" xfId="0" applyNumberFormat="1" applyFont="1" applyFill="1" applyBorder="1" applyAlignment="1">
      <alignment horizontal="center" vertical="center"/>
    </xf>
    <xf numFmtId="0" fontId="14" fillId="13" borderId="2" xfId="0" applyFont="1" applyFill="1" applyBorder="1" applyAlignment="1">
      <alignment horizontal="center" vertical="center"/>
    </xf>
    <xf numFmtId="49" fontId="14" fillId="8" borderId="2" xfId="0" applyNumberFormat="1" applyFont="1" applyFill="1" applyBorder="1" applyAlignment="1">
      <alignment horizontal="center" vertical="center"/>
    </xf>
    <xf numFmtId="168" fontId="14" fillId="8" borderId="2" xfId="0" applyNumberFormat="1" applyFont="1" applyFill="1" applyBorder="1" applyAlignment="1">
      <alignment horizontal="center" vertical="center"/>
    </xf>
    <xf numFmtId="0" fontId="14" fillId="8" borderId="2" xfId="0" applyFont="1" applyFill="1" applyBorder="1" applyAlignment="1">
      <alignment horizontal="center" vertical="center"/>
    </xf>
    <xf numFmtId="169" fontId="16" fillId="8" borderId="22" xfId="0" applyNumberFormat="1" applyFont="1" applyFill="1" applyBorder="1" applyAlignment="1">
      <alignment horizontal="center" vertical="center"/>
    </xf>
    <xf numFmtId="0" fontId="14" fillId="15" borderId="2" xfId="0" applyFont="1" applyFill="1" applyBorder="1" applyAlignment="1">
      <alignment horizontal="center" vertical="center"/>
    </xf>
    <xf numFmtId="0" fontId="14" fillId="10" borderId="2" xfId="0" applyFont="1" applyFill="1" applyBorder="1" applyAlignment="1">
      <alignment horizontal="center" vertical="center"/>
    </xf>
    <xf numFmtId="0" fontId="14" fillId="16" borderId="2" xfId="0" applyFont="1" applyFill="1" applyBorder="1" applyAlignment="1">
      <alignment horizontal="center" vertical="center"/>
    </xf>
    <xf numFmtId="169" fontId="15" fillId="17" borderId="22" xfId="0" applyNumberFormat="1" applyFont="1" applyFill="1" applyBorder="1" applyAlignment="1">
      <alignment horizontal="center" vertical="center"/>
    </xf>
    <xf numFmtId="0" fontId="14" fillId="11" borderId="2" xfId="0" applyFont="1" applyFill="1" applyBorder="1" applyAlignment="1">
      <alignment horizontal="center" vertical="center"/>
    </xf>
    <xf numFmtId="49" fontId="10" fillId="0" borderId="13" xfId="0" applyNumberFormat="1" applyFont="1" applyBorder="1" applyAlignment="1">
      <alignment horizontal="center" vertical="center"/>
    </xf>
    <xf numFmtId="168" fontId="10" fillId="0" borderId="13" xfId="0" applyNumberFormat="1" applyFont="1" applyBorder="1" applyAlignment="1">
      <alignment horizontal="center" vertical="center"/>
    </xf>
    <xf numFmtId="0" fontId="10" fillId="13" borderId="2" xfId="0" applyFont="1" applyFill="1" applyBorder="1" applyAlignment="1">
      <alignment horizontal="center" vertical="center"/>
    </xf>
    <xf numFmtId="0" fontId="10" fillId="8" borderId="2" xfId="0" applyFont="1" applyFill="1" applyBorder="1" applyAlignment="1">
      <alignment horizontal="center" vertical="center"/>
    </xf>
    <xf numFmtId="0" fontId="10" fillId="10" borderId="2" xfId="0" applyFont="1" applyFill="1" applyBorder="1" applyAlignment="1">
      <alignment horizontal="center" vertical="center"/>
    </xf>
    <xf numFmtId="169" fontId="25" fillId="13" borderId="22" xfId="0" applyNumberFormat="1" applyFont="1" applyFill="1" applyBorder="1" applyAlignment="1">
      <alignment horizontal="center" vertical="center"/>
    </xf>
    <xf numFmtId="49" fontId="15" fillId="17" borderId="15" xfId="0" applyNumberFormat="1" applyFont="1" applyFill="1" applyBorder="1" applyAlignment="1">
      <alignment horizontal="center" vertical="center"/>
    </xf>
    <xf numFmtId="169" fontId="25" fillId="17" borderId="16" xfId="0" applyNumberFormat="1" applyFont="1" applyFill="1" applyBorder="1" applyAlignment="1">
      <alignment horizontal="center" vertical="center"/>
    </xf>
    <xf numFmtId="1" fontId="15" fillId="17" borderId="16" xfId="0" applyNumberFormat="1" applyFont="1" applyFill="1" applyBorder="1" applyAlignment="1">
      <alignment horizontal="center" vertical="center"/>
    </xf>
    <xf numFmtId="16" fontId="15" fillId="17" borderId="16" xfId="0" applyNumberFormat="1" applyFont="1" applyFill="1" applyBorder="1" applyAlignment="1">
      <alignment horizontal="center" vertical="center"/>
    </xf>
    <xf numFmtId="49" fontId="17" fillId="17" borderId="16" xfId="0" applyNumberFormat="1" applyFont="1" applyFill="1" applyBorder="1" applyAlignment="1">
      <alignment horizontal="center" vertical="center"/>
    </xf>
    <xf numFmtId="168" fontId="15" fillId="17" borderId="16" xfId="0" applyNumberFormat="1" applyFont="1" applyFill="1" applyBorder="1" applyAlignment="1">
      <alignment horizontal="center" vertical="center"/>
    </xf>
    <xf numFmtId="49" fontId="15" fillId="17" borderId="17" xfId="0" applyNumberFormat="1" applyFont="1" applyFill="1" applyBorder="1" applyAlignment="1">
      <alignment horizontal="center" vertical="center"/>
    </xf>
    <xf numFmtId="169" fontId="25" fillId="15" borderId="22" xfId="0" applyNumberFormat="1" applyFont="1" applyFill="1" applyBorder="1" applyAlignment="1">
      <alignment horizontal="center" vertical="center"/>
    </xf>
    <xf numFmtId="169" fontId="25" fillId="8" borderId="16" xfId="0" applyNumberFormat="1" applyFont="1" applyFill="1" applyBorder="1" applyAlignment="1">
      <alignment horizontal="center" vertical="center"/>
    </xf>
    <xf numFmtId="49" fontId="10" fillId="0" borderId="2" xfId="0" applyNumberFormat="1" applyFont="1" applyBorder="1" applyAlignment="1">
      <alignment horizontal="center" vertical="center"/>
    </xf>
    <xf numFmtId="168" fontId="10" fillId="0" borderId="2" xfId="0" applyNumberFormat="1" applyFont="1" applyBorder="1" applyAlignment="1">
      <alignment horizontal="center" vertical="center"/>
    </xf>
    <xf numFmtId="0" fontId="6" fillId="0" borderId="0" xfId="0" applyFont="1"/>
    <xf numFmtId="0" fontId="19" fillId="0" borderId="0" xfId="0" applyFont="1"/>
    <xf numFmtId="0" fontId="26" fillId="0" borderId="0" xfId="0" applyFont="1"/>
    <xf numFmtId="0" fontId="21" fillId="14" borderId="5" xfId="0" applyFont="1" applyFill="1" applyBorder="1" applyAlignment="1">
      <alignment horizontal="center" vertical="center"/>
    </xf>
    <xf numFmtId="169" fontId="25" fillId="16" borderId="22" xfId="0" applyNumberFormat="1" applyFont="1" applyFill="1" applyBorder="1" applyAlignment="1">
      <alignment horizontal="center" vertical="center"/>
    </xf>
    <xf numFmtId="169" fontId="25" fillId="8" borderId="22" xfId="0" applyNumberFormat="1" applyFont="1" applyFill="1" applyBorder="1" applyAlignment="1">
      <alignment horizontal="center" vertical="center"/>
    </xf>
    <xf numFmtId="169" fontId="25" fillId="17" borderId="22" xfId="0" applyNumberFormat="1" applyFont="1" applyFill="1" applyBorder="1" applyAlignment="1">
      <alignment horizontal="center" vertical="center"/>
    </xf>
    <xf numFmtId="169" fontId="25" fillId="12" borderId="22" xfId="0" applyNumberFormat="1" applyFont="1" applyFill="1" applyBorder="1" applyAlignment="1">
      <alignment horizontal="center" vertical="center"/>
    </xf>
    <xf numFmtId="169" fontId="25" fillId="10" borderId="22" xfId="0" applyNumberFormat="1" applyFont="1" applyFill="1" applyBorder="1" applyAlignment="1">
      <alignment horizontal="center" vertical="center"/>
    </xf>
    <xf numFmtId="169" fontId="15" fillId="10" borderId="16" xfId="0" applyNumberFormat="1" applyFont="1" applyFill="1" applyBorder="1" applyAlignment="1">
      <alignment horizontal="center" vertical="center"/>
    </xf>
    <xf numFmtId="169" fontId="15" fillId="8" borderId="16" xfId="0" applyNumberFormat="1" applyFont="1" applyFill="1" applyBorder="1" applyAlignment="1">
      <alignment horizontal="center" vertical="center"/>
    </xf>
    <xf numFmtId="49" fontId="15" fillId="12" borderId="15" xfId="0" applyNumberFormat="1" applyFont="1" applyFill="1" applyBorder="1" applyAlignment="1">
      <alignment horizontal="center" vertical="center"/>
    </xf>
    <xf numFmtId="169" fontId="25" fillId="12" borderId="16" xfId="0" applyNumberFormat="1" applyFont="1" applyFill="1" applyBorder="1" applyAlignment="1">
      <alignment horizontal="center" vertical="center"/>
    </xf>
    <xf numFmtId="1" fontId="15" fillId="12" borderId="16" xfId="0" applyNumberFormat="1" applyFont="1" applyFill="1" applyBorder="1" applyAlignment="1">
      <alignment horizontal="center" vertical="center"/>
    </xf>
    <xf numFmtId="16" fontId="15" fillId="12" borderId="16" xfId="0" applyNumberFormat="1" applyFont="1" applyFill="1" applyBorder="1" applyAlignment="1">
      <alignment horizontal="center" vertical="center"/>
    </xf>
    <xf numFmtId="49" fontId="17" fillId="12" borderId="16" xfId="0" applyNumberFormat="1" applyFont="1" applyFill="1" applyBorder="1" applyAlignment="1">
      <alignment horizontal="center" vertical="center"/>
    </xf>
    <xf numFmtId="168" fontId="15" fillId="12" borderId="16" xfId="0" applyNumberFormat="1" applyFont="1" applyFill="1" applyBorder="1" applyAlignment="1">
      <alignment horizontal="center" vertical="center"/>
    </xf>
    <xf numFmtId="49" fontId="15" fillId="12" borderId="17" xfId="0" applyNumberFormat="1" applyFont="1" applyFill="1" applyBorder="1" applyAlignment="1">
      <alignment horizontal="center" vertical="center"/>
    </xf>
    <xf numFmtId="169" fontId="15" fillId="17" borderId="16" xfId="0" applyNumberFormat="1" applyFont="1" applyFill="1" applyBorder="1" applyAlignment="1">
      <alignment horizontal="center" vertical="center"/>
    </xf>
    <xf numFmtId="49" fontId="15" fillId="16" borderId="15" xfId="0" applyNumberFormat="1" applyFont="1" applyFill="1" applyBorder="1" applyAlignment="1">
      <alignment horizontal="center" vertical="center"/>
    </xf>
    <xf numFmtId="169" fontId="25" fillId="16" borderId="16" xfId="0" applyNumberFormat="1" applyFont="1" applyFill="1" applyBorder="1" applyAlignment="1">
      <alignment horizontal="center" vertical="center"/>
    </xf>
    <xf numFmtId="1" fontId="15" fillId="16" borderId="16" xfId="0" applyNumberFormat="1" applyFont="1" applyFill="1" applyBorder="1" applyAlignment="1">
      <alignment horizontal="center" vertical="center"/>
    </xf>
    <xf numFmtId="16" fontId="15" fillId="16" borderId="16" xfId="0" applyNumberFormat="1" applyFont="1" applyFill="1" applyBorder="1" applyAlignment="1">
      <alignment horizontal="center" vertical="center"/>
    </xf>
    <xf numFmtId="49" fontId="17" fillId="16" borderId="16" xfId="0" applyNumberFormat="1" applyFont="1" applyFill="1" applyBorder="1" applyAlignment="1">
      <alignment horizontal="center" vertical="center"/>
    </xf>
    <xf numFmtId="168" fontId="15" fillId="16" borderId="16" xfId="0" applyNumberFormat="1" applyFont="1" applyFill="1" applyBorder="1" applyAlignment="1">
      <alignment horizontal="center" vertical="center"/>
    </xf>
    <xf numFmtId="49" fontId="15" fillId="16" borderId="17" xfId="0" applyNumberFormat="1" applyFont="1" applyFill="1" applyBorder="1" applyAlignment="1">
      <alignment horizontal="center" vertical="center"/>
    </xf>
    <xf numFmtId="169" fontId="15" fillId="11" borderId="16" xfId="0" applyNumberFormat="1" applyFont="1" applyFill="1" applyBorder="1" applyAlignment="1">
      <alignment horizontal="center" vertical="center"/>
    </xf>
    <xf numFmtId="169" fontId="16" fillId="16" borderId="16" xfId="0" applyNumberFormat="1" applyFont="1" applyFill="1" applyBorder="1" applyAlignment="1">
      <alignment horizontal="center" vertical="center"/>
    </xf>
    <xf numFmtId="169" fontId="16" fillId="17" borderId="16" xfId="0" applyNumberFormat="1" applyFont="1" applyFill="1" applyBorder="1" applyAlignment="1">
      <alignment horizontal="center" vertical="center"/>
    </xf>
    <xf numFmtId="49" fontId="10" fillId="15" borderId="13" xfId="0" applyNumberFormat="1" applyFont="1" applyFill="1" applyBorder="1" applyAlignment="1">
      <alignment horizontal="center" vertical="center"/>
    </xf>
    <xf numFmtId="168" fontId="10" fillId="15" borderId="13" xfId="0" applyNumberFormat="1" applyFont="1" applyFill="1" applyBorder="1" applyAlignment="1">
      <alignment horizontal="center" vertical="center"/>
    </xf>
    <xf numFmtId="0" fontId="10" fillId="15" borderId="13" xfId="0" applyFont="1" applyFill="1" applyBorder="1" applyAlignment="1">
      <alignment horizontal="center" vertical="center"/>
    </xf>
    <xf numFmtId="49" fontId="15" fillId="15" borderId="15" xfId="0" applyNumberFormat="1" applyFont="1" applyFill="1" applyBorder="1" applyAlignment="1">
      <alignment horizontal="center" vertical="center"/>
    </xf>
    <xf numFmtId="169" fontId="16" fillId="15" borderId="16" xfId="0" applyNumberFormat="1" applyFont="1" applyFill="1" applyBorder="1" applyAlignment="1">
      <alignment horizontal="center" vertical="center"/>
    </xf>
    <xf numFmtId="1" fontId="15" fillId="15" borderId="16" xfId="0" applyNumberFormat="1" applyFont="1" applyFill="1" applyBorder="1" applyAlignment="1">
      <alignment horizontal="center" vertical="center"/>
    </xf>
    <xf numFmtId="16" fontId="15" fillId="15" borderId="16" xfId="0" applyNumberFormat="1" applyFont="1" applyFill="1" applyBorder="1" applyAlignment="1">
      <alignment horizontal="center" vertical="center"/>
    </xf>
    <xf numFmtId="49" fontId="17" fillId="15" borderId="16" xfId="0" applyNumberFormat="1" applyFont="1" applyFill="1" applyBorder="1" applyAlignment="1">
      <alignment horizontal="center" vertical="center"/>
    </xf>
    <xf numFmtId="168" fontId="15" fillId="15" borderId="16" xfId="0" applyNumberFormat="1" applyFont="1" applyFill="1" applyBorder="1" applyAlignment="1">
      <alignment horizontal="center" vertical="center"/>
    </xf>
    <xf numFmtId="49" fontId="15" fillId="15" borderId="17" xfId="0" applyNumberFormat="1" applyFont="1" applyFill="1" applyBorder="1" applyAlignment="1">
      <alignment horizontal="center" vertical="center"/>
    </xf>
    <xf numFmtId="49" fontId="10" fillId="16" borderId="13" xfId="0" applyNumberFormat="1" applyFont="1" applyFill="1" applyBorder="1" applyAlignment="1">
      <alignment horizontal="center" vertical="center"/>
    </xf>
    <xf numFmtId="168" fontId="10" fillId="16" borderId="13" xfId="0" applyNumberFormat="1" applyFont="1" applyFill="1" applyBorder="1" applyAlignment="1">
      <alignment horizontal="center" vertical="center"/>
    </xf>
    <xf numFmtId="169" fontId="15" fillId="16" borderId="16" xfId="0" applyNumberFormat="1" applyFont="1" applyFill="1" applyBorder="1" applyAlignment="1">
      <alignment horizontal="center" vertical="center"/>
    </xf>
    <xf numFmtId="169" fontId="15" fillId="13" borderId="16" xfId="0" applyNumberFormat="1" applyFont="1" applyFill="1" applyBorder="1" applyAlignment="1">
      <alignment horizontal="center" vertical="center"/>
    </xf>
    <xf numFmtId="49" fontId="10" fillId="17" borderId="13" xfId="0" applyNumberFormat="1" applyFont="1" applyFill="1" applyBorder="1" applyAlignment="1">
      <alignment horizontal="center" vertical="center"/>
    </xf>
    <xf numFmtId="168" fontId="10" fillId="17" borderId="13" xfId="0" applyNumberFormat="1" applyFont="1" applyFill="1" applyBorder="1" applyAlignment="1">
      <alignment horizontal="center" vertical="center"/>
    </xf>
    <xf numFmtId="166" fontId="0" fillId="0" borderId="0" xfId="0" applyNumberFormat="1"/>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0" fontId="20" fillId="0" borderId="7" xfId="0" applyFont="1" applyBorder="1"/>
    <xf numFmtId="0" fontId="0" fillId="0" borderId="12" xfId="0" applyBorder="1"/>
    <xf numFmtId="0" fontId="0" fillId="0" borderId="14" xfId="0" applyBorder="1"/>
    <xf numFmtId="49" fontId="5" fillId="4" borderId="2"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0" fillId="0" borderId="0" xfId="0"/>
    <xf numFmtId="0" fontId="1" fillId="2" borderId="0" xfId="0" applyFont="1" applyFill="1" applyAlignment="1">
      <alignment horizontal="center" vertical="center"/>
    </xf>
    <xf numFmtId="0" fontId="0" fillId="0" borderId="7" xfId="0" applyBorder="1"/>
    <xf numFmtId="0" fontId="7" fillId="4" borderId="2" xfId="0" applyFont="1" applyFill="1" applyBorder="1" applyAlignment="1">
      <alignment horizontal="center" vertical="center"/>
    </xf>
    <xf numFmtId="0" fontId="3" fillId="3" borderId="0" xfId="0" applyFont="1" applyFill="1" applyAlignment="1">
      <alignment horizontal="right" vertical="center"/>
    </xf>
    <xf numFmtId="0" fontId="4" fillId="0" borderId="0" xfId="0" applyFont="1" applyAlignment="1">
      <alignment horizontal="right" vertical="center" readingOrder="2"/>
    </xf>
    <xf numFmtId="167"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165" fontId="2" fillId="2" borderId="0" xfId="0" applyNumberFormat="1" applyFont="1" applyFill="1" applyAlignment="1">
      <alignment horizontal="left" vertical="center"/>
    </xf>
    <xf numFmtId="18" fontId="3" fillId="3" borderId="0" xfId="0" applyNumberFormat="1" applyFont="1" applyFill="1" applyAlignment="1">
      <alignment horizontal="left" vertical="center"/>
    </xf>
    <xf numFmtId="49" fontId="24" fillId="0" borderId="33" xfId="0" applyNumberFormat="1" applyFont="1" applyBorder="1" applyAlignment="1">
      <alignment horizontal="center" vertical="center"/>
    </xf>
    <xf numFmtId="0" fontId="0" fillId="0" borderId="34" xfId="0" applyBorder="1"/>
    <xf numFmtId="0" fontId="0" fillId="0" borderId="35" xfId="0" applyBorder="1"/>
    <xf numFmtId="0" fontId="31" fillId="0" borderId="0" xfId="0" applyFont="1" applyAlignment="1">
      <alignment horizontal="center" vertical="center"/>
    </xf>
    <xf numFmtId="0" fontId="31" fillId="0" borderId="0" xfId="0" applyFont="1"/>
    <xf numFmtId="170"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8" fontId="31" fillId="0" borderId="0" xfId="0" applyNumberFormat="1" applyFont="1" applyAlignment="1">
      <alignment horizontal="center" vertical="center"/>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9"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18" fillId="9" borderId="36" xfId="0" applyFont="1" applyFill="1" applyBorder="1" applyAlignment="1">
      <alignment horizontal="center" vertical="center"/>
    </xf>
    <xf numFmtId="0" fontId="18" fillId="9" borderId="37" xfId="0" applyFont="1" applyFill="1" applyBorder="1" applyAlignment="1">
      <alignment horizontal="center" vertical="center"/>
    </xf>
    <xf numFmtId="0" fontId="18" fillId="9" borderId="38" xfId="0" applyFont="1" applyFill="1" applyBorder="1" applyAlignment="1">
      <alignment horizontal="center" vertical="center"/>
    </xf>
  </cellXfs>
  <cellStyles count="1">
    <cellStyle name="Normal" xfId="0" builtinId="0"/>
  </cellStyles>
  <dxfs count="1575">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I_MED_LF_LEGACY" displayName="CAI_MED_LF_LEGACY" ref="A1:AJ11" totalsRowCount="1" headerRowDxfId="1574" dataDxfId="1537" totalsRowDxfId="1500">
  <tableColumns count="36">
    <tableColumn id="1" xr3:uid="{00000000-0010-0000-0000-000001000000}" name="Day" totalsRowLabel="TOTAL" dataDxfId="1573" totalsRowDxfId="1536"/>
    <tableColumn id="2" xr3:uid="{00000000-0010-0000-0000-000002000000}" name="Flt Dt" dataDxfId="1572" totalsRowDxfId="1535"/>
    <tableColumn id="3" xr3:uid="{00000000-0010-0000-0000-000003000000}" name="Flt" totalsRowFunction="count" dataDxfId="1571" totalsRowDxfId="1534"/>
    <tableColumn id="4" xr3:uid="{00000000-0010-0000-0000-000004000000}" name="DEP" dataDxfId="1570" totalsRowDxfId="1533"/>
    <tableColumn id="5" xr3:uid="{00000000-0010-0000-0000-000005000000}" name="Brd-Off" totalsRowFunction="count" dataDxfId="1569" totalsRowDxfId="1532"/>
    <tableColumn id="6" xr3:uid="{00000000-0010-0000-0000-000006000000}" name="Eqp" dataDxfId="1568" totalsRowDxfId="1531"/>
    <tableColumn id="7" xr3:uid="{00000000-0010-0000-0000-000007000000}" name="LF%" totalsRowFunction="average" dataDxfId="1567" totalsRowDxfId="1530"/>
    <tableColumn id="8" xr3:uid="{00000000-0010-0000-0000-000008000000}" name="CAP" totalsRowFunction="sum" dataDxfId="1566" totalsRowDxfId="1529"/>
    <tableColumn id="9" xr3:uid="{00000000-0010-0000-0000-000009000000}" name="BKG(Y)" totalsRowFunction="sum" dataDxfId="1565" totalsRowDxfId="1528"/>
    <tableColumn id="10" xr3:uid="{00000000-0010-0000-0000-00000A000000}" name="GRP(Y)" totalsRowFunction="sum" dataDxfId="1564" totalsRowDxfId="1527"/>
    <tableColumn id="11" xr3:uid="{00000000-0010-0000-0000-00000B000000}" name="FLT ST" dataDxfId="1563" totalsRowDxfId="1526"/>
    <tableColumn id="12" xr3:uid="{00000000-0010-0000-0000-00000C000000}" name="LST-SOLD" dataDxfId="1562" totalsRowDxfId="1525"/>
    <tableColumn id="13" xr3:uid="{00000000-0010-0000-0000-00000D000000}" name="TO-DAY" totalsRowFunction="sum" dataDxfId="1561" totalsRowDxfId="1524"/>
    <tableColumn id="14" xr3:uid="{00000000-0010-0000-0000-00000E000000}" name="Y-DAY" totalsRowFunction="sum" dataDxfId="1560" totalsRowDxfId="1523"/>
    <tableColumn id="15" xr3:uid="{00000000-0010-0000-0000-00000F000000}" name="WEEKLY" totalsRowFunction="sum" dataDxfId="1559" totalsRowDxfId="1522"/>
    <tableColumn id="16" xr3:uid="{00000000-0010-0000-0000-000010000000}" name="LOWEST AVAIL" dataDxfId="1558" totalsRowDxfId="1521"/>
    <tableColumn id="17" xr3:uid="{00000000-0010-0000-0000-000011000000}" name="Y" totalsRowFunction="sum" dataDxfId="1557" totalsRowDxfId="1520"/>
    <tableColumn id="18" xr3:uid="{00000000-0010-0000-0000-000012000000}" name="B" totalsRowFunction="sum" dataDxfId="1556" totalsRowDxfId="1519"/>
    <tableColumn id="19" xr3:uid="{00000000-0010-0000-0000-000013000000}" name="M" totalsRowFunction="sum" dataDxfId="1555" totalsRowDxfId="1518"/>
    <tableColumn id="20" xr3:uid="{00000000-0010-0000-0000-000014000000}" name="H" totalsRowFunction="sum" dataDxfId="1554" totalsRowDxfId="1517"/>
    <tableColumn id="21" xr3:uid="{00000000-0010-0000-0000-000015000000}" name="Q" totalsRowFunction="sum" dataDxfId="1553" totalsRowDxfId="1516"/>
    <tableColumn id="22" xr3:uid="{00000000-0010-0000-0000-000016000000}" name="K" totalsRowFunction="sum" dataDxfId="1552" totalsRowDxfId="1515"/>
    <tableColumn id="23" xr3:uid="{00000000-0010-0000-0000-000017000000}" name="V" totalsRowFunction="sum" dataDxfId="1551" totalsRowDxfId="1514"/>
    <tableColumn id="24" xr3:uid="{00000000-0010-0000-0000-000018000000}" name="L" totalsRowFunction="sum" dataDxfId="1550" totalsRowDxfId="1513"/>
    <tableColumn id="25" xr3:uid="{00000000-0010-0000-0000-000019000000}" name="G" totalsRowFunction="sum" dataDxfId="1549" totalsRowDxfId="1512"/>
    <tableColumn id="26" xr3:uid="{00000000-0010-0000-0000-00001A000000}" name="S" totalsRowFunction="sum" dataDxfId="1548" totalsRowDxfId="1511"/>
    <tableColumn id="27" xr3:uid="{00000000-0010-0000-0000-00001B000000}" name="W" totalsRowFunction="sum" dataDxfId="1547" totalsRowDxfId="1510"/>
    <tableColumn id="28" xr3:uid="{00000000-0010-0000-0000-00001C000000}" name="T" totalsRowFunction="sum" dataDxfId="1546" totalsRowDxfId="1509"/>
    <tableColumn id="29" xr3:uid="{00000000-0010-0000-0000-00001D000000}" name="X" totalsRowFunction="sum" dataDxfId="1545" totalsRowDxfId="1508"/>
    <tableColumn id="30" xr3:uid="{00000000-0010-0000-0000-00001E000000}" name="U" totalsRowFunction="sum" dataDxfId="1544" totalsRowDxfId="1507"/>
    <tableColumn id="31" xr3:uid="{00000000-0010-0000-0000-00001F000000}" name="O" totalsRowFunction="sum" dataDxfId="1543" totalsRowDxfId="1506"/>
    <tableColumn id="32" xr3:uid="{00000000-0010-0000-0000-000020000000}" name="I" totalsRowFunction="sum" dataDxfId="1542" totalsRowDxfId="1505"/>
    <tableColumn id="33" xr3:uid="{00000000-0010-0000-0000-000021000000}" name="E" totalsRowFunction="sum" dataDxfId="1541" totalsRowDxfId="1504"/>
    <tableColumn id="34" xr3:uid="{00000000-0010-0000-0000-000022000000}" name="A" totalsRowFunction="sum" dataDxfId="1540" totalsRowDxfId="1503"/>
    <tableColumn id="35" xr3:uid="{00000000-0010-0000-0000-000023000000}" name="P" totalsRowFunction="sum" dataDxfId="1539" totalsRowDxfId="1502"/>
    <tableColumn id="36" xr3:uid="{00000000-0010-0000-0000-000024000000}" name="N" totalsRowFunction="count" dataDxfId="1538" totalsRowDxfId="150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CAI_MED" displayName="FocusMode_CAI_MED" ref="A1:H183" totalsRowShown="0">
  <autoFilter ref="A1:H18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CAI_MED" displayName="ThreatsAlert_CAI_MED" ref="A1:H51" totalsRowShown="0">
  <autoFilter ref="A1:H51"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BE_MED_LF_LEGACY" displayName="HBE_MED_LF_LEGACY" ref="A1:AJ8" totalsRowCount="1" headerRowDxfId="1499" dataDxfId="1462" totalsRowDxfId="1425">
  <tableColumns count="36">
    <tableColumn id="1" xr3:uid="{00000000-0010-0000-0300-000001000000}" name="Day" totalsRowLabel="TOTAL" dataDxfId="1498" totalsRowDxfId="1461"/>
    <tableColumn id="2" xr3:uid="{00000000-0010-0000-0300-000002000000}" name="Flt Dt" dataDxfId="1497" totalsRowDxfId="1460"/>
    <tableColumn id="3" xr3:uid="{00000000-0010-0000-0300-000003000000}" name="Flt" totalsRowFunction="count" dataDxfId="1496" totalsRowDxfId="1459"/>
    <tableColumn id="4" xr3:uid="{00000000-0010-0000-0300-000004000000}" name="DEP" dataDxfId="1495" totalsRowDxfId="1458"/>
    <tableColumn id="5" xr3:uid="{00000000-0010-0000-0300-000005000000}" name="Brd-Off" totalsRowFunction="count" dataDxfId="1494" totalsRowDxfId="1457"/>
    <tableColumn id="6" xr3:uid="{00000000-0010-0000-0300-000006000000}" name="Eqp" dataDxfId="1493" totalsRowDxfId="1456"/>
    <tableColumn id="7" xr3:uid="{00000000-0010-0000-0300-000007000000}" name="LF%" totalsRowFunction="average" dataDxfId="1492" totalsRowDxfId="1455"/>
    <tableColumn id="8" xr3:uid="{00000000-0010-0000-0300-000008000000}" name="CAP" totalsRowFunction="sum" dataDxfId="1491" totalsRowDxfId="1454"/>
    <tableColumn id="9" xr3:uid="{00000000-0010-0000-0300-000009000000}" name="BKG(Y)" totalsRowFunction="sum" dataDxfId="1490" totalsRowDxfId="1453"/>
    <tableColumn id="10" xr3:uid="{00000000-0010-0000-0300-00000A000000}" name="GRP(Y)" totalsRowFunction="sum" dataDxfId="1489" totalsRowDxfId="1452"/>
    <tableColumn id="11" xr3:uid="{00000000-0010-0000-0300-00000B000000}" name="FLT ST" dataDxfId="1488" totalsRowDxfId="1451"/>
    <tableColumn id="12" xr3:uid="{00000000-0010-0000-0300-00000C000000}" name="LST-SOLD" dataDxfId="1487" totalsRowDxfId="1450"/>
    <tableColumn id="13" xr3:uid="{00000000-0010-0000-0300-00000D000000}" name="TO-DAY" totalsRowFunction="sum" dataDxfId="1486" totalsRowDxfId="1449"/>
    <tableColumn id="14" xr3:uid="{00000000-0010-0000-0300-00000E000000}" name="Y-DAY" totalsRowFunction="sum" dataDxfId="1485" totalsRowDxfId="1448"/>
    <tableColumn id="15" xr3:uid="{00000000-0010-0000-0300-00000F000000}" name="WEEKLY" totalsRowFunction="sum" dataDxfId="1484" totalsRowDxfId="1447"/>
    <tableColumn id="16" xr3:uid="{00000000-0010-0000-0300-000010000000}" name="LOWEST AVAIL" dataDxfId="1483" totalsRowDxfId="1446"/>
    <tableColumn id="17" xr3:uid="{00000000-0010-0000-0300-000011000000}" name="Y" totalsRowFunction="sum" dataDxfId="1482" totalsRowDxfId="1445"/>
    <tableColumn id="18" xr3:uid="{00000000-0010-0000-0300-000012000000}" name="B" totalsRowFunction="sum" dataDxfId="1481" totalsRowDxfId="1444"/>
    <tableColumn id="19" xr3:uid="{00000000-0010-0000-0300-000013000000}" name="M" totalsRowFunction="sum" dataDxfId="1480" totalsRowDxfId="1443"/>
    <tableColumn id="20" xr3:uid="{00000000-0010-0000-0300-000014000000}" name="H" totalsRowFunction="sum" dataDxfId="1479" totalsRowDxfId="1442"/>
    <tableColumn id="21" xr3:uid="{00000000-0010-0000-0300-000015000000}" name="Q" totalsRowFunction="sum" dataDxfId="1478" totalsRowDxfId="1441"/>
    <tableColumn id="22" xr3:uid="{00000000-0010-0000-0300-000016000000}" name="K" totalsRowFunction="sum" dataDxfId="1477" totalsRowDxfId="1440"/>
    <tableColumn id="23" xr3:uid="{00000000-0010-0000-0300-000017000000}" name="V" totalsRowFunction="sum" dataDxfId="1476" totalsRowDxfId="1439"/>
    <tableColumn id="24" xr3:uid="{00000000-0010-0000-0300-000018000000}" name="L" totalsRowFunction="sum" dataDxfId="1475" totalsRowDxfId="1438"/>
    <tableColumn id="25" xr3:uid="{00000000-0010-0000-0300-000019000000}" name="G" totalsRowFunction="sum" dataDxfId="1474" totalsRowDxfId="1437"/>
    <tableColumn id="26" xr3:uid="{00000000-0010-0000-0300-00001A000000}" name="S" totalsRowFunction="sum" dataDxfId="1473" totalsRowDxfId="1436"/>
    <tableColumn id="27" xr3:uid="{00000000-0010-0000-0300-00001B000000}" name="W" totalsRowFunction="sum" dataDxfId="1472" totalsRowDxfId="1435"/>
    <tableColumn id="28" xr3:uid="{00000000-0010-0000-0300-00001C000000}" name="T" totalsRowFunction="sum" dataDxfId="1471" totalsRowDxfId="1434"/>
    <tableColumn id="29" xr3:uid="{00000000-0010-0000-0300-00001D000000}" name="X" totalsRowFunction="sum" dataDxfId="1470" totalsRowDxfId="1433"/>
    <tableColumn id="30" xr3:uid="{00000000-0010-0000-0300-00001E000000}" name="U" totalsRowFunction="sum" dataDxfId="1469" totalsRowDxfId="1432"/>
    <tableColumn id="31" xr3:uid="{00000000-0010-0000-0300-00001F000000}" name="O" totalsRowFunction="sum" dataDxfId="1468" totalsRowDxfId="1431"/>
    <tableColumn id="32" xr3:uid="{00000000-0010-0000-0300-000020000000}" name="I" totalsRowFunction="sum" dataDxfId="1467" totalsRowDxfId="1430"/>
    <tableColumn id="33" xr3:uid="{00000000-0010-0000-0300-000021000000}" name="E" totalsRowFunction="sum" dataDxfId="1466" totalsRowDxfId="1429"/>
    <tableColumn id="34" xr3:uid="{00000000-0010-0000-0300-000022000000}" name="A" totalsRowFunction="sum" dataDxfId="1465" totalsRowDxfId="1428"/>
    <tableColumn id="35" xr3:uid="{00000000-0010-0000-0300-000023000000}" name="P" totalsRowFunction="sum" dataDxfId="1464" totalsRowDxfId="1427"/>
    <tableColumn id="36" xr3:uid="{00000000-0010-0000-0300-000024000000}" name="N" totalsRowFunction="count" dataDxfId="1463" totalsRowDxfId="142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MED" displayName="FocusMode_HBE_MED" ref="A1:H131" totalsRowShown="0">
  <autoFilter ref="A1:H131"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TZ_MED_LF_LEGACY" displayName="ATZ_MED_LF_LEGACY" ref="A1:AJ6" totalsRowCount="1" headerRowDxfId="1424" dataDxfId="1387" totalsRowDxfId="1350">
  <tableColumns count="36">
    <tableColumn id="1" xr3:uid="{00000000-0010-0000-0500-000001000000}" name="Day" totalsRowLabel="TOTAL" dataDxfId="1423" totalsRowDxfId="1386"/>
    <tableColumn id="2" xr3:uid="{00000000-0010-0000-0500-000002000000}" name="Flt Dt" dataDxfId="1422" totalsRowDxfId="1385"/>
    <tableColumn id="3" xr3:uid="{00000000-0010-0000-0500-000003000000}" name="Flt" totalsRowFunction="count" dataDxfId="1421" totalsRowDxfId="1384"/>
    <tableColumn id="4" xr3:uid="{00000000-0010-0000-0500-000004000000}" name="DEP" dataDxfId="1420" totalsRowDxfId="1383"/>
    <tableColumn id="5" xr3:uid="{00000000-0010-0000-0500-000005000000}" name="Brd-Off" totalsRowFunction="count" dataDxfId="1419" totalsRowDxfId="1382"/>
    <tableColumn id="6" xr3:uid="{00000000-0010-0000-0500-000006000000}" name="Eqp" dataDxfId="1418" totalsRowDxfId="1381"/>
    <tableColumn id="7" xr3:uid="{00000000-0010-0000-0500-000007000000}" name="LF%" totalsRowFunction="average" dataDxfId="1417" totalsRowDxfId="1380"/>
    <tableColumn id="8" xr3:uid="{00000000-0010-0000-0500-000008000000}" name="CAP" totalsRowFunction="sum" dataDxfId="1416" totalsRowDxfId="1379"/>
    <tableColumn id="9" xr3:uid="{00000000-0010-0000-0500-000009000000}" name="BKG(Y)" totalsRowFunction="sum" dataDxfId="1415" totalsRowDxfId="1378"/>
    <tableColumn id="10" xr3:uid="{00000000-0010-0000-0500-00000A000000}" name="GRP(Y)" totalsRowFunction="sum" dataDxfId="1414" totalsRowDxfId="1377"/>
    <tableColumn id="11" xr3:uid="{00000000-0010-0000-0500-00000B000000}" name="FLT ST" dataDxfId="1413" totalsRowDxfId="1376"/>
    <tableColumn id="12" xr3:uid="{00000000-0010-0000-0500-00000C000000}" name="LST-SOLD" dataDxfId="1412" totalsRowDxfId="1375"/>
    <tableColumn id="13" xr3:uid="{00000000-0010-0000-0500-00000D000000}" name="TO-DAY" totalsRowFunction="sum" dataDxfId="1411" totalsRowDxfId="1374"/>
    <tableColumn id="14" xr3:uid="{00000000-0010-0000-0500-00000E000000}" name="Y-DAY" totalsRowFunction="sum" dataDxfId="1410" totalsRowDxfId="1373"/>
    <tableColumn id="15" xr3:uid="{00000000-0010-0000-0500-00000F000000}" name="WEEKLY" totalsRowFunction="sum" dataDxfId="1409" totalsRowDxfId="1372"/>
    <tableColumn id="16" xr3:uid="{00000000-0010-0000-0500-000010000000}" name="LOWEST AVAIL" dataDxfId="1408" totalsRowDxfId="1371"/>
    <tableColumn id="17" xr3:uid="{00000000-0010-0000-0500-000011000000}" name="Y" totalsRowFunction="sum" dataDxfId="1407" totalsRowDxfId="1370"/>
    <tableColumn id="18" xr3:uid="{00000000-0010-0000-0500-000012000000}" name="B" totalsRowFunction="sum" dataDxfId="1406" totalsRowDxfId="1369"/>
    <tableColumn id="19" xr3:uid="{00000000-0010-0000-0500-000013000000}" name="M" totalsRowFunction="sum" dataDxfId="1405" totalsRowDxfId="1368"/>
    <tableColumn id="20" xr3:uid="{00000000-0010-0000-0500-000014000000}" name="H" totalsRowFunction="sum" dataDxfId="1404" totalsRowDxfId="1367"/>
    <tableColumn id="21" xr3:uid="{00000000-0010-0000-0500-000015000000}" name="Q" totalsRowFunction="sum" dataDxfId="1403" totalsRowDxfId="1366"/>
    <tableColumn id="22" xr3:uid="{00000000-0010-0000-0500-000016000000}" name="K" totalsRowFunction="sum" dataDxfId="1402" totalsRowDxfId="1365"/>
    <tableColumn id="23" xr3:uid="{00000000-0010-0000-0500-000017000000}" name="V" totalsRowFunction="sum" dataDxfId="1401" totalsRowDxfId="1364"/>
    <tableColumn id="24" xr3:uid="{00000000-0010-0000-0500-000018000000}" name="L" totalsRowFunction="sum" dataDxfId="1400" totalsRowDxfId="1363"/>
    <tableColumn id="25" xr3:uid="{00000000-0010-0000-0500-000019000000}" name="G" totalsRowFunction="sum" dataDxfId="1399" totalsRowDxfId="1362"/>
    <tableColumn id="26" xr3:uid="{00000000-0010-0000-0500-00001A000000}" name="S" totalsRowFunction="sum" dataDxfId="1398" totalsRowDxfId="1361"/>
    <tableColumn id="27" xr3:uid="{00000000-0010-0000-0500-00001B000000}" name="W" totalsRowFunction="sum" dataDxfId="1397" totalsRowDxfId="1360"/>
    <tableColumn id="28" xr3:uid="{00000000-0010-0000-0500-00001C000000}" name="T" totalsRowFunction="sum" dataDxfId="1396" totalsRowDxfId="1359"/>
    <tableColumn id="29" xr3:uid="{00000000-0010-0000-0500-00001D000000}" name="X" totalsRowFunction="sum" dataDxfId="1395" totalsRowDxfId="1358"/>
    <tableColumn id="30" xr3:uid="{00000000-0010-0000-0500-00001E000000}" name="U" totalsRowFunction="sum" dataDxfId="1394" totalsRowDxfId="1357"/>
    <tableColumn id="31" xr3:uid="{00000000-0010-0000-0500-00001F000000}" name="O" totalsRowFunction="sum" dataDxfId="1393" totalsRowDxfId="1356"/>
    <tableColumn id="32" xr3:uid="{00000000-0010-0000-0500-000020000000}" name="I" totalsRowFunction="sum" dataDxfId="1392" totalsRowDxfId="1355"/>
    <tableColumn id="33" xr3:uid="{00000000-0010-0000-0500-000021000000}" name="E" totalsRowFunction="sum" dataDxfId="1391" totalsRowDxfId="1354"/>
    <tableColumn id="34" xr3:uid="{00000000-0010-0000-0500-000022000000}" name="A" totalsRowFunction="sum" dataDxfId="1390" totalsRowDxfId="1353"/>
    <tableColumn id="35" xr3:uid="{00000000-0010-0000-0500-000023000000}" name="P" totalsRowFunction="sum" dataDxfId="1389" totalsRowDxfId="1352"/>
    <tableColumn id="36" xr3:uid="{00000000-0010-0000-0500-000024000000}" name="N" totalsRowFunction="count" dataDxfId="1388" totalsRowDxfId="135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ATZ_MED" displayName="FocusMode_ATZ_MED" ref="A1:H126" totalsRowShown="0">
  <autoFilter ref="A1:H126"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AI_JED_LF_LEGACY" displayName="CAI_JED_LF_LEGACY" ref="A1:AJ56" totalsRowCount="1" headerRowDxfId="1349" dataDxfId="1312" totalsRowDxfId="1275">
  <tableColumns count="36">
    <tableColumn id="1" xr3:uid="{00000000-0010-0000-0700-000001000000}" name="Day" totalsRowLabel="TOTAL" dataDxfId="1348" totalsRowDxfId="1311"/>
    <tableColumn id="2" xr3:uid="{00000000-0010-0000-0700-000002000000}" name="Flt Dt" dataDxfId="1347" totalsRowDxfId="1310"/>
    <tableColumn id="3" xr3:uid="{00000000-0010-0000-0700-000003000000}" name="Flt" totalsRowFunction="count" dataDxfId="1346" totalsRowDxfId="1309"/>
    <tableColumn id="4" xr3:uid="{00000000-0010-0000-0700-000004000000}" name="DEP" dataDxfId="1345" totalsRowDxfId="1308"/>
    <tableColumn id="5" xr3:uid="{00000000-0010-0000-0700-000005000000}" name="Brd-Off" totalsRowFunction="count" dataDxfId="1344" totalsRowDxfId="1307"/>
    <tableColumn id="6" xr3:uid="{00000000-0010-0000-0700-000006000000}" name="Eqp" dataDxfId="1343" totalsRowDxfId="1306"/>
    <tableColumn id="7" xr3:uid="{00000000-0010-0000-0700-000007000000}" name="LF%" totalsRowFunction="average" dataDxfId="1342" totalsRowDxfId="1305"/>
    <tableColumn id="8" xr3:uid="{00000000-0010-0000-0700-000008000000}" name="CAP" totalsRowFunction="sum" dataDxfId="1341" totalsRowDxfId="1304"/>
    <tableColumn id="9" xr3:uid="{00000000-0010-0000-0700-000009000000}" name="BKG(Y)" totalsRowFunction="sum" dataDxfId="1340" totalsRowDxfId="1303"/>
    <tableColumn id="10" xr3:uid="{00000000-0010-0000-0700-00000A000000}" name="GRP(Y)" totalsRowFunction="sum" dataDxfId="1339" totalsRowDxfId="1302"/>
    <tableColumn id="11" xr3:uid="{00000000-0010-0000-0700-00000B000000}" name="FLT ST" dataDxfId="1338" totalsRowDxfId="1301"/>
    <tableColumn id="12" xr3:uid="{00000000-0010-0000-0700-00000C000000}" name="LST-SOLD" dataDxfId="1337" totalsRowDxfId="1300"/>
    <tableColumn id="13" xr3:uid="{00000000-0010-0000-0700-00000D000000}" name="TO-DAY" totalsRowFunction="sum" dataDxfId="1336" totalsRowDxfId="1299"/>
    <tableColumn id="14" xr3:uid="{00000000-0010-0000-0700-00000E000000}" name="Y-DAY" totalsRowFunction="sum" dataDxfId="1335" totalsRowDxfId="1298"/>
    <tableColumn id="15" xr3:uid="{00000000-0010-0000-0700-00000F000000}" name="WEEKLY" totalsRowFunction="sum" dataDxfId="1334" totalsRowDxfId="1297"/>
    <tableColumn id="16" xr3:uid="{00000000-0010-0000-0700-000010000000}" name="LOWEST AVAIL" dataDxfId="1333" totalsRowDxfId="1296"/>
    <tableColumn id="17" xr3:uid="{00000000-0010-0000-0700-000011000000}" name="Y" totalsRowFunction="sum" dataDxfId="1332" totalsRowDxfId="1295"/>
    <tableColumn id="18" xr3:uid="{00000000-0010-0000-0700-000012000000}" name="B" totalsRowFunction="sum" dataDxfId="1331" totalsRowDxfId="1294"/>
    <tableColumn id="19" xr3:uid="{00000000-0010-0000-0700-000013000000}" name="M" totalsRowFunction="sum" dataDxfId="1330" totalsRowDxfId="1293"/>
    <tableColumn id="20" xr3:uid="{00000000-0010-0000-0700-000014000000}" name="H" totalsRowFunction="sum" dataDxfId="1329" totalsRowDxfId="1292"/>
    <tableColumn id="21" xr3:uid="{00000000-0010-0000-0700-000015000000}" name="Q" totalsRowFunction="sum" dataDxfId="1328" totalsRowDxfId="1291"/>
    <tableColumn id="22" xr3:uid="{00000000-0010-0000-0700-000016000000}" name="K" totalsRowFunction="sum" dataDxfId="1327" totalsRowDxfId="1290"/>
    <tableColumn id="23" xr3:uid="{00000000-0010-0000-0700-000017000000}" name="V" totalsRowFunction="sum" dataDxfId="1326" totalsRowDxfId="1289"/>
    <tableColumn id="24" xr3:uid="{00000000-0010-0000-0700-000018000000}" name="L" totalsRowFunction="sum" dataDxfId="1325" totalsRowDxfId="1288"/>
    <tableColumn id="25" xr3:uid="{00000000-0010-0000-0700-000019000000}" name="G" totalsRowFunction="sum" dataDxfId="1324" totalsRowDxfId="1287"/>
    <tableColumn id="26" xr3:uid="{00000000-0010-0000-0700-00001A000000}" name="S" totalsRowFunction="sum" dataDxfId="1323" totalsRowDxfId="1286"/>
    <tableColumn id="27" xr3:uid="{00000000-0010-0000-0700-00001B000000}" name="W" totalsRowFunction="sum" dataDxfId="1322" totalsRowDxfId="1285"/>
    <tableColumn id="28" xr3:uid="{00000000-0010-0000-0700-00001C000000}" name="T" totalsRowFunction="sum" dataDxfId="1321" totalsRowDxfId="1284"/>
    <tableColumn id="29" xr3:uid="{00000000-0010-0000-0700-00001D000000}" name="X" totalsRowFunction="sum" dataDxfId="1320" totalsRowDxfId="1283"/>
    <tableColumn id="30" xr3:uid="{00000000-0010-0000-0700-00001E000000}" name="U" totalsRowFunction="sum" dataDxfId="1319" totalsRowDxfId="1282"/>
    <tableColumn id="31" xr3:uid="{00000000-0010-0000-0700-00001F000000}" name="O" totalsRowFunction="sum" dataDxfId="1318" totalsRowDxfId="1281"/>
    <tableColumn id="32" xr3:uid="{00000000-0010-0000-0700-000020000000}" name="I" totalsRowFunction="sum" dataDxfId="1317" totalsRowDxfId="1280"/>
    <tableColumn id="33" xr3:uid="{00000000-0010-0000-0700-000021000000}" name="E" totalsRowFunction="sum" dataDxfId="1316" totalsRowDxfId="1279"/>
    <tableColumn id="34" xr3:uid="{00000000-0010-0000-0700-000022000000}" name="A" totalsRowFunction="sum" dataDxfId="1315" totalsRowDxfId="1278"/>
    <tableColumn id="35" xr3:uid="{00000000-0010-0000-0700-000023000000}" name="P" totalsRowFunction="sum" dataDxfId="1314" totalsRowDxfId="1277"/>
    <tableColumn id="36" xr3:uid="{00000000-0010-0000-0700-000024000000}" name="N" totalsRowFunction="count" dataDxfId="1313" totalsRowDxfId="127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CAI_JED" displayName="FocusMode_CAI_JED" ref="A1:H723" totalsRowShown="0">
  <autoFilter ref="A1:H723"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CAI_JED" displayName="ThreatsAlert_CAI_JED" ref="A1:H93" totalsRowShown="0">
  <autoFilter ref="A1:H93"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HBE_JED_LF_LEGACY" displayName="HBE_JED_LF_LEGACY" ref="A1:AJ20" totalsRowCount="1" headerRowDxfId="1274" dataDxfId="1237" totalsRowDxfId="1200">
  <tableColumns count="36">
    <tableColumn id="1" xr3:uid="{00000000-0010-0000-0A00-000001000000}" name="Day" totalsRowLabel="TOTAL" dataDxfId="1273" totalsRowDxfId="1236"/>
    <tableColumn id="2" xr3:uid="{00000000-0010-0000-0A00-000002000000}" name="Flt Dt" dataDxfId="1272" totalsRowDxfId="1235"/>
    <tableColumn id="3" xr3:uid="{00000000-0010-0000-0A00-000003000000}" name="Flt" totalsRowFunction="count" dataDxfId="1271" totalsRowDxfId="1234"/>
    <tableColumn id="4" xr3:uid="{00000000-0010-0000-0A00-000004000000}" name="DEP" dataDxfId="1270" totalsRowDxfId="1233"/>
    <tableColumn id="5" xr3:uid="{00000000-0010-0000-0A00-000005000000}" name="Brd-Off" totalsRowFunction="count" dataDxfId="1269" totalsRowDxfId="1232"/>
    <tableColumn id="6" xr3:uid="{00000000-0010-0000-0A00-000006000000}" name="Eqp" dataDxfId="1268" totalsRowDxfId="1231"/>
    <tableColumn id="7" xr3:uid="{00000000-0010-0000-0A00-000007000000}" name="LF%" totalsRowFunction="average" dataDxfId="1267" totalsRowDxfId="1230"/>
    <tableColumn id="8" xr3:uid="{00000000-0010-0000-0A00-000008000000}" name="CAP" totalsRowFunction="sum" dataDxfId="1266" totalsRowDxfId="1229"/>
    <tableColumn id="9" xr3:uid="{00000000-0010-0000-0A00-000009000000}" name="BKG(Y)" totalsRowFunction="sum" dataDxfId="1265" totalsRowDxfId="1228"/>
    <tableColumn id="10" xr3:uid="{00000000-0010-0000-0A00-00000A000000}" name="GRP(Y)" totalsRowFunction="sum" dataDxfId="1264" totalsRowDxfId="1227"/>
    <tableColumn id="11" xr3:uid="{00000000-0010-0000-0A00-00000B000000}" name="FLT ST" dataDxfId="1263" totalsRowDxfId="1226"/>
    <tableColumn id="12" xr3:uid="{00000000-0010-0000-0A00-00000C000000}" name="LST-SOLD" dataDxfId="1262" totalsRowDxfId="1225"/>
    <tableColumn id="13" xr3:uid="{00000000-0010-0000-0A00-00000D000000}" name="TO-DAY" totalsRowFunction="sum" dataDxfId="1261" totalsRowDxfId="1224"/>
    <tableColumn id="14" xr3:uid="{00000000-0010-0000-0A00-00000E000000}" name="Y-DAY" totalsRowFunction="sum" dataDxfId="1260" totalsRowDxfId="1223"/>
    <tableColumn id="15" xr3:uid="{00000000-0010-0000-0A00-00000F000000}" name="WEEKLY" totalsRowFunction="sum" dataDxfId="1259" totalsRowDxfId="1222"/>
    <tableColumn id="16" xr3:uid="{00000000-0010-0000-0A00-000010000000}" name="LOWEST AVAIL" dataDxfId="1258" totalsRowDxfId="1221"/>
    <tableColumn id="17" xr3:uid="{00000000-0010-0000-0A00-000011000000}" name="Y" totalsRowFunction="sum" dataDxfId="1257" totalsRowDxfId="1220"/>
    <tableColumn id="18" xr3:uid="{00000000-0010-0000-0A00-000012000000}" name="B" totalsRowFunction="sum" dataDxfId="1256" totalsRowDxfId="1219"/>
    <tableColumn id="19" xr3:uid="{00000000-0010-0000-0A00-000013000000}" name="M" totalsRowFunction="sum" dataDxfId="1255" totalsRowDxfId="1218"/>
    <tableColumn id="20" xr3:uid="{00000000-0010-0000-0A00-000014000000}" name="H" totalsRowFunction="sum" dataDxfId="1254" totalsRowDxfId="1217"/>
    <tableColumn id="21" xr3:uid="{00000000-0010-0000-0A00-000015000000}" name="Q" totalsRowFunction="sum" dataDxfId="1253" totalsRowDxfId="1216"/>
    <tableColumn id="22" xr3:uid="{00000000-0010-0000-0A00-000016000000}" name="K" totalsRowFunction="sum" dataDxfId="1252" totalsRowDxfId="1215"/>
    <tableColumn id="23" xr3:uid="{00000000-0010-0000-0A00-000017000000}" name="V" totalsRowFunction="sum" dataDxfId="1251" totalsRowDxfId="1214"/>
    <tableColumn id="24" xr3:uid="{00000000-0010-0000-0A00-000018000000}" name="L" totalsRowFunction="sum" dataDxfId="1250" totalsRowDxfId="1213"/>
    <tableColumn id="25" xr3:uid="{00000000-0010-0000-0A00-000019000000}" name="G" totalsRowFunction="sum" dataDxfId="1249" totalsRowDxfId="1212"/>
    <tableColumn id="26" xr3:uid="{00000000-0010-0000-0A00-00001A000000}" name="S" totalsRowFunction="sum" dataDxfId="1248" totalsRowDxfId="1211"/>
    <tableColumn id="27" xr3:uid="{00000000-0010-0000-0A00-00001B000000}" name="W" totalsRowFunction="sum" dataDxfId="1247" totalsRowDxfId="1210"/>
    <tableColumn id="28" xr3:uid="{00000000-0010-0000-0A00-00001C000000}" name="T" totalsRowFunction="sum" dataDxfId="1246" totalsRowDxfId="1209"/>
    <tableColumn id="29" xr3:uid="{00000000-0010-0000-0A00-00001D000000}" name="X" totalsRowFunction="sum" dataDxfId="1245" totalsRowDxfId="1208"/>
    <tableColumn id="30" xr3:uid="{00000000-0010-0000-0A00-00001E000000}" name="U" totalsRowFunction="sum" dataDxfId="1244" totalsRowDxfId="1207"/>
    <tableColumn id="31" xr3:uid="{00000000-0010-0000-0A00-00001F000000}" name="O" totalsRowFunction="sum" dataDxfId="1243" totalsRowDxfId="1206"/>
    <tableColumn id="32" xr3:uid="{00000000-0010-0000-0A00-000020000000}" name="I" totalsRowFunction="sum" dataDxfId="1242" totalsRowDxfId="1205"/>
    <tableColumn id="33" xr3:uid="{00000000-0010-0000-0A00-000021000000}" name="E" totalsRowFunction="sum" dataDxfId="1241" totalsRowDxfId="1204"/>
    <tableColumn id="34" xr3:uid="{00000000-0010-0000-0A00-000022000000}" name="A" totalsRowFunction="sum" dataDxfId="1240" totalsRowDxfId="1203"/>
    <tableColumn id="35" xr3:uid="{00000000-0010-0000-0A00-000023000000}" name="P" totalsRowFunction="sum" dataDxfId="1239" totalsRowDxfId="1202"/>
    <tableColumn id="36" xr3:uid="{00000000-0010-0000-0A00-000024000000}" name="N" totalsRowFunction="count" dataDxfId="1238" totalsRowDxfId="120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HBE_JED" displayName="FocusMode_HBE_JED" ref="A1:H206" totalsRowShown="0">
  <autoFilter ref="A1:H206"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TZ_JED_LF_LEGACY" displayName="ATZ_JED_LF_LEGACY" ref="A1:AJ24" totalsRowCount="1" headerRowDxfId="1199" dataDxfId="1162" totalsRowDxfId="1125">
  <tableColumns count="36">
    <tableColumn id="1" xr3:uid="{00000000-0010-0000-0C00-000001000000}" name="Day" totalsRowLabel="TOTAL" dataDxfId="1198" totalsRowDxfId="1161"/>
    <tableColumn id="2" xr3:uid="{00000000-0010-0000-0C00-000002000000}" name="Flt Dt" dataDxfId="1197" totalsRowDxfId="1160"/>
    <tableColumn id="3" xr3:uid="{00000000-0010-0000-0C00-000003000000}" name="Flt" totalsRowFunction="count" dataDxfId="1196" totalsRowDxfId="1159"/>
    <tableColumn id="4" xr3:uid="{00000000-0010-0000-0C00-000004000000}" name="DEP" dataDxfId="1195" totalsRowDxfId="1158"/>
    <tableColumn id="5" xr3:uid="{00000000-0010-0000-0C00-000005000000}" name="Brd-Off" totalsRowFunction="count" dataDxfId="1194" totalsRowDxfId="1157"/>
    <tableColumn id="6" xr3:uid="{00000000-0010-0000-0C00-000006000000}" name="Eqp" dataDxfId="1193" totalsRowDxfId="1156"/>
    <tableColumn id="7" xr3:uid="{00000000-0010-0000-0C00-000007000000}" name="LF%" totalsRowFunction="average" dataDxfId="1192" totalsRowDxfId="1155"/>
    <tableColumn id="8" xr3:uid="{00000000-0010-0000-0C00-000008000000}" name="CAP" totalsRowFunction="sum" dataDxfId="1191" totalsRowDxfId="1154"/>
    <tableColumn id="9" xr3:uid="{00000000-0010-0000-0C00-000009000000}" name="BKG(Y)" totalsRowFunction="sum" dataDxfId="1190" totalsRowDxfId="1153"/>
    <tableColumn id="10" xr3:uid="{00000000-0010-0000-0C00-00000A000000}" name="GRP(Y)" totalsRowFunction="sum" dataDxfId="1189" totalsRowDxfId="1152"/>
    <tableColumn id="11" xr3:uid="{00000000-0010-0000-0C00-00000B000000}" name="FLT ST" dataDxfId="1188" totalsRowDxfId="1151"/>
    <tableColumn id="12" xr3:uid="{00000000-0010-0000-0C00-00000C000000}" name="LST-SOLD" dataDxfId="1187" totalsRowDxfId="1150"/>
    <tableColumn id="13" xr3:uid="{00000000-0010-0000-0C00-00000D000000}" name="TO-DAY" totalsRowFunction="sum" dataDxfId="1186" totalsRowDxfId="1149"/>
    <tableColumn id="14" xr3:uid="{00000000-0010-0000-0C00-00000E000000}" name="Y-DAY" totalsRowFunction="sum" dataDxfId="1185" totalsRowDxfId="1148"/>
    <tableColumn id="15" xr3:uid="{00000000-0010-0000-0C00-00000F000000}" name="WEEKLY" totalsRowFunction="sum" dataDxfId="1184" totalsRowDxfId="1147"/>
    <tableColumn id="16" xr3:uid="{00000000-0010-0000-0C00-000010000000}" name="LOWEST AVAIL" dataDxfId="1183" totalsRowDxfId="1146"/>
    <tableColumn id="17" xr3:uid="{00000000-0010-0000-0C00-000011000000}" name="Y" totalsRowFunction="sum" dataDxfId="1182" totalsRowDxfId="1145"/>
    <tableColumn id="18" xr3:uid="{00000000-0010-0000-0C00-000012000000}" name="B" totalsRowFunction="sum" dataDxfId="1181" totalsRowDxfId="1144"/>
    <tableColumn id="19" xr3:uid="{00000000-0010-0000-0C00-000013000000}" name="M" totalsRowFunction="sum" dataDxfId="1180" totalsRowDxfId="1143"/>
    <tableColumn id="20" xr3:uid="{00000000-0010-0000-0C00-000014000000}" name="H" totalsRowFunction="sum" dataDxfId="1179" totalsRowDxfId="1142"/>
    <tableColumn id="21" xr3:uid="{00000000-0010-0000-0C00-000015000000}" name="Q" totalsRowFunction="sum" dataDxfId="1178" totalsRowDxfId="1141"/>
    <tableColumn id="22" xr3:uid="{00000000-0010-0000-0C00-000016000000}" name="K" totalsRowFunction="sum" dataDxfId="1177" totalsRowDxfId="1140"/>
    <tableColumn id="23" xr3:uid="{00000000-0010-0000-0C00-000017000000}" name="V" totalsRowFunction="sum" dataDxfId="1176" totalsRowDxfId="1139"/>
    <tableColumn id="24" xr3:uid="{00000000-0010-0000-0C00-000018000000}" name="L" totalsRowFunction="sum" dataDxfId="1175" totalsRowDxfId="1138"/>
    <tableColumn id="25" xr3:uid="{00000000-0010-0000-0C00-000019000000}" name="G" totalsRowFunction="sum" dataDxfId="1174" totalsRowDxfId="1137"/>
    <tableColumn id="26" xr3:uid="{00000000-0010-0000-0C00-00001A000000}" name="S" totalsRowFunction="sum" dataDxfId="1173" totalsRowDxfId="1136"/>
    <tableColumn id="27" xr3:uid="{00000000-0010-0000-0C00-00001B000000}" name="W" totalsRowFunction="sum" dataDxfId="1172" totalsRowDxfId="1135"/>
    <tableColumn id="28" xr3:uid="{00000000-0010-0000-0C00-00001C000000}" name="T" totalsRowFunction="sum" dataDxfId="1171" totalsRowDxfId="1134"/>
    <tableColumn id="29" xr3:uid="{00000000-0010-0000-0C00-00001D000000}" name="X" totalsRowFunction="sum" dataDxfId="1170" totalsRowDxfId="1133"/>
    <tableColumn id="30" xr3:uid="{00000000-0010-0000-0C00-00001E000000}" name="U" totalsRowFunction="sum" dataDxfId="1169" totalsRowDxfId="1132"/>
    <tableColumn id="31" xr3:uid="{00000000-0010-0000-0C00-00001F000000}" name="O" totalsRowFunction="sum" dataDxfId="1168" totalsRowDxfId="1131"/>
    <tableColumn id="32" xr3:uid="{00000000-0010-0000-0C00-000020000000}" name="I" totalsRowFunction="sum" dataDxfId="1167" totalsRowDxfId="1130"/>
    <tableColumn id="33" xr3:uid="{00000000-0010-0000-0C00-000021000000}" name="E" totalsRowFunction="sum" dataDxfId="1166" totalsRowDxfId="1129"/>
    <tableColumn id="34" xr3:uid="{00000000-0010-0000-0C00-000022000000}" name="A" totalsRowFunction="sum" dataDxfId="1165" totalsRowDxfId="1128"/>
    <tableColumn id="35" xr3:uid="{00000000-0010-0000-0C00-000023000000}" name="P" totalsRowFunction="sum" dataDxfId="1164" totalsRowDxfId="1127"/>
    <tableColumn id="36" xr3:uid="{00000000-0010-0000-0C00-000024000000}" name="N" totalsRowFunction="count" dataDxfId="1163" totalsRowDxfId="112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ATZ_JED" displayName="FocusMode_ATZ_JED" ref="A1:H162" totalsRowShown="0">
  <autoFilter ref="A1:H162"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LXR_JED_LF_LEGACY" displayName="LXR_JED_LF_LEGACY" ref="A1:AJ6" totalsRowCount="1" headerRowDxfId="1124" dataDxfId="1087" totalsRowDxfId="1050">
  <tableColumns count="36">
    <tableColumn id="1" xr3:uid="{00000000-0010-0000-0E00-000001000000}" name="Day" totalsRowLabel="TOTAL" dataDxfId="1123" totalsRowDxfId="1086"/>
    <tableColumn id="2" xr3:uid="{00000000-0010-0000-0E00-000002000000}" name="Flt Dt" dataDxfId="1122" totalsRowDxfId="1085"/>
    <tableColumn id="3" xr3:uid="{00000000-0010-0000-0E00-000003000000}" name="Flt" totalsRowFunction="count" dataDxfId="1121" totalsRowDxfId="1084"/>
    <tableColumn id="4" xr3:uid="{00000000-0010-0000-0E00-000004000000}" name="DEP" dataDxfId="1120" totalsRowDxfId="1083"/>
    <tableColumn id="5" xr3:uid="{00000000-0010-0000-0E00-000005000000}" name="Brd-Off" totalsRowFunction="count" dataDxfId="1119" totalsRowDxfId="1082"/>
    <tableColumn id="6" xr3:uid="{00000000-0010-0000-0E00-000006000000}" name="Eqp" dataDxfId="1118" totalsRowDxfId="1081"/>
    <tableColumn id="7" xr3:uid="{00000000-0010-0000-0E00-000007000000}" name="LF%" totalsRowFunction="average" dataDxfId="1117" totalsRowDxfId="1080"/>
    <tableColumn id="8" xr3:uid="{00000000-0010-0000-0E00-000008000000}" name="CAP" totalsRowFunction="sum" dataDxfId="1116" totalsRowDxfId="1079"/>
    <tableColumn id="9" xr3:uid="{00000000-0010-0000-0E00-000009000000}" name="BKG(Y)" totalsRowFunction="sum" dataDxfId="1115" totalsRowDxfId="1078"/>
    <tableColumn id="10" xr3:uid="{00000000-0010-0000-0E00-00000A000000}" name="GRP(Y)" totalsRowFunction="sum" dataDxfId="1114" totalsRowDxfId="1077"/>
    <tableColumn id="11" xr3:uid="{00000000-0010-0000-0E00-00000B000000}" name="FLT ST" dataDxfId="1113" totalsRowDxfId="1076"/>
    <tableColumn id="12" xr3:uid="{00000000-0010-0000-0E00-00000C000000}" name="LST-SOLD" dataDxfId="1112" totalsRowDxfId="1075"/>
    <tableColumn id="13" xr3:uid="{00000000-0010-0000-0E00-00000D000000}" name="TO-DAY" totalsRowFunction="sum" dataDxfId="1111" totalsRowDxfId="1074"/>
    <tableColumn id="14" xr3:uid="{00000000-0010-0000-0E00-00000E000000}" name="Y-DAY" totalsRowFunction="sum" dataDxfId="1110" totalsRowDxfId="1073"/>
    <tableColumn id="15" xr3:uid="{00000000-0010-0000-0E00-00000F000000}" name="WEEKLY" totalsRowFunction="sum" dataDxfId="1109" totalsRowDxfId="1072"/>
    <tableColumn id="16" xr3:uid="{00000000-0010-0000-0E00-000010000000}" name="LOWEST AVAIL" dataDxfId="1108" totalsRowDxfId="1071"/>
    <tableColumn id="17" xr3:uid="{00000000-0010-0000-0E00-000011000000}" name="Y" totalsRowFunction="sum" dataDxfId="1107" totalsRowDxfId="1070"/>
    <tableColumn id="18" xr3:uid="{00000000-0010-0000-0E00-000012000000}" name="B" totalsRowFunction="sum" dataDxfId="1106" totalsRowDxfId="1069"/>
    <tableColumn id="19" xr3:uid="{00000000-0010-0000-0E00-000013000000}" name="M" totalsRowFunction="sum" dataDxfId="1105" totalsRowDxfId="1068"/>
    <tableColumn id="20" xr3:uid="{00000000-0010-0000-0E00-000014000000}" name="H" totalsRowFunction="sum" dataDxfId="1104" totalsRowDxfId="1067"/>
    <tableColumn id="21" xr3:uid="{00000000-0010-0000-0E00-000015000000}" name="Q" totalsRowFunction="sum" dataDxfId="1103" totalsRowDxfId="1066"/>
    <tableColumn id="22" xr3:uid="{00000000-0010-0000-0E00-000016000000}" name="K" totalsRowFunction="sum" dataDxfId="1102" totalsRowDxfId="1065"/>
    <tableColumn id="23" xr3:uid="{00000000-0010-0000-0E00-000017000000}" name="V" totalsRowFunction="sum" dataDxfId="1101" totalsRowDxfId="1064"/>
    <tableColumn id="24" xr3:uid="{00000000-0010-0000-0E00-000018000000}" name="L" totalsRowFunction="sum" dataDxfId="1100" totalsRowDxfId="1063"/>
    <tableColumn id="25" xr3:uid="{00000000-0010-0000-0E00-000019000000}" name="G" totalsRowFunction="sum" dataDxfId="1099" totalsRowDxfId="1062"/>
    <tableColumn id="26" xr3:uid="{00000000-0010-0000-0E00-00001A000000}" name="S" totalsRowFunction="sum" dataDxfId="1098" totalsRowDxfId="1061"/>
    <tableColumn id="27" xr3:uid="{00000000-0010-0000-0E00-00001B000000}" name="W" totalsRowFunction="sum" dataDxfId="1097" totalsRowDxfId="1060"/>
    <tableColumn id="28" xr3:uid="{00000000-0010-0000-0E00-00001C000000}" name="T" totalsRowFunction="sum" dataDxfId="1096" totalsRowDxfId="1059"/>
    <tableColumn id="29" xr3:uid="{00000000-0010-0000-0E00-00001D000000}" name="X" totalsRowFunction="sum" dataDxfId="1095" totalsRowDxfId="1058"/>
    <tableColumn id="30" xr3:uid="{00000000-0010-0000-0E00-00001E000000}" name="U" totalsRowFunction="sum" dataDxfId="1094" totalsRowDxfId="1057"/>
    <tableColumn id="31" xr3:uid="{00000000-0010-0000-0E00-00001F000000}" name="O" totalsRowFunction="sum" dataDxfId="1093" totalsRowDxfId="1056"/>
    <tableColumn id="32" xr3:uid="{00000000-0010-0000-0E00-000020000000}" name="I" totalsRowFunction="sum" dataDxfId="1092" totalsRowDxfId="1055"/>
    <tableColumn id="33" xr3:uid="{00000000-0010-0000-0E00-000021000000}" name="E" totalsRowFunction="sum" dataDxfId="1091" totalsRowDxfId="1054"/>
    <tableColumn id="34" xr3:uid="{00000000-0010-0000-0E00-000022000000}" name="A" totalsRowFunction="sum" dataDxfId="1090" totalsRowDxfId="1053"/>
    <tableColumn id="35" xr3:uid="{00000000-0010-0000-0E00-000023000000}" name="P" totalsRowFunction="sum" dataDxfId="1089" totalsRowDxfId="1052"/>
    <tableColumn id="36" xr3:uid="{00000000-0010-0000-0E00-000024000000}" name="N" totalsRowFunction="count" dataDxfId="1088" totalsRowDxfId="105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LXR_JED" displayName="FocusMode_LXR_JED" ref="A1:H8" totalsRowShown="0">
  <autoFilter ref="A1:H8"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SSH_JED" displayName="FocusMode_SSH_JED" ref="A1:H8" totalsRowShown="0">
  <autoFilter ref="A1:H8"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CAI_RUH_LF_LEGACY" displayName="CAI_RUH_LF_LEGACY" ref="A1:AJ16" totalsRowCount="1" headerRowDxfId="1049" dataDxfId="1012" totalsRowDxfId="975">
  <tableColumns count="36">
    <tableColumn id="1" xr3:uid="{00000000-0010-0000-1100-000001000000}" name="Day" totalsRowLabel="TOTAL" dataDxfId="1048" totalsRowDxfId="1011"/>
    <tableColumn id="2" xr3:uid="{00000000-0010-0000-1100-000002000000}" name="Flt Dt" dataDxfId="1047" totalsRowDxfId="1010"/>
    <tableColumn id="3" xr3:uid="{00000000-0010-0000-1100-000003000000}" name="Flt" totalsRowFunction="count" dataDxfId="1046" totalsRowDxfId="1009"/>
    <tableColumn id="4" xr3:uid="{00000000-0010-0000-1100-000004000000}" name="DEP" dataDxfId="1045" totalsRowDxfId="1008"/>
    <tableColumn id="5" xr3:uid="{00000000-0010-0000-1100-000005000000}" name="Brd-Off" totalsRowFunction="count" dataDxfId="1044" totalsRowDxfId="1007"/>
    <tableColumn id="6" xr3:uid="{00000000-0010-0000-1100-000006000000}" name="Eqp" dataDxfId="1043" totalsRowDxfId="1006"/>
    <tableColumn id="7" xr3:uid="{00000000-0010-0000-1100-000007000000}" name="LF%" totalsRowFunction="average" dataDxfId="1042" totalsRowDxfId="1005"/>
    <tableColumn id="8" xr3:uid="{00000000-0010-0000-1100-000008000000}" name="CAP" totalsRowFunction="sum" dataDxfId="1041" totalsRowDxfId="1004"/>
    <tableColumn id="9" xr3:uid="{00000000-0010-0000-1100-000009000000}" name="BKG(Y)" totalsRowFunction="sum" dataDxfId="1040" totalsRowDxfId="1003"/>
    <tableColumn id="10" xr3:uid="{00000000-0010-0000-1100-00000A000000}" name="GRP(Y)" totalsRowFunction="sum" dataDxfId="1039" totalsRowDxfId="1002"/>
    <tableColumn id="11" xr3:uid="{00000000-0010-0000-1100-00000B000000}" name="FLT ST" dataDxfId="1038" totalsRowDxfId="1001"/>
    <tableColumn id="12" xr3:uid="{00000000-0010-0000-1100-00000C000000}" name="LST-SOLD" dataDxfId="1037" totalsRowDxfId="1000"/>
    <tableColumn id="13" xr3:uid="{00000000-0010-0000-1100-00000D000000}" name="TO-DAY" totalsRowFunction="sum" dataDxfId="1036" totalsRowDxfId="999"/>
    <tableColumn id="14" xr3:uid="{00000000-0010-0000-1100-00000E000000}" name="Y-DAY" totalsRowFunction="sum" dataDxfId="1035" totalsRowDxfId="998"/>
    <tableColumn id="15" xr3:uid="{00000000-0010-0000-1100-00000F000000}" name="WEEKLY" totalsRowFunction="sum" dataDxfId="1034" totalsRowDxfId="997"/>
    <tableColumn id="16" xr3:uid="{00000000-0010-0000-1100-000010000000}" name="LOWEST AVAIL" dataDxfId="1033" totalsRowDxfId="996"/>
    <tableColumn id="17" xr3:uid="{00000000-0010-0000-1100-000011000000}" name="Y" totalsRowFunction="sum" dataDxfId="1032" totalsRowDxfId="995"/>
    <tableColumn id="18" xr3:uid="{00000000-0010-0000-1100-000012000000}" name="B" totalsRowFunction="sum" dataDxfId="1031" totalsRowDxfId="994"/>
    <tableColumn id="19" xr3:uid="{00000000-0010-0000-1100-000013000000}" name="M" totalsRowFunction="sum" dataDxfId="1030" totalsRowDxfId="993"/>
    <tableColumn id="20" xr3:uid="{00000000-0010-0000-1100-000014000000}" name="H" totalsRowFunction="sum" dataDxfId="1029" totalsRowDxfId="992"/>
    <tableColumn id="21" xr3:uid="{00000000-0010-0000-1100-000015000000}" name="Q" totalsRowFunction="sum" dataDxfId="1028" totalsRowDxfId="991"/>
    <tableColumn id="22" xr3:uid="{00000000-0010-0000-1100-000016000000}" name="K" totalsRowFunction="sum" dataDxfId="1027" totalsRowDxfId="990"/>
    <tableColumn id="23" xr3:uid="{00000000-0010-0000-1100-000017000000}" name="V" totalsRowFunction="sum" dataDxfId="1026" totalsRowDxfId="989"/>
    <tableColumn id="24" xr3:uid="{00000000-0010-0000-1100-000018000000}" name="L" totalsRowFunction="sum" dataDxfId="1025" totalsRowDxfId="988"/>
    <tableColumn id="25" xr3:uid="{00000000-0010-0000-1100-000019000000}" name="G" totalsRowFunction="sum" dataDxfId="1024" totalsRowDxfId="987"/>
    <tableColumn id="26" xr3:uid="{00000000-0010-0000-1100-00001A000000}" name="S" totalsRowFunction="sum" dataDxfId="1023" totalsRowDxfId="986"/>
    <tableColumn id="27" xr3:uid="{00000000-0010-0000-1100-00001B000000}" name="W" totalsRowFunction="sum" dataDxfId="1022" totalsRowDxfId="985"/>
    <tableColumn id="28" xr3:uid="{00000000-0010-0000-1100-00001C000000}" name="T" totalsRowFunction="sum" dataDxfId="1021" totalsRowDxfId="984"/>
    <tableColumn id="29" xr3:uid="{00000000-0010-0000-1100-00001D000000}" name="X" totalsRowFunction="sum" dataDxfId="1020" totalsRowDxfId="983"/>
    <tableColumn id="30" xr3:uid="{00000000-0010-0000-1100-00001E000000}" name="U" totalsRowFunction="sum" dataDxfId="1019" totalsRowDxfId="982"/>
    <tableColumn id="31" xr3:uid="{00000000-0010-0000-1100-00001F000000}" name="O" totalsRowFunction="sum" dataDxfId="1018" totalsRowDxfId="981"/>
    <tableColumn id="32" xr3:uid="{00000000-0010-0000-1100-000020000000}" name="I" totalsRowFunction="sum" dataDxfId="1017" totalsRowDxfId="980"/>
    <tableColumn id="33" xr3:uid="{00000000-0010-0000-1100-000021000000}" name="E" totalsRowFunction="sum" dataDxfId="1016" totalsRowDxfId="979"/>
    <tableColumn id="34" xr3:uid="{00000000-0010-0000-1100-000022000000}" name="A" totalsRowFunction="sum" dataDxfId="1015" totalsRowDxfId="978"/>
    <tableColumn id="35" xr3:uid="{00000000-0010-0000-1100-000023000000}" name="P" totalsRowFunction="sum" dataDxfId="1014" totalsRowDxfId="977"/>
    <tableColumn id="36" xr3:uid="{00000000-0010-0000-1100-000024000000}" name="N" totalsRowFunction="count" dataDxfId="1013" totalsRowDxfId="976"/>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CAI_RUH" displayName="FocusMode_CAI_RUH" ref="A1:H585" totalsRowShown="0">
  <autoFilter ref="A1:H585"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hreatsAlert_CAI_RUH" displayName="ThreatsAlert_CAI_RUH" ref="A1:H21" totalsRowShown="0">
  <autoFilter ref="A1:H21"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ATZ_RUH_LF_LEGACY" displayName="ATZ_RUH_LF_LEGACY" ref="A1:AJ6" totalsRowCount="1" headerRowDxfId="974" dataDxfId="937" totalsRowDxfId="900">
  <tableColumns count="36">
    <tableColumn id="1" xr3:uid="{00000000-0010-0000-1400-000001000000}" name="Day" totalsRowLabel="TOTAL" dataDxfId="973" totalsRowDxfId="936"/>
    <tableColumn id="2" xr3:uid="{00000000-0010-0000-1400-000002000000}" name="Flt Dt" dataDxfId="972" totalsRowDxfId="935"/>
    <tableColumn id="3" xr3:uid="{00000000-0010-0000-1400-000003000000}" name="Flt" totalsRowFunction="count" dataDxfId="971" totalsRowDxfId="934"/>
    <tableColumn id="4" xr3:uid="{00000000-0010-0000-1400-000004000000}" name="DEP" dataDxfId="970" totalsRowDxfId="933"/>
    <tableColumn id="5" xr3:uid="{00000000-0010-0000-1400-000005000000}" name="Brd-Off" totalsRowFunction="count" dataDxfId="969" totalsRowDxfId="932"/>
    <tableColumn id="6" xr3:uid="{00000000-0010-0000-1400-000006000000}" name="Eqp" dataDxfId="968" totalsRowDxfId="931"/>
    <tableColumn id="7" xr3:uid="{00000000-0010-0000-1400-000007000000}" name="LF%" totalsRowFunction="average" dataDxfId="967" totalsRowDxfId="930"/>
    <tableColumn id="8" xr3:uid="{00000000-0010-0000-1400-000008000000}" name="CAP" totalsRowFunction="sum" dataDxfId="966" totalsRowDxfId="929"/>
    <tableColumn id="9" xr3:uid="{00000000-0010-0000-1400-000009000000}" name="BKG(Y)" totalsRowFunction="sum" dataDxfId="965" totalsRowDxfId="928"/>
    <tableColumn id="10" xr3:uid="{00000000-0010-0000-1400-00000A000000}" name="GRP(Y)" totalsRowFunction="sum" dataDxfId="964" totalsRowDxfId="927"/>
    <tableColumn id="11" xr3:uid="{00000000-0010-0000-1400-00000B000000}" name="FLT ST" dataDxfId="963" totalsRowDxfId="926"/>
    <tableColumn id="12" xr3:uid="{00000000-0010-0000-1400-00000C000000}" name="LST-SOLD" dataDxfId="962" totalsRowDxfId="925"/>
    <tableColumn id="13" xr3:uid="{00000000-0010-0000-1400-00000D000000}" name="TO-DAY" totalsRowFunction="sum" dataDxfId="961" totalsRowDxfId="924"/>
    <tableColumn id="14" xr3:uid="{00000000-0010-0000-1400-00000E000000}" name="Y-DAY" totalsRowFunction="sum" dataDxfId="960" totalsRowDxfId="923"/>
    <tableColumn id="15" xr3:uid="{00000000-0010-0000-1400-00000F000000}" name="WEEKLY" totalsRowFunction="sum" dataDxfId="959" totalsRowDxfId="922"/>
    <tableColumn id="16" xr3:uid="{00000000-0010-0000-1400-000010000000}" name="LOWEST AVAIL" dataDxfId="958" totalsRowDxfId="921"/>
    <tableColumn id="17" xr3:uid="{00000000-0010-0000-1400-000011000000}" name="Y" totalsRowFunction="sum" dataDxfId="957" totalsRowDxfId="920"/>
    <tableColumn id="18" xr3:uid="{00000000-0010-0000-1400-000012000000}" name="B" totalsRowFunction="sum" dataDxfId="956" totalsRowDxfId="919"/>
    <tableColumn id="19" xr3:uid="{00000000-0010-0000-1400-000013000000}" name="M" totalsRowFunction="sum" dataDxfId="955" totalsRowDxfId="918"/>
    <tableColumn id="20" xr3:uid="{00000000-0010-0000-1400-000014000000}" name="H" totalsRowFunction="sum" dataDxfId="954" totalsRowDxfId="917"/>
    <tableColumn id="21" xr3:uid="{00000000-0010-0000-1400-000015000000}" name="Q" totalsRowFunction="sum" dataDxfId="953" totalsRowDxfId="916"/>
    <tableColumn id="22" xr3:uid="{00000000-0010-0000-1400-000016000000}" name="K" totalsRowFunction="sum" dataDxfId="952" totalsRowDxfId="915"/>
    <tableColumn id="23" xr3:uid="{00000000-0010-0000-1400-000017000000}" name="V" totalsRowFunction="sum" dataDxfId="951" totalsRowDxfId="914"/>
    <tableColumn id="24" xr3:uid="{00000000-0010-0000-1400-000018000000}" name="L" totalsRowFunction="sum" dataDxfId="950" totalsRowDxfId="913"/>
    <tableColumn id="25" xr3:uid="{00000000-0010-0000-1400-000019000000}" name="G" totalsRowFunction="sum" dataDxfId="949" totalsRowDxfId="912"/>
    <tableColumn id="26" xr3:uid="{00000000-0010-0000-1400-00001A000000}" name="S" totalsRowFunction="sum" dataDxfId="948" totalsRowDxfId="911"/>
    <tableColumn id="27" xr3:uid="{00000000-0010-0000-1400-00001B000000}" name="W" totalsRowFunction="sum" dataDxfId="947" totalsRowDxfId="910"/>
    <tableColumn id="28" xr3:uid="{00000000-0010-0000-1400-00001C000000}" name="T" totalsRowFunction="sum" dataDxfId="946" totalsRowDxfId="909"/>
    <tableColumn id="29" xr3:uid="{00000000-0010-0000-1400-00001D000000}" name="X" totalsRowFunction="sum" dataDxfId="945" totalsRowDxfId="908"/>
    <tableColumn id="30" xr3:uid="{00000000-0010-0000-1400-00001E000000}" name="U" totalsRowFunction="sum" dataDxfId="944" totalsRowDxfId="907"/>
    <tableColumn id="31" xr3:uid="{00000000-0010-0000-1400-00001F000000}" name="O" totalsRowFunction="sum" dataDxfId="943" totalsRowDxfId="906"/>
    <tableColumn id="32" xr3:uid="{00000000-0010-0000-1400-000020000000}" name="I" totalsRowFunction="sum" dataDxfId="942" totalsRowDxfId="905"/>
    <tableColumn id="33" xr3:uid="{00000000-0010-0000-1400-000021000000}" name="E" totalsRowFunction="sum" dataDxfId="941" totalsRowDxfId="904"/>
    <tableColumn id="34" xr3:uid="{00000000-0010-0000-1400-000022000000}" name="A" totalsRowFunction="sum" dataDxfId="940" totalsRowDxfId="903"/>
    <tableColumn id="35" xr3:uid="{00000000-0010-0000-1400-000023000000}" name="P" totalsRowFunction="sum" dataDxfId="939" totalsRowDxfId="902"/>
    <tableColumn id="36" xr3:uid="{00000000-0010-0000-1400-000024000000}" name="N" totalsRowFunction="count" dataDxfId="938" totalsRowDxfId="901"/>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ATZ_RUH" displayName="FocusMode_ATZ_RUH" ref="A1:H145" totalsRowShown="0">
  <autoFilter ref="A1:H145"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CAI_DMM_LF_LEGACY" displayName="CAI_DMM_LF_LEGACY" ref="A1:AJ9" totalsRowCount="1" headerRowDxfId="899" dataDxfId="862" totalsRowDxfId="825">
  <tableColumns count="36">
    <tableColumn id="1" xr3:uid="{00000000-0010-0000-1600-000001000000}" name="Day" totalsRowLabel="TOTAL" dataDxfId="898" totalsRowDxfId="861"/>
    <tableColumn id="2" xr3:uid="{00000000-0010-0000-1600-000002000000}" name="Flt Dt" dataDxfId="897" totalsRowDxfId="860"/>
    <tableColumn id="3" xr3:uid="{00000000-0010-0000-1600-000003000000}" name="Flt" totalsRowFunction="count" dataDxfId="896" totalsRowDxfId="859"/>
    <tableColumn id="4" xr3:uid="{00000000-0010-0000-1600-000004000000}" name="DEP" dataDxfId="895" totalsRowDxfId="858"/>
    <tableColumn id="5" xr3:uid="{00000000-0010-0000-1600-000005000000}" name="Brd-Off" totalsRowFunction="count" dataDxfId="894" totalsRowDxfId="857"/>
    <tableColumn id="6" xr3:uid="{00000000-0010-0000-1600-000006000000}" name="Eqp" dataDxfId="893" totalsRowDxfId="856"/>
    <tableColumn id="7" xr3:uid="{00000000-0010-0000-1600-000007000000}" name="LF%" totalsRowFunction="average" dataDxfId="892" totalsRowDxfId="855"/>
    <tableColumn id="8" xr3:uid="{00000000-0010-0000-1600-000008000000}" name="CAP" totalsRowFunction="sum" dataDxfId="891" totalsRowDxfId="854"/>
    <tableColumn id="9" xr3:uid="{00000000-0010-0000-1600-000009000000}" name="BKG(Y)" totalsRowFunction="sum" dataDxfId="890" totalsRowDxfId="853"/>
    <tableColumn id="10" xr3:uid="{00000000-0010-0000-1600-00000A000000}" name="GRP(Y)" totalsRowFunction="sum" dataDxfId="889" totalsRowDxfId="852"/>
    <tableColumn id="11" xr3:uid="{00000000-0010-0000-1600-00000B000000}" name="FLT ST" dataDxfId="888" totalsRowDxfId="851"/>
    <tableColumn id="12" xr3:uid="{00000000-0010-0000-1600-00000C000000}" name="LST-SOLD" dataDxfId="887" totalsRowDxfId="850"/>
    <tableColumn id="13" xr3:uid="{00000000-0010-0000-1600-00000D000000}" name="TO-DAY" totalsRowFunction="sum" dataDxfId="886" totalsRowDxfId="849"/>
    <tableColumn id="14" xr3:uid="{00000000-0010-0000-1600-00000E000000}" name="Y-DAY" totalsRowFunction="sum" dataDxfId="885" totalsRowDxfId="848"/>
    <tableColumn id="15" xr3:uid="{00000000-0010-0000-1600-00000F000000}" name="WEEKLY" totalsRowFunction="sum" dataDxfId="884" totalsRowDxfId="847"/>
    <tableColumn id="16" xr3:uid="{00000000-0010-0000-1600-000010000000}" name="LOWEST AVAIL" dataDxfId="883" totalsRowDxfId="846"/>
    <tableColumn id="17" xr3:uid="{00000000-0010-0000-1600-000011000000}" name="Y" totalsRowFunction="sum" dataDxfId="882" totalsRowDxfId="845"/>
    <tableColumn id="18" xr3:uid="{00000000-0010-0000-1600-000012000000}" name="B" totalsRowFunction="sum" dataDxfId="881" totalsRowDxfId="844"/>
    <tableColumn id="19" xr3:uid="{00000000-0010-0000-1600-000013000000}" name="M" totalsRowFunction="sum" dataDxfId="880" totalsRowDxfId="843"/>
    <tableColumn id="20" xr3:uid="{00000000-0010-0000-1600-000014000000}" name="H" totalsRowFunction="sum" dataDxfId="879" totalsRowDxfId="842"/>
    <tableColumn id="21" xr3:uid="{00000000-0010-0000-1600-000015000000}" name="Q" totalsRowFunction="sum" dataDxfId="878" totalsRowDxfId="841"/>
    <tableColumn id="22" xr3:uid="{00000000-0010-0000-1600-000016000000}" name="K" totalsRowFunction="sum" dataDxfId="877" totalsRowDxfId="840"/>
    <tableColumn id="23" xr3:uid="{00000000-0010-0000-1600-000017000000}" name="V" totalsRowFunction="sum" dataDxfId="876" totalsRowDxfId="839"/>
    <tableColumn id="24" xr3:uid="{00000000-0010-0000-1600-000018000000}" name="L" totalsRowFunction="sum" dataDxfId="875" totalsRowDxfId="838"/>
    <tableColumn id="25" xr3:uid="{00000000-0010-0000-1600-000019000000}" name="G" totalsRowFunction="sum" dataDxfId="874" totalsRowDxfId="837"/>
    <tableColumn id="26" xr3:uid="{00000000-0010-0000-1600-00001A000000}" name="S" totalsRowFunction="sum" dataDxfId="873" totalsRowDxfId="836"/>
    <tableColumn id="27" xr3:uid="{00000000-0010-0000-1600-00001B000000}" name="W" totalsRowFunction="sum" dataDxfId="872" totalsRowDxfId="835"/>
    <tableColumn id="28" xr3:uid="{00000000-0010-0000-1600-00001C000000}" name="T" totalsRowFunction="sum" dataDxfId="871" totalsRowDxfId="834"/>
    <tableColumn id="29" xr3:uid="{00000000-0010-0000-1600-00001D000000}" name="X" totalsRowFunction="sum" dataDxfId="870" totalsRowDxfId="833"/>
    <tableColumn id="30" xr3:uid="{00000000-0010-0000-1600-00001E000000}" name="U" totalsRowFunction="sum" dataDxfId="869" totalsRowDxfId="832"/>
    <tableColumn id="31" xr3:uid="{00000000-0010-0000-1600-00001F000000}" name="O" totalsRowFunction="sum" dataDxfId="868" totalsRowDxfId="831"/>
    <tableColumn id="32" xr3:uid="{00000000-0010-0000-1600-000020000000}" name="I" totalsRowFunction="sum" dataDxfId="867" totalsRowDxfId="830"/>
    <tableColumn id="33" xr3:uid="{00000000-0010-0000-1600-000021000000}" name="E" totalsRowFunction="sum" dataDxfId="866" totalsRowDxfId="829"/>
    <tableColumn id="34" xr3:uid="{00000000-0010-0000-1600-000022000000}" name="A" totalsRowFunction="sum" dataDxfId="865" totalsRowDxfId="828"/>
    <tableColumn id="35" xr3:uid="{00000000-0010-0000-1600-000023000000}" name="P" totalsRowFunction="sum" dataDxfId="864" totalsRowDxfId="827"/>
    <tableColumn id="36" xr3:uid="{00000000-0010-0000-1600-000024000000}" name="N" totalsRowFunction="count" dataDxfId="863" totalsRowDxfId="826"/>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CAI_DMM" displayName="FocusMode_CAI_DMM" ref="A1:H171" totalsRowShown="0">
  <autoFilter ref="A1:H171"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hreatsAlert_CAI_DMM" displayName="ThreatsAlert_CAI_DMM" ref="A1:H62" totalsRowShown="0">
  <autoFilter ref="A1:H62" xr:uid="{00000000-0009-0000-0100-000019000000}"/>
  <tableColumns count="8">
    <tableColumn id="1" xr3:uid="{00000000-0010-0000-1800-000001000000}" name="DATE"/>
    <tableColumn id="2" xr3:uid="{00000000-0010-0000-1800-000002000000}" name="AIRLINE"/>
    <tableColumn id="3" xr3:uid="{00000000-0010-0000-1800-000003000000}" name="FLIGHT NUM"/>
    <tableColumn id="4" xr3:uid="{00000000-0010-0000-1800-000004000000}" name="ROUTE"/>
    <tableColumn id="5" xr3:uid="{00000000-0010-0000-1800-000005000000}" name="DEPARTURE"/>
    <tableColumn id="6" xr3:uid="{00000000-0010-0000-1800-000006000000}" name="BAGGAGE"/>
    <tableColumn id="7" xr3:uid="{00000000-0010-0000-1800-000007000000}" name="AVAILABILITY"/>
    <tableColumn id="8" xr3:uid="{00000000-0010-0000-1800-000008000000}" name="PUBLISHED FAR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ATZ_DMM_LF_LEGACY" displayName="ATZ_DMM_LF_LEGACY" ref="A1:AJ5" totalsRowCount="1" headerRowDxfId="824" dataDxfId="787" totalsRowDxfId="750">
  <tableColumns count="36">
    <tableColumn id="1" xr3:uid="{00000000-0010-0000-1900-000001000000}" name="Day" totalsRowLabel="TOTAL" dataDxfId="823" totalsRowDxfId="786"/>
    <tableColumn id="2" xr3:uid="{00000000-0010-0000-1900-000002000000}" name="Flt Dt" dataDxfId="822" totalsRowDxfId="785"/>
    <tableColumn id="3" xr3:uid="{00000000-0010-0000-1900-000003000000}" name="Flt" totalsRowFunction="count" dataDxfId="821" totalsRowDxfId="784"/>
    <tableColumn id="4" xr3:uid="{00000000-0010-0000-1900-000004000000}" name="DEP" dataDxfId="820" totalsRowDxfId="783"/>
    <tableColumn id="5" xr3:uid="{00000000-0010-0000-1900-000005000000}" name="Brd-Off" totalsRowFunction="count" dataDxfId="819" totalsRowDxfId="782"/>
    <tableColumn id="6" xr3:uid="{00000000-0010-0000-1900-000006000000}" name="Eqp" dataDxfId="818" totalsRowDxfId="781"/>
    <tableColumn id="7" xr3:uid="{00000000-0010-0000-1900-000007000000}" name="LF%" totalsRowFunction="average" dataDxfId="817" totalsRowDxfId="780"/>
    <tableColumn id="8" xr3:uid="{00000000-0010-0000-1900-000008000000}" name="CAP" totalsRowFunction="sum" dataDxfId="816" totalsRowDxfId="779"/>
    <tableColumn id="9" xr3:uid="{00000000-0010-0000-1900-000009000000}" name="BKG(Y)" totalsRowFunction="sum" dataDxfId="815" totalsRowDxfId="778"/>
    <tableColumn id="10" xr3:uid="{00000000-0010-0000-1900-00000A000000}" name="GRP(Y)" totalsRowFunction="sum" dataDxfId="814" totalsRowDxfId="777"/>
    <tableColumn id="11" xr3:uid="{00000000-0010-0000-1900-00000B000000}" name="FLT ST" dataDxfId="813" totalsRowDxfId="776"/>
    <tableColumn id="12" xr3:uid="{00000000-0010-0000-1900-00000C000000}" name="LST-SOLD" dataDxfId="812" totalsRowDxfId="775"/>
    <tableColumn id="13" xr3:uid="{00000000-0010-0000-1900-00000D000000}" name="TO-DAY" totalsRowFunction="sum" dataDxfId="811" totalsRowDxfId="774"/>
    <tableColumn id="14" xr3:uid="{00000000-0010-0000-1900-00000E000000}" name="Y-DAY" totalsRowFunction="sum" dataDxfId="810" totalsRowDxfId="773"/>
    <tableColumn id="15" xr3:uid="{00000000-0010-0000-1900-00000F000000}" name="WEEKLY" totalsRowFunction="sum" dataDxfId="809" totalsRowDxfId="772"/>
    <tableColumn id="16" xr3:uid="{00000000-0010-0000-1900-000010000000}" name="LOWEST AVAIL" dataDxfId="808" totalsRowDxfId="771"/>
    <tableColumn id="17" xr3:uid="{00000000-0010-0000-1900-000011000000}" name="Y" totalsRowFunction="sum" dataDxfId="807" totalsRowDxfId="770"/>
    <tableColumn id="18" xr3:uid="{00000000-0010-0000-1900-000012000000}" name="B" totalsRowFunction="sum" dataDxfId="806" totalsRowDxfId="769"/>
    <tableColumn id="19" xr3:uid="{00000000-0010-0000-1900-000013000000}" name="M" totalsRowFunction="sum" dataDxfId="805" totalsRowDxfId="768"/>
    <tableColumn id="20" xr3:uid="{00000000-0010-0000-1900-000014000000}" name="H" totalsRowFunction="sum" dataDxfId="804" totalsRowDxfId="767"/>
    <tableColumn id="21" xr3:uid="{00000000-0010-0000-1900-000015000000}" name="Q" totalsRowFunction="sum" dataDxfId="803" totalsRowDxfId="766"/>
    <tableColumn id="22" xr3:uid="{00000000-0010-0000-1900-000016000000}" name="K" totalsRowFunction="sum" dataDxfId="802" totalsRowDxfId="765"/>
    <tableColumn id="23" xr3:uid="{00000000-0010-0000-1900-000017000000}" name="V" totalsRowFunction="sum" dataDxfId="801" totalsRowDxfId="764"/>
    <tableColumn id="24" xr3:uid="{00000000-0010-0000-1900-000018000000}" name="L" totalsRowFunction="sum" dataDxfId="800" totalsRowDxfId="763"/>
    <tableColumn id="25" xr3:uid="{00000000-0010-0000-1900-000019000000}" name="G" totalsRowFunction="sum" dataDxfId="799" totalsRowDxfId="762"/>
    <tableColumn id="26" xr3:uid="{00000000-0010-0000-1900-00001A000000}" name="S" totalsRowFunction="sum" dataDxfId="798" totalsRowDxfId="761"/>
    <tableColumn id="27" xr3:uid="{00000000-0010-0000-1900-00001B000000}" name="W" totalsRowFunction="sum" dataDxfId="797" totalsRowDxfId="760"/>
    <tableColumn id="28" xr3:uid="{00000000-0010-0000-1900-00001C000000}" name="T" totalsRowFunction="sum" dataDxfId="796" totalsRowDxfId="759"/>
    <tableColumn id="29" xr3:uid="{00000000-0010-0000-1900-00001D000000}" name="X" totalsRowFunction="sum" dataDxfId="795" totalsRowDxfId="758"/>
    <tableColumn id="30" xr3:uid="{00000000-0010-0000-1900-00001E000000}" name="U" totalsRowFunction="sum" dataDxfId="794" totalsRowDxfId="757"/>
    <tableColumn id="31" xr3:uid="{00000000-0010-0000-1900-00001F000000}" name="O" totalsRowFunction="sum" dataDxfId="793" totalsRowDxfId="756"/>
    <tableColumn id="32" xr3:uid="{00000000-0010-0000-1900-000020000000}" name="I" totalsRowFunction="sum" dataDxfId="792" totalsRowDxfId="755"/>
    <tableColumn id="33" xr3:uid="{00000000-0010-0000-1900-000021000000}" name="E" totalsRowFunction="sum" dataDxfId="791" totalsRowDxfId="754"/>
    <tableColumn id="34" xr3:uid="{00000000-0010-0000-1900-000022000000}" name="A" totalsRowFunction="sum" dataDxfId="790" totalsRowDxfId="753"/>
    <tableColumn id="35" xr3:uid="{00000000-0010-0000-1900-000023000000}" name="P" totalsRowFunction="sum" dataDxfId="789" totalsRowDxfId="752"/>
    <tableColumn id="36" xr3:uid="{00000000-0010-0000-1900-000024000000}" name="N" totalsRowFunction="count" dataDxfId="788" totalsRowDxfId="75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FocusMode_ATZ_DMM" displayName="FocusMode_ATZ_DMM" ref="A1:H125" totalsRowShown="0">
  <autoFilter ref="A1:H125"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CAI_TUU_LF_LEGACY" displayName="CAI_TUU_LF_LEGACY" ref="A1:AJ7" totalsRowCount="1" headerRowDxfId="749" dataDxfId="712" totalsRowDxfId="675">
  <tableColumns count="36">
    <tableColumn id="1" xr3:uid="{00000000-0010-0000-1B00-000001000000}" name="Day" totalsRowLabel="TOTAL" dataDxfId="748" totalsRowDxfId="711"/>
    <tableColumn id="2" xr3:uid="{00000000-0010-0000-1B00-000002000000}" name="Flt Dt" dataDxfId="747" totalsRowDxfId="710"/>
    <tableColumn id="3" xr3:uid="{00000000-0010-0000-1B00-000003000000}" name="Flt" totalsRowFunction="count" dataDxfId="746" totalsRowDxfId="709"/>
    <tableColumn id="4" xr3:uid="{00000000-0010-0000-1B00-000004000000}" name="DEP" dataDxfId="745" totalsRowDxfId="708"/>
    <tableColumn id="5" xr3:uid="{00000000-0010-0000-1B00-000005000000}" name="Brd-Off" totalsRowFunction="count" dataDxfId="744" totalsRowDxfId="707"/>
    <tableColumn id="6" xr3:uid="{00000000-0010-0000-1B00-000006000000}" name="Eqp" dataDxfId="743" totalsRowDxfId="706"/>
    <tableColumn id="7" xr3:uid="{00000000-0010-0000-1B00-000007000000}" name="LF%" totalsRowFunction="average" dataDxfId="742" totalsRowDxfId="705"/>
    <tableColumn id="8" xr3:uid="{00000000-0010-0000-1B00-000008000000}" name="CAP" totalsRowFunction="sum" dataDxfId="741" totalsRowDxfId="704"/>
    <tableColumn id="9" xr3:uid="{00000000-0010-0000-1B00-000009000000}" name="BKG(Y)" totalsRowFunction="sum" dataDxfId="740" totalsRowDxfId="703"/>
    <tableColumn id="10" xr3:uid="{00000000-0010-0000-1B00-00000A000000}" name="GRP(Y)" totalsRowFunction="sum" dataDxfId="739" totalsRowDxfId="702"/>
    <tableColumn id="11" xr3:uid="{00000000-0010-0000-1B00-00000B000000}" name="FLT ST" dataDxfId="738" totalsRowDxfId="701"/>
    <tableColumn id="12" xr3:uid="{00000000-0010-0000-1B00-00000C000000}" name="LST-SOLD" dataDxfId="737" totalsRowDxfId="700"/>
    <tableColumn id="13" xr3:uid="{00000000-0010-0000-1B00-00000D000000}" name="TO-DAY" totalsRowFunction="sum" dataDxfId="736" totalsRowDxfId="699"/>
    <tableColumn id="14" xr3:uid="{00000000-0010-0000-1B00-00000E000000}" name="Y-DAY" totalsRowFunction="sum" dataDxfId="735" totalsRowDxfId="698"/>
    <tableColumn id="15" xr3:uid="{00000000-0010-0000-1B00-00000F000000}" name="WEEKLY" totalsRowFunction="sum" dataDxfId="734" totalsRowDxfId="697"/>
    <tableColumn id="16" xr3:uid="{00000000-0010-0000-1B00-000010000000}" name="LOWEST AVAIL" dataDxfId="733" totalsRowDxfId="696"/>
    <tableColumn id="17" xr3:uid="{00000000-0010-0000-1B00-000011000000}" name="Y" totalsRowFunction="sum" dataDxfId="732" totalsRowDxfId="695"/>
    <tableColumn id="18" xr3:uid="{00000000-0010-0000-1B00-000012000000}" name="B" totalsRowFunction="sum" dataDxfId="731" totalsRowDxfId="694"/>
    <tableColumn id="19" xr3:uid="{00000000-0010-0000-1B00-000013000000}" name="M" totalsRowFunction="sum" dataDxfId="730" totalsRowDxfId="693"/>
    <tableColumn id="20" xr3:uid="{00000000-0010-0000-1B00-000014000000}" name="H" totalsRowFunction="sum" dataDxfId="729" totalsRowDxfId="692"/>
    <tableColumn id="21" xr3:uid="{00000000-0010-0000-1B00-000015000000}" name="Q" totalsRowFunction="sum" dataDxfId="728" totalsRowDxfId="691"/>
    <tableColumn id="22" xr3:uid="{00000000-0010-0000-1B00-000016000000}" name="K" totalsRowFunction="sum" dataDxfId="727" totalsRowDxfId="690"/>
    <tableColumn id="23" xr3:uid="{00000000-0010-0000-1B00-000017000000}" name="V" totalsRowFunction="sum" dataDxfId="726" totalsRowDxfId="689"/>
    <tableColumn id="24" xr3:uid="{00000000-0010-0000-1B00-000018000000}" name="L" totalsRowFunction="sum" dataDxfId="725" totalsRowDxfId="688"/>
    <tableColumn id="25" xr3:uid="{00000000-0010-0000-1B00-000019000000}" name="G" totalsRowFunction="sum" dataDxfId="724" totalsRowDxfId="687"/>
    <tableColumn id="26" xr3:uid="{00000000-0010-0000-1B00-00001A000000}" name="S" totalsRowFunction="sum" dataDxfId="723" totalsRowDxfId="686"/>
    <tableColumn id="27" xr3:uid="{00000000-0010-0000-1B00-00001B000000}" name="W" totalsRowFunction="sum" dataDxfId="722" totalsRowDxfId="685"/>
    <tableColumn id="28" xr3:uid="{00000000-0010-0000-1B00-00001C000000}" name="T" totalsRowFunction="sum" dataDxfId="721" totalsRowDxfId="684"/>
    <tableColumn id="29" xr3:uid="{00000000-0010-0000-1B00-00001D000000}" name="X" totalsRowFunction="sum" dataDxfId="720" totalsRowDxfId="683"/>
    <tableColumn id="30" xr3:uid="{00000000-0010-0000-1B00-00001E000000}" name="U" totalsRowFunction="sum" dataDxfId="719" totalsRowDxfId="682"/>
    <tableColumn id="31" xr3:uid="{00000000-0010-0000-1B00-00001F000000}" name="O" totalsRowFunction="sum" dataDxfId="718" totalsRowDxfId="681"/>
    <tableColumn id="32" xr3:uid="{00000000-0010-0000-1B00-000020000000}" name="I" totalsRowFunction="sum" dataDxfId="717" totalsRowDxfId="680"/>
    <tableColumn id="33" xr3:uid="{00000000-0010-0000-1B00-000021000000}" name="E" totalsRowFunction="sum" dataDxfId="716" totalsRowDxfId="679"/>
    <tableColumn id="34" xr3:uid="{00000000-0010-0000-1B00-000022000000}" name="A" totalsRowFunction="sum" dataDxfId="715" totalsRowDxfId="678"/>
    <tableColumn id="35" xr3:uid="{00000000-0010-0000-1B00-000023000000}" name="P" totalsRowFunction="sum" dataDxfId="714" totalsRowDxfId="677"/>
    <tableColumn id="36" xr3:uid="{00000000-0010-0000-1B00-000024000000}" name="N" totalsRowFunction="count" dataDxfId="713" totalsRowDxfId="676"/>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CAI_TUU" displayName="FocusMode_CAI_TUU" ref="A1:H37" totalsRowShown="0">
  <autoFilter ref="A1:H37"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hreatsAlert_CAI_TUU" displayName="ThreatsAlert_CAI_TUU" ref="A1:H26" totalsRowShown="0">
  <autoFilter ref="A1:H26" xr:uid="{00000000-0009-0000-0100-00001E000000}"/>
  <tableColumns count="8">
    <tableColumn id="1" xr3:uid="{00000000-0010-0000-1D00-000001000000}" name="DATE"/>
    <tableColumn id="2" xr3:uid="{00000000-0010-0000-1D00-000002000000}" name="AIRLINE"/>
    <tableColumn id="3" xr3:uid="{00000000-0010-0000-1D00-000003000000}" name="FLIGHT NUM"/>
    <tableColumn id="4" xr3:uid="{00000000-0010-0000-1D00-000004000000}" name="ROUTE"/>
    <tableColumn id="5" xr3:uid="{00000000-0010-0000-1D00-000005000000}" name="DEPARTURE"/>
    <tableColumn id="6" xr3:uid="{00000000-0010-0000-1D00-000006000000}" name="BAGGAGE"/>
    <tableColumn id="7" xr3:uid="{00000000-0010-0000-1D00-000007000000}" name="AVAILABILITY"/>
    <tableColumn id="8" xr3:uid="{00000000-0010-0000-1D00-000008000000}" name="PUBLISHED FAR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ATZ_TUU_LF_LEGACY" displayName="ATZ_TUU_LF_LEGACY" ref="A1:AJ4" totalsRowCount="1" headerRowDxfId="674" dataDxfId="637" totalsRowDxfId="600">
  <tableColumns count="36">
    <tableColumn id="1" xr3:uid="{00000000-0010-0000-1E00-000001000000}" name="Day" totalsRowLabel="TOTAL" dataDxfId="673" totalsRowDxfId="636"/>
    <tableColumn id="2" xr3:uid="{00000000-0010-0000-1E00-000002000000}" name="Flt Dt" dataDxfId="672" totalsRowDxfId="635"/>
    <tableColumn id="3" xr3:uid="{00000000-0010-0000-1E00-000003000000}" name="Flt" totalsRowFunction="count" dataDxfId="671" totalsRowDxfId="634"/>
    <tableColumn id="4" xr3:uid="{00000000-0010-0000-1E00-000004000000}" name="DEP" dataDxfId="670" totalsRowDxfId="633"/>
    <tableColumn id="5" xr3:uid="{00000000-0010-0000-1E00-000005000000}" name="Brd-Off" totalsRowFunction="count" dataDxfId="669" totalsRowDxfId="632"/>
    <tableColumn id="6" xr3:uid="{00000000-0010-0000-1E00-000006000000}" name="Eqp" dataDxfId="668" totalsRowDxfId="631"/>
    <tableColumn id="7" xr3:uid="{00000000-0010-0000-1E00-000007000000}" name="LF%" totalsRowFunction="average" dataDxfId="667" totalsRowDxfId="630"/>
    <tableColumn id="8" xr3:uid="{00000000-0010-0000-1E00-000008000000}" name="CAP" totalsRowFunction="sum" dataDxfId="666" totalsRowDxfId="629"/>
    <tableColumn id="9" xr3:uid="{00000000-0010-0000-1E00-000009000000}" name="BKG(Y)" totalsRowFunction="sum" dataDxfId="665" totalsRowDxfId="628"/>
    <tableColumn id="10" xr3:uid="{00000000-0010-0000-1E00-00000A000000}" name="GRP(Y)" totalsRowFunction="sum" dataDxfId="664" totalsRowDxfId="627"/>
    <tableColumn id="11" xr3:uid="{00000000-0010-0000-1E00-00000B000000}" name="FLT ST" dataDxfId="663" totalsRowDxfId="626"/>
    <tableColumn id="12" xr3:uid="{00000000-0010-0000-1E00-00000C000000}" name="LST-SOLD" dataDxfId="662" totalsRowDxfId="625"/>
    <tableColumn id="13" xr3:uid="{00000000-0010-0000-1E00-00000D000000}" name="TO-DAY" totalsRowFunction="sum" dataDxfId="661" totalsRowDxfId="624"/>
    <tableColumn id="14" xr3:uid="{00000000-0010-0000-1E00-00000E000000}" name="Y-DAY" totalsRowFunction="sum" dataDxfId="660" totalsRowDxfId="623"/>
    <tableColumn id="15" xr3:uid="{00000000-0010-0000-1E00-00000F000000}" name="WEEKLY" totalsRowFunction="sum" dataDxfId="659" totalsRowDxfId="622"/>
    <tableColumn id="16" xr3:uid="{00000000-0010-0000-1E00-000010000000}" name="LOWEST AVAIL" dataDxfId="658" totalsRowDxfId="621"/>
    <tableColumn id="17" xr3:uid="{00000000-0010-0000-1E00-000011000000}" name="Y" totalsRowFunction="sum" dataDxfId="657" totalsRowDxfId="620"/>
    <tableColumn id="18" xr3:uid="{00000000-0010-0000-1E00-000012000000}" name="B" totalsRowFunction="sum" dataDxfId="656" totalsRowDxfId="619"/>
    <tableColumn id="19" xr3:uid="{00000000-0010-0000-1E00-000013000000}" name="M" totalsRowFunction="sum" dataDxfId="655" totalsRowDxfId="618"/>
    <tableColumn id="20" xr3:uid="{00000000-0010-0000-1E00-000014000000}" name="H" totalsRowFunction="sum" dataDxfId="654" totalsRowDxfId="617"/>
    <tableColumn id="21" xr3:uid="{00000000-0010-0000-1E00-000015000000}" name="Q" totalsRowFunction="sum" dataDxfId="653" totalsRowDxfId="616"/>
    <tableColumn id="22" xr3:uid="{00000000-0010-0000-1E00-000016000000}" name="K" totalsRowFunction="sum" dataDxfId="652" totalsRowDxfId="615"/>
    <tableColumn id="23" xr3:uid="{00000000-0010-0000-1E00-000017000000}" name="V" totalsRowFunction="sum" dataDxfId="651" totalsRowDxfId="614"/>
    <tableColumn id="24" xr3:uid="{00000000-0010-0000-1E00-000018000000}" name="L" totalsRowFunction="sum" dataDxfId="650" totalsRowDxfId="613"/>
    <tableColumn id="25" xr3:uid="{00000000-0010-0000-1E00-000019000000}" name="G" totalsRowFunction="sum" dataDxfId="649" totalsRowDxfId="612"/>
    <tableColumn id="26" xr3:uid="{00000000-0010-0000-1E00-00001A000000}" name="S" totalsRowFunction="sum" dataDxfId="648" totalsRowDxfId="611"/>
    <tableColumn id="27" xr3:uid="{00000000-0010-0000-1E00-00001B000000}" name="W" totalsRowFunction="sum" dataDxfId="647" totalsRowDxfId="610"/>
    <tableColumn id="28" xr3:uid="{00000000-0010-0000-1E00-00001C000000}" name="T" totalsRowFunction="sum" dataDxfId="646" totalsRowDxfId="609"/>
    <tableColumn id="29" xr3:uid="{00000000-0010-0000-1E00-00001D000000}" name="X" totalsRowFunction="sum" dataDxfId="645" totalsRowDxfId="608"/>
    <tableColumn id="30" xr3:uid="{00000000-0010-0000-1E00-00001E000000}" name="U" totalsRowFunction="sum" dataDxfId="644" totalsRowDxfId="607"/>
    <tableColumn id="31" xr3:uid="{00000000-0010-0000-1E00-00001F000000}" name="O" totalsRowFunction="sum" dataDxfId="643" totalsRowDxfId="606"/>
    <tableColumn id="32" xr3:uid="{00000000-0010-0000-1E00-000020000000}" name="I" totalsRowFunction="sum" dataDxfId="642" totalsRowDxfId="605"/>
    <tableColumn id="33" xr3:uid="{00000000-0010-0000-1E00-000021000000}" name="E" totalsRowFunction="sum" dataDxfId="641" totalsRowDxfId="604"/>
    <tableColumn id="34" xr3:uid="{00000000-0010-0000-1E00-000022000000}" name="A" totalsRowFunction="sum" dataDxfId="640" totalsRowDxfId="603"/>
    <tableColumn id="35" xr3:uid="{00000000-0010-0000-1E00-000023000000}" name="P" totalsRowFunction="sum" dataDxfId="639" totalsRowDxfId="602"/>
    <tableColumn id="36" xr3:uid="{00000000-0010-0000-1E00-000024000000}" name="N" totalsRowFunction="count" dataDxfId="638" totalsRowDxfId="601"/>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FocusMode_ATZ_TUU" displayName="FocusMode_ATZ_TUU" ref="A1:H50" totalsRowShown="0">
  <autoFilter ref="A1:H50"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CAI_AJF_LF_LEGACY" displayName="CAI_AJF_LF_LEGACY" ref="A1:AJ7" totalsRowCount="1" headerRowDxfId="599" dataDxfId="562" totalsRowDxfId="525">
  <tableColumns count="36">
    <tableColumn id="1" xr3:uid="{00000000-0010-0000-2000-000001000000}" name="Day" totalsRowLabel="TOTAL" dataDxfId="598" totalsRowDxfId="561"/>
    <tableColumn id="2" xr3:uid="{00000000-0010-0000-2000-000002000000}" name="Flt Dt" dataDxfId="597" totalsRowDxfId="560"/>
    <tableColumn id="3" xr3:uid="{00000000-0010-0000-2000-000003000000}" name="Flt" totalsRowFunction="count" dataDxfId="596" totalsRowDxfId="559"/>
    <tableColumn id="4" xr3:uid="{00000000-0010-0000-2000-000004000000}" name="DEP" dataDxfId="595" totalsRowDxfId="558"/>
    <tableColumn id="5" xr3:uid="{00000000-0010-0000-2000-000005000000}" name="Brd-Off" totalsRowFunction="count" dataDxfId="594" totalsRowDxfId="557"/>
    <tableColumn id="6" xr3:uid="{00000000-0010-0000-2000-000006000000}" name="Eqp" dataDxfId="593" totalsRowDxfId="556"/>
    <tableColumn id="7" xr3:uid="{00000000-0010-0000-2000-000007000000}" name="LF%" totalsRowFunction="average" dataDxfId="592" totalsRowDxfId="555"/>
    <tableColumn id="8" xr3:uid="{00000000-0010-0000-2000-000008000000}" name="CAP" totalsRowFunction="sum" dataDxfId="591" totalsRowDxfId="554"/>
    <tableColumn id="9" xr3:uid="{00000000-0010-0000-2000-000009000000}" name="BKG(Y)" totalsRowFunction="sum" dataDxfId="590" totalsRowDxfId="553"/>
    <tableColumn id="10" xr3:uid="{00000000-0010-0000-2000-00000A000000}" name="GRP(Y)" totalsRowFunction="sum" dataDxfId="589" totalsRowDxfId="552"/>
    <tableColumn id="11" xr3:uid="{00000000-0010-0000-2000-00000B000000}" name="FLT ST" dataDxfId="588" totalsRowDxfId="551"/>
    <tableColumn id="12" xr3:uid="{00000000-0010-0000-2000-00000C000000}" name="LST-SOLD" dataDxfId="587" totalsRowDxfId="550"/>
    <tableColumn id="13" xr3:uid="{00000000-0010-0000-2000-00000D000000}" name="TO-DAY" totalsRowFunction="sum" dataDxfId="586" totalsRowDxfId="549"/>
    <tableColumn id="14" xr3:uid="{00000000-0010-0000-2000-00000E000000}" name="Y-DAY" totalsRowFunction="sum" dataDxfId="585" totalsRowDxfId="548"/>
    <tableColumn id="15" xr3:uid="{00000000-0010-0000-2000-00000F000000}" name="WEEKLY" totalsRowFunction="sum" dataDxfId="584" totalsRowDxfId="547"/>
    <tableColumn id="16" xr3:uid="{00000000-0010-0000-2000-000010000000}" name="LOWEST AVAIL" dataDxfId="583" totalsRowDxfId="546"/>
    <tableColumn id="17" xr3:uid="{00000000-0010-0000-2000-000011000000}" name="Y" totalsRowFunction="sum" dataDxfId="582" totalsRowDxfId="545"/>
    <tableColumn id="18" xr3:uid="{00000000-0010-0000-2000-000012000000}" name="B" totalsRowFunction="sum" dataDxfId="581" totalsRowDxfId="544"/>
    <tableColumn id="19" xr3:uid="{00000000-0010-0000-2000-000013000000}" name="M" totalsRowFunction="sum" dataDxfId="580" totalsRowDxfId="543"/>
    <tableColumn id="20" xr3:uid="{00000000-0010-0000-2000-000014000000}" name="H" totalsRowFunction="sum" dataDxfId="579" totalsRowDxfId="542"/>
    <tableColumn id="21" xr3:uid="{00000000-0010-0000-2000-000015000000}" name="Q" totalsRowFunction="sum" dataDxfId="578" totalsRowDxfId="541"/>
    <tableColumn id="22" xr3:uid="{00000000-0010-0000-2000-000016000000}" name="K" totalsRowFunction="sum" dataDxfId="577" totalsRowDxfId="540"/>
    <tableColumn id="23" xr3:uid="{00000000-0010-0000-2000-000017000000}" name="V" totalsRowFunction="sum" dataDxfId="576" totalsRowDxfId="539"/>
    <tableColumn id="24" xr3:uid="{00000000-0010-0000-2000-000018000000}" name="L" totalsRowFunction="sum" dataDxfId="575" totalsRowDxfId="538"/>
    <tableColumn id="25" xr3:uid="{00000000-0010-0000-2000-000019000000}" name="G" totalsRowFunction="sum" dataDxfId="574" totalsRowDxfId="537"/>
    <tableColumn id="26" xr3:uid="{00000000-0010-0000-2000-00001A000000}" name="S" totalsRowFunction="sum" dataDxfId="573" totalsRowDxfId="536"/>
    <tableColumn id="27" xr3:uid="{00000000-0010-0000-2000-00001B000000}" name="W" totalsRowFunction="sum" dataDxfId="572" totalsRowDxfId="535"/>
    <tableColumn id="28" xr3:uid="{00000000-0010-0000-2000-00001C000000}" name="T" totalsRowFunction="sum" dataDxfId="571" totalsRowDxfId="534"/>
    <tableColumn id="29" xr3:uid="{00000000-0010-0000-2000-00001D000000}" name="X" totalsRowFunction="sum" dataDxfId="570" totalsRowDxfId="533"/>
    <tableColumn id="30" xr3:uid="{00000000-0010-0000-2000-00001E000000}" name="U" totalsRowFunction="sum" dataDxfId="569" totalsRowDxfId="532"/>
    <tableColumn id="31" xr3:uid="{00000000-0010-0000-2000-00001F000000}" name="O" totalsRowFunction="sum" dataDxfId="568" totalsRowDxfId="531"/>
    <tableColumn id="32" xr3:uid="{00000000-0010-0000-2000-000020000000}" name="I" totalsRowFunction="sum" dataDxfId="567" totalsRowDxfId="530"/>
    <tableColumn id="33" xr3:uid="{00000000-0010-0000-2000-000021000000}" name="E" totalsRowFunction="sum" dataDxfId="566" totalsRowDxfId="529"/>
    <tableColumn id="34" xr3:uid="{00000000-0010-0000-2000-000022000000}" name="A" totalsRowFunction="sum" dataDxfId="565" totalsRowDxfId="528"/>
    <tableColumn id="35" xr3:uid="{00000000-0010-0000-2000-000023000000}" name="P" totalsRowFunction="sum" dataDxfId="564" totalsRowDxfId="527"/>
    <tableColumn id="36" xr3:uid="{00000000-0010-0000-2000-000024000000}" name="N" totalsRowFunction="count" dataDxfId="563" totalsRowDxfId="526"/>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CAI_AJF" displayName="FocusMode_CAI_AJF" ref="A1:H11" totalsRowShown="0">
  <autoFilter ref="A1:H11"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hreatsAlert_CAI_AJF" displayName="ThreatsAlert_CAI_AJF" ref="A1:H10" totalsRowShown="0">
  <autoFilter ref="A1:H10" xr:uid="{00000000-0009-0000-0100-000023000000}"/>
  <tableColumns count="8">
    <tableColumn id="1" xr3:uid="{00000000-0010-0000-2200-000001000000}" name="DATE"/>
    <tableColumn id="2" xr3:uid="{00000000-0010-0000-2200-000002000000}" name="AIRLINE"/>
    <tableColumn id="3" xr3:uid="{00000000-0010-0000-2200-000003000000}" name="FLIGHT NUM"/>
    <tableColumn id="4" xr3:uid="{00000000-0010-0000-2200-000004000000}" name="ROUTE"/>
    <tableColumn id="5" xr3:uid="{00000000-0010-0000-2200-000005000000}" name="DEPARTURE"/>
    <tableColumn id="6" xr3:uid="{00000000-0010-0000-2200-000006000000}" name="BAGGAGE"/>
    <tableColumn id="7" xr3:uid="{00000000-0010-0000-2200-000007000000}" name="AVAILABILITY"/>
    <tableColumn id="8" xr3:uid="{00000000-0010-0000-2200-000008000000}" name="PUBLISHED FARE"/>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ATZ_AJF_LF_LEGACY" displayName="ATZ_AJF_LF_LEGACY" ref="A1:AJ4" totalsRowCount="1" headerRowDxfId="524" dataDxfId="487" totalsRowDxfId="450">
  <tableColumns count="36">
    <tableColumn id="1" xr3:uid="{00000000-0010-0000-2300-000001000000}" name="Day" totalsRowLabel="TOTAL" dataDxfId="523" totalsRowDxfId="486"/>
    <tableColumn id="2" xr3:uid="{00000000-0010-0000-2300-000002000000}" name="Flt Dt" dataDxfId="522" totalsRowDxfId="485"/>
    <tableColumn id="3" xr3:uid="{00000000-0010-0000-2300-000003000000}" name="Flt" totalsRowFunction="count" dataDxfId="521" totalsRowDxfId="484"/>
    <tableColumn id="4" xr3:uid="{00000000-0010-0000-2300-000004000000}" name="DEP" dataDxfId="520" totalsRowDxfId="483"/>
    <tableColumn id="5" xr3:uid="{00000000-0010-0000-2300-000005000000}" name="Brd-Off" totalsRowFunction="count" dataDxfId="519" totalsRowDxfId="482"/>
    <tableColumn id="6" xr3:uid="{00000000-0010-0000-2300-000006000000}" name="Eqp" dataDxfId="518" totalsRowDxfId="481"/>
    <tableColumn id="7" xr3:uid="{00000000-0010-0000-2300-000007000000}" name="LF%" totalsRowFunction="average" dataDxfId="517" totalsRowDxfId="480"/>
    <tableColumn id="8" xr3:uid="{00000000-0010-0000-2300-000008000000}" name="CAP" totalsRowFunction="sum" dataDxfId="516" totalsRowDxfId="479"/>
    <tableColumn id="9" xr3:uid="{00000000-0010-0000-2300-000009000000}" name="BKG(Y)" totalsRowFunction="sum" dataDxfId="515" totalsRowDxfId="478"/>
    <tableColumn id="10" xr3:uid="{00000000-0010-0000-2300-00000A000000}" name="GRP(Y)" totalsRowFunction="sum" dataDxfId="514" totalsRowDxfId="477"/>
    <tableColumn id="11" xr3:uid="{00000000-0010-0000-2300-00000B000000}" name="FLT ST" dataDxfId="513" totalsRowDxfId="476"/>
    <tableColumn id="12" xr3:uid="{00000000-0010-0000-2300-00000C000000}" name="LST-SOLD" dataDxfId="512" totalsRowDxfId="475"/>
    <tableColumn id="13" xr3:uid="{00000000-0010-0000-2300-00000D000000}" name="TO-DAY" totalsRowFunction="sum" dataDxfId="511" totalsRowDxfId="474"/>
    <tableColumn id="14" xr3:uid="{00000000-0010-0000-2300-00000E000000}" name="Y-DAY" totalsRowFunction="sum" dataDxfId="510" totalsRowDxfId="473"/>
    <tableColumn id="15" xr3:uid="{00000000-0010-0000-2300-00000F000000}" name="WEEKLY" totalsRowFunction="sum" dataDxfId="509" totalsRowDxfId="472"/>
    <tableColumn id="16" xr3:uid="{00000000-0010-0000-2300-000010000000}" name="LOWEST AVAIL" dataDxfId="508" totalsRowDxfId="471"/>
    <tableColumn id="17" xr3:uid="{00000000-0010-0000-2300-000011000000}" name="Y" totalsRowFunction="sum" dataDxfId="507" totalsRowDxfId="470"/>
    <tableColumn id="18" xr3:uid="{00000000-0010-0000-2300-000012000000}" name="B" totalsRowFunction="sum" dataDxfId="506" totalsRowDxfId="469"/>
    <tableColumn id="19" xr3:uid="{00000000-0010-0000-2300-000013000000}" name="M" totalsRowFunction="sum" dataDxfId="505" totalsRowDxfId="468"/>
    <tableColumn id="20" xr3:uid="{00000000-0010-0000-2300-000014000000}" name="H" totalsRowFunction="sum" dataDxfId="504" totalsRowDxfId="467"/>
    <tableColumn id="21" xr3:uid="{00000000-0010-0000-2300-000015000000}" name="Q" totalsRowFunction="sum" dataDxfId="503" totalsRowDxfId="466"/>
    <tableColumn id="22" xr3:uid="{00000000-0010-0000-2300-000016000000}" name="K" totalsRowFunction="sum" dataDxfId="502" totalsRowDxfId="465"/>
    <tableColumn id="23" xr3:uid="{00000000-0010-0000-2300-000017000000}" name="V" totalsRowFunction="sum" dataDxfId="501" totalsRowDxfId="464"/>
    <tableColumn id="24" xr3:uid="{00000000-0010-0000-2300-000018000000}" name="L" totalsRowFunction="sum" dataDxfId="500" totalsRowDxfId="463"/>
    <tableColumn id="25" xr3:uid="{00000000-0010-0000-2300-000019000000}" name="G" totalsRowFunction="sum" dataDxfId="499" totalsRowDxfId="462"/>
    <tableColumn id="26" xr3:uid="{00000000-0010-0000-2300-00001A000000}" name="S" totalsRowFunction="sum" dataDxfId="498" totalsRowDxfId="461"/>
    <tableColumn id="27" xr3:uid="{00000000-0010-0000-2300-00001B000000}" name="W" totalsRowFunction="sum" dataDxfId="497" totalsRowDxfId="460"/>
    <tableColumn id="28" xr3:uid="{00000000-0010-0000-2300-00001C000000}" name="T" totalsRowFunction="sum" dataDxfId="496" totalsRowDxfId="459"/>
    <tableColumn id="29" xr3:uid="{00000000-0010-0000-2300-00001D000000}" name="X" totalsRowFunction="sum" dataDxfId="495" totalsRowDxfId="458"/>
    <tableColumn id="30" xr3:uid="{00000000-0010-0000-2300-00001E000000}" name="U" totalsRowFunction="sum" dataDxfId="494" totalsRowDxfId="457"/>
    <tableColumn id="31" xr3:uid="{00000000-0010-0000-2300-00001F000000}" name="O" totalsRowFunction="sum" dataDxfId="493" totalsRowDxfId="456"/>
    <tableColumn id="32" xr3:uid="{00000000-0010-0000-2300-000020000000}" name="I" totalsRowFunction="sum" dataDxfId="492" totalsRowDxfId="455"/>
    <tableColumn id="33" xr3:uid="{00000000-0010-0000-2300-000021000000}" name="E" totalsRowFunction="sum" dataDxfId="491" totalsRowDxfId="454"/>
    <tableColumn id="34" xr3:uid="{00000000-0010-0000-2300-000022000000}" name="A" totalsRowFunction="sum" dataDxfId="490" totalsRowDxfId="453"/>
    <tableColumn id="35" xr3:uid="{00000000-0010-0000-2300-000023000000}" name="P" totalsRowFunction="sum" dataDxfId="489" totalsRowDxfId="452"/>
    <tableColumn id="36" xr3:uid="{00000000-0010-0000-2300-000024000000}" name="N" totalsRowFunction="count" dataDxfId="488" totalsRowDxfId="451"/>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FocusMode_ATZ_AJF" displayName="FocusMode_ATZ_AJF" ref="A1:H21" totalsRowShown="0">
  <autoFilter ref="A1:H21"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CAI_YNB_LF_LEGACY" displayName="CAI_YNB_LF_LEGACY" ref="A1:AJ13" totalsRowCount="1" headerRowDxfId="449" dataDxfId="412" totalsRowDxfId="375">
  <tableColumns count="36">
    <tableColumn id="1" xr3:uid="{00000000-0010-0000-2500-000001000000}" name="Day" totalsRowLabel="TOTAL" dataDxfId="448" totalsRowDxfId="411"/>
    <tableColumn id="2" xr3:uid="{00000000-0010-0000-2500-000002000000}" name="Flt Dt" dataDxfId="447" totalsRowDxfId="410"/>
    <tableColumn id="3" xr3:uid="{00000000-0010-0000-2500-000003000000}" name="Flt" totalsRowFunction="count" dataDxfId="446" totalsRowDxfId="409"/>
    <tableColumn id="4" xr3:uid="{00000000-0010-0000-2500-000004000000}" name="DEP" dataDxfId="445" totalsRowDxfId="408"/>
    <tableColumn id="5" xr3:uid="{00000000-0010-0000-2500-000005000000}" name="Brd-Off" totalsRowFunction="count" dataDxfId="444" totalsRowDxfId="407"/>
    <tableColumn id="6" xr3:uid="{00000000-0010-0000-2500-000006000000}" name="Eqp" dataDxfId="443" totalsRowDxfId="406"/>
    <tableColumn id="7" xr3:uid="{00000000-0010-0000-2500-000007000000}" name="LF%" totalsRowFunction="average" dataDxfId="442" totalsRowDxfId="405"/>
    <tableColumn id="8" xr3:uid="{00000000-0010-0000-2500-000008000000}" name="CAP" totalsRowFunction="sum" dataDxfId="441" totalsRowDxfId="404"/>
    <tableColumn id="9" xr3:uid="{00000000-0010-0000-2500-000009000000}" name="BKG(Y)" totalsRowFunction="sum" dataDxfId="440" totalsRowDxfId="403"/>
    <tableColumn id="10" xr3:uid="{00000000-0010-0000-2500-00000A000000}" name="GRP(Y)" totalsRowFunction="sum" dataDxfId="439" totalsRowDxfId="402"/>
    <tableColumn id="11" xr3:uid="{00000000-0010-0000-2500-00000B000000}" name="FLT ST" dataDxfId="438" totalsRowDxfId="401"/>
    <tableColumn id="12" xr3:uid="{00000000-0010-0000-2500-00000C000000}" name="LST-SOLD" dataDxfId="437" totalsRowDxfId="400"/>
    <tableColumn id="13" xr3:uid="{00000000-0010-0000-2500-00000D000000}" name="TO-DAY" totalsRowFunction="sum" dataDxfId="436" totalsRowDxfId="399"/>
    <tableColumn id="14" xr3:uid="{00000000-0010-0000-2500-00000E000000}" name="Y-DAY" totalsRowFunction="sum" dataDxfId="435" totalsRowDxfId="398"/>
    <tableColumn id="15" xr3:uid="{00000000-0010-0000-2500-00000F000000}" name="WEEKLY" totalsRowFunction="sum" dataDxfId="434" totalsRowDxfId="397"/>
    <tableColumn id="16" xr3:uid="{00000000-0010-0000-2500-000010000000}" name="LOWEST AVAIL" dataDxfId="433" totalsRowDxfId="396"/>
    <tableColumn id="17" xr3:uid="{00000000-0010-0000-2500-000011000000}" name="Y" totalsRowFunction="sum" dataDxfId="432" totalsRowDxfId="395"/>
    <tableColumn id="18" xr3:uid="{00000000-0010-0000-2500-000012000000}" name="B" totalsRowFunction="sum" dataDxfId="431" totalsRowDxfId="394"/>
    <tableColumn id="19" xr3:uid="{00000000-0010-0000-2500-000013000000}" name="M" totalsRowFunction="sum" dataDxfId="430" totalsRowDxfId="393"/>
    <tableColumn id="20" xr3:uid="{00000000-0010-0000-2500-000014000000}" name="H" totalsRowFunction="sum" dataDxfId="429" totalsRowDxfId="392"/>
    <tableColumn id="21" xr3:uid="{00000000-0010-0000-2500-000015000000}" name="Q" totalsRowFunction="sum" dataDxfId="428" totalsRowDxfId="391"/>
    <tableColumn id="22" xr3:uid="{00000000-0010-0000-2500-000016000000}" name="K" totalsRowFunction="sum" dataDxfId="427" totalsRowDxfId="390"/>
    <tableColumn id="23" xr3:uid="{00000000-0010-0000-2500-000017000000}" name="V" totalsRowFunction="sum" dataDxfId="426" totalsRowDxfId="389"/>
    <tableColumn id="24" xr3:uid="{00000000-0010-0000-2500-000018000000}" name="L" totalsRowFunction="sum" dataDxfId="425" totalsRowDxfId="388"/>
    <tableColumn id="25" xr3:uid="{00000000-0010-0000-2500-000019000000}" name="G" totalsRowFunction="sum" dataDxfId="424" totalsRowDxfId="387"/>
    <tableColumn id="26" xr3:uid="{00000000-0010-0000-2500-00001A000000}" name="S" totalsRowFunction="sum" dataDxfId="423" totalsRowDxfId="386"/>
    <tableColumn id="27" xr3:uid="{00000000-0010-0000-2500-00001B000000}" name="W" totalsRowFunction="sum" dataDxfId="422" totalsRowDxfId="385"/>
    <tableColumn id="28" xr3:uid="{00000000-0010-0000-2500-00001C000000}" name="T" totalsRowFunction="sum" dataDxfId="421" totalsRowDxfId="384"/>
    <tableColumn id="29" xr3:uid="{00000000-0010-0000-2500-00001D000000}" name="X" totalsRowFunction="sum" dataDxfId="420" totalsRowDxfId="383"/>
    <tableColumn id="30" xr3:uid="{00000000-0010-0000-2500-00001E000000}" name="U" totalsRowFunction="sum" dataDxfId="419" totalsRowDxfId="382"/>
    <tableColumn id="31" xr3:uid="{00000000-0010-0000-2500-00001F000000}" name="O" totalsRowFunction="sum" dataDxfId="418" totalsRowDxfId="381"/>
    <tableColumn id="32" xr3:uid="{00000000-0010-0000-2500-000020000000}" name="I" totalsRowFunction="sum" dataDxfId="417" totalsRowDxfId="380"/>
    <tableColumn id="33" xr3:uid="{00000000-0010-0000-2500-000021000000}" name="E" totalsRowFunction="sum" dataDxfId="416" totalsRowDxfId="379"/>
    <tableColumn id="34" xr3:uid="{00000000-0010-0000-2500-000022000000}" name="A" totalsRowFunction="sum" dataDxfId="415" totalsRowDxfId="378"/>
    <tableColumn id="35" xr3:uid="{00000000-0010-0000-2500-000023000000}" name="P" totalsRowFunction="sum" dataDxfId="414" totalsRowDxfId="377"/>
    <tableColumn id="36" xr3:uid="{00000000-0010-0000-2500-000024000000}" name="N" totalsRowFunction="count" dataDxfId="413" totalsRowDxfId="376"/>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CAI_YNB" displayName="FocusMode_CAI_YNB" ref="A1:H15" totalsRowShown="0">
  <autoFilter ref="A1:H15"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hreatsAlert_CAI_YNB" displayName="ThreatsAlert_CAI_YNB" ref="A1:H12" totalsRowShown="0">
  <autoFilter ref="A1:H12" xr:uid="{00000000-0009-0000-0100-000028000000}"/>
  <tableColumns count="8">
    <tableColumn id="1" xr3:uid="{00000000-0010-0000-2700-000001000000}" name="DATE"/>
    <tableColumn id="2" xr3:uid="{00000000-0010-0000-2700-000002000000}" name="AIRLINE"/>
    <tableColumn id="3" xr3:uid="{00000000-0010-0000-2700-000003000000}" name="FLIGHT NUM"/>
    <tableColumn id="4" xr3:uid="{00000000-0010-0000-2700-000004000000}" name="ROUTE"/>
    <tableColumn id="5" xr3:uid="{00000000-0010-0000-2700-000005000000}" name="DEPARTURE"/>
    <tableColumn id="6" xr3:uid="{00000000-0010-0000-2700-000006000000}" name="BAGGAGE"/>
    <tableColumn id="7" xr3:uid="{00000000-0010-0000-2700-000007000000}" name="AVAILABILITY"/>
    <tableColumn id="8" xr3:uid="{00000000-0010-0000-2700-000008000000}" name="PUBLISHED FARE"/>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CAI_AHB_LF_LEGACY" displayName="CAI_AHB_LF_LEGACY" ref="A1:AJ7" totalsRowCount="1" headerRowDxfId="374" dataDxfId="337" totalsRowDxfId="300">
  <tableColumns count="36">
    <tableColumn id="1" xr3:uid="{00000000-0010-0000-2800-000001000000}" name="Day" totalsRowLabel="TOTAL" dataDxfId="373" totalsRowDxfId="336"/>
    <tableColumn id="2" xr3:uid="{00000000-0010-0000-2800-000002000000}" name="Flt Dt" dataDxfId="372" totalsRowDxfId="335"/>
    <tableColumn id="3" xr3:uid="{00000000-0010-0000-2800-000003000000}" name="Flt" totalsRowFunction="count" dataDxfId="371" totalsRowDxfId="334"/>
    <tableColumn id="4" xr3:uid="{00000000-0010-0000-2800-000004000000}" name="DEP" dataDxfId="370" totalsRowDxfId="333"/>
    <tableColumn id="5" xr3:uid="{00000000-0010-0000-2800-000005000000}" name="Brd-Off" totalsRowFunction="count" dataDxfId="369" totalsRowDxfId="332"/>
    <tableColumn id="6" xr3:uid="{00000000-0010-0000-2800-000006000000}" name="Eqp" dataDxfId="368" totalsRowDxfId="331"/>
    <tableColumn id="7" xr3:uid="{00000000-0010-0000-2800-000007000000}" name="LF%" totalsRowFunction="average" dataDxfId="367" totalsRowDxfId="330"/>
    <tableColumn id="8" xr3:uid="{00000000-0010-0000-2800-000008000000}" name="CAP" totalsRowFunction="sum" dataDxfId="366" totalsRowDxfId="329"/>
    <tableColumn id="9" xr3:uid="{00000000-0010-0000-2800-000009000000}" name="BKG(Y)" totalsRowFunction="sum" dataDxfId="365" totalsRowDxfId="328"/>
    <tableColumn id="10" xr3:uid="{00000000-0010-0000-2800-00000A000000}" name="GRP(Y)" totalsRowFunction="sum" dataDxfId="364" totalsRowDxfId="327"/>
    <tableColumn id="11" xr3:uid="{00000000-0010-0000-2800-00000B000000}" name="FLT ST" dataDxfId="363" totalsRowDxfId="326"/>
    <tableColumn id="12" xr3:uid="{00000000-0010-0000-2800-00000C000000}" name="LST-SOLD" dataDxfId="362" totalsRowDxfId="325"/>
    <tableColumn id="13" xr3:uid="{00000000-0010-0000-2800-00000D000000}" name="TO-DAY" totalsRowFunction="sum" dataDxfId="361" totalsRowDxfId="324"/>
    <tableColumn id="14" xr3:uid="{00000000-0010-0000-2800-00000E000000}" name="Y-DAY" totalsRowFunction="sum" dataDxfId="360" totalsRowDxfId="323"/>
    <tableColumn id="15" xr3:uid="{00000000-0010-0000-2800-00000F000000}" name="WEEKLY" totalsRowFunction="sum" dataDxfId="359" totalsRowDxfId="322"/>
    <tableColumn id="16" xr3:uid="{00000000-0010-0000-2800-000010000000}" name="LOWEST AVAIL" dataDxfId="358" totalsRowDxfId="321"/>
    <tableColumn id="17" xr3:uid="{00000000-0010-0000-2800-000011000000}" name="Y" totalsRowFunction="sum" dataDxfId="357" totalsRowDxfId="320"/>
    <tableColumn id="18" xr3:uid="{00000000-0010-0000-2800-000012000000}" name="B" totalsRowFunction="sum" dataDxfId="356" totalsRowDxfId="319"/>
    <tableColumn id="19" xr3:uid="{00000000-0010-0000-2800-000013000000}" name="M" totalsRowFunction="sum" dataDxfId="355" totalsRowDxfId="318"/>
    <tableColumn id="20" xr3:uid="{00000000-0010-0000-2800-000014000000}" name="H" totalsRowFunction="sum" dataDxfId="354" totalsRowDxfId="317"/>
    <tableColumn id="21" xr3:uid="{00000000-0010-0000-2800-000015000000}" name="Q" totalsRowFunction="sum" dataDxfId="353" totalsRowDxfId="316"/>
    <tableColumn id="22" xr3:uid="{00000000-0010-0000-2800-000016000000}" name="K" totalsRowFunction="sum" dataDxfId="352" totalsRowDxfId="315"/>
    <tableColumn id="23" xr3:uid="{00000000-0010-0000-2800-000017000000}" name="V" totalsRowFunction="sum" dataDxfId="351" totalsRowDxfId="314"/>
    <tableColumn id="24" xr3:uid="{00000000-0010-0000-2800-000018000000}" name="L" totalsRowFunction="sum" dataDxfId="350" totalsRowDxfId="313"/>
    <tableColumn id="25" xr3:uid="{00000000-0010-0000-2800-000019000000}" name="G" totalsRowFunction="sum" dataDxfId="349" totalsRowDxfId="312"/>
    <tableColumn id="26" xr3:uid="{00000000-0010-0000-2800-00001A000000}" name="S" totalsRowFunction="sum" dataDxfId="348" totalsRowDxfId="311"/>
    <tableColumn id="27" xr3:uid="{00000000-0010-0000-2800-00001B000000}" name="W" totalsRowFunction="sum" dataDxfId="347" totalsRowDxfId="310"/>
    <tableColumn id="28" xr3:uid="{00000000-0010-0000-2800-00001C000000}" name="T" totalsRowFunction="sum" dataDxfId="346" totalsRowDxfId="309"/>
    <tableColumn id="29" xr3:uid="{00000000-0010-0000-2800-00001D000000}" name="X" totalsRowFunction="sum" dataDxfId="345" totalsRowDxfId="308"/>
    <tableColumn id="30" xr3:uid="{00000000-0010-0000-2800-00001E000000}" name="U" totalsRowFunction="sum" dataDxfId="344" totalsRowDxfId="307"/>
    <tableColumn id="31" xr3:uid="{00000000-0010-0000-2800-00001F000000}" name="O" totalsRowFunction="sum" dataDxfId="343" totalsRowDxfId="306"/>
    <tableColumn id="32" xr3:uid="{00000000-0010-0000-2800-000020000000}" name="I" totalsRowFunction="sum" dataDxfId="342" totalsRowDxfId="305"/>
    <tableColumn id="33" xr3:uid="{00000000-0010-0000-2800-000021000000}" name="E" totalsRowFunction="sum" dataDxfId="341" totalsRowDxfId="304"/>
    <tableColumn id="34" xr3:uid="{00000000-0010-0000-2800-000022000000}" name="A" totalsRowFunction="sum" dataDxfId="340" totalsRowDxfId="303"/>
    <tableColumn id="35" xr3:uid="{00000000-0010-0000-2800-000023000000}" name="P" totalsRowFunction="sum" dataDxfId="339" totalsRowDxfId="302"/>
    <tableColumn id="36" xr3:uid="{00000000-0010-0000-2800-000024000000}" name="N" totalsRowFunction="count" dataDxfId="338" totalsRowDxfId="301"/>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FocusMode_CAI_AHB" displayName="FocusMode_CAI_AHB" ref="A1:H16" totalsRowShown="0">
  <autoFilter ref="A1:H16"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hreatsAlert_CAI_AHB" displayName="ThreatsAlert_CAI_AHB" ref="A1:H12" totalsRowShown="0">
  <autoFilter ref="A1:H12" xr:uid="{00000000-0009-0000-0100-00002B000000}"/>
  <tableColumns count="8">
    <tableColumn id="1" xr3:uid="{00000000-0010-0000-2A00-000001000000}" name="DATE"/>
    <tableColumn id="2" xr3:uid="{00000000-0010-0000-2A00-000002000000}" name="AIRLINE"/>
    <tableColumn id="3" xr3:uid="{00000000-0010-0000-2A00-000003000000}" name="FLIGHT NUM"/>
    <tableColumn id="4" xr3:uid="{00000000-0010-0000-2A00-000004000000}" name="ROUTE"/>
    <tableColumn id="5" xr3:uid="{00000000-0010-0000-2A00-000005000000}" name="DEPARTURE"/>
    <tableColumn id="6" xr3:uid="{00000000-0010-0000-2A00-000006000000}" name="BAGGAGE"/>
    <tableColumn id="7" xr3:uid="{00000000-0010-0000-2A00-000007000000}" name="AVAILABILITY"/>
    <tableColumn id="8" xr3:uid="{00000000-0010-0000-2A00-000008000000}" name="PUBLISHED FAR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ATZ_AHB_LF_LEGACY" displayName="ATZ_AHB_LF_LEGACY" ref="A1:AJ4" totalsRowCount="1" headerRowDxfId="299" dataDxfId="262" totalsRowDxfId="225">
  <tableColumns count="36">
    <tableColumn id="1" xr3:uid="{00000000-0010-0000-2B00-000001000000}" name="Day" totalsRowLabel="TOTAL" dataDxfId="298" totalsRowDxfId="261"/>
    <tableColumn id="2" xr3:uid="{00000000-0010-0000-2B00-000002000000}" name="Flt Dt" dataDxfId="297" totalsRowDxfId="260"/>
    <tableColumn id="3" xr3:uid="{00000000-0010-0000-2B00-000003000000}" name="Flt" totalsRowFunction="count" dataDxfId="296" totalsRowDxfId="259"/>
    <tableColumn id="4" xr3:uid="{00000000-0010-0000-2B00-000004000000}" name="DEP" dataDxfId="295" totalsRowDxfId="258"/>
    <tableColumn id="5" xr3:uid="{00000000-0010-0000-2B00-000005000000}" name="Brd-Off" totalsRowFunction="count" dataDxfId="294" totalsRowDxfId="257"/>
    <tableColumn id="6" xr3:uid="{00000000-0010-0000-2B00-000006000000}" name="Eqp" dataDxfId="293" totalsRowDxfId="256"/>
    <tableColumn id="7" xr3:uid="{00000000-0010-0000-2B00-000007000000}" name="LF%" totalsRowFunction="average" dataDxfId="292" totalsRowDxfId="255"/>
    <tableColumn id="8" xr3:uid="{00000000-0010-0000-2B00-000008000000}" name="CAP" totalsRowFunction="sum" dataDxfId="291" totalsRowDxfId="254"/>
    <tableColumn id="9" xr3:uid="{00000000-0010-0000-2B00-000009000000}" name="BKG(Y)" totalsRowFunction="sum" dataDxfId="290" totalsRowDxfId="253"/>
    <tableColumn id="10" xr3:uid="{00000000-0010-0000-2B00-00000A000000}" name="GRP(Y)" totalsRowFunction="sum" dataDxfId="289" totalsRowDxfId="252"/>
    <tableColumn id="11" xr3:uid="{00000000-0010-0000-2B00-00000B000000}" name="FLT ST" dataDxfId="288" totalsRowDxfId="251"/>
    <tableColumn id="12" xr3:uid="{00000000-0010-0000-2B00-00000C000000}" name="LST-SOLD" dataDxfId="287" totalsRowDxfId="250"/>
    <tableColumn id="13" xr3:uid="{00000000-0010-0000-2B00-00000D000000}" name="TO-DAY" totalsRowFunction="sum" dataDxfId="286" totalsRowDxfId="249"/>
    <tableColumn id="14" xr3:uid="{00000000-0010-0000-2B00-00000E000000}" name="Y-DAY" totalsRowFunction="sum" dataDxfId="285" totalsRowDxfId="248"/>
    <tableColumn id="15" xr3:uid="{00000000-0010-0000-2B00-00000F000000}" name="WEEKLY" totalsRowFunction="sum" dataDxfId="284" totalsRowDxfId="247"/>
    <tableColumn id="16" xr3:uid="{00000000-0010-0000-2B00-000010000000}" name="LOWEST AVAIL" dataDxfId="283" totalsRowDxfId="246"/>
    <tableColumn id="17" xr3:uid="{00000000-0010-0000-2B00-000011000000}" name="Y" totalsRowFunction="sum" dataDxfId="282" totalsRowDxfId="245"/>
    <tableColumn id="18" xr3:uid="{00000000-0010-0000-2B00-000012000000}" name="B" totalsRowFunction="sum" dataDxfId="281" totalsRowDxfId="244"/>
    <tableColumn id="19" xr3:uid="{00000000-0010-0000-2B00-000013000000}" name="M" totalsRowFunction="sum" dataDxfId="280" totalsRowDxfId="243"/>
    <tableColumn id="20" xr3:uid="{00000000-0010-0000-2B00-000014000000}" name="H" totalsRowFunction="sum" dataDxfId="279" totalsRowDxfId="242"/>
    <tableColumn id="21" xr3:uid="{00000000-0010-0000-2B00-000015000000}" name="Q" totalsRowFunction="sum" dataDxfId="278" totalsRowDxfId="241"/>
    <tableColumn id="22" xr3:uid="{00000000-0010-0000-2B00-000016000000}" name="K" totalsRowFunction="sum" dataDxfId="277" totalsRowDxfId="240"/>
    <tableColumn id="23" xr3:uid="{00000000-0010-0000-2B00-000017000000}" name="V" totalsRowFunction="sum" dataDxfId="276" totalsRowDxfId="239"/>
    <tableColumn id="24" xr3:uid="{00000000-0010-0000-2B00-000018000000}" name="L" totalsRowFunction="sum" dataDxfId="275" totalsRowDxfId="238"/>
    <tableColumn id="25" xr3:uid="{00000000-0010-0000-2B00-000019000000}" name="G" totalsRowFunction="sum" dataDxfId="274" totalsRowDxfId="237"/>
    <tableColumn id="26" xr3:uid="{00000000-0010-0000-2B00-00001A000000}" name="S" totalsRowFunction="sum" dataDxfId="273" totalsRowDxfId="236"/>
    <tableColumn id="27" xr3:uid="{00000000-0010-0000-2B00-00001B000000}" name="W" totalsRowFunction="sum" dataDxfId="272" totalsRowDxfId="235"/>
    <tableColumn id="28" xr3:uid="{00000000-0010-0000-2B00-00001C000000}" name="T" totalsRowFunction="sum" dataDxfId="271" totalsRowDxfId="234"/>
    <tableColumn id="29" xr3:uid="{00000000-0010-0000-2B00-00001D000000}" name="X" totalsRowFunction="sum" dataDxfId="270" totalsRowDxfId="233"/>
    <tableColumn id="30" xr3:uid="{00000000-0010-0000-2B00-00001E000000}" name="U" totalsRowFunction="sum" dataDxfId="269" totalsRowDxfId="232"/>
    <tableColumn id="31" xr3:uid="{00000000-0010-0000-2B00-00001F000000}" name="O" totalsRowFunction="sum" dataDxfId="268" totalsRowDxfId="231"/>
    <tableColumn id="32" xr3:uid="{00000000-0010-0000-2B00-000020000000}" name="I" totalsRowFunction="sum" dataDxfId="267" totalsRowDxfId="230"/>
    <tableColumn id="33" xr3:uid="{00000000-0010-0000-2B00-000021000000}" name="E" totalsRowFunction="sum" dataDxfId="266" totalsRowDxfId="229"/>
    <tableColumn id="34" xr3:uid="{00000000-0010-0000-2B00-000022000000}" name="A" totalsRowFunction="sum" dataDxfId="265" totalsRowDxfId="228"/>
    <tableColumn id="35" xr3:uid="{00000000-0010-0000-2B00-000023000000}" name="P" totalsRowFunction="sum" dataDxfId="264" totalsRowDxfId="227"/>
    <tableColumn id="36" xr3:uid="{00000000-0010-0000-2B00-000024000000}" name="N" totalsRowFunction="count" dataDxfId="263" totalsRowDxfId="22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FocusMode_ATZ_AHB" displayName="FocusMode_ATZ_AHB" ref="A1:H26" totalsRowShown="0">
  <autoFilter ref="A1:H26"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CAI_ELQ_LF_LEGACY" displayName="CAI_ELQ_LF_LEGACY" ref="A1:AJ8" totalsRowCount="1" headerRowDxfId="224" dataDxfId="187" totalsRowDxfId="150">
  <tableColumns count="36">
    <tableColumn id="1" xr3:uid="{00000000-0010-0000-2D00-000001000000}" name="Day" totalsRowLabel="TOTAL" dataDxfId="223" totalsRowDxfId="186"/>
    <tableColumn id="2" xr3:uid="{00000000-0010-0000-2D00-000002000000}" name="Flt Dt" dataDxfId="222" totalsRowDxfId="185"/>
    <tableColumn id="3" xr3:uid="{00000000-0010-0000-2D00-000003000000}" name="Flt" totalsRowFunction="count" dataDxfId="221" totalsRowDxfId="184"/>
    <tableColumn id="4" xr3:uid="{00000000-0010-0000-2D00-000004000000}" name="DEP" dataDxfId="220" totalsRowDxfId="183"/>
    <tableColumn id="5" xr3:uid="{00000000-0010-0000-2D00-000005000000}" name="Brd-Off" totalsRowFunction="count" dataDxfId="219" totalsRowDxfId="182"/>
    <tableColumn id="6" xr3:uid="{00000000-0010-0000-2D00-000006000000}" name="Eqp" dataDxfId="218" totalsRowDxfId="181"/>
    <tableColumn id="7" xr3:uid="{00000000-0010-0000-2D00-000007000000}" name="LF%" totalsRowFunction="average" dataDxfId="217" totalsRowDxfId="180"/>
    <tableColumn id="8" xr3:uid="{00000000-0010-0000-2D00-000008000000}" name="CAP" totalsRowFunction="sum" dataDxfId="216" totalsRowDxfId="179"/>
    <tableColumn id="9" xr3:uid="{00000000-0010-0000-2D00-000009000000}" name="BKG(Y)" totalsRowFunction="sum" dataDxfId="215" totalsRowDxfId="178"/>
    <tableColumn id="10" xr3:uid="{00000000-0010-0000-2D00-00000A000000}" name="GRP(Y)" totalsRowFunction="sum" dataDxfId="214" totalsRowDxfId="177"/>
    <tableColumn id="11" xr3:uid="{00000000-0010-0000-2D00-00000B000000}" name="FLT ST" dataDxfId="213" totalsRowDxfId="176"/>
    <tableColumn id="12" xr3:uid="{00000000-0010-0000-2D00-00000C000000}" name="LST-SOLD" dataDxfId="212" totalsRowDxfId="175"/>
    <tableColumn id="13" xr3:uid="{00000000-0010-0000-2D00-00000D000000}" name="TO-DAY" totalsRowFunction="sum" dataDxfId="211" totalsRowDxfId="174"/>
    <tableColumn id="14" xr3:uid="{00000000-0010-0000-2D00-00000E000000}" name="Y-DAY" totalsRowFunction="sum" dataDxfId="210" totalsRowDxfId="173"/>
    <tableColumn id="15" xr3:uid="{00000000-0010-0000-2D00-00000F000000}" name="WEEKLY" totalsRowFunction="sum" dataDxfId="209" totalsRowDxfId="172"/>
    <tableColumn id="16" xr3:uid="{00000000-0010-0000-2D00-000010000000}" name="LOWEST AVAIL" dataDxfId="208" totalsRowDxfId="171"/>
    <tableColumn id="17" xr3:uid="{00000000-0010-0000-2D00-000011000000}" name="Y" totalsRowFunction="sum" dataDxfId="207" totalsRowDxfId="170"/>
    <tableColumn id="18" xr3:uid="{00000000-0010-0000-2D00-000012000000}" name="B" totalsRowFunction="sum" dataDxfId="206" totalsRowDxfId="169"/>
    <tableColumn id="19" xr3:uid="{00000000-0010-0000-2D00-000013000000}" name="M" totalsRowFunction="sum" dataDxfId="205" totalsRowDxfId="168"/>
    <tableColumn id="20" xr3:uid="{00000000-0010-0000-2D00-000014000000}" name="H" totalsRowFunction="sum" dataDxfId="204" totalsRowDxfId="167"/>
    <tableColumn id="21" xr3:uid="{00000000-0010-0000-2D00-000015000000}" name="Q" totalsRowFunction="sum" dataDxfId="203" totalsRowDxfId="166"/>
    <tableColumn id="22" xr3:uid="{00000000-0010-0000-2D00-000016000000}" name="K" totalsRowFunction="sum" dataDxfId="202" totalsRowDxfId="165"/>
    <tableColumn id="23" xr3:uid="{00000000-0010-0000-2D00-000017000000}" name="V" totalsRowFunction="sum" dataDxfId="201" totalsRowDxfId="164"/>
    <tableColumn id="24" xr3:uid="{00000000-0010-0000-2D00-000018000000}" name="L" totalsRowFunction="sum" dataDxfId="200" totalsRowDxfId="163"/>
    <tableColumn id="25" xr3:uid="{00000000-0010-0000-2D00-000019000000}" name="G" totalsRowFunction="sum" dataDxfId="199" totalsRowDxfId="162"/>
    <tableColumn id="26" xr3:uid="{00000000-0010-0000-2D00-00001A000000}" name="S" totalsRowFunction="sum" dataDxfId="198" totalsRowDxfId="161"/>
    <tableColumn id="27" xr3:uid="{00000000-0010-0000-2D00-00001B000000}" name="W" totalsRowFunction="sum" dataDxfId="197" totalsRowDxfId="160"/>
    <tableColumn id="28" xr3:uid="{00000000-0010-0000-2D00-00001C000000}" name="T" totalsRowFunction="sum" dataDxfId="196" totalsRowDxfId="159"/>
    <tableColumn id="29" xr3:uid="{00000000-0010-0000-2D00-00001D000000}" name="X" totalsRowFunction="sum" dataDxfId="195" totalsRowDxfId="158"/>
    <tableColumn id="30" xr3:uid="{00000000-0010-0000-2D00-00001E000000}" name="U" totalsRowFunction="sum" dataDxfId="194" totalsRowDxfId="157"/>
    <tableColumn id="31" xr3:uid="{00000000-0010-0000-2D00-00001F000000}" name="O" totalsRowFunction="sum" dataDxfId="193" totalsRowDxfId="156"/>
    <tableColumn id="32" xr3:uid="{00000000-0010-0000-2D00-000020000000}" name="I" totalsRowFunction="sum" dataDxfId="192" totalsRowDxfId="155"/>
    <tableColumn id="33" xr3:uid="{00000000-0010-0000-2D00-000021000000}" name="E" totalsRowFunction="sum" dataDxfId="191" totalsRowDxfId="154"/>
    <tableColumn id="34" xr3:uid="{00000000-0010-0000-2D00-000022000000}" name="A" totalsRowFunction="sum" dataDxfId="190" totalsRowDxfId="153"/>
    <tableColumn id="35" xr3:uid="{00000000-0010-0000-2D00-000023000000}" name="P" totalsRowFunction="sum" dataDxfId="189" totalsRowDxfId="152"/>
    <tableColumn id="36" xr3:uid="{00000000-0010-0000-2D00-000024000000}" name="N" totalsRowFunction="count" dataDxfId="188" totalsRowDxfId="151"/>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CAI_ELQ" displayName="FocusMode_CAI_ELQ" ref="A1:H42" totalsRowShown="0">
  <autoFilter ref="A1:H42"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hreatsAlert_CAI_ELQ" displayName="ThreatsAlert_CAI_ELQ" ref="A1:H26" totalsRowShown="0">
  <autoFilter ref="A1:H26" xr:uid="{00000000-0009-0000-0100-000030000000}"/>
  <tableColumns count="8">
    <tableColumn id="1" xr3:uid="{00000000-0010-0000-2F00-000001000000}" name="DATE"/>
    <tableColumn id="2" xr3:uid="{00000000-0010-0000-2F00-000002000000}" name="AIRLINE"/>
    <tableColumn id="3" xr3:uid="{00000000-0010-0000-2F00-000003000000}" name="FLIGHT NUM"/>
    <tableColumn id="4" xr3:uid="{00000000-0010-0000-2F00-000004000000}" name="ROUTE"/>
    <tableColumn id="5" xr3:uid="{00000000-0010-0000-2F00-000005000000}" name="DEPARTURE"/>
    <tableColumn id="6" xr3:uid="{00000000-0010-0000-2F00-000006000000}" name="BAGGAGE"/>
    <tableColumn id="7" xr3:uid="{00000000-0010-0000-2F00-000007000000}" name="AVAILABILITY"/>
    <tableColumn id="8" xr3:uid="{00000000-0010-0000-2F00-000008000000}" name="PUBLISHED FAR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ATZ_ELQ_LF_LEGACY" displayName="ATZ_ELQ_LF_LEGACY" ref="A1:AJ5" totalsRowCount="1" headerRowDxfId="149" dataDxfId="112" totalsRowDxfId="75">
  <tableColumns count="36">
    <tableColumn id="1" xr3:uid="{00000000-0010-0000-3000-000001000000}" name="Day" totalsRowLabel="TOTAL" dataDxfId="148" totalsRowDxfId="111"/>
    <tableColumn id="2" xr3:uid="{00000000-0010-0000-3000-000002000000}" name="Flt Dt" dataDxfId="147" totalsRowDxfId="110"/>
    <tableColumn id="3" xr3:uid="{00000000-0010-0000-3000-000003000000}" name="Flt" totalsRowFunction="count" dataDxfId="146" totalsRowDxfId="109"/>
    <tableColumn id="4" xr3:uid="{00000000-0010-0000-3000-000004000000}" name="DEP" dataDxfId="145" totalsRowDxfId="108"/>
    <tableColumn id="5" xr3:uid="{00000000-0010-0000-3000-000005000000}" name="Brd-Off" totalsRowFunction="count" dataDxfId="144" totalsRowDxfId="107"/>
    <tableColumn id="6" xr3:uid="{00000000-0010-0000-3000-000006000000}" name="Eqp" dataDxfId="143" totalsRowDxfId="106"/>
    <tableColumn id="7" xr3:uid="{00000000-0010-0000-3000-000007000000}" name="LF%" totalsRowFunction="average" dataDxfId="142" totalsRowDxfId="105"/>
    <tableColumn id="8" xr3:uid="{00000000-0010-0000-3000-000008000000}" name="CAP" totalsRowFunction="sum" dataDxfId="141" totalsRowDxfId="104"/>
    <tableColumn id="9" xr3:uid="{00000000-0010-0000-3000-000009000000}" name="BKG(Y)" totalsRowFunction="sum" dataDxfId="140" totalsRowDxfId="103"/>
    <tableColumn id="10" xr3:uid="{00000000-0010-0000-3000-00000A000000}" name="GRP(Y)" totalsRowFunction="sum" dataDxfId="139" totalsRowDxfId="102"/>
    <tableColumn id="11" xr3:uid="{00000000-0010-0000-3000-00000B000000}" name="FLT ST" dataDxfId="138" totalsRowDxfId="101"/>
    <tableColumn id="12" xr3:uid="{00000000-0010-0000-3000-00000C000000}" name="LST-SOLD" dataDxfId="137" totalsRowDxfId="100"/>
    <tableColumn id="13" xr3:uid="{00000000-0010-0000-3000-00000D000000}" name="TO-DAY" totalsRowFunction="sum" dataDxfId="136" totalsRowDxfId="99"/>
    <tableColumn id="14" xr3:uid="{00000000-0010-0000-3000-00000E000000}" name="Y-DAY" totalsRowFunction="sum" dataDxfId="135" totalsRowDxfId="98"/>
    <tableColumn id="15" xr3:uid="{00000000-0010-0000-3000-00000F000000}" name="WEEKLY" totalsRowFunction="sum" dataDxfId="134" totalsRowDxfId="97"/>
    <tableColumn id="16" xr3:uid="{00000000-0010-0000-3000-000010000000}" name="LOWEST AVAIL" dataDxfId="133" totalsRowDxfId="96"/>
    <tableColumn id="17" xr3:uid="{00000000-0010-0000-3000-000011000000}" name="Y" totalsRowFunction="sum" dataDxfId="132" totalsRowDxfId="95"/>
    <tableColumn id="18" xr3:uid="{00000000-0010-0000-3000-000012000000}" name="B" totalsRowFunction="sum" dataDxfId="131" totalsRowDxfId="94"/>
    <tableColumn id="19" xr3:uid="{00000000-0010-0000-3000-000013000000}" name="M" totalsRowFunction="sum" dataDxfId="130" totalsRowDxfId="93"/>
    <tableColumn id="20" xr3:uid="{00000000-0010-0000-3000-000014000000}" name="H" totalsRowFunction="sum" dataDxfId="129" totalsRowDxfId="92"/>
    <tableColumn id="21" xr3:uid="{00000000-0010-0000-3000-000015000000}" name="Q" totalsRowFunction="sum" dataDxfId="128" totalsRowDxfId="91"/>
    <tableColumn id="22" xr3:uid="{00000000-0010-0000-3000-000016000000}" name="K" totalsRowFunction="sum" dataDxfId="127" totalsRowDxfId="90"/>
    <tableColumn id="23" xr3:uid="{00000000-0010-0000-3000-000017000000}" name="V" totalsRowFunction="sum" dataDxfId="126" totalsRowDxfId="89"/>
    <tableColumn id="24" xr3:uid="{00000000-0010-0000-3000-000018000000}" name="L" totalsRowFunction="sum" dataDxfId="125" totalsRowDxfId="88"/>
    <tableColumn id="25" xr3:uid="{00000000-0010-0000-3000-000019000000}" name="G" totalsRowFunction="sum" dataDxfId="124" totalsRowDxfId="87"/>
    <tableColumn id="26" xr3:uid="{00000000-0010-0000-3000-00001A000000}" name="S" totalsRowFunction="sum" dataDxfId="123" totalsRowDxfId="86"/>
    <tableColumn id="27" xr3:uid="{00000000-0010-0000-3000-00001B000000}" name="W" totalsRowFunction="sum" dataDxfId="122" totalsRowDxfId="85"/>
    <tableColumn id="28" xr3:uid="{00000000-0010-0000-3000-00001C000000}" name="T" totalsRowFunction="sum" dataDxfId="121" totalsRowDxfId="84"/>
    <tableColumn id="29" xr3:uid="{00000000-0010-0000-3000-00001D000000}" name="X" totalsRowFunction="sum" dataDxfId="120" totalsRowDxfId="83"/>
    <tableColumn id="30" xr3:uid="{00000000-0010-0000-3000-00001E000000}" name="U" totalsRowFunction="sum" dataDxfId="119" totalsRowDxfId="82"/>
    <tableColumn id="31" xr3:uid="{00000000-0010-0000-3000-00001F000000}" name="O" totalsRowFunction="sum" dataDxfId="118" totalsRowDxfId="81"/>
    <tableColumn id="32" xr3:uid="{00000000-0010-0000-3000-000020000000}" name="I" totalsRowFunction="sum" dataDxfId="117" totalsRowDxfId="80"/>
    <tableColumn id="33" xr3:uid="{00000000-0010-0000-3000-000021000000}" name="E" totalsRowFunction="sum" dataDxfId="116" totalsRowDxfId="79"/>
    <tableColumn id="34" xr3:uid="{00000000-0010-0000-3000-000022000000}" name="A" totalsRowFunction="sum" dataDxfId="115" totalsRowDxfId="78"/>
    <tableColumn id="35" xr3:uid="{00000000-0010-0000-3000-000023000000}" name="P" totalsRowFunction="sum" dataDxfId="114" totalsRowDxfId="77"/>
    <tableColumn id="36" xr3:uid="{00000000-0010-0000-3000-000024000000}" name="N" totalsRowFunction="count" dataDxfId="113" totalsRowDxfId="76"/>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FocusMode_ATZ_ELQ" displayName="FocusMode_ATZ_ELQ" ref="A1:H56" totalsRowShown="0">
  <autoFilter ref="A1:H56"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CAI_GIZ_LF_LEGACY" displayName="CAI_GIZ_LF_LEGACY" ref="A1:AJ6" totalsRowCount="1" headerRowDxfId="74" dataDxfId="37" totalsRowDxfId="0">
  <tableColumns count="36">
    <tableColumn id="1" xr3:uid="{00000000-0010-0000-3200-000001000000}" name="Day" totalsRowLabel="TOTAL" dataDxfId="73" totalsRowDxfId="36"/>
    <tableColumn id="2" xr3:uid="{00000000-0010-0000-3200-000002000000}" name="Flt Dt" dataDxfId="72" totalsRowDxfId="35"/>
    <tableColumn id="3" xr3:uid="{00000000-0010-0000-3200-000003000000}" name="Flt" totalsRowFunction="count" dataDxfId="71" totalsRowDxfId="34"/>
    <tableColumn id="4" xr3:uid="{00000000-0010-0000-3200-000004000000}" name="DEP" dataDxfId="70" totalsRowDxfId="33"/>
    <tableColumn id="5" xr3:uid="{00000000-0010-0000-3200-000005000000}" name="Brd-Off" totalsRowFunction="count" dataDxfId="69" totalsRowDxfId="32"/>
    <tableColumn id="6" xr3:uid="{00000000-0010-0000-3200-000006000000}" name="Eqp" dataDxfId="68" totalsRowDxfId="31"/>
    <tableColumn id="7" xr3:uid="{00000000-0010-0000-3200-000007000000}" name="LF%" totalsRowFunction="average" dataDxfId="67" totalsRowDxfId="30"/>
    <tableColumn id="8" xr3:uid="{00000000-0010-0000-3200-000008000000}" name="CAP" totalsRowFunction="sum" dataDxfId="66" totalsRowDxfId="29"/>
    <tableColumn id="9" xr3:uid="{00000000-0010-0000-3200-000009000000}" name="BKG(Y)" totalsRowFunction="sum" dataDxfId="65" totalsRowDxfId="28"/>
    <tableColumn id="10" xr3:uid="{00000000-0010-0000-3200-00000A000000}" name="GRP(Y)" totalsRowFunction="sum" dataDxfId="64" totalsRowDxfId="27"/>
    <tableColumn id="11" xr3:uid="{00000000-0010-0000-3200-00000B000000}" name="FLT ST" dataDxfId="63" totalsRowDxfId="26"/>
    <tableColumn id="12" xr3:uid="{00000000-0010-0000-3200-00000C000000}" name="LST-SOLD" dataDxfId="62" totalsRowDxfId="25"/>
    <tableColumn id="13" xr3:uid="{00000000-0010-0000-3200-00000D000000}" name="TO-DAY" totalsRowFunction="sum" dataDxfId="61" totalsRowDxfId="24"/>
    <tableColumn id="14" xr3:uid="{00000000-0010-0000-3200-00000E000000}" name="Y-DAY" totalsRowFunction="sum" dataDxfId="60" totalsRowDxfId="23"/>
    <tableColumn id="15" xr3:uid="{00000000-0010-0000-3200-00000F000000}" name="WEEKLY" totalsRowFunction="sum" dataDxfId="59" totalsRowDxfId="22"/>
    <tableColumn id="16" xr3:uid="{00000000-0010-0000-3200-000010000000}" name="LOWEST AVAIL" dataDxfId="58" totalsRowDxfId="21"/>
    <tableColumn id="17" xr3:uid="{00000000-0010-0000-3200-000011000000}" name="Y" totalsRowFunction="sum" dataDxfId="57" totalsRowDxfId="20"/>
    <tableColumn id="18" xr3:uid="{00000000-0010-0000-3200-000012000000}" name="B" totalsRowFunction="sum" dataDxfId="56" totalsRowDxfId="19"/>
    <tableColumn id="19" xr3:uid="{00000000-0010-0000-3200-000013000000}" name="M" totalsRowFunction="sum" dataDxfId="55" totalsRowDxfId="18"/>
    <tableColumn id="20" xr3:uid="{00000000-0010-0000-3200-000014000000}" name="H" totalsRowFunction="sum" dataDxfId="54" totalsRowDxfId="17"/>
    <tableColumn id="21" xr3:uid="{00000000-0010-0000-3200-000015000000}" name="Q" totalsRowFunction="sum" dataDxfId="53" totalsRowDxfId="16"/>
    <tableColumn id="22" xr3:uid="{00000000-0010-0000-3200-000016000000}" name="K" totalsRowFunction="sum" dataDxfId="52" totalsRowDxfId="15"/>
    <tableColumn id="23" xr3:uid="{00000000-0010-0000-3200-000017000000}" name="V" totalsRowFunction="sum" dataDxfId="51" totalsRowDxfId="14"/>
    <tableColumn id="24" xr3:uid="{00000000-0010-0000-3200-000018000000}" name="L" totalsRowFunction="sum" dataDxfId="50" totalsRowDxfId="13"/>
    <tableColumn id="25" xr3:uid="{00000000-0010-0000-3200-000019000000}" name="G" totalsRowFunction="sum" dataDxfId="49" totalsRowDxfId="12"/>
    <tableColumn id="26" xr3:uid="{00000000-0010-0000-3200-00001A000000}" name="S" totalsRowFunction="sum" dataDxfId="48" totalsRowDxfId="11"/>
    <tableColumn id="27" xr3:uid="{00000000-0010-0000-3200-00001B000000}" name="W" totalsRowFunction="sum" dataDxfId="47" totalsRowDxfId="10"/>
    <tableColumn id="28" xr3:uid="{00000000-0010-0000-3200-00001C000000}" name="T" totalsRowFunction="sum" dataDxfId="46" totalsRowDxfId="9"/>
    <tableColumn id="29" xr3:uid="{00000000-0010-0000-3200-00001D000000}" name="X" totalsRowFunction="sum" dataDxfId="45" totalsRowDxfId="8"/>
    <tableColumn id="30" xr3:uid="{00000000-0010-0000-3200-00001E000000}" name="U" totalsRowFunction="sum" dataDxfId="44" totalsRowDxfId="7"/>
    <tableColumn id="31" xr3:uid="{00000000-0010-0000-3200-00001F000000}" name="O" totalsRowFunction="sum" dataDxfId="43" totalsRowDxfId="6"/>
    <tableColumn id="32" xr3:uid="{00000000-0010-0000-3200-000020000000}" name="I" totalsRowFunction="sum" dataDxfId="42" totalsRowDxfId="5"/>
    <tableColumn id="33" xr3:uid="{00000000-0010-0000-3200-000021000000}" name="E" totalsRowFunction="sum" dataDxfId="41" totalsRowDxfId="4"/>
    <tableColumn id="34" xr3:uid="{00000000-0010-0000-3200-000022000000}" name="A" totalsRowFunction="sum" dataDxfId="40" totalsRowDxfId="3"/>
    <tableColumn id="35" xr3:uid="{00000000-0010-0000-3200-000023000000}" name="P" totalsRowFunction="sum" dataDxfId="39" totalsRowDxfId="2"/>
    <tableColumn id="36" xr3:uid="{00000000-0010-0000-3200-000024000000}" name="N" totalsRowFunction="count" dataDxfId="38" totalsRowDxfId="1"/>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FocusMode_CAI_GIZ" displayName="FocusMode_CAI_GIZ" ref="A1:H16" totalsRowShown="0">
  <autoFilter ref="A1:H16"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hreatsAlert_CAI_GIZ" displayName="ThreatsAlert_CAI_GIZ" ref="A1:H10" totalsRowShown="0">
  <autoFilter ref="A1:H10" xr:uid="{00000000-0009-0000-0100-000035000000}"/>
  <tableColumns count="8">
    <tableColumn id="1" xr3:uid="{00000000-0010-0000-3400-000001000000}" name="DATE"/>
    <tableColumn id="2" xr3:uid="{00000000-0010-0000-3400-000002000000}" name="AIRLINE"/>
    <tableColumn id="3" xr3:uid="{00000000-0010-0000-3400-000003000000}" name="FLIGHT NUM"/>
    <tableColumn id="4" xr3:uid="{00000000-0010-0000-3400-000004000000}" name="ROUTE"/>
    <tableColumn id="5" xr3:uid="{00000000-0010-0000-3400-000005000000}" name="DEPARTURE"/>
    <tableColumn id="6" xr3:uid="{00000000-0010-0000-3400-000006000000}" name="BAGGAGE"/>
    <tableColumn id="7" xr3:uid="{00000000-0010-0000-3400-000007000000}" name="AVAILABILITY"/>
    <tableColumn id="8" xr3:uid="{00000000-0010-0000-3400-000008000000}" name="PUBLISHED FARE"/>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EGY_TO_KSA_ALL_ROUTES" displayName="EGY_TO_KSA_ALL_ROUTES" ref="A1:AJ191" totalsRowShown="0">
  <tableColumns count="36">
    <tableColumn id="1" xr3:uid="{00000000-0010-0000-3500-000001000000}" name="Day" totalsRowLabel="TOTAL"/>
    <tableColumn id="2" xr3:uid="{00000000-0010-0000-3500-000002000000}" name="Flt Dt"/>
    <tableColumn id="3" xr3:uid="{00000000-0010-0000-3500-000003000000}" name="Flt" totalsRowFunction="count"/>
    <tableColumn id="4" xr3:uid="{00000000-0010-0000-3500-000004000000}" name="DEP"/>
    <tableColumn id="5" xr3:uid="{00000000-0010-0000-3500-000005000000}" name="Brd-Off" totalsRowFunction="count"/>
    <tableColumn id="6" xr3:uid="{00000000-0010-0000-3500-000006000000}" name="Eqp"/>
    <tableColumn id="7" xr3:uid="{00000000-0010-0000-3500-000007000000}" name="LF%" totalsRowFunction="average"/>
    <tableColumn id="8" xr3:uid="{00000000-0010-0000-3500-000008000000}" name="CAP" totalsRowFunction="sum"/>
    <tableColumn id="9" xr3:uid="{00000000-0010-0000-3500-000009000000}" name="BKG(Y)" totalsRowFunction="sum"/>
    <tableColumn id="10" xr3:uid="{00000000-0010-0000-3500-00000A000000}" name="GRP(Y)" totalsRowFunction="sum"/>
    <tableColumn id="11" xr3:uid="{00000000-0010-0000-3500-00000B000000}" name="FLT ST"/>
    <tableColumn id="12" xr3:uid="{00000000-0010-0000-3500-00000C000000}" name="LST-SOLD"/>
    <tableColumn id="13" xr3:uid="{00000000-0010-0000-3500-00000D000000}" name="TO-DAY" totalsRowFunction="sum"/>
    <tableColumn id="14" xr3:uid="{00000000-0010-0000-3500-00000E000000}" name="Y-DAY" totalsRowFunction="sum"/>
    <tableColumn id="15" xr3:uid="{00000000-0010-0000-3500-00000F000000}" name="WEEKLY" totalsRowFunction="sum"/>
    <tableColumn id="16" xr3:uid="{00000000-0010-0000-3500-000010000000}" name="LOWEST AVAIL" totalsRowFunction="sum"/>
    <tableColumn id="17" xr3:uid="{00000000-0010-0000-3500-000011000000}" name="Y" totalsRowFunction="sum"/>
    <tableColumn id="18" xr3:uid="{00000000-0010-0000-3500-000012000000}" name="B" totalsRowFunction="sum"/>
    <tableColumn id="19" xr3:uid="{00000000-0010-0000-3500-000013000000}" name="M" totalsRowFunction="sum"/>
    <tableColumn id="20" xr3:uid="{00000000-0010-0000-3500-000014000000}" name="H" totalsRowFunction="sum"/>
    <tableColumn id="21" xr3:uid="{00000000-0010-0000-3500-000015000000}" name="Q" totalsRowFunction="sum"/>
    <tableColumn id="22" xr3:uid="{00000000-0010-0000-3500-000016000000}" name="K" totalsRowFunction="sum"/>
    <tableColumn id="23" xr3:uid="{00000000-0010-0000-3500-000017000000}" name="V" totalsRowFunction="sum"/>
    <tableColumn id="24" xr3:uid="{00000000-0010-0000-3500-000018000000}" name="L" totalsRowFunction="sum"/>
    <tableColumn id="25" xr3:uid="{00000000-0010-0000-3500-000019000000}" name="G" totalsRowFunction="sum"/>
    <tableColumn id="26" xr3:uid="{00000000-0010-0000-3500-00001A000000}" name="S" totalsRowFunction="sum"/>
    <tableColumn id="27" xr3:uid="{00000000-0010-0000-3500-00001B000000}" name="W" totalsRowFunction="sum"/>
    <tableColumn id="28" xr3:uid="{00000000-0010-0000-3500-00001C000000}" name="T" totalsRowFunction="sum"/>
    <tableColumn id="29" xr3:uid="{00000000-0010-0000-3500-00001D000000}" name="X" totalsRowFunction="sum"/>
    <tableColumn id="30" xr3:uid="{00000000-0010-0000-3500-00001E000000}" name="U" totalsRowFunction="sum"/>
    <tableColumn id="31" xr3:uid="{00000000-0010-0000-3500-00001F000000}" name="O" totalsRowFunction="sum"/>
    <tableColumn id="32" xr3:uid="{00000000-0010-0000-3500-000020000000}" name="I" totalsRowFunction="sum"/>
    <tableColumn id="33" xr3:uid="{00000000-0010-0000-3500-000021000000}" name="E" totalsRowFunction="sum"/>
    <tableColumn id="34" xr3:uid="{00000000-0010-0000-3500-000022000000}" name="A" totalsRowFunction="sum"/>
    <tableColumn id="35" xr3:uid="{00000000-0010-0000-3500-000023000000}" name="P" totalsRowFunction="sum"/>
    <tableColumn id="36" xr3:uid="{00000000-0010-0000-35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2.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4.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6.xml"/><Relationship Id="rId1" Type="http://schemas.openxmlformats.org/officeDocument/2006/relationships/vmlDrawing" Target="../drawings/vmlDrawing9.v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9.xml"/><Relationship Id="rId1" Type="http://schemas.openxmlformats.org/officeDocument/2006/relationships/vmlDrawing" Target="../drawings/vmlDrawing10.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0.xml"/><Relationship Id="rId1" Type="http://schemas.openxmlformats.org/officeDocument/2006/relationships/vmlDrawing" Target="../drawings/vmlDrawing11.v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2.xml"/><Relationship Id="rId1" Type="http://schemas.openxmlformats.org/officeDocument/2006/relationships/vmlDrawing" Target="../drawings/vmlDrawing12.v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4.xml"/><Relationship Id="rId1" Type="http://schemas.openxmlformats.org/officeDocument/2006/relationships/vmlDrawing" Target="../drawings/vmlDrawing13.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5.xml"/><Relationship Id="rId1" Type="http://schemas.openxmlformats.org/officeDocument/2006/relationships/vmlDrawing" Target="../drawings/vmlDrawing14.v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7.xml"/><Relationship Id="rId1" Type="http://schemas.openxmlformats.org/officeDocument/2006/relationships/vmlDrawing" Target="../drawings/vmlDrawing15.v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9.xml"/><Relationship Id="rId1" Type="http://schemas.openxmlformats.org/officeDocument/2006/relationships/vmlDrawing" Target="../drawings/vmlDrawing16.vml"/></Relationships>
</file>

<file path=xl/worksheets/_rels/sheet5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0.xml"/><Relationship Id="rId1" Type="http://schemas.openxmlformats.org/officeDocument/2006/relationships/vmlDrawing" Target="../drawings/vmlDrawing17.vml"/></Relationships>
</file>

<file path=xl/worksheets/_rels/sheet5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2.xml"/><Relationship Id="rId1" Type="http://schemas.openxmlformats.org/officeDocument/2006/relationships/vmlDrawing" Target="../drawings/vmlDrawing18.v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4.xml"/><Relationship Id="rId1" Type="http://schemas.openxmlformats.org/officeDocument/2006/relationships/vmlDrawing" Target="../drawings/vmlDrawing19.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5.xml"/><Relationship Id="rId1" Type="http://schemas.openxmlformats.org/officeDocument/2006/relationships/vmlDrawing" Target="../drawings/vmlDrawing20.v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7.xml"/><Relationship Id="rId1" Type="http://schemas.openxmlformats.org/officeDocument/2006/relationships/vmlDrawing" Target="../drawings/vmlDrawing21.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9.xml"/><Relationship Id="rId1" Type="http://schemas.openxmlformats.org/officeDocument/2006/relationships/vmlDrawing" Target="../drawings/vmlDrawing22.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40.xml"/><Relationship Id="rId1" Type="http://schemas.openxmlformats.org/officeDocument/2006/relationships/vmlDrawing" Target="../drawings/vmlDrawing23.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2.xml"/><Relationship Id="rId1" Type="http://schemas.openxmlformats.org/officeDocument/2006/relationships/vmlDrawing" Target="../drawings/vmlDrawing24.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3.xml"/><Relationship Id="rId1" Type="http://schemas.openxmlformats.org/officeDocument/2006/relationships/vmlDrawing" Target="../drawings/vmlDrawing25.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5.xml"/><Relationship Id="rId1" Type="http://schemas.openxmlformats.org/officeDocument/2006/relationships/vmlDrawing" Target="../drawings/vmlDrawing26.v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7.xml"/><Relationship Id="rId1" Type="http://schemas.openxmlformats.org/officeDocument/2006/relationships/vmlDrawing" Target="../drawings/vmlDrawing27.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8.xml"/><Relationship Id="rId1" Type="http://schemas.openxmlformats.org/officeDocument/2006/relationships/vmlDrawing" Target="../drawings/vmlDrawing28.vml"/></Relationships>
</file>

<file path=xl/worksheets/_rels/sheet77.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50.xml"/><Relationship Id="rId1" Type="http://schemas.openxmlformats.org/officeDocument/2006/relationships/vmlDrawing" Target="../drawings/vmlDrawing29.vml"/></Relationships>
</file>

<file path=xl/worksheets/_rels/sheet80.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table" Target="../tables/table52.xml"/><Relationship Id="rId1" Type="http://schemas.openxmlformats.org/officeDocument/2006/relationships/vmlDrawing" Target="../drawings/vmlDrawing30.vml"/></Relationships>
</file>

<file path=xl/worksheets/_rels/sheet8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53.xml"/><Relationship Id="rId1" Type="http://schemas.openxmlformats.org/officeDocument/2006/relationships/vmlDrawing" Target="../drawings/vmlDrawing31.v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17"/>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1" bestFit="1" customWidth="1"/>
  </cols>
  <sheetData>
    <row r="1" spans="1:92" ht="28.8" customHeight="1" x14ac:dyDescent="0.3">
      <c r="A1" s="303" t="s">
        <v>0</v>
      </c>
      <c r="B1" s="302"/>
      <c r="C1" s="302"/>
      <c r="D1" s="302"/>
      <c r="E1" s="302"/>
      <c r="F1" s="1" t="s">
        <v>1</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45980.583235484533</v>
      </c>
      <c r="H2" s="302"/>
      <c r="I2" s="302"/>
      <c r="J2" s="302"/>
      <c r="K2" s="311">
        <v>45980.583235484977</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0.43402777777777768</v>
      </c>
      <c r="D6" s="8" t="s">
        <v>28</v>
      </c>
      <c r="E6" s="8" t="s">
        <v>29</v>
      </c>
      <c r="F6" s="8" t="s">
        <v>30</v>
      </c>
      <c r="G6" s="304"/>
      <c r="H6" s="10"/>
      <c r="I6" s="11"/>
      <c r="J6" s="11"/>
      <c r="K6" s="11"/>
      <c r="L6" s="11"/>
      <c r="M6" s="11"/>
      <c r="N6" s="11"/>
      <c r="O6" s="12"/>
      <c r="P6" s="11"/>
      <c r="Q6" s="13"/>
      <c r="R6" s="14"/>
    </row>
    <row r="7" spans="1:92" ht="15" customHeight="1" x14ac:dyDescent="0.3">
      <c r="A7" s="15" t="s">
        <v>26</v>
      </c>
      <c r="B7" s="15" t="s">
        <v>27</v>
      </c>
      <c r="C7" s="16">
        <v>0.43402777777777768</v>
      </c>
      <c r="D7" s="15" t="s">
        <v>31</v>
      </c>
      <c r="E7" s="15" t="s">
        <v>32</v>
      </c>
      <c r="F7" s="15" t="s">
        <v>33</v>
      </c>
      <c r="G7" s="298"/>
      <c r="H7" s="10"/>
      <c r="I7" s="11"/>
      <c r="J7" s="11"/>
      <c r="K7" s="11"/>
      <c r="L7" s="11"/>
      <c r="M7" s="11"/>
      <c r="N7" s="11"/>
      <c r="O7" s="12"/>
      <c r="P7" s="11"/>
      <c r="Q7" s="13"/>
      <c r="R7" s="14"/>
    </row>
    <row r="8" spans="1:92" ht="15" customHeight="1" x14ac:dyDescent="0.3">
      <c r="A8" s="15" t="s">
        <v>26</v>
      </c>
      <c r="B8" s="15" t="s">
        <v>27</v>
      </c>
      <c r="C8" s="16">
        <v>0.43402777777777768</v>
      </c>
      <c r="D8" s="15" t="s">
        <v>34</v>
      </c>
      <c r="E8" s="15" t="s">
        <v>32</v>
      </c>
      <c r="F8" s="15" t="s">
        <v>35</v>
      </c>
      <c r="G8" s="298"/>
      <c r="H8" s="10"/>
      <c r="I8" s="11"/>
      <c r="J8" s="11"/>
      <c r="K8" s="11"/>
      <c r="L8" s="11"/>
      <c r="M8" s="11"/>
      <c r="N8" s="11"/>
      <c r="O8" s="12"/>
      <c r="P8" s="11"/>
      <c r="Q8" s="13"/>
      <c r="R8" s="14"/>
    </row>
    <row r="9" spans="1:92" ht="15" customHeight="1" x14ac:dyDescent="0.3">
      <c r="A9" s="17" t="s">
        <v>26</v>
      </c>
      <c r="B9" s="17" t="s">
        <v>36</v>
      </c>
      <c r="C9" s="18">
        <v>0.60763888888888895</v>
      </c>
      <c r="D9" s="17" t="s">
        <v>28</v>
      </c>
      <c r="E9" s="17" t="s">
        <v>37</v>
      </c>
      <c r="F9" s="17" t="s">
        <v>33</v>
      </c>
      <c r="G9" s="298"/>
      <c r="H9" s="10"/>
      <c r="I9" s="11"/>
      <c r="J9" s="11"/>
      <c r="K9" s="11"/>
      <c r="L9" s="11"/>
      <c r="M9" s="11"/>
      <c r="N9" s="11"/>
      <c r="O9" s="12"/>
      <c r="P9" s="11"/>
      <c r="Q9" s="13"/>
      <c r="R9" s="14"/>
    </row>
    <row r="10" spans="1:92" ht="15" customHeight="1" x14ac:dyDescent="0.3">
      <c r="A10" s="15" t="s">
        <v>26</v>
      </c>
      <c r="B10" s="15" t="s">
        <v>36</v>
      </c>
      <c r="C10" s="16">
        <v>0.60763888888888895</v>
      </c>
      <c r="D10" s="15" t="s">
        <v>31</v>
      </c>
      <c r="E10" s="15" t="s">
        <v>38</v>
      </c>
      <c r="F10" s="15" t="s">
        <v>39</v>
      </c>
      <c r="G10" s="298"/>
      <c r="H10" s="10"/>
      <c r="I10" s="11"/>
      <c r="J10" s="11"/>
      <c r="K10" s="11"/>
      <c r="L10" s="11"/>
      <c r="M10" s="11"/>
      <c r="N10" s="11"/>
      <c r="O10" s="12"/>
      <c r="P10" s="11"/>
      <c r="Q10" s="13"/>
      <c r="R10" s="14"/>
    </row>
    <row r="11" spans="1:92" ht="15" customHeight="1" x14ac:dyDescent="0.3">
      <c r="A11" s="15" t="s">
        <v>26</v>
      </c>
      <c r="B11" s="15" t="s">
        <v>36</v>
      </c>
      <c r="C11" s="16">
        <v>0.60763888888888895</v>
      </c>
      <c r="D11" s="15" t="s">
        <v>34</v>
      </c>
      <c r="E11" s="15" t="s">
        <v>38</v>
      </c>
      <c r="F11" s="15" t="s">
        <v>40</v>
      </c>
      <c r="G11" s="298"/>
      <c r="H11" s="10"/>
      <c r="I11" s="11"/>
      <c r="J11" s="11"/>
      <c r="K11" s="11"/>
      <c r="L11" s="11"/>
      <c r="M11" s="11"/>
      <c r="N11" s="11"/>
      <c r="O11" s="12"/>
      <c r="P11" s="11"/>
      <c r="Q11" s="13"/>
      <c r="R11" s="14"/>
    </row>
    <row r="12" spans="1:92" ht="15" customHeight="1" x14ac:dyDescent="0.3">
      <c r="A12" s="19" t="s">
        <v>41</v>
      </c>
      <c r="B12" s="19" t="s">
        <v>42</v>
      </c>
      <c r="C12" s="20">
        <v>0.22916666666666671</v>
      </c>
      <c r="D12" s="19" t="s">
        <v>43</v>
      </c>
      <c r="E12" s="19" t="s">
        <v>29</v>
      </c>
      <c r="F12" s="19" t="s">
        <v>44</v>
      </c>
      <c r="G12" s="298"/>
      <c r="H12" s="10"/>
      <c r="I12" s="11"/>
      <c r="J12" s="11"/>
      <c r="K12" s="11"/>
      <c r="L12" s="11"/>
      <c r="M12" s="11"/>
      <c r="N12" s="11"/>
      <c r="O12" s="12"/>
      <c r="P12" s="11"/>
      <c r="Q12" s="13"/>
      <c r="R12" s="14"/>
    </row>
    <row r="13" spans="1:92" ht="15" customHeight="1" x14ac:dyDescent="0.3">
      <c r="A13" s="15" t="s">
        <v>41</v>
      </c>
      <c r="B13" s="15" t="s">
        <v>42</v>
      </c>
      <c r="C13" s="16">
        <v>0.22916666666666671</v>
      </c>
      <c r="D13" s="15" t="s">
        <v>45</v>
      </c>
      <c r="E13" s="15" t="s">
        <v>32</v>
      </c>
      <c r="F13" s="15" t="s">
        <v>35</v>
      </c>
      <c r="G13" s="298"/>
      <c r="H13" s="10"/>
      <c r="I13" s="11"/>
      <c r="J13" s="11"/>
      <c r="K13" s="11"/>
      <c r="L13" s="11"/>
      <c r="M13" s="11"/>
      <c r="N13" s="11"/>
      <c r="O13" s="12"/>
      <c r="P13" s="11"/>
      <c r="Q13" s="13"/>
      <c r="R13" s="14"/>
    </row>
    <row r="14" spans="1:92" ht="15" customHeight="1" x14ac:dyDescent="0.3">
      <c r="A14" s="15" t="s">
        <v>41</v>
      </c>
      <c r="B14" s="15" t="s">
        <v>42</v>
      </c>
      <c r="C14" s="16">
        <v>0.22916666666666671</v>
      </c>
      <c r="D14" s="15" t="s">
        <v>46</v>
      </c>
      <c r="E14" s="15" t="s">
        <v>32</v>
      </c>
      <c r="F14" s="15" t="s">
        <v>47</v>
      </c>
      <c r="G14" s="298"/>
      <c r="H14" s="10"/>
      <c r="I14" s="11"/>
      <c r="J14" s="11"/>
      <c r="K14" s="11"/>
      <c r="L14" s="11"/>
      <c r="M14" s="11"/>
      <c r="N14" s="11"/>
      <c r="O14" s="12"/>
      <c r="P14" s="11"/>
      <c r="Q14" s="13"/>
      <c r="R14" s="14"/>
    </row>
    <row r="15" spans="1:92" ht="15" customHeight="1" x14ac:dyDescent="0.3">
      <c r="A15" s="19" t="s">
        <v>48</v>
      </c>
      <c r="B15" s="19" t="s">
        <v>49</v>
      </c>
      <c r="C15" s="20">
        <v>0.69791666666666663</v>
      </c>
      <c r="D15" s="19" t="s">
        <v>50</v>
      </c>
      <c r="E15" s="19" t="s">
        <v>51</v>
      </c>
      <c r="F15" s="19" t="s">
        <v>52</v>
      </c>
      <c r="G15" s="298"/>
      <c r="H15" s="10"/>
      <c r="I15" s="11"/>
      <c r="J15" s="11"/>
      <c r="K15" s="11"/>
      <c r="L15" s="11"/>
      <c r="M15" s="11"/>
      <c r="N15" s="11"/>
      <c r="O15" s="12"/>
      <c r="P15" s="11"/>
      <c r="Q15" s="13"/>
      <c r="R15" s="14"/>
    </row>
    <row r="16" spans="1:92" ht="15" customHeight="1" x14ac:dyDescent="0.3">
      <c r="A16" s="17" t="s">
        <v>48</v>
      </c>
      <c r="B16" s="17" t="s">
        <v>53</v>
      </c>
      <c r="C16" s="18">
        <v>6.5972222222222224E-2</v>
      </c>
      <c r="D16" s="17" t="s">
        <v>50</v>
      </c>
      <c r="E16" s="17" t="s">
        <v>54</v>
      </c>
      <c r="F16" s="17" t="s">
        <v>52</v>
      </c>
      <c r="G16" s="298"/>
      <c r="H16" s="10"/>
      <c r="I16" s="11"/>
      <c r="J16" s="11"/>
      <c r="K16" s="11"/>
      <c r="L16" s="11"/>
      <c r="M16" s="11"/>
      <c r="N16" s="11"/>
      <c r="O16" s="12"/>
      <c r="P16" s="11"/>
      <c r="Q16" s="13"/>
      <c r="R16" s="14"/>
    </row>
    <row r="17" spans="1:18" ht="15" customHeight="1" x14ac:dyDescent="0.3">
      <c r="A17" s="17" t="s">
        <v>48</v>
      </c>
      <c r="B17" s="17" t="s">
        <v>55</v>
      </c>
      <c r="C17" s="18">
        <v>0.94097222222222221</v>
      </c>
      <c r="D17" s="17" t="s">
        <v>50</v>
      </c>
      <c r="E17" s="17" t="s">
        <v>54</v>
      </c>
      <c r="F17" s="17" t="s">
        <v>56</v>
      </c>
      <c r="G17" s="298"/>
      <c r="H17" s="10"/>
      <c r="I17" s="11"/>
      <c r="J17" s="11"/>
      <c r="K17" s="11"/>
      <c r="L17" s="11"/>
      <c r="M17" s="11"/>
      <c r="N17" s="11"/>
      <c r="O17" s="12"/>
      <c r="P17" s="11"/>
      <c r="Q17" s="13"/>
      <c r="R17" s="14"/>
    </row>
    <row r="18" spans="1:18" ht="15" customHeight="1" x14ac:dyDescent="0.3">
      <c r="A18" s="17" t="s">
        <v>48</v>
      </c>
      <c r="B18" s="17" t="s">
        <v>57</v>
      </c>
      <c r="C18" s="18">
        <v>0.28819444444444448</v>
      </c>
      <c r="D18" s="17" t="s">
        <v>50</v>
      </c>
      <c r="E18" s="17" t="s">
        <v>58</v>
      </c>
      <c r="F18" s="17" t="s">
        <v>59</v>
      </c>
      <c r="G18" s="298"/>
      <c r="H18" s="10"/>
      <c r="I18" s="11"/>
      <c r="J18" s="11"/>
      <c r="K18" s="11"/>
      <c r="L18" s="11"/>
      <c r="M18" s="11"/>
      <c r="N18" s="11"/>
      <c r="O18" s="12"/>
      <c r="P18" s="11"/>
      <c r="Q18" s="13"/>
      <c r="R18" s="14"/>
    </row>
    <row r="19" spans="1:18" ht="15" customHeight="1" x14ac:dyDescent="0.3">
      <c r="A19" s="19" t="s">
        <v>60</v>
      </c>
      <c r="B19" s="19" t="s">
        <v>61</v>
      </c>
      <c r="C19" s="20">
        <v>0.18402777777777779</v>
      </c>
      <c r="D19" s="19" t="s">
        <v>62</v>
      </c>
      <c r="E19" s="19" t="s">
        <v>63</v>
      </c>
      <c r="F19" s="19" t="s">
        <v>64</v>
      </c>
      <c r="G19" s="298"/>
      <c r="H19" s="10"/>
      <c r="I19" s="11"/>
      <c r="J19" s="11"/>
      <c r="K19" s="11"/>
      <c r="L19" s="11"/>
      <c r="M19" s="11"/>
      <c r="N19" s="11"/>
      <c r="O19" s="12"/>
      <c r="P19" s="11"/>
      <c r="Q19" s="13"/>
      <c r="R19" s="14"/>
    </row>
    <row r="20" spans="1:18" ht="15" customHeight="1" x14ac:dyDescent="0.3">
      <c r="A20" s="15" t="s">
        <v>60</v>
      </c>
      <c r="B20" s="15" t="s">
        <v>61</v>
      </c>
      <c r="C20" s="16">
        <v>0.18402777777777779</v>
      </c>
      <c r="D20" s="15" t="s">
        <v>65</v>
      </c>
      <c r="E20" s="15" t="s">
        <v>66</v>
      </c>
      <c r="F20" s="15" t="s">
        <v>67</v>
      </c>
      <c r="G20" s="298"/>
      <c r="H20" s="10"/>
      <c r="I20" s="11"/>
      <c r="J20" s="11"/>
      <c r="K20" s="11"/>
      <c r="L20" s="11"/>
      <c r="M20" s="11"/>
      <c r="N20" s="11"/>
      <c r="O20" s="12"/>
      <c r="P20" s="11"/>
      <c r="Q20" s="13"/>
      <c r="R20" s="14"/>
    </row>
    <row r="21" spans="1:18" ht="15" customHeight="1" x14ac:dyDescent="0.3">
      <c r="A21" s="17" t="s">
        <v>60</v>
      </c>
      <c r="B21" s="17" t="s">
        <v>68</v>
      </c>
      <c r="C21" s="18">
        <v>0.35416666666666669</v>
      </c>
      <c r="D21" s="17" t="s">
        <v>65</v>
      </c>
      <c r="E21" s="17" t="s">
        <v>69</v>
      </c>
      <c r="F21" s="17" t="s">
        <v>70</v>
      </c>
      <c r="G21" s="298"/>
      <c r="H21" s="10"/>
      <c r="I21" s="11"/>
      <c r="J21" s="11"/>
      <c r="K21" s="11"/>
      <c r="L21" s="11"/>
      <c r="M21" s="11"/>
      <c r="N21" s="11"/>
      <c r="O21" s="12"/>
      <c r="P21" s="11"/>
      <c r="Q21" s="13"/>
      <c r="R21" s="14"/>
    </row>
    <row r="22" spans="1:18" ht="15" customHeight="1" x14ac:dyDescent="0.3">
      <c r="A22" s="17" t="s">
        <v>60</v>
      </c>
      <c r="B22" s="17" t="s">
        <v>71</v>
      </c>
      <c r="C22" s="18">
        <v>0.22916666666666671</v>
      </c>
      <c r="D22" s="17" t="s">
        <v>65</v>
      </c>
      <c r="E22" s="17" t="s">
        <v>72</v>
      </c>
      <c r="F22" s="17" t="s">
        <v>73</v>
      </c>
      <c r="G22" s="298"/>
      <c r="H22" s="10"/>
      <c r="I22" s="11"/>
      <c r="J22" s="11"/>
      <c r="K22" s="11"/>
      <c r="L22" s="11"/>
      <c r="M22" s="11"/>
      <c r="N22" s="11"/>
      <c r="O22" s="12"/>
      <c r="P22" s="11"/>
      <c r="Q22" s="13"/>
      <c r="R22" s="14"/>
    </row>
    <row r="23" spans="1:18" ht="15" customHeight="1" x14ac:dyDescent="0.3">
      <c r="A23" s="17" t="s">
        <v>60</v>
      </c>
      <c r="B23" s="17" t="s">
        <v>74</v>
      </c>
      <c r="C23" s="18">
        <v>0.89583333333333337</v>
      </c>
      <c r="D23" s="17" t="s">
        <v>65</v>
      </c>
      <c r="E23" s="17" t="s">
        <v>75</v>
      </c>
      <c r="F23" s="17" t="s">
        <v>76</v>
      </c>
      <c r="G23" s="298"/>
      <c r="H23" s="10"/>
      <c r="I23" s="11"/>
      <c r="J23" s="11"/>
      <c r="K23" s="11"/>
      <c r="L23" s="11"/>
      <c r="M23" s="11"/>
      <c r="N23" s="11"/>
      <c r="O23" s="12"/>
      <c r="P23" s="11"/>
      <c r="Q23" s="13"/>
      <c r="R23" s="14"/>
    </row>
    <row r="24" spans="1:18" ht="15" customHeight="1" thickBot="1" x14ac:dyDescent="0.35">
      <c r="A24" s="21" t="s">
        <v>77</v>
      </c>
      <c r="B24" s="21" t="s">
        <v>78</v>
      </c>
      <c r="C24" s="22">
        <v>0.38194444444444442</v>
      </c>
      <c r="D24" s="21" t="s">
        <v>79</v>
      </c>
      <c r="E24" s="23"/>
      <c r="F24" s="21" t="s">
        <v>80</v>
      </c>
      <c r="G24" s="299"/>
      <c r="H24" s="24" t="s">
        <v>78</v>
      </c>
      <c r="I24" s="25">
        <v>0.97870000000000001</v>
      </c>
      <c r="J24" s="26">
        <v>184</v>
      </c>
      <c r="K24" s="27">
        <v>45978</v>
      </c>
      <c r="L24" s="26">
        <v>39</v>
      </c>
      <c r="M24" s="26">
        <v>0</v>
      </c>
      <c r="N24" s="26">
        <v>0</v>
      </c>
      <c r="O24" s="28" t="s">
        <v>81</v>
      </c>
      <c r="P24" s="29">
        <v>0.38194444444444442</v>
      </c>
      <c r="Q24" s="26">
        <v>188</v>
      </c>
      <c r="R24" s="30" t="s">
        <v>82</v>
      </c>
    </row>
    <row r="25" spans="1:18" ht="17.399999999999999" customHeight="1" thickBot="1" x14ac:dyDescent="0.35">
      <c r="A25" s="329"/>
      <c r="B25" s="330"/>
      <c r="C25" s="330"/>
      <c r="D25" s="330"/>
      <c r="E25" s="330"/>
      <c r="F25" s="330"/>
      <c r="G25" s="330"/>
      <c r="H25" s="330"/>
      <c r="I25" s="330"/>
      <c r="J25" s="330"/>
      <c r="K25" s="330"/>
      <c r="L25" s="330"/>
      <c r="M25" s="330"/>
      <c r="N25" s="330"/>
      <c r="O25" s="330"/>
      <c r="P25" s="330"/>
      <c r="Q25" s="330"/>
      <c r="R25" s="331"/>
    </row>
    <row r="26" spans="1:18" ht="22.05" customHeight="1" thickTop="1" thickBot="1" x14ac:dyDescent="0.35">
      <c r="A26" s="300" t="s">
        <v>6</v>
      </c>
      <c r="B26" s="295"/>
      <c r="C26" s="295"/>
      <c r="D26" s="295"/>
      <c r="E26" s="295"/>
      <c r="F26" s="296"/>
      <c r="G26" s="31">
        <v>45982</v>
      </c>
      <c r="H26" s="294" t="s">
        <v>7</v>
      </c>
      <c r="I26" s="295"/>
      <c r="J26" s="295"/>
      <c r="K26" s="295"/>
      <c r="L26" s="295"/>
      <c r="M26" s="295"/>
      <c r="N26" s="295"/>
      <c r="O26" s="295"/>
      <c r="P26" s="295"/>
      <c r="Q26" s="295"/>
      <c r="R26" s="296"/>
    </row>
    <row r="27" spans="1:18" ht="24" customHeight="1" x14ac:dyDescent="0.3">
      <c r="A27" s="32" t="s">
        <v>8</v>
      </c>
      <c r="B27" s="32" t="s">
        <v>9</v>
      </c>
      <c r="C27" s="33" t="s">
        <v>10</v>
      </c>
      <c r="D27" s="32" t="s">
        <v>11</v>
      </c>
      <c r="E27" s="32" t="s">
        <v>12</v>
      </c>
      <c r="F27" s="34" t="s">
        <v>13</v>
      </c>
      <c r="G27" s="35" t="s">
        <v>14</v>
      </c>
      <c r="H27" s="32" t="s">
        <v>15</v>
      </c>
      <c r="I27" s="36" t="s">
        <v>16</v>
      </c>
      <c r="J27" s="37" t="s">
        <v>17</v>
      </c>
      <c r="K27" s="38" t="s">
        <v>18</v>
      </c>
      <c r="L27" s="37" t="s">
        <v>19</v>
      </c>
      <c r="M27" s="37" t="s">
        <v>20</v>
      </c>
      <c r="N27" s="37" t="s">
        <v>21</v>
      </c>
      <c r="O27" s="32" t="s">
        <v>22</v>
      </c>
      <c r="P27" s="33" t="s">
        <v>23</v>
      </c>
      <c r="Q27" s="37" t="s">
        <v>24</v>
      </c>
      <c r="R27" s="32" t="s">
        <v>25</v>
      </c>
    </row>
    <row r="28" spans="1:18" ht="15" customHeight="1" x14ac:dyDescent="0.3">
      <c r="A28" s="8" t="s">
        <v>41</v>
      </c>
      <c r="B28" s="8" t="s">
        <v>42</v>
      </c>
      <c r="C28" s="9">
        <v>0.22916666666666671</v>
      </c>
      <c r="D28" s="8" t="s">
        <v>43</v>
      </c>
      <c r="E28" s="8" t="s">
        <v>83</v>
      </c>
      <c r="F28" s="8" t="s">
        <v>44</v>
      </c>
      <c r="G28" s="304"/>
      <c r="H28" s="10"/>
      <c r="I28" s="11"/>
      <c r="J28" s="11"/>
      <c r="K28" s="11"/>
      <c r="L28" s="11"/>
      <c r="M28" s="11"/>
      <c r="N28" s="11"/>
      <c r="O28" s="12"/>
      <c r="P28" s="11"/>
      <c r="Q28" s="13"/>
      <c r="R28" s="14"/>
    </row>
    <row r="29" spans="1:18" ht="15" customHeight="1" x14ac:dyDescent="0.3">
      <c r="A29" s="15" t="s">
        <v>41</v>
      </c>
      <c r="B29" s="15" t="s">
        <v>42</v>
      </c>
      <c r="C29" s="16">
        <v>0.22916666666666671</v>
      </c>
      <c r="D29" s="15" t="s">
        <v>45</v>
      </c>
      <c r="E29" s="15" t="s">
        <v>84</v>
      </c>
      <c r="F29" s="15" t="s">
        <v>35</v>
      </c>
      <c r="G29" s="298"/>
      <c r="H29" s="10"/>
      <c r="I29" s="11"/>
      <c r="J29" s="11"/>
      <c r="K29" s="11"/>
      <c r="L29" s="11"/>
      <c r="M29" s="11"/>
      <c r="N29" s="11"/>
      <c r="O29" s="12"/>
      <c r="P29" s="11"/>
      <c r="Q29" s="13"/>
      <c r="R29" s="14"/>
    </row>
    <row r="30" spans="1:18" ht="15" customHeight="1" x14ac:dyDescent="0.3">
      <c r="A30" s="15" t="s">
        <v>41</v>
      </c>
      <c r="B30" s="15" t="s">
        <v>42</v>
      </c>
      <c r="C30" s="16">
        <v>0.22916666666666671</v>
      </c>
      <c r="D30" s="15" t="s">
        <v>46</v>
      </c>
      <c r="E30" s="15" t="s">
        <v>84</v>
      </c>
      <c r="F30" s="15" t="s">
        <v>47</v>
      </c>
      <c r="G30" s="298"/>
      <c r="H30" s="10"/>
      <c r="I30" s="11"/>
      <c r="J30" s="11"/>
      <c r="K30" s="11"/>
      <c r="L30" s="11"/>
      <c r="M30" s="11"/>
      <c r="N30" s="11"/>
      <c r="O30" s="12"/>
      <c r="P30" s="11"/>
      <c r="Q30" s="13"/>
      <c r="R30" s="14"/>
    </row>
    <row r="31" spans="1:18" ht="15" customHeight="1" x14ac:dyDescent="0.3">
      <c r="A31" s="19" t="s">
        <v>26</v>
      </c>
      <c r="B31" s="19" t="s">
        <v>36</v>
      </c>
      <c r="C31" s="20">
        <v>0.60763888888888895</v>
      </c>
      <c r="D31" s="19" t="s">
        <v>28</v>
      </c>
      <c r="E31" s="19" t="s">
        <v>85</v>
      </c>
      <c r="F31" s="19" t="s">
        <v>86</v>
      </c>
      <c r="G31" s="298"/>
      <c r="H31" s="10"/>
      <c r="I31" s="11"/>
      <c r="J31" s="11"/>
      <c r="K31" s="11"/>
      <c r="L31" s="11"/>
      <c r="M31" s="11"/>
      <c r="N31" s="11"/>
      <c r="O31" s="12"/>
      <c r="P31" s="11"/>
      <c r="Q31" s="13"/>
      <c r="R31" s="14"/>
    </row>
    <row r="32" spans="1:18" ht="15" customHeight="1" x14ac:dyDescent="0.3">
      <c r="A32" s="15" t="s">
        <v>26</v>
      </c>
      <c r="B32" s="15" t="s">
        <v>36</v>
      </c>
      <c r="C32" s="16">
        <v>0.60763888888888895</v>
      </c>
      <c r="D32" s="15" t="s">
        <v>31</v>
      </c>
      <c r="E32" s="15" t="s">
        <v>87</v>
      </c>
      <c r="F32" s="15" t="s">
        <v>88</v>
      </c>
      <c r="G32" s="298"/>
      <c r="H32" s="10"/>
      <c r="I32" s="11"/>
      <c r="J32" s="11"/>
      <c r="K32" s="11"/>
      <c r="L32" s="11"/>
      <c r="M32" s="11"/>
      <c r="N32" s="11"/>
      <c r="O32" s="12"/>
      <c r="P32" s="11"/>
      <c r="Q32" s="13"/>
      <c r="R32" s="14"/>
    </row>
    <row r="33" spans="1:18" ht="15" customHeight="1" x14ac:dyDescent="0.3">
      <c r="A33" s="15" t="s">
        <v>26</v>
      </c>
      <c r="B33" s="15" t="s">
        <v>36</v>
      </c>
      <c r="C33" s="16">
        <v>0.60763888888888895</v>
      </c>
      <c r="D33" s="15" t="s">
        <v>34</v>
      </c>
      <c r="E33" s="15" t="s">
        <v>87</v>
      </c>
      <c r="F33" s="15" t="s">
        <v>89</v>
      </c>
      <c r="G33" s="298"/>
      <c r="H33" s="10"/>
      <c r="I33" s="11"/>
      <c r="J33" s="11"/>
      <c r="K33" s="11"/>
      <c r="L33" s="11"/>
      <c r="M33" s="11"/>
      <c r="N33" s="11"/>
      <c r="O33" s="12"/>
      <c r="P33" s="11"/>
      <c r="Q33" s="13"/>
      <c r="R33" s="14"/>
    </row>
    <row r="34" spans="1:18" ht="15" customHeight="1" x14ac:dyDescent="0.3">
      <c r="A34" s="19" t="s">
        <v>48</v>
      </c>
      <c r="B34" s="19" t="s">
        <v>55</v>
      </c>
      <c r="C34" s="20">
        <v>0.94097222222222221</v>
      </c>
      <c r="D34" s="19" t="s">
        <v>50</v>
      </c>
      <c r="E34" s="19" t="s">
        <v>63</v>
      </c>
      <c r="F34" s="19" t="s">
        <v>52</v>
      </c>
      <c r="G34" s="298"/>
      <c r="H34" s="10"/>
      <c r="I34" s="11"/>
      <c r="J34" s="11"/>
      <c r="K34" s="11"/>
      <c r="L34" s="11"/>
      <c r="M34" s="11"/>
      <c r="N34" s="11"/>
      <c r="O34" s="12"/>
      <c r="P34" s="11"/>
      <c r="Q34" s="13"/>
      <c r="R34" s="14"/>
    </row>
    <row r="35" spans="1:18" ht="15" customHeight="1" x14ac:dyDescent="0.3">
      <c r="A35" s="17" t="s">
        <v>48</v>
      </c>
      <c r="B35" s="17" t="s">
        <v>53</v>
      </c>
      <c r="C35" s="18">
        <v>6.5972222222222224E-2</v>
      </c>
      <c r="D35" s="17" t="s">
        <v>50</v>
      </c>
      <c r="E35" s="17" t="s">
        <v>54</v>
      </c>
      <c r="F35" s="17" t="s">
        <v>52</v>
      </c>
      <c r="G35" s="298"/>
      <c r="H35" s="10"/>
      <c r="I35" s="11"/>
      <c r="J35" s="11"/>
      <c r="K35" s="11"/>
      <c r="L35" s="11"/>
      <c r="M35" s="11"/>
      <c r="N35" s="11"/>
      <c r="O35" s="12"/>
      <c r="P35" s="11"/>
      <c r="Q35" s="13"/>
      <c r="R35" s="14"/>
    </row>
    <row r="36" spans="1:18" ht="15" customHeight="1" x14ac:dyDescent="0.3">
      <c r="A36" s="17" t="s">
        <v>48</v>
      </c>
      <c r="B36" s="17" t="s">
        <v>57</v>
      </c>
      <c r="C36" s="18">
        <v>0.28819444444444448</v>
      </c>
      <c r="D36" s="17" t="s">
        <v>50</v>
      </c>
      <c r="E36" s="17" t="s">
        <v>54</v>
      </c>
      <c r="F36" s="17" t="s">
        <v>52</v>
      </c>
      <c r="G36" s="298"/>
      <c r="H36" s="10"/>
      <c r="I36" s="11"/>
      <c r="J36" s="11"/>
      <c r="K36" s="11"/>
      <c r="L36" s="11"/>
      <c r="M36" s="11"/>
      <c r="N36" s="11"/>
      <c r="O36" s="12"/>
      <c r="P36" s="11"/>
      <c r="Q36" s="13"/>
      <c r="R36" s="14"/>
    </row>
    <row r="37" spans="1:18" ht="15" customHeight="1" x14ac:dyDescent="0.3">
      <c r="A37" s="17" t="s">
        <v>48</v>
      </c>
      <c r="B37" s="17" t="s">
        <v>49</v>
      </c>
      <c r="C37" s="18">
        <v>0.69791666666666663</v>
      </c>
      <c r="D37" s="17" t="s">
        <v>50</v>
      </c>
      <c r="E37" s="17" t="s">
        <v>54</v>
      </c>
      <c r="F37" s="17" t="s">
        <v>56</v>
      </c>
      <c r="G37" s="298"/>
      <c r="H37" s="10"/>
      <c r="I37" s="11"/>
      <c r="J37" s="11"/>
      <c r="K37" s="11"/>
      <c r="L37" s="11"/>
      <c r="M37" s="11"/>
      <c r="N37" s="11"/>
      <c r="O37" s="12"/>
      <c r="P37" s="11"/>
      <c r="Q37" s="13"/>
      <c r="R37" s="14"/>
    </row>
    <row r="38" spans="1:18" ht="15" customHeight="1" x14ac:dyDescent="0.3">
      <c r="A38" s="17" t="s">
        <v>48</v>
      </c>
      <c r="B38" s="17" t="s">
        <v>90</v>
      </c>
      <c r="C38" s="18">
        <v>0.33680555555555558</v>
      </c>
      <c r="D38" s="17" t="s">
        <v>50</v>
      </c>
      <c r="E38" s="17" t="s">
        <v>54</v>
      </c>
      <c r="F38" s="17" t="s">
        <v>91</v>
      </c>
      <c r="G38" s="298"/>
      <c r="H38" s="10"/>
      <c r="I38" s="11"/>
      <c r="J38" s="11"/>
      <c r="K38" s="11"/>
      <c r="L38" s="11"/>
      <c r="M38" s="11"/>
      <c r="N38" s="11"/>
      <c r="O38" s="12"/>
      <c r="P38" s="11"/>
      <c r="Q38" s="13"/>
      <c r="R38" s="14"/>
    </row>
    <row r="39" spans="1:18" ht="15" customHeight="1" x14ac:dyDescent="0.3">
      <c r="A39" s="19" t="s">
        <v>60</v>
      </c>
      <c r="B39" s="19" t="s">
        <v>74</v>
      </c>
      <c r="C39" s="20">
        <v>0.89583333333333337</v>
      </c>
      <c r="D39" s="19" t="s">
        <v>62</v>
      </c>
      <c r="E39" s="19" t="s">
        <v>63</v>
      </c>
      <c r="F39" s="19" t="s">
        <v>64</v>
      </c>
      <c r="G39" s="298"/>
      <c r="H39" s="10"/>
      <c r="I39" s="11"/>
      <c r="J39" s="11"/>
      <c r="K39" s="11"/>
      <c r="L39" s="11"/>
      <c r="M39" s="11"/>
      <c r="N39" s="11"/>
      <c r="O39" s="12"/>
      <c r="P39" s="11"/>
      <c r="Q39" s="13"/>
      <c r="R39" s="14"/>
    </row>
    <row r="40" spans="1:18" ht="15" customHeight="1" x14ac:dyDescent="0.3">
      <c r="A40" s="15" t="s">
        <v>60</v>
      </c>
      <c r="B40" s="15" t="s">
        <v>74</v>
      </c>
      <c r="C40" s="16">
        <v>0.89583333333333337</v>
      </c>
      <c r="D40" s="15" t="s">
        <v>65</v>
      </c>
      <c r="E40" s="15" t="s">
        <v>66</v>
      </c>
      <c r="F40" s="15" t="s">
        <v>67</v>
      </c>
      <c r="G40" s="298"/>
      <c r="H40" s="10"/>
      <c r="I40" s="11"/>
      <c r="J40" s="11"/>
      <c r="K40" s="11"/>
      <c r="L40" s="11"/>
      <c r="M40" s="11"/>
      <c r="N40" s="11"/>
      <c r="O40" s="12"/>
      <c r="P40" s="11"/>
      <c r="Q40" s="13"/>
      <c r="R40" s="14"/>
    </row>
    <row r="41" spans="1:18" ht="15" customHeight="1" x14ac:dyDescent="0.3">
      <c r="A41" s="17" t="s">
        <v>60</v>
      </c>
      <c r="B41" s="17" t="s">
        <v>68</v>
      </c>
      <c r="C41" s="18">
        <v>0.35069444444444442</v>
      </c>
      <c r="D41" s="17" t="s">
        <v>65</v>
      </c>
      <c r="E41" s="17" t="s">
        <v>54</v>
      </c>
      <c r="F41" s="17" t="s">
        <v>70</v>
      </c>
      <c r="G41" s="298"/>
      <c r="H41" s="10"/>
      <c r="I41" s="11"/>
      <c r="J41" s="11"/>
      <c r="K41" s="11"/>
      <c r="L41" s="11"/>
      <c r="M41" s="11"/>
      <c r="N41" s="11"/>
      <c r="O41" s="12"/>
      <c r="P41" s="11"/>
      <c r="Q41" s="13"/>
      <c r="R41" s="14"/>
    </row>
    <row r="42" spans="1:18" ht="15" customHeight="1" x14ac:dyDescent="0.3">
      <c r="A42" s="17" t="s">
        <v>60</v>
      </c>
      <c r="B42" s="17" t="s">
        <v>61</v>
      </c>
      <c r="C42" s="18">
        <v>0.18402777777777779</v>
      </c>
      <c r="D42" s="17" t="s">
        <v>65</v>
      </c>
      <c r="E42" s="17" t="s">
        <v>54</v>
      </c>
      <c r="F42" s="17" t="s">
        <v>70</v>
      </c>
      <c r="G42" s="298"/>
      <c r="H42" s="10"/>
      <c r="I42" s="11"/>
      <c r="J42" s="11"/>
      <c r="K42" s="11"/>
      <c r="L42" s="11"/>
      <c r="M42" s="11"/>
      <c r="N42" s="11"/>
      <c r="O42" s="12"/>
      <c r="P42" s="11"/>
      <c r="Q42" s="13"/>
      <c r="R42" s="14"/>
    </row>
    <row r="43" spans="1:18" ht="15" customHeight="1" thickBot="1" x14ac:dyDescent="0.35">
      <c r="A43" s="39" t="s">
        <v>60</v>
      </c>
      <c r="B43" s="39" t="s">
        <v>71</v>
      </c>
      <c r="C43" s="40">
        <v>0.22916666666666671</v>
      </c>
      <c r="D43" s="39" t="s">
        <v>65</v>
      </c>
      <c r="E43" s="39" t="s">
        <v>72</v>
      </c>
      <c r="F43" s="39" t="s">
        <v>73</v>
      </c>
      <c r="G43" s="299"/>
      <c r="H43" s="41"/>
      <c r="I43" s="42"/>
      <c r="J43" s="42"/>
      <c r="K43" s="42"/>
      <c r="L43" s="42"/>
      <c r="M43" s="42"/>
      <c r="N43" s="42"/>
      <c r="O43" s="43"/>
      <c r="P43" s="42"/>
      <c r="Q43" s="44"/>
      <c r="R43" s="45"/>
    </row>
    <row r="44" spans="1:18" ht="17.399999999999999" customHeight="1" thickBot="1" x14ac:dyDescent="0.35">
      <c r="A44" s="329"/>
      <c r="B44" s="330"/>
      <c r="C44" s="330"/>
      <c r="D44" s="330"/>
      <c r="E44" s="330"/>
      <c r="F44" s="330"/>
      <c r="G44" s="330"/>
      <c r="H44" s="330"/>
      <c r="I44" s="330"/>
      <c r="J44" s="330"/>
      <c r="K44" s="330"/>
      <c r="L44" s="330"/>
      <c r="M44" s="330"/>
      <c r="N44" s="330"/>
      <c r="O44" s="330"/>
      <c r="P44" s="330"/>
      <c r="Q44" s="330"/>
      <c r="R44" s="331"/>
    </row>
    <row r="45" spans="1:18" ht="22.05" customHeight="1" thickTop="1" thickBot="1" x14ac:dyDescent="0.35">
      <c r="A45" s="300" t="s">
        <v>6</v>
      </c>
      <c r="B45" s="295"/>
      <c r="C45" s="295"/>
      <c r="D45" s="295"/>
      <c r="E45" s="295"/>
      <c r="F45" s="296"/>
      <c r="G45" s="31">
        <v>45983</v>
      </c>
      <c r="H45" s="294" t="s">
        <v>7</v>
      </c>
      <c r="I45" s="295"/>
      <c r="J45" s="295"/>
      <c r="K45" s="295"/>
      <c r="L45" s="295"/>
      <c r="M45" s="295"/>
      <c r="N45" s="295"/>
      <c r="O45" s="295"/>
      <c r="P45" s="295"/>
      <c r="Q45" s="295"/>
      <c r="R45" s="296"/>
    </row>
    <row r="46" spans="1:18" ht="24" customHeight="1" x14ac:dyDescent="0.3">
      <c r="A46" s="32" t="s">
        <v>8</v>
      </c>
      <c r="B46" s="32" t="s">
        <v>9</v>
      </c>
      <c r="C46" s="33" t="s">
        <v>10</v>
      </c>
      <c r="D46" s="32" t="s">
        <v>11</v>
      </c>
      <c r="E46" s="32" t="s">
        <v>12</v>
      </c>
      <c r="F46" s="34" t="s">
        <v>13</v>
      </c>
      <c r="G46" s="35" t="s">
        <v>14</v>
      </c>
      <c r="H46" s="32" t="s">
        <v>15</v>
      </c>
      <c r="I46" s="36" t="s">
        <v>16</v>
      </c>
      <c r="J46" s="37" t="s">
        <v>17</v>
      </c>
      <c r="K46" s="38" t="s">
        <v>18</v>
      </c>
      <c r="L46" s="37" t="s">
        <v>19</v>
      </c>
      <c r="M46" s="37" t="s">
        <v>20</v>
      </c>
      <c r="N46" s="37" t="s">
        <v>21</v>
      </c>
      <c r="O46" s="32" t="s">
        <v>22</v>
      </c>
      <c r="P46" s="33" t="s">
        <v>23</v>
      </c>
      <c r="Q46" s="37" t="s">
        <v>24</v>
      </c>
      <c r="R46" s="32" t="s">
        <v>25</v>
      </c>
    </row>
    <row r="47" spans="1:18" ht="15" customHeight="1" x14ac:dyDescent="0.3">
      <c r="A47" s="8" t="s">
        <v>41</v>
      </c>
      <c r="B47" s="8" t="s">
        <v>42</v>
      </c>
      <c r="C47" s="9">
        <v>0.22916666666666671</v>
      </c>
      <c r="D47" s="8" t="s">
        <v>43</v>
      </c>
      <c r="E47" s="8" t="s">
        <v>92</v>
      </c>
      <c r="F47" s="8" t="s">
        <v>93</v>
      </c>
      <c r="G47" s="304"/>
      <c r="H47" s="10"/>
      <c r="I47" s="11"/>
      <c r="J47" s="11"/>
      <c r="K47" s="11"/>
      <c r="L47" s="11"/>
      <c r="M47" s="11"/>
      <c r="N47" s="11"/>
      <c r="O47" s="12"/>
      <c r="P47" s="11"/>
      <c r="Q47" s="13"/>
      <c r="R47" s="14"/>
    </row>
    <row r="48" spans="1:18" ht="15" customHeight="1" x14ac:dyDescent="0.3">
      <c r="A48" s="15" t="s">
        <v>41</v>
      </c>
      <c r="B48" s="15" t="s">
        <v>42</v>
      </c>
      <c r="C48" s="16">
        <v>0.22916666666666671</v>
      </c>
      <c r="D48" s="15" t="s">
        <v>45</v>
      </c>
      <c r="E48" s="15" t="s">
        <v>94</v>
      </c>
      <c r="F48" s="15" t="s">
        <v>95</v>
      </c>
      <c r="G48" s="298"/>
      <c r="H48" s="10"/>
      <c r="I48" s="11"/>
      <c r="J48" s="11"/>
      <c r="K48" s="11"/>
      <c r="L48" s="11"/>
      <c r="M48" s="11"/>
      <c r="N48" s="11"/>
      <c r="O48" s="12"/>
      <c r="P48" s="11"/>
      <c r="Q48" s="13"/>
      <c r="R48" s="14"/>
    </row>
    <row r="49" spans="1:18" ht="15" customHeight="1" x14ac:dyDescent="0.3">
      <c r="A49" s="15" t="s">
        <v>41</v>
      </c>
      <c r="B49" s="15" t="s">
        <v>42</v>
      </c>
      <c r="C49" s="16">
        <v>0.22916666666666671</v>
      </c>
      <c r="D49" s="15" t="s">
        <v>46</v>
      </c>
      <c r="E49" s="15" t="s">
        <v>94</v>
      </c>
      <c r="F49" s="15" t="s">
        <v>47</v>
      </c>
      <c r="G49" s="298"/>
      <c r="H49" s="10"/>
      <c r="I49" s="11"/>
      <c r="J49" s="11"/>
      <c r="K49" s="11"/>
      <c r="L49" s="11"/>
      <c r="M49" s="11"/>
      <c r="N49" s="11"/>
      <c r="O49" s="12"/>
      <c r="P49" s="11"/>
      <c r="Q49" s="13"/>
      <c r="R49" s="14"/>
    </row>
    <row r="50" spans="1:18" ht="15" customHeight="1" x14ac:dyDescent="0.3">
      <c r="A50" s="19" t="s">
        <v>26</v>
      </c>
      <c r="B50" s="19" t="s">
        <v>36</v>
      </c>
      <c r="C50" s="20">
        <v>0.60763888888888895</v>
      </c>
      <c r="D50" s="19" t="s">
        <v>28</v>
      </c>
      <c r="E50" s="19" t="s">
        <v>96</v>
      </c>
      <c r="F50" s="19" t="s">
        <v>86</v>
      </c>
      <c r="G50" s="298"/>
      <c r="H50" s="10"/>
      <c r="I50" s="11"/>
      <c r="J50" s="11"/>
      <c r="K50" s="11"/>
      <c r="L50" s="11"/>
      <c r="M50" s="11"/>
      <c r="N50" s="11"/>
      <c r="O50" s="12"/>
      <c r="P50" s="11"/>
      <c r="Q50" s="13"/>
      <c r="R50" s="14"/>
    </row>
    <row r="51" spans="1:18" ht="15" customHeight="1" x14ac:dyDescent="0.3">
      <c r="A51" s="15" t="s">
        <v>26</v>
      </c>
      <c r="B51" s="15" t="s">
        <v>36</v>
      </c>
      <c r="C51" s="16">
        <v>0.60763888888888895</v>
      </c>
      <c r="D51" s="15" t="s">
        <v>31</v>
      </c>
      <c r="E51" s="15" t="s">
        <v>97</v>
      </c>
      <c r="F51" s="15" t="s">
        <v>88</v>
      </c>
      <c r="G51" s="298"/>
      <c r="H51" s="10"/>
      <c r="I51" s="11"/>
      <c r="J51" s="11"/>
      <c r="K51" s="11"/>
      <c r="L51" s="11"/>
      <c r="M51" s="11"/>
      <c r="N51" s="11"/>
      <c r="O51" s="12"/>
      <c r="P51" s="11"/>
      <c r="Q51" s="13"/>
      <c r="R51" s="14"/>
    </row>
    <row r="52" spans="1:18" ht="15" customHeight="1" x14ac:dyDescent="0.3">
      <c r="A52" s="15" t="s">
        <v>26</v>
      </c>
      <c r="B52" s="15" t="s">
        <v>36</v>
      </c>
      <c r="C52" s="16">
        <v>0.60763888888888895</v>
      </c>
      <c r="D52" s="15" t="s">
        <v>34</v>
      </c>
      <c r="E52" s="15" t="s">
        <v>97</v>
      </c>
      <c r="F52" s="15" t="s">
        <v>89</v>
      </c>
      <c r="G52" s="298"/>
      <c r="H52" s="10"/>
      <c r="I52" s="11"/>
      <c r="J52" s="11"/>
      <c r="K52" s="11"/>
      <c r="L52" s="11"/>
      <c r="M52" s="11"/>
      <c r="N52" s="11"/>
      <c r="O52" s="12"/>
      <c r="P52" s="11"/>
      <c r="Q52" s="13"/>
      <c r="R52" s="14"/>
    </row>
    <row r="53" spans="1:18" ht="15" customHeight="1" x14ac:dyDescent="0.3">
      <c r="A53" s="17" t="s">
        <v>26</v>
      </c>
      <c r="B53" s="17" t="s">
        <v>27</v>
      </c>
      <c r="C53" s="18">
        <v>0.43402777777777768</v>
      </c>
      <c r="D53" s="17" t="s">
        <v>28</v>
      </c>
      <c r="E53" s="17" t="s">
        <v>75</v>
      </c>
      <c r="F53" s="17" t="s">
        <v>86</v>
      </c>
      <c r="G53" s="298"/>
      <c r="H53" s="10"/>
      <c r="I53" s="11"/>
      <c r="J53" s="11"/>
      <c r="K53" s="11"/>
      <c r="L53" s="11"/>
      <c r="M53" s="11"/>
      <c r="N53" s="11"/>
      <c r="O53" s="12"/>
      <c r="P53" s="11"/>
      <c r="Q53" s="13"/>
      <c r="R53" s="14"/>
    </row>
    <row r="54" spans="1:18" ht="15" customHeight="1" x14ac:dyDescent="0.3">
      <c r="A54" s="15" t="s">
        <v>26</v>
      </c>
      <c r="B54" s="15" t="s">
        <v>27</v>
      </c>
      <c r="C54" s="16">
        <v>0.43402777777777768</v>
      </c>
      <c r="D54" s="15" t="s">
        <v>31</v>
      </c>
      <c r="E54" s="15" t="s">
        <v>98</v>
      </c>
      <c r="F54" s="15" t="s">
        <v>88</v>
      </c>
      <c r="G54" s="298"/>
      <c r="H54" s="10"/>
      <c r="I54" s="11"/>
      <c r="J54" s="11"/>
      <c r="K54" s="11"/>
      <c r="L54" s="11"/>
      <c r="M54" s="11"/>
      <c r="N54" s="11"/>
      <c r="O54" s="12"/>
      <c r="P54" s="11"/>
      <c r="Q54" s="13"/>
      <c r="R54" s="14"/>
    </row>
    <row r="55" spans="1:18" ht="15" customHeight="1" x14ac:dyDescent="0.3">
      <c r="A55" s="15" t="s">
        <v>26</v>
      </c>
      <c r="B55" s="15" t="s">
        <v>27</v>
      </c>
      <c r="C55" s="16">
        <v>0.43402777777777768</v>
      </c>
      <c r="D55" s="15" t="s">
        <v>34</v>
      </c>
      <c r="E55" s="15" t="s">
        <v>98</v>
      </c>
      <c r="F55" s="15" t="s">
        <v>89</v>
      </c>
      <c r="G55" s="298"/>
      <c r="H55" s="10"/>
      <c r="I55" s="11"/>
      <c r="J55" s="11"/>
      <c r="K55" s="11"/>
      <c r="L55" s="11"/>
      <c r="M55" s="11"/>
      <c r="N55" s="11"/>
      <c r="O55" s="12"/>
      <c r="P55" s="11"/>
      <c r="Q55" s="13"/>
      <c r="R55" s="14"/>
    </row>
    <row r="56" spans="1:18" ht="15" customHeight="1" x14ac:dyDescent="0.3">
      <c r="A56" s="19" t="s">
        <v>48</v>
      </c>
      <c r="B56" s="19" t="s">
        <v>90</v>
      </c>
      <c r="C56" s="20">
        <v>0.33680555555555558</v>
      </c>
      <c r="D56" s="19" t="s">
        <v>50</v>
      </c>
      <c r="E56" s="19" t="s">
        <v>63</v>
      </c>
      <c r="F56" s="19" t="s">
        <v>99</v>
      </c>
      <c r="G56" s="298"/>
      <c r="H56" s="10"/>
      <c r="I56" s="11"/>
      <c r="J56" s="11"/>
      <c r="K56" s="11"/>
      <c r="L56" s="11"/>
      <c r="M56" s="11"/>
      <c r="N56" s="11"/>
      <c r="O56" s="12"/>
      <c r="P56" s="11"/>
      <c r="Q56" s="13"/>
      <c r="R56" s="14"/>
    </row>
    <row r="57" spans="1:18" ht="15" customHeight="1" x14ac:dyDescent="0.3">
      <c r="A57" s="17" t="s">
        <v>48</v>
      </c>
      <c r="B57" s="17" t="s">
        <v>55</v>
      </c>
      <c r="C57" s="18">
        <v>0.94791666666666663</v>
      </c>
      <c r="D57" s="17" t="s">
        <v>50</v>
      </c>
      <c r="E57" s="17" t="s">
        <v>54</v>
      </c>
      <c r="F57" s="17" t="s">
        <v>99</v>
      </c>
      <c r="G57" s="298"/>
      <c r="H57" s="10"/>
      <c r="I57" s="11"/>
      <c r="J57" s="11"/>
      <c r="K57" s="11"/>
      <c r="L57" s="11"/>
      <c r="M57" s="11"/>
      <c r="N57" s="11"/>
      <c r="O57" s="12"/>
      <c r="P57" s="11"/>
      <c r="Q57" s="13"/>
      <c r="R57" s="14"/>
    </row>
    <row r="58" spans="1:18" ht="15" customHeight="1" x14ac:dyDescent="0.3">
      <c r="A58" s="17" t="s">
        <v>48</v>
      </c>
      <c r="B58" s="17" t="s">
        <v>53</v>
      </c>
      <c r="C58" s="18">
        <v>6.5972222222222224E-2</v>
      </c>
      <c r="D58" s="17" t="s">
        <v>50</v>
      </c>
      <c r="E58" s="17" t="s">
        <v>54</v>
      </c>
      <c r="F58" s="17" t="s">
        <v>99</v>
      </c>
      <c r="G58" s="298"/>
      <c r="H58" s="10"/>
      <c r="I58" s="11"/>
      <c r="J58" s="11"/>
      <c r="K58" s="11"/>
      <c r="L58" s="11"/>
      <c r="M58" s="11"/>
      <c r="N58" s="11"/>
      <c r="O58" s="12"/>
      <c r="P58" s="11"/>
      <c r="Q58" s="13"/>
      <c r="R58" s="14"/>
    </row>
    <row r="59" spans="1:18" ht="15" customHeight="1" x14ac:dyDescent="0.3">
      <c r="A59" s="17" t="s">
        <v>48</v>
      </c>
      <c r="B59" s="17" t="s">
        <v>57</v>
      </c>
      <c r="C59" s="18">
        <v>0.28819444444444448</v>
      </c>
      <c r="D59" s="17" t="s">
        <v>50</v>
      </c>
      <c r="E59" s="17" t="s">
        <v>54</v>
      </c>
      <c r="F59" s="17" t="s">
        <v>99</v>
      </c>
      <c r="G59" s="298"/>
      <c r="H59" s="10"/>
      <c r="I59" s="11"/>
      <c r="J59" s="11"/>
      <c r="K59" s="11"/>
      <c r="L59" s="11"/>
      <c r="M59" s="11"/>
      <c r="N59" s="11"/>
      <c r="O59" s="12"/>
      <c r="P59" s="11"/>
      <c r="Q59" s="13"/>
      <c r="R59" s="14"/>
    </row>
    <row r="60" spans="1:18" ht="15" customHeight="1" x14ac:dyDescent="0.3">
      <c r="A60" s="17" t="s">
        <v>48</v>
      </c>
      <c r="B60" s="17" t="s">
        <v>49</v>
      </c>
      <c r="C60" s="18">
        <v>0.6875</v>
      </c>
      <c r="D60" s="17" t="s">
        <v>50</v>
      </c>
      <c r="E60" s="17" t="s">
        <v>54</v>
      </c>
      <c r="F60" s="17" t="s">
        <v>52</v>
      </c>
      <c r="G60" s="298"/>
      <c r="H60" s="10"/>
      <c r="I60" s="11"/>
      <c r="J60" s="11"/>
      <c r="K60" s="11"/>
      <c r="L60" s="11"/>
      <c r="M60" s="11"/>
      <c r="N60" s="11"/>
      <c r="O60" s="12"/>
      <c r="P60" s="11"/>
      <c r="Q60" s="13"/>
      <c r="R60" s="14"/>
    </row>
    <row r="61" spans="1:18" ht="15" customHeight="1" x14ac:dyDescent="0.3">
      <c r="A61" s="19" t="s">
        <v>60</v>
      </c>
      <c r="B61" s="19" t="s">
        <v>61</v>
      </c>
      <c r="C61" s="20">
        <v>0.18402777777777779</v>
      </c>
      <c r="D61" s="19" t="s">
        <v>62</v>
      </c>
      <c r="E61" s="19" t="s">
        <v>63</v>
      </c>
      <c r="F61" s="19" t="s">
        <v>64</v>
      </c>
      <c r="G61" s="298"/>
      <c r="H61" s="10"/>
      <c r="I61" s="11"/>
      <c r="J61" s="11"/>
      <c r="K61" s="11"/>
      <c r="L61" s="11"/>
      <c r="M61" s="11"/>
      <c r="N61" s="11"/>
      <c r="O61" s="12"/>
      <c r="P61" s="11"/>
      <c r="Q61" s="13"/>
      <c r="R61" s="14"/>
    </row>
    <row r="62" spans="1:18" ht="15" customHeight="1" x14ac:dyDescent="0.3">
      <c r="A62" s="15" t="s">
        <v>60</v>
      </c>
      <c r="B62" s="15" t="s">
        <v>61</v>
      </c>
      <c r="C62" s="16">
        <v>0.18402777777777779</v>
      </c>
      <c r="D62" s="15" t="s">
        <v>65</v>
      </c>
      <c r="E62" s="15" t="s">
        <v>66</v>
      </c>
      <c r="F62" s="15" t="s">
        <v>67</v>
      </c>
      <c r="G62" s="298"/>
      <c r="H62" s="10"/>
      <c r="I62" s="11"/>
      <c r="J62" s="11"/>
      <c r="K62" s="11"/>
      <c r="L62" s="11"/>
      <c r="M62" s="11"/>
      <c r="N62" s="11"/>
      <c r="O62" s="12"/>
      <c r="P62" s="11"/>
      <c r="Q62" s="13"/>
      <c r="R62" s="14"/>
    </row>
    <row r="63" spans="1:18" ht="15" customHeight="1" x14ac:dyDescent="0.3">
      <c r="A63" s="17" t="s">
        <v>60</v>
      </c>
      <c r="B63" s="17" t="s">
        <v>68</v>
      </c>
      <c r="C63" s="18">
        <v>0.35416666666666669</v>
      </c>
      <c r="D63" s="17" t="s">
        <v>65</v>
      </c>
      <c r="E63" s="17" t="s">
        <v>54</v>
      </c>
      <c r="F63" s="17" t="s">
        <v>70</v>
      </c>
      <c r="G63" s="298"/>
      <c r="H63" s="10"/>
      <c r="I63" s="11"/>
      <c r="J63" s="11"/>
      <c r="K63" s="11"/>
      <c r="L63" s="11"/>
      <c r="M63" s="11"/>
      <c r="N63" s="11"/>
      <c r="O63" s="12"/>
      <c r="P63" s="11"/>
      <c r="Q63" s="13"/>
      <c r="R63" s="14"/>
    </row>
    <row r="64" spans="1:18" ht="15" customHeight="1" x14ac:dyDescent="0.3">
      <c r="A64" s="17" t="s">
        <v>60</v>
      </c>
      <c r="B64" s="17" t="s">
        <v>74</v>
      </c>
      <c r="C64" s="18">
        <v>0.89583333333333337</v>
      </c>
      <c r="D64" s="17" t="s">
        <v>65</v>
      </c>
      <c r="E64" s="17" t="s">
        <v>54</v>
      </c>
      <c r="F64" s="17" t="s">
        <v>70</v>
      </c>
      <c r="G64" s="298"/>
      <c r="H64" s="10"/>
      <c r="I64" s="11"/>
      <c r="J64" s="11"/>
      <c r="K64" s="11"/>
      <c r="L64" s="11"/>
      <c r="M64" s="11"/>
      <c r="N64" s="11"/>
      <c r="O64" s="12"/>
      <c r="P64" s="11"/>
      <c r="Q64" s="13"/>
      <c r="R64" s="14"/>
    </row>
    <row r="65" spans="1:18" ht="15" customHeight="1" x14ac:dyDescent="0.3">
      <c r="A65" s="17" t="s">
        <v>60</v>
      </c>
      <c r="B65" s="17" t="s">
        <v>71</v>
      </c>
      <c r="C65" s="18">
        <v>0.22916666666666671</v>
      </c>
      <c r="D65" s="17" t="s">
        <v>65</v>
      </c>
      <c r="E65" s="17" t="s">
        <v>72</v>
      </c>
      <c r="F65" s="17" t="s">
        <v>73</v>
      </c>
      <c r="G65" s="298"/>
      <c r="H65" s="10"/>
      <c r="I65" s="11"/>
      <c r="J65" s="11"/>
      <c r="K65" s="11"/>
      <c r="L65" s="11"/>
      <c r="M65" s="11"/>
      <c r="N65" s="11"/>
      <c r="O65" s="12"/>
      <c r="P65" s="11"/>
      <c r="Q65" s="13"/>
      <c r="R65" s="14"/>
    </row>
    <row r="66" spans="1:18" ht="15" customHeight="1" thickBot="1" x14ac:dyDescent="0.35">
      <c r="A66" s="46" t="s">
        <v>77</v>
      </c>
      <c r="B66" s="46" t="s">
        <v>100</v>
      </c>
      <c r="C66" s="47">
        <v>0.2361111111111111</v>
      </c>
      <c r="D66" s="46" t="s">
        <v>101</v>
      </c>
      <c r="E66" s="46" t="s">
        <v>85</v>
      </c>
      <c r="F66" s="46" t="s">
        <v>102</v>
      </c>
      <c r="G66" s="299"/>
      <c r="H66" s="48" t="s">
        <v>78</v>
      </c>
      <c r="I66" s="49">
        <v>0.9889</v>
      </c>
      <c r="J66" s="50">
        <v>178</v>
      </c>
      <c r="K66" s="51">
        <v>45980</v>
      </c>
      <c r="L66" s="50">
        <v>49</v>
      </c>
      <c r="M66" s="50">
        <v>3</v>
      </c>
      <c r="N66" s="50">
        <v>46</v>
      </c>
      <c r="O66" s="52" t="s">
        <v>103</v>
      </c>
      <c r="P66" s="53">
        <v>0.2361111111111111</v>
      </c>
      <c r="Q66" s="50">
        <v>180</v>
      </c>
      <c r="R66" s="54" t="s">
        <v>104</v>
      </c>
    </row>
    <row r="67" spans="1:18" ht="17.399999999999999" customHeight="1" thickBot="1" x14ac:dyDescent="0.35">
      <c r="A67" s="329"/>
      <c r="B67" s="330"/>
      <c r="C67" s="330"/>
      <c r="D67" s="330"/>
      <c r="E67" s="330"/>
      <c r="F67" s="330"/>
      <c r="G67" s="330"/>
      <c r="H67" s="330"/>
      <c r="I67" s="330"/>
      <c r="J67" s="330"/>
      <c r="K67" s="330"/>
      <c r="L67" s="330"/>
      <c r="M67" s="330"/>
      <c r="N67" s="330"/>
      <c r="O67" s="330"/>
      <c r="P67" s="330"/>
      <c r="Q67" s="330"/>
      <c r="R67" s="331"/>
    </row>
    <row r="68" spans="1:18" ht="22.05" customHeight="1" thickTop="1" thickBot="1" x14ac:dyDescent="0.35">
      <c r="A68" s="300" t="s">
        <v>6</v>
      </c>
      <c r="B68" s="295"/>
      <c r="C68" s="295"/>
      <c r="D68" s="295"/>
      <c r="E68" s="295"/>
      <c r="F68" s="296"/>
      <c r="G68" s="31">
        <v>45984</v>
      </c>
      <c r="H68" s="294" t="s">
        <v>7</v>
      </c>
      <c r="I68" s="295"/>
      <c r="J68" s="295"/>
      <c r="K68" s="295"/>
      <c r="L68" s="295"/>
      <c r="M68" s="295"/>
      <c r="N68" s="295"/>
      <c r="O68" s="295"/>
      <c r="P68" s="295"/>
      <c r="Q68" s="295"/>
      <c r="R68" s="296"/>
    </row>
    <row r="69" spans="1:18" ht="24" customHeight="1" x14ac:dyDescent="0.3">
      <c r="A69" s="32" t="s">
        <v>8</v>
      </c>
      <c r="B69" s="32" t="s">
        <v>9</v>
      </c>
      <c r="C69" s="33" t="s">
        <v>10</v>
      </c>
      <c r="D69" s="32" t="s">
        <v>11</v>
      </c>
      <c r="E69" s="32" t="s">
        <v>12</v>
      </c>
      <c r="F69" s="34" t="s">
        <v>13</v>
      </c>
      <c r="G69" s="35" t="s">
        <v>14</v>
      </c>
      <c r="H69" s="32" t="s">
        <v>15</v>
      </c>
      <c r="I69" s="36" t="s">
        <v>16</v>
      </c>
      <c r="J69" s="37" t="s">
        <v>17</v>
      </c>
      <c r="K69" s="38" t="s">
        <v>18</v>
      </c>
      <c r="L69" s="37" t="s">
        <v>19</v>
      </c>
      <c r="M69" s="37" t="s">
        <v>20</v>
      </c>
      <c r="N69" s="37" t="s">
        <v>21</v>
      </c>
      <c r="O69" s="32" t="s">
        <v>22</v>
      </c>
      <c r="P69" s="33" t="s">
        <v>23</v>
      </c>
      <c r="Q69" s="37" t="s">
        <v>24</v>
      </c>
      <c r="R69" s="32" t="s">
        <v>25</v>
      </c>
    </row>
    <row r="70" spans="1:18" ht="15" customHeight="1" x14ac:dyDescent="0.3">
      <c r="A70" s="8" t="s">
        <v>41</v>
      </c>
      <c r="B70" s="8" t="s">
        <v>42</v>
      </c>
      <c r="C70" s="9">
        <v>0.22916666666666671</v>
      </c>
      <c r="D70" s="8" t="s">
        <v>43</v>
      </c>
      <c r="E70" s="8" t="s">
        <v>105</v>
      </c>
      <c r="F70" s="8" t="s">
        <v>93</v>
      </c>
      <c r="G70" s="297"/>
      <c r="H70" s="10"/>
      <c r="I70" s="11"/>
      <c r="J70" s="11"/>
      <c r="K70" s="11"/>
      <c r="L70" s="11"/>
      <c r="M70" s="11"/>
      <c r="N70" s="11"/>
      <c r="O70" s="12"/>
      <c r="P70" s="11"/>
      <c r="Q70" s="13"/>
      <c r="R70" s="14"/>
    </row>
    <row r="71" spans="1:18" ht="15" customHeight="1" x14ac:dyDescent="0.3">
      <c r="A71" s="15" t="s">
        <v>41</v>
      </c>
      <c r="B71" s="15" t="s">
        <v>42</v>
      </c>
      <c r="C71" s="16">
        <v>0.22916666666666671</v>
      </c>
      <c r="D71" s="15" t="s">
        <v>45</v>
      </c>
      <c r="E71" s="15" t="s">
        <v>106</v>
      </c>
      <c r="F71" s="15" t="s">
        <v>95</v>
      </c>
      <c r="G71" s="298"/>
      <c r="H71" s="10"/>
      <c r="I71" s="11"/>
      <c r="J71" s="11"/>
      <c r="K71" s="11"/>
      <c r="L71" s="11"/>
      <c r="M71" s="11"/>
      <c r="N71" s="11"/>
      <c r="O71" s="12"/>
      <c r="P71" s="11"/>
      <c r="Q71" s="13"/>
      <c r="R71" s="14"/>
    </row>
    <row r="72" spans="1:18" ht="15" customHeight="1" x14ac:dyDescent="0.3">
      <c r="A72" s="15" t="s">
        <v>41</v>
      </c>
      <c r="B72" s="15" t="s">
        <v>42</v>
      </c>
      <c r="C72" s="16">
        <v>0.22916666666666671</v>
      </c>
      <c r="D72" s="15" t="s">
        <v>46</v>
      </c>
      <c r="E72" s="15" t="s">
        <v>106</v>
      </c>
      <c r="F72" s="15" t="s">
        <v>47</v>
      </c>
      <c r="G72" s="298"/>
      <c r="H72" s="10"/>
      <c r="I72" s="11"/>
      <c r="J72" s="11"/>
      <c r="K72" s="11"/>
      <c r="L72" s="11"/>
      <c r="M72" s="11"/>
      <c r="N72" s="11"/>
      <c r="O72" s="12"/>
      <c r="P72" s="11"/>
      <c r="Q72" s="13"/>
      <c r="R72" s="14"/>
    </row>
    <row r="73" spans="1:18" ht="15" customHeight="1" x14ac:dyDescent="0.3">
      <c r="A73" s="19" t="s">
        <v>48</v>
      </c>
      <c r="B73" s="19" t="s">
        <v>53</v>
      </c>
      <c r="C73" s="20">
        <v>6.5972222222222224E-2</v>
      </c>
      <c r="D73" s="19" t="s">
        <v>107</v>
      </c>
      <c r="E73" s="19" t="s">
        <v>63</v>
      </c>
      <c r="F73" s="19" t="s">
        <v>108</v>
      </c>
      <c r="G73" s="298"/>
      <c r="H73" s="10"/>
      <c r="I73" s="11"/>
      <c r="J73" s="11"/>
      <c r="K73" s="11"/>
      <c r="L73" s="11"/>
      <c r="M73" s="11"/>
      <c r="N73" s="11"/>
      <c r="O73" s="12"/>
      <c r="P73" s="11"/>
      <c r="Q73" s="13"/>
      <c r="R73" s="14"/>
    </row>
    <row r="74" spans="1:18" ht="15" customHeight="1" x14ac:dyDescent="0.3">
      <c r="A74" s="17" t="s">
        <v>48</v>
      </c>
      <c r="B74" s="17" t="s">
        <v>55</v>
      </c>
      <c r="C74" s="18">
        <v>0.94791666666666663</v>
      </c>
      <c r="D74" s="17" t="s">
        <v>50</v>
      </c>
      <c r="E74" s="17" t="s">
        <v>54</v>
      </c>
      <c r="F74" s="17" t="s">
        <v>52</v>
      </c>
      <c r="G74" s="298"/>
      <c r="H74" s="10"/>
      <c r="I74" s="11"/>
      <c r="J74" s="11"/>
      <c r="K74" s="11"/>
      <c r="L74" s="11"/>
      <c r="M74" s="11"/>
      <c r="N74" s="11"/>
      <c r="O74" s="12"/>
      <c r="P74" s="11"/>
      <c r="Q74" s="13"/>
      <c r="R74" s="14"/>
    </row>
    <row r="75" spans="1:18" ht="15" customHeight="1" x14ac:dyDescent="0.3">
      <c r="A75" s="17" t="s">
        <v>48</v>
      </c>
      <c r="B75" s="17" t="s">
        <v>49</v>
      </c>
      <c r="C75" s="18">
        <v>0.6875</v>
      </c>
      <c r="D75" s="17" t="s">
        <v>50</v>
      </c>
      <c r="E75" s="17" t="s">
        <v>54</v>
      </c>
      <c r="F75" s="17" t="s">
        <v>56</v>
      </c>
      <c r="G75" s="298"/>
      <c r="H75" s="10"/>
      <c r="I75" s="11"/>
      <c r="J75" s="11"/>
      <c r="K75" s="11"/>
      <c r="L75" s="11"/>
      <c r="M75" s="11"/>
      <c r="N75" s="11"/>
      <c r="O75" s="12"/>
      <c r="P75" s="11"/>
      <c r="Q75" s="13"/>
      <c r="R75" s="14"/>
    </row>
    <row r="76" spans="1:18" ht="15" customHeight="1" x14ac:dyDescent="0.3">
      <c r="A76" s="17" t="s">
        <v>48</v>
      </c>
      <c r="B76" s="17" t="s">
        <v>90</v>
      </c>
      <c r="C76" s="18">
        <v>0.33680555555555558</v>
      </c>
      <c r="D76" s="17" t="s">
        <v>50</v>
      </c>
      <c r="E76" s="17" t="s">
        <v>69</v>
      </c>
      <c r="F76" s="17" t="s">
        <v>109</v>
      </c>
      <c r="G76" s="298"/>
      <c r="H76" s="10"/>
      <c r="I76" s="11"/>
      <c r="J76" s="11"/>
      <c r="K76" s="11"/>
      <c r="L76" s="11"/>
      <c r="M76" s="11"/>
      <c r="N76" s="11"/>
      <c r="O76" s="12"/>
      <c r="P76" s="11"/>
      <c r="Q76" s="13"/>
      <c r="R76" s="14"/>
    </row>
    <row r="77" spans="1:18" ht="15" customHeight="1" x14ac:dyDescent="0.3">
      <c r="A77" s="19" t="s">
        <v>60</v>
      </c>
      <c r="B77" s="19" t="s">
        <v>74</v>
      </c>
      <c r="C77" s="20">
        <v>0.89583333333333337</v>
      </c>
      <c r="D77" s="19" t="s">
        <v>62</v>
      </c>
      <c r="E77" s="19" t="s">
        <v>63</v>
      </c>
      <c r="F77" s="19" t="s">
        <v>64</v>
      </c>
      <c r="G77" s="298"/>
      <c r="H77" s="10"/>
      <c r="I77" s="11"/>
      <c r="J77" s="11"/>
      <c r="K77" s="11"/>
      <c r="L77" s="11"/>
      <c r="M77" s="11"/>
      <c r="N77" s="11"/>
      <c r="O77" s="12"/>
      <c r="P77" s="11"/>
      <c r="Q77" s="13"/>
      <c r="R77" s="14"/>
    </row>
    <row r="78" spans="1:18" ht="15" customHeight="1" x14ac:dyDescent="0.3">
      <c r="A78" s="15" t="s">
        <v>60</v>
      </c>
      <c r="B78" s="15" t="s">
        <v>74</v>
      </c>
      <c r="C78" s="16">
        <v>0.89583333333333337</v>
      </c>
      <c r="D78" s="15" t="s">
        <v>65</v>
      </c>
      <c r="E78" s="15" t="s">
        <v>66</v>
      </c>
      <c r="F78" s="15" t="s">
        <v>67</v>
      </c>
      <c r="G78" s="298"/>
      <c r="H78" s="10"/>
      <c r="I78" s="11"/>
      <c r="J78" s="11"/>
      <c r="K78" s="11"/>
      <c r="L78" s="11"/>
      <c r="M78" s="11"/>
      <c r="N78" s="11"/>
      <c r="O78" s="12"/>
      <c r="P78" s="11"/>
      <c r="Q78" s="13"/>
      <c r="R78" s="14"/>
    </row>
    <row r="79" spans="1:18" ht="15" customHeight="1" x14ac:dyDescent="0.3">
      <c r="A79" s="17" t="s">
        <v>60</v>
      </c>
      <c r="B79" s="17" t="s">
        <v>61</v>
      </c>
      <c r="C79" s="18">
        <v>0.18402777777777779</v>
      </c>
      <c r="D79" s="17" t="s">
        <v>62</v>
      </c>
      <c r="E79" s="17" t="s">
        <v>54</v>
      </c>
      <c r="F79" s="17" t="s">
        <v>64</v>
      </c>
      <c r="G79" s="298"/>
      <c r="H79" s="10"/>
      <c r="I79" s="11"/>
      <c r="J79" s="11"/>
      <c r="K79" s="11"/>
      <c r="L79" s="11"/>
      <c r="M79" s="11"/>
      <c r="N79" s="11"/>
      <c r="O79" s="12"/>
      <c r="P79" s="11"/>
      <c r="Q79" s="13"/>
      <c r="R79" s="14"/>
    </row>
    <row r="80" spans="1:18" ht="15" customHeight="1" x14ac:dyDescent="0.3">
      <c r="A80" s="15" t="s">
        <v>60</v>
      </c>
      <c r="B80" s="15" t="s">
        <v>61</v>
      </c>
      <c r="C80" s="16">
        <v>0.18402777777777779</v>
      </c>
      <c r="D80" s="15" t="s">
        <v>65</v>
      </c>
      <c r="E80" s="15" t="s">
        <v>66</v>
      </c>
      <c r="F80" s="15" t="s">
        <v>67</v>
      </c>
      <c r="G80" s="298"/>
      <c r="H80" s="10"/>
      <c r="I80" s="11"/>
      <c r="J80" s="11"/>
      <c r="K80" s="11"/>
      <c r="L80" s="11"/>
      <c r="M80" s="11"/>
      <c r="N80" s="11"/>
      <c r="O80" s="12"/>
      <c r="P80" s="11"/>
      <c r="Q80" s="13"/>
      <c r="R80" s="14"/>
    </row>
    <row r="81" spans="1:18" ht="15" customHeight="1" x14ac:dyDescent="0.3">
      <c r="A81" s="17" t="s">
        <v>60</v>
      </c>
      <c r="B81" s="17" t="s">
        <v>71</v>
      </c>
      <c r="C81" s="18">
        <v>0.22916666666666671</v>
      </c>
      <c r="D81" s="17" t="s">
        <v>65</v>
      </c>
      <c r="E81" s="17" t="s">
        <v>72</v>
      </c>
      <c r="F81" s="17" t="s">
        <v>73</v>
      </c>
      <c r="G81" s="298"/>
      <c r="H81" s="10"/>
      <c r="I81" s="11"/>
      <c r="J81" s="11"/>
      <c r="K81" s="11"/>
      <c r="L81" s="11"/>
      <c r="M81" s="11"/>
      <c r="N81" s="11"/>
      <c r="O81" s="12"/>
      <c r="P81" s="11"/>
      <c r="Q81" s="13"/>
      <c r="R81" s="14"/>
    </row>
    <row r="82" spans="1:18" ht="15" customHeight="1" x14ac:dyDescent="0.3">
      <c r="A82" s="17" t="s">
        <v>60</v>
      </c>
      <c r="B82" s="17" t="s">
        <v>68</v>
      </c>
      <c r="C82" s="18">
        <v>0.35069444444444442</v>
      </c>
      <c r="D82" s="17" t="s">
        <v>65</v>
      </c>
      <c r="E82" s="17" t="s">
        <v>58</v>
      </c>
      <c r="F82" s="17" t="s">
        <v>110</v>
      </c>
      <c r="G82" s="298"/>
      <c r="H82" s="10"/>
      <c r="I82" s="11"/>
      <c r="J82" s="11"/>
      <c r="K82" s="11"/>
      <c r="L82" s="11"/>
      <c r="M82" s="11"/>
      <c r="N82" s="11"/>
      <c r="O82" s="12"/>
      <c r="P82" s="11"/>
      <c r="Q82" s="13"/>
      <c r="R82" s="14"/>
    </row>
    <row r="83" spans="1:18" ht="15" customHeight="1" x14ac:dyDescent="0.3">
      <c r="A83" s="55" t="s">
        <v>77</v>
      </c>
      <c r="B83" s="55" t="s">
        <v>100</v>
      </c>
      <c r="C83" s="56">
        <v>0.74305555555555547</v>
      </c>
      <c r="D83" s="55" t="s">
        <v>101</v>
      </c>
      <c r="E83" s="55" t="s">
        <v>111</v>
      </c>
      <c r="F83" s="55" t="s">
        <v>102</v>
      </c>
      <c r="G83" s="298"/>
      <c r="H83" s="57" t="s">
        <v>78</v>
      </c>
      <c r="I83" s="58">
        <v>0.98329999999999995</v>
      </c>
      <c r="J83" s="59">
        <v>177</v>
      </c>
      <c r="K83" s="60">
        <v>45979</v>
      </c>
      <c r="L83" s="59">
        <v>3</v>
      </c>
      <c r="M83" s="59">
        <v>0</v>
      </c>
      <c r="N83" s="59">
        <v>1</v>
      </c>
      <c r="O83" s="61" t="s">
        <v>112</v>
      </c>
      <c r="P83" s="62">
        <v>0.74305555555555547</v>
      </c>
      <c r="Q83" s="59">
        <v>180</v>
      </c>
      <c r="R83" s="63" t="s">
        <v>113</v>
      </c>
    </row>
    <row r="84" spans="1:18" ht="15" customHeight="1" x14ac:dyDescent="0.3">
      <c r="A84" s="19" t="s">
        <v>26</v>
      </c>
      <c r="B84" s="19" t="s">
        <v>36</v>
      </c>
      <c r="C84" s="20">
        <v>0.60763888888888895</v>
      </c>
      <c r="D84" s="19" t="s">
        <v>34</v>
      </c>
      <c r="E84" s="19" t="s">
        <v>111</v>
      </c>
      <c r="F84" s="19" t="s">
        <v>114</v>
      </c>
      <c r="G84" s="298"/>
      <c r="H84" s="10"/>
      <c r="I84" s="11"/>
      <c r="J84" s="11"/>
      <c r="K84" s="11"/>
      <c r="L84" s="11"/>
      <c r="M84" s="11"/>
      <c r="N84" s="11"/>
      <c r="O84" s="12"/>
      <c r="P84" s="11"/>
      <c r="Q84" s="13"/>
      <c r="R84" s="14"/>
    </row>
    <row r="85" spans="1:18" ht="15" customHeight="1" x14ac:dyDescent="0.3">
      <c r="A85" s="15" t="s">
        <v>26</v>
      </c>
      <c r="B85" s="15" t="s">
        <v>36</v>
      </c>
      <c r="C85" s="16">
        <v>0.60763888888888895</v>
      </c>
      <c r="D85" s="15" t="s">
        <v>28</v>
      </c>
      <c r="E85" s="15" t="s">
        <v>115</v>
      </c>
      <c r="F85" s="15" t="s">
        <v>116</v>
      </c>
      <c r="G85" s="298"/>
      <c r="H85" s="10"/>
      <c r="I85" s="11"/>
      <c r="J85" s="11"/>
      <c r="K85" s="11"/>
      <c r="L85" s="11"/>
      <c r="M85" s="11"/>
      <c r="N85" s="11"/>
      <c r="O85" s="12"/>
      <c r="P85" s="11"/>
      <c r="Q85" s="13"/>
      <c r="R85" s="14"/>
    </row>
    <row r="86" spans="1:18" ht="15" customHeight="1" thickBot="1" x14ac:dyDescent="0.35">
      <c r="A86" s="64" t="s">
        <v>26</v>
      </c>
      <c r="B86" s="64" t="s">
        <v>36</v>
      </c>
      <c r="C86" s="65">
        <v>0.60763888888888895</v>
      </c>
      <c r="D86" s="64" t="s">
        <v>31</v>
      </c>
      <c r="E86" s="64" t="s">
        <v>115</v>
      </c>
      <c r="F86" s="64" t="s">
        <v>117</v>
      </c>
      <c r="G86" s="299"/>
      <c r="H86" s="41"/>
      <c r="I86" s="42"/>
      <c r="J86" s="42"/>
      <c r="K86" s="42"/>
      <c r="L86" s="42"/>
      <c r="M86" s="42"/>
      <c r="N86" s="42"/>
      <c r="O86" s="43"/>
      <c r="P86" s="42"/>
      <c r="Q86" s="44"/>
      <c r="R86" s="45"/>
    </row>
    <row r="87" spans="1:18" ht="17.399999999999999" customHeight="1" thickBot="1" x14ac:dyDescent="0.35">
      <c r="A87" s="329"/>
      <c r="B87" s="330"/>
      <c r="C87" s="330"/>
      <c r="D87" s="330"/>
      <c r="E87" s="330"/>
      <c r="F87" s="330"/>
      <c r="G87" s="330"/>
      <c r="H87" s="330"/>
      <c r="I87" s="330"/>
      <c r="J87" s="330"/>
      <c r="K87" s="330"/>
      <c r="L87" s="330"/>
      <c r="M87" s="330"/>
      <c r="N87" s="330"/>
      <c r="O87" s="330"/>
      <c r="P87" s="330"/>
      <c r="Q87" s="330"/>
      <c r="R87" s="331"/>
    </row>
    <row r="88" spans="1:18" ht="22.05" customHeight="1" thickTop="1" thickBot="1" x14ac:dyDescent="0.35">
      <c r="A88" s="300" t="s">
        <v>6</v>
      </c>
      <c r="B88" s="295"/>
      <c r="C88" s="295"/>
      <c r="D88" s="295"/>
      <c r="E88" s="295"/>
      <c r="F88" s="296"/>
      <c r="G88" s="31">
        <v>45985</v>
      </c>
      <c r="H88" s="294" t="s">
        <v>7</v>
      </c>
      <c r="I88" s="295"/>
      <c r="J88" s="295"/>
      <c r="K88" s="295"/>
      <c r="L88" s="295"/>
      <c r="M88" s="295"/>
      <c r="N88" s="295"/>
      <c r="O88" s="295"/>
      <c r="P88" s="295"/>
      <c r="Q88" s="295"/>
      <c r="R88" s="296"/>
    </row>
    <row r="89" spans="1:18" ht="24" customHeight="1" x14ac:dyDescent="0.3">
      <c r="A89" s="32" t="s">
        <v>8</v>
      </c>
      <c r="B89" s="32" t="s">
        <v>9</v>
      </c>
      <c r="C89" s="33" t="s">
        <v>10</v>
      </c>
      <c r="D89" s="32" t="s">
        <v>11</v>
      </c>
      <c r="E89" s="32" t="s">
        <v>12</v>
      </c>
      <c r="F89" s="34" t="s">
        <v>13</v>
      </c>
      <c r="G89" s="35" t="s">
        <v>14</v>
      </c>
      <c r="H89" s="32" t="s">
        <v>15</v>
      </c>
      <c r="I89" s="36" t="s">
        <v>16</v>
      </c>
      <c r="J89" s="37" t="s">
        <v>17</v>
      </c>
      <c r="K89" s="38" t="s">
        <v>18</v>
      </c>
      <c r="L89" s="37" t="s">
        <v>19</v>
      </c>
      <c r="M89" s="37" t="s">
        <v>20</v>
      </c>
      <c r="N89" s="37" t="s">
        <v>21</v>
      </c>
      <c r="O89" s="32" t="s">
        <v>22</v>
      </c>
      <c r="P89" s="33" t="s">
        <v>23</v>
      </c>
      <c r="Q89" s="37" t="s">
        <v>24</v>
      </c>
      <c r="R89" s="32" t="s">
        <v>25</v>
      </c>
    </row>
    <row r="90" spans="1:18" ht="15" customHeight="1" x14ac:dyDescent="0.3">
      <c r="A90" s="8" t="s">
        <v>41</v>
      </c>
      <c r="B90" s="8" t="s">
        <v>42</v>
      </c>
      <c r="C90" s="9">
        <v>0.22916666666666671</v>
      </c>
      <c r="D90" s="8" t="s">
        <v>43</v>
      </c>
      <c r="E90" s="8" t="s">
        <v>118</v>
      </c>
      <c r="F90" s="8" t="s">
        <v>93</v>
      </c>
      <c r="G90" s="304"/>
      <c r="H90" s="10"/>
      <c r="I90" s="11"/>
      <c r="J90" s="11"/>
      <c r="K90" s="11"/>
      <c r="L90" s="11"/>
      <c r="M90" s="11"/>
      <c r="N90" s="11"/>
      <c r="O90" s="12"/>
      <c r="P90" s="11"/>
      <c r="Q90" s="13"/>
      <c r="R90" s="14"/>
    </row>
    <row r="91" spans="1:18" ht="15" customHeight="1" x14ac:dyDescent="0.3">
      <c r="A91" s="15" t="s">
        <v>41</v>
      </c>
      <c r="B91" s="15" t="s">
        <v>42</v>
      </c>
      <c r="C91" s="16">
        <v>0.22916666666666671</v>
      </c>
      <c r="D91" s="15" t="s">
        <v>45</v>
      </c>
      <c r="E91" s="15" t="s">
        <v>119</v>
      </c>
      <c r="F91" s="15" t="s">
        <v>95</v>
      </c>
      <c r="G91" s="298"/>
      <c r="H91" s="10"/>
      <c r="I91" s="11"/>
      <c r="J91" s="11"/>
      <c r="K91" s="11"/>
      <c r="L91" s="11"/>
      <c r="M91" s="11"/>
      <c r="N91" s="11"/>
      <c r="O91" s="12"/>
      <c r="P91" s="11"/>
      <c r="Q91" s="13"/>
      <c r="R91" s="14"/>
    </row>
    <row r="92" spans="1:18" ht="15" customHeight="1" x14ac:dyDescent="0.3">
      <c r="A92" s="15" t="s">
        <v>41</v>
      </c>
      <c r="B92" s="15" t="s">
        <v>42</v>
      </c>
      <c r="C92" s="16">
        <v>0.22916666666666671</v>
      </c>
      <c r="D92" s="15" t="s">
        <v>46</v>
      </c>
      <c r="E92" s="15" t="s">
        <v>119</v>
      </c>
      <c r="F92" s="15" t="s">
        <v>120</v>
      </c>
      <c r="G92" s="298"/>
      <c r="H92" s="10"/>
      <c r="I92" s="11"/>
      <c r="J92" s="11"/>
      <c r="K92" s="11"/>
      <c r="L92" s="11"/>
      <c r="M92" s="11"/>
      <c r="N92" s="11"/>
      <c r="O92" s="12"/>
      <c r="P92" s="11"/>
      <c r="Q92" s="13"/>
      <c r="R92" s="14"/>
    </row>
    <row r="93" spans="1:18" ht="15" customHeight="1" x14ac:dyDescent="0.3">
      <c r="A93" s="19" t="s">
        <v>26</v>
      </c>
      <c r="B93" s="19" t="s">
        <v>36</v>
      </c>
      <c r="C93" s="20">
        <v>0.60763888888888895</v>
      </c>
      <c r="D93" s="19" t="s">
        <v>28</v>
      </c>
      <c r="E93" s="19" t="s">
        <v>118</v>
      </c>
      <c r="F93" s="19" t="s">
        <v>33</v>
      </c>
      <c r="G93" s="298"/>
      <c r="H93" s="10"/>
      <c r="I93" s="11"/>
      <c r="J93" s="11"/>
      <c r="K93" s="11"/>
      <c r="L93" s="11"/>
      <c r="M93" s="11"/>
      <c r="N93" s="11"/>
      <c r="O93" s="12"/>
      <c r="P93" s="11"/>
      <c r="Q93" s="13"/>
      <c r="R93" s="14"/>
    </row>
    <row r="94" spans="1:18" ht="15" customHeight="1" x14ac:dyDescent="0.3">
      <c r="A94" s="15" t="s">
        <v>26</v>
      </c>
      <c r="B94" s="15" t="s">
        <v>36</v>
      </c>
      <c r="C94" s="16">
        <v>0.60763888888888895</v>
      </c>
      <c r="D94" s="15" t="s">
        <v>31</v>
      </c>
      <c r="E94" s="15" t="s">
        <v>119</v>
      </c>
      <c r="F94" s="15" t="s">
        <v>39</v>
      </c>
      <c r="G94" s="298"/>
      <c r="H94" s="10"/>
      <c r="I94" s="11"/>
      <c r="J94" s="11"/>
      <c r="K94" s="11"/>
      <c r="L94" s="11"/>
      <c r="M94" s="11"/>
      <c r="N94" s="11"/>
      <c r="O94" s="12"/>
      <c r="P94" s="11"/>
      <c r="Q94" s="13"/>
      <c r="R94" s="14"/>
    </row>
    <row r="95" spans="1:18" ht="15" customHeight="1" x14ac:dyDescent="0.3">
      <c r="A95" s="15" t="s">
        <v>26</v>
      </c>
      <c r="B95" s="15" t="s">
        <v>36</v>
      </c>
      <c r="C95" s="16">
        <v>0.60763888888888895</v>
      </c>
      <c r="D95" s="15" t="s">
        <v>34</v>
      </c>
      <c r="E95" s="15" t="s">
        <v>119</v>
      </c>
      <c r="F95" s="15" t="s">
        <v>40</v>
      </c>
      <c r="G95" s="298"/>
      <c r="H95" s="10"/>
      <c r="I95" s="11"/>
      <c r="J95" s="11"/>
      <c r="K95" s="11"/>
      <c r="L95" s="11"/>
      <c r="M95" s="11"/>
      <c r="N95" s="11"/>
      <c r="O95" s="12"/>
      <c r="P95" s="11"/>
      <c r="Q95" s="13"/>
      <c r="R95" s="14"/>
    </row>
    <row r="96" spans="1:18" ht="15" customHeight="1" x14ac:dyDescent="0.3">
      <c r="A96" s="17" t="s">
        <v>26</v>
      </c>
      <c r="B96" s="17" t="s">
        <v>27</v>
      </c>
      <c r="C96" s="18">
        <v>0.43402777777777768</v>
      </c>
      <c r="D96" s="17" t="s">
        <v>28</v>
      </c>
      <c r="E96" s="17" t="s">
        <v>121</v>
      </c>
      <c r="F96" s="17" t="s">
        <v>122</v>
      </c>
      <c r="G96" s="298"/>
      <c r="H96" s="10"/>
      <c r="I96" s="11"/>
      <c r="J96" s="11"/>
      <c r="K96" s="11"/>
      <c r="L96" s="11"/>
      <c r="M96" s="11"/>
      <c r="N96" s="11"/>
      <c r="O96" s="12"/>
      <c r="P96" s="11"/>
      <c r="Q96" s="13"/>
      <c r="R96" s="14"/>
    </row>
    <row r="97" spans="1:18" ht="15" customHeight="1" x14ac:dyDescent="0.3">
      <c r="A97" s="15" t="s">
        <v>26</v>
      </c>
      <c r="B97" s="15" t="s">
        <v>27</v>
      </c>
      <c r="C97" s="16">
        <v>0.43402777777777768</v>
      </c>
      <c r="D97" s="15" t="s">
        <v>31</v>
      </c>
      <c r="E97" s="15" t="s">
        <v>32</v>
      </c>
      <c r="F97" s="15" t="s">
        <v>123</v>
      </c>
      <c r="G97" s="298"/>
      <c r="H97" s="10"/>
      <c r="I97" s="11"/>
      <c r="J97" s="11"/>
      <c r="K97" s="11"/>
      <c r="L97" s="11"/>
      <c r="M97" s="11"/>
      <c r="N97" s="11"/>
      <c r="O97" s="12"/>
      <c r="P97" s="11"/>
      <c r="Q97" s="13"/>
      <c r="R97" s="14"/>
    </row>
    <row r="98" spans="1:18" ht="15" customHeight="1" x14ac:dyDescent="0.3">
      <c r="A98" s="15" t="s">
        <v>26</v>
      </c>
      <c r="B98" s="15" t="s">
        <v>27</v>
      </c>
      <c r="C98" s="16">
        <v>0.43402777777777768</v>
      </c>
      <c r="D98" s="15" t="s">
        <v>34</v>
      </c>
      <c r="E98" s="15" t="s">
        <v>32</v>
      </c>
      <c r="F98" s="15" t="s">
        <v>124</v>
      </c>
      <c r="G98" s="298"/>
      <c r="H98" s="10"/>
      <c r="I98" s="11"/>
      <c r="J98" s="11"/>
      <c r="K98" s="11"/>
      <c r="L98" s="11"/>
      <c r="M98" s="11"/>
      <c r="N98" s="11"/>
      <c r="O98" s="12"/>
      <c r="P98" s="11"/>
      <c r="Q98" s="13"/>
      <c r="R98" s="14"/>
    </row>
    <row r="99" spans="1:18" ht="15" customHeight="1" x14ac:dyDescent="0.3">
      <c r="A99" s="19" t="s">
        <v>48</v>
      </c>
      <c r="B99" s="19" t="s">
        <v>49</v>
      </c>
      <c r="C99" s="20">
        <v>0.69791666666666663</v>
      </c>
      <c r="D99" s="19" t="s">
        <v>50</v>
      </c>
      <c r="E99" s="19" t="s">
        <v>63</v>
      </c>
      <c r="F99" s="19" t="s">
        <v>52</v>
      </c>
      <c r="G99" s="298"/>
      <c r="H99" s="10"/>
      <c r="I99" s="11"/>
      <c r="J99" s="11"/>
      <c r="K99" s="11"/>
      <c r="L99" s="11"/>
      <c r="M99" s="11"/>
      <c r="N99" s="11"/>
      <c r="O99" s="12"/>
      <c r="P99" s="11"/>
      <c r="Q99" s="13"/>
      <c r="R99" s="14"/>
    </row>
    <row r="100" spans="1:18" ht="15" customHeight="1" x14ac:dyDescent="0.3">
      <c r="A100" s="17" t="s">
        <v>48</v>
      </c>
      <c r="B100" s="17" t="s">
        <v>53</v>
      </c>
      <c r="C100" s="18">
        <v>6.5972222222222224E-2</v>
      </c>
      <c r="D100" s="17" t="s">
        <v>50</v>
      </c>
      <c r="E100" s="17" t="s">
        <v>54</v>
      </c>
      <c r="F100" s="17" t="s">
        <v>52</v>
      </c>
      <c r="G100" s="298"/>
      <c r="H100" s="10"/>
      <c r="I100" s="11"/>
      <c r="J100" s="11"/>
      <c r="K100" s="11"/>
      <c r="L100" s="11"/>
      <c r="M100" s="11"/>
      <c r="N100" s="11"/>
      <c r="O100" s="12"/>
      <c r="P100" s="11"/>
      <c r="Q100" s="13"/>
      <c r="R100" s="14"/>
    </row>
    <row r="101" spans="1:18" ht="15" customHeight="1" x14ac:dyDescent="0.3">
      <c r="A101" s="17" t="s">
        <v>48</v>
      </c>
      <c r="B101" s="17" t="s">
        <v>55</v>
      </c>
      <c r="C101" s="18">
        <v>0.94097222222222221</v>
      </c>
      <c r="D101" s="17" t="s">
        <v>50</v>
      </c>
      <c r="E101" s="17" t="s">
        <v>54</v>
      </c>
      <c r="F101" s="17" t="s">
        <v>56</v>
      </c>
      <c r="G101" s="298"/>
      <c r="H101" s="10"/>
      <c r="I101" s="11"/>
      <c r="J101" s="11"/>
      <c r="K101" s="11"/>
      <c r="L101" s="11"/>
      <c r="M101" s="11"/>
      <c r="N101" s="11"/>
      <c r="O101" s="12"/>
      <c r="P101" s="11"/>
      <c r="Q101" s="13"/>
      <c r="R101" s="14"/>
    </row>
    <row r="102" spans="1:18" ht="15" customHeight="1" x14ac:dyDescent="0.3">
      <c r="A102" s="17" t="s">
        <v>48</v>
      </c>
      <c r="B102" s="17" t="s">
        <v>57</v>
      </c>
      <c r="C102" s="18">
        <v>0.28125</v>
      </c>
      <c r="D102" s="17" t="s">
        <v>50</v>
      </c>
      <c r="E102" s="17" t="s">
        <v>54</v>
      </c>
      <c r="F102" s="17" t="s">
        <v>56</v>
      </c>
      <c r="G102" s="298"/>
      <c r="H102" s="10"/>
      <c r="I102" s="11"/>
      <c r="J102" s="11"/>
      <c r="K102" s="11"/>
      <c r="L102" s="11"/>
      <c r="M102" s="11"/>
      <c r="N102" s="11"/>
      <c r="O102" s="12"/>
      <c r="P102" s="11"/>
      <c r="Q102" s="13"/>
      <c r="R102" s="14"/>
    </row>
    <row r="103" spans="1:18" ht="15" customHeight="1" x14ac:dyDescent="0.3">
      <c r="A103" s="17" t="s">
        <v>48</v>
      </c>
      <c r="B103" s="17" t="s">
        <v>90</v>
      </c>
      <c r="C103" s="18">
        <v>0.33680555555555558</v>
      </c>
      <c r="D103" s="17" t="s">
        <v>50</v>
      </c>
      <c r="E103" s="17" t="s">
        <v>54</v>
      </c>
      <c r="F103" s="17" t="s">
        <v>125</v>
      </c>
      <c r="G103" s="298"/>
      <c r="H103" s="10"/>
      <c r="I103" s="11"/>
      <c r="J103" s="11"/>
      <c r="K103" s="11"/>
      <c r="L103" s="11"/>
      <c r="M103" s="11"/>
      <c r="N103" s="11"/>
      <c r="O103" s="12"/>
      <c r="P103" s="11"/>
      <c r="Q103" s="13"/>
      <c r="R103" s="14"/>
    </row>
    <row r="104" spans="1:18" ht="15" customHeight="1" x14ac:dyDescent="0.3">
      <c r="A104" s="19" t="s">
        <v>60</v>
      </c>
      <c r="B104" s="19" t="s">
        <v>61</v>
      </c>
      <c r="C104" s="20">
        <v>0.18402777777777779</v>
      </c>
      <c r="D104" s="19" t="s">
        <v>62</v>
      </c>
      <c r="E104" s="19" t="s">
        <v>63</v>
      </c>
      <c r="F104" s="19" t="s">
        <v>64</v>
      </c>
      <c r="G104" s="298"/>
      <c r="H104" s="10"/>
      <c r="I104" s="11"/>
      <c r="J104" s="11"/>
      <c r="K104" s="11"/>
      <c r="L104" s="11"/>
      <c r="M104" s="11"/>
      <c r="N104" s="11"/>
      <c r="O104" s="12"/>
      <c r="P104" s="11"/>
      <c r="Q104" s="13"/>
      <c r="R104" s="14"/>
    </row>
    <row r="105" spans="1:18" ht="15" customHeight="1" x14ac:dyDescent="0.3">
      <c r="A105" s="15" t="s">
        <v>60</v>
      </c>
      <c r="B105" s="15" t="s">
        <v>61</v>
      </c>
      <c r="C105" s="16">
        <v>0.18402777777777779</v>
      </c>
      <c r="D105" s="15" t="s">
        <v>65</v>
      </c>
      <c r="E105" s="15" t="s">
        <v>66</v>
      </c>
      <c r="F105" s="15" t="s">
        <v>67</v>
      </c>
      <c r="G105" s="298"/>
      <c r="H105" s="10"/>
      <c r="I105" s="11"/>
      <c r="J105" s="11"/>
      <c r="K105" s="11"/>
      <c r="L105" s="11"/>
      <c r="M105" s="11"/>
      <c r="N105" s="11"/>
      <c r="O105" s="12"/>
      <c r="P105" s="11"/>
      <c r="Q105" s="13"/>
      <c r="R105" s="14"/>
    </row>
    <row r="106" spans="1:18" ht="15" customHeight="1" x14ac:dyDescent="0.3">
      <c r="A106" s="17" t="s">
        <v>60</v>
      </c>
      <c r="B106" s="17" t="s">
        <v>68</v>
      </c>
      <c r="C106" s="18">
        <v>0.35069444444444442</v>
      </c>
      <c r="D106" s="17" t="s">
        <v>65</v>
      </c>
      <c r="E106" s="17" t="s">
        <v>54</v>
      </c>
      <c r="F106" s="17" t="s">
        <v>70</v>
      </c>
      <c r="G106" s="298"/>
      <c r="H106" s="10"/>
      <c r="I106" s="11"/>
      <c r="J106" s="11"/>
      <c r="K106" s="11"/>
      <c r="L106" s="11"/>
      <c r="M106" s="11"/>
      <c r="N106" s="11"/>
      <c r="O106" s="12"/>
      <c r="P106" s="11"/>
      <c r="Q106" s="13"/>
      <c r="R106" s="14"/>
    </row>
    <row r="107" spans="1:18" ht="15" customHeight="1" x14ac:dyDescent="0.3">
      <c r="A107" s="17" t="s">
        <v>60</v>
      </c>
      <c r="B107" s="17" t="s">
        <v>71</v>
      </c>
      <c r="C107" s="18">
        <v>0.22916666666666671</v>
      </c>
      <c r="D107" s="17" t="s">
        <v>65</v>
      </c>
      <c r="E107" s="17" t="s">
        <v>72</v>
      </c>
      <c r="F107" s="17" t="s">
        <v>73</v>
      </c>
      <c r="G107" s="298"/>
      <c r="H107" s="10"/>
      <c r="I107" s="11"/>
      <c r="J107" s="11"/>
      <c r="K107" s="11"/>
      <c r="L107" s="11"/>
      <c r="M107" s="11"/>
      <c r="N107" s="11"/>
      <c r="O107" s="12"/>
      <c r="P107" s="11"/>
      <c r="Q107" s="13"/>
      <c r="R107" s="14"/>
    </row>
    <row r="108" spans="1:18" ht="15" customHeight="1" x14ac:dyDescent="0.3">
      <c r="A108" s="17" t="s">
        <v>60</v>
      </c>
      <c r="B108" s="17" t="s">
        <v>74</v>
      </c>
      <c r="C108" s="18">
        <v>0.89583333333333337</v>
      </c>
      <c r="D108" s="17" t="s">
        <v>65</v>
      </c>
      <c r="E108" s="17" t="s">
        <v>58</v>
      </c>
      <c r="F108" s="17" t="s">
        <v>110</v>
      </c>
      <c r="G108" s="298"/>
      <c r="H108" s="10"/>
      <c r="I108" s="11"/>
      <c r="J108" s="11"/>
      <c r="K108" s="11"/>
      <c r="L108" s="11"/>
      <c r="M108" s="11"/>
      <c r="N108" s="11"/>
      <c r="O108" s="12"/>
      <c r="P108" s="11"/>
      <c r="Q108" s="13"/>
      <c r="R108" s="14"/>
    </row>
    <row r="109" spans="1:18" ht="15" customHeight="1" thickBot="1" x14ac:dyDescent="0.35">
      <c r="A109" s="66" t="s">
        <v>77</v>
      </c>
      <c r="B109" s="66" t="s">
        <v>126</v>
      </c>
      <c r="C109" s="67">
        <v>0.86805555555555547</v>
      </c>
      <c r="D109" s="66" t="s">
        <v>101</v>
      </c>
      <c r="E109" s="66" t="s">
        <v>29</v>
      </c>
      <c r="F109" s="66" t="s">
        <v>102</v>
      </c>
      <c r="G109" s="299"/>
      <c r="H109" s="68" t="s">
        <v>127</v>
      </c>
      <c r="I109" s="69">
        <v>0.9667</v>
      </c>
      <c r="J109" s="70">
        <v>174</v>
      </c>
      <c r="K109" s="71">
        <v>45977</v>
      </c>
      <c r="L109" s="70">
        <v>1</v>
      </c>
      <c r="M109" s="70">
        <v>0</v>
      </c>
      <c r="N109" s="70">
        <v>0</v>
      </c>
      <c r="O109" s="72" t="s">
        <v>128</v>
      </c>
      <c r="P109" s="73">
        <v>0.86805555555555547</v>
      </c>
      <c r="Q109" s="70">
        <v>180</v>
      </c>
      <c r="R109" s="74" t="s">
        <v>129</v>
      </c>
    </row>
    <row r="110" spans="1:18" ht="17.399999999999999" customHeight="1" thickBot="1" x14ac:dyDescent="0.35">
      <c r="A110" s="329"/>
      <c r="B110" s="330"/>
      <c r="C110" s="330"/>
      <c r="D110" s="330"/>
      <c r="E110" s="330"/>
      <c r="F110" s="330"/>
      <c r="G110" s="330"/>
      <c r="H110" s="330"/>
      <c r="I110" s="330"/>
      <c r="J110" s="330"/>
      <c r="K110" s="330"/>
      <c r="L110" s="330"/>
      <c r="M110" s="330"/>
      <c r="N110" s="330"/>
      <c r="O110" s="330"/>
      <c r="P110" s="330"/>
      <c r="Q110" s="330"/>
      <c r="R110" s="331"/>
    </row>
    <row r="111" spans="1:18" ht="22.05" customHeight="1" thickTop="1" thickBot="1" x14ac:dyDescent="0.35">
      <c r="A111" s="300" t="s">
        <v>6</v>
      </c>
      <c r="B111" s="295"/>
      <c r="C111" s="295"/>
      <c r="D111" s="295"/>
      <c r="E111" s="295"/>
      <c r="F111" s="296"/>
      <c r="G111" s="31">
        <v>45986</v>
      </c>
      <c r="H111" s="294" t="s">
        <v>7</v>
      </c>
      <c r="I111" s="295"/>
      <c r="J111" s="295"/>
      <c r="K111" s="295"/>
      <c r="L111" s="295"/>
      <c r="M111" s="295"/>
      <c r="N111" s="295"/>
      <c r="O111" s="295"/>
      <c r="P111" s="295"/>
      <c r="Q111" s="295"/>
      <c r="R111" s="296"/>
    </row>
    <row r="112" spans="1:18" ht="24" customHeight="1" x14ac:dyDescent="0.3">
      <c r="A112" s="32" t="s">
        <v>8</v>
      </c>
      <c r="B112" s="32" t="s">
        <v>9</v>
      </c>
      <c r="C112" s="33" t="s">
        <v>10</v>
      </c>
      <c r="D112" s="32" t="s">
        <v>11</v>
      </c>
      <c r="E112" s="32" t="s">
        <v>12</v>
      </c>
      <c r="F112" s="34" t="s">
        <v>13</v>
      </c>
      <c r="G112" s="35" t="s">
        <v>14</v>
      </c>
      <c r="H112" s="32" t="s">
        <v>15</v>
      </c>
      <c r="I112" s="36" t="s">
        <v>16</v>
      </c>
      <c r="J112" s="37" t="s">
        <v>17</v>
      </c>
      <c r="K112" s="38" t="s">
        <v>18</v>
      </c>
      <c r="L112" s="37" t="s">
        <v>19</v>
      </c>
      <c r="M112" s="37" t="s">
        <v>20</v>
      </c>
      <c r="N112" s="37" t="s">
        <v>21</v>
      </c>
      <c r="O112" s="32" t="s">
        <v>22</v>
      </c>
      <c r="P112" s="33" t="s">
        <v>23</v>
      </c>
      <c r="Q112" s="37" t="s">
        <v>24</v>
      </c>
      <c r="R112" s="32" t="s">
        <v>25</v>
      </c>
    </row>
    <row r="113" spans="1:18" ht="15" customHeight="1" x14ac:dyDescent="0.3">
      <c r="A113" s="8" t="s">
        <v>41</v>
      </c>
      <c r="B113" s="8" t="s">
        <v>42</v>
      </c>
      <c r="C113" s="9">
        <v>0.22916666666666671</v>
      </c>
      <c r="D113" s="8" t="s">
        <v>43</v>
      </c>
      <c r="E113" s="8" t="s">
        <v>130</v>
      </c>
      <c r="F113" s="8" t="s">
        <v>33</v>
      </c>
      <c r="G113" s="304"/>
      <c r="H113" s="10"/>
      <c r="I113" s="11"/>
      <c r="J113" s="11"/>
      <c r="K113" s="11"/>
      <c r="L113" s="11"/>
      <c r="M113" s="11"/>
      <c r="N113" s="11"/>
      <c r="O113" s="12"/>
      <c r="P113" s="11"/>
      <c r="Q113" s="13"/>
      <c r="R113" s="14"/>
    </row>
    <row r="114" spans="1:18" ht="15" customHeight="1" x14ac:dyDescent="0.3">
      <c r="A114" s="15" t="s">
        <v>41</v>
      </c>
      <c r="B114" s="15" t="s">
        <v>42</v>
      </c>
      <c r="C114" s="16">
        <v>0.22916666666666671</v>
      </c>
      <c r="D114" s="15" t="s">
        <v>45</v>
      </c>
      <c r="E114" s="15" t="s">
        <v>131</v>
      </c>
      <c r="F114" s="15" t="s">
        <v>132</v>
      </c>
      <c r="G114" s="298"/>
      <c r="H114" s="10"/>
      <c r="I114" s="11"/>
      <c r="J114" s="11"/>
      <c r="K114" s="11"/>
      <c r="L114" s="11"/>
      <c r="M114" s="11"/>
      <c r="N114" s="11"/>
      <c r="O114" s="12"/>
      <c r="P114" s="11"/>
      <c r="Q114" s="13"/>
      <c r="R114" s="14"/>
    </row>
    <row r="115" spans="1:18" ht="15" customHeight="1" x14ac:dyDescent="0.3">
      <c r="A115" s="15" t="s">
        <v>41</v>
      </c>
      <c r="B115" s="15" t="s">
        <v>42</v>
      </c>
      <c r="C115" s="16">
        <v>0.22916666666666671</v>
      </c>
      <c r="D115" s="15" t="s">
        <v>46</v>
      </c>
      <c r="E115" s="15" t="s">
        <v>131</v>
      </c>
      <c r="F115" s="15" t="s">
        <v>47</v>
      </c>
      <c r="G115" s="298"/>
      <c r="H115" s="10"/>
      <c r="I115" s="11"/>
      <c r="J115" s="11"/>
      <c r="K115" s="11"/>
      <c r="L115" s="11"/>
      <c r="M115" s="11"/>
      <c r="N115" s="11"/>
      <c r="O115" s="12"/>
      <c r="P115" s="11"/>
      <c r="Q115" s="13"/>
      <c r="R115" s="14"/>
    </row>
    <row r="116" spans="1:18" ht="15" customHeight="1" x14ac:dyDescent="0.3">
      <c r="A116" s="19" t="s">
        <v>26</v>
      </c>
      <c r="B116" s="19" t="s">
        <v>36</v>
      </c>
      <c r="C116" s="20">
        <v>0.60763888888888895</v>
      </c>
      <c r="D116" s="19" t="s">
        <v>28</v>
      </c>
      <c r="E116" s="19" t="s">
        <v>51</v>
      </c>
      <c r="F116" s="19" t="s">
        <v>122</v>
      </c>
      <c r="G116" s="298"/>
      <c r="H116" s="10"/>
      <c r="I116" s="11"/>
      <c r="J116" s="11"/>
      <c r="K116" s="11"/>
      <c r="L116" s="11"/>
      <c r="M116" s="11"/>
      <c r="N116" s="11"/>
      <c r="O116" s="12"/>
      <c r="P116" s="11"/>
      <c r="Q116" s="13"/>
      <c r="R116" s="14"/>
    </row>
    <row r="117" spans="1:18" ht="15" customHeight="1" x14ac:dyDescent="0.3">
      <c r="A117" s="15" t="s">
        <v>26</v>
      </c>
      <c r="B117" s="15" t="s">
        <v>36</v>
      </c>
      <c r="C117" s="16">
        <v>0.60763888888888895</v>
      </c>
      <c r="D117" s="15" t="s">
        <v>31</v>
      </c>
      <c r="E117" s="15" t="s">
        <v>133</v>
      </c>
      <c r="F117" s="15" t="s">
        <v>123</v>
      </c>
      <c r="G117" s="298"/>
      <c r="H117" s="10"/>
      <c r="I117" s="11"/>
      <c r="J117" s="11"/>
      <c r="K117" s="11"/>
      <c r="L117" s="11"/>
      <c r="M117" s="11"/>
      <c r="N117" s="11"/>
      <c r="O117" s="12"/>
      <c r="P117" s="11"/>
      <c r="Q117" s="13"/>
      <c r="R117" s="14"/>
    </row>
    <row r="118" spans="1:18" ht="15" customHeight="1" x14ac:dyDescent="0.3">
      <c r="A118" s="15" t="s">
        <v>26</v>
      </c>
      <c r="B118" s="15" t="s">
        <v>36</v>
      </c>
      <c r="C118" s="16">
        <v>0.60763888888888895</v>
      </c>
      <c r="D118" s="15" t="s">
        <v>34</v>
      </c>
      <c r="E118" s="15" t="s">
        <v>133</v>
      </c>
      <c r="F118" s="15" t="s">
        <v>124</v>
      </c>
      <c r="G118" s="298"/>
      <c r="H118" s="10"/>
      <c r="I118" s="11"/>
      <c r="J118" s="11"/>
      <c r="K118" s="11"/>
      <c r="L118" s="11"/>
      <c r="M118" s="11"/>
      <c r="N118" s="11"/>
      <c r="O118" s="12"/>
      <c r="P118" s="11"/>
      <c r="Q118" s="13"/>
      <c r="R118" s="14"/>
    </row>
    <row r="119" spans="1:18" ht="15" customHeight="1" x14ac:dyDescent="0.3">
      <c r="A119" s="19" t="s">
        <v>60</v>
      </c>
      <c r="B119" s="19" t="s">
        <v>61</v>
      </c>
      <c r="C119" s="20">
        <v>0.18402777777777779</v>
      </c>
      <c r="D119" s="19" t="s">
        <v>62</v>
      </c>
      <c r="E119" s="19" t="s">
        <v>63</v>
      </c>
      <c r="F119" s="19" t="s">
        <v>64</v>
      </c>
      <c r="G119" s="298"/>
      <c r="H119" s="10"/>
      <c r="I119" s="11"/>
      <c r="J119" s="11"/>
      <c r="K119" s="11"/>
      <c r="L119" s="11"/>
      <c r="M119" s="11"/>
      <c r="N119" s="11"/>
      <c r="O119" s="12"/>
      <c r="P119" s="11"/>
      <c r="Q119" s="13"/>
      <c r="R119" s="14"/>
    </row>
    <row r="120" spans="1:18" ht="15" customHeight="1" x14ac:dyDescent="0.3">
      <c r="A120" s="15" t="s">
        <v>60</v>
      </c>
      <c r="B120" s="15" t="s">
        <v>61</v>
      </c>
      <c r="C120" s="16">
        <v>0.18402777777777779</v>
      </c>
      <c r="D120" s="15" t="s">
        <v>65</v>
      </c>
      <c r="E120" s="15" t="s">
        <v>66</v>
      </c>
      <c r="F120" s="15" t="s">
        <v>67</v>
      </c>
      <c r="G120" s="298"/>
      <c r="H120" s="10"/>
      <c r="I120" s="11"/>
      <c r="J120" s="11"/>
      <c r="K120" s="11"/>
      <c r="L120" s="11"/>
      <c r="M120" s="11"/>
      <c r="N120" s="11"/>
      <c r="O120" s="12"/>
      <c r="P120" s="11"/>
      <c r="Q120" s="13"/>
      <c r="R120" s="14"/>
    </row>
    <row r="121" spans="1:18" ht="15" customHeight="1" x14ac:dyDescent="0.3">
      <c r="A121" s="17" t="s">
        <v>60</v>
      </c>
      <c r="B121" s="17" t="s">
        <v>68</v>
      </c>
      <c r="C121" s="18">
        <v>0.35069444444444442</v>
      </c>
      <c r="D121" s="17" t="s">
        <v>65</v>
      </c>
      <c r="E121" s="17" t="s">
        <v>69</v>
      </c>
      <c r="F121" s="17" t="s">
        <v>70</v>
      </c>
      <c r="G121" s="298"/>
      <c r="H121" s="10"/>
      <c r="I121" s="11"/>
      <c r="J121" s="11"/>
      <c r="K121" s="11"/>
      <c r="L121" s="11"/>
      <c r="M121" s="11"/>
      <c r="N121" s="11"/>
      <c r="O121" s="12"/>
      <c r="P121" s="11"/>
      <c r="Q121" s="13"/>
      <c r="R121" s="14"/>
    </row>
    <row r="122" spans="1:18" ht="15" customHeight="1" x14ac:dyDescent="0.3">
      <c r="A122" s="17" t="s">
        <v>60</v>
      </c>
      <c r="B122" s="17" t="s">
        <v>71</v>
      </c>
      <c r="C122" s="18">
        <v>0.22916666666666671</v>
      </c>
      <c r="D122" s="17" t="s">
        <v>65</v>
      </c>
      <c r="E122" s="17" t="s">
        <v>72</v>
      </c>
      <c r="F122" s="17" t="s">
        <v>134</v>
      </c>
      <c r="G122" s="298"/>
      <c r="H122" s="10"/>
      <c r="I122" s="11"/>
      <c r="J122" s="11"/>
      <c r="K122" s="11"/>
      <c r="L122" s="11"/>
      <c r="M122" s="11"/>
      <c r="N122" s="11"/>
      <c r="O122" s="12"/>
      <c r="P122" s="11"/>
      <c r="Q122" s="13"/>
      <c r="R122" s="14"/>
    </row>
    <row r="123" spans="1:18" ht="15" customHeight="1" x14ac:dyDescent="0.3">
      <c r="A123" s="17" t="s">
        <v>60</v>
      </c>
      <c r="B123" s="17" t="s">
        <v>74</v>
      </c>
      <c r="C123" s="18">
        <v>0.89583333333333337</v>
      </c>
      <c r="D123" s="17" t="s">
        <v>65</v>
      </c>
      <c r="E123" s="17" t="s">
        <v>58</v>
      </c>
      <c r="F123" s="17" t="s">
        <v>110</v>
      </c>
      <c r="G123" s="298"/>
      <c r="H123" s="10"/>
      <c r="I123" s="11"/>
      <c r="J123" s="11"/>
      <c r="K123" s="11"/>
      <c r="L123" s="11"/>
      <c r="M123" s="11"/>
      <c r="N123" s="11"/>
      <c r="O123" s="12"/>
      <c r="P123" s="11"/>
      <c r="Q123" s="13"/>
      <c r="R123" s="14"/>
    </row>
    <row r="124" spans="1:18" ht="15" customHeight="1" x14ac:dyDescent="0.3">
      <c r="A124" s="19" t="s">
        <v>48</v>
      </c>
      <c r="B124" s="19" t="s">
        <v>90</v>
      </c>
      <c r="C124" s="20">
        <v>0.33680555555555558</v>
      </c>
      <c r="D124" s="19" t="s">
        <v>50</v>
      </c>
      <c r="E124" s="19" t="s">
        <v>63</v>
      </c>
      <c r="F124" s="19" t="s">
        <v>91</v>
      </c>
      <c r="G124" s="298"/>
      <c r="H124" s="10"/>
      <c r="I124" s="11"/>
      <c r="J124" s="11"/>
      <c r="K124" s="11"/>
      <c r="L124" s="11"/>
      <c r="M124" s="11"/>
      <c r="N124" s="11"/>
      <c r="O124" s="12"/>
      <c r="P124" s="11"/>
      <c r="Q124" s="13"/>
      <c r="R124" s="14"/>
    </row>
    <row r="125" spans="1:18" ht="15" customHeight="1" x14ac:dyDescent="0.3">
      <c r="A125" s="17" t="s">
        <v>48</v>
      </c>
      <c r="B125" s="17" t="s">
        <v>49</v>
      </c>
      <c r="C125" s="18">
        <v>0.69791666666666663</v>
      </c>
      <c r="D125" s="17" t="s">
        <v>50</v>
      </c>
      <c r="E125" s="17" t="s">
        <v>54</v>
      </c>
      <c r="F125" s="17" t="s">
        <v>91</v>
      </c>
      <c r="G125" s="298"/>
      <c r="H125" s="10"/>
      <c r="I125" s="11"/>
      <c r="J125" s="11"/>
      <c r="K125" s="11"/>
      <c r="L125" s="11"/>
      <c r="M125" s="11"/>
      <c r="N125" s="11"/>
      <c r="O125" s="12"/>
      <c r="P125" s="11"/>
      <c r="Q125" s="13"/>
      <c r="R125" s="14"/>
    </row>
    <row r="126" spans="1:18" ht="15" customHeight="1" x14ac:dyDescent="0.3">
      <c r="A126" s="17" t="s">
        <v>48</v>
      </c>
      <c r="B126" s="17" t="s">
        <v>57</v>
      </c>
      <c r="C126" s="18">
        <v>0.28819444444444448</v>
      </c>
      <c r="D126" s="17" t="s">
        <v>50</v>
      </c>
      <c r="E126" s="17" t="s">
        <v>54</v>
      </c>
      <c r="F126" s="17" t="s">
        <v>91</v>
      </c>
      <c r="G126" s="298"/>
      <c r="H126" s="10"/>
      <c r="I126" s="11"/>
      <c r="J126" s="11"/>
      <c r="K126" s="11"/>
      <c r="L126" s="11"/>
      <c r="M126" s="11"/>
      <c r="N126" s="11"/>
      <c r="O126" s="12"/>
      <c r="P126" s="11"/>
      <c r="Q126" s="13"/>
      <c r="R126" s="14"/>
    </row>
    <row r="127" spans="1:18" ht="15" customHeight="1" x14ac:dyDescent="0.3">
      <c r="A127" s="17" t="s">
        <v>48</v>
      </c>
      <c r="B127" s="17" t="s">
        <v>55</v>
      </c>
      <c r="C127" s="18">
        <v>0.94097222222222221</v>
      </c>
      <c r="D127" s="17" t="s">
        <v>50</v>
      </c>
      <c r="E127" s="17" t="s">
        <v>54</v>
      </c>
      <c r="F127" s="17" t="s">
        <v>125</v>
      </c>
      <c r="G127" s="298"/>
      <c r="H127" s="10"/>
      <c r="I127" s="11"/>
      <c r="J127" s="11"/>
      <c r="K127" s="11"/>
      <c r="L127" s="11"/>
      <c r="M127" s="11"/>
      <c r="N127" s="11"/>
      <c r="O127" s="12"/>
      <c r="P127" s="11"/>
      <c r="Q127" s="13"/>
      <c r="R127" s="14"/>
    </row>
    <row r="128" spans="1:18" ht="15" customHeight="1" x14ac:dyDescent="0.3">
      <c r="A128" s="17" t="s">
        <v>48</v>
      </c>
      <c r="B128" s="17" t="s">
        <v>53</v>
      </c>
      <c r="C128" s="18">
        <v>6.5972222222222224E-2</v>
      </c>
      <c r="D128" s="17" t="s">
        <v>50</v>
      </c>
      <c r="E128" s="17" t="s">
        <v>54</v>
      </c>
      <c r="F128" s="17" t="s">
        <v>125</v>
      </c>
      <c r="G128" s="298"/>
      <c r="H128" s="10"/>
      <c r="I128" s="11"/>
      <c r="J128" s="11"/>
      <c r="K128" s="11"/>
      <c r="L128" s="11"/>
      <c r="M128" s="11"/>
      <c r="N128" s="11"/>
      <c r="O128" s="12"/>
      <c r="P128" s="11"/>
      <c r="Q128" s="13"/>
      <c r="R128" s="14"/>
    </row>
    <row r="129" spans="1:18" ht="15" customHeight="1" x14ac:dyDescent="0.3">
      <c r="A129" s="75" t="s">
        <v>77</v>
      </c>
      <c r="B129" s="75" t="s">
        <v>135</v>
      </c>
      <c r="C129" s="76">
        <v>0.11805555555555559</v>
      </c>
      <c r="D129" s="75" t="s">
        <v>79</v>
      </c>
      <c r="E129" s="77"/>
      <c r="F129" s="75" t="s">
        <v>80</v>
      </c>
      <c r="G129" s="298"/>
      <c r="H129" s="78" t="s">
        <v>135</v>
      </c>
      <c r="I129" s="79">
        <v>0.99439999999999995</v>
      </c>
      <c r="J129" s="80">
        <v>179</v>
      </c>
      <c r="K129" s="81">
        <v>45976</v>
      </c>
      <c r="L129" s="80">
        <v>19</v>
      </c>
      <c r="M129" s="80">
        <v>0</v>
      </c>
      <c r="N129" s="80">
        <v>0</v>
      </c>
      <c r="O129" s="82" t="s">
        <v>81</v>
      </c>
      <c r="P129" s="83">
        <v>0.11805555555555559</v>
      </c>
      <c r="Q129" s="80">
        <v>180</v>
      </c>
      <c r="R129" s="84" t="s">
        <v>136</v>
      </c>
    </row>
    <row r="130" spans="1:18" ht="15" customHeight="1" thickBot="1" x14ac:dyDescent="0.35">
      <c r="A130" s="85" t="s">
        <v>77</v>
      </c>
      <c r="B130" s="85" t="s">
        <v>78</v>
      </c>
      <c r="C130" s="86">
        <v>0.81944444444444453</v>
      </c>
      <c r="D130" s="85" t="s">
        <v>79</v>
      </c>
      <c r="E130" s="87"/>
      <c r="F130" s="85" t="s">
        <v>80</v>
      </c>
      <c r="G130" s="299"/>
      <c r="H130" s="24" t="s">
        <v>78</v>
      </c>
      <c r="I130" s="25">
        <v>1.0056</v>
      </c>
      <c r="J130" s="26">
        <v>181</v>
      </c>
      <c r="K130" s="27">
        <v>45979</v>
      </c>
      <c r="L130" s="26">
        <v>3</v>
      </c>
      <c r="M130" s="26">
        <v>0</v>
      </c>
      <c r="N130" s="26">
        <v>3</v>
      </c>
      <c r="O130" s="28" t="s">
        <v>81</v>
      </c>
      <c r="P130" s="29">
        <v>0.81944444444444453</v>
      </c>
      <c r="Q130" s="26">
        <v>180</v>
      </c>
      <c r="R130" s="30" t="s">
        <v>137</v>
      </c>
    </row>
    <row r="131" spans="1:18" ht="17.399999999999999" customHeight="1" thickBot="1" x14ac:dyDescent="0.35">
      <c r="A131" s="329"/>
      <c r="B131" s="330"/>
      <c r="C131" s="330"/>
      <c r="D131" s="330"/>
      <c r="E131" s="330"/>
      <c r="F131" s="330"/>
      <c r="G131" s="330"/>
      <c r="H131" s="330"/>
      <c r="I131" s="330"/>
      <c r="J131" s="330"/>
      <c r="K131" s="330"/>
      <c r="L131" s="330"/>
      <c r="M131" s="330"/>
      <c r="N131" s="330"/>
      <c r="O131" s="330"/>
      <c r="P131" s="330"/>
      <c r="Q131" s="330"/>
      <c r="R131" s="331"/>
    </row>
    <row r="132" spans="1:18" ht="22.05" customHeight="1" thickTop="1" thickBot="1" x14ac:dyDescent="0.35">
      <c r="A132" s="300" t="s">
        <v>6</v>
      </c>
      <c r="B132" s="295"/>
      <c r="C132" s="295"/>
      <c r="D132" s="295"/>
      <c r="E132" s="295"/>
      <c r="F132" s="296"/>
      <c r="G132" s="31">
        <v>45987</v>
      </c>
      <c r="H132" s="294" t="s">
        <v>7</v>
      </c>
      <c r="I132" s="295"/>
      <c r="J132" s="295"/>
      <c r="K132" s="295"/>
      <c r="L132" s="295"/>
      <c r="M132" s="295"/>
      <c r="N132" s="295"/>
      <c r="O132" s="295"/>
      <c r="P132" s="295"/>
      <c r="Q132" s="295"/>
      <c r="R132" s="296"/>
    </row>
    <row r="133" spans="1:18" ht="24" customHeight="1" x14ac:dyDescent="0.3">
      <c r="A133" s="32" t="s">
        <v>8</v>
      </c>
      <c r="B133" s="32" t="s">
        <v>9</v>
      </c>
      <c r="C133" s="33" t="s">
        <v>10</v>
      </c>
      <c r="D133" s="32" t="s">
        <v>11</v>
      </c>
      <c r="E133" s="32" t="s">
        <v>12</v>
      </c>
      <c r="F133" s="34" t="s">
        <v>13</v>
      </c>
      <c r="G133" s="35" t="s">
        <v>14</v>
      </c>
      <c r="H133" s="32" t="s">
        <v>15</v>
      </c>
      <c r="I133" s="36" t="s">
        <v>16</v>
      </c>
      <c r="J133" s="37" t="s">
        <v>17</v>
      </c>
      <c r="K133" s="38" t="s">
        <v>18</v>
      </c>
      <c r="L133" s="37" t="s">
        <v>19</v>
      </c>
      <c r="M133" s="37" t="s">
        <v>20</v>
      </c>
      <c r="N133" s="37" t="s">
        <v>21</v>
      </c>
      <c r="O133" s="32" t="s">
        <v>22</v>
      </c>
      <c r="P133" s="33" t="s">
        <v>23</v>
      </c>
      <c r="Q133" s="37" t="s">
        <v>24</v>
      </c>
      <c r="R133" s="32" t="s">
        <v>25</v>
      </c>
    </row>
    <row r="134" spans="1:18" ht="15" customHeight="1" x14ac:dyDescent="0.3">
      <c r="A134" s="8" t="s">
        <v>41</v>
      </c>
      <c r="B134" s="8" t="s">
        <v>42</v>
      </c>
      <c r="C134" s="9">
        <v>0.22916666666666671</v>
      </c>
      <c r="D134" s="8" t="s">
        <v>43</v>
      </c>
      <c r="E134" s="8" t="s">
        <v>138</v>
      </c>
      <c r="F134" s="8" t="s">
        <v>33</v>
      </c>
      <c r="G134" s="304"/>
      <c r="H134" s="10"/>
      <c r="I134" s="11"/>
      <c r="J134" s="11"/>
      <c r="K134" s="11"/>
      <c r="L134" s="11"/>
      <c r="M134" s="11"/>
      <c r="N134" s="11"/>
      <c r="O134" s="12"/>
      <c r="P134" s="11"/>
      <c r="Q134" s="13"/>
      <c r="R134" s="14"/>
    </row>
    <row r="135" spans="1:18" ht="15" customHeight="1" x14ac:dyDescent="0.3">
      <c r="A135" s="15" t="s">
        <v>41</v>
      </c>
      <c r="B135" s="15" t="s">
        <v>42</v>
      </c>
      <c r="C135" s="16">
        <v>0.22916666666666671</v>
      </c>
      <c r="D135" s="15" t="s">
        <v>45</v>
      </c>
      <c r="E135" s="15" t="s">
        <v>38</v>
      </c>
      <c r="F135" s="15" t="s">
        <v>132</v>
      </c>
      <c r="G135" s="298"/>
      <c r="H135" s="10"/>
      <c r="I135" s="11"/>
      <c r="J135" s="11"/>
      <c r="K135" s="11"/>
      <c r="L135" s="11"/>
      <c r="M135" s="11"/>
      <c r="N135" s="11"/>
      <c r="O135" s="12"/>
      <c r="P135" s="11"/>
      <c r="Q135" s="13"/>
      <c r="R135" s="14"/>
    </row>
    <row r="136" spans="1:18" ht="15" customHeight="1" x14ac:dyDescent="0.3">
      <c r="A136" s="15" t="s">
        <v>41</v>
      </c>
      <c r="B136" s="15" t="s">
        <v>42</v>
      </c>
      <c r="C136" s="16">
        <v>0.22916666666666671</v>
      </c>
      <c r="D136" s="15" t="s">
        <v>46</v>
      </c>
      <c r="E136" s="15" t="s">
        <v>38</v>
      </c>
      <c r="F136" s="15" t="s">
        <v>47</v>
      </c>
      <c r="G136" s="298"/>
      <c r="H136" s="10"/>
      <c r="I136" s="11"/>
      <c r="J136" s="11"/>
      <c r="K136" s="11"/>
      <c r="L136" s="11"/>
      <c r="M136" s="11"/>
      <c r="N136" s="11"/>
      <c r="O136" s="12"/>
      <c r="P136" s="11"/>
      <c r="Q136" s="13"/>
      <c r="R136" s="14"/>
    </row>
    <row r="137" spans="1:18" ht="15" customHeight="1" x14ac:dyDescent="0.3">
      <c r="A137" s="19" t="s">
        <v>26</v>
      </c>
      <c r="B137" s="19" t="s">
        <v>36</v>
      </c>
      <c r="C137" s="20">
        <v>0.60763888888888895</v>
      </c>
      <c r="D137" s="19" t="s">
        <v>28</v>
      </c>
      <c r="E137" s="19" t="s">
        <v>139</v>
      </c>
      <c r="F137" s="19" t="s">
        <v>124</v>
      </c>
      <c r="G137" s="298"/>
      <c r="H137" s="10"/>
      <c r="I137" s="11"/>
      <c r="J137" s="11"/>
      <c r="K137" s="11"/>
      <c r="L137" s="11"/>
      <c r="M137" s="11"/>
      <c r="N137" s="11"/>
      <c r="O137" s="12"/>
      <c r="P137" s="11"/>
      <c r="Q137" s="13"/>
      <c r="R137" s="14"/>
    </row>
    <row r="138" spans="1:18" ht="15" customHeight="1" x14ac:dyDescent="0.3">
      <c r="A138" s="15" t="s">
        <v>26</v>
      </c>
      <c r="B138" s="15" t="s">
        <v>36</v>
      </c>
      <c r="C138" s="16">
        <v>0.60763888888888895</v>
      </c>
      <c r="D138" s="15" t="s">
        <v>31</v>
      </c>
      <c r="E138" s="15" t="s">
        <v>98</v>
      </c>
      <c r="F138" s="15" t="s">
        <v>140</v>
      </c>
      <c r="G138" s="298"/>
      <c r="H138" s="10"/>
      <c r="I138" s="11"/>
      <c r="J138" s="11"/>
      <c r="K138" s="11"/>
      <c r="L138" s="11"/>
      <c r="M138" s="11"/>
      <c r="N138" s="11"/>
      <c r="O138" s="12"/>
      <c r="P138" s="11"/>
      <c r="Q138" s="13"/>
      <c r="R138" s="14"/>
    </row>
    <row r="139" spans="1:18" ht="15" customHeight="1" x14ac:dyDescent="0.3">
      <c r="A139" s="15" t="s">
        <v>26</v>
      </c>
      <c r="B139" s="15" t="s">
        <v>36</v>
      </c>
      <c r="C139" s="16">
        <v>0.60763888888888895</v>
      </c>
      <c r="D139" s="15" t="s">
        <v>34</v>
      </c>
      <c r="E139" s="15" t="s">
        <v>98</v>
      </c>
      <c r="F139" s="15" t="s">
        <v>141</v>
      </c>
      <c r="G139" s="298"/>
      <c r="H139" s="10"/>
      <c r="I139" s="11"/>
      <c r="J139" s="11"/>
      <c r="K139" s="11"/>
      <c r="L139" s="11"/>
      <c r="M139" s="11"/>
      <c r="N139" s="11"/>
      <c r="O139" s="12"/>
      <c r="P139" s="11"/>
      <c r="Q139" s="13"/>
      <c r="R139" s="14"/>
    </row>
    <row r="140" spans="1:18" ht="15" customHeight="1" x14ac:dyDescent="0.3">
      <c r="A140" s="19" t="s">
        <v>60</v>
      </c>
      <c r="B140" s="19" t="s">
        <v>68</v>
      </c>
      <c r="C140" s="20">
        <v>0.35069444444444442</v>
      </c>
      <c r="D140" s="19" t="s">
        <v>65</v>
      </c>
      <c r="E140" s="19" t="s">
        <v>51</v>
      </c>
      <c r="F140" s="19" t="s">
        <v>70</v>
      </c>
      <c r="G140" s="298"/>
      <c r="H140" s="10"/>
      <c r="I140" s="11"/>
      <c r="J140" s="11"/>
      <c r="K140" s="11"/>
      <c r="L140" s="11"/>
      <c r="M140" s="11"/>
      <c r="N140" s="11"/>
      <c r="O140" s="12"/>
      <c r="P140" s="11"/>
      <c r="Q140" s="13"/>
      <c r="R140" s="14"/>
    </row>
    <row r="141" spans="1:18" ht="15" customHeight="1" x14ac:dyDescent="0.3">
      <c r="A141" s="17" t="s">
        <v>60</v>
      </c>
      <c r="B141" s="17" t="s">
        <v>74</v>
      </c>
      <c r="C141" s="18">
        <v>0.89583333333333337</v>
      </c>
      <c r="D141" s="17" t="s">
        <v>65</v>
      </c>
      <c r="E141" s="17" t="s">
        <v>54</v>
      </c>
      <c r="F141" s="17" t="s">
        <v>70</v>
      </c>
      <c r="G141" s="298"/>
      <c r="H141" s="10"/>
      <c r="I141" s="11"/>
      <c r="J141" s="11"/>
      <c r="K141" s="11"/>
      <c r="L141" s="11"/>
      <c r="M141" s="11"/>
      <c r="N141" s="11"/>
      <c r="O141" s="12"/>
      <c r="P141" s="11"/>
      <c r="Q141" s="13"/>
      <c r="R141" s="14"/>
    </row>
    <row r="142" spans="1:18" ht="15" customHeight="1" x14ac:dyDescent="0.3">
      <c r="A142" s="17" t="s">
        <v>60</v>
      </c>
      <c r="B142" s="17" t="s">
        <v>61</v>
      </c>
      <c r="C142" s="18">
        <v>0.18402777777777779</v>
      </c>
      <c r="D142" s="17" t="s">
        <v>65</v>
      </c>
      <c r="E142" s="17" t="s">
        <v>54</v>
      </c>
      <c r="F142" s="17" t="s">
        <v>70</v>
      </c>
      <c r="G142" s="298"/>
      <c r="H142" s="10"/>
      <c r="I142" s="11"/>
      <c r="J142" s="11"/>
      <c r="K142" s="11"/>
      <c r="L142" s="11"/>
      <c r="M142" s="11"/>
      <c r="N142" s="11"/>
      <c r="O142" s="12"/>
      <c r="P142" s="11"/>
      <c r="Q142" s="13"/>
      <c r="R142" s="14"/>
    </row>
    <row r="143" spans="1:18" ht="15" customHeight="1" x14ac:dyDescent="0.3">
      <c r="A143" s="17" t="s">
        <v>60</v>
      </c>
      <c r="B143" s="17" t="s">
        <v>71</v>
      </c>
      <c r="C143" s="18">
        <v>0.22916666666666671</v>
      </c>
      <c r="D143" s="17" t="s">
        <v>65</v>
      </c>
      <c r="E143" s="17" t="s">
        <v>72</v>
      </c>
      <c r="F143" s="17" t="s">
        <v>134</v>
      </c>
      <c r="G143" s="298"/>
      <c r="H143" s="10"/>
      <c r="I143" s="11"/>
      <c r="J143" s="11"/>
      <c r="K143" s="11"/>
      <c r="L143" s="11"/>
      <c r="M143" s="11"/>
      <c r="N143" s="11"/>
      <c r="O143" s="12"/>
      <c r="P143" s="11"/>
      <c r="Q143" s="13"/>
      <c r="R143" s="14"/>
    </row>
    <row r="144" spans="1:18" ht="15" customHeight="1" x14ac:dyDescent="0.3">
      <c r="A144" s="19" t="s">
        <v>48</v>
      </c>
      <c r="B144" s="19" t="s">
        <v>55</v>
      </c>
      <c r="C144" s="20">
        <v>0.95138888888888884</v>
      </c>
      <c r="D144" s="19" t="s">
        <v>50</v>
      </c>
      <c r="E144" s="19" t="s">
        <v>139</v>
      </c>
      <c r="F144" s="19" t="s">
        <v>142</v>
      </c>
      <c r="G144" s="298"/>
      <c r="H144" s="10"/>
      <c r="I144" s="11"/>
      <c r="J144" s="11"/>
      <c r="K144" s="11"/>
      <c r="L144" s="11"/>
      <c r="M144" s="11"/>
      <c r="N144" s="11"/>
      <c r="O144" s="12"/>
      <c r="P144" s="11"/>
      <c r="Q144" s="13"/>
      <c r="R144" s="14"/>
    </row>
    <row r="145" spans="1:18" ht="15" customHeight="1" thickBot="1" x14ac:dyDescent="0.35">
      <c r="A145" s="39" t="s">
        <v>48</v>
      </c>
      <c r="B145" s="39" t="s">
        <v>57</v>
      </c>
      <c r="C145" s="40">
        <v>0.28819444444444448</v>
      </c>
      <c r="D145" s="39" t="s">
        <v>50</v>
      </c>
      <c r="E145" s="39" t="s">
        <v>69</v>
      </c>
      <c r="F145" s="39" t="s">
        <v>109</v>
      </c>
      <c r="G145" s="299"/>
      <c r="H145" s="41"/>
      <c r="I145" s="42"/>
      <c r="J145" s="42"/>
      <c r="K145" s="42"/>
      <c r="L145" s="42"/>
      <c r="M145" s="42"/>
      <c r="N145" s="42"/>
      <c r="O145" s="43"/>
      <c r="P145" s="42"/>
      <c r="Q145" s="44"/>
      <c r="R145" s="45"/>
    </row>
    <row r="146" spans="1:18" ht="17.399999999999999" customHeight="1" thickBot="1" x14ac:dyDescent="0.35">
      <c r="A146" s="329"/>
      <c r="B146" s="330"/>
      <c r="C146" s="330"/>
      <c r="D146" s="330"/>
      <c r="E146" s="330"/>
      <c r="F146" s="330"/>
      <c r="G146" s="330"/>
      <c r="H146" s="330"/>
      <c r="I146" s="330"/>
      <c r="J146" s="330"/>
      <c r="K146" s="330"/>
      <c r="L146" s="330"/>
      <c r="M146" s="330"/>
      <c r="N146" s="330"/>
      <c r="O146" s="330"/>
      <c r="P146" s="330"/>
      <c r="Q146" s="330"/>
      <c r="R146" s="331"/>
    </row>
    <row r="147" spans="1:18" ht="22.05" customHeight="1" thickTop="1" thickBot="1" x14ac:dyDescent="0.35">
      <c r="A147" s="300" t="s">
        <v>6</v>
      </c>
      <c r="B147" s="295"/>
      <c r="C147" s="295"/>
      <c r="D147" s="295"/>
      <c r="E147" s="295"/>
      <c r="F147" s="296"/>
      <c r="G147" s="31">
        <v>45988</v>
      </c>
      <c r="H147" s="294" t="s">
        <v>7</v>
      </c>
      <c r="I147" s="295"/>
      <c r="J147" s="295"/>
      <c r="K147" s="295"/>
      <c r="L147" s="295"/>
      <c r="M147" s="295"/>
      <c r="N147" s="295"/>
      <c r="O147" s="295"/>
      <c r="P147" s="295"/>
      <c r="Q147" s="295"/>
      <c r="R147" s="296"/>
    </row>
    <row r="148" spans="1:18" ht="24" customHeight="1" x14ac:dyDescent="0.3">
      <c r="A148" s="32" t="s">
        <v>8</v>
      </c>
      <c r="B148" s="32" t="s">
        <v>9</v>
      </c>
      <c r="C148" s="33" t="s">
        <v>10</v>
      </c>
      <c r="D148" s="32" t="s">
        <v>11</v>
      </c>
      <c r="E148" s="32" t="s">
        <v>12</v>
      </c>
      <c r="F148" s="34" t="s">
        <v>13</v>
      </c>
      <c r="G148" s="35" t="s">
        <v>14</v>
      </c>
      <c r="H148" s="32" t="s">
        <v>15</v>
      </c>
      <c r="I148" s="36" t="s">
        <v>16</v>
      </c>
      <c r="J148" s="37" t="s">
        <v>17</v>
      </c>
      <c r="K148" s="38" t="s">
        <v>18</v>
      </c>
      <c r="L148" s="37" t="s">
        <v>19</v>
      </c>
      <c r="M148" s="37" t="s">
        <v>20</v>
      </c>
      <c r="N148" s="37" t="s">
        <v>21</v>
      </c>
      <c r="O148" s="32" t="s">
        <v>22</v>
      </c>
      <c r="P148" s="33" t="s">
        <v>23</v>
      </c>
      <c r="Q148" s="37" t="s">
        <v>24</v>
      </c>
      <c r="R148" s="32" t="s">
        <v>25</v>
      </c>
    </row>
    <row r="149" spans="1:18" ht="15" customHeight="1" x14ac:dyDescent="0.3">
      <c r="A149" s="8" t="s">
        <v>41</v>
      </c>
      <c r="B149" s="8" t="s">
        <v>42</v>
      </c>
      <c r="C149" s="9">
        <v>0.22916666666666671</v>
      </c>
      <c r="D149" s="8" t="s">
        <v>43</v>
      </c>
      <c r="E149" s="8" t="s">
        <v>111</v>
      </c>
      <c r="F149" s="8" t="s">
        <v>143</v>
      </c>
      <c r="G149" s="297"/>
      <c r="H149" s="10"/>
      <c r="I149" s="11"/>
      <c r="J149" s="11"/>
      <c r="K149" s="11"/>
      <c r="L149" s="11"/>
      <c r="M149" s="11"/>
      <c r="N149" s="11"/>
      <c r="O149" s="12"/>
      <c r="P149" s="11"/>
      <c r="Q149" s="13"/>
      <c r="R149" s="14"/>
    </row>
    <row r="150" spans="1:18" ht="15" customHeight="1" x14ac:dyDescent="0.3">
      <c r="A150" s="15" t="s">
        <v>41</v>
      </c>
      <c r="B150" s="15" t="s">
        <v>42</v>
      </c>
      <c r="C150" s="16">
        <v>0.22916666666666671</v>
      </c>
      <c r="D150" s="15" t="s">
        <v>45</v>
      </c>
      <c r="E150" s="15" t="s">
        <v>115</v>
      </c>
      <c r="F150" s="15" t="s">
        <v>47</v>
      </c>
      <c r="G150" s="298"/>
      <c r="H150" s="10"/>
      <c r="I150" s="11"/>
      <c r="J150" s="11"/>
      <c r="K150" s="11"/>
      <c r="L150" s="11"/>
      <c r="M150" s="11"/>
      <c r="N150" s="11"/>
      <c r="O150" s="12"/>
      <c r="P150" s="11"/>
      <c r="Q150" s="13"/>
      <c r="R150" s="14"/>
    </row>
    <row r="151" spans="1:18" ht="15" customHeight="1" x14ac:dyDescent="0.3">
      <c r="A151" s="15" t="s">
        <v>41</v>
      </c>
      <c r="B151" s="15" t="s">
        <v>42</v>
      </c>
      <c r="C151" s="16">
        <v>0.22916666666666671</v>
      </c>
      <c r="D151" s="15" t="s">
        <v>46</v>
      </c>
      <c r="E151" s="15" t="s">
        <v>115</v>
      </c>
      <c r="F151" s="15" t="s">
        <v>47</v>
      </c>
      <c r="G151" s="298"/>
      <c r="H151" s="10"/>
      <c r="I151" s="11"/>
      <c r="J151" s="11"/>
      <c r="K151" s="11"/>
      <c r="L151" s="11"/>
      <c r="M151" s="11"/>
      <c r="N151" s="11"/>
      <c r="O151" s="12"/>
      <c r="P151" s="11"/>
      <c r="Q151" s="13"/>
      <c r="R151" s="14"/>
    </row>
    <row r="152" spans="1:18" ht="15" customHeight="1" x14ac:dyDescent="0.3">
      <c r="A152" s="19" t="s">
        <v>26</v>
      </c>
      <c r="B152" s="19" t="s">
        <v>36</v>
      </c>
      <c r="C152" s="20">
        <v>0.60763888888888895</v>
      </c>
      <c r="D152" s="19" t="s">
        <v>28</v>
      </c>
      <c r="E152" s="19" t="s">
        <v>111</v>
      </c>
      <c r="F152" s="19" t="s">
        <v>122</v>
      </c>
      <c r="G152" s="298"/>
      <c r="H152" s="10"/>
      <c r="I152" s="11"/>
      <c r="J152" s="11"/>
      <c r="K152" s="11"/>
      <c r="L152" s="11"/>
      <c r="M152" s="11"/>
      <c r="N152" s="11"/>
      <c r="O152" s="12"/>
      <c r="P152" s="11"/>
      <c r="Q152" s="13"/>
      <c r="R152" s="14"/>
    </row>
    <row r="153" spans="1:18" ht="15" customHeight="1" x14ac:dyDescent="0.3">
      <c r="A153" s="15" t="s">
        <v>26</v>
      </c>
      <c r="B153" s="15" t="s">
        <v>36</v>
      </c>
      <c r="C153" s="16">
        <v>0.60763888888888895</v>
      </c>
      <c r="D153" s="15" t="s">
        <v>31</v>
      </c>
      <c r="E153" s="15" t="s">
        <v>115</v>
      </c>
      <c r="F153" s="15" t="s">
        <v>123</v>
      </c>
      <c r="G153" s="298"/>
      <c r="H153" s="10"/>
      <c r="I153" s="11"/>
      <c r="J153" s="11"/>
      <c r="K153" s="11"/>
      <c r="L153" s="11"/>
      <c r="M153" s="11"/>
      <c r="N153" s="11"/>
      <c r="O153" s="12"/>
      <c r="P153" s="11"/>
      <c r="Q153" s="13"/>
      <c r="R153" s="14"/>
    </row>
    <row r="154" spans="1:18" ht="15" customHeight="1" x14ac:dyDescent="0.3">
      <c r="A154" s="15" t="s">
        <v>26</v>
      </c>
      <c r="B154" s="15" t="s">
        <v>36</v>
      </c>
      <c r="C154" s="16">
        <v>0.60763888888888895</v>
      </c>
      <c r="D154" s="15" t="s">
        <v>34</v>
      </c>
      <c r="E154" s="15" t="s">
        <v>115</v>
      </c>
      <c r="F154" s="15" t="s">
        <v>124</v>
      </c>
      <c r="G154" s="298"/>
      <c r="H154" s="10"/>
      <c r="I154" s="11"/>
      <c r="J154" s="11"/>
      <c r="K154" s="11"/>
      <c r="L154" s="11"/>
      <c r="M154" s="11"/>
      <c r="N154" s="11"/>
      <c r="O154" s="12"/>
      <c r="P154" s="11"/>
      <c r="Q154" s="13"/>
      <c r="R154" s="14"/>
    </row>
    <row r="155" spans="1:18" ht="15" customHeight="1" x14ac:dyDescent="0.3">
      <c r="A155" s="17" t="s">
        <v>26</v>
      </c>
      <c r="B155" s="17" t="s">
        <v>27</v>
      </c>
      <c r="C155" s="18">
        <v>0.43402777777777768</v>
      </c>
      <c r="D155" s="17" t="s">
        <v>28</v>
      </c>
      <c r="E155" s="17" t="s">
        <v>144</v>
      </c>
      <c r="F155" s="17" t="s">
        <v>145</v>
      </c>
      <c r="G155" s="298"/>
      <c r="H155" s="10"/>
      <c r="I155" s="11"/>
      <c r="J155" s="11"/>
      <c r="K155" s="11"/>
      <c r="L155" s="11"/>
      <c r="M155" s="11"/>
      <c r="N155" s="11"/>
      <c r="O155" s="12"/>
      <c r="P155" s="11"/>
      <c r="Q155" s="13"/>
      <c r="R155" s="14"/>
    </row>
    <row r="156" spans="1:18" ht="15" customHeight="1" x14ac:dyDescent="0.3">
      <c r="A156" s="15" t="s">
        <v>26</v>
      </c>
      <c r="B156" s="15" t="s">
        <v>27</v>
      </c>
      <c r="C156" s="16">
        <v>0.43402777777777768</v>
      </c>
      <c r="D156" s="15" t="s">
        <v>31</v>
      </c>
      <c r="E156" s="15" t="s">
        <v>133</v>
      </c>
      <c r="F156" s="15" t="s">
        <v>124</v>
      </c>
      <c r="G156" s="298"/>
      <c r="H156" s="10"/>
      <c r="I156" s="11"/>
      <c r="J156" s="11"/>
      <c r="K156" s="11"/>
      <c r="L156" s="11"/>
      <c r="M156" s="11"/>
      <c r="N156" s="11"/>
      <c r="O156" s="12"/>
      <c r="P156" s="11"/>
      <c r="Q156" s="13"/>
      <c r="R156" s="14"/>
    </row>
    <row r="157" spans="1:18" ht="15" customHeight="1" x14ac:dyDescent="0.3">
      <c r="A157" s="15" t="s">
        <v>26</v>
      </c>
      <c r="B157" s="15" t="s">
        <v>27</v>
      </c>
      <c r="C157" s="16">
        <v>0.43402777777777768</v>
      </c>
      <c r="D157" s="15" t="s">
        <v>34</v>
      </c>
      <c r="E157" s="15" t="s">
        <v>133</v>
      </c>
      <c r="F157" s="15" t="s">
        <v>146</v>
      </c>
      <c r="G157" s="298"/>
      <c r="H157" s="10"/>
      <c r="I157" s="11"/>
      <c r="J157" s="11"/>
      <c r="K157" s="11"/>
      <c r="L157" s="11"/>
      <c r="M157" s="11"/>
      <c r="N157" s="11"/>
      <c r="O157" s="12"/>
      <c r="P157" s="11"/>
      <c r="Q157" s="13"/>
      <c r="R157" s="14"/>
    </row>
    <row r="158" spans="1:18" ht="15" customHeight="1" x14ac:dyDescent="0.3">
      <c r="A158" s="19" t="s">
        <v>60</v>
      </c>
      <c r="B158" s="19" t="s">
        <v>61</v>
      </c>
      <c r="C158" s="20">
        <v>0.18402777777777779</v>
      </c>
      <c r="D158" s="19" t="s">
        <v>65</v>
      </c>
      <c r="E158" s="19" t="s">
        <v>63</v>
      </c>
      <c r="F158" s="19" t="s">
        <v>70</v>
      </c>
      <c r="G158" s="298"/>
      <c r="H158" s="10"/>
      <c r="I158" s="11"/>
      <c r="J158" s="11"/>
      <c r="K158" s="11"/>
      <c r="L158" s="11"/>
      <c r="M158" s="11"/>
      <c r="N158" s="11"/>
      <c r="O158" s="12"/>
      <c r="P158" s="11"/>
      <c r="Q158" s="13"/>
      <c r="R158" s="14"/>
    </row>
    <row r="159" spans="1:18" ht="15" customHeight="1" x14ac:dyDescent="0.3">
      <c r="A159" s="17" t="s">
        <v>60</v>
      </c>
      <c r="B159" s="17" t="s">
        <v>68</v>
      </c>
      <c r="C159" s="18">
        <v>0.35416666666666669</v>
      </c>
      <c r="D159" s="17" t="s">
        <v>65</v>
      </c>
      <c r="E159" s="17" t="s">
        <v>69</v>
      </c>
      <c r="F159" s="17" t="s">
        <v>76</v>
      </c>
      <c r="G159" s="298"/>
      <c r="H159" s="10"/>
      <c r="I159" s="11"/>
      <c r="J159" s="11"/>
      <c r="K159" s="11"/>
      <c r="L159" s="11"/>
      <c r="M159" s="11"/>
      <c r="N159" s="11"/>
      <c r="O159" s="12"/>
      <c r="P159" s="11"/>
      <c r="Q159" s="13"/>
      <c r="R159" s="14"/>
    </row>
    <row r="160" spans="1:18" ht="15" customHeight="1" x14ac:dyDescent="0.3">
      <c r="A160" s="17" t="s">
        <v>60</v>
      </c>
      <c r="B160" s="17" t="s">
        <v>71</v>
      </c>
      <c r="C160" s="18">
        <v>0.22916666666666671</v>
      </c>
      <c r="D160" s="17" t="s">
        <v>65</v>
      </c>
      <c r="E160" s="17" t="s">
        <v>72</v>
      </c>
      <c r="F160" s="17" t="s">
        <v>147</v>
      </c>
      <c r="G160" s="298"/>
      <c r="H160" s="10"/>
      <c r="I160" s="11"/>
      <c r="J160" s="11"/>
      <c r="K160" s="11"/>
      <c r="L160" s="11"/>
      <c r="M160" s="11"/>
      <c r="N160" s="11"/>
      <c r="O160" s="12"/>
      <c r="P160" s="11"/>
      <c r="Q160" s="13"/>
      <c r="R160" s="14"/>
    </row>
    <row r="161" spans="1:18" ht="15" customHeight="1" x14ac:dyDescent="0.3">
      <c r="A161" s="19" t="s">
        <v>48</v>
      </c>
      <c r="B161" s="19" t="s">
        <v>49</v>
      </c>
      <c r="C161" s="20">
        <v>0.69791666666666663</v>
      </c>
      <c r="D161" s="19" t="s">
        <v>50</v>
      </c>
      <c r="E161" s="19" t="s">
        <v>63</v>
      </c>
      <c r="F161" s="19" t="s">
        <v>109</v>
      </c>
      <c r="G161" s="298"/>
      <c r="H161" s="10"/>
      <c r="I161" s="11"/>
      <c r="J161" s="11"/>
      <c r="K161" s="11"/>
      <c r="L161" s="11"/>
      <c r="M161" s="11"/>
      <c r="N161" s="11"/>
      <c r="O161" s="12"/>
      <c r="P161" s="11"/>
      <c r="Q161" s="13"/>
      <c r="R161" s="14"/>
    </row>
    <row r="162" spans="1:18" ht="15" customHeight="1" thickBot="1" x14ac:dyDescent="0.35">
      <c r="A162" s="21" t="s">
        <v>77</v>
      </c>
      <c r="B162" s="21" t="s">
        <v>78</v>
      </c>
      <c r="C162" s="22">
        <v>0.38194444444444442</v>
      </c>
      <c r="D162" s="21" t="s">
        <v>79</v>
      </c>
      <c r="E162" s="23"/>
      <c r="F162" s="21" t="s">
        <v>80</v>
      </c>
      <c r="G162" s="299"/>
      <c r="H162" s="24" t="s">
        <v>78</v>
      </c>
      <c r="I162" s="25">
        <v>1</v>
      </c>
      <c r="J162" s="26">
        <v>180</v>
      </c>
      <c r="K162" s="27">
        <v>45970</v>
      </c>
      <c r="L162" s="26">
        <v>0</v>
      </c>
      <c r="M162" s="26">
        <v>0</v>
      </c>
      <c r="N162" s="26">
        <v>0</v>
      </c>
      <c r="O162" s="28" t="s">
        <v>81</v>
      </c>
      <c r="P162" s="29">
        <v>0.38194444444444442</v>
      </c>
      <c r="Q162" s="26">
        <v>180</v>
      </c>
      <c r="R162" s="30" t="s">
        <v>148</v>
      </c>
    </row>
    <row r="163" spans="1:18" ht="17.399999999999999" customHeight="1" thickBot="1" x14ac:dyDescent="0.35">
      <c r="A163" s="329"/>
      <c r="B163" s="330"/>
      <c r="C163" s="330"/>
      <c r="D163" s="330"/>
      <c r="E163" s="330"/>
      <c r="F163" s="330"/>
      <c r="G163" s="330"/>
      <c r="H163" s="330"/>
      <c r="I163" s="330"/>
      <c r="J163" s="330"/>
      <c r="K163" s="330"/>
      <c r="L163" s="330"/>
      <c r="M163" s="330"/>
      <c r="N163" s="330"/>
      <c r="O163" s="330"/>
      <c r="P163" s="330"/>
      <c r="Q163" s="330"/>
      <c r="R163" s="331"/>
    </row>
    <row r="164" spans="1:18" ht="22.05" customHeight="1" thickTop="1" thickBot="1" x14ac:dyDescent="0.35">
      <c r="A164" s="300" t="s">
        <v>6</v>
      </c>
      <c r="B164" s="295"/>
      <c r="C164" s="295"/>
      <c r="D164" s="295"/>
      <c r="E164" s="295"/>
      <c r="F164" s="296"/>
      <c r="G164" s="31">
        <v>45989</v>
      </c>
      <c r="H164" s="294" t="s">
        <v>7</v>
      </c>
      <c r="I164" s="295"/>
      <c r="J164" s="295"/>
      <c r="K164" s="295"/>
      <c r="L164" s="295"/>
      <c r="M164" s="295"/>
      <c r="N164" s="295"/>
      <c r="O164" s="295"/>
      <c r="P164" s="295"/>
      <c r="Q164" s="295"/>
      <c r="R164" s="296"/>
    </row>
    <row r="165" spans="1:18" ht="24" customHeight="1" x14ac:dyDescent="0.3">
      <c r="A165" s="32" t="s">
        <v>8</v>
      </c>
      <c r="B165" s="32" t="s">
        <v>9</v>
      </c>
      <c r="C165" s="33" t="s">
        <v>10</v>
      </c>
      <c r="D165" s="32" t="s">
        <v>11</v>
      </c>
      <c r="E165" s="32" t="s">
        <v>12</v>
      </c>
      <c r="F165" s="34" t="s">
        <v>13</v>
      </c>
      <c r="G165" s="35" t="s">
        <v>14</v>
      </c>
      <c r="H165" s="32" t="s">
        <v>15</v>
      </c>
      <c r="I165" s="36" t="s">
        <v>16</v>
      </c>
      <c r="J165" s="37" t="s">
        <v>17</v>
      </c>
      <c r="K165" s="38" t="s">
        <v>18</v>
      </c>
      <c r="L165" s="37" t="s">
        <v>19</v>
      </c>
      <c r="M165" s="37" t="s">
        <v>20</v>
      </c>
      <c r="N165" s="37" t="s">
        <v>21</v>
      </c>
      <c r="O165" s="32" t="s">
        <v>22</v>
      </c>
      <c r="P165" s="33" t="s">
        <v>23</v>
      </c>
      <c r="Q165" s="37" t="s">
        <v>24</v>
      </c>
      <c r="R165" s="32" t="s">
        <v>25</v>
      </c>
    </row>
    <row r="166" spans="1:18" ht="15" customHeight="1" x14ac:dyDescent="0.3">
      <c r="A166" s="8" t="s">
        <v>41</v>
      </c>
      <c r="B166" s="8" t="s">
        <v>42</v>
      </c>
      <c r="C166" s="9">
        <v>0.22916666666666671</v>
      </c>
      <c r="D166" s="8" t="s">
        <v>43</v>
      </c>
      <c r="E166" s="8" t="s">
        <v>139</v>
      </c>
      <c r="F166" s="8" t="s">
        <v>44</v>
      </c>
      <c r="G166" s="297"/>
      <c r="H166" s="10"/>
      <c r="I166" s="11"/>
      <c r="J166" s="11"/>
      <c r="K166" s="11"/>
      <c r="L166" s="11"/>
      <c r="M166" s="11"/>
      <c r="N166" s="11"/>
      <c r="O166" s="12"/>
      <c r="P166" s="11"/>
      <c r="Q166" s="13"/>
      <c r="R166" s="14"/>
    </row>
    <row r="167" spans="1:18" ht="15" customHeight="1" x14ac:dyDescent="0.3">
      <c r="A167" s="15" t="s">
        <v>41</v>
      </c>
      <c r="B167" s="15" t="s">
        <v>42</v>
      </c>
      <c r="C167" s="16">
        <v>0.22916666666666671</v>
      </c>
      <c r="D167" s="15" t="s">
        <v>45</v>
      </c>
      <c r="E167" s="15" t="s">
        <v>98</v>
      </c>
      <c r="F167" s="15" t="s">
        <v>35</v>
      </c>
      <c r="G167" s="298"/>
      <c r="H167" s="10"/>
      <c r="I167" s="11"/>
      <c r="J167" s="11"/>
      <c r="K167" s="11"/>
      <c r="L167" s="11"/>
      <c r="M167" s="11"/>
      <c r="N167" s="11"/>
      <c r="O167" s="12"/>
      <c r="P167" s="11"/>
      <c r="Q167" s="13"/>
      <c r="R167" s="14"/>
    </row>
    <row r="168" spans="1:18" ht="15" customHeight="1" x14ac:dyDescent="0.3">
      <c r="A168" s="15" t="s">
        <v>41</v>
      </c>
      <c r="B168" s="15" t="s">
        <v>42</v>
      </c>
      <c r="C168" s="16">
        <v>0.22916666666666671</v>
      </c>
      <c r="D168" s="15" t="s">
        <v>46</v>
      </c>
      <c r="E168" s="15" t="s">
        <v>98</v>
      </c>
      <c r="F168" s="15" t="s">
        <v>47</v>
      </c>
      <c r="G168" s="298"/>
      <c r="H168" s="10"/>
      <c r="I168" s="11"/>
      <c r="J168" s="11"/>
      <c r="K168" s="11"/>
      <c r="L168" s="11"/>
      <c r="M168" s="11"/>
      <c r="N168" s="11"/>
      <c r="O168" s="12"/>
      <c r="P168" s="11"/>
      <c r="Q168" s="13"/>
      <c r="R168" s="14"/>
    </row>
    <row r="169" spans="1:18" ht="15" customHeight="1" x14ac:dyDescent="0.3">
      <c r="A169" s="19" t="s">
        <v>26</v>
      </c>
      <c r="B169" s="19" t="s">
        <v>36</v>
      </c>
      <c r="C169" s="20">
        <v>0.60763888888888895</v>
      </c>
      <c r="D169" s="19" t="s">
        <v>28</v>
      </c>
      <c r="E169" s="19" t="s">
        <v>85</v>
      </c>
      <c r="F169" s="19" t="s">
        <v>149</v>
      </c>
      <c r="G169" s="298"/>
      <c r="H169" s="10"/>
      <c r="I169" s="11"/>
      <c r="J169" s="11"/>
      <c r="K169" s="11"/>
      <c r="L169" s="11"/>
      <c r="M169" s="11"/>
      <c r="N169" s="11"/>
      <c r="O169" s="12"/>
      <c r="P169" s="11"/>
      <c r="Q169" s="13"/>
      <c r="R169" s="14"/>
    </row>
    <row r="170" spans="1:18" ht="15" customHeight="1" x14ac:dyDescent="0.3">
      <c r="A170" s="15" t="s">
        <v>26</v>
      </c>
      <c r="B170" s="15" t="s">
        <v>36</v>
      </c>
      <c r="C170" s="16">
        <v>0.60763888888888895</v>
      </c>
      <c r="D170" s="15" t="s">
        <v>31</v>
      </c>
      <c r="E170" s="15" t="s">
        <v>87</v>
      </c>
      <c r="F170" s="15" t="s">
        <v>150</v>
      </c>
      <c r="G170" s="298"/>
      <c r="H170" s="10"/>
      <c r="I170" s="11"/>
      <c r="J170" s="11"/>
      <c r="K170" s="11"/>
      <c r="L170" s="11"/>
      <c r="M170" s="11"/>
      <c r="N170" s="11"/>
      <c r="O170" s="12"/>
      <c r="P170" s="11"/>
      <c r="Q170" s="13"/>
      <c r="R170" s="14"/>
    </row>
    <row r="171" spans="1:18" ht="15" customHeight="1" x14ac:dyDescent="0.3">
      <c r="A171" s="15" t="s">
        <v>26</v>
      </c>
      <c r="B171" s="15" t="s">
        <v>36</v>
      </c>
      <c r="C171" s="16">
        <v>0.60763888888888895</v>
      </c>
      <c r="D171" s="15" t="s">
        <v>34</v>
      </c>
      <c r="E171" s="15" t="s">
        <v>87</v>
      </c>
      <c r="F171" s="15" t="s">
        <v>151</v>
      </c>
      <c r="G171" s="298"/>
      <c r="H171" s="10"/>
      <c r="I171" s="11"/>
      <c r="J171" s="11"/>
      <c r="K171" s="11"/>
      <c r="L171" s="11"/>
      <c r="M171" s="11"/>
      <c r="N171" s="11"/>
      <c r="O171" s="12"/>
      <c r="P171" s="11"/>
      <c r="Q171" s="13"/>
      <c r="R171" s="14"/>
    </row>
    <row r="172" spans="1:18" ht="15" customHeight="1" x14ac:dyDescent="0.3">
      <c r="A172" s="19" t="s">
        <v>48</v>
      </c>
      <c r="B172" s="19" t="s">
        <v>53</v>
      </c>
      <c r="C172" s="20">
        <v>6.5972222222222224E-2</v>
      </c>
      <c r="D172" s="19" t="s">
        <v>50</v>
      </c>
      <c r="E172" s="19" t="s">
        <v>63</v>
      </c>
      <c r="F172" s="19" t="s">
        <v>56</v>
      </c>
      <c r="G172" s="298"/>
      <c r="H172" s="10"/>
      <c r="I172" s="11"/>
      <c r="J172" s="11"/>
      <c r="K172" s="11"/>
      <c r="L172" s="11"/>
      <c r="M172" s="11"/>
      <c r="N172" s="11"/>
      <c r="O172" s="12"/>
      <c r="P172" s="11"/>
      <c r="Q172" s="13"/>
      <c r="R172" s="14"/>
    </row>
    <row r="173" spans="1:18" ht="15" customHeight="1" x14ac:dyDescent="0.3">
      <c r="A173" s="17" t="s">
        <v>48</v>
      </c>
      <c r="B173" s="17" t="s">
        <v>55</v>
      </c>
      <c r="C173" s="18">
        <v>0.94097222222222221</v>
      </c>
      <c r="D173" s="17" t="s">
        <v>50</v>
      </c>
      <c r="E173" s="17" t="s">
        <v>54</v>
      </c>
      <c r="F173" s="17" t="s">
        <v>91</v>
      </c>
      <c r="G173" s="298"/>
      <c r="H173" s="10"/>
      <c r="I173" s="11"/>
      <c r="J173" s="11"/>
      <c r="K173" s="11"/>
      <c r="L173" s="11"/>
      <c r="M173" s="11"/>
      <c r="N173" s="11"/>
      <c r="O173" s="12"/>
      <c r="P173" s="11"/>
      <c r="Q173" s="13"/>
      <c r="R173" s="14"/>
    </row>
    <row r="174" spans="1:18" ht="15" customHeight="1" x14ac:dyDescent="0.3">
      <c r="A174" s="17" t="s">
        <v>48</v>
      </c>
      <c r="B174" s="17" t="s">
        <v>49</v>
      </c>
      <c r="C174" s="18">
        <v>0.69791666666666663</v>
      </c>
      <c r="D174" s="17" t="s">
        <v>50</v>
      </c>
      <c r="E174" s="17" t="s">
        <v>54</v>
      </c>
      <c r="F174" s="17" t="s">
        <v>91</v>
      </c>
      <c r="G174" s="298"/>
      <c r="H174" s="10"/>
      <c r="I174" s="11"/>
      <c r="J174" s="11"/>
      <c r="K174" s="11"/>
      <c r="L174" s="11"/>
      <c r="M174" s="11"/>
      <c r="N174" s="11"/>
      <c r="O174" s="12"/>
      <c r="P174" s="11"/>
      <c r="Q174" s="13"/>
      <c r="R174" s="14"/>
    </row>
    <row r="175" spans="1:18" ht="15" customHeight="1" x14ac:dyDescent="0.3">
      <c r="A175" s="19" t="s">
        <v>60</v>
      </c>
      <c r="B175" s="19" t="s">
        <v>68</v>
      </c>
      <c r="C175" s="20">
        <v>0.35069444444444442</v>
      </c>
      <c r="D175" s="19" t="s">
        <v>65</v>
      </c>
      <c r="E175" s="19" t="s">
        <v>63</v>
      </c>
      <c r="F175" s="19" t="s">
        <v>152</v>
      </c>
      <c r="G175" s="298"/>
      <c r="H175" s="10"/>
      <c r="I175" s="11"/>
      <c r="J175" s="11"/>
      <c r="K175" s="11"/>
      <c r="L175" s="11"/>
      <c r="M175" s="11"/>
      <c r="N175" s="11"/>
      <c r="O175" s="12"/>
      <c r="P175" s="11"/>
      <c r="Q175" s="13"/>
      <c r="R175" s="14"/>
    </row>
    <row r="176" spans="1:18" ht="15" customHeight="1" x14ac:dyDescent="0.3">
      <c r="A176" s="17" t="s">
        <v>60</v>
      </c>
      <c r="B176" s="17" t="s">
        <v>74</v>
      </c>
      <c r="C176" s="18">
        <v>0.89583333333333337</v>
      </c>
      <c r="D176" s="17" t="s">
        <v>65</v>
      </c>
      <c r="E176" s="17" t="s">
        <v>54</v>
      </c>
      <c r="F176" s="17" t="s">
        <v>152</v>
      </c>
      <c r="G176" s="298"/>
      <c r="H176" s="10"/>
      <c r="I176" s="11"/>
      <c r="J176" s="11"/>
      <c r="K176" s="11"/>
      <c r="L176" s="11"/>
      <c r="M176" s="11"/>
      <c r="N176" s="11"/>
      <c r="O176" s="12"/>
      <c r="P176" s="11"/>
      <c r="Q176" s="13"/>
      <c r="R176" s="14"/>
    </row>
    <row r="177" spans="1:18" ht="15" customHeight="1" x14ac:dyDescent="0.3">
      <c r="A177" s="17" t="s">
        <v>60</v>
      </c>
      <c r="B177" s="17" t="s">
        <v>61</v>
      </c>
      <c r="C177" s="18">
        <v>0.18402777777777779</v>
      </c>
      <c r="D177" s="17" t="s">
        <v>65</v>
      </c>
      <c r="E177" s="17" t="s">
        <v>54</v>
      </c>
      <c r="F177" s="17" t="s">
        <v>152</v>
      </c>
      <c r="G177" s="298"/>
      <c r="H177" s="10"/>
      <c r="I177" s="11"/>
      <c r="J177" s="11"/>
      <c r="K177" s="11"/>
      <c r="L177" s="11"/>
      <c r="M177" s="11"/>
      <c r="N177" s="11"/>
      <c r="O177" s="12"/>
      <c r="P177" s="11"/>
      <c r="Q177" s="13"/>
      <c r="R177" s="14"/>
    </row>
    <row r="178" spans="1:18" ht="15" customHeight="1" thickBot="1" x14ac:dyDescent="0.35">
      <c r="A178" s="39" t="s">
        <v>60</v>
      </c>
      <c r="B178" s="39" t="s">
        <v>71</v>
      </c>
      <c r="C178" s="40">
        <v>0.22916666666666671</v>
      </c>
      <c r="D178" s="39" t="s">
        <v>65</v>
      </c>
      <c r="E178" s="39" t="s">
        <v>72</v>
      </c>
      <c r="F178" s="39" t="s">
        <v>134</v>
      </c>
      <c r="G178" s="299"/>
      <c r="H178" s="41"/>
      <c r="I178" s="42"/>
      <c r="J178" s="42"/>
      <c r="K178" s="42"/>
      <c r="L178" s="42"/>
      <c r="M178" s="42"/>
      <c r="N178" s="42"/>
      <c r="O178" s="43"/>
      <c r="P178" s="42"/>
      <c r="Q178" s="44"/>
      <c r="R178" s="45"/>
    </row>
    <row r="179" spans="1:18" ht="17.399999999999999" customHeight="1" thickBot="1" x14ac:dyDescent="0.35">
      <c r="A179" s="329"/>
      <c r="B179" s="330"/>
      <c r="C179" s="330"/>
      <c r="D179" s="330"/>
      <c r="E179" s="330"/>
      <c r="F179" s="330"/>
      <c r="G179" s="330"/>
      <c r="H179" s="330"/>
      <c r="I179" s="330"/>
      <c r="J179" s="330"/>
      <c r="K179" s="330"/>
      <c r="L179" s="330"/>
      <c r="M179" s="330"/>
      <c r="N179" s="330"/>
      <c r="O179" s="330"/>
      <c r="P179" s="330"/>
      <c r="Q179" s="330"/>
      <c r="R179" s="331"/>
    </row>
    <row r="180" spans="1:18" ht="22.05" customHeight="1" thickTop="1" thickBot="1" x14ac:dyDescent="0.35">
      <c r="A180" s="300" t="s">
        <v>6</v>
      </c>
      <c r="B180" s="295"/>
      <c r="C180" s="295"/>
      <c r="D180" s="295"/>
      <c r="E180" s="295"/>
      <c r="F180" s="296"/>
      <c r="G180" s="31">
        <v>45990</v>
      </c>
      <c r="H180" s="294" t="s">
        <v>7</v>
      </c>
      <c r="I180" s="295"/>
      <c r="J180" s="295"/>
      <c r="K180" s="295"/>
      <c r="L180" s="295"/>
      <c r="M180" s="295"/>
      <c r="N180" s="295"/>
      <c r="O180" s="295"/>
      <c r="P180" s="295"/>
      <c r="Q180" s="295"/>
      <c r="R180" s="296"/>
    </row>
    <row r="181" spans="1:18" ht="24" customHeight="1" x14ac:dyDescent="0.3">
      <c r="A181" s="32" t="s">
        <v>8</v>
      </c>
      <c r="B181" s="32" t="s">
        <v>9</v>
      </c>
      <c r="C181" s="33" t="s">
        <v>10</v>
      </c>
      <c r="D181" s="32" t="s">
        <v>11</v>
      </c>
      <c r="E181" s="32" t="s">
        <v>12</v>
      </c>
      <c r="F181" s="34" t="s">
        <v>13</v>
      </c>
      <c r="G181" s="35" t="s">
        <v>14</v>
      </c>
      <c r="H181" s="32" t="s">
        <v>15</v>
      </c>
      <c r="I181" s="36" t="s">
        <v>16</v>
      </c>
      <c r="J181" s="37" t="s">
        <v>17</v>
      </c>
      <c r="K181" s="38" t="s">
        <v>18</v>
      </c>
      <c r="L181" s="37" t="s">
        <v>19</v>
      </c>
      <c r="M181" s="37" t="s">
        <v>20</v>
      </c>
      <c r="N181" s="37" t="s">
        <v>21</v>
      </c>
      <c r="O181" s="32" t="s">
        <v>22</v>
      </c>
      <c r="P181" s="33" t="s">
        <v>23</v>
      </c>
      <c r="Q181" s="37" t="s">
        <v>24</v>
      </c>
      <c r="R181" s="32" t="s">
        <v>25</v>
      </c>
    </row>
    <row r="182" spans="1:18" ht="15" customHeight="1" x14ac:dyDescent="0.3">
      <c r="A182" s="8" t="s">
        <v>41</v>
      </c>
      <c r="B182" s="8" t="s">
        <v>42</v>
      </c>
      <c r="C182" s="9">
        <v>0.22916666666666671</v>
      </c>
      <c r="D182" s="8" t="s">
        <v>43</v>
      </c>
      <c r="E182" s="8" t="s">
        <v>51</v>
      </c>
      <c r="F182" s="8" t="s">
        <v>33</v>
      </c>
      <c r="G182" s="297"/>
      <c r="H182" s="10"/>
      <c r="I182" s="11"/>
      <c r="J182" s="11"/>
      <c r="K182" s="11"/>
      <c r="L182" s="11"/>
      <c r="M182" s="11"/>
      <c r="N182" s="11"/>
      <c r="O182" s="12"/>
      <c r="P182" s="11"/>
      <c r="Q182" s="13"/>
      <c r="R182" s="14"/>
    </row>
    <row r="183" spans="1:18" ht="15" customHeight="1" x14ac:dyDescent="0.3">
      <c r="A183" s="15" t="s">
        <v>41</v>
      </c>
      <c r="B183" s="15" t="s">
        <v>42</v>
      </c>
      <c r="C183" s="16">
        <v>0.22916666666666671</v>
      </c>
      <c r="D183" s="15" t="s">
        <v>45</v>
      </c>
      <c r="E183" s="15" t="s">
        <v>133</v>
      </c>
      <c r="F183" s="15" t="s">
        <v>132</v>
      </c>
      <c r="G183" s="298"/>
      <c r="H183" s="10"/>
      <c r="I183" s="11"/>
      <c r="J183" s="11"/>
      <c r="K183" s="11"/>
      <c r="L183" s="11"/>
      <c r="M183" s="11"/>
      <c r="N183" s="11"/>
      <c r="O183" s="12"/>
      <c r="P183" s="11"/>
      <c r="Q183" s="13"/>
      <c r="R183" s="14"/>
    </row>
    <row r="184" spans="1:18" ht="15" customHeight="1" x14ac:dyDescent="0.3">
      <c r="A184" s="15" t="s">
        <v>41</v>
      </c>
      <c r="B184" s="15" t="s">
        <v>42</v>
      </c>
      <c r="C184" s="16">
        <v>0.22916666666666671</v>
      </c>
      <c r="D184" s="15" t="s">
        <v>46</v>
      </c>
      <c r="E184" s="15" t="s">
        <v>133</v>
      </c>
      <c r="F184" s="15" t="s">
        <v>47</v>
      </c>
      <c r="G184" s="298"/>
      <c r="H184" s="10"/>
      <c r="I184" s="11"/>
      <c r="J184" s="11"/>
      <c r="K184" s="11"/>
      <c r="L184" s="11"/>
      <c r="M184" s="11"/>
      <c r="N184" s="11"/>
      <c r="O184" s="12"/>
      <c r="P184" s="11"/>
      <c r="Q184" s="13"/>
      <c r="R184" s="14"/>
    </row>
    <row r="185" spans="1:18" ht="15" customHeight="1" x14ac:dyDescent="0.3">
      <c r="A185" s="19" t="s">
        <v>26</v>
      </c>
      <c r="B185" s="19" t="s">
        <v>27</v>
      </c>
      <c r="C185" s="20">
        <v>0.43402777777777768</v>
      </c>
      <c r="D185" s="19" t="s">
        <v>28</v>
      </c>
      <c r="E185" s="19" t="s">
        <v>83</v>
      </c>
      <c r="F185" s="19" t="s">
        <v>153</v>
      </c>
      <c r="G185" s="298"/>
      <c r="H185" s="10"/>
      <c r="I185" s="11"/>
      <c r="J185" s="11"/>
      <c r="K185" s="11"/>
      <c r="L185" s="11"/>
      <c r="M185" s="11"/>
      <c r="N185" s="11"/>
      <c r="O185" s="12"/>
      <c r="P185" s="11"/>
      <c r="Q185" s="13"/>
      <c r="R185" s="14"/>
    </row>
    <row r="186" spans="1:18" ht="15" customHeight="1" x14ac:dyDescent="0.3">
      <c r="A186" s="15" t="s">
        <v>26</v>
      </c>
      <c r="B186" s="15" t="s">
        <v>27</v>
      </c>
      <c r="C186" s="16">
        <v>0.43402777777777768</v>
      </c>
      <c r="D186" s="15" t="s">
        <v>31</v>
      </c>
      <c r="E186" s="15" t="s">
        <v>84</v>
      </c>
      <c r="F186" s="15" t="s">
        <v>154</v>
      </c>
      <c r="G186" s="298"/>
      <c r="H186" s="10"/>
      <c r="I186" s="11"/>
      <c r="J186" s="11"/>
      <c r="K186" s="11"/>
      <c r="L186" s="11"/>
      <c r="M186" s="11"/>
      <c r="N186" s="11"/>
      <c r="O186" s="12"/>
      <c r="P186" s="11"/>
      <c r="Q186" s="13"/>
      <c r="R186" s="14"/>
    </row>
    <row r="187" spans="1:18" ht="15" customHeight="1" x14ac:dyDescent="0.3">
      <c r="A187" s="15" t="s">
        <v>26</v>
      </c>
      <c r="B187" s="15" t="s">
        <v>27</v>
      </c>
      <c r="C187" s="16">
        <v>0.43402777777777768</v>
      </c>
      <c r="D187" s="15" t="s">
        <v>34</v>
      </c>
      <c r="E187" s="15" t="s">
        <v>84</v>
      </c>
      <c r="F187" s="15" t="s">
        <v>47</v>
      </c>
      <c r="G187" s="298"/>
      <c r="H187" s="10"/>
      <c r="I187" s="11"/>
      <c r="J187" s="11"/>
      <c r="K187" s="11"/>
      <c r="L187" s="11"/>
      <c r="M187" s="11"/>
      <c r="N187" s="11"/>
      <c r="O187" s="12"/>
      <c r="P187" s="11"/>
      <c r="Q187" s="13"/>
      <c r="R187" s="14"/>
    </row>
    <row r="188" spans="1:18" ht="15" customHeight="1" x14ac:dyDescent="0.3">
      <c r="A188" s="17" t="s">
        <v>26</v>
      </c>
      <c r="B188" s="17" t="s">
        <v>36</v>
      </c>
      <c r="C188" s="18">
        <v>0.60763888888888895</v>
      </c>
      <c r="D188" s="17" t="s">
        <v>28</v>
      </c>
      <c r="E188" s="17" t="s">
        <v>58</v>
      </c>
      <c r="F188" s="17" t="s">
        <v>149</v>
      </c>
      <c r="G188" s="298"/>
      <c r="H188" s="10"/>
      <c r="I188" s="11"/>
      <c r="J188" s="11"/>
      <c r="K188" s="11"/>
      <c r="L188" s="11"/>
      <c r="M188" s="11"/>
      <c r="N188" s="11"/>
      <c r="O188" s="12"/>
      <c r="P188" s="11"/>
      <c r="Q188" s="13"/>
      <c r="R188" s="14"/>
    </row>
    <row r="189" spans="1:18" ht="15" customHeight="1" x14ac:dyDescent="0.3">
      <c r="A189" s="15" t="s">
        <v>26</v>
      </c>
      <c r="B189" s="15" t="s">
        <v>36</v>
      </c>
      <c r="C189" s="16">
        <v>0.60763888888888895</v>
      </c>
      <c r="D189" s="15" t="s">
        <v>31</v>
      </c>
      <c r="E189" s="15" t="s">
        <v>119</v>
      </c>
      <c r="F189" s="15" t="s">
        <v>150</v>
      </c>
      <c r="G189" s="298"/>
      <c r="H189" s="10"/>
      <c r="I189" s="11"/>
      <c r="J189" s="11"/>
      <c r="K189" s="11"/>
      <c r="L189" s="11"/>
      <c r="M189" s="11"/>
      <c r="N189" s="11"/>
      <c r="O189" s="12"/>
      <c r="P189" s="11"/>
      <c r="Q189" s="13"/>
      <c r="R189" s="14"/>
    </row>
    <row r="190" spans="1:18" ht="15" customHeight="1" x14ac:dyDescent="0.3">
      <c r="A190" s="15" t="s">
        <v>26</v>
      </c>
      <c r="B190" s="15" t="s">
        <v>36</v>
      </c>
      <c r="C190" s="16">
        <v>0.60763888888888895</v>
      </c>
      <c r="D190" s="15" t="s">
        <v>34</v>
      </c>
      <c r="E190" s="15" t="s">
        <v>119</v>
      </c>
      <c r="F190" s="15" t="s">
        <v>151</v>
      </c>
      <c r="G190" s="298"/>
      <c r="H190" s="10"/>
      <c r="I190" s="11"/>
      <c r="J190" s="11"/>
      <c r="K190" s="11"/>
      <c r="L190" s="11"/>
      <c r="M190" s="11"/>
      <c r="N190" s="11"/>
      <c r="O190" s="12"/>
      <c r="P190" s="11"/>
      <c r="Q190" s="13"/>
      <c r="R190" s="14"/>
    </row>
    <row r="191" spans="1:18" ht="15" customHeight="1" x14ac:dyDescent="0.3">
      <c r="A191" s="19" t="s">
        <v>48</v>
      </c>
      <c r="B191" s="19" t="s">
        <v>53</v>
      </c>
      <c r="C191" s="20">
        <v>6.5972222222222224E-2</v>
      </c>
      <c r="D191" s="19" t="s">
        <v>50</v>
      </c>
      <c r="E191" s="19" t="s">
        <v>63</v>
      </c>
      <c r="F191" s="19" t="s">
        <v>56</v>
      </c>
      <c r="G191" s="298"/>
      <c r="H191" s="10"/>
      <c r="I191" s="11"/>
      <c r="J191" s="11"/>
      <c r="K191" s="11"/>
      <c r="L191" s="11"/>
      <c r="M191" s="11"/>
      <c r="N191" s="11"/>
      <c r="O191" s="12"/>
      <c r="P191" s="11"/>
      <c r="Q191" s="13"/>
      <c r="R191" s="14"/>
    </row>
    <row r="192" spans="1:18" ht="15" customHeight="1" x14ac:dyDescent="0.3">
      <c r="A192" s="17" t="s">
        <v>48</v>
      </c>
      <c r="B192" s="17" t="s">
        <v>55</v>
      </c>
      <c r="C192" s="18">
        <v>0.94097222222222221</v>
      </c>
      <c r="D192" s="17" t="s">
        <v>50</v>
      </c>
      <c r="E192" s="17" t="s">
        <v>54</v>
      </c>
      <c r="F192" s="17" t="s">
        <v>91</v>
      </c>
      <c r="G192" s="298"/>
      <c r="H192" s="10"/>
      <c r="I192" s="11"/>
      <c r="J192" s="11"/>
      <c r="K192" s="11"/>
      <c r="L192" s="11"/>
      <c r="M192" s="11"/>
      <c r="N192" s="11"/>
      <c r="O192" s="12"/>
      <c r="P192" s="11"/>
      <c r="Q192" s="13"/>
      <c r="R192" s="14"/>
    </row>
    <row r="193" spans="1:18" ht="15" customHeight="1" x14ac:dyDescent="0.3">
      <c r="A193" s="17" t="s">
        <v>48</v>
      </c>
      <c r="B193" s="17" t="s">
        <v>57</v>
      </c>
      <c r="C193" s="18">
        <v>0.28819444444444448</v>
      </c>
      <c r="D193" s="17" t="s">
        <v>50</v>
      </c>
      <c r="E193" s="17" t="s">
        <v>54</v>
      </c>
      <c r="F193" s="17" t="s">
        <v>91</v>
      </c>
      <c r="G193" s="298"/>
      <c r="H193" s="10"/>
      <c r="I193" s="11"/>
      <c r="J193" s="11"/>
      <c r="K193" s="11"/>
      <c r="L193" s="11"/>
      <c r="M193" s="11"/>
      <c r="N193" s="11"/>
      <c r="O193" s="12"/>
      <c r="P193" s="11"/>
      <c r="Q193" s="13"/>
      <c r="R193" s="14"/>
    </row>
    <row r="194" spans="1:18" ht="15" customHeight="1" x14ac:dyDescent="0.3">
      <c r="A194" s="17" t="s">
        <v>48</v>
      </c>
      <c r="B194" s="17" t="s">
        <v>49</v>
      </c>
      <c r="C194" s="18">
        <v>0.69791666666666663</v>
      </c>
      <c r="D194" s="17" t="s">
        <v>50</v>
      </c>
      <c r="E194" s="17" t="s">
        <v>54</v>
      </c>
      <c r="F194" s="17" t="s">
        <v>125</v>
      </c>
      <c r="G194" s="298"/>
      <c r="H194" s="10"/>
      <c r="I194" s="11"/>
      <c r="J194" s="11"/>
      <c r="K194" s="11"/>
      <c r="L194" s="11"/>
      <c r="M194" s="11"/>
      <c r="N194" s="11"/>
      <c r="O194" s="12"/>
      <c r="P194" s="11"/>
      <c r="Q194" s="13"/>
      <c r="R194" s="14"/>
    </row>
    <row r="195" spans="1:18" ht="15" customHeight="1" x14ac:dyDescent="0.3">
      <c r="A195" s="17" t="s">
        <v>48</v>
      </c>
      <c r="B195" s="17" t="s">
        <v>90</v>
      </c>
      <c r="C195" s="18">
        <v>0.33680555555555558</v>
      </c>
      <c r="D195" s="17" t="s">
        <v>50</v>
      </c>
      <c r="E195" s="17" t="s">
        <v>54</v>
      </c>
      <c r="F195" s="17" t="s">
        <v>59</v>
      </c>
      <c r="G195" s="298"/>
      <c r="H195" s="10"/>
      <c r="I195" s="11"/>
      <c r="J195" s="11"/>
      <c r="K195" s="11"/>
      <c r="L195" s="11"/>
      <c r="M195" s="11"/>
      <c r="N195" s="11"/>
      <c r="O195" s="12"/>
      <c r="P195" s="11"/>
      <c r="Q195" s="13"/>
      <c r="R195" s="14"/>
    </row>
    <row r="196" spans="1:18" ht="15" customHeight="1" x14ac:dyDescent="0.3">
      <c r="A196" s="19" t="s">
        <v>60</v>
      </c>
      <c r="B196" s="19" t="s">
        <v>74</v>
      </c>
      <c r="C196" s="20">
        <v>0.89583333333333337</v>
      </c>
      <c r="D196" s="19" t="s">
        <v>65</v>
      </c>
      <c r="E196" s="19" t="s">
        <v>63</v>
      </c>
      <c r="F196" s="19" t="s">
        <v>152</v>
      </c>
      <c r="G196" s="298"/>
      <c r="H196" s="10"/>
      <c r="I196" s="11"/>
      <c r="J196" s="11"/>
      <c r="K196" s="11"/>
      <c r="L196" s="11"/>
      <c r="M196" s="11"/>
      <c r="N196" s="11"/>
      <c r="O196" s="12"/>
      <c r="P196" s="11"/>
      <c r="Q196" s="13"/>
      <c r="R196" s="14"/>
    </row>
    <row r="197" spans="1:18" ht="15" customHeight="1" x14ac:dyDescent="0.3">
      <c r="A197" s="17" t="s">
        <v>60</v>
      </c>
      <c r="B197" s="17" t="s">
        <v>68</v>
      </c>
      <c r="C197" s="18">
        <v>0.35416666666666669</v>
      </c>
      <c r="D197" s="17" t="s">
        <v>65</v>
      </c>
      <c r="E197" s="17" t="s">
        <v>54</v>
      </c>
      <c r="F197" s="17" t="s">
        <v>73</v>
      </c>
      <c r="G197" s="298"/>
      <c r="H197" s="10"/>
      <c r="I197" s="11"/>
      <c r="J197" s="11"/>
      <c r="K197" s="11"/>
      <c r="L197" s="11"/>
      <c r="M197" s="11"/>
      <c r="N197" s="11"/>
      <c r="O197" s="12"/>
      <c r="P197" s="11"/>
      <c r="Q197" s="13"/>
      <c r="R197" s="14"/>
    </row>
    <row r="198" spans="1:18" ht="15" customHeight="1" x14ac:dyDescent="0.3">
      <c r="A198" s="17" t="s">
        <v>60</v>
      </c>
      <c r="B198" s="17" t="s">
        <v>61</v>
      </c>
      <c r="C198" s="18">
        <v>0.18402777777777779</v>
      </c>
      <c r="D198" s="17" t="s">
        <v>65</v>
      </c>
      <c r="E198" s="17" t="s">
        <v>54</v>
      </c>
      <c r="F198" s="17" t="s">
        <v>73</v>
      </c>
      <c r="G198" s="298"/>
      <c r="H198" s="10"/>
      <c r="I198" s="11"/>
      <c r="J198" s="11"/>
      <c r="K198" s="11"/>
      <c r="L198" s="11"/>
      <c r="M198" s="11"/>
      <c r="N198" s="11"/>
      <c r="O198" s="12"/>
      <c r="P198" s="11"/>
      <c r="Q198" s="13"/>
      <c r="R198" s="14"/>
    </row>
    <row r="199" spans="1:18" ht="15" customHeight="1" x14ac:dyDescent="0.3">
      <c r="A199" s="17" t="s">
        <v>60</v>
      </c>
      <c r="B199" s="17" t="s">
        <v>71</v>
      </c>
      <c r="C199" s="18">
        <v>0.22916666666666671</v>
      </c>
      <c r="D199" s="17" t="s">
        <v>65</v>
      </c>
      <c r="E199" s="17" t="s">
        <v>72</v>
      </c>
      <c r="F199" s="17" t="s">
        <v>134</v>
      </c>
      <c r="G199" s="298"/>
      <c r="H199" s="10"/>
      <c r="I199" s="11"/>
      <c r="J199" s="11"/>
      <c r="K199" s="11"/>
      <c r="L199" s="11"/>
      <c r="M199" s="11"/>
      <c r="N199" s="11"/>
      <c r="O199" s="12"/>
      <c r="P199" s="11"/>
      <c r="Q199" s="13"/>
      <c r="R199" s="14"/>
    </row>
    <row r="200" spans="1:18" ht="15" customHeight="1" thickBot="1" x14ac:dyDescent="0.35">
      <c r="A200" s="88" t="s">
        <v>77</v>
      </c>
      <c r="B200" s="88" t="s">
        <v>78</v>
      </c>
      <c r="C200" s="89">
        <v>0.2361111111111111</v>
      </c>
      <c r="D200" s="88" t="s">
        <v>79</v>
      </c>
      <c r="E200" s="90"/>
      <c r="F200" s="88" t="s">
        <v>80</v>
      </c>
      <c r="G200" s="299"/>
      <c r="H200" s="91" t="s">
        <v>78</v>
      </c>
      <c r="I200" s="92">
        <v>0.99439999999999995</v>
      </c>
      <c r="J200" s="93">
        <v>179</v>
      </c>
      <c r="K200" s="94">
        <v>45977</v>
      </c>
      <c r="L200" s="93">
        <v>2</v>
      </c>
      <c r="M200" s="93">
        <v>0</v>
      </c>
      <c r="N200" s="93">
        <v>0</v>
      </c>
      <c r="O200" s="95" t="s">
        <v>81</v>
      </c>
      <c r="P200" s="96">
        <v>0.2361111111111111</v>
      </c>
      <c r="Q200" s="93">
        <v>180</v>
      </c>
      <c r="R200" s="97" t="s">
        <v>155</v>
      </c>
    </row>
    <row r="201" spans="1:18" ht="17.399999999999999" customHeight="1" thickBot="1" x14ac:dyDescent="0.35">
      <c r="A201" s="329"/>
      <c r="B201" s="330"/>
      <c r="C201" s="330"/>
      <c r="D201" s="330"/>
      <c r="E201" s="330"/>
      <c r="F201" s="330"/>
      <c r="G201" s="330"/>
      <c r="H201" s="330"/>
      <c r="I201" s="330"/>
      <c r="J201" s="330"/>
      <c r="K201" s="330"/>
      <c r="L201" s="330"/>
      <c r="M201" s="330"/>
      <c r="N201" s="330"/>
      <c r="O201" s="330"/>
      <c r="P201" s="330"/>
      <c r="Q201" s="330"/>
      <c r="R201" s="331"/>
    </row>
    <row r="202" spans="1:18" ht="22.05" customHeight="1" thickTop="1" thickBot="1" x14ac:dyDescent="0.35">
      <c r="A202" s="300" t="s">
        <v>6</v>
      </c>
      <c r="B202" s="295"/>
      <c r="C202" s="295"/>
      <c r="D202" s="295"/>
      <c r="E202" s="295"/>
      <c r="F202" s="296"/>
      <c r="G202" s="31">
        <v>45991</v>
      </c>
      <c r="H202" s="294" t="s">
        <v>7</v>
      </c>
      <c r="I202" s="295"/>
      <c r="J202" s="295"/>
      <c r="K202" s="295"/>
      <c r="L202" s="295"/>
      <c r="M202" s="295"/>
      <c r="N202" s="295"/>
      <c r="O202" s="295"/>
      <c r="P202" s="295"/>
      <c r="Q202" s="295"/>
      <c r="R202" s="296"/>
    </row>
    <row r="203" spans="1:18" ht="24" customHeight="1" x14ac:dyDescent="0.3">
      <c r="A203" s="32" t="s">
        <v>8</v>
      </c>
      <c r="B203" s="32" t="s">
        <v>9</v>
      </c>
      <c r="C203" s="33" t="s">
        <v>10</v>
      </c>
      <c r="D203" s="32" t="s">
        <v>11</v>
      </c>
      <c r="E203" s="32" t="s">
        <v>12</v>
      </c>
      <c r="F203" s="34" t="s">
        <v>13</v>
      </c>
      <c r="G203" s="35" t="s">
        <v>14</v>
      </c>
      <c r="H203" s="32" t="s">
        <v>15</v>
      </c>
      <c r="I203" s="36" t="s">
        <v>16</v>
      </c>
      <c r="J203" s="37" t="s">
        <v>17</v>
      </c>
      <c r="K203" s="38" t="s">
        <v>18</v>
      </c>
      <c r="L203" s="37" t="s">
        <v>19</v>
      </c>
      <c r="M203" s="37" t="s">
        <v>20</v>
      </c>
      <c r="N203" s="37" t="s">
        <v>21</v>
      </c>
      <c r="O203" s="32" t="s">
        <v>22</v>
      </c>
      <c r="P203" s="33" t="s">
        <v>23</v>
      </c>
      <c r="Q203" s="37" t="s">
        <v>24</v>
      </c>
      <c r="R203" s="32" t="s">
        <v>25</v>
      </c>
    </row>
    <row r="204" spans="1:18" ht="15" customHeight="1" x14ac:dyDescent="0.3">
      <c r="A204" s="8" t="s">
        <v>41</v>
      </c>
      <c r="B204" s="8" t="s">
        <v>42</v>
      </c>
      <c r="C204" s="9">
        <v>0.22916666666666671</v>
      </c>
      <c r="D204" s="8" t="s">
        <v>43</v>
      </c>
      <c r="E204" s="8" t="s">
        <v>138</v>
      </c>
      <c r="F204" s="8" t="s">
        <v>154</v>
      </c>
      <c r="G204" s="297"/>
      <c r="H204" s="10"/>
      <c r="I204" s="11"/>
      <c r="J204" s="11"/>
      <c r="K204" s="11"/>
      <c r="L204" s="11"/>
      <c r="M204" s="11"/>
      <c r="N204" s="11"/>
      <c r="O204" s="12"/>
      <c r="P204" s="11"/>
      <c r="Q204" s="13"/>
      <c r="R204" s="14"/>
    </row>
    <row r="205" spans="1:18" ht="15" customHeight="1" x14ac:dyDescent="0.3">
      <c r="A205" s="15" t="s">
        <v>41</v>
      </c>
      <c r="B205" s="15" t="s">
        <v>42</v>
      </c>
      <c r="C205" s="16">
        <v>0.22916666666666671</v>
      </c>
      <c r="D205" s="15" t="s">
        <v>45</v>
      </c>
      <c r="E205" s="15" t="s">
        <v>38</v>
      </c>
      <c r="F205" s="15" t="s">
        <v>124</v>
      </c>
      <c r="G205" s="298"/>
      <c r="H205" s="10"/>
      <c r="I205" s="11"/>
      <c r="J205" s="11"/>
      <c r="K205" s="11"/>
      <c r="L205" s="11"/>
      <c r="M205" s="11"/>
      <c r="N205" s="11"/>
      <c r="O205" s="12"/>
      <c r="P205" s="11"/>
      <c r="Q205" s="13"/>
      <c r="R205" s="14"/>
    </row>
    <row r="206" spans="1:18" ht="15" customHeight="1" x14ac:dyDescent="0.3">
      <c r="A206" s="15" t="s">
        <v>41</v>
      </c>
      <c r="B206" s="15" t="s">
        <v>42</v>
      </c>
      <c r="C206" s="16">
        <v>0.22916666666666671</v>
      </c>
      <c r="D206" s="15" t="s">
        <v>46</v>
      </c>
      <c r="E206" s="15" t="s">
        <v>38</v>
      </c>
      <c r="F206" s="15" t="s">
        <v>120</v>
      </c>
      <c r="G206" s="298"/>
      <c r="H206" s="10"/>
      <c r="I206" s="11"/>
      <c r="J206" s="11"/>
      <c r="K206" s="11"/>
      <c r="L206" s="11"/>
      <c r="M206" s="11"/>
      <c r="N206" s="11"/>
      <c r="O206" s="12"/>
      <c r="P206" s="11"/>
      <c r="Q206" s="13"/>
      <c r="R206" s="14"/>
    </row>
    <row r="207" spans="1:18" ht="15" customHeight="1" x14ac:dyDescent="0.3">
      <c r="A207" s="19" t="s">
        <v>26</v>
      </c>
      <c r="B207" s="19" t="s">
        <v>36</v>
      </c>
      <c r="C207" s="20">
        <v>0.60763888888888895</v>
      </c>
      <c r="D207" s="19" t="s">
        <v>28</v>
      </c>
      <c r="E207" s="19" t="s">
        <v>83</v>
      </c>
      <c r="F207" s="19" t="s">
        <v>149</v>
      </c>
      <c r="G207" s="298"/>
      <c r="H207" s="10"/>
      <c r="I207" s="11"/>
      <c r="J207" s="11"/>
      <c r="K207" s="11"/>
      <c r="L207" s="11"/>
      <c r="M207" s="11"/>
      <c r="N207" s="11"/>
      <c r="O207" s="12"/>
      <c r="P207" s="11"/>
      <c r="Q207" s="13"/>
      <c r="R207" s="14"/>
    </row>
    <row r="208" spans="1:18" ht="15" customHeight="1" x14ac:dyDescent="0.3">
      <c r="A208" s="15" t="s">
        <v>26</v>
      </c>
      <c r="B208" s="15" t="s">
        <v>36</v>
      </c>
      <c r="C208" s="16">
        <v>0.60763888888888895</v>
      </c>
      <c r="D208" s="15" t="s">
        <v>31</v>
      </c>
      <c r="E208" s="15" t="s">
        <v>84</v>
      </c>
      <c r="F208" s="15" t="s">
        <v>150</v>
      </c>
      <c r="G208" s="298"/>
      <c r="H208" s="10"/>
      <c r="I208" s="11"/>
      <c r="J208" s="11"/>
      <c r="K208" s="11"/>
      <c r="L208" s="11"/>
      <c r="M208" s="11"/>
      <c r="N208" s="11"/>
      <c r="O208" s="12"/>
      <c r="P208" s="11"/>
      <c r="Q208" s="13"/>
      <c r="R208" s="14"/>
    </row>
    <row r="209" spans="1:18" ht="15" customHeight="1" x14ac:dyDescent="0.3">
      <c r="A209" s="15" t="s">
        <v>26</v>
      </c>
      <c r="B209" s="15" t="s">
        <v>36</v>
      </c>
      <c r="C209" s="16">
        <v>0.60763888888888895</v>
      </c>
      <c r="D209" s="15" t="s">
        <v>34</v>
      </c>
      <c r="E209" s="15" t="s">
        <v>84</v>
      </c>
      <c r="F209" s="15" t="s">
        <v>151</v>
      </c>
      <c r="G209" s="298"/>
      <c r="H209" s="10"/>
      <c r="I209" s="11"/>
      <c r="J209" s="11"/>
      <c r="K209" s="11"/>
      <c r="L209" s="11"/>
      <c r="M209" s="11"/>
      <c r="N209" s="11"/>
      <c r="O209" s="12"/>
      <c r="P209" s="11"/>
      <c r="Q209" s="13"/>
      <c r="R209" s="14"/>
    </row>
    <row r="210" spans="1:18" ht="15" customHeight="1" x14ac:dyDescent="0.3">
      <c r="A210" s="19" t="s">
        <v>48</v>
      </c>
      <c r="B210" s="19" t="s">
        <v>55</v>
      </c>
      <c r="C210" s="20">
        <v>0.94097222222222221</v>
      </c>
      <c r="D210" s="19" t="s">
        <v>50</v>
      </c>
      <c r="E210" s="19" t="s">
        <v>63</v>
      </c>
      <c r="F210" s="19" t="s">
        <v>52</v>
      </c>
      <c r="G210" s="298"/>
      <c r="H210" s="10"/>
      <c r="I210" s="11"/>
      <c r="J210" s="11"/>
      <c r="K210" s="11"/>
      <c r="L210" s="11"/>
      <c r="M210" s="11"/>
      <c r="N210" s="11"/>
      <c r="O210" s="12"/>
      <c r="P210" s="11"/>
      <c r="Q210" s="13"/>
      <c r="R210" s="14"/>
    </row>
    <row r="211" spans="1:18" ht="15" customHeight="1" x14ac:dyDescent="0.3">
      <c r="A211" s="17" t="s">
        <v>48</v>
      </c>
      <c r="B211" s="17" t="s">
        <v>53</v>
      </c>
      <c r="C211" s="18">
        <v>6.5972222222222224E-2</v>
      </c>
      <c r="D211" s="17" t="s">
        <v>50</v>
      </c>
      <c r="E211" s="17" t="s">
        <v>54</v>
      </c>
      <c r="F211" s="17" t="s">
        <v>56</v>
      </c>
      <c r="G211" s="298"/>
      <c r="H211" s="10"/>
      <c r="I211" s="11"/>
      <c r="J211" s="11"/>
      <c r="K211" s="11"/>
      <c r="L211" s="11"/>
      <c r="M211" s="11"/>
      <c r="N211" s="11"/>
      <c r="O211" s="12"/>
      <c r="P211" s="11"/>
      <c r="Q211" s="13"/>
      <c r="R211" s="14"/>
    </row>
    <row r="212" spans="1:18" ht="15" customHeight="1" x14ac:dyDescent="0.3">
      <c r="A212" s="17" t="s">
        <v>48</v>
      </c>
      <c r="B212" s="17" t="s">
        <v>49</v>
      </c>
      <c r="C212" s="18">
        <v>0.69791666666666663</v>
      </c>
      <c r="D212" s="17" t="s">
        <v>50</v>
      </c>
      <c r="E212" s="17" t="s">
        <v>54</v>
      </c>
      <c r="F212" s="17" t="s">
        <v>156</v>
      </c>
      <c r="G212" s="298"/>
      <c r="H212" s="10"/>
      <c r="I212" s="11"/>
      <c r="J212" s="11"/>
      <c r="K212" s="11"/>
      <c r="L212" s="11"/>
      <c r="M212" s="11"/>
      <c r="N212" s="11"/>
      <c r="O212" s="12"/>
      <c r="P212" s="11"/>
      <c r="Q212" s="13"/>
      <c r="R212" s="14"/>
    </row>
    <row r="213" spans="1:18" ht="15" customHeight="1" x14ac:dyDescent="0.3">
      <c r="A213" s="19" t="s">
        <v>60</v>
      </c>
      <c r="B213" s="19" t="s">
        <v>68</v>
      </c>
      <c r="C213" s="20">
        <v>0.35069444444444442</v>
      </c>
      <c r="D213" s="19" t="s">
        <v>65</v>
      </c>
      <c r="E213" s="19" t="s">
        <v>85</v>
      </c>
      <c r="F213" s="19" t="s">
        <v>70</v>
      </c>
      <c r="G213" s="298"/>
      <c r="H213" s="10"/>
      <c r="I213" s="11"/>
      <c r="J213" s="11"/>
      <c r="K213" s="11"/>
      <c r="L213" s="11"/>
      <c r="M213" s="11"/>
      <c r="N213" s="11"/>
      <c r="O213" s="12"/>
      <c r="P213" s="11"/>
      <c r="Q213" s="13"/>
      <c r="R213" s="14"/>
    </row>
    <row r="214" spans="1:18" ht="15" customHeight="1" x14ac:dyDescent="0.3">
      <c r="A214" s="17" t="s">
        <v>60</v>
      </c>
      <c r="B214" s="17" t="s">
        <v>74</v>
      </c>
      <c r="C214" s="18">
        <v>0.89583333333333337</v>
      </c>
      <c r="D214" s="17" t="s">
        <v>65</v>
      </c>
      <c r="E214" s="17" t="s">
        <v>58</v>
      </c>
      <c r="F214" s="17" t="s">
        <v>70</v>
      </c>
      <c r="G214" s="298"/>
      <c r="H214" s="10"/>
      <c r="I214" s="11"/>
      <c r="J214" s="11"/>
      <c r="K214" s="11"/>
      <c r="L214" s="11"/>
      <c r="M214" s="11"/>
      <c r="N214" s="11"/>
      <c r="O214" s="12"/>
      <c r="P214" s="11"/>
      <c r="Q214" s="13"/>
      <c r="R214" s="14"/>
    </row>
    <row r="215" spans="1:18" ht="15" customHeight="1" x14ac:dyDescent="0.3">
      <c r="A215" s="17" t="s">
        <v>60</v>
      </c>
      <c r="B215" s="17" t="s">
        <v>61</v>
      </c>
      <c r="C215" s="18">
        <v>0.18402777777777779</v>
      </c>
      <c r="D215" s="17" t="s">
        <v>65</v>
      </c>
      <c r="E215" s="17" t="s">
        <v>54</v>
      </c>
      <c r="F215" s="17" t="s">
        <v>70</v>
      </c>
      <c r="G215" s="298"/>
      <c r="H215" s="10"/>
      <c r="I215" s="11"/>
      <c r="J215" s="11"/>
      <c r="K215" s="11"/>
      <c r="L215" s="11"/>
      <c r="M215" s="11"/>
      <c r="N215" s="11"/>
      <c r="O215" s="12"/>
      <c r="P215" s="11"/>
      <c r="Q215" s="13"/>
      <c r="R215" s="14"/>
    </row>
    <row r="216" spans="1:18" ht="15" customHeight="1" x14ac:dyDescent="0.3">
      <c r="A216" s="17" t="s">
        <v>60</v>
      </c>
      <c r="B216" s="17" t="s">
        <v>71</v>
      </c>
      <c r="C216" s="18">
        <v>0.22916666666666671</v>
      </c>
      <c r="D216" s="17" t="s">
        <v>65</v>
      </c>
      <c r="E216" s="17" t="s">
        <v>72</v>
      </c>
      <c r="F216" s="17" t="s">
        <v>147</v>
      </c>
      <c r="G216" s="298"/>
      <c r="H216" s="10"/>
      <c r="I216" s="11"/>
      <c r="J216" s="11"/>
      <c r="K216" s="11"/>
      <c r="L216" s="11"/>
      <c r="M216" s="11"/>
      <c r="N216" s="11"/>
      <c r="O216" s="12"/>
      <c r="P216" s="11"/>
      <c r="Q216" s="13"/>
      <c r="R216" s="14"/>
    </row>
    <row r="217" spans="1:18" ht="15" customHeight="1" x14ac:dyDescent="0.3">
      <c r="A217" s="46" t="s">
        <v>77</v>
      </c>
      <c r="B217" s="46" t="s">
        <v>78</v>
      </c>
      <c r="C217" s="47">
        <v>0.74305555555555547</v>
      </c>
      <c r="D217" s="46" t="s">
        <v>79</v>
      </c>
      <c r="E217" s="98"/>
      <c r="F217" s="46" t="s">
        <v>80</v>
      </c>
      <c r="G217" s="299"/>
      <c r="H217" s="48" t="s">
        <v>78</v>
      </c>
      <c r="I217" s="49">
        <v>1</v>
      </c>
      <c r="J217" s="50">
        <v>180</v>
      </c>
      <c r="K217" s="51">
        <v>45980</v>
      </c>
      <c r="L217" s="50">
        <v>5</v>
      </c>
      <c r="M217" s="50">
        <v>1</v>
      </c>
      <c r="N217" s="50">
        <v>0</v>
      </c>
      <c r="O217" s="52" t="s">
        <v>81</v>
      </c>
      <c r="P217" s="53">
        <v>0.74305555555555547</v>
      </c>
      <c r="Q217" s="50">
        <v>180</v>
      </c>
      <c r="R217" s="54" t="s">
        <v>157</v>
      </c>
    </row>
  </sheetData>
  <mergeCells count="50">
    <mergeCell ref="G204:G217"/>
    <mergeCell ref="A202:F202"/>
    <mergeCell ref="K2:R2"/>
    <mergeCell ref="G6:G24"/>
    <mergeCell ref="A44:R44"/>
    <mergeCell ref="G90:G109"/>
    <mergeCell ref="A67:R67"/>
    <mergeCell ref="G182:G200"/>
    <mergeCell ref="H111:R111"/>
    <mergeCell ref="A201:R201"/>
    <mergeCell ref="G28:G43"/>
    <mergeCell ref="A45:F45"/>
    <mergeCell ref="A132:F132"/>
    <mergeCell ref="A88:F88"/>
    <mergeCell ref="A110:R110"/>
    <mergeCell ref="A146:R146"/>
    <mergeCell ref="H202:R202"/>
    <mergeCell ref="G70:G86"/>
    <mergeCell ref="A163:R163"/>
    <mergeCell ref="A2:F2"/>
    <mergeCell ref="A3:R3"/>
    <mergeCell ref="H180:R180"/>
    <mergeCell ref="A179:R179"/>
    <mergeCell ref="G113:G130"/>
    <mergeCell ref="H68:R68"/>
    <mergeCell ref="G2:J2"/>
    <mergeCell ref="H164:R164"/>
    <mergeCell ref="A4:F4"/>
    <mergeCell ref="A147:F147"/>
    <mergeCell ref="A180:F180"/>
    <mergeCell ref="A131:R131"/>
    <mergeCell ref="H88:R88"/>
    <mergeCell ref="H1:L1"/>
    <mergeCell ref="A1:E1"/>
    <mergeCell ref="G134:G145"/>
    <mergeCell ref="A26:F26"/>
    <mergeCell ref="H4:R4"/>
    <mergeCell ref="N1:R1"/>
    <mergeCell ref="H132:R132"/>
    <mergeCell ref="A68:F68"/>
    <mergeCell ref="G47:G66"/>
    <mergeCell ref="H45:R45"/>
    <mergeCell ref="A111:F111"/>
    <mergeCell ref="H26:R26"/>
    <mergeCell ref="A87:R87"/>
    <mergeCell ref="A25:R25"/>
    <mergeCell ref="G166:G178"/>
    <mergeCell ref="A164:F164"/>
    <mergeCell ref="H147:R147"/>
    <mergeCell ref="G149:G16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1"/>
  <sheetViews>
    <sheetView workbookViewId="0"/>
  </sheetViews>
  <sheetFormatPr defaultRowHeight="15.6" outlineLevelCol="1" x14ac:dyDescent="0.3"/>
  <cols>
    <col min="1" max="1" width="9.88671875" style="316" bestFit="1" customWidth="1"/>
    <col min="2" max="2" width="10.44140625" style="316" bestFit="1" customWidth="1"/>
    <col min="3" max="3" width="6.77734375" style="316" bestFit="1" customWidth="1"/>
    <col min="4" max="4" width="5.5546875" style="316" bestFit="1" customWidth="1"/>
    <col min="5" max="5" width="8.5546875" style="316" bestFit="1" customWidth="1"/>
    <col min="6" max="6" width="4.21875" style="316" bestFit="1" customWidth="1"/>
    <col min="7" max="7" width="10" style="316" bestFit="1" customWidth="1"/>
    <col min="8" max="10" width="8.5546875"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8" width="3.88671875" style="316" bestFit="1" customWidth="1"/>
    <col min="29" max="29" width="4.21875" style="316" bestFit="1" customWidth="1"/>
    <col min="30" max="31" width="4.5546875" style="316" bestFit="1" customWidth="1"/>
    <col min="32" max="32" width="3.88671875" style="316" bestFit="1" customWidth="1"/>
    <col min="33" max="33" width="4.21875" style="316" bestFit="1" customWidth="1"/>
    <col min="34" max="34" width="3.88671875" style="316" bestFit="1" customWidth="1"/>
    <col min="35" max="35" width="5.21875" style="316" bestFit="1" customWidth="1"/>
    <col min="36"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78</v>
      </c>
      <c r="D2" s="320" t="s">
        <v>188</v>
      </c>
      <c r="E2" s="319" t="s">
        <v>1</v>
      </c>
      <c r="F2" s="319" t="s">
        <v>189</v>
      </c>
      <c r="G2" s="321">
        <v>0.97870000000000001</v>
      </c>
      <c r="H2" s="322">
        <v>188</v>
      </c>
      <c r="I2" s="322">
        <v>184</v>
      </c>
      <c r="J2" s="322">
        <v>135</v>
      </c>
      <c r="K2" s="319" t="s">
        <v>190</v>
      </c>
      <c r="L2" s="323">
        <v>45978</v>
      </c>
      <c r="M2" s="322">
        <v>0</v>
      </c>
      <c r="N2" s="322">
        <v>0</v>
      </c>
      <c r="O2" s="322">
        <v>39</v>
      </c>
      <c r="P2" s="319" t="s">
        <v>81</v>
      </c>
      <c r="Q2" s="315"/>
      <c r="R2" s="315"/>
      <c r="S2" s="315"/>
      <c r="T2" s="315"/>
      <c r="U2" s="315"/>
      <c r="V2" s="315"/>
      <c r="W2" s="322" t="s">
        <v>191</v>
      </c>
      <c r="X2" s="315"/>
      <c r="Y2" s="315"/>
      <c r="Z2" s="322" t="s">
        <v>192</v>
      </c>
      <c r="AA2" s="315"/>
      <c r="AB2" s="315"/>
      <c r="AC2" s="322" t="s">
        <v>193</v>
      </c>
      <c r="AD2" s="322" t="s">
        <v>194</v>
      </c>
      <c r="AE2" s="322" t="s">
        <v>195</v>
      </c>
      <c r="AF2" s="322" t="s">
        <v>196</v>
      </c>
      <c r="AG2" s="315"/>
      <c r="AH2" s="315"/>
      <c r="AI2" s="322" t="s">
        <v>197</v>
      </c>
      <c r="AJ2" s="322" t="s">
        <v>198</v>
      </c>
    </row>
    <row r="3" spans="1:36" x14ac:dyDescent="0.3">
      <c r="A3" s="317" t="s">
        <v>199</v>
      </c>
      <c r="B3" s="318">
        <v>45983</v>
      </c>
      <c r="C3" s="319" t="s">
        <v>78</v>
      </c>
      <c r="D3" s="320" t="s">
        <v>200</v>
      </c>
      <c r="E3" s="319" t="s">
        <v>1</v>
      </c>
      <c r="F3" s="319" t="s">
        <v>189</v>
      </c>
      <c r="G3" s="321">
        <v>0.9889</v>
      </c>
      <c r="H3" s="322">
        <v>180</v>
      </c>
      <c r="I3" s="322">
        <v>178</v>
      </c>
      <c r="J3" s="322">
        <v>177</v>
      </c>
      <c r="K3" s="319" t="s">
        <v>190</v>
      </c>
      <c r="L3" s="323">
        <v>45980</v>
      </c>
      <c r="M3" s="322">
        <v>3</v>
      </c>
      <c r="N3" s="322">
        <v>46</v>
      </c>
      <c r="O3" s="322">
        <v>49</v>
      </c>
      <c r="P3" s="319" t="s">
        <v>103</v>
      </c>
      <c r="Q3" s="315"/>
      <c r="R3" s="315"/>
      <c r="S3" s="315"/>
      <c r="T3" s="315"/>
      <c r="U3" s="315"/>
      <c r="V3" s="315"/>
      <c r="W3" s="322" t="s">
        <v>103</v>
      </c>
      <c r="X3" s="315"/>
      <c r="Y3" s="315"/>
      <c r="Z3" s="315"/>
      <c r="AA3" s="315"/>
      <c r="AB3" s="315"/>
      <c r="AC3" s="315"/>
      <c r="AD3" s="315"/>
      <c r="AE3" s="315"/>
      <c r="AF3" s="315"/>
      <c r="AG3" s="322" t="s">
        <v>201</v>
      </c>
      <c r="AH3" s="315"/>
      <c r="AI3" s="322" t="s">
        <v>202</v>
      </c>
      <c r="AJ3" s="315"/>
    </row>
    <row r="4" spans="1:36" x14ac:dyDescent="0.3">
      <c r="A4" s="317" t="s">
        <v>203</v>
      </c>
      <c r="B4" s="318">
        <v>45984</v>
      </c>
      <c r="C4" s="319" t="s">
        <v>78</v>
      </c>
      <c r="D4" s="320" t="s">
        <v>204</v>
      </c>
      <c r="E4" s="319" t="s">
        <v>1</v>
      </c>
      <c r="F4" s="319" t="s">
        <v>189</v>
      </c>
      <c r="G4" s="321">
        <v>0.98329999999999995</v>
      </c>
      <c r="H4" s="322">
        <v>180</v>
      </c>
      <c r="I4" s="322">
        <v>177</v>
      </c>
      <c r="J4" s="322">
        <v>139</v>
      </c>
      <c r="K4" s="319" t="s">
        <v>190</v>
      </c>
      <c r="L4" s="323">
        <v>45979</v>
      </c>
      <c r="M4" s="322">
        <v>0</v>
      </c>
      <c r="N4" s="322">
        <v>1</v>
      </c>
      <c r="O4" s="322">
        <v>3</v>
      </c>
      <c r="P4" s="319" t="s">
        <v>112</v>
      </c>
      <c r="Q4" s="315"/>
      <c r="R4" s="315"/>
      <c r="S4" s="315"/>
      <c r="T4" s="315"/>
      <c r="U4" s="315"/>
      <c r="V4" s="315"/>
      <c r="W4" s="322" t="s">
        <v>103</v>
      </c>
      <c r="X4" s="315"/>
      <c r="Y4" s="315"/>
      <c r="Z4" s="315"/>
      <c r="AA4" s="315"/>
      <c r="AB4" s="315"/>
      <c r="AC4" s="322" t="s">
        <v>205</v>
      </c>
      <c r="AD4" s="322" t="s">
        <v>194</v>
      </c>
      <c r="AE4" s="322" t="s">
        <v>195</v>
      </c>
      <c r="AF4" s="322" t="s">
        <v>196</v>
      </c>
      <c r="AG4" s="315"/>
      <c r="AH4" s="315"/>
      <c r="AI4" s="322" t="s">
        <v>206</v>
      </c>
      <c r="AJ4" s="315"/>
    </row>
    <row r="5" spans="1:36" x14ac:dyDescent="0.3">
      <c r="A5" s="317" t="s">
        <v>207</v>
      </c>
      <c r="B5" s="318">
        <v>45985</v>
      </c>
      <c r="C5" s="319" t="s">
        <v>127</v>
      </c>
      <c r="D5" s="320" t="s">
        <v>208</v>
      </c>
      <c r="E5" s="319" t="s">
        <v>1</v>
      </c>
      <c r="F5" s="319" t="s">
        <v>189</v>
      </c>
      <c r="G5" s="321">
        <v>0.9667</v>
      </c>
      <c r="H5" s="322">
        <v>180</v>
      </c>
      <c r="I5" s="322">
        <v>174</v>
      </c>
      <c r="J5" s="322">
        <v>161</v>
      </c>
      <c r="K5" s="319" t="s">
        <v>190</v>
      </c>
      <c r="L5" s="323">
        <v>45977</v>
      </c>
      <c r="M5" s="322">
        <v>0</v>
      </c>
      <c r="N5" s="322">
        <v>0</v>
      </c>
      <c r="O5" s="322">
        <v>1</v>
      </c>
      <c r="P5" s="319" t="s">
        <v>128</v>
      </c>
      <c r="Q5" s="315"/>
      <c r="R5" s="315"/>
      <c r="S5" s="315"/>
      <c r="T5" s="315"/>
      <c r="U5" s="315"/>
      <c r="V5" s="315"/>
      <c r="W5" s="322" t="s">
        <v>103</v>
      </c>
      <c r="X5" s="315"/>
      <c r="Y5" s="322" t="s">
        <v>209</v>
      </c>
      <c r="Z5" s="315"/>
      <c r="AA5" s="315"/>
      <c r="AB5" s="315"/>
      <c r="AC5" s="315"/>
      <c r="AD5" s="315"/>
      <c r="AE5" s="315"/>
      <c r="AF5" s="322" t="s">
        <v>210</v>
      </c>
      <c r="AG5" s="315"/>
      <c r="AH5" s="315"/>
      <c r="AI5" s="322" t="s">
        <v>211</v>
      </c>
      <c r="AJ5" s="322" t="s">
        <v>212</v>
      </c>
    </row>
    <row r="6" spans="1:36" x14ac:dyDescent="0.3">
      <c r="A6" s="317" t="s">
        <v>213</v>
      </c>
      <c r="B6" s="318">
        <v>45986</v>
      </c>
      <c r="C6" s="319" t="s">
        <v>135</v>
      </c>
      <c r="D6" s="320" t="s">
        <v>214</v>
      </c>
      <c r="E6" s="319" t="s">
        <v>1</v>
      </c>
      <c r="F6" s="319" t="s">
        <v>189</v>
      </c>
      <c r="G6" s="321">
        <v>0.99439999999999995</v>
      </c>
      <c r="H6" s="322">
        <v>180</v>
      </c>
      <c r="I6" s="322">
        <v>179</v>
      </c>
      <c r="J6" s="322">
        <v>130</v>
      </c>
      <c r="K6" s="319" t="s">
        <v>190</v>
      </c>
      <c r="L6" s="323">
        <v>45976</v>
      </c>
      <c r="M6" s="322">
        <v>0</v>
      </c>
      <c r="N6" s="322">
        <v>0</v>
      </c>
      <c r="O6" s="322">
        <v>19</v>
      </c>
      <c r="P6" s="319" t="s">
        <v>81</v>
      </c>
      <c r="Q6" s="315"/>
      <c r="R6" s="315"/>
      <c r="S6" s="315"/>
      <c r="T6" s="315"/>
      <c r="U6" s="315"/>
      <c r="V6" s="315"/>
      <c r="W6" s="315"/>
      <c r="X6" s="315"/>
      <c r="Y6" s="315"/>
      <c r="Z6" s="315"/>
      <c r="AA6" s="315"/>
      <c r="AB6" s="322" t="s">
        <v>215</v>
      </c>
      <c r="AC6" s="322" t="s">
        <v>193</v>
      </c>
      <c r="AD6" s="322" t="s">
        <v>216</v>
      </c>
      <c r="AE6" s="322" t="s">
        <v>217</v>
      </c>
      <c r="AF6" s="322" t="s">
        <v>196</v>
      </c>
      <c r="AG6" s="315"/>
      <c r="AH6" s="315"/>
      <c r="AI6" s="322" t="s">
        <v>197</v>
      </c>
      <c r="AJ6" s="315"/>
    </row>
    <row r="7" spans="1:36" x14ac:dyDescent="0.3">
      <c r="A7" s="317" t="s">
        <v>213</v>
      </c>
      <c r="B7" s="318">
        <v>45986</v>
      </c>
      <c r="C7" s="319" t="s">
        <v>78</v>
      </c>
      <c r="D7" s="320" t="s">
        <v>218</v>
      </c>
      <c r="E7" s="319" t="s">
        <v>1</v>
      </c>
      <c r="F7" s="319" t="s">
        <v>189</v>
      </c>
      <c r="G7" s="321">
        <v>1.0056</v>
      </c>
      <c r="H7" s="322">
        <v>180</v>
      </c>
      <c r="I7" s="322">
        <v>181</v>
      </c>
      <c r="J7" s="322">
        <v>155</v>
      </c>
      <c r="K7" s="319" t="s">
        <v>190</v>
      </c>
      <c r="L7" s="323">
        <v>45979</v>
      </c>
      <c r="M7" s="322">
        <v>0</v>
      </c>
      <c r="N7" s="322">
        <v>3</v>
      </c>
      <c r="O7" s="322">
        <v>3</v>
      </c>
      <c r="P7" s="319" t="s">
        <v>81</v>
      </c>
      <c r="Q7" s="315"/>
      <c r="R7" s="315"/>
      <c r="S7" s="315"/>
      <c r="T7" s="315"/>
      <c r="U7" s="315"/>
      <c r="V7" s="315"/>
      <c r="W7" s="315"/>
      <c r="X7" s="315"/>
      <c r="Y7" s="322" t="s">
        <v>209</v>
      </c>
      <c r="Z7" s="315"/>
      <c r="AA7" s="315"/>
      <c r="AB7" s="315"/>
      <c r="AC7" s="315"/>
      <c r="AD7" s="322" t="s">
        <v>219</v>
      </c>
      <c r="AE7" s="322" t="s">
        <v>220</v>
      </c>
      <c r="AF7" s="322" t="s">
        <v>221</v>
      </c>
      <c r="AG7" s="322" t="s">
        <v>222</v>
      </c>
      <c r="AH7" s="315"/>
      <c r="AI7" s="322" t="s">
        <v>223</v>
      </c>
      <c r="AJ7" s="322" t="s">
        <v>212</v>
      </c>
    </row>
    <row r="8" spans="1:36" x14ac:dyDescent="0.3">
      <c r="A8" s="317" t="s">
        <v>187</v>
      </c>
      <c r="B8" s="318">
        <v>45988</v>
      </c>
      <c r="C8" s="319" t="s">
        <v>78</v>
      </c>
      <c r="D8" s="320" t="s">
        <v>188</v>
      </c>
      <c r="E8" s="319" t="s">
        <v>1</v>
      </c>
      <c r="F8" s="319" t="s">
        <v>189</v>
      </c>
      <c r="G8" s="321">
        <v>1</v>
      </c>
      <c r="H8" s="322">
        <v>180</v>
      </c>
      <c r="I8" s="322">
        <v>180</v>
      </c>
      <c r="J8" s="322">
        <v>168</v>
      </c>
      <c r="K8" s="319" t="s">
        <v>190</v>
      </c>
      <c r="L8" s="323">
        <v>45970</v>
      </c>
      <c r="M8" s="322">
        <v>0</v>
      </c>
      <c r="N8" s="322">
        <v>0</v>
      </c>
      <c r="O8" s="322">
        <v>0</v>
      </c>
      <c r="P8" s="319" t="s">
        <v>81</v>
      </c>
      <c r="Q8" s="315"/>
      <c r="R8" s="315"/>
      <c r="S8" s="315"/>
      <c r="T8" s="315"/>
      <c r="U8" s="315"/>
      <c r="V8" s="315"/>
      <c r="W8" s="315"/>
      <c r="X8" s="322" t="s">
        <v>224</v>
      </c>
      <c r="Y8" s="315"/>
      <c r="Z8" s="315"/>
      <c r="AA8" s="315"/>
      <c r="AB8" s="315"/>
      <c r="AC8" s="315"/>
      <c r="AD8" s="315"/>
      <c r="AE8" s="322" t="s">
        <v>225</v>
      </c>
      <c r="AF8" s="322" t="s">
        <v>221</v>
      </c>
      <c r="AG8" s="315"/>
      <c r="AH8" s="315"/>
      <c r="AI8" s="322" t="s">
        <v>226</v>
      </c>
      <c r="AJ8" s="315"/>
    </row>
    <row r="9" spans="1:36" x14ac:dyDescent="0.3">
      <c r="A9" s="317" t="s">
        <v>199</v>
      </c>
      <c r="B9" s="318">
        <v>45990</v>
      </c>
      <c r="C9" s="319" t="s">
        <v>78</v>
      </c>
      <c r="D9" s="320" t="s">
        <v>200</v>
      </c>
      <c r="E9" s="319" t="s">
        <v>1</v>
      </c>
      <c r="F9" s="319" t="s">
        <v>189</v>
      </c>
      <c r="G9" s="321">
        <v>0.99439999999999995</v>
      </c>
      <c r="H9" s="322">
        <v>180</v>
      </c>
      <c r="I9" s="322">
        <v>179</v>
      </c>
      <c r="J9" s="322">
        <v>138</v>
      </c>
      <c r="K9" s="319" t="s">
        <v>190</v>
      </c>
      <c r="L9" s="323">
        <v>45977</v>
      </c>
      <c r="M9" s="322">
        <v>0</v>
      </c>
      <c r="N9" s="322">
        <v>0</v>
      </c>
      <c r="O9" s="322">
        <v>2</v>
      </c>
      <c r="P9" s="319" t="s">
        <v>81</v>
      </c>
      <c r="Q9" s="315"/>
      <c r="R9" s="315"/>
      <c r="S9" s="315"/>
      <c r="T9" s="315"/>
      <c r="U9" s="315"/>
      <c r="V9" s="315"/>
      <c r="W9" s="315"/>
      <c r="X9" s="315"/>
      <c r="Y9" s="322" t="s">
        <v>227</v>
      </c>
      <c r="Z9" s="315"/>
      <c r="AA9" s="315"/>
      <c r="AB9" s="315"/>
      <c r="AC9" s="322" t="s">
        <v>228</v>
      </c>
      <c r="AD9" s="322" t="s">
        <v>194</v>
      </c>
      <c r="AE9" s="322" t="s">
        <v>195</v>
      </c>
      <c r="AF9" s="322" t="s">
        <v>196</v>
      </c>
      <c r="AG9" s="315"/>
      <c r="AH9" s="315"/>
      <c r="AI9" s="322" t="s">
        <v>229</v>
      </c>
      <c r="AJ9" s="322" t="s">
        <v>230</v>
      </c>
    </row>
    <row r="10" spans="1:36" x14ac:dyDescent="0.3">
      <c r="A10" s="317" t="s">
        <v>203</v>
      </c>
      <c r="B10" s="318">
        <v>45991</v>
      </c>
      <c r="C10" s="319" t="s">
        <v>78</v>
      </c>
      <c r="D10" s="320" t="s">
        <v>204</v>
      </c>
      <c r="E10" s="319" t="s">
        <v>1</v>
      </c>
      <c r="F10" s="319" t="s">
        <v>189</v>
      </c>
      <c r="G10" s="321">
        <v>1</v>
      </c>
      <c r="H10" s="322">
        <v>180</v>
      </c>
      <c r="I10" s="322">
        <v>180</v>
      </c>
      <c r="J10" s="322">
        <v>135</v>
      </c>
      <c r="K10" s="319" t="s">
        <v>190</v>
      </c>
      <c r="L10" s="323">
        <v>45980</v>
      </c>
      <c r="M10" s="322">
        <v>1</v>
      </c>
      <c r="N10" s="322">
        <v>0</v>
      </c>
      <c r="O10" s="322">
        <v>5</v>
      </c>
      <c r="P10" s="319" t="s">
        <v>81</v>
      </c>
      <c r="Q10" s="315"/>
      <c r="R10" s="315"/>
      <c r="S10" s="315"/>
      <c r="T10" s="315"/>
      <c r="U10" s="315"/>
      <c r="V10" s="315"/>
      <c r="W10" s="315"/>
      <c r="X10" s="322" t="s">
        <v>231</v>
      </c>
      <c r="Y10" s="315"/>
      <c r="Z10" s="315"/>
      <c r="AA10" s="315"/>
      <c r="AB10" s="315"/>
      <c r="AC10" s="322" t="s">
        <v>232</v>
      </c>
      <c r="AD10" s="322" t="s">
        <v>194</v>
      </c>
      <c r="AE10" s="322" t="s">
        <v>195</v>
      </c>
      <c r="AF10" s="322" t="s">
        <v>196</v>
      </c>
      <c r="AG10" s="315"/>
      <c r="AH10" s="315"/>
      <c r="AI10" s="322" t="s">
        <v>229</v>
      </c>
      <c r="AJ10" s="315"/>
    </row>
    <row r="11" spans="1:36" ht="21" x14ac:dyDescent="0.3">
      <c r="A11" s="324" t="s">
        <v>1638</v>
      </c>
      <c r="B11" s="325"/>
      <c r="C11" s="324">
        <f>SUBTOTAL(103,CAI_MED_LF_LEGACY[Flt])</f>
        <v>9</v>
      </c>
      <c r="D11" s="324"/>
      <c r="E11" s="324">
        <f>SUBTOTAL(103,CAI_MED_LF_LEGACY[Brd-Off])</f>
        <v>9</v>
      </c>
      <c r="F11" s="324"/>
      <c r="G11" s="326">
        <f>SUBTOTAL(101,CAI_MED_LF_LEGACY[LF%])</f>
        <v>0.99022222222222211</v>
      </c>
      <c r="H11" s="327">
        <f>SUBTOTAL(109,CAI_MED_LF_LEGACY[CAP])</f>
        <v>1628</v>
      </c>
      <c r="I11" s="327">
        <f>SUBTOTAL(109,CAI_MED_LF_LEGACY[BKG(Y)])</f>
        <v>1612</v>
      </c>
      <c r="J11" s="327">
        <f>SUBTOTAL(109,CAI_MED_LF_LEGACY[GRP(Y)])</f>
        <v>1338</v>
      </c>
      <c r="K11" s="324"/>
      <c r="L11" s="325"/>
      <c r="M11" s="327">
        <f>SUBTOTAL(109,CAI_MED_LF_LEGACY[TO-DAY])</f>
        <v>4</v>
      </c>
      <c r="N11" s="327">
        <f>SUBTOTAL(109,CAI_MED_LF_LEGACY[Y-DAY])</f>
        <v>50</v>
      </c>
      <c r="O11" s="327">
        <f>SUBTOTAL(109,CAI_MED_LF_LEGACY[WEEKLY])</f>
        <v>121</v>
      </c>
      <c r="P11" s="328"/>
      <c r="Q11" s="327">
        <f>SUBTOTAL(109,CAI_MED_LF_LEGACY[Y])</f>
        <v>0</v>
      </c>
      <c r="R11" s="327">
        <f>SUBTOTAL(109,CAI_MED_LF_LEGACY[B])</f>
        <v>0</v>
      </c>
      <c r="S11" s="327">
        <f>SUBTOTAL(109,CAI_MED_LF_LEGACY[M])</f>
        <v>0</v>
      </c>
      <c r="T11" s="327">
        <f>SUBTOTAL(109,CAI_MED_LF_LEGACY[H])</f>
        <v>0</v>
      </c>
      <c r="U11" s="327">
        <f>SUBTOTAL(109,CAI_MED_LF_LEGACY[Q])</f>
        <v>0</v>
      </c>
      <c r="V11" s="327">
        <f>SUBTOTAL(109,CAI_MED_LF_LEGACY[K])</f>
        <v>0</v>
      </c>
      <c r="W11" s="327">
        <f>SUBTOTAL(109,CAI_MED_LF_LEGACY[V])</f>
        <v>0</v>
      </c>
      <c r="X11" s="327">
        <f>SUBTOTAL(109,CAI_MED_LF_LEGACY[L])</f>
        <v>0</v>
      </c>
      <c r="Y11" s="327">
        <f>SUBTOTAL(109,CAI_MED_LF_LEGACY[G])</f>
        <v>0</v>
      </c>
      <c r="Z11" s="327">
        <f>SUBTOTAL(109,CAI_MED_LF_LEGACY[S])</f>
        <v>0</v>
      </c>
      <c r="AA11" s="327">
        <f>SUBTOTAL(109,CAI_MED_LF_LEGACY[W])</f>
        <v>0</v>
      </c>
      <c r="AB11" s="327">
        <f>SUBTOTAL(109,CAI_MED_LF_LEGACY[T])</f>
        <v>0</v>
      </c>
      <c r="AC11" s="327">
        <f>SUBTOTAL(109,CAI_MED_LF_LEGACY[X])</f>
        <v>0</v>
      </c>
      <c r="AD11" s="327">
        <f>SUBTOTAL(109,CAI_MED_LF_LEGACY[U])</f>
        <v>0</v>
      </c>
      <c r="AE11" s="327">
        <f>SUBTOTAL(109,CAI_MED_LF_LEGACY[O])</f>
        <v>0</v>
      </c>
      <c r="AF11" s="327">
        <f>SUBTOTAL(109,CAI_MED_LF_LEGACY[I])</f>
        <v>0</v>
      </c>
      <c r="AG11" s="327">
        <f>SUBTOTAL(109,CAI_MED_LF_LEGACY[E])</f>
        <v>0</v>
      </c>
      <c r="AH11" s="327">
        <f>SUBTOTAL(109,CAI_MED_LF_LEGACY[A])</f>
        <v>0</v>
      </c>
      <c r="AI11" s="327">
        <f>SUBTOTAL(109,CAI_MED_LF_LEGACY[P])</f>
        <v>0</v>
      </c>
      <c r="AJ11" s="327">
        <f>SUBTOTAL(103,CAI_MED_LF_LEGACY[N])</f>
        <v>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3"/>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1.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26</v>
      </c>
      <c r="C2" s="105" t="s">
        <v>27</v>
      </c>
      <c r="D2" s="104" t="s">
        <v>1</v>
      </c>
      <c r="E2" s="104" t="s">
        <v>236</v>
      </c>
      <c r="F2" s="104" t="s">
        <v>28</v>
      </c>
      <c r="G2" s="106">
        <v>5</v>
      </c>
      <c r="H2" s="107" t="s">
        <v>30</v>
      </c>
    </row>
    <row r="3" spans="1:8" ht="19.8" customHeight="1" x14ac:dyDescent="0.3">
      <c r="A3" s="103" t="s">
        <v>235</v>
      </c>
      <c r="B3" s="104" t="s">
        <v>41</v>
      </c>
      <c r="C3" s="105" t="s">
        <v>42</v>
      </c>
      <c r="D3" s="104" t="s">
        <v>1</v>
      </c>
      <c r="E3" s="104" t="s">
        <v>237</v>
      </c>
      <c r="F3" s="104" t="s">
        <v>43</v>
      </c>
      <c r="G3" s="106">
        <v>5</v>
      </c>
      <c r="H3" s="107" t="s">
        <v>44</v>
      </c>
    </row>
    <row r="4" spans="1:8" ht="19.8" customHeight="1" x14ac:dyDescent="0.3">
      <c r="A4" s="103" t="s">
        <v>235</v>
      </c>
      <c r="B4" s="104" t="s">
        <v>26</v>
      </c>
      <c r="C4" s="105" t="s">
        <v>36</v>
      </c>
      <c r="D4" s="104" t="s">
        <v>1</v>
      </c>
      <c r="E4" s="104" t="s">
        <v>238</v>
      </c>
      <c r="F4" s="104" t="s">
        <v>28</v>
      </c>
      <c r="G4" s="106">
        <v>9</v>
      </c>
      <c r="H4" s="107" t="s">
        <v>33</v>
      </c>
    </row>
    <row r="5" spans="1:8" ht="19.8" customHeight="1" x14ac:dyDescent="0.3">
      <c r="A5" s="103" t="s">
        <v>235</v>
      </c>
      <c r="B5" s="104" t="s">
        <v>26</v>
      </c>
      <c r="C5" s="105" t="s">
        <v>27</v>
      </c>
      <c r="D5" s="104" t="s">
        <v>1</v>
      </c>
      <c r="E5" s="104" t="s">
        <v>236</v>
      </c>
      <c r="F5" s="104" t="s">
        <v>31</v>
      </c>
      <c r="G5" s="106">
        <v>5</v>
      </c>
      <c r="H5" s="107" t="s">
        <v>33</v>
      </c>
    </row>
    <row r="6" spans="1:8" ht="19.8" customHeight="1" x14ac:dyDescent="0.3">
      <c r="A6" s="103" t="s">
        <v>235</v>
      </c>
      <c r="B6" s="104" t="s">
        <v>41</v>
      </c>
      <c r="C6" s="105" t="s">
        <v>42</v>
      </c>
      <c r="D6" s="104" t="s">
        <v>1</v>
      </c>
      <c r="E6" s="104" t="s">
        <v>237</v>
      </c>
      <c r="F6" s="104" t="s">
        <v>45</v>
      </c>
      <c r="G6" s="106">
        <v>5</v>
      </c>
      <c r="H6" s="107" t="s">
        <v>35</v>
      </c>
    </row>
    <row r="7" spans="1:8" ht="19.8" customHeight="1" x14ac:dyDescent="0.3">
      <c r="A7" s="103" t="s">
        <v>235</v>
      </c>
      <c r="B7" s="104" t="s">
        <v>26</v>
      </c>
      <c r="C7" s="105" t="s">
        <v>27</v>
      </c>
      <c r="D7" s="104" t="s">
        <v>1</v>
      </c>
      <c r="E7" s="104" t="s">
        <v>236</v>
      </c>
      <c r="F7" s="104" t="s">
        <v>34</v>
      </c>
      <c r="G7" s="106">
        <v>5</v>
      </c>
      <c r="H7" s="107" t="s">
        <v>35</v>
      </c>
    </row>
    <row r="8" spans="1:8" ht="19.8" customHeight="1" x14ac:dyDescent="0.3">
      <c r="A8" s="103" t="s">
        <v>235</v>
      </c>
      <c r="B8" s="104" t="s">
        <v>26</v>
      </c>
      <c r="C8" s="105" t="s">
        <v>36</v>
      </c>
      <c r="D8" s="104" t="s">
        <v>1</v>
      </c>
      <c r="E8" s="104" t="s">
        <v>238</v>
      </c>
      <c r="F8" s="104" t="s">
        <v>31</v>
      </c>
      <c r="G8" s="106">
        <v>9</v>
      </c>
      <c r="H8" s="107" t="s">
        <v>39</v>
      </c>
    </row>
    <row r="9" spans="1:8" ht="19.8" customHeight="1" x14ac:dyDescent="0.3">
      <c r="A9" s="103" t="s">
        <v>235</v>
      </c>
      <c r="B9" s="104" t="s">
        <v>48</v>
      </c>
      <c r="C9" s="105" t="s">
        <v>49</v>
      </c>
      <c r="D9" s="104" t="s">
        <v>1</v>
      </c>
      <c r="E9" s="104" t="s">
        <v>239</v>
      </c>
      <c r="F9" s="104" t="s">
        <v>50</v>
      </c>
      <c r="G9" s="106">
        <v>8</v>
      </c>
      <c r="H9" s="107" t="s">
        <v>52</v>
      </c>
    </row>
    <row r="10" spans="1:8" ht="19.8" customHeight="1" x14ac:dyDescent="0.3">
      <c r="A10" s="103" t="s">
        <v>235</v>
      </c>
      <c r="B10" s="104" t="s">
        <v>48</v>
      </c>
      <c r="C10" s="105" t="s">
        <v>53</v>
      </c>
      <c r="D10" s="104" t="s">
        <v>1</v>
      </c>
      <c r="E10" s="104" t="s">
        <v>240</v>
      </c>
      <c r="F10" s="104" t="s">
        <v>50</v>
      </c>
      <c r="G10" s="106">
        <v>9</v>
      </c>
      <c r="H10" s="107" t="s">
        <v>52</v>
      </c>
    </row>
    <row r="11" spans="1:8" ht="19.8" customHeight="1" x14ac:dyDescent="0.3">
      <c r="A11" s="103" t="s">
        <v>235</v>
      </c>
      <c r="B11" s="104" t="s">
        <v>26</v>
      </c>
      <c r="C11" s="105" t="s">
        <v>36</v>
      </c>
      <c r="D11" s="104" t="s">
        <v>1</v>
      </c>
      <c r="E11" s="104" t="s">
        <v>238</v>
      </c>
      <c r="F11" s="104" t="s">
        <v>34</v>
      </c>
      <c r="G11" s="106">
        <v>9</v>
      </c>
      <c r="H11" s="107" t="s">
        <v>40</v>
      </c>
    </row>
    <row r="12" spans="1:8" ht="19.8" customHeight="1" x14ac:dyDescent="0.3">
      <c r="A12" s="103" t="s">
        <v>235</v>
      </c>
      <c r="B12" s="104" t="s">
        <v>41</v>
      </c>
      <c r="C12" s="105" t="s">
        <v>42</v>
      </c>
      <c r="D12" s="104" t="s">
        <v>1</v>
      </c>
      <c r="E12" s="104" t="s">
        <v>237</v>
      </c>
      <c r="F12" s="104" t="s">
        <v>46</v>
      </c>
      <c r="G12" s="106">
        <v>5</v>
      </c>
      <c r="H12" s="107" t="s">
        <v>47</v>
      </c>
    </row>
    <row r="13" spans="1:8" ht="19.8" customHeight="1" x14ac:dyDescent="0.3">
      <c r="A13" s="103" t="s">
        <v>235</v>
      </c>
      <c r="B13" s="104" t="s">
        <v>60</v>
      </c>
      <c r="C13" s="105" t="s">
        <v>61</v>
      </c>
      <c r="D13" s="104" t="s">
        <v>1</v>
      </c>
      <c r="E13" s="104" t="s">
        <v>241</v>
      </c>
      <c r="F13" s="104" t="s">
        <v>62</v>
      </c>
      <c r="G13" s="106">
        <v>9</v>
      </c>
      <c r="H13" s="107" t="s">
        <v>64</v>
      </c>
    </row>
    <row r="14" spans="1:8" ht="19.8" customHeight="1" x14ac:dyDescent="0.3">
      <c r="A14" s="103" t="s">
        <v>235</v>
      </c>
      <c r="B14" s="104" t="s">
        <v>48</v>
      </c>
      <c r="C14" s="105" t="s">
        <v>55</v>
      </c>
      <c r="D14" s="104" t="s">
        <v>1</v>
      </c>
      <c r="E14" s="104" t="s">
        <v>242</v>
      </c>
      <c r="F14" s="104" t="s">
        <v>50</v>
      </c>
      <c r="G14" s="106">
        <v>9</v>
      </c>
      <c r="H14" s="107" t="s">
        <v>56</v>
      </c>
    </row>
    <row r="15" spans="1:8" ht="19.8" customHeight="1" x14ac:dyDescent="0.3">
      <c r="A15" s="103" t="s">
        <v>235</v>
      </c>
      <c r="B15" s="104" t="s">
        <v>60</v>
      </c>
      <c r="C15" s="105" t="s">
        <v>61</v>
      </c>
      <c r="D15" s="104" t="s">
        <v>1</v>
      </c>
      <c r="E15" s="104" t="s">
        <v>241</v>
      </c>
      <c r="F15" s="104" t="s">
        <v>65</v>
      </c>
      <c r="G15" s="106">
        <v>9</v>
      </c>
      <c r="H15" s="107" t="s">
        <v>67</v>
      </c>
    </row>
    <row r="16" spans="1:8" ht="19.8" customHeight="1" x14ac:dyDescent="0.3">
      <c r="A16" s="103" t="s">
        <v>235</v>
      </c>
      <c r="B16" s="104" t="s">
        <v>60</v>
      </c>
      <c r="C16" s="105" t="s">
        <v>68</v>
      </c>
      <c r="D16" s="104" t="s">
        <v>1</v>
      </c>
      <c r="E16" s="104" t="s">
        <v>243</v>
      </c>
      <c r="F16" s="104" t="s">
        <v>65</v>
      </c>
      <c r="G16" s="106">
        <v>1</v>
      </c>
      <c r="H16" s="107" t="s">
        <v>70</v>
      </c>
    </row>
    <row r="17" spans="1:8" ht="19.8" customHeight="1" x14ac:dyDescent="0.3">
      <c r="A17" s="103" t="s">
        <v>235</v>
      </c>
      <c r="B17" s="104" t="s">
        <v>48</v>
      </c>
      <c r="C17" s="105" t="s">
        <v>57</v>
      </c>
      <c r="D17" s="104" t="s">
        <v>1</v>
      </c>
      <c r="E17" s="104" t="s">
        <v>244</v>
      </c>
      <c r="F17" s="104" t="s">
        <v>50</v>
      </c>
      <c r="G17" s="106">
        <v>7</v>
      </c>
      <c r="H17" s="107" t="s">
        <v>59</v>
      </c>
    </row>
    <row r="18" spans="1:8" ht="19.8" customHeight="1" x14ac:dyDescent="0.3">
      <c r="A18" s="103" t="s">
        <v>235</v>
      </c>
      <c r="B18" s="104" t="s">
        <v>60</v>
      </c>
      <c r="C18" s="105" t="s">
        <v>71</v>
      </c>
      <c r="D18" s="104" t="s">
        <v>1</v>
      </c>
      <c r="E18" s="104" t="s">
        <v>237</v>
      </c>
      <c r="F18" s="104" t="s">
        <v>65</v>
      </c>
      <c r="G18" s="106">
        <v>4</v>
      </c>
      <c r="H18" s="107" t="s">
        <v>73</v>
      </c>
    </row>
    <row r="19" spans="1:8" ht="19.8" customHeight="1" x14ac:dyDescent="0.3">
      <c r="A19" s="103" t="s">
        <v>235</v>
      </c>
      <c r="B19" s="104" t="s">
        <v>60</v>
      </c>
      <c r="C19" s="105" t="s">
        <v>74</v>
      </c>
      <c r="D19" s="104" t="s">
        <v>1</v>
      </c>
      <c r="E19" s="104" t="s">
        <v>245</v>
      </c>
      <c r="F19" s="104" t="s">
        <v>65</v>
      </c>
      <c r="G19" s="106">
        <v>3</v>
      </c>
      <c r="H19" s="107" t="s">
        <v>76</v>
      </c>
    </row>
    <row r="20" spans="1:8" ht="19.8" customHeight="1" x14ac:dyDescent="0.3">
      <c r="A20" s="108" t="s">
        <v>235</v>
      </c>
      <c r="B20" s="109" t="s">
        <v>77</v>
      </c>
      <c r="C20" s="110" t="s">
        <v>78</v>
      </c>
      <c r="D20" s="109" t="s">
        <v>1</v>
      </c>
      <c r="E20" s="109" t="s">
        <v>188</v>
      </c>
      <c r="F20" s="109" t="s">
        <v>79</v>
      </c>
      <c r="G20" s="109"/>
      <c r="H20" s="111" t="s">
        <v>80</v>
      </c>
    </row>
    <row r="21" spans="1:8" ht="19.8" customHeight="1" x14ac:dyDescent="0.3">
      <c r="A21" s="112">
        <v>45982</v>
      </c>
      <c r="B21" s="104" t="s">
        <v>41</v>
      </c>
      <c r="C21" s="105" t="s">
        <v>42</v>
      </c>
      <c r="D21" s="104" t="s">
        <v>1</v>
      </c>
      <c r="E21" s="113">
        <v>1.229166666666667</v>
      </c>
      <c r="F21" s="104" t="s">
        <v>43</v>
      </c>
      <c r="G21" s="106">
        <v>4</v>
      </c>
      <c r="H21" s="107" t="s">
        <v>44</v>
      </c>
    </row>
    <row r="22" spans="1:8" ht="19.8" customHeight="1" x14ac:dyDescent="0.3">
      <c r="A22" s="112">
        <v>45982</v>
      </c>
      <c r="B22" s="104" t="s">
        <v>26</v>
      </c>
      <c r="C22" s="105" t="s">
        <v>36</v>
      </c>
      <c r="D22" s="104" t="s">
        <v>1</v>
      </c>
      <c r="E22" s="113">
        <v>1.6076388888888891</v>
      </c>
      <c r="F22" s="104" t="s">
        <v>28</v>
      </c>
      <c r="G22" s="106">
        <v>1</v>
      </c>
      <c r="H22" s="107" t="s">
        <v>86</v>
      </c>
    </row>
    <row r="23" spans="1:8" ht="19.8" customHeight="1" x14ac:dyDescent="0.3">
      <c r="A23" s="112">
        <v>45982</v>
      </c>
      <c r="B23" s="104" t="s">
        <v>26</v>
      </c>
      <c r="C23" s="105" t="s">
        <v>36</v>
      </c>
      <c r="D23" s="104" t="s">
        <v>1</v>
      </c>
      <c r="E23" s="113">
        <v>1.6076388888888891</v>
      </c>
      <c r="F23" s="104" t="s">
        <v>31</v>
      </c>
      <c r="G23" s="106">
        <v>1</v>
      </c>
      <c r="H23" s="107" t="s">
        <v>88</v>
      </c>
    </row>
    <row r="24" spans="1:8" ht="19.8" customHeight="1" x14ac:dyDescent="0.3">
      <c r="A24" s="112">
        <v>45982</v>
      </c>
      <c r="B24" s="104" t="s">
        <v>41</v>
      </c>
      <c r="C24" s="105" t="s">
        <v>42</v>
      </c>
      <c r="D24" s="104" t="s">
        <v>1</v>
      </c>
      <c r="E24" s="113">
        <v>1.229166666666667</v>
      </c>
      <c r="F24" s="104" t="s">
        <v>45</v>
      </c>
      <c r="G24" s="106">
        <v>4</v>
      </c>
      <c r="H24" s="107" t="s">
        <v>35</v>
      </c>
    </row>
    <row r="25" spans="1:8" ht="19.8" customHeight="1" x14ac:dyDescent="0.3">
      <c r="A25" s="112">
        <v>45982</v>
      </c>
      <c r="B25" s="104" t="s">
        <v>48</v>
      </c>
      <c r="C25" s="105" t="s">
        <v>55</v>
      </c>
      <c r="D25" s="104" t="s">
        <v>1</v>
      </c>
      <c r="E25" s="113">
        <v>1.9409722222222221</v>
      </c>
      <c r="F25" s="104" t="s">
        <v>50</v>
      </c>
      <c r="G25" s="106">
        <v>9</v>
      </c>
      <c r="H25" s="107" t="s">
        <v>52</v>
      </c>
    </row>
    <row r="26" spans="1:8" ht="19.8" customHeight="1" x14ac:dyDescent="0.3">
      <c r="A26" s="112">
        <v>45982</v>
      </c>
      <c r="B26" s="104" t="s">
        <v>48</v>
      </c>
      <c r="C26" s="105" t="s">
        <v>53</v>
      </c>
      <c r="D26" s="104" t="s">
        <v>1</v>
      </c>
      <c r="E26" s="113">
        <v>1.0659722222222221</v>
      </c>
      <c r="F26" s="104" t="s">
        <v>50</v>
      </c>
      <c r="G26" s="106">
        <v>9</v>
      </c>
      <c r="H26" s="107" t="s">
        <v>52</v>
      </c>
    </row>
    <row r="27" spans="1:8" ht="19.8" customHeight="1" x14ac:dyDescent="0.3">
      <c r="A27" s="112">
        <v>45982</v>
      </c>
      <c r="B27" s="104" t="s">
        <v>48</v>
      </c>
      <c r="C27" s="105" t="s">
        <v>57</v>
      </c>
      <c r="D27" s="104" t="s">
        <v>1</v>
      </c>
      <c r="E27" s="113">
        <v>1.288194444444444</v>
      </c>
      <c r="F27" s="104" t="s">
        <v>50</v>
      </c>
      <c r="G27" s="106">
        <v>9</v>
      </c>
      <c r="H27" s="107" t="s">
        <v>52</v>
      </c>
    </row>
    <row r="28" spans="1:8" ht="19.8" customHeight="1" x14ac:dyDescent="0.3">
      <c r="A28" s="112">
        <v>45982</v>
      </c>
      <c r="B28" s="104" t="s">
        <v>26</v>
      </c>
      <c r="C28" s="105" t="s">
        <v>36</v>
      </c>
      <c r="D28" s="104" t="s">
        <v>1</v>
      </c>
      <c r="E28" s="113">
        <v>1.6076388888888891</v>
      </c>
      <c r="F28" s="104" t="s">
        <v>34</v>
      </c>
      <c r="G28" s="106">
        <v>1</v>
      </c>
      <c r="H28" s="107" t="s">
        <v>89</v>
      </c>
    </row>
    <row r="29" spans="1:8" ht="19.8" customHeight="1" x14ac:dyDescent="0.3">
      <c r="A29" s="112">
        <v>45982</v>
      </c>
      <c r="B29" s="104" t="s">
        <v>41</v>
      </c>
      <c r="C29" s="105" t="s">
        <v>42</v>
      </c>
      <c r="D29" s="104" t="s">
        <v>1</v>
      </c>
      <c r="E29" s="113">
        <v>1.229166666666667</v>
      </c>
      <c r="F29" s="104" t="s">
        <v>46</v>
      </c>
      <c r="G29" s="106">
        <v>4</v>
      </c>
      <c r="H29" s="107" t="s">
        <v>47</v>
      </c>
    </row>
    <row r="30" spans="1:8" ht="19.8" customHeight="1" x14ac:dyDescent="0.3">
      <c r="A30" s="112">
        <v>45982</v>
      </c>
      <c r="B30" s="104" t="s">
        <v>60</v>
      </c>
      <c r="C30" s="105" t="s">
        <v>74</v>
      </c>
      <c r="D30" s="104" t="s">
        <v>1</v>
      </c>
      <c r="E30" s="113">
        <v>1.895833333333333</v>
      </c>
      <c r="F30" s="104" t="s">
        <v>62</v>
      </c>
      <c r="G30" s="106">
        <v>9</v>
      </c>
      <c r="H30" s="107" t="s">
        <v>64</v>
      </c>
    </row>
    <row r="31" spans="1:8" ht="19.8" customHeight="1" x14ac:dyDescent="0.3">
      <c r="A31" s="112">
        <v>45982</v>
      </c>
      <c r="B31" s="104" t="s">
        <v>48</v>
      </c>
      <c r="C31" s="105" t="s">
        <v>49</v>
      </c>
      <c r="D31" s="104" t="s">
        <v>1</v>
      </c>
      <c r="E31" s="113">
        <v>1.697916666666667</v>
      </c>
      <c r="F31" s="104" t="s">
        <v>50</v>
      </c>
      <c r="G31" s="106">
        <v>9</v>
      </c>
      <c r="H31" s="107" t="s">
        <v>56</v>
      </c>
    </row>
    <row r="32" spans="1:8" ht="19.8" customHeight="1" x14ac:dyDescent="0.3">
      <c r="A32" s="112">
        <v>45982</v>
      </c>
      <c r="B32" s="104" t="s">
        <v>60</v>
      </c>
      <c r="C32" s="105" t="s">
        <v>74</v>
      </c>
      <c r="D32" s="104" t="s">
        <v>1</v>
      </c>
      <c r="E32" s="113">
        <v>1.895833333333333</v>
      </c>
      <c r="F32" s="104" t="s">
        <v>65</v>
      </c>
      <c r="G32" s="106">
        <v>9</v>
      </c>
      <c r="H32" s="107" t="s">
        <v>67</v>
      </c>
    </row>
    <row r="33" spans="1:8" ht="19.8" customHeight="1" x14ac:dyDescent="0.3">
      <c r="A33" s="112">
        <v>45982</v>
      </c>
      <c r="B33" s="104" t="s">
        <v>48</v>
      </c>
      <c r="C33" s="105" t="s">
        <v>90</v>
      </c>
      <c r="D33" s="104" t="s">
        <v>1</v>
      </c>
      <c r="E33" s="113">
        <v>1.336805555555556</v>
      </c>
      <c r="F33" s="104" t="s">
        <v>50</v>
      </c>
      <c r="G33" s="106">
        <v>9</v>
      </c>
      <c r="H33" s="107" t="s">
        <v>91</v>
      </c>
    </row>
    <row r="34" spans="1:8" ht="19.8" customHeight="1" x14ac:dyDescent="0.3">
      <c r="A34" s="112">
        <v>45982</v>
      </c>
      <c r="B34" s="104" t="s">
        <v>60</v>
      </c>
      <c r="C34" s="105" t="s">
        <v>68</v>
      </c>
      <c r="D34" s="104" t="s">
        <v>1</v>
      </c>
      <c r="E34" s="113">
        <v>1.350694444444444</v>
      </c>
      <c r="F34" s="104" t="s">
        <v>65</v>
      </c>
      <c r="G34" s="106">
        <v>9</v>
      </c>
      <c r="H34" s="107" t="s">
        <v>70</v>
      </c>
    </row>
    <row r="35" spans="1:8" ht="19.8" customHeight="1" x14ac:dyDescent="0.3">
      <c r="A35" s="112">
        <v>45982</v>
      </c>
      <c r="B35" s="104" t="s">
        <v>60</v>
      </c>
      <c r="C35" s="105" t="s">
        <v>61</v>
      </c>
      <c r="D35" s="104" t="s">
        <v>1</v>
      </c>
      <c r="E35" s="113">
        <v>1.1840277777777779</v>
      </c>
      <c r="F35" s="104" t="s">
        <v>65</v>
      </c>
      <c r="G35" s="106">
        <v>9</v>
      </c>
      <c r="H35" s="107" t="s">
        <v>70</v>
      </c>
    </row>
    <row r="36" spans="1:8" ht="19.8" customHeight="1" x14ac:dyDescent="0.3">
      <c r="A36" s="114">
        <v>45982</v>
      </c>
      <c r="B36" s="115" t="s">
        <v>60</v>
      </c>
      <c r="C36" s="116" t="s">
        <v>71</v>
      </c>
      <c r="D36" s="115" t="s">
        <v>1</v>
      </c>
      <c r="E36" s="117">
        <v>1.229166666666667</v>
      </c>
      <c r="F36" s="115" t="s">
        <v>65</v>
      </c>
      <c r="G36" s="118">
        <v>4</v>
      </c>
      <c r="H36" s="119" t="s">
        <v>73</v>
      </c>
    </row>
    <row r="37" spans="1:8" ht="19.8" customHeight="1" x14ac:dyDescent="0.3">
      <c r="A37" s="112">
        <v>45983</v>
      </c>
      <c r="B37" s="104" t="s">
        <v>41</v>
      </c>
      <c r="C37" s="105" t="s">
        <v>42</v>
      </c>
      <c r="D37" s="104" t="s">
        <v>1</v>
      </c>
      <c r="E37" s="113">
        <v>1.229166666666667</v>
      </c>
      <c r="F37" s="104" t="s">
        <v>43</v>
      </c>
      <c r="G37" s="106">
        <v>19</v>
      </c>
      <c r="H37" s="107" t="s">
        <v>93</v>
      </c>
    </row>
    <row r="38" spans="1:8" ht="19.8" customHeight="1" x14ac:dyDescent="0.3">
      <c r="A38" s="112">
        <v>45983</v>
      </c>
      <c r="B38" s="104" t="s">
        <v>26</v>
      </c>
      <c r="C38" s="105" t="s">
        <v>36</v>
      </c>
      <c r="D38" s="104" t="s">
        <v>1</v>
      </c>
      <c r="E38" s="113">
        <v>1.6076388888888891</v>
      </c>
      <c r="F38" s="104" t="s">
        <v>28</v>
      </c>
      <c r="G38" s="106">
        <v>6</v>
      </c>
      <c r="H38" s="107" t="s">
        <v>86</v>
      </c>
    </row>
    <row r="39" spans="1:8" ht="19.8" customHeight="1" x14ac:dyDescent="0.3">
      <c r="A39" s="112">
        <v>45983</v>
      </c>
      <c r="B39" s="104" t="s">
        <v>26</v>
      </c>
      <c r="C39" s="105" t="s">
        <v>27</v>
      </c>
      <c r="D39" s="104" t="s">
        <v>1</v>
      </c>
      <c r="E39" s="113">
        <v>1.4340277777777779</v>
      </c>
      <c r="F39" s="104" t="s">
        <v>28</v>
      </c>
      <c r="G39" s="106">
        <v>3</v>
      </c>
      <c r="H39" s="107" t="s">
        <v>86</v>
      </c>
    </row>
    <row r="40" spans="1:8" ht="19.8" customHeight="1" x14ac:dyDescent="0.3">
      <c r="A40" s="112">
        <v>45983</v>
      </c>
      <c r="B40" s="104" t="s">
        <v>48</v>
      </c>
      <c r="C40" s="105" t="s">
        <v>90</v>
      </c>
      <c r="D40" s="104" t="s">
        <v>1</v>
      </c>
      <c r="E40" s="113">
        <v>1.336805555555556</v>
      </c>
      <c r="F40" s="104" t="s">
        <v>50</v>
      </c>
      <c r="G40" s="106">
        <v>9</v>
      </c>
      <c r="H40" s="107" t="s">
        <v>99</v>
      </c>
    </row>
    <row r="41" spans="1:8" ht="19.8" customHeight="1" x14ac:dyDescent="0.3">
      <c r="A41" s="112">
        <v>45983</v>
      </c>
      <c r="B41" s="104" t="s">
        <v>48</v>
      </c>
      <c r="C41" s="105" t="s">
        <v>55</v>
      </c>
      <c r="D41" s="104" t="s">
        <v>1</v>
      </c>
      <c r="E41" s="113">
        <v>1.947916666666667</v>
      </c>
      <c r="F41" s="104" t="s">
        <v>50</v>
      </c>
      <c r="G41" s="106">
        <v>9</v>
      </c>
      <c r="H41" s="107" t="s">
        <v>99</v>
      </c>
    </row>
    <row r="42" spans="1:8" ht="19.8" customHeight="1" x14ac:dyDescent="0.3">
      <c r="A42" s="112">
        <v>45983</v>
      </c>
      <c r="B42" s="104" t="s">
        <v>48</v>
      </c>
      <c r="C42" s="105" t="s">
        <v>53</v>
      </c>
      <c r="D42" s="104" t="s">
        <v>1</v>
      </c>
      <c r="E42" s="113">
        <v>1.0659722222222221</v>
      </c>
      <c r="F42" s="104" t="s">
        <v>50</v>
      </c>
      <c r="G42" s="106">
        <v>9</v>
      </c>
      <c r="H42" s="107" t="s">
        <v>99</v>
      </c>
    </row>
    <row r="43" spans="1:8" ht="19.8" customHeight="1" x14ac:dyDescent="0.3">
      <c r="A43" s="112">
        <v>45983</v>
      </c>
      <c r="B43" s="104" t="s">
        <v>48</v>
      </c>
      <c r="C43" s="105" t="s">
        <v>57</v>
      </c>
      <c r="D43" s="104" t="s">
        <v>1</v>
      </c>
      <c r="E43" s="113">
        <v>1.288194444444444</v>
      </c>
      <c r="F43" s="104" t="s">
        <v>50</v>
      </c>
      <c r="G43" s="106">
        <v>9</v>
      </c>
      <c r="H43" s="107" t="s">
        <v>99</v>
      </c>
    </row>
    <row r="44" spans="1:8" ht="19.8" customHeight="1" x14ac:dyDescent="0.3">
      <c r="A44" s="112">
        <v>45983</v>
      </c>
      <c r="B44" s="104" t="s">
        <v>41</v>
      </c>
      <c r="C44" s="105" t="s">
        <v>42</v>
      </c>
      <c r="D44" s="104" t="s">
        <v>1</v>
      </c>
      <c r="E44" s="113">
        <v>1.229166666666667</v>
      </c>
      <c r="F44" s="104" t="s">
        <v>45</v>
      </c>
      <c r="G44" s="106">
        <v>19</v>
      </c>
      <c r="H44" s="107" t="s">
        <v>95</v>
      </c>
    </row>
    <row r="45" spans="1:8" ht="19.8" customHeight="1" x14ac:dyDescent="0.3">
      <c r="A45" s="112">
        <v>45983</v>
      </c>
      <c r="B45" s="104" t="s">
        <v>26</v>
      </c>
      <c r="C45" s="105" t="s">
        <v>36</v>
      </c>
      <c r="D45" s="104" t="s">
        <v>1</v>
      </c>
      <c r="E45" s="113">
        <v>1.6076388888888891</v>
      </c>
      <c r="F45" s="104" t="s">
        <v>31</v>
      </c>
      <c r="G45" s="106">
        <v>6</v>
      </c>
      <c r="H45" s="107" t="s">
        <v>88</v>
      </c>
    </row>
    <row r="46" spans="1:8" ht="19.8" customHeight="1" x14ac:dyDescent="0.3">
      <c r="A46" s="112">
        <v>45983</v>
      </c>
      <c r="B46" s="104" t="s">
        <v>26</v>
      </c>
      <c r="C46" s="105" t="s">
        <v>27</v>
      </c>
      <c r="D46" s="104" t="s">
        <v>1</v>
      </c>
      <c r="E46" s="113">
        <v>1.4340277777777779</v>
      </c>
      <c r="F46" s="104" t="s">
        <v>31</v>
      </c>
      <c r="G46" s="106">
        <v>3</v>
      </c>
      <c r="H46" s="107" t="s">
        <v>88</v>
      </c>
    </row>
    <row r="47" spans="1:8" ht="19.8" customHeight="1" x14ac:dyDescent="0.3">
      <c r="A47" s="112">
        <v>45983</v>
      </c>
      <c r="B47" s="104" t="s">
        <v>48</v>
      </c>
      <c r="C47" s="105" t="s">
        <v>49</v>
      </c>
      <c r="D47" s="104" t="s">
        <v>1</v>
      </c>
      <c r="E47" s="113">
        <v>1.6875</v>
      </c>
      <c r="F47" s="104" t="s">
        <v>50</v>
      </c>
      <c r="G47" s="106">
        <v>9</v>
      </c>
      <c r="H47" s="107" t="s">
        <v>52</v>
      </c>
    </row>
    <row r="48" spans="1:8" ht="19.8" customHeight="1" x14ac:dyDescent="0.3">
      <c r="A48" s="112">
        <v>45983</v>
      </c>
      <c r="B48" s="104" t="s">
        <v>26</v>
      </c>
      <c r="C48" s="105" t="s">
        <v>36</v>
      </c>
      <c r="D48" s="104" t="s">
        <v>1</v>
      </c>
      <c r="E48" s="113">
        <v>1.6076388888888891</v>
      </c>
      <c r="F48" s="104" t="s">
        <v>34</v>
      </c>
      <c r="G48" s="106">
        <v>6</v>
      </c>
      <c r="H48" s="107" t="s">
        <v>89</v>
      </c>
    </row>
    <row r="49" spans="1:8" ht="19.8" customHeight="1" x14ac:dyDescent="0.3">
      <c r="A49" s="112">
        <v>45983</v>
      </c>
      <c r="B49" s="104" t="s">
        <v>26</v>
      </c>
      <c r="C49" s="105" t="s">
        <v>27</v>
      </c>
      <c r="D49" s="104" t="s">
        <v>1</v>
      </c>
      <c r="E49" s="113">
        <v>1.4340277777777779</v>
      </c>
      <c r="F49" s="104" t="s">
        <v>34</v>
      </c>
      <c r="G49" s="106">
        <v>3</v>
      </c>
      <c r="H49" s="107" t="s">
        <v>89</v>
      </c>
    </row>
    <row r="50" spans="1:8" ht="19.8" customHeight="1" x14ac:dyDescent="0.3">
      <c r="A50" s="112">
        <v>45983</v>
      </c>
      <c r="B50" s="104" t="s">
        <v>41</v>
      </c>
      <c r="C50" s="105" t="s">
        <v>42</v>
      </c>
      <c r="D50" s="104" t="s">
        <v>1</v>
      </c>
      <c r="E50" s="113">
        <v>1.229166666666667</v>
      </c>
      <c r="F50" s="104" t="s">
        <v>46</v>
      </c>
      <c r="G50" s="106">
        <v>19</v>
      </c>
      <c r="H50" s="107" t="s">
        <v>47</v>
      </c>
    </row>
    <row r="51" spans="1:8" ht="19.8" customHeight="1" x14ac:dyDescent="0.3">
      <c r="A51" s="112">
        <v>45983</v>
      </c>
      <c r="B51" s="104" t="s">
        <v>60</v>
      </c>
      <c r="C51" s="105" t="s">
        <v>61</v>
      </c>
      <c r="D51" s="104" t="s">
        <v>1</v>
      </c>
      <c r="E51" s="113">
        <v>1.1840277777777779</v>
      </c>
      <c r="F51" s="104" t="s">
        <v>62</v>
      </c>
      <c r="G51" s="106">
        <v>9</v>
      </c>
      <c r="H51" s="107" t="s">
        <v>64</v>
      </c>
    </row>
    <row r="52" spans="1:8" ht="19.8" customHeight="1" x14ac:dyDescent="0.3">
      <c r="A52" s="112">
        <v>45983</v>
      </c>
      <c r="B52" s="104" t="s">
        <v>60</v>
      </c>
      <c r="C52" s="105" t="s">
        <v>61</v>
      </c>
      <c r="D52" s="104" t="s">
        <v>1</v>
      </c>
      <c r="E52" s="113">
        <v>1.1840277777777779</v>
      </c>
      <c r="F52" s="104" t="s">
        <v>65</v>
      </c>
      <c r="G52" s="106">
        <v>9</v>
      </c>
      <c r="H52" s="107" t="s">
        <v>67</v>
      </c>
    </row>
    <row r="53" spans="1:8" ht="19.8" customHeight="1" x14ac:dyDescent="0.3">
      <c r="A53" s="120">
        <v>45983</v>
      </c>
      <c r="B53" s="121" t="s">
        <v>77</v>
      </c>
      <c r="C53" s="122" t="s">
        <v>100</v>
      </c>
      <c r="D53" s="121" t="s">
        <v>1</v>
      </c>
      <c r="E53" s="123">
        <v>1.2361111111111109</v>
      </c>
      <c r="F53" s="121" t="s">
        <v>101</v>
      </c>
      <c r="G53" s="124">
        <v>1</v>
      </c>
      <c r="H53" s="125" t="s">
        <v>102</v>
      </c>
    </row>
    <row r="54" spans="1:8" ht="19.8" customHeight="1" x14ac:dyDescent="0.3">
      <c r="A54" s="112">
        <v>45983</v>
      </c>
      <c r="B54" s="104" t="s">
        <v>60</v>
      </c>
      <c r="C54" s="105" t="s">
        <v>68</v>
      </c>
      <c r="D54" s="104" t="s">
        <v>1</v>
      </c>
      <c r="E54" s="113">
        <v>1.354166666666667</v>
      </c>
      <c r="F54" s="104" t="s">
        <v>65</v>
      </c>
      <c r="G54" s="106">
        <v>9</v>
      </c>
      <c r="H54" s="107" t="s">
        <v>70</v>
      </c>
    </row>
    <row r="55" spans="1:8" ht="19.8" customHeight="1" x14ac:dyDescent="0.3">
      <c r="A55" s="112">
        <v>45983</v>
      </c>
      <c r="B55" s="104" t="s">
        <v>60</v>
      </c>
      <c r="C55" s="105" t="s">
        <v>74</v>
      </c>
      <c r="D55" s="104" t="s">
        <v>1</v>
      </c>
      <c r="E55" s="113">
        <v>1.895833333333333</v>
      </c>
      <c r="F55" s="104" t="s">
        <v>65</v>
      </c>
      <c r="G55" s="106">
        <v>9</v>
      </c>
      <c r="H55" s="107" t="s">
        <v>70</v>
      </c>
    </row>
    <row r="56" spans="1:8" ht="19.8" customHeight="1" x14ac:dyDescent="0.3">
      <c r="A56" s="114">
        <v>45983</v>
      </c>
      <c r="B56" s="115" t="s">
        <v>60</v>
      </c>
      <c r="C56" s="116" t="s">
        <v>71</v>
      </c>
      <c r="D56" s="115" t="s">
        <v>1</v>
      </c>
      <c r="E56" s="117">
        <v>1.229166666666667</v>
      </c>
      <c r="F56" s="115" t="s">
        <v>65</v>
      </c>
      <c r="G56" s="118">
        <v>4</v>
      </c>
      <c r="H56" s="119" t="s">
        <v>73</v>
      </c>
    </row>
    <row r="57" spans="1:8" ht="19.8" customHeight="1" x14ac:dyDescent="0.3">
      <c r="A57" s="112">
        <v>45984</v>
      </c>
      <c r="B57" s="104" t="s">
        <v>41</v>
      </c>
      <c r="C57" s="105" t="s">
        <v>42</v>
      </c>
      <c r="D57" s="104" t="s">
        <v>1</v>
      </c>
      <c r="E57" s="113">
        <v>1.229166666666667</v>
      </c>
      <c r="F57" s="104" t="s">
        <v>43</v>
      </c>
      <c r="G57" s="106">
        <v>10</v>
      </c>
      <c r="H57" s="107" t="s">
        <v>93</v>
      </c>
    </row>
    <row r="58" spans="1:8" ht="19.8" customHeight="1" x14ac:dyDescent="0.3">
      <c r="A58" s="112">
        <v>45984</v>
      </c>
      <c r="B58" s="104" t="s">
        <v>48</v>
      </c>
      <c r="C58" s="105" t="s">
        <v>53</v>
      </c>
      <c r="D58" s="104" t="s">
        <v>1</v>
      </c>
      <c r="E58" s="113">
        <v>1.0659722222222221</v>
      </c>
      <c r="F58" s="104" t="s">
        <v>107</v>
      </c>
      <c r="G58" s="106">
        <v>9</v>
      </c>
      <c r="H58" s="107" t="s">
        <v>108</v>
      </c>
    </row>
    <row r="59" spans="1:8" ht="19.8" customHeight="1" x14ac:dyDescent="0.3">
      <c r="A59" s="112">
        <v>45984</v>
      </c>
      <c r="B59" s="104" t="s">
        <v>41</v>
      </c>
      <c r="C59" s="105" t="s">
        <v>42</v>
      </c>
      <c r="D59" s="104" t="s">
        <v>1</v>
      </c>
      <c r="E59" s="113">
        <v>1.229166666666667</v>
      </c>
      <c r="F59" s="104" t="s">
        <v>45</v>
      </c>
      <c r="G59" s="106">
        <v>10</v>
      </c>
      <c r="H59" s="107" t="s">
        <v>95</v>
      </c>
    </row>
    <row r="60" spans="1:8" ht="19.8" customHeight="1" x14ac:dyDescent="0.3">
      <c r="A60" s="112">
        <v>45984</v>
      </c>
      <c r="B60" s="104" t="s">
        <v>48</v>
      </c>
      <c r="C60" s="105" t="s">
        <v>55</v>
      </c>
      <c r="D60" s="104" t="s">
        <v>1</v>
      </c>
      <c r="E60" s="113">
        <v>1.947916666666667</v>
      </c>
      <c r="F60" s="104" t="s">
        <v>50</v>
      </c>
      <c r="G60" s="106">
        <v>9</v>
      </c>
      <c r="H60" s="107" t="s">
        <v>52</v>
      </c>
    </row>
    <row r="61" spans="1:8" ht="19.8" customHeight="1" x14ac:dyDescent="0.3">
      <c r="A61" s="112">
        <v>45984</v>
      </c>
      <c r="B61" s="104" t="s">
        <v>41</v>
      </c>
      <c r="C61" s="105" t="s">
        <v>42</v>
      </c>
      <c r="D61" s="104" t="s">
        <v>1</v>
      </c>
      <c r="E61" s="113">
        <v>1.229166666666667</v>
      </c>
      <c r="F61" s="104" t="s">
        <v>46</v>
      </c>
      <c r="G61" s="106">
        <v>10</v>
      </c>
      <c r="H61" s="107" t="s">
        <v>47</v>
      </c>
    </row>
    <row r="62" spans="1:8" ht="19.8" customHeight="1" x14ac:dyDescent="0.3">
      <c r="A62" s="112">
        <v>45984</v>
      </c>
      <c r="B62" s="104" t="s">
        <v>60</v>
      </c>
      <c r="C62" s="105" t="s">
        <v>74</v>
      </c>
      <c r="D62" s="104" t="s">
        <v>1</v>
      </c>
      <c r="E62" s="113">
        <v>1.895833333333333</v>
      </c>
      <c r="F62" s="104" t="s">
        <v>62</v>
      </c>
      <c r="G62" s="106">
        <v>9</v>
      </c>
      <c r="H62" s="107" t="s">
        <v>64</v>
      </c>
    </row>
    <row r="63" spans="1:8" ht="19.8" customHeight="1" x14ac:dyDescent="0.3">
      <c r="A63" s="112">
        <v>45984</v>
      </c>
      <c r="B63" s="104" t="s">
        <v>60</v>
      </c>
      <c r="C63" s="105" t="s">
        <v>61</v>
      </c>
      <c r="D63" s="104" t="s">
        <v>1</v>
      </c>
      <c r="E63" s="113">
        <v>1.1840277777777779</v>
      </c>
      <c r="F63" s="104" t="s">
        <v>62</v>
      </c>
      <c r="G63" s="106">
        <v>9</v>
      </c>
      <c r="H63" s="107" t="s">
        <v>64</v>
      </c>
    </row>
    <row r="64" spans="1:8" ht="19.8" customHeight="1" x14ac:dyDescent="0.3">
      <c r="A64" s="112">
        <v>45984</v>
      </c>
      <c r="B64" s="104" t="s">
        <v>48</v>
      </c>
      <c r="C64" s="105" t="s">
        <v>49</v>
      </c>
      <c r="D64" s="104" t="s">
        <v>1</v>
      </c>
      <c r="E64" s="113">
        <v>1.6875</v>
      </c>
      <c r="F64" s="104" t="s">
        <v>50</v>
      </c>
      <c r="G64" s="106">
        <v>9</v>
      </c>
      <c r="H64" s="107" t="s">
        <v>56</v>
      </c>
    </row>
    <row r="65" spans="1:8" ht="19.8" customHeight="1" x14ac:dyDescent="0.3">
      <c r="A65" s="112">
        <v>45984</v>
      </c>
      <c r="B65" s="104" t="s">
        <v>60</v>
      </c>
      <c r="C65" s="105" t="s">
        <v>74</v>
      </c>
      <c r="D65" s="104" t="s">
        <v>1</v>
      </c>
      <c r="E65" s="113">
        <v>1.895833333333333</v>
      </c>
      <c r="F65" s="104" t="s">
        <v>65</v>
      </c>
      <c r="G65" s="106">
        <v>9</v>
      </c>
      <c r="H65" s="107" t="s">
        <v>67</v>
      </c>
    </row>
    <row r="66" spans="1:8" ht="19.8" customHeight="1" x14ac:dyDescent="0.3">
      <c r="A66" s="112">
        <v>45984</v>
      </c>
      <c r="B66" s="104" t="s">
        <v>60</v>
      </c>
      <c r="C66" s="105" t="s">
        <v>61</v>
      </c>
      <c r="D66" s="104" t="s">
        <v>1</v>
      </c>
      <c r="E66" s="113">
        <v>1.1840277777777779</v>
      </c>
      <c r="F66" s="104" t="s">
        <v>65</v>
      </c>
      <c r="G66" s="106">
        <v>9</v>
      </c>
      <c r="H66" s="107" t="s">
        <v>67</v>
      </c>
    </row>
    <row r="67" spans="1:8" ht="19.8" customHeight="1" x14ac:dyDescent="0.3">
      <c r="A67" s="120">
        <v>45984</v>
      </c>
      <c r="B67" s="121" t="s">
        <v>77</v>
      </c>
      <c r="C67" s="122" t="s">
        <v>100</v>
      </c>
      <c r="D67" s="121" t="s">
        <v>1</v>
      </c>
      <c r="E67" s="123">
        <v>1.743055555555556</v>
      </c>
      <c r="F67" s="121" t="s">
        <v>101</v>
      </c>
      <c r="G67" s="124">
        <v>2</v>
      </c>
      <c r="H67" s="125" t="s">
        <v>102</v>
      </c>
    </row>
    <row r="68" spans="1:8" ht="19.8" customHeight="1" x14ac:dyDescent="0.3">
      <c r="A68" s="112">
        <v>45984</v>
      </c>
      <c r="B68" s="104" t="s">
        <v>26</v>
      </c>
      <c r="C68" s="105" t="s">
        <v>36</v>
      </c>
      <c r="D68" s="104" t="s">
        <v>1</v>
      </c>
      <c r="E68" s="113">
        <v>1.6076388888888891</v>
      </c>
      <c r="F68" s="104" t="s">
        <v>34</v>
      </c>
      <c r="G68" s="106">
        <v>2</v>
      </c>
      <c r="H68" s="107" t="s">
        <v>114</v>
      </c>
    </row>
    <row r="69" spans="1:8" ht="19.8" customHeight="1" x14ac:dyDescent="0.3">
      <c r="A69" s="112">
        <v>45984</v>
      </c>
      <c r="B69" s="104" t="s">
        <v>60</v>
      </c>
      <c r="C69" s="105" t="s">
        <v>71</v>
      </c>
      <c r="D69" s="104" t="s">
        <v>1</v>
      </c>
      <c r="E69" s="113">
        <v>1.229166666666667</v>
      </c>
      <c r="F69" s="104" t="s">
        <v>65</v>
      </c>
      <c r="G69" s="106">
        <v>4</v>
      </c>
      <c r="H69" s="107" t="s">
        <v>73</v>
      </c>
    </row>
    <row r="70" spans="1:8" ht="19.8" customHeight="1" x14ac:dyDescent="0.3">
      <c r="A70" s="112">
        <v>45984</v>
      </c>
      <c r="B70" s="104" t="s">
        <v>60</v>
      </c>
      <c r="C70" s="105" t="s">
        <v>68</v>
      </c>
      <c r="D70" s="104" t="s">
        <v>1</v>
      </c>
      <c r="E70" s="113">
        <v>1.350694444444444</v>
      </c>
      <c r="F70" s="104" t="s">
        <v>65</v>
      </c>
      <c r="G70" s="106">
        <v>7</v>
      </c>
      <c r="H70" s="107" t="s">
        <v>110</v>
      </c>
    </row>
    <row r="71" spans="1:8" ht="19.8" customHeight="1" x14ac:dyDescent="0.3">
      <c r="A71" s="112">
        <v>45984</v>
      </c>
      <c r="B71" s="104" t="s">
        <v>48</v>
      </c>
      <c r="C71" s="105" t="s">
        <v>90</v>
      </c>
      <c r="D71" s="104" t="s">
        <v>1</v>
      </c>
      <c r="E71" s="113">
        <v>1.336805555555556</v>
      </c>
      <c r="F71" s="104" t="s">
        <v>50</v>
      </c>
      <c r="G71" s="106">
        <v>1</v>
      </c>
      <c r="H71" s="107" t="s">
        <v>109</v>
      </c>
    </row>
    <row r="72" spans="1:8" ht="19.8" customHeight="1" x14ac:dyDescent="0.3">
      <c r="A72" s="112">
        <v>45984</v>
      </c>
      <c r="B72" s="104" t="s">
        <v>26</v>
      </c>
      <c r="C72" s="105" t="s">
        <v>36</v>
      </c>
      <c r="D72" s="104" t="s">
        <v>1</v>
      </c>
      <c r="E72" s="113">
        <v>1.6076388888888891</v>
      </c>
      <c r="F72" s="104" t="s">
        <v>28</v>
      </c>
      <c r="G72" s="106">
        <v>2</v>
      </c>
      <c r="H72" s="107" t="s">
        <v>116</v>
      </c>
    </row>
    <row r="73" spans="1:8" ht="19.8" customHeight="1" x14ac:dyDescent="0.3">
      <c r="A73" s="114">
        <v>45984</v>
      </c>
      <c r="B73" s="115" t="s">
        <v>26</v>
      </c>
      <c r="C73" s="116" t="s">
        <v>36</v>
      </c>
      <c r="D73" s="115" t="s">
        <v>1</v>
      </c>
      <c r="E73" s="117">
        <v>1.6076388888888891</v>
      </c>
      <c r="F73" s="115" t="s">
        <v>31</v>
      </c>
      <c r="G73" s="118">
        <v>2</v>
      </c>
      <c r="H73" s="119" t="s">
        <v>117</v>
      </c>
    </row>
    <row r="74" spans="1:8" ht="19.8" customHeight="1" x14ac:dyDescent="0.3">
      <c r="A74" s="112">
        <v>45985</v>
      </c>
      <c r="B74" s="104" t="s">
        <v>41</v>
      </c>
      <c r="C74" s="105" t="s">
        <v>42</v>
      </c>
      <c r="D74" s="104" t="s">
        <v>1</v>
      </c>
      <c r="E74" s="113">
        <v>1.229166666666667</v>
      </c>
      <c r="F74" s="104" t="s">
        <v>43</v>
      </c>
      <c r="G74" s="106">
        <v>7</v>
      </c>
      <c r="H74" s="107" t="s">
        <v>93</v>
      </c>
    </row>
    <row r="75" spans="1:8" ht="19.8" customHeight="1" x14ac:dyDescent="0.3">
      <c r="A75" s="112">
        <v>45985</v>
      </c>
      <c r="B75" s="104" t="s">
        <v>26</v>
      </c>
      <c r="C75" s="105" t="s">
        <v>36</v>
      </c>
      <c r="D75" s="104" t="s">
        <v>1</v>
      </c>
      <c r="E75" s="113">
        <v>1.6076388888888891</v>
      </c>
      <c r="F75" s="104" t="s">
        <v>28</v>
      </c>
      <c r="G75" s="106">
        <v>7</v>
      </c>
      <c r="H75" s="107" t="s">
        <v>33</v>
      </c>
    </row>
    <row r="76" spans="1:8" ht="19.8" customHeight="1" x14ac:dyDescent="0.3">
      <c r="A76" s="112">
        <v>45985</v>
      </c>
      <c r="B76" s="104" t="s">
        <v>41</v>
      </c>
      <c r="C76" s="105" t="s">
        <v>42</v>
      </c>
      <c r="D76" s="104" t="s">
        <v>1</v>
      </c>
      <c r="E76" s="113">
        <v>1.229166666666667</v>
      </c>
      <c r="F76" s="104" t="s">
        <v>45</v>
      </c>
      <c r="G76" s="106">
        <v>7</v>
      </c>
      <c r="H76" s="107" t="s">
        <v>95</v>
      </c>
    </row>
    <row r="77" spans="1:8" ht="19.8" customHeight="1" x14ac:dyDescent="0.3">
      <c r="A77" s="112">
        <v>45985</v>
      </c>
      <c r="B77" s="104" t="s">
        <v>26</v>
      </c>
      <c r="C77" s="105" t="s">
        <v>27</v>
      </c>
      <c r="D77" s="104" t="s">
        <v>1</v>
      </c>
      <c r="E77" s="113">
        <v>1.4340277777777779</v>
      </c>
      <c r="F77" s="104" t="s">
        <v>28</v>
      </c>
      <c r="G77" s="106">
        <v>5</v>
      </c>
      <c r="H77" s="107" t="s">
        <v>122</v>
      </c>
    </row>
    <row r="78" spans="1:8" ht="19.8" customHeight="1" x14ac:dyDescent="0.3">
      <c r="A78" s="112">
        <v>45985</v>
      </c>
      <c r="B78" s="104" t="s">
        <v>26</v>
      </c>
      <c r="C78" s="105" t="s">
        <v>36</v>
      </c>
      <c r="D78" s="104" t="s">
        <v>1</v>
      </c>
      <c r="E78" s="113">
        <v>1.6076388888888891</v>
      </c>
      <c r="F78" s="104" t="s">
        <v>31</v>
      </c>
      <c r="G78" s="106">
        <v>7</v>
      </c>
      <c r="H78" s="107" t="s">
        <v>39</v>
      </c>
    </row>
    <row r="79" spans="1:8" ht="19.8" customHeight="1" x14ac:dyDescent="0.3">
      <c r="A79" s="112">
        <v>45985</v>
      </c>
      <c r="B79" s="104" t="s">
        <v>48</v>
      </c>
      <c r="C79" s="105" t="s">
        <v>49</v>
      </c>
      <c r="D79" s="104" t="s">
        <v>1</v>
      </c>
      <c r="E79" s="113">
        <v>1.697916666666667</v>
      </c>
      <c r="F79" s="104" t="s">
        <v>50</v>
      </c>
      <c r="G79" s="106">
        <v>9</v>
      </c>
      <c r="H79" s="107" t="s">
        <v>52</v>
      </c>
    </row>
    <row r="80" spans="1:8" ht="19.8" customHeight="1" x14ac:dyDescent="0.3">
      <c r="A80" s="112">
        <v>45985</v>
      </c>
      <c r="B80" s="104" t="s">
        <v>48</v>
      </c>
      <c r="C80" s="105" t="s">
        <v>53</v>
      </c>
      <c r="D80" s="104" t="s">
        <v>1</v>
      </c>
      <c r="E80" s="113">
        <v>1.0659722222222221</v>
      </c>
      <c r="F80" s="104" t="s">
        <v>50</v>
      </c>
      <c r="G80" s="106">
        <v>9</v>
      </c>
      <c r="H80" s="107" t="s">
        <v>52</v>
      </c>
    </row>
    <row r="81" spans="1:8" ht="19.8" customHeight="1" x14ac:dyDescent="0.3">
      <c r="A81" s="112">
        <v>45985</v>
      </c>
      <c r="B81" s="104" t="s">
        <v>26</v>
      </c>
      <c r="C81" s="105" t="s">
        <v>27</v>
      </c>
      <c r="D81" s="104" t="s">
        <v>1</v>
      </c>
      <c r="E81" s="113">
        <v>1.4340277777777779</v>
      </c>
      <c r="F81" s="104" t="s">
        <v>31</v>
      </c>
      <c r="G81" s="106">
        <v>5</v>
      </c>
      <c r="H81" s="107" t="s">
        <v>123</v>
      </c>
    </row>
    <row r="82" spans="1:8" ht="19.8" customHeight="1" x14ac:dyDescent="0.3">
      <c r="A82" s="112">
        <v>45985</v>
      </c>
      <c r="B82" s="104" t="s">
        <v>26</v>
      </c>
      <c r="C82" s="105" t="s">
        <v>36</v>
      </c>
      <c r="D82" s="104" t="s">
        <v>1</v>
      </c>
      <c r="E82" s="113">
        <v>1.6076388888888891</v>
      </c>
      <c r="F82" s="104" t="s">
        <v>34</v>
      </c>
      <c r="G82" s="106">
        <v>7</v>
      </c>
      <c r="H82" s="107" t="s">
        <v>40</v>
      </c>
    </row>
    <row r="83" spans="1:8" ht="19.8" customHeight="1" x14ac:dyDescent="0.3">
      <c r="A83" s="112">
        <v>45985</v>
      </c>
      <c r="B83" s="104" t="s">
        <v>60</v>
      </c>
      <c r="C83" s="105" t="s">
        <v>61</v>
      </c>
      <c r="D83" s="104" t="s">
        <v>1</v>
      </c>
      <c r="E83" s="113">
        <v>1.1840277777777779</v>
      </c>
      <c r="F83" s="104" t="s">
        <v>62</v>
      </c>
      <c r="G83" s="106">
        <v>9</v>
      </c>
      <c r="H83" s="107" t="s">
        <v>64</v>
      </c>
    </row>
    <row r="84" spans="1:8" ht="19.8" customHeight="1" x14ac:dyDescent="0.3">
      <c r="A84" s="112">
        <v>45985</v>
      </c>
      <c r="B84" s="104" t="s">
        <v>48</v>
      </c>
      <c r="C84" s="105" t="s">
        <v>55</v>
      </c>
      <c r="D84" s="104" t="s">
        <v>1</v>
      </c>
      <c r="E84" s="113">
        <v>1.9409722222222221</v>
      </c>
      <c r="F84" s="104" t="s">
        <v>50</v>
      </c>
      <c r="G84" s="106">
        <v>9</v>
      </c>
      <c r="H84" s="107" t="s">
        <v>56</v>
      </c>
    </row>
    <row r="85" spans="1:8" ht="19.8" customHeight="1" x14ac:dyDescent="0.3">
      <c r="A85" s="112">
        <v>45985</v>
      </c>
      <c r="B85" s="104" t="s">
        <v>48</v>
      </c>
      <c r="C85" s="105" t="s">
        <v>57</v>
      </c>
      <c r="D85" s="104" t="s">
        <v>1</v>
      </c>
      <c r="E85" s="113">
        <v>1.28125</v>
      </c>
      <c r="F85" s="104" t="s">
        <v>50</v>
      </c>
      <c r="G85" s="106">
        <v>9</v>
      </c>
      <c r="H85" s="107" t="s">
        <v>56</v>
      </c>
    </row>
    <row r="86" spans="1:8" ht="19.8" customHeight="1" x14ac:dyDescent="0.3">
      <c r="A86" s="112">
        <v>45985</v>
      </c>
      <c r="B86" s="104" t="s">
        <v>26</v>
      </c>
      <c r="C86" s="105" t="s">
        <v>27</v>
      </c>
      <c r="D86" s="104" t="s">
        <v>1</v>
      </c>
      <c r="E86" s="113">
        <v>1.4340277777777779</v>
      </c>
      <c r="F86" s="104" t="s">
        <v>34</v>
      </c>
      <c r="G86" s="106">
        <v>5</v>
      </c>
      <c r="H86" s="107" t="s">
        <v>124</v>
      </c>
    </row>
    <row r="87" spans="1:8" ht="19.8" customHeight="1" x14ac:dyDescent="0.3">
      <c r="A87" s="112">
        <v>45985</v>
      </c>
      <c r="B87" s="104" t="s">
        <v>60</v>
      </c>
      <c r="C87" s="105" t="s">
        <v>61</v>
      </c>
      <c r="D87" s="104" t="s">
        <v>1</v>
      </c>
      <c r="E87" s="113">
        <v>1.1840277777777779</v>
      </c>
      <c r="F87" s="104" t="s">
        <v>65</v>
      </c>
      <c r="G87" s="106">
        <v>9</v>
      </c>
      <c r="H87" s="107" t="s">
        <v>67</v>
      </c>
    </row>
    <row r="88" spans="1:8" ht="19.8" customHeight="1" x14ac:dyDescent="0.3">
      <c r="A88" s="120">
        <v>45985</v>
      </c>
      <c r="B88" s="121" t="s">
        <v>77</v>
      </c>
      <c r="C88" s="122" t="s">
        <v>126</v>
      </c>
      <c r="D88" s="121" t="s">
        <v>1</v>
      </c>
      <c r="E88" s="123">
        <v>1.868055555555556</v>
      </c>
      <c r="F88" s="121" t="s">
        <v>101</v>
      </c>
      <c r="G88" s="124">
        <v>5</v>
      </c>
      <c r="H88" s="125" t="s">
        <v>102</v>
      </c>
    </row>
    <row r="89" spans="1:8" ht="19.8" customHeight="1" x14ac:dyDescent="0.3">
      <c r="A89" s="112">
        <v>45985</v>
      </c>
      <c r="B89" s="104" t="s">
        <v>48</v>
      </c>
      <c r="C89" s="105" t="s">
        <v>90</v>
      </c>
      <c r="D89" s="104" t="s">
        <v>1</v>
      </c>
      <c r="E89" s="113">
        <v>1.336805555555556</v>
      </c>
      <c r="F89" s="104" t="s">
        <v>50</v>
      </c>
      <c r="G89" s="106">
        <v>9</v>
      </c>
      <c r="H89" s="107" t="s">
        <v>125</v>
      </c>
    </row>
    <row r="90" spans="1:8" ht="19.8" customHeight="1" x14ac:dyDescent="0.3">
      <c r="A90" s="112">
        <v>45985</v>
      </c>
      <c r="B90" s="104" t="s">
        <v>60</v>
      </c>
      <c r="C90" s="105" t="s">
        <v>68</v>
      </c>
      <c r="D90" s="104" t="s">
        <v>1</v>
      </c>
      <c r="E90" s="113">
        <v>1.350694444444444</v>
      </c>
      <c r="F90" s="104" t="s">
        <v>65</v>
      </c>
      <c r="G90" s="106">
        <v>9</v>
      </c>
      <c r="H90" s="107" t="s">
        <v>70</v>
      </c>
    </row>
    <row r="91" spans="1:8" ht="19.8" customHeight="1" x14ac:dyDescent="0.3">
      <c r="A91" s="112">
        <v>45985</v>
      </c>
      <c r="B91" s="104" t="s">
        <v>41</v>
      </c>
      <c r="C91" s="105" t="s">
        <v>42</v>
      </c>
      <c r="D91" s="104" t="s">
        <v>1</v>
      </c>
      <c r="E91" s="113">
        <v>1.229166666666667</v>
      </c>
      <c r="F91" s="104" t="s">
        <v>46</v>
      </c>
      <c r="G91" s="106">
        <v>7</v>
      </c>
      <c r="H91" s="107" t="s">
        <v>120</v>
      </c>
    </row>
    <row r="92" spans="1:8" ht="19.8" customHeight="1" x14ac:dyDescent="0.3">
      <c r="A92" s="112">
        <v>45985</v>
      </c>
      <c r="B92" s="104" t="s">
        <v>60</v>
      </c>
      <c r="C92" s="105" t="s">
        <v>71</v>
      </c>
      <c r="D92" s="104" t="s">
        <v>1</v>
      </c>
      <c r="E92" s="113">
        <v>1.229166666666667</v>
      </c>
      <c r="F92" s="104" t="s">
        <v>65</v>
      </c>
      <c r="G92" s="106">
        <v>4</v>
      </c>
      <c r="H92" s="107" t="s">
        <v>73</v>
      </c>
    </row>
    <row r="93" spans="1:8" ht="19.8" customHeight="1" x14ac:dyDescent="0.3">
      <c r="A93" s="114">
        <v>45985</v>
      </c>
      <c r="B93" s="115" t="s">
        <v>60</v>
      </c>
      <c r="C93" s="116" t="s">
        <v>74</v>
      </c>
      <c r="D93" s="115" t="s">
        <v>1</v>
      </c>
      <c r="E93" s="117">
        <v>1.895833333333333</v>
      </c>
      <c r="F93" s="115" t="s">
        <v>65</v>
      </c>
      <c r="G93" s="118">
        <v>7</v>
      </c>
      <c r="H93" s="119" t="s">
        <v>110</v>
      </c>
    </row>
    <row r="94" spans="1:8" ht="19.8" customHeight="1" x14ac:dyDescent="0.3">
      <c r="A94" s="112">
        <v>45986</v>
      </c>
      <c r="B94" s="104" t="s">
        <v>41</v>
      </c>
      <c r="C94" s="105" t="s">
        <v>42</v>
      </c>
      <c r="D94" s="104" t="s">
        <v>1</v>
      </c>
      <c r="E94" s="113">
        <v>1.229166666666667</v>
      </c>
      <c r="F94" s="104" t="s">
        <v>43</v>
      </c>
      <c r="G94" s="106">
        <v>12</v>
      </c>
      <c r="H94" s="107" t="s">
        <v>33</v>
      </c>
    </row>
    <row r="95" spans="1:8" ht="19.8" customHeight="1" x14ac:dyDescent="0.3">
      <c r="A95" s="112">
        <v>45986</v>
      </c>
      <c r="B95" s="104" t="s">
        <v>26</v>
      </c>
      <c r="C95" s="105" t="s">
        <v>36</v>
      </c>
      <c r="D95" s="104" t="s">
        <v>1</v>
      </c>
      <c r="E95" s="113">
        <v>1.6076388888888891</v>
      </c>
      <c r="F95" s="104" t="s">
        <v>28</v>
      </c>
      <c r="G95" s="106">
        <v>8</v>
      </c>
      <c r="H95" s="107" t="s">
        <v>122</v>
      </c>
    </row>
    <row r="96" spans="1:8" ht="19.8" customHeight="1" x14ac:dyDescent="0.3">
      <c r="A96" s="112">
        <v>45986</v>
      </c>
      <c r="B96" s="104" t="s">
        <v>41</v>
      </c>
      <c r="C96" s="105" t="s">
        <v>42</v>
      </c>
      <c r="D96" s="104" t="s">
        <v>1</v>
      </c>
      <c r="E96" s="113">
        <v>1.229166666666667</v>
      </c>
      <c r="F96" s="104" t="s">
        <v>45</v>
      </c>
      <c r="G96" s="106">
        <v>12</v>
      </c>
      <c r="H96" s="107" t="s">
        <v>132</v>
      </c>
    </row>
    <row r="97" spans="1:8" ht="19.8" customHeight="1" x14ac:dyDescent="0.3">
      <c r="A97" s="112">
        <v>45986</v>
      </c>
      <c r="B97" s="104" t="s">
        <v>26</v>
      </c>
      <c r="C97" s="105" t="s">
        <v>36</v>
      </c>
      <c r="D97" s="104" t="s">
        <v>1</v>
      </c>
      <c r="E97" s="113">
        <v>1.6076388888888891</v>
      </c>
      <c r="F97" s="104" t="s">
        <v>31</v>
      </c>
      <c r="G97" s="106">
        <v>8</v>
      </c>
      <c r="H97" s="107" t="s">
        <v>123</v>
      </c>
    </row>
    <row r="98" spans="1:8" ht="19.8" customHeight="1" x14ac:dyDescent="0.3">
      <c r="A98" s="112">
        <v>45986</v>
      </c>
      <c r="B98" s="104" t="s">
        <v>41</v>
      </c>
      <c r="C98" s="105" t="s">
        <v>42</v>
      </c>
      <c r="D98" s="104" t="s">
        <v>1</v>
      </c>
      <c r="E98" s="113">
        <v>1.229166666666667</v>
      </c>
      <c r="F98" s="104" t="s">
        <v>46</v>
      </c>
      <c r="G98" s="106">
        <v>12</v>
      </c>
      <c r="H98" s="107" t="s">
        <v>47</v>
      </c>
    </row>
    <row r="99" spans="1:8" ht="19.8" customHeight="1" x14ac:dyDescent="0.3">
      <c r="A99" s="112">
        <v>45986</v>
      </c>
      <c r="B99" s="104" t="s">
        <v>60</v>
      </c>
      <c r="C99" s="105" t="s">
        <v>61</v>
      </c>
      <c r="D99" s="104" t="s">
        <v>1</v>
      </c>
      <c r="E99" s="113">
        <v>1.1840277777777779</v>
      </c>
      <c r="F99" s="104" t="s">
        <v>62</v>
      </c>
      <c r="G99" s="106">
        <v>9</v>
      </c>
      <c r="H99" s="107" t="s">
        <v>64</v>
      </c>
    </row>
    <row r="100" spans="1:8" ht="19.8" customHeight="1" x14ac:dyDescent="0.3">
      <c r="A100" s="112">
        <v>45986</v>
      </c>
      <c r="B100" s="104" t="s">
        <v>26</v>
      </c>
      <c r="C100" s="105" t="s">
        <v>36</v>
      </c>
      <c r="D100" s="104" t="s">
        <v>1</v>
      </c>
      <c r="E100" s="113">
        <v>1.6076388888888891</v>
      </c>
      <c r="F100" s="104" t="s">
        <v>34</v>
      </c>
      <c r="G100" s="106">
        <v>8</v>
      </c>
      <c r="H100" s="107" t="s">
        <v>124</v>
      </c>
    </row>
    <row r="101" spans="1:8" ht="19.8" customHeight="1" x14ac:dyDescent="0.3">
      <c r="A101" s="112">
        <v>45986</v>
      </c>
      <c r="B101" s="104" t="s">
        <v>60</v>
      </c>
      <c r="C101" s="105" t="s">
        <v>61</v>
      </c>
      <c r="D101" s="104" t="s">
        <v>1</v>
      </c>
      <c r="E101" s="113">
        <v>1.1840277777777779</v>
      </c>
      <c r="F101" s="104" t="s">
        <v>65</v>
      </c>
      <c r="G101" s="106">
        <v>9</v>
      </c>
      <c r="H101" s="107" t="s">
        <v>67</v>
      </c>
    </row>
    <row r="102" spans="1:8" ht="19.8" customHeight="1" x14ac:dyDescent="0.3">
      <c r="A102" s="112">
        <v>45986</v>
      </c>
      <c r="B102" s="104" t="s">
        <v>48</v>
      </c>
      <c r="C102" s="105" t="s">
        <v>90</v>
      </c>
      <c r="D102" s="104" t="s">
        <v>1</v>
      </c>
      <c r="E102" s="113">
        <v>1.336805555555556</v>
      </c>
      <c r="F102" s="104" t="s">
        <v>50</v>
      </c>
      <c r="G102" s="106">
        <v>9</v>
      </c>
      <c r="H102" s="107" t="s">
        <v>91</v>
      </c>
    </row>
    <row r="103" spans="1:8" ht="19.8" customHeight="1" x14ac:dyDescent="0.3">
      <c r="A103" s="112">
        <v>45986</v>
      </c>
      <c r="B103" s="104" t="s">
        <v>48</v>
      </c>
      <c r="C103" s="105" t="s">
        <v>49</v>
      </c>
      <c r="D103" s="104" t="s">
        <v>1</v>
      </c>
      <c r="E103" s="113">
        <v>1.697916666666667</v>
      </c>
      <c r="F103" s="104" t="s">
        <v>50</v>
      </c>
      <c r="G103" s="106">
        <v>9</v>
      </c>
      <c r="H103" s="107" t="s">
        <v>91</v>
      </c>
    </row>
    <row r="104" spans="1:8" ht="19.8" customHeight="1" x14ac:dyDescent="0.3">
      <c r="A104" s="112">
        <v>45986</v>
      </c>
      <c r="B104" s="104" t="s">
        <v>48</v>
      </c>
      <c r="C104" s="105" t="s">
        <v>57</v>
      </c>
      <c r="D104" s="104" t="s">
        <v>1</v>
      </c>
      <c r="E104" s="113">
        <v>1.288194444444444</v>
      </c>
      <c r="F104" s="104" t="s">
        <v>50</v>
      </c>
      <c r="G104" s="106">
        <v>9</v>
      </c>
      <c r="H104" s="107" t="s">
        <v>91</v>
      </c>
    </row>
    <row r="105" spans="1:8" ht="19.8" customHeight="1" x14ac:dyDescent="0.3">
      <c r="A105" s="112">
        <v>45986</v>
      </c>
      <c r="B105" s="104" t="s">
        <v>48</v>
      </c>
      <c r="C105" s="105" t="s">
        <v>55</v>
      </c>
      <c r="D105" s="104" t="s">
        <v>1</v>
      </c>
      <c r="E105" s="113">
        <v>1.9409722222222221</v>
      </c>
      <c r="F105" s="104" t="s">
        <v>50</v>
      </c>
      <c r="G105" s="106">
        <v>9</v>
      </c>
      <c r="H105" s="107" t="s">
        <v>125</v>
      </c>
    </row>
    <row r="106" spans="1:8" ht="19.8" customHeight="1" x14ac:dyDescent="0.3">
      <c r="A106" s="112">
        <v>45986</v>
      </c>
      <c r="B106" s="104" t="s">
        <v>48</v>
      </c>
      <c r="C106" s="105" t="s">
        <v>53</v>
      </c>
      <c r="D106" s="104" t="s">
        <v>1</v>
      </c>
      <c r="E106" s="113">
        <v>1.0659722222222221</v>
      </c>
      <c r="F106" s="104" t="s">
        <v>50</v>
      </c>
      <c r="G106" s="106">
        <v>9</v>
      </c>
      <c r="H106" s="107" t="s">
        <v>125</v>
      </c>
    </row>
    <row r="107" spans="1:8" ht="19.8" customHeight="1" x14ac:dyDescent="0.3">
      <c r="A107" s="112">
        <v>45986</v>
      </c>
      <c r="B107" s="104" t="s">
        <v>60</v>
      </c>
      <c r="C107" s="105" t="s">
        <v>68</v>
      </c>
      <c r="D107" s="104" t="s">
        <v>1</v>
      </c>
      <c r="E107" s="113">
        <v>1.350694444444444</v>
      </c>
      <c r="F107" s="104" t="s">
        <v>65</v>
      </c>
      <c r="G107" s="106">
        <v>1</v>
      </c>
      <c r="H107" s="107" t="s">
        <v>70</v>
      </c>
    </row>
    <row r="108" spans="1:8" ht="19.8" customHeight="1" x14ac:dyDescent="0.3">
      <c r="A108" s="112">
        <v>45986</v>
      </c>
      <c r="B108" s="104" t="s">
        <v>60</v>
      </c>
      <c r="C108" s="105" t="s">
        <v>71</v>
      </c>
      <c r="D108" s="104" t="s">
        <v>1</v>
      </c>
      <c r="E108" s="113">
        <v>1.229166666666667</v>
      </c>
      <c r="F108" s="104" t="s">
        <v>65</v>
      </c>
      <c r="G108" s="106">
        <v>4</v>
      </c>
      <c r="H108" s="107" t="s">
        <v>134</v>
      </c>
    </row>
    <row r="109" spans="1:8" ht="19.8" customHeight="1" x14ac:dyDescent="0.3">
      <c r="A109" s="112">
        <v>45986</v>
      </c>
      <c r="B109" s="104" t="s">
        <v>60</v>
      </c>
      <c r="C109" s="105" t="s">
        <v>74</v>
      </c>
      <c r="D109" s="104" t="s">
        <v>1</v>
      </c>
      <c r="E109" s="113">
        <v>1.895833333333333</v>
      </c>
      <c r="F109" s="104" t="s">
        <v>65</v>
      </c>
      <c r="G109" s="106">
        <v>7</v>
      </c>
      <c r="H109" s="107" t="s">
        <v>110</v>
      </c>
    </row>
    <row r="110" spans="1:8" ht="19.8" customHeight="1" x14ac:dyDescent="0.3">
      <c r="A110" s="120">
        <v>45986</v>
      </c>
      <c r="B110" s="121" t="s">
        <v>77</v>
      </c>
      <c r="C110" s="122" t="s">
        <v>135</v>
      </c>
      <c r="D110" s="121" t="s">
        <v>1</v>
      </c>
      <c r="E110" s="123">
        <v>1.118055555555556</v>
      </c>
      <c r="F110" s="121" t="s">
        <v>79</v>
      </c>
      <c r="G110" s="121"/>
      <c r="H110" s="125" t="s">
        <v>80</v>
      </c>
    </row>
    <row r="111" spans="1:8" ht="19.8" customHeight="1" x14ac:dyDescent="0.3">
      <c r="A111" s="126">
        <v>45986</v>
      </c>
      <c r="B111" s="109" t="s">
        <v>77</v>
      </c>
      <c r="C111" s="110" t="s">
        <v>78</v>
      </c>
      <c r="D111" s="109" t="s">
        <v>1</v>
      </c>
      <c r="E111" s="127">
        <v>1.819444444444444</v>
      </c>
      <c r="F111" s="109" t="s">
        <v>79</v>
      </c>
      <c r="G111" s="109"/>
      <c r="H111" s="111" t="s">
        <v>80</v>
      </c>
    </row>
    <row r="112" spans="1:8" ht="19.8" customHeight="1" x14ac:dyDescent="0.3">
      <c r="A112" s="112">
        <v>45987</v>
      </c>
      <c r="B112" s="104" t="s">
        <v>41</v>
      </c>
      <c r="C112" s="105" t="s">
        <v>42</v>
      </c>
      <c r="D112" s="104" t="s">
        <v>1</v>
      </c>
      <c r="E112" s="113">
        <v>1.229166666666667</v>
      </c>
      <c r="F112" s="104" t="s">
        <v>43</v>
      </c>
      <c r="G112" s="106">
        <v>9</v>
      </c>
      <c r="H112" s="107" t="s">
        <v>33</v>
      </c>
    </row>
    <row r="113" spans="1:8" ht="19.8" customHeight="1" x14ac:dyDescent="0.3">
      <c r="A113" s="112">
        <v>45987</v>
      </c>
      <c r="B113" s="104" t="s">
        <v>41</v>
      </c>
      <c r="C113" s="105" t="s">
        <v>42</v>
      </c>
      <c r="D113" s="104" t="s">
        <v>1</v>
      </c>
      <c r="E113" s="113">
        <v>1.229166666666667</v>
      </c>
      <c r="F113" s="104" t="s">
        <v>45</v>
      </c>
      <c r="G113" s="106">
        <v>9</v>
      </c>
      <c r="H113" s="107" t="s">
        <v>132</v>
      </c>
    </row>
    <row r="114" spans="1:8" ht="19.8" customHeight="1" x14ac:dyDescent="0.3">
      <c r="A114" s="112">
        <v>45987</v>
      </c>
      <c r="B114" s="104" t="s">
        <v>41</v>
      </c>
      <c r="C114" s="105" t="s">
        <v>42</v>
      </c>
      <c r="D114" s="104" t="s">
        <v>1</v>
      </c>
      <c r="E114" s="113">
        <v>1.229166666666667</v>
      </c>
      <c r="F114" s="104" t="s">
        <v>46</v>
      </c>
      <c r="G114" s="106">
        <v>9</v>
      </c>
      <c r="H114" s="107" t="s">
        <v>47</v>
      </c>
    </row>
    <row r="115" spans="1:8" ht="19.8" customHeight="1" x14ac:dyDescent="0.3">
      <c r="A115" s="112">
        <v>45987</v>
      </c>
      <c r="B115" s="104" t="s">
        <v>26</v>
      </c>
      <c r="C115" s="105" t="s">
        <v>36</v>
      </c>
      <c r="D115" s="104" t="s">
        <v>1</v>
      </c>
      <c r="E115" s="113">
        <v>1.6076388888888891</v>
      </c>
      <c r="F115" s="104" t="s">
        <v>28</v>
      </c>
      <c r="G115" s="106">
        <v>3</v>
      </c>
      <c r="H115" s="107" t="s">
        <v>124</v>
      </c>
    </row>
    <row r="116" spans="1:8" ht="19.8" customHeight="1" x14ac:dyDescent="0.3">
      <c r="A116" s="112">
        <v>45987</v>
      </c>
      <c r="B116" s="104" t="s">
        <v>26</v>
      </c>
      <c r="C116" s="105" t="s">
        <v>36</v>
      </c>
      <c r="D116" s="104" t="s">
        <v>1</v>
      </c>
      <c r="E116" s="113">
        <v>1.6076388888888891</v>
      </c>
      <c r="F116" s="104" t="s">
        <v>31</v>
      </c>
      <c r="G116" s="106">
        <v>3</v>
      </c>
      <c r="H116" s="107" t="s">
        <v>140</v>
      </c>
    </row>
    <row r="117" spans="1:8" ht="19.8" customHeight="1" x14ac:dyDescent="0.3">
      <c r="A117" s="112">
        <v>45987</v>
      </c>
      <c r="B117" s="104" t="s">
        <v>26</v>
      </c>
      <c r="C117" s="105" t="s">
        <v>36</v>
      </c>
      <c r="D117" s="104" t="s">
        <v>1</v>
      </c>
      <c r="E117" s="113">
        <v>1.6076388888888891</v>
      </c>
      <c r="F117" s="104" t="s">
        <v>34</v>
      </c>
      <c r="G117" s="106">
        <v>3</v>
      </c>
      <c r="H117" s="107" t="s">
        <v>141</v>
      </c>
    </row>
    <row r="118" spans="1:8" ht="19.8" customHeight="1" x14ac:dyDescent="0.3">
      <c r="A118" s="112">
        <v>45987</v>
      </c>
      <c r="B118" s="104" t="s">
        <v>60</v>
      </c>
      <c r="C118" s="105" t="s">
        <v>68</v>
      </c>
      <c r="D118" s="104" t="s">
        <v>1</v>
      </c>
      <c r="E118" s="113">
        <v>1.350694444444444</v>
      </c>
      <c r="F118" s="104" t="s">
        <v>65</v>
      </c>
      <c r="G118" s="106">
        <v>8</v>
      </c>
      <c r="H118" s="107" t="s">
        <v>70</v>
      </c>
    </row>
    <row r="119" spans="1:8" ht="19.8" customHeight="1" x14ac:dyDescent="0.3">
      <c r="A119" s="112">
        <v>45987</v>
      </c>
      <c r="B119" s="104" t="s">
        <v>60</v>
      </c>
      <c r="C119" s="105" t="s">
        <v>74</v>
      </c>
      <c r="D119" s="104" t="s">
        <v>1</v>
      </c>
      <c r="E119" s="113">
        <v>1.895833333333333</v>
      </c>
      <c r="F119" s="104" t="s">
        <v>65</v>
      </c>
      <c r="G119" s="106">
        <v>9</v>
      </c>
      <c r="H119" s="107" t="s">
        <v>70</v>
      </c>
    </row>
    <row r="120" spans="1:8" ht="19.8" customHeight="1" x14ac:dyDescent="0.3">
      <c r="A120" s="112">
        <v>45987</v>
      </c>
      <c r="B120" s="104" t="s">
        <v>60</v>
      </c>
      <c r="C120" s="105" t="s">
        <v>61</v>
      </c>
      <c r="D120" s="104" t="s">
        <v>1</v>
      </c>
      <c r="E120" s="113">
        <v>1.1840277777777779</v>
      </c>
      <c r="F120" s="104" t="s">
        <v>65</v>
      </c>
      <c r="G120" s="106">
        <v>9</v>
      </c>
      <c r="H120" s="107" t="s">
        <v>70</v>
      </c>
    </row>
    <row r="121" spans="1:8" ht="19.8" customHeight="1" x14ac:dyDescent="0.3">
      <c r="A121" s="112">
        <v>45987</v>
      </c>
      <c r="B121" s="104" t="s">
        <v>60</v>
      </c>
      <c r="C121" s="105" t="s">
        <v>71</v>
      </c>
      <c r="D121" s="104" t="s">
        <v>1</v>
      </c>
      <c r="E121" s="113">
        <v>1.229166666666667</v>
      </c>
      <c r="F121" s="104" t="s">
        <v>65</v>
      </c>
      <c r="G121" s="106">
        <v>4</v>
      </c>
      <c r="H121" s="107" t="s">
        <v>134</v>
      </c>
    </row>
    <row r="122" spans="1:8" ht="19.8" customHeight="1" x14ac:dyDescent="0.3">
      <c r="A122" s="112">
        <v>45987</v>
      </c>
      <c r="B122" s="104" t="s">
        <v>48</v>
      </c>
      <c r="C122" s="105" t="s">
        <v>55</v>
      </c>
      <c r="D122" s="104" t="s">
        <v>1</v>
      </c>
      <c r="E122" s="113">
        <v>1.9513888888888891</v>
      </c>
      <c r="F122" s="104" t="s">
        <v>50</v>
      </c>
      <c r="G122" s="106">
        <v>3</v>
      </c>
      <c r="H122" s="107" t="s">
        <v>142</v>
      </c>
    </row>
    <row r="123" spans="1:8" ht="19.8" customHeight="1" x14ac:dyDescent="0.3">
      <c r="A123" s="114">
        <v>45987</v>
      </c>
      <c r="B123" s="115" t="s">
        <v>48</v>
      </c>
      <c r="C123" s="116" t="s">
        <v>57</v>
      </c>
      <c r="D123" s="115" t="s">
        <v>1</v>
      </c>
      <c r="E123" s="117">
        <v>1.288194444444444</v>
      </c>
      <c r="F123" s="115" t="s">
        <v>50</v>
      </c>
      <c r="G123" s="118">
        <v>1</v>
      </c>
      <c r="H123" s="119" t="s">
        <v>109</v>
      </c>
    </row>
    <row r="124" spans="1:8" ht="19.8" customHeight="1" x14ac:dyDescent="0.3">
      <c r="A124" s="112">
        <v>45988</v>
      </c>
      <c r="B124" s="104" t="s">
        <v>41</v>
      </c>
      <c r="C124" s="105" t="s">
        <v>42</v>
      </c>
      <c r="D124" s="104" t="s">
        <v>1</v>
      </c>
      <c r="E124" s="113">
        <v>1.229166666666667</v>
      </c>
      <c r="F124" s="104" t="s">
        <v>43</v>
      </c>
      <c r="G124" s="106">
        <v>2</v>
      </c>
      <c r="H124" s="107" t="s">
        <v>143</v>
      </c>
    </row>
    <row r="125" spans="1:8" ht="19.8" customHeight="1" x14ac:dyDescent="0.3">
      <c r="A125" s="112">
        <v>45988</v>
      </c>
      <c r="B125" s="104" t="s">
        <v>26</v>
      </c>
      <c r="C125" s="105" t="s">
        <v>36</v>
      </c>
      <c r="D125" s="104" t="s">
        <v>1</v>
      </c>
      <c r="E125" s="113">
        <v>1.6076388888888891</v>
      </c>
      <c r="F125" s="104" t="s">
        <v>28</v>
      </c>
      <c r="G125" s="106">
        <v>2</v>
      </c>
      <c r="H125" s="107" t="s">
        <v>122</v>
      </c>
    </row>
    <row r="126" spans="1:8" ht="19.8" customHeight="1" x14ac:dyDescent="0.3">
      <c r="A126" s="112">
        <v>45988</v>
      </c>
      <c r="B126" s="104" t="s">
        <v>26</v>
      </c>
      <c r="C126" s="105" t="s">
        <v>27</v>
      </c>
      <c r="D126" s="104" t="s">
        <v>1</v>
      </c>
      <c r="E126" s="113">
        <v>1.4340277777777779</v>
      </c>
      <c r="F126" s="104" t="s">
        <v>28</v>
      </c>
      <c r="G126" s="106">
        <v>8</v>
      </c>
      <c r="H126" s="107" t="s">
        <v>145</v>
      </c>
    </row>
    <row r="127" spans="1:8" ht="19.8" customHeight="1" x14ac:dyDescent="0.3">
      <c r="A127" s="112">
        <v>45988</v>
      </c>
      <c r="B127" s="104" t="s">
        <v>26</v>
      </c>
      <c r="C127" s="105" t="s">
        <v>36</v>
      </c>
      <c r="D127" s="104" t="s">
        <v>1</v>
      </c>
      <c r="E127" s="113">
        <v>1.6076388888888891</v>
      </c>
      <c r="F127" s="104" t="s">
        <v>31</v>
      </c>
      <c r="G127" s="106">
        <v>2</v>
      </c>
      <c r="H127" s="107" t="s">
        <v>123</v>
      </c>
    </row>
    <row r="128" spans="1:8" ht="19.8" customHeight="1" x14ac:dyDescent="0.3">
      <c r="A128" s="112">
        <v>45988</v>
      </c>
      <c r="B128" s="104" t="s">
        <v>41</v>
      </c>
      <c r="C128" s="105" t="s">
        <v>42</v>
      </c>
      <c r="D128" s="104" t="s">
        <v>1</v>
      </c>
      <c r="E128" s="113">
        <v>1.229166666666667</v>
      </c>
      <c r="F128" s="104" t="s">
        <v>45</v>
      </c>
      <c r="G128" s="106">
        <v>2</v>
      </c>
      <c r="H128" s="107" t="s">
        <v>47</v>
      </c>
    </row>
    <row r="129" spans="1:8" ht="19.8" customHeight="1" x14ac:dyDescent="0.3">
      <c r="A129" s="112">
        <v>45988</v>
      </c>
      <c r="B129" s="104" t="s">
        <v>41</v>
      </c>
      <c r="C129" s="105" t="s">
        <v>42</v>
      </c>
      <c r="D129" s="104" t="s">
        <v>1</v>
      </c>
      <c r="E129" s="113">
        <v>1.229166666666667</v>
      </c>
      <c r="F129" s="104" t="s">
        <v>46</v>
      </c>
      <c r="G129" s="106">
        <v>2</v>
      </c>
      <c r="H129" s="107" t="s">
        <v>47</v>
      </c>
    </row>
    <row r="130" spans="1:8" ht="19.8" customHeight="1" x14ac:dyDescent="0.3">
      <c r="A130" s="112">
        <v>45988</v>
      </c>
      <c r="B130" s="104" t="s">
        <v>26</v>
      </c>
      <c r="C130" s="105" t="s">
        <v>36</v>
      </c>
      <c r="D130" s="104" t="s">
        <v>1</v>
      </c>
      <c r="E130" s="113">
        <v>1.6076388888888891</v>
      </c>
      <c r="F130" s="104" t="s">
        <v>34</v>
      </c>
      <c r="G130" s="106">
        <v>2</v>
      </c>
      <c r="H130" s="107" t="s">
        <v>124</v>
      </c>
    </row>
    <row r="131" spans="1:8" ht="19.8" customHeight="1" x14ac:dyDescent="0.3">
      <c r="A131" s="112">
        <v>45988</v>
      </c>
      <c r="B131" s="104" t="s">
        <v>26</v>
      </c>
      <c r="C131" s="105" t="s">
        <v>27</v>
      </c>
      <c r="D131" s="104" t="s">
        <v>1</v>
      </c>
      <c r="E131" s="113">
        <v>1.4340277777777779</v>
      </c>
      <c r="F131" s="104" t="s">
        <v>31</v>
      </c>
      <c r="G131" s="106">
        <v>8</v>
      </c>
      <c r="H131" s="107" t="s">
        <v>124</v>
      </c>
    </row>
    <row r="132" spans="1:8" ht="19.8" customHeight="1" x14ac:dyDescent="0.3">
      <c r="A132" s="112">
        <v>45988</v>
      </c>
      <c r="B132" s="104" t="s">
        <v>26</v>
      </c>
      <c r="C132" s="105" t="s">
        <v>27</v>
      </c>
      <c r="D132" s="104" t="s">
        <v>1</v>
      </c>
      <c r="E132" s="113">
        <v>1.4340277777777779</v>
      </c>
      <c r="F132" s="104" t="s">
        <v>34</v>
      </c>
      <c r="G132" s="106">
        <v>8</v>
      </c>
      <c r="H132" s="107" t="s">
        <v>146</v>
      </c>
    </row>
    <row r="133" spans="1:8" ht="19.8" customHeight="1" x14ac:dyDescent="0.3">
      <c r="A133" s="112">
        <v>45988</v>
      </c>
      <c r="B133" s="104" t="s">
        <v>60</v>
      </c>
      <c r="C133" s="105" t="s">
        <v>61</v>
      </c>
      <c r="D133" s="104" t="s">
        <v>1</v>
      </c>
      <c r="E133" s="113">
        <v>1.1840277777777779</v>
      </c>
      <c r="F133" s="104" t="s">
        <v>65</v>
      </c>
      <c r="G133" s="106">
        <v>9</v>
      </c>
      <c r="H133" s="107" t="s">
        <v>70</v>
      </c>
    </row>
    <row r="134" spans="1:8" ht="19.8" customHeight="1" x14ac:dyDescent="0.3">
      <c r="A134" s="112">
        <v>45988</v>
      </c>
      <c r="B134" s="104" t="s">
        <v>60</v>
      </c>
      <c r="C134" s="105" t="s">
        <v>68</v>
      </c>
      <c r="D134" s="104" t="s">
        <v>1</v>
      </c>
      <c r="E134" s="113">
        <v>1.354166666666667</v>
      </c>
      <c r="F134" s="104" t="s">
        <v>65</v>
      </c>
      <c r="G134" s="106">
        <v>1</v>
      </c>
      <c r="H134" s="107" t="s">
        <v>76</v>
      </c>
    </row>
    <row r="135" spans="1:8" ht="19.8" customHeight="1" x14ac:dyDescent="0.3">
      <c r="A135" s="112">
        <v>45988</v>
      </c>
      <c r="B135" s="104" t="s">
        <v>60</v>
      </c>
      <c r="C135" s="105" t="s">
        <v>71</v>
      </c>
      <c r="D135" s="104" t="s">
        <v>1</v>
      </c>
      <c r="E135" s="113">
        <v>1.229166666666667</v>
      </c>
      <c r="F135" s="104" t="s">
        <v>65</v>
      </c>
      <c r="G135" s="106">
        <v>4</v>
      </c>
      <c r="H135" s="107" t="s">
        <v>147</v>
      </c>
    </row>
    <row r="136" spans="1:8" ht="19.8" customHeight="1" x14ac:dyDescent="0.3">
      <c r="A136" s="112">
        <v>45988</v>
      </c>
      <c r="B136" s="104" t="s">
        <v>48</v>
      </c>
      <c r="C136" s="105" t="s">
        <v>49</v>
      </c>
      <c r="D136" s="104" t="s">
        <v>1</v>
      </c>
      <c r="E136" s="113">
        <v>1.697916666666667</v>
      </c>
      <c r="F136" s="104" t="s">
        <v>50</v>
      </c>
      <c r="G136" s="106">
        <v>9</v>
      </c>
      <c r="H136" s="107" t="s">
        <v>109</v>
      </c>
    </row>
    <row r="137" spans="1:8" ht="19.8" customHeight="1" x14ac:dyDescent="0.3">
      <c r="A137" s="126">
        <v>45988</v>
      </c>
      <c r="B137" s="109" t="s">
        <v>77</v>
      </c>
      <c r="C137" s="110" t="s">
        <v>78</v>
      </c>
      <c r="D137" s="109" t="s">
        <v>1</v>
      </c>
      <c r="E137" s="127">
        <v>1.381944444444444</v>
      </c>
      <c r="F137" s="109" t="s">
        <v>79</v>
      </c>
      <c r="G137" s="109"/>
      <c r="H137" s="111" t="s">
        <v>80</v>
      </c>
    </row>
    <row r="138" spans="1:8" ht="19.8" customHeight="1" x14ac:dyDescent="0.3">
      <c r="A138" s="112">
        <v>45989</v>
      </c>
      <c r="B138" s="104" t="s">
        <v>41</v>
      </c>
      <c r="C138" s="105" t="s">
        <v>42</v>
      </c>
      <c r="D138" s="104" t="s">
        <v>1</v>
      </c>
      <c r="E138" s="113">
        <v>1.229166666666667</v>
      </c>
      <c r="F138" s="104" t="s">
        <v>43</v>
      </c>
      <c r="G138" s="106">
        <v>3</v>
      </c>
      <c r="H138" s="107" t="s">
        <v>44</v>
      </c>
    </row>
    <row r="139" spans="1:8" ht="19.8" customHeight="1" x14ac:dyDescent="0.3">
      <c r="A139" s="112">
        <v>45989</v>
      </c>
      <c r="B139" s="104" t="s">
        <v>41</v>
      </c>
      <c r="C139" s="105" t="s">
        <v>42</v>
      </c>
      <c r="D139" s="104" t="s">
        <v>1</v>
      </c>
      <c r="E139" s="113">
        <v>1.229166666666667</v>
      </c>
      <c r="F139" s="104" t="s">
        <v>45</v>
      </c>
      <c r="G139" s="106">
        <v>3</v>
      </c>
      <c r="H139" s="107" t="s">
        <v>35</v>
      </c>
    </row>
    <row r="140" spans="1:8" ht="19.8" customHeight="1" x14ac:dyDescent="0.3">
      <c r="A140" s="112">
        <v>45989</v>
      </c>
      <c r="B140" s="104" t="s">
        <v>26</v>
      </c>
      <c r="C140" s="105" t="s">
        <v>36</v>
      </c>
      <c r="D140" s="104" t="s">
        <v>1</v>
      </c>
      <c r="E140" s="113">
        <v>1.6076388888888891</v>
      </c>
      <c r="F140" s="104" t="s">
        <v>28</v>
      </c>
      <c r="G140" s="106">
        <v>1</v>
      </c>
      <c r="H140" s="107" t="s">
        <v>149</v>
      </c>
    </row>
    <row r="141" spans="1:8" ht="19.8" customHeight="1" x14ac:dyDescent="0.3">
      <c r="A141" s="112">
        <v>45989</v>
      </c>
      <c r="B141" s="104" t="s">
        <v>41</v>
      </c>
      <c r="C141" s="105" t="s">
        <v>42</v>
      </c>
      <c r="D141" s="104" t="s">
        <v>1</v>
      </c>
      <c r="E141" s="113">
        <v>1.229166666666667</v>
      </c>
      <c r="F141" s="104" t="s">
        <v>46</v>
      </c>
      <c r="G141" s="106">
        <v>3</v>
      </c>
      <c r="H141" s="107" t="s">
        <v>47</v>
      </c>
    </row>
    <row r="142" spans="1:8" ht="19.8" customHeight="1" x14ac:dyDescent="0.3">
      <c r="A142" s="112">
        <v>45989</v>
      </c>
      <c r="B142" s="104" t="s">
        <v>48</v>
      </c>
      <c r="C142" s="105" t="s">
        <v>53</v>
      </c>
      <c r="D142" s="104" t="s">
        <v>1</v>
      </c>
      <c r="E142" s="113">
        <v>1.0659722222222221</v>
      </c>
      <c r="F142" s="104" t="s">
        <v>50</v>
      </c>
      <c r="G142" s="106">
        <v>9</v>
      </c>
      <c r="H142" s="107" t="s">
        <v>56</v>
      </c>
    </row>
    <row r="143" spans="1:8" ht="19.8" customHeight="1" x14ac:dyDescent="0.3">
      <c r="A143" s="112">
        <v>45989</v>
      </c>
      <c r="B143" s="104" t="s">
        <v>26</v>
      </c>
      <c r="C143" s="105" t="s">
        <v>36</v>
      </c>
      <c r="D143" s="104" t="s">
        <v>1</v>
      </c>
      <c r="E143" s="113">
        <v>1.6076388888888891</v>
      </c>
      <c r="F143" s="104" t="s">
        <v>31</v>
      </c>
      <c r="G143" s="106">
        <v>1</v>
      </c>
      <c r="H143" s="107" t="s">
        <v>150</v>
      </c>
    </row>
    <row r="144" spans="1:8" ht="19.8" customHeight="1" x14ac:dyDescent="0.3">
      <c r="A144" s="112">
        <v>45989</v>
      </c>
      <c r="B144" s="104" t="s">
        <v>48</v>
      </c>
      <c r="C144" s="105" t="s">
        <v>55</v>
      </c>
      <c r="D144" s="104" t="s">
        <v>1</v>
      </c>
      <c r="E144" s="113">
        <v>1.9409722222222221</v>
      </c>
      <c r="F144" s="104" t="s">
        <v>50</v>
      </c>
      <c r="G144" s="106">
        <v>9</v>
      </c>
      <c r="H144" s="107" t="s">
        <v>91</v>
      </c>
    </row>
    <row r="145" spans="1:8" ht="19.8" customHeight="1" x14ac:dyDescent="0.3">
      <c r="A145" s="112">
        <v>45989</v>
      </c>
      <c r="B145" s="104" t="s">
        <v>48</v>
      </c>
      <c r="C145" s="105" t="s">
        <v>49</v>
      </c>
      <c r="D145" s="104" t="s">
        <v>1</v>
      </c>
      <c r="E145" s="113">
        <v>1.697916666666667</v>
      </c>
      <c r="F145" s="104" t="s">
        <v>50</v>
      </c>
      <c r="G145" s="106">
        <v>9</v>
      </c>
      <c r="H145" s="107" t="s">
        <v>91</v>
      </c>
    </row>
    <row r="146" spans="1:8" ht="19.8" customHeight="1" x14ac:dyDescent="0.3">
      <c r="A146" s="112">
        <v>45989</v>
      </c>
      <c r="B146" s="104" t="s">
        <v>26</v>
      </c>
      <c r="C146" s="105" t="s">
        <v>36</v>
      </c>
      <c r="D146" s="104" t="s">
        <v>1</v>
      </c>
      <c r="E146" s="113">
        <v>1.6076388888888891</v>
      </c>
      <c r="F146" s="104" t="s">
        <v>34</v>
      </c>
      <c r="G146" s="106">
        <v>1</v>
      </c>
      <c r="H146" s="107" t="s">
        <v>151</v>
      </c>
    </row>
    <row r="147" spans="1:8" ht="19.8" customHeight="1" x14ac:dyDescent="0.3">
      <c r="A147" s="112">
        <v>45989</v>
      </c>
      <c r="B147" s="104" t="s">
        <v>60</v>
      </c>
      <c r="C147" s="105" t="s">
        <v>68</v>
      </c>
      <c r="D147" s="104" t="s">
        <v>1</v>
      </c>
      <c r="E147" s="113">
        <v>1.350694444444444</v>
      </c>
      <c r="F147" s="104" t="s">
        <v>65</v>
      </c>
      <c r="G147" s="106">
        <v>9</v>
      </c>
      <c r="H147" s="107" t="s">
        <v>152</v>
      </c>
    </row>
    <row r="148" spans="1:8" ht="19.8" customHeight="1" x14ac:dyDescent="0.3">
      <c r="A148" s="112">
        <v>45989</v>
      </c>
      <c r="B148" s="104" t="s">
        <v>60</v>
      </c>
      <c r="C148" s="105" t="s">
        <v>74</v>
      </c>
      <c r="D148" s="104" t="s">
        <v>1</v>
      </c>
      <c r="E148" s="113">
        <v>1.895833333333333</v>
      </c>
      <c r="F148" s="104" t="s">
        <v>65</v>
      </c>
      <c r="G148" s="106">
        <v>9</v>
      </c>
      <c r="H148" s="107" t="s">
        <v>152</v>
      </c>
    </row>
    <row r="149" spans="1:8" ht="19.8" customHeight="1" x14ac:dyDescent="0.3">
      <c r="A149" s="112">
        <v>45989</v>
      </c>
      <c r="B149" s="104" t="s">
        <v>60</v>
      </c>
      <c r="C149" s="105" t="s">
        <v>61</v>
      </c>
      <c r="D149" s="104" t="s">
        <v>1</v>
      </c>
      <c r="E149" s="113">
        <v>1.1840277777777779</v>
      </c>
      <c r="F149" s="104" t="s">
        <v>65</v>
      </c>
      <c r="G149" s="106">
        <v>9</v>
      </c>
      <c r="H149" s="107" t="s">
        <v>152</v>
      </c>
    </row>
    <row r="150" spans="1:8" ht="19.8" customHeight="1" x14ac:dyDescent="0.3">
      <c r="A150" s="114">
        <v>45989</v>
      </c>
      <c r="B150" s="115" t="s">
        <v>60</v>
      </c>
      <c r="C150" s="116" t="s">
        <v>71</v>
      </c>
      <c r="D150" s="115" t="s">
        <v>1</v>
      </c>
      <c r="E150" s="117">
        <v>1.229166666666667</v>
      </c>
      <c r="F150" s="115" t="s">
        <v>65</v>
      </c>
      <c r="G150" s="118">
        <v>4</v>
      </c>
      <c r="H150" s="119" t="s">
        <v>134</v>
      </c>
    </row>
    <row r="151" spans="1:8" ht="19.8" customHeight="1" x14ac:dyDescent="0.3">
      <c r="A151" s="112">
        <v>45990</v>
      </c>
      <c r="B151" s="104" t="s">
        <v>41</v>
      </c>
      <c r="C151" s="105" t="s">
        <v>42</v>
      </c>
      <c r="D151" s="104" t="s">
        <v>1</v>
      </c>
      <c r="E151" s="113">
        <v>1.229166666666667</v>
      </c>
      <c r="F151" s="104" t="s">
        <v>43</v>
      </c>
      <c r="G151" s="106">
        <v>8</v>
      </c>
      <c r="H151" s="107" t="s">
        <v>33</v>
      </c>
    </row>
    <row r="152" spans="1:8" ht="19.8" customHeight="1" x14ac:dyDescent="0.3">
      <c r="A152" s="112">
        <v>45990</v>
      </c>
      <c r="B152" s="104" t="s">
        <v>26</v>
      </c>
      <c r="C152" s="105" t="s">
        <v>27</v>
      </c>
      <c r="D152" s="104" t="s">
        <v>1</v>
      </c>
      <c r="E152" s="113">
        <v>1.4340277777777779</v>
      </c>
      <c r="F152" s="104" t="s">
        <v>28</v>
      </c>
      <c r="G152" s="106">
        <v>4</v>
      </c>
      <c r="H152" s="107" t="s">
        <v>153</v>
      </c>
    </row>
    <row r="153" spans="1:8" ht="19.8" customHeight="1" x14ac:dyDescent="0.3">
      <c r="A153" s="112">
        <v>45990</v>
      </c>
      <c r="B153" s="104" t="s">
        <v>26</v>
      </c>
      <c r="C153" s="105" t="s">
        <v>27</v>
      </c>
      <c r="D153" s="104" t="s">
        <v>1</v>
      </c>
      <c r="E153" s="113">
        <v>1.4340277777777779</v>
      </c>
      <c r="F153" s="104" t="s">
        <v>31</v>
      </c>
      <c r="G153" s="106">
        <v>4</v>
      </c>
      <c r="H153" s="107" t="s">
        <v>154</v>
      </c>
    </row>
    <row r="154" spans="1:8" ht="19.8" customHeight="1" x14ac:dyDescent="0.3">
      <c r="A154" s="112">
        <v>45990</v>
      </c>
      <c r="B154" s="104" t="s">
        <v>26</v>
      </c>
      <c r="C154" s="105" t="s">
        <v>36</v>
      </c>
      <c r="D154" s="104" t="s">
        <v>1</v>
      </c>
      <c r="E154" s="113">
        <v>1.6076388888888891</v>
      </c>
      <c r="F154" s="104" t="s">
        <v>28</v>
      </c>
      <c r="G154" s="106">
        <v>7</v>
      </c>
      <c r="H154" s="107" t="s">
        <v>149</v>
      </c>
    </row>
    <row r="155" spans="1:8" ht="19.8" customHeight="1" x14ac:dyDescent="0.3">
      <c r="A155" s="112">
        <v>45990</v>
      </c>
      <c r="B155" s="104" t="s">
        <v>41</v>
      </c>
      <c r="C155" s="105" t="s">
        <v>42</v>
      </c>
      <c r="D155" s="104" t="s">
        <v>1</v>
      </c>
      <c r="E155" s="113">
        <v>1.229166666666667</v>
      </c>
      <c r="F155" s="104" t="s">
        <v>45</v>
      </c>
      <c r="G155" s="106">
        <v>8</v>
      </c>
      <c r="H155" s="107" t="s">
        <v>132</v>
      </c>
    </row>
    <row r="156" spans="1:8" ht="19.8" customHeight="1" x14ac:dyDescent="0.3">
      <c r="A156" s="112">
        <v>45990</v>
      </c>
      <c r="B156" s="104" t="s">
        <v>41</v>
      </c>
      <c r="C156" s="105" t="s">
        <v>42</v>
      </c>
      <c r="D156" s="104" t="s">
        <v>1</v>
      </c>
      <c r="E156" s="113">
        <v>1.229166666666667</v>
      </c>
      <c r="F156" s="104" t="s">
        <v>46</v>
      </c>
      <c r="G156" s="106">
        <v>8</v>
      </c>
      <c r="H156" s="107" t="s">
        <v>47</v>
      </c>
    </row>
    <row r="157" spans="1:8" ht="19.8" customHeight="1" x14ac:dyDescent="0.3">
      <c r="A157" s="112">
        <v>45990</v>
      </c>
      <c r="B157" s="104" t="s">
        <v>26</v>
      </c>
      <c r="C157" s="105" t="s">
        <v>27</v>
      </c>
      <c r="D157" s="104" t="s">
        <v>1</v>
      </c>
      <c r="E157" s="113">
        <v>1.4340277777777779</v>
      </c>
      <c r="F157" s="104" t="s">
        <v>34</v>
      </c>
      <c r="G157" s="106">
        <v>4</v>
      </c>
      <c r="H157" s="107" t="s">
        <v>47</v>
      </c>
    </row>
    <row r="158" spans="1:8" ht="19.8" customHeight="1" x14ac:dyDescent="0.3">
      <c r="A158" s="112">
        <v>45990</v>
      </c>
      <c r="B158" s="104" t="s">
        <v>48</v>
      </c>
      <c r="C158" s="105" t="s">
        <v>53</v>
      </c>
      <c r="D158" s="104" t="s">
        <v>1</v>
      </c>
      <c r="E158" s="113">
        <v>1.0659722222222221</v>
      </c>
      <c r="F158" s="104" t="s">
        <v>50</v>
      </c>
      <c r="G158" s="106">
        <v>9</v>
      </c>
      <c r="H158" s="107" t="s">
        <v>56</v>
      </c>
    </row>
    <row r="159" spans="1:8" ht="19.8" customHeight="1" x14ac:dyDescent="0.3">
      <c r="A159" s="112">
        <v>45990</v>
      </c>
      <c r="B159" s="104" t="s">
        <v>26</v>
      </c>
      <c r="C159" s="105" t="s">
        <v>36</v>
      </c>
      <c r="D159" s="104" t="s">
        <v>1</v>
      </c>
      <c r="E159" s="113">
        <v>1.6076388888888891</v>
      </c>
      <c r="F159" s="104" t="s">
        <v>31</v>
      </c>
      <c r="G159" s="106">
        <v>7</v>
      </c>
      <c r="H159" s="107" t="s">
        <v>150</v>
      </c>
    </row>
    <row r="160" spans="1:8" ht="19.8" customHeight="1" x14ac:dyDescent="0.3">
      <c r="A160" s="112">
        <v>45990</v>
      </c>
      <c r="B160" s="104" t="s">
        <v>48</v>
      </c>
      <c r="C160" s="105" t="s">
        <v>55</v>
      </c>
      <c r="D160" s="104" t="s">
        <v>1</v>
      </c>
      <c r="E160" s="113">
        <v>1.9409722222222221</v>
      </c>
      <c r="F160" s="104" t="s">
        <v>50</v>
      </c>
      <c r="G160" s="106">
        <v>9</v>
      </c>
      <c r="H160" s="107" t="s">
        <v>91</v>
      </c>
    </row>
    <row r="161" spans="1:8" ht="19.8" customHeight="1" x14ac:dyDescent="0.3">
      <c r="A161" s="112">
        <v>45990</v>
      </c>
      <c r="B161" s="104" t="s">
        <v>48</v>
      </c>
      <c r="C161" s="105" t="s">
        <v>57</v>
      </c>
      <c r="D161" s="104" t="s">
        <v>1</v>
      </c>
      <c r="E161" s="113">
        <v>1.288194444444444</v>
      </c>
      <c r="F161" s="104" t="s">
        <v>50</v>
      </c>
      <c r="G161" s="106">
        <v>9</v>
      </c>
      <c r="H161" s="107" t="s">
        <v>91</v>
      </c>
    </row>
    <row r="162" spans="1:8" ht="19.8" customHeight="1" x14ac:dyDescent="0.3">
      <c r="A162" s="112">
        <v>45990</v>
      </c>
      <c r="B162" s="104" t="s">
        <v>26</v>
      </c>
      <c r="C162" s="105" t="s">
        <v>36</v>
      </c>
      <c r="D162" s="104" t="s">
        <v>1</v>
      </c>
      <c r="E162" s="113">
        <v>1.6076388888888891</v>
      </c>
      <c r="F162" s="104" t="s">
        <v>34</v>
      </c>
      <c r="G162" s="106">
        <v>7</v>
      </c>
      <c r="H162" s="107" t="s">
        <v>151</v>
      </c>
    </row>
    <row r="163" spans="1:8" ht="19.8" customHeight="1" x14ac:dyDescent="0.3">
      <c r="A163" s="112">
        <v>45990</v>
      </c>
      <c r="B163" s="104" t="s">
        <v>48</v>
      </c>
      <c r="C163" s="105" t="s">
        <v>49</v>
      </c>
      <c r="D163" s="104" t="s">
        <v>1</v>
      </c>
      <c r="E163" s="113">
        <v>1.697916666666667</v>
      </c>
      <c r="F163" s="104" t="s">
        <v>50</v>
      </c>
      <c r="G163" s="106">
        <v>9</v>
      </c>
      <c r="H163" s="107" t="s">
        <v>125</v>
      </c>
    </row>
    <row r="164" spans="1:8" ht="19.8" customHeight="1" x14ac:dyDescent="0.3">
      <c r="A164" s="112">
        <v>45990</v>
      </c>
      <c r="B164" s="104" t="s">
        <v>60</v>
      </c>
      <c r="C164" s="105" t="s">
        <v>74</v>
      </c>
      <c r="D164" s="104" t="s">
        <v>1</v>
      </c>
      <c r="E164" s="113">
        <v>1.895833333333333</v>
      </c>
      <c r="F164" s="104" t="s">
        <v>65</v>
      </c>
      <c r="G164" s="106">
        <v>9</v>
      </c>
      <c r="H164" s="107" t="s">
        <v>152</v>
      </c>
    </row>
    <row r="165" spans="1:8" ht="19.8" customHeight="1" x14ac:dyDescent="0.3">
      <c r="A165" s="112">
        <v>45990</v>
      </c>
      <c r="B165" s="104" t="s">
        <v>48</v>
      </c>
      <c r="C165" s="105" t="s">
        <v>90</v>
      </c>
      <c r="D165" s="104" t="s">
        <v>1</v>
      </c>
      <c r="E165" s="113">
        <v>1.336805555555556</v>
      </c>
      <c r="F165" s="104" t="s">
        <v>50</v>
      </c>
      <c r="G165" s="106">
        <v>9</v>
      </c>
      <c r="H165" s="107" t="s">
        <v>59</v>
      </c>
    </row>
    <row r="166" spans="1:8" ht="19.8" customHeight="1" x14ac:dyDescent="0.3">
      <c r="A166" s="112">
        <v>45990</v>
      </c>
      <c r="B166" s="104" t="s">
        <v>60</v>
      </c>
      <c r="C166" s="105" t="s">
        <v>68</v>
      </c>
      <c r="D166" s="104" t="s">
        <v>1</v>
      </c>
      <c r="E166" s="113">
        <v>1.354166666666667</v>
      </c>
      <c r="F166" s="104" t="s">
        <v>65</v>
      </c>
      <c r="G166" s="106">
        <v>9</v>
      </c>
      <c r="H166" s="107" t="s">
        <v>73</v>
      </c>
    </row>
    <row r="167" spans="1:8" ht="19.8" customHeight="1" x14ac:dyDescent="0.3">
      <c r="A167" s="112">
        <v>45990</v>
      </c>
      <c r="B167" s="104" t="s">
        <v>60</v>
      </c>
      <c r="C167" s="105" t="s">
        <v>61</v>
      </c>
      <c r="D167" s="104" t="s">
        <v>1</v>
      </c>
      <c r="E167" s="113">
        <v>1.1840277777777779</v>
      </c>
      <c r="F167" s="104" t="s">
        <v>65</v>
      </c>
      <c r="G167" s="106">
        <v>9</v>
      </c>
      <c r="H167" s="107" t="s">
        <v>73</v>
      </c>
    </row>
    <row r="168" spans="1:8" ht="19.8" customHeight="1" x14ac:dyDescent="0.3">
      <c r="A168" s="112">
        <v>45990</v>
      </c>
      <c r="B168" s="104" t="s">
        <v>60</v>
      </c>
      <c r="C168" s="105" t="s">
        <v>71</v>
      </c>
      <c r="D168" s="104" t="s">
        <v>1</v>
      </c>
      <c r="E168" s="113">
        <v>1.229166666666667</v>
      </c>
      <c r="F168" s="104" t="s">
        <v>65</v>
      </c>
      <c r="G168" s="106">
        <v>4</v>
      </c>
      <c r="H168" s="107" t="s">
        <v>134</v>
      </c>
    </row>
    <row r="169" spans="1:8" ht="19.8" customHeight="1" x14ac:dyDescent="0.3">
      <c r="A169" s="126">
        <v>45990</v>
      </c>
      <c r="B169" s="109" t="s">
        <v>77</v>
      </c>
      <c r="C169" s="110" t="s">
        <v>78</v>
      </c>
      <c r="D169" s="109" t="s">
        <v>1</v>
      </c>
      <c r="E169" s="127">
        <v>1.2361111111111109</v>
      </c>
      <c r="F169" s="109" t="s">
        <v>79</v>
      </c>
      <c r="G169" s="109"/>
      <c r="H169" s="111" t="s">
        <v>80</v>
      </c>
    </row>
    <row r="170" spans="1:8" ht="19.8" customHeight="1" x14ac:dyDescent="0.3">
      <c r="A170" s="112">
        <v>45991</v>
      </c>
      <c r="B170" s="104" t="s">
        <v>41</v>
      </c>
      <c r="C170" s="105" t="s">
        <v>42</v>
      </c>
      <c r="D170" s="104" t="s">
        <v>1</v>
      </c>
      <c r="E170" s="113">
        <v>1.229166666666667</v>
      </c>
      <c r="F170" s="104" t="s">
        <v>43</v>
      </c>
      <c r="G170" s="106">
        <v>9</v>
      </c>
      <c r="H170" s="107" t="s">
        <v>154</v>
      </c>
    </row>
    <row r="171" spans="1:8" ht="19.8" customHeight="1" x14ac:dyDescent="0.3">
      <c r="A171" s="112">
        <v>45991</v>
      </c>
      <c r="B171" s="104" t="s">
        <v>26</v>
      </c>
      <c r="C171" s="105" t="s">
        <v>36</v>
      </c>
      <c r="D171" s="104" t="s">
        <v>1</v>
      </c>
      <c r="E171" s="113">
        <v>1.6076388888888891</v>
      </c>
      <c r="F171" s="104" t="s">
        <v>28</v>
      </c>
      <c r="G171" s="106">
        <v>4</v>
      </c>
      <c r="H171" s="107" t="s">
        <v>149</v>
      </c>
    </row>
    <row r="172" spans="1:8" ht="19.8" customHeight="1" x14ac:dyDescent="0.3">
      <c r="A172" s="112">
        <v>45991</v>
      </c>
      <c r="B172" s="104" t="s">
        <v>48</v>
      </c>
      <c r="C172" s="105" t="s">
        <v>55</v>
      </c>
      <c r="D172" s="104" t="s">
        <v>1</v>
      </c>
      <c r="E172" s="113">
        <v>1.9409722222222221</v>
      </c>
      <c r="F172" s="104" t="s">
        <v>50</v>
      </c>
      <c r="G172" s="106">
        <v>9</v>
      </c>
      <c r="H172" s="107" t="s">
        <v>52</v>
      </c>
    </row>
    <row r="173" spans="1:8" ht="19.8" customHeight="1" x14ac:dyDescent="0.3">
      <c r="A173" s="112">
        <v>45991</v>
      </c>
      <c r="B173" s="104" t="s">
        <v>48</v>
      </c>
      <c r="C173" s="105" t="s">
        <v>53</v>
      </c>
      <c r="D173" s="104" t="s">
        <v>1</v>
      </c>
      <c r="E173" s="113">
        <v>1.0659722222222221</v>
      </c>
      <c r="F173" s="104" t="s">
        <v>50</v>
      </c>
      <c r="G173" s="106">
        <v>9</v>
      </c>
      <c r="H173" s="107" t="s">
        <v>56</v>
      </c>
    </row>
    <row r="174" spans="1:8" ht="19.8" customHeight="1" x14ac:dyDescent="0.3">
      <c r="A174" s="112">
        <v>45991</v>
      </c>
      <c r="B174" s="104" t="s">
        <v>26</v>
      </c>
      <c r="C174" s="105" t="s">
        <v>36</v>
      </c>
      <c r="D174" s="104" t="s">
        <v>1</v>
      </c>
      <c r="E174" s="113">
        <v>1.6076388888888891</v>
      </c>
      <c r="F174" s="104" t="s">
        <v>31</v>
      </c>
      <c r="G174" s="106">
        <v>4</v>
      </c>
      <c r="H174" s="107" t="s">
        <v>150</v>
      </c>
    </row>
    <row r="175" spans="1:8" ht="19.8" customHeight="1" x14ac:dyDescent="0.3">
      <c r="A175" s="112">
        <v>45991</v>
      </c>
      <c r="B175" s="104" t="s">
        <v>41</v>
      </c>
      <c r="C175" s="105" t="s">
        <v>42</v>
      </c>
      <c r="D175" s="104" t="s">
        <v>1</v>
      </c>
      <c r="E175" s="113">
        <v>1.229166666666667</v>
      </c>
      <c r="F175" s="104" t="s">
        <v>45</v>
      </c>
      <c r="G175" s="106">
        <v>9</v>
      </c>
      <c r="H175" s="107" t="s">
        <v>124</v>
      </c>
    </row>
    <row r="176" spans="1:8" ht="19.8" customHeight="1" x14ac:dyDescent="0.3">
      <c r="A176" s="112">
        <v>45991</v>
      </c>
      <c r="B176" s="104" t="s">
        <v>26</v>
      </c>
      <c r="C176" s="105" t="s">
        <v>36</v>
      </c>
      <c r="D176" s="104" t="s">
        <v>1</v>
      </c>
      <c r="E176" s="113">
        <v>1.6076388888888891</v>
      </c>
      <c r="F176" s="104" t="s">
        <v>34</v>
      </c>
      <c r="G176" s="106">
        <v>4</v>
      </c>
      <c r="H176" s="107" t="s">
        <v>151</v>
      </c>
    </row>
    <row r="177" spans="1:8" ht="19.8" customHeight="1" x14ac:dyDescent="0.3">
      <c r="A177" s="112">
        <v>45991</v>
      </c>
      <c r="B177" s="104" t="s">
        <v>48</v>
      </c>
      <c r="C177" s="105" t="s">
        <v>49</v>
      </c>
      <c r="D177" s="104" t="s">
        <v>1</v>
      </c>
      <c r="E177" s="113">
        <v>1.697916666666667</v>
      </c>
      <c r="F177" s="104" t="s">
        <v>50</v>
      </c>
      <c r="G177" s="106">
        <v>9</v>
      </c>
      <c r="H177" s="107" t="s">
        <v>156</v>
      </c>
    </row>
    <row r="178" spans="1:8" ht="19.8" customHeight="1" x14ac:dyDescent="0.3">
      <c r="A178" s="112">
        <v>45991</v>
      </c>
      <c r="B178" s="104" t="s">
        <v>60</v>
      </c>
      <c r="C178" s="105" t="s">
        <v>68</v>
      </c>
      <c r="D178" s="104" t="s">
        <v>1</v>
      </c>
      <c r="E178" s="113">
        <v>1.350694444444444</v>
      </c>
      <c r="F178" s="104" t="s">
        <v>65</v>
      </c>
      <c r="G178" s="106">
        <v>1</v>
      </c>
      <c r="H178" s="107" t="s">
        <v>70</v>
      </c>
    </row>
    <row r="179" spans="1:8" ht="19.8" customHeight="1" x14ac:dyDescent="0.3">
      <c r="A179" s="112">
        <v>45991</v>
      </c>
      <c r="B179" s="104" t="s">
        <v>60</v>
      </c>
      <c r="C179" s="105" t="s">
        <v>74</v>
      </c>
      <c r="D179" s="104" t="s">
        <v>1</v>
      </c>
      <c r="E179" s="113">
        <v>1.895833333333333</v>
      </c>
      <c r="F179" s="104" t="s">
        <v>65</v>
      </c>
      <c r="G179" s="106">
        <v>7</v>
      </c>
      <c r="H179" s="107" t="s">
        <v>70</v>
      </c>
    </row>
    <row r="180" spans="1:8" ht="19.8" customHeight="1" x14ac:dyDescent="0.3">
      <c r="A180" s="112">
        <v>45991</v>
      </c>
      <c r="B180" s="104" t="s">
        <v>60</v>
      </c>
      <c r="C180" s="105" t="s">
        <v>61</v>
      </c>
      <c r="D180" s="104" t="s">
        <v>1</v>
      </c>
      <c r="E180" s="113">
        <v>1.1840277777777779</v>
      </c>
      <c r="F180" s="104" t="s">
        <v>65</v>
      </c>
      <c r="G180" s="106">
        <v>9</v>
      </c>
      <c r="H180" s="107" t="s">
        <v>70</v>
      </c>
    </row>
    <row r="181" spans="1:8" ht="19.8" customHeight="1" x14ac:dyDescent="0.3">
      <c r="A181" s="112">
        <v>45991</v>
      </c>
      <c r="B181" s="104" t="s">
        <v>41</v>
      </c>
      <c r="C181" s="105" t="s">
        <v>42</v>
      </c>
      <c r="D181" s="104" t="s">
        <v>1</v>
      </c>
      <c r="E181" s="113">
        <v>1.229166666666667</v>
      </c>
      <c r="F181" s="104" t="s">
        <v>46</v>
      </c>
      <c r="G181" s="106">
        <v>9</v>
      </c>
      <c r="H181" s="107" t="s">
        <v>120</v>
      </c>
    </row>
    <row r="182" spans="1:8" ht="19.8" customHeight="1" x14ac:dyDescent="0.3">
      <c r="A182" s="112">
        <v>45991</v>
      </c>
      <c r="B182" s="104" t="s">
        <v>60</v>
      </c>
      <c r="C182" s="105" t="s">
        <v>71</v>
      </c>
      <c r="D182" s="104" t="s">
        <v>1</v>
      </c>
      <c r="E182" s="113">
        <v>1.229166666666667</v>
      </c>
      <c r="F182" s="104" t="s">
        <v>65</v>
      </c>
      <c r="G182" s="106">
        <v>4</v>
      </c>
      <c r="H182" s="107" t="s">
        <v>147</v>
      </c>
    </row>
    <row r="183" spans="1:8" ht="19.8" customHeight="1" x14ac:dyDescent="0.3">
      <c r="A183" s="126">
        <v>45991</v>
      </c>
      <c r="B183" s="109" t="s">
        <v>77</v>
      </c>
      <c r="C183" s="110" t="s">
        <v>78</v>
      </c>
      <c r="D183" s="109" t="s">
        <v>1</v>
      </c>
      <c r="E183" s="127">
        <v>1.743055555555556</v>
      </c>
      <c r="F183" s="109" t="s">
        <v>79</v>
      </c>
      <c r="G183" s="109"/>
      <c r="H183" s="111" t="s">
        <v>80</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1"/>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1.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8" t="s">
        <v>235</v>
      </c>
      <c r="B2" s="109" t="s">
        <v>77</v>
      </c>
      <c r="C2" s="110" t="s">
        <v>78</v>
      </c>
      <c r="D2" s="109" t="s">
        <v>1</v>
      </c>
      <c r="E2" s="109" t="s">
        <v>188</v>
      </c>
      <c r="F2" s="109" t="s">
        <v>79</v>
      </c>
      <c r="G2" s="109"/>
      <c r="H2" s="111" t="s">
        <v>80</v>
      </c>
    </row>
    <row r="3" spans="1:8" ht="19.8" customHeight="1" x14ac:dyDescent="0.3">
      <c r="A3" s="112">
        <v>45982</v>
      </c>
      <c r="B3" s="104" t="s">
        <v>41</v>
      </c>
      <c r="C3" s="105" t="s">
        <v>42</v>
      </c>
      <c r="D3" s="104" t="s">
        <v>1</v>
      </c>
      <c r="E3" s="113">
        <v>1.229166666666667</v>
      </c>
      <c r="F3" s="104" t="s">
        <v>43</v>
      </c>
      <c r="G3" s="106">
        <v>4</v>
      </c>
      <c r="H3" s="107" t="s">
        <v>44</v>
      </c>
    </row>
    <row r="4" spans="1:8" ht="19.8" customHeight="1" x14ac:dyDescent="0.3">
      <c r="A4" s="112">
        <v>45982</v>
      </c>
      <c r="B4" s="104" t="s">
        <v>26</v>
      </c>
      <c r="C4" s="105" t="s">
        <v>36</v>
      </c>
      <c r="D4" s="104" t="s">
        <v>1</v>
      </c>
      <c r="E4" s="113">
        <v>1.6076388888888891</v>
      </c>
      <c r="F4" s="104" t="s">
        <v>28</v>
      </c>
      <c r="G4" s="106">
        <v>1</v>
      </c>
      <c r="H4" s="107" t="s">
        <v>86</v>
      </c>
    </row>
    <row r="5" spans="1:8" ht="19.8" customHeight="1" x14ac:dyDescent="0.3">
      <c r="A5" s="112">
        <v>45982</v>
      </c>
      <c r="B5" s="104" t="s">
        <v>26</v>
      </c>
      <c r="C5" s="105" t="s">
        <v>36</v>
      </c>
      <c r="D5" s="104" t="s">
        <v>1</v>
      </c>
      <c r="E5" s="113">
        <v>1.6076388888888891</v>
      </c>
      <c r="F5" s="104" t="s">
        <v>31</v>
      </c>
      <c r="G5" s="106">
        <v>1</v>
      </c>
      <c r="H5" s="107" t="s">
        <v>88</v>
      </c>
    </row>
    <row r="6" spans="1:8" ht="19.8" customHeight="1" x14ac:dyDescent="0.3">
      <c r="A6" s="112">
        <v>45982</v>
      </c>
      <c r="B6" s="104" t="s">
        <v>41</v>
      </c>
      <c r="C6" s="105" t="s">
        <v>42</v>
      </c>
      <c r="D6" s="104" t="s">
        <v>1</v>
      </c>
      <c r="E6" s="113">
        <v>1.229166666666667</v>
      </c>
      <c r="F6" s="104" t="s">
        <v>45</v>
      </c>
      <c r="G6" s="106">
        <v>4</v>
      </c>
      <c r="H6" s="107" t="s">
        <v>35</v>
      </c>
    </row>
    <row r="7" spans="1:8" ht="19.8" customHeight="1" x14ac:dyDescent="0.3">
      <c r="A7" s="112">
        <v>45982</v>
      </c>
      <c r="B7" s="104" t="s">
        <v>48</v>
      </c>
      <c r="C7" s="105" t="s">
        <v>55</v>
      </c>
      <c r="D7" s="104" t="s">
        <v>1</v>
      </c>
      <c r="E7" s="113">
        <v>1.9409722222222221</v>
      </c>
      <c r="F7" s="104" t="s">
        <v>50</v>
      </c>
      <c r="G7" s="106">
        <v>9</v>
      </c>
      <c r="H7" s="107" t="s">
        <v>52</v>
      </c>
    </row>
    <row r="8" spans="1:8" ht="19.8" customHeight="1" x14ac:dyDescent="0.3">
      <c r="A8" s="112">
        <v>45982</v>
      </c>
      <c r="B8" s="104" t="s">
        <v>48</v>
      </c>
      <c r="C8" s="105" t="s">
        <v>53</v>
      </c>
      <c r="D8" s="104" t="s">
        <v>1</v>
      </c>
      <c r="E8" s="113">
        <v>1.0659722222222221</v>
      </c>
      <c r="F8" s="104" t="s">
        <v>50</v>
      </c>
      <c r="G8" s="106">
        <v>9</v>
      </c>
      <c r="H8" s="107" t="s">
        <v>52</v>
      </c>
    </row>
    <row r="9" spans="1:8" ht="19.8" customHeight="1" x14ac:dyDescent="0.3">
      <c r="A9" s="112">
        <v>45982</v>
      </c>
      <c r="B9" s="104" t="s">
        <v>48</v>
      </c>
      <c r="C9" s="105" t="s">
        <v>57</v>
      </c>
      <c r="D9" s="104" t="s">
        <v>1</v>
      </c>
      <c r="E9" s="113">
        <v>1.288194444444444</v>
      </c>
      <c r="F9" s="104" t="s">
        <v>50</v>
      </c>
      <c r="G9" s="106">
        <v>9</v>
      </c>
      <c r="H9" s="107" t="s">
        <v>52</v>
      </c>
    </row>
    <row r="10" spans="1:8" ht="19.8" customHeight="1" x14ac:dyDescent="0.3">
      <c r="A10" s="112">
        <v>45982</v>
      </c>
      <c r="B10" s="104" t="s">
        <v>26</v>
      </c>
      <c r="C10" s="105" t="s">
        <v>36</v>
      </c>
      <c r="D10" s="104" t="s">
        <v>1</v>
      </c>
      <c r="E10" s="113">
        <v>1.6076388888888891</v>
      </c>
      <c r="F10" s="104" t="s">
        <v>34</v>
      </c>
      <c r="G10" s="106">
        <v>1</v>
      </c>
      <c r="H10" s="107" t="s">
        <v>89</v>
      </c>
    </row>
    <row r="11" spans="1:8" ht="19.8" customHeight="1" x14ac:dyDescent="0.3">
      <c r="A11" s="112">
        <v>45982</v>
      </c>
      <c r="B11" s="104" t="s">
        <v>41</v>
      </c>
      <c r="C11" s="105" t="s">
        <v>42</v>
      </c>
      <c r="D11" s="104" t="s">
        <v>1</v>
      </c>
      <c r="E11" s="113">
        <v>1.229166666666667</v>
      </c>
      <c r="F11" s="104" t="s">
        <v>46</v>
      </c>
      <c r="G11" s="106">
        <v>4</v>
      </c>
      <c r="H11" s="107" t="s">
        <v>47</v>
      </c>
    </row>
    <row r="12" spans="1:8" ht="19.8" customHeight="1" x14ac:dyDescent="0.3">
      <c r="A12" s="112">
        <v>45982</v>
      </c>
      <c r="B12" s="104" t="s">
        <v>60</v>
      </c>
      <c r="C12" s="105" t="s">
        <v>74</v>
      </c>
      <c r="D12" s="104" t="s">
        <v>1</v>
      </c>
      <c r="E12" s="113">
        <v>1.895833333333333</v>
      </c>
      <c r="F12" s="104" t="s">
        <v>62</v>
      </c>
      <c r="G12" s="106">
        <v>9</v>
      </c>
      <c r="H12" s="107" t="s">
        <v>64</v>
      </c>
    </row>
    <row r="13" spans="1:8" ht="19.8" customHeight="1" x14ac:dyDescent="0.3">
      <c r="A13" s="112">
        <v>45982</v>
      </c>
      <c r="B13" s="104" t="s">
        <v>48</v>
      </c>
      <c r="C13" s="105" t="s">
        <v>49</v>
      </c>
      <c r="D13" s="104" t="s">
        <v>1</v>
      </c>
      <c r="E13" s="113">
        <v>1.697916666666667</v>
      </c>
      <c r="F13" s="104" t="s">
        <v>50</v>
      </c>
      <c r="G13" s="106">
        <v>9</v>
      </c>
      <c r="H13" s="107" t="s">
        <v>56</v>
      </c>
    </row>
    <row r="14" spans="1:8" ht="19.8" customHeight="1" x14ac:dyDescent="0.3">
      <c r="A14" s="112">
        <v>45982</v>
      </c>
      <c r="B14" s="104" t="s">
        <v>60</v>
      </c>
      <c r="C14" s="105" t="s">
        <v>74</v>
      </c>
      <c r="D14" s="104" t="s">
        <v>1</v>
      </c>
      <c r="E14" s="113">
        <v>1.895833333333333</v>
      </c>
      <c r="F14" s="104" t="s">
        <v>65</v>
      </c>
      <c r="G14" s="106">
        <v>9</v>
      </c>
      <c r="H14" s="107" t="s">
        <v>67</v>
      </c>
    </row>
    <row r="15" spans="1:8" ht="19.8" customHeight="1" x14ac:dyDescent="0.3">
      <c r="A15" s="112">
        <v>45982</v>
      </c>
      <c r="B15" s="104" t="s">
        <v>48</v>
      </c>
      <c r="C15" s="105" t="s">
        <v>90</v>
      </c>
      <c r="D15" s="104" t="s">
        <v>1</v>
      </c>
      <c r="E15" s="113">
        <v>1.336805555555556</v>
      </c>
      <c r="F15" s="104" t="s">
        <v>50</v>
      </c>
      <c r="G15" s="106">
        <v>9</v>
      </c>
      <c r="H15" s="107" t="s">
        <v>91</v>
      </c>
    </row>
    <row r="16" spans="1:8" ht="19.8" customHeight="1" x14ac:dyDescent="0.3">
      <c r="A16" s="112">
        <v>45982</v>
      </c>
      <c r="B16" s="104" t="s">
        <v>60</v>
      </c>
      <c r="C16" s="105" t="s">
        <v>68</v>
      </c>
      <c r="D16" s="104" t="s">
        <v>1</v>
      </c>
      <c r="E16" s="113">
        <v>1.350694444444444</v>
      </c>
      <c r="F16" s="104" t="s">
        <v>65</v>
      </c>
      <c r="G16" s="106">
        <v>9</v>
      </c>
      <c r="H16" s="107" t="s">
        <v>70</v>
      </c>
    </row>
    <row r="17" spans="1:8" ht="19.8" customHeight="1" x14ac:dyDescent="0.3">
      <c r="A17" s="112">
        <v>45982</v>
      </c>
      <c r="B17" s="104" t="s">
        <v>60</v>
      </c>
      <c r="C17" s="105" t="s">
        <v>61</v>
      </c>
      <c r="D17" s="104" t="s">
        <v>1</v>
      </c>
      <c r="E17" s="113">
        <v>1.1840277777777779</v>
      </c>
      <c r="F17" s="104" t="s">
        <v>65</v>
      </c>
      <c r="G17" s="106">
        <v>9</v>
      </c>
      <c r="H17" s="107" t="s">
        <v>70</v>
      </c>
    </row>
    <row r="18" spans="1:8" ht="19.8" customHeight="1" x14ac:dyDescent="0.3">
      <c r="A18" s="114">
        <v>45982</v>
      </c>
      <c r="B18" s="115" t="s">
        <v>60</v>
      </c>
      <c r="C18" s="116" t="s">
        <v>71</v>
      </c>
      <c r="D18" s="115" t="s">
        <v>1</v>
      </c>
      <c r="E18" s="117">
        <v>1.229166666666667</v>
      </c>
      <c r="F18" s="115" t="s">
        <v>65</v>
      </c>
      <c r="G18" s="118">
        <v>4</v>
      </c>
      <c r="H18" s="119" t="s">
        <v>73</v>
      </c>
    </row>
    <row r="19" spans="1:8" ht="19.8" customHeight="1" x14ac:dyDescent="0.3">
      <c r="A19" s="126">
        <v>45983</v>
      </c>
      <c r="B19" s="109" t="s">
        <v>77</v>
      </c>
      <c r="C19" s="110" t="s">
        <v>100</v>
      </c>
      <c r="D19" s="109" t="s">
        <v>1</v>
      </c>
      <c r="E19" s="127">
        <v>1.2361111111111109</v>
      </c>
      <c r="F19" s="109" t="s">
        <v>101</v>
      </c>
      <c r="G19" s="128">
        <v>1</v>
      </c>
      <c r="H19" s="111" t="s">
        <v>102</v>
      </c>
    </row>
    <row r="20" spans="1:8" ht="19.8" customHeight="1" x14ac:dyDescent="0.3">
      <c r="A20" s="126">
        <v>45984</v>
      </c>
      <c r="B20" s="109" t="s">
        <v>77</v>
      </c>
      <c r="C20" s="110" t="s">
        <v>100</v>
      </c>
      <c r="D20" s="109" t="s">
        <v>1</v>
      </c>
      <c r="E20" s="127">
        <v>1.743055555555556</v>
      </c>
      <c r="F20" s="109" t="s">
        <v>101</v>
      </c>
      <c r="G20" s="128">
        <v>2</v>
      </c>
      <c r="H20" s="111" t="s">
        <v>102</v>
      </c>
    </row>
    <row r="21" spans="1:8" ht="19.8" customHeight="1" x14ac:dyDescent="0.3">
      <c r="A21" s="126">
        <v>45985</v>
      </c>
      <c r="B21" s="109" t="s">
        <v>77</v>
      </c>
      <c r="C21" s="110" t="s">
        <v>126</v>
      </c>
      <c r="D21" s="109" t="s">
        <v>1</v>
      </c>
      <c r="E21" s="127">
        <v>1.868055555555556</v>
      </c>
      <c r="F21" s="109" t="s">
        <v>101</v>
      </c>
      <c r="G21" s="128">
        <v>5</v>
      </c>
      <c r="H21" s="111" t="s">
        <v>102</v>
      </c>
    </row>
    <row r="22" spans="1:8" ht="19.8" customHeight="1" x14ac:dyDescent="0.3">
      <c r="A22" s="120">
        <v>45986</v>
      </c>
      <c r="B22" s="121" t="s">
        <v>77</v>
      </c>
      <c r="C22" s="122" t="s">
        <v>135</v>
      </c>
      <c r="D22" s="121" t="s">
        <v>1</v>
      </c>
      <c r="E22" s="123">
        <v>1.118055555555556</v>
      </c>
      <c r="F22" s="121" t="s">
        <v>79</v>
      </c>
      <c r="G22" s="121"/>
      <c r="H22" s="125" t="s">
        <v>80</v>
      </c>
    </row>
    <row r="23" spans="1:8" ht="19.8" customHeight="1" x14ac:dyDescent="0.3">
      <c r="A23" s="126">
        <v>45986</v>
      </c>
      <c r="B23" s="109" t="s">
        <v>77</v>
      </c>
      <c r="C23" s="110" t="s">
        <v>78</v>
      </c>
      <c r="D23" s="109" t="s">
        <v>1</v>
      </c>
      <c r="E23" s="127">
        <v>1.819444444444444</v>
      </c>
      <c r="F23" s="109" t="s">
        <v>79</v>
      </c>
      <c r="G23" s="109"/>
      <c r="H23" s="111" t="s">
        <v>80</v>
      </c>
    </row>
    <row r="24" spans="1:8" ht="19.8" customHeight="1" x14ac:dyDescent="0.3">
      <c r="A24" s="112">
        <v>45987</v>
      </c>
      <c r="B24" s="104" t="s">
        <v>41</v>
      </c>
      <c r="C24" s="105" t="s">
        <v>42</v>
      </c>
      <c r="D24" s="104" t="s">
        <v>1</v>
      </c>
      <c r="E24" s="113">
        <v>1.229166666666667</v>
      </c>
      <c r="F24" s="104" t="s">
        <v>43</v>
      </c>
      <c r="G24" s="106">
        <v>9</v>
      </c>
      <c r="H24" s="107" t="s">
        <v>33</v>
      </c>
    </row>
    <row r="25" spans="1:8" ht="19.8" customHeight="1" x14ac:dyDescent="0.3">
      <c r="A25" s="112">
        <v>45987</v>
      </c>
      <c r="B25" s="104" t="s">
        <v>41</v>
      </c>
      <c r="C25" s="105" t="s">
        <v>42</v>
      </c>
      <c r="D25" s="104" t="s">
        <v>1</v>
      </c>
      <c r="E25" s="113">
        <v>1.229166666666667</v>
      </c>
      <c r="F25" s="104" t="s">
        <v>45</v>
      </c>
      <c r="G25" s="106">
        <v>9</v>
      </c>
      <c r="H25" s="107" t="s">
        <v>132</v>
      </c>
    </row>
    <row r="26" spans="1:8" ht="19.8" customHeight="1" x14ac:dyDescent="0.3">
      <c r="A26" s="112">
        <v>45987</v>
      </c>
      <c r="B26" s="104" t="s">
        <v>41</v>
      </c>
      <c r="C26" s="105" t="s">
        <v>42</v>
      </c>
      <c r="D26" s="104" t="s">
        <v>1</v>
      </c>
      <c r="E26" s="113">
        <v>1.229166666666667</v>
      </c>
      <c r="F26" s="104" t="s">
        <v>46</v>
      </c>
      <c r="G26" s="106">
        <v>9</v>
      </c>
      <c r="H26" s="107" t="s">
        <v>47</v>
      </c>
    </row>
    <row r="27" spans="1:8" ht="19.8" customHeight="1" x14ac:dyDescent="0.3">
      <c r="A27" s="112">
        <v>45987</v>
      </c>
      <c r="B27" s="104" t="s">
        <v>26</v>
      </c>
      <c r="C27" s="105" t="s">
        <v>36</v>
      </c>
      <c r="D27" s="104" t="s">
        <v>1</v>
      </c>
      <c r="E27" s="113">
        <v>1.6076388888888891</v>
      </c>
      <c r="F27" s="104" t="s">
        <v>28</v>
      </c>
      <c r="G27" s="106">
        <v>3</v>
      </c>
      <c r="H27" s="107" t="s">
        <v>124</v>
      </c>
    </row>
    <row r="28" spans="1:8" ht="19.8" customHeight="1" x14ac:dyDescent="0.3">
      <c r="A28" s="112">
        <v>45987</v>
      </c>
      <c r="B28" s="104" t="s">
        <v>26</v>
      </c>
      <c r="C28" s="105" t="s">
        <v>36</v>
      </c>
      <c r="D28" s="104" t="s">
        <v>1</v>
      </c>
      <c r="E28" s="113">
        <v>1.6076388888888891</v>
      </c>
      <c r="F28" s="104" t="s">
        <v>31</v>
      </c>
      <c r="G28" s="106">
        <v>3</v>
      </c>
      <c r="H28" s="107" t="s">
        <v>140</v>
      </c>
    </row>
    <row r="29" spans="1:8" ht="19.8" customHeight="1" x14ac:dyDescent="0.3">
      <c r="A29" s="112">
        <v>45987</v>
      </c>
      <c r="B29" s="104" t="s">
        <v>26</v>
      </c>
      <c r="C29" s="105" t="s">
        <v>36</v>
      </c>
      <c r="D29" s="104" t="s">
        <v>1</v>
      </c>
      <c r="E29" s="113">
        <v>1.6076388888888891</v>
      </c>
      <c r="F29" s="104" t="s">
        <v>34</v>
      </c>
      <c r="G29" s="106">
        <v>3</v>
      </c>
      <c r="H29" s="107" t="s">
        <v>141</v>
      </c>
    </row>
    <row r="30" spans="1:8" ht="19.8" customHeight="1" x14ac:dyDescent="0.3">
      <c r="A30" s="112">
        <v>45987</v>
      </c>
      <c r="B30" s="104" t="s">
        <v>60</v>
      </c>
      <c r="C30" s="105" t="s">
        <v>68</v>
      </c>
      <c r="D30" s="104" t="s">
        <v>1</v>
      </c>
      <c r="E30" s="113">
        <v>1.350694444444444</v>
      </c>
      <c r="F30" s="104" t="s">
        <v>65</v>
      </c>
      <c r="G30" s="106">
        <v>8</v>
      </c>
      <c r="H30" s="107" t="s">
        <v>70</v>
      </c>
    </row>
    <row r="31" spans="1:8" ht="19.8" customHeight="1" x14ac:dyDescent="0.3">
      <c r="A31" s="112">
        <v>45987</v>
      </c>
      <c r="B31" s="104" t="s">
        <v>60</v>
      </c>
      <c r="C31" s="105" t="s">
        <v>74</v>
      </c>
      <c r="D31" s="104" t="s">
        <v>1</v>
      </c>
      <c r="E31" s="113">
        <v>1.895833333333333</v>
      </c>
      <c r="F31" s="104" t="s">
        <v>65</v>
      </c>
      <c r="G31" s="106">
        <v>9</v>
      </c>
      <c r="H31" s="107" t="s">
        <v>70</v>
      </c>
    </row>
    <row r="32" spans="1:8" ht="19.8" customHeight="1" x14ac:dyDescent="0.3">
      <c r="A32" s="112">
        <v>45987</v>
      </c>
      <c r="B32" s="104" t="s">
        <v>60</v>
      </c>
      <c r="C32" s="105" t="s">
        <v>61</v>
      </c>
      <c r="D32" s="104" t="s">
        <v>1</v>
      </c>
      <c r="E32" s="113">
        <v>1.1840277777777779</v>
      </c>
      <c r="F32" s="104" t="s">
        <v>65</v>
      </c>
      <c r="G32" s="106">
        <v>9</v>
      </c>
      <c r="H32" s="107" t="s">
        <v>70</v>
      </c>
    </row>
    <row r="33" spans="1:8" ht="19.8" customHeight="1" x14ac:dyDescent="0.3">
      <c r="A33" s="112">
        <v>45987</v>
      </c>
      <c r="B33" s="104" t="s">
        <v>60</v>
      </c>
      <c r="C33" s="105" t="s">
        <v>71</v>
      </c>
      <c r="D33" s="104" t="s">
        <v>1</v>
      </c>
      <c r="E33" s="113">
        <v>1.229166666666667</v>
      </c>
      <c r="F33" s="104" t="s">
        <v>65</v>
      </c>
      <c r="G33" s="106">
        <v>4</v>
      </c>
      <c r="H33" s="107" t="s">
        <v>134</v>
      </c>
    </row>
    <row r="34" spans="1:8" ht="19.8" customHeight="1" x14ac:dyDescent="0.3">
      <c r="A34" s="112">
        <v>45987</v>
      </c>
      <c r="B34" s="104" t="s">
        <v>48</v>
      </c>
      <c r="C34" s="105" t="s">
        <v>55</v>
      </c>
      <c r="D34" s="104" t="s">
        <v>1</v>
      </c>
      <c r="E34" s="113">
        <v>1.9513888888888891</v>
      </c>
      <c r="F34" s="104" t="s">
        <v>50</v>
      </c>
      <c r="G34" s="106">
        <v>3</v>
      </c>
      <c r="H34" s="107" t="s">
        <v>142</v>
      </c>
    </row>
    <row r="35" spans="1:8" ht="19.8" customHeight="1" x14ac:dyDescent="0.3">
      <c r="A35" s="114">
        <v>45987</v>
      </c>
      <c r="B35" s="115" t="s">
        <v>48</v>
      </c>
      <c r="C35" s="116" t="s">
        <v>57</v>
      </c>
      <c r="D35" s="115" t="s">
        <v>1</v>
      </c>
      <c r="E35" s="117">
        <v>1.288194444444444</v>
      </c>
      <c r="F35" s="115" t="s">
        <v>50</v>
      </c>
      <c r="G35" s="118">
        <v>1</v>
      </c>
      <c r="H35" s="119" t="s">
        <v>109</v>
      </c>
    </row>
    <row r="36" spans="1:8" ht="19.8" customHeight="1" x14ac:dyDescent="0.3">
      <c r="A36" s="126">
        <v>45988</v>
      </c>
      <c r="B36" s="109" t="s">
        <v>77</v>
      </c>
      <c r="C36" s="110" t="s">
        <v>78</v>
      </c>
      <c r="D36" s="109" t="s">
        <v>1</v>
      </c>
      <c r="E36" s="127">
        <v>1.381944444444444</v>
      </c>
      <c r="F36" s="109" t="s">
        <v>79</v>
      </c>
      <c r="G36" s="109"/>
      <c r="H36" s="111" t="s">
        <v>80</v>
      </c>
    </row>
    <row r="37" spans="1:8" ht="19.8" customHeight="1" x14ac:dyDescent="0.3">
      <c r="A37" s="112">
        <v>45989</v>
      </c>
      <c r="B37" s="104" t="s">
        <v>41</v>
      </c>
      <c r="C37" s="105" t="s">
        <v>42</v>
      </c>
      <c r="D37" s="104" t="s">
        <v>1</v>
      </c>
      <c r="E37" s="113">
        <v>1.229166666666667</v>
      </c>
      <c r="F37" s="104" t="s">
        <v>43</v>
      </c>
      <c r="G37" s="106">
        <v>3</v>
      </c>
      <c r="H37" s="107" t="s">
        <v>44</v>
      </c>
    </row>
    <row r="38" spans="1:8" ht="19.8" customHeight="1" x14ac:dyDescent="0.3">
      <c r="A38" s="112">
        <v>45989</v>
      </c>
      <c r="B38" s="104" t="s">
        <v>41</v>
      </c>
      <c r="C38" s="105" t="s">
        <v>42</v>
      </c>
      <c r="D38" s="104" t="s">
        <v>1</v>
      </c>
      <c r="E38" s="113">
        <v>1.229166666666667</v>
      </c>
      <c r="F38" s="104" t="s">
        <v>45</v>
      </c>
      <c r="G38" s="106">
        <v>3</v>
      </c>
      <c r="H38" s="107" t="s">
        <v>35</v>
      </c>
    </row>
    <row r="39" spans="1:8" ht="19.8" customHeight="1" x14ac:dyDescent="0.3">
      <c r="A39" s="112">
        <v>45989</v>
      </c>
      <c r="B39" s="104" t="s">
        <v>26</v>
      </c>
      <c r="C39" s="105" t="s">
        <v>36</v>
      </c>
      <c r="D39" s="104" t="s">
        <v>1</v>
      </c>
      <c r="E39" s="113">
        <v>1.6076388888888891</v>
      </c>
      <c r="F39" s="104" t="s">
        <v>28</v>
      </c>
      <c r="G39" s="106">
        <v>1</v>
      </c>
      <c r="H39" s="107" t="s">
        <v>149</v>
      </c>
    </row>
    <row r="40" spans="1:8" ht="19.8" customHeight="1" x14ac:dyDescent="0.3">
      <c r="A40" s="112">
        <v>45989</v>
      </c>
      <c r="B40" s="104" t="s">
        <v>41</v>
      </c>
      <c r="C40" s="105" t="s">
        <v>42</v>
      </c>
      <c r="D40" s="104" t="s">
        <v>1</v>
      </c>
      <c r="E40" s="113">
        <v>1.229166666666667</v>
      </c>
      <c r="F40" s="104" t="s">
        <v>46</v>
      </c>
      <c r="G40" s="106">
        <v>3</v>
      </c>
      <c r="H40" s="107" t="s">
        <v>47</v>
      </c>
    </row>
    <row r="41" spans="1:8" ht="19.8" customHeight="1" x14ac:dyDescent="0.3">
      <c r="A41" s="112">
        <v>45989</v>
      </c>
      <c r="B41" s="104" t="s">
        <v>48</v>
      </c>
      <c r="C41" s="105" t="s">
        <v>53</v>
      </c>
      <c r="D41" s="104" t="s">
        <v>1</v>
      </c>
      <c r="E41" s="113">
        <v>1.0659722222222221</v>
      </c>
      <c r="F41" s="104" t="s">
        <v>50</v>
      </c>
      <c r="G41" s="106">
        <v>9</v>
      </c>
      <c r="H41" s="107" t="s">
        <v>56</v>
      </c>
    </row>
    <row r="42" spans="1:8" ht="19.8" customHeight="1" x14ac:dyDescent="0.3">
      <c r="A42" s="112">
        <v>45989</v>
      </c>
      <c r="B42" s="104" t="s">
        <v>26</v>
      </c>
      <c r="C42" s="105" t="s">
        <v>36</v>
      </c>
      <c r="D42" s="104" t="s">
        <v>1</v>
      </c>
      <c r="E42" s="113">
        <v>1.6076388888888891</v>
      </c>
      <c r="F42" s="104" t="s">
        <v>31</v>
      </c>
      <c r="G42" s="106">
        <v>1</v>
      </c>
      <c r="H42" s="107" t="s">
        <v>150</v>
      </c>
    </row>
    <row r="43" spans="1:8" ht="19.8" customHeight="1" x14ac:dyDescent="0.3">
      <c r="A43" s="112">
        <v>45989</v>
      </c>
      <c r="B43" s="104" t="s">
        <v>48</v>
      </c>
      <c r="C43" s="105" t="s">
        <v>55</v>
      </c>
      <c r="D43" s="104" t="s">
        <v>1</v>
      </c>
      <c r="E43" s="113">
        <v>1.9409722222222221</v>
      </c>
      <c r="F43" s="104" t="s">
        <v>50</v>
      </c>
      <c r="G43" s="106">
        <v>9</v>
      </c>
      <c r="H43" s="107" t="s">
        <v>91</v>
      </c>
    </row>
    <row r="44" spans="1:8" ht="19.8" customHeight="1" x14ac:dyDescent="0.3">
      <c r="A44" s="112">
        <v>45989</v>
      </c>
      <c r="B44" s="104" t="s">
        <v>48</v>
      </c>
      <c r="C44" s="105" t="s">
        <v>49</v>
      </c>
      <c r="D44" s="104" t="s">
        <v>1</v>
      </c>
      <c r="E44" s="113">
        <v>1.697916666666667</v>
      </c>
      <c r="F44" s="104" t="s">
        <v>50</v>
      </c>
      <c r="G44" s="106">
        <v>9</v>
      </c>
      <c r="H44" s="107" t="s">
        <v>91</v>
      </c>
    </row>
    <row r="45" spans="1:8" ht="19.8" customHeight="1" x14ac:dyDescent="0.3">
      <c r="A45" s="112">
        <v>45989</v>
      </c>
      <c r="B45" s="104" t="s">
        <v>26</v>
      </c>
      <c r="C45" s="105" t="s">
        <v>36</v>
      </c>
      <c r="D45" s="104" t="s">
        <v>1</v>
      </c>
      <c r="E45" s="113">
        <v>1.6076388888888891</v>
      </c>
      <c r="F45" s="104" t="s">
        <v>34</v>
      </c>
      <c r="G45" s="106">
        <v>1</v>
      </c>
      <c r="H45" s="107" t="s">
        <v>151</v>
      </c>
    </row>
    <row r="46" spans="1:8" ht="19.8" customHeight="1" x14ac:dyDescent="0.3">
      <c r="A46" s="112">
        <v>45989</v>
      </c>
      <c r="B46" s="104" t="s">
        <v>60</v>
      </c>
      <c r="C46" s="105" t="s">
        <v>68</v>
      </c>
      <c r="D46" s="104" t="s">
        <v>1</v>
      </c>
      <c r="E46" s="113">
        <v>1.350694444444444</v>
      </c>
      <c r="F46" s="104" t="s">
        <v>65</v>
      </c>
      <c r="G46" s="106">
        <v>9</v>
      </c>
      <c r="H46" s="107" t="s">
        <v>152</v>
      </c>
    </row>
    <row r="47" spans="1:8" ht="19.8" customHeight="1" x14ac:dyDescent="0.3">
      <c r="A47" s="112">
        <v>45989</v>
      </c>
      <c r="B47" s="104" t="s">
        <v>60</v>
      </c>
      <c r="C47" s="105" t="s">
        <v>74</v>
      </c>
      <c r="D47" s="104" t="s">
        <v>1</v>
      </c>
      <c r="E47" s="113">
        <v>1.895833333333333</v>
      </c>
      <c r="F47" s="104" t="s">
        <v>65</v>
      </c>
      <c r="G47" s="106">
        <v>9</v>
      </c>
      <c r="H47" s="107" t="s">
        <v>152</v>
      </c>
    </row>
    <row r="48" spans="1:8" ht="19.8" customHeight="1" x14ac:dyDescent="0.3">
      <c r="A48" s="112">
        <v>45989</v>
      </c>
      <c r="B48" s="104" t="s">
        <v>60</v>
      </c>
      <c r="C48" s="105" t="s">
        <v>61</v>
      </c>
      <c r="D48" s="104" t="s">
        <v>1</v>
      </c>
      <c r="E48" s="113">
        <v>1.1840277777777779</v>
      </c>
      <c r="F48" s="104" t="s">
        <v>65</v>
      </c>
      <c r="G48" s="106">
        <v>9</v>
      </c>
      <c r="H48" s="107" t="s">
        <v>152</v>
      </c>
    </row>
    <row r="49" spans="1:8" ht="19.8" customHeight="1" x14ac:dyDescent="0.3">
      <c r="A49" s="114">
        <v>45989</v>
      </c>
      <c r="B49" s="115" t="s">
        <v>60</v>
      </c>
      <c r="C49" s="116" t="s">
        <v>71</v>
      </c>
      <c r="D49" s="115" t="s">
        <v>1</v>
      </c>
      <c r="E49" s="117">
        <v>1.229166666666667</v>
      </c>
      <c r="F49" s="115" t="s">
        <v>65</v>
      </c>
      <c r="G49" s="118">
        <v>4</v>
      </c>
      <c r="H49" s="119" t="s">
        <v>134</v>
      </c>
    </row>
    <row r="50" spans="1:8" ht="19.8" customHeight="1" x14ac:dyDescent="0.3">
      <c r="A50" s="126">
        <v>45990</v>
      </c>
      <c r="B50" s="109" t="s">
        <v>77</v>
      </c>
      <c r="C50" s="110" t="s">
        <v>78</v>
      </c>
      <c r="D50" s="109" t="s">
        <v>1</v>
      </c>
      <c r="E50" s="127">
        <v>1.2361111111111109</v>
      </c>
      <c r="F50" s="109" t="s">
        <v>79</v>
      </c>
      <c r="G50" s="109"/>
      <c r="H50" s="111" t="s">
        <v>80</v>
      </c>
    </row>
    <row r="51" spans="1:8" ht="19.8" customHeight="1" x14ac:dyDescent="0.3">
      <c r="A51" s="126">
        <v>45991</v>
      </c>
      <c r="B51" s="109" t="s">
        <v>77</v>
      </c>
      <c r="C51" s="110" t="s">
        <v>78</v>
      </c>
      <c r="D51" s="109" t="s">
        <v>1</v>
      </c>
      <c r="E51" s="127">
        <v>1.743055555555556</v>
      </c>
      <c r="F51" s="109" t="s">
        <v>79</v>
      </c>
      <c r="G51" s="109"/>
      <c r="H51" s="111" t="s">
        <v>80</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123"/>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7.77734375" bestFit="1" customWidth="1"/>
  </cols>
  <sheetData>
    <row r="1" spans="1:92" ht="28.8" customHeight="1" x14ac:dyDescent="0.3">
      <c r="A1" s="303" t="s">
        <v>0</v>
      </c>
      <c r="B1" s="302"/>
      <c r="C1" s="302"/>
      <c r="D1" s="302"/>
      <c r="E1" s="302"/>
      <c r="F1" s="1" t="s">
        <v>246</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45980.583279763137</v>
      </c>
      <c r="H2" s="302"/>
      <c r="I2" s="302"/>
      <c r="J2" s="302"/>
      <c r="K2" s="311">
        <v>45980.583279763508</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29" t="s">
        <v>77</v>
      </c>
      <c r="B6" s="129" t="s">
        <v>247</v>
      </c>
      <c r="C6" s="130">
        <v>0.47916666666666669</v>
      </c>
      <c r="D6" s="129" t="s">
        <v>101</v>
      </c>
      <c r="E6" s="129" t="s">
        <v>111</v>
      </c>
      <c r="F6" s="129" t="s">
        <v>248</v>
      </c>
      <c r="G6" s="304"/>
      <c r="H6" s="131" t="s">
        <v>249</v>
      </c>
      <c r="I6" s="132">
        <v>0.98329999999999995</v>
      </c>
      <c r="J6" s="133">
        <v>177</v>
      </c>
      <c r="K6" s="134">
        <v>45974</v>
      </c>
      <c r="L6" s="133">
        <v>50</v>
      </c>
      <c r="M6" s="133">
        <v>0</v>
      </c>
      <c r="N6" s="133">
        <v>0</v>
      </c>
      <c r="O6" s="135" t="s">
        <v>250</v>
      </c>
      <c r="P6" s="136">
        <v>0.47916666666666669</v>
      </c>
      <c r="Q6" s="133">
        <v>180</v>
      </c>
      <c r="R6" s="137" t="s">
        <v>251</v>
      </c>
    </row>
    <row r="7" spans="1:92" ht="18" x14ac:dyDescent="0.3">
      <c r="A7" s="312" t="s">
        <v>252</v>
      </c>
      <c r="B7" s="313"/>
      <c r="C7" s="313"/>
      <c r="D7" s="313"/>
      <c r="E7" s="313"/>
      <c r="F7" s="314"/>
      <c r="G7" s="298"/>
      <c r="H7" s="138"/>
      <c r="I7" s="138"/>
      <c r="J7" s="138"/>
      <c r="K7" s="138"/>
      <c r="L7" s="138"/>
      <c r="M7" s="138"/>
      <c r="N7" s="138"/>
      <c r="O7" s="139"/>
      <c r="P7" s="138"/>
      <c r="Q7" s="99"/>
      <c r="R7" s="99"/>
    </row>
    <row r="8" spans="1:92" ht="15" customHeight="1" x14ac:dyDescent="0.3">
      <c r="A8" s="17" t="s">
        <v>26</v>
      </c>
      <c r="B8" s="17" t="s">
        <v>27</v>
      </c>
      <c r="C8" s="18" t="s">
        <v>236</v>
      </c>
      <c r="D8" s="17" t="s">
        <v>28</v>
      </c>
      <c r="E8" s="17" t="s">
        <v>253</v>
      </c>
      <c r="F8" s="17" t="s">
        <v>30</v>
      </c>
      <c r="G8" s="298"/>
      <c r="H8" s="138"/>
      <c r="I8" s="138"/>
      <c r="J8" s="138"/>
      <c r="K8" s="138"/>
      <c r="L8" s="138"/>
      <c r="M8" s="138"/>
      <c r="N8" s="138"/>
      <c r="O8" s="139"/>
      <c r="P8" s="138"/>
      <c r="Q8" s="99"/>
      <c r="R8" s="99"/>
    </row>
    <row r="9" spans="1:92" ht="15" customHeight="1" x14ac:dyDescent="0.3">
      <c r="A9" s="17" t="s">
        <v>41</v>
      </c>
      <c r="B9" s="17" t="s">
        <v>42</v>
      </c>
      <c r="C9" s="18" t="s">
        <v>237</v>
      </c>
      <c r="D9" s="17" t="s">
        <v>43</v>
      </c>
      <c r="E9" s="17" t="s">
        <v>253</v>
      </c>
      <c r="F9" s="17" t="s">
        <v>44</v>
      </c>
      <c r="G9" s="298"/>
      <c r="H9" s="138"/>
      <c r="I9" s="138"/>
      <c r="J9" s="138"/>
      <c r="K9" s="138"/>
      <c r="L9" s="138"/>
      <c r="M9" s="138"/>
      <c r="N9" s="138"/>
      <c r="O9" s="139"/>
      <c r="P9" s="138"/>
      <c r="Q9" s="99"/>
      <c r="R9" s="99"/>
    </row>
    <row r="10" spans="1:92" ht="15" customHeight="1" x14ac:dyDescent="0.3">
      <c r="A10" s="17" t="s">
        <v>26</v>
      </c>
      <c r="B10" s="17" t="s">
        <v>36</v>
      </c>
      <c r="C10" s="18" t="s">
        <v>238</v>
      </c>
      <c r="D10" s="17" t="s">
        <v>28</v>
      </c>
      <c r="E10" s="17" t="s">
        <v>254</v>
      </c>
      <c r="F10" s="17" t="s">
        <v>33</v>
      </c>
      <c r="G10" s="298"/>
      <c r="H10" s="138"/>
      <c r="I10" s="138"/>
      <c r="J10" s="138"/>
      <c r="K10" s="138"/>
      <c r="L10" s="138"/>
      <c r="M10" s="138"/>
      <c r="N10" s="138"/>
      <c r="O10" s="139"/>
      <c r="P10" s="138"/>
      <c r="Q10" s="99"/>
      <c r="R10" s="99"/>
    </row>
    <row r="11" spans="1:92" ht="15" customHeight="1" x14ac:dyDescent="0.3">
      <c r="A11" s="17" t="s">
        <v>26</v>
      </c>
      <c r="B11" s="17" t="s">
        <v>27</v>
      </c>
      <c r="C11" s="18" t="s">
        <v>236</v>
      </c>
      <c r="D11" s="17" t="s">
        <v>31</v>
      </c>
      <c r="E11" s="17" t="s">
        <v>253</v>
      </c>
      <c r="F11" s="17" t="s">
        <v>33</v>
      </c>
      <c r="G11" s="298"/>
      <c r="H11" s="138"/>
      <c r="I11" s="138"/>
      <c r="J11" s="138"/>
      <c r="K11" s="138"/>
      <c r="L11" s="138"/>
      <c r="M11" s="138"/>
      <c r="N11" s="138"/>
      <c r="O11" s="139"/>
      <c r="P11" s="138"/>
      <c r="Q11" s="99"/>
      <c r="R11" s="99"/>
    </row>
    <row r="12" spans="1:92" ht="15" customHeight="1" x14ac:dyDescent="0.3">
      <c r="A12" s="17" t="s">
        <v>41</v>
      </c>
      <c r="B12" s="17" t="s">
        <v>42</v>
      </c>
      <c r="C12" s="18" t="s">
        <v>237</v>
      </c>
      <c r="D12" s="17" t="s">
        <v>45</v>
      </c>
      <c r="E12" s="17" t="s">
        <v>253</v>
      </c>
      <c r="F12" s="17" t="s">
        <v>35</v>
      </c>
      <c r="G12" s="298"/>
      <c r="H12" s="138"/>
      <c r="I12" s="138"/>
      <c r="J12" s="138"/>
      <c r="K12" s="138"/>
      <c r="L12" s="138"/>
      <c r="M12" s="138"/>
      <c r="N12" s="138"/>
      <c r="O12" s="139"/>
      <c r="P12" s="138"/>
      <c r="Q12" s="99"/>
      <c r="R12" s="99"/>
    </row>
    <row r="13" spans="1:92" ht="15" customHeight="1" x14ac:dyDescent="0.3">
      <c r="A13" s="17" t="s">
        <v>26</v>
      </c>
      <c r="B13" s="17" t="s">
        <v>27</v>
      </c>
      <c r="C13" s="18" t="s">
        <v>236</v>
      </c>
      <c r="D13" s="17" t="s">
        <v>34</v>
      </c>
      <c r="E13" s="17" t="s">
        <v>253</v>
      </c>
      <c r="F13" s="17" t="s">
        <v>35</v>
      </c>
      <c r="G13" s="298"/>
      <c r="H13" s="138"/>
      <c r="I13" s="138"/>
      <c r="J13" s="138"/>
      <c r="K13" s="138"/>
      <c r="L13" s="138"/>
      <c r="M13" s="138"/>
      <c r="N13" s="138"/>
      <c r="O13" s="139"/>
      <c r="P13" s="138"/>
      <c r="Q13" s="99"/>
      <c r="R13" s="99"/>
    </row>
    <row r="14" spans="1:92" ht="15" customHeight="1" x14ac:dyDescent="0.3">
      <c r="A14" s="17" t="s">
        <v>26</v>
      </c>
      <c r="B14" s="17" t="s">
        <v>36</v>
      </c>
      <c r="C14" s="18" t="s">
        <v>238</v>
      </c>
      <c r="D14" s="17" t="s">
        <v>31</v>
      </c>
      <c r="E14" s="17" t="s">
        <v>254</v>
      </c>
      <c r="F14" s="17" t="s">
        <v>39</v>
      </c>
      <c r="G14" s="298"/>
      <c r="H14" s="138"/>
      <c r="I14" s="138"/>
      <c r="J14" s="138"/>
      <c r="K14" s="138"/>
      <c r="L14" s="138"/>
      <c r="M14" s="138"/>
      <c r="N14" s="138"/>
      <c r="O14" s="139"/>
      <c r="P14" s="138"/>
      <c r="Q14" s="99"/>
      <c r="R14" s="99"/>
    </row>
    <row r="15" spans="1:92" ht="15" customHeight="1" x14ac:dyDescent="0.3">
      <c r="A15" s="17" t="s">
        <v>48</v>
      </c>
      <c r="B15" s="17" t="s">
        <v>49</v>
      </c>
      <c r="C15" s="18" t="s">
        <v>239</v>
      </c>
      <c r="D15" s="17" t="s">
        <v>50</v>
      </c>
      <c r="E15" s="17" t="s">
        <v>255</v>
      </c>
      <c r="F15" s="17" t="s">
        <v>52</v>
      </c>
      <c r="G15" s="298"/>
      <c r="H15" s="138"/>
      <c r="I15" s="138"/>
      <c r="J15" s="138"/>
      <c r="K15" s="138"/>
      <c r="L15" s="138"/>
      <c r="M15" s="138"/>
      <c r="N15" s="138"/>
      <c r="O15" s="139"/>
      <c r="P15" s="138"/>
      <c r="Q15" s="99"/>
      <c r="R15" s="99"/>
    </row>
    <row r="16" spans="1:92" ht="15" customHeight="1" x14ac:dyDescent="0.3">
      <c r="A16" s="17" t="s">
        <v>48</v>
      </c>
      <c r="B16" s="17" t="s">
        <v>53</v>
      </c>
      <c r="C16" s="18" t="s">
        <v>240</v>
      </c>
      <c r="D16" s="17" t="s">
        <v>50</v>
      </c>
      <c r="E16" s="17" t="s">
        <v>256</v>
      </c>
      <c r="F16" s="17" t="s">
        <v>52</v>
      </c>
      <c r="G16" s="298"/>
      <c r="H16" s="138"/>
      <c r="I16" s="138"/>
      <c r="J16" s="138"/>
      <c r="K16" s="138"/>
      <c r="L16" s="138"/>
      <c r="M16" s="138"/>
      <c r="N16" s="138"/>
      <c r="O16" s="139"/>
      <c r="P16" s="138"/>
      <c r="Q16" s="99"/>
      <c r="R16" s="99"/>
    </row>
    <row r="17" spans="1:18" ht="15" customHeight="1" thickBot="1" x14ac:dyDescent="0.35">
      <c r="A17" s="39" t="s">
        <v>26</v>
      </c>
      <c r="B17" s="39" t="s">
        <v>36</v>
      </c>
      <c r="C17" s="40" t="s">
        <v>238</v>
      </c>
      <c r="D17" s="39" t="s">
        <v>34</v>
      </c>
      <c r="E17" s="39" t="s">
        <v>254</v>
      </c>
      <c r="F17" s="39" t="s">
        <v>40</v>
      </c>
      <c r="G17" s="299"/>
      <c r="H17" s="140"/>
      <c r="I17" s="140"/>
      <c r="J17" s="140"/>
      <c r="K17" s="140"/>
      <c r="L17" s="140"/>
      <c r="M17" s="140"/>
      <c r="N17" s="140"/>
      <c r="O17" s="141"/>
      <c r="P17" s="140"/>
      <c r="Q17" s="142"/>
      <c r="R17" s="142"/>
    </row>
    <row r="18" spans="1:18" ht="17.399999999999999" customHeight="1" thickBot="1" x14ac:dyDescent="0.35">
      <c r="A18" s="329"/>
      <c r="B18" s="330"/>
      <c r="C18" s="330"/>
      <c r="D18" s="330"/>
      <c r="E18" s="330"/>
      <c r="F18" s="330"/>
      <c r="G18" s="330"/>
      <c r="H18" s="330"/>
      <c r="I18" s="330"/>
      <c r="J18" s="330"/>
      <c r="K18" s="330"/>
      <c r="L18" s="330"/>
      <c r="M18" s="330"/>
      <c r="N18" s="330"/>
      <c r="O18" s="330"/>
      <c r="P18" s="330"/>
      <c r="Q18" s="330"/>
      <c r="R18" s="331"/>
    </row>
    <row r="19" spans="1:18" ht="22.05" customHeight="1" thickTop="1" thickBot="1" x14ac:dyDescent="0.35">
      <c r="A19" s="300" t="s">
        <v>6</v>
      </c>
      <c r="B19" s="295"/>
      <c r="C19" s="295"/>
      <c r="D19" s="295"/>
      <c r="E19" s="295"/>
      <c r="F19" s="296"/>
      <c r="G19" s="31">
        <v>45982</v>
      </c>
      <c r="H19" s="294" t="s">
        <v>7</v>
      </c>
      <c r="I19" s="295"/>
      <c r="J19" s="295"/>
      <c r="K19" s="295"/>
      <c r="L19" s="295"/>
      <c r="M19" s="295"/>
      <c r="N19" s="295"/>
      <c r="O19" s="295"/>
      <c r="P19" s="295"/>
      <c r="Q19" s="295"/>
      <c r="R19" s="296"/>
    </row>
    <row r="20" spans="1:18" ht="24" customHeight="1" x14ac:dyDescent="0.3">
      <c r="A20" s="32" t="s">
        <v>8</v>
      </c>
      <c r="B20" s="32" t="s">
        <v>9</v>
      </c>
      <c r="C20" s="33" t="s">
        <v>10</v>
      </c>
      <c r="D20" s="32" t="s">
        <v>11</v>
      </c>
      <c r="E20" s="32" t="s">
        <v>12</v>
      </c>
      <c r="F20" s="34" t="s">
        <v>13</v>
      </c>
      <c r="G20" s="35" t="s">
        <v>14</v>
      </c>
      <c r="H20" s="32" t="s">
        <v>15</v>
      </c>
      <c r="I20" s="36" t="s">
        <v>16</v>
      </c>
      <c r="J20" s="37" t="s">
        <v>17</v>
      </c>
      <c r="K20" s="38" t="s">
        <v>18</v>
      </c>
      <c r="L20" s="37" t="s">
        <v>19</v>
      </c>
      <c r="M20" s="37" t="s">
        <v>20</v>
      </c>
      <c r="N20" s="37" t="s">
        <v>21</v>
      </c>
      <c r="O20" s="32" t="s">
        <v>22</v>
      </c>
      <c r="P20" s="33" t="s">
        <v>23</v>
      </c>
      <c r="Q20" s="37" t="s">
        <v>24</v>
      </c>
      <c r="R20" s="32" t="s">
        <v>25</v>
      </c>
    </row>
    <row r="21" spans="1:18" ht="15" customHeight="1" x14ac:dyDescent="0.3">
      <c r="A21" s="8" t="s">
        <v>48</v>
      </c>
      <c r="B21" s="8" t="s">
        <v>257</v>
      </c>
      <c r="C21" s="9">
        <v>0.3576388888888889</v>
      </c>
      <c r="D21" s="8" t="s">
        <v>50</v>
      </c>
      <c r="E21" s="8" t="s">
        <v>118</v>
      </c>
      <c r="F21" s="8" t="s">
        <v>258</v>
      </c>
      <c r="G21" s="304"/>
      <c r="H21" s="10"/>
      <c r="I21" s="11"/>
      <c r="J21" s="11"/>
      <c r="K21" s="11"/>
      <c r="L21" s="11"/>
      <c r="M21" s="11"/>
      <c r="N21" s="11"/>
      <c r="O21" s="12"/>
      <c r="P21" s="11"/>
      <c r="Q21" s="13"/>
      <c r="R21" s="14"/>
    </row>
    <row r="22" spans="1:18" ht="18" x14ac:dyDescent="0.3">
      <c r="A22" s="312" t="s">
        <v>252</v>
      </c>
      <c r="B22" s="313"/>
      <c r="C22" s="313"/>
      <c r="D22" s="313"/>
      <c r="E22" s="313"/>
      <c r="F22" s="314"/>
      <c r="G22" s="298"/>
      <c r="H22" s="138"/>
      <c r="I22" s="138"/>
      <c r="J22" s="138"/>
      <c r="K22" s="138"/>
      <c r="L22" s="138"/>
      <c r="M22" s="138"/>
      <c r="N22" s="138"/>
      <c r="O22" s="139"/>
      <c r="P22" s="138"/>
      <c r="Q22" s="99"/>
      <c r="R22" s="99"/>
    </row>
    <row r="23" spans="1:18" ht="15" customHeight="1" x14ac:dyDescent="0.3">
      <c r="A23" s="17" t="s">
        <v>41</v>
      </c>
      <c r="B23" s="17" t="s">
        <v>42</v>
      </c>
      <c r="C23" s="18" t="s">
        <v>237</v>
      </c>
      <c r="D23" s="17" t="s">
        <v>43</v>
      </c>
      <c r="E23" s="17" t="s">
        <v>259</v>
      </c>
      <c r="F23" s="17" t="s">
        <v>44</v>
      </c>
      <c r="G23" s="298"/>
      <c r="H23" s="138"/>
      <c r="I23" s="138"/>
      <c r="J23" s="138"/>
      <c r="K23" s="138"/>
      <c r="L23" s="138"/>
      <c r="M23" s="138"/>
      <c r="N23" s="138"/>
      <c r="O23" s="139"/>
      <c r="P23" s="138"/>
      <c r="Q23" s="99"/>
      <c r="R23" s="99"/>
    </row>
    <row r="24" spans="1:18" ht="15" customHeight="1" x14ac:dyDescent="0.3">
      <c r="A24" s="17" t="s">
        <v>26</v>
      </c>
      <c r="B24" s="17" t="s">
        <v>36</v>
      </c>
      <c r="C24" s="18" t="s">
        <v>238</v>
      </c>
      <c r="D24" s="17" t="s">
        <v>28</v>
      </c>
      <c r="E24" s="17" t="s">
        <v>260</v>
      </c>
      <c r="F24" s="17" t="s">
        <v>86</v>
      </c>
      <c r="G24" s="298"/>
      <c r="H24" s="138"/>
      <c r="I24" s="138"/>
      <c r="J24" s="138"/>
      <c r="K24" s="138"/>
      <c r="L24" s="138"/>
      <c r="M24" s="138"/>
      <c r="N24" s="138"/>
      <c r="O24" s="139"/>
      <c r="P24" s="138"/>
      <c r="Q24" s="99"/>
      <c r="R24" s="99"/>
    </row>
    <row r="25" spans="1:18" ht="15" customHeight="1" x14ac:dyDescent="0.3">
      <c r="A25" s="17" t="s">
        <v>26</v>
      </c>
      <c r="B25" s="17" t="s">
        <v>36</v>
      </c>
      <c r="C25" s="18" t="s">
        <v>238</v>
      </c>
      <c r="D25" s="17" t="s">
        <v>31</v>
      </c>
      <c r="E25" s="17" t="s">
        <v>260</v>
      </c>
      <c r="F25" s="17" t="s">
        <v>88</v>
      </c>
      <c r="G25" s="298"/>
      <c r="H25" s="138"/>
      <c r="I25" s="138"/>
      <c r="J25" s="138"/>
      <c r="K25" s="138"/>
      <c r="L25" s="138"/>
      <c r="M25" s="138"/>
      <c r="N25" s="138"/>
      <c r="O25" s="139"/>
      <c r="P25" s="138"/>
      <c r="Q25" s="99"/>
      <c r="R25" s="99"/>
    </row>
    <row r="26" spans="1:18" ht="15" customHeight="1" x14ac:dyDescent="0.3">
      <c r="A26" s="17" t="s">
        <v>41</v>
      </c>
      <c r="B26" s="17" t="s">
        <v>42</v>
      </c>
      <c r="C26" s="18" t="s">
        <v>237</v>
      </c>
      <c r="D26" s="17" t="s">
        <v>45</v>
      </c>
      <c r="E26" s="17" t="s">
        <v>259</v>
      </c>
      <c r="F26" s="17" t="s">
        <v>35</v>
      </c>
      <c r="G26" s="298"/>
      <c r="H26" s="138"/>
      <c r="I26" s="138"/>
      <c r="J26" s="138"/>
      <c r="K26" s="138"/>
      <c r="L26" s="138"/>
      <c r="M26" s="138"/>
      <c r="N26" s="138"/>
      <c r="O26" s="139"/>
      <c r="P26" s="138"/>
      <c r="Q26" s="99"/>
      <c r="R26" s="99"/>
    </row>
    <row r="27" spans="1:18" ht="15" customHeight="1" x14ac:dyDescent="0.3">
      <c r="A27" s="17" t="s">
        <v>48</v>
      </c>
      <c r="B27" s="17" t="s">
        <v>55</v>
      </c>
      <c r="C27" s="18" t="s">
        <v>242</v>
      </c>
      <c r="D27" s="17" t="s">
        <v>50</v>
      </c>
      <c r="E27" s="17" t="s">
        <v>256</v>
      </c>
      <c r="F27" s="17" t="s">
        <v>52</v>
      </c>
      <c r="G27" s="298"/>
      <c r="H27" s="138"/>
      <c r="I27" s="138"/>
      <c r="J27" s="138"/>
      <c r="K27" s="138"/>
      <c r="L27" s="138"/>
      <c r="M27" s="138"/>
      <c r="N27" s="138"/>
      <c r="O27" s="139"/>
      <c r="P27" s="138"/>
      <c r="Q27" s="99"/>
      <c r="R27" s="99"/>
    </row>
    <row r="28" spans="1:18" ht="15" customHeight="1" x14ac:dyDescent="0.3">
      <c r="A28" s="17" t="s">
        <v>48</v>
      </c>
      <c r="B28" s="17" t="s">
        <v>53</v>
      </c>
      <c r="C28" s="18" t="s">
        <v>240</v>
      </c>
      <c r="D28" s="17" t="s">
        <v>50</v>
      </c>
      <c r="E28" s="17" t="s">
        <v>256</v>
      </c>
      <c r="F28" s="17" t="s">
        <v>52</v>
      </c>
      <c r="G28" s="298"/>
      <c r="H28" s="138"/>
      <c r="I28" s="138"/>
      <c r="J28" s="138"/>
      <c r="K28" s="138"/>
      <c r="L28" s="138"/>
      <c r="M28" s="138"/>
      <c r="N28" s="138"/>
      <c r="O28" s="139"/>
      <c r="P28" s="138"/>
      <c r="Q28" s="99"/>
      <c r="R28" s="99"/>
    </row>
    <row r="29" spans="1:18" ht="15" customHeight="1" x14ac:dyDescent="0.3">
      <c r="A29" s="17" t="s">
        <v>48</v>
      </c>
      <c r="B29" s="17" t="s">
        <v>57</v>
      </c>
      <c r="C29" s="18" t="s">
        <v>244</v>
      </c>
      <c r="D29" s="17" t="s">
        <v>50</v>
      </c>
      <c r="E29" s="17" t="s">
        <v>256</v>
      </c>
      <c r="F29" s="17" t="s">
        <v>52</v>
      </c>
      <c r="G29" s="298"/>
      <c r="H29" s="138"/>
      <c r="I29" s="138"/>
      <c r="J29" s="138"/>
      <c r="K29" s="138"/>
      <c r="L29" s="138"/>
      <c r="M29" s="138"/>
      <c r="N29" s="138"/>
      <c r="O29" s="139"/>
      <c r="P29" s="138"/>
      <c r="Q29" s="99"/>
      <c r="R29" s="99"/>
    </row>
    <row r="30" spans="1:18" ht="15" customHeight="1" x14ac:dyDescent="0.3">
      <c r="A30" s="17" t="s">
        <v>26</v>
      </c>
      <c r="B30" s="17" t="s">
        <v>36</v>
      </c>
      <c r="C30" s="18" t="s">
        <v>238</v>
      </c>
      <c r="D30" s="17" t="s">
        <v>34</v>
      </c>
      <c r="E30" s="17" t="s">
        <v>260</v>
      </c>
      <c r="F30" s="17" t="s">
        <v>89</v>
      </c>
      <c r="G30" s="298"/>
      <c r="H30" s="138"/>
      <c r="I30" s="138"/>
      <c r="J30" s="138"/>
      <c r="K30" s="138"/>
      <c r="L30" s="138"/>
      <c r="M30" s="138"/>
      <c r="N30" s="138"/>
      <c r="O30" s="139"/>
      <c r="P30" s="138"/>
      <c r="Q30" s="99"/>
      <c r="R30" s="99"/>
    </row>
    <row r="31" spans="1:18" ht="15" customHeight="1" x14ac:dyDescent="0.3">
      <c r="A31" s="17" t="s">
        <v>41</v>
      </c>
      <c r="B31" s="17" t="s">
        <v>42</v>
      </c>
      <c r="C31" s="18" t="s">
        <v>237</v>
      </c>
      <c r="D31" s="17" t="s">
        <v>46</v>
      </c>
      <c r="E31" s="17" t="s">
        <v>259</v>
      </c>
      <c r="F31" s="17" t="s">
        <v>47</v>
      </c>
      <c r="G31" s="298"/>
      <c r="H31" s="138"/>
      <c r="I31" s="138"/>
      <c r="J31" s="138"/>
      <c r="K31" s="138"/>
      <c r="L31" s="138"/>
      <c r="M31" s="138"/>
      <c r="N31" s="138"/>
      <c r="O31" s="139"/>
      <c r="P31" s="138"/>
      <c r="Q31" s="99"/>
      <c r="R31" s="99"/>
    </row>
    <row r="32" spans="1:18" ht="15" customHeight="1" thickBot="1" x14ac:dyDescent="0.35">
      <c r="A32" s="39" t="s">
        <v>60</v>
      </c>
      <c r="B32" s="39" t="s">
        <v>74</v>
      </c>
      <c r="C32" s="40" t="s">
        <v>245</v>
      </c>
      <c r="D32" s="39" t="s">
        <v>62</v>
      </c>
      <c r="E32" s="39" t="s">
        <v>256</v>
      </c>
      <c r="F32" s="39" t="s">
        <v>64</v>
      </c>
      <c r="G32" s="299"/>
      <c r="H32" s="140"/>
      <c r="I32" s="140"/>
      <c r="J32" s="140"/>
      <c r="K32" s="140"/>
      <c r="L32" s="140"/>
      <c r="M32" s="140"/>
      <c r="N32" s="140"/>
      <c r="O32" s="141"/>
      <c r="P32" s="140"/>
      <c r="Q32" s="142"/>
      <c r="R32" s="142"/>
    </row>
    <row r="33" spans="1:18" ht="17.399999999999999" customHeight="1" thickBot="1" x14ac:dyDescent="0.35">
      <c r="A33" s="329"/>
      <c r="B33" s="330"/>
      <c r="C33" s="330"/>
      <c r="D33" s="330"/>
      <c r="E33" s="330"/>
      <c r="F33" s="330"/>
      <c r="G33" s="330"/>
      <c r="H33" s="330"/>
      <c r="I33" s="330"/>
      <c r="J33" s="330"/>
      <c r="K33" s="330"/>
      <c r="L33" s="330"/>
      <c r="M33" s="330"/>
      <c r="N33" s="330"/>
      <c r="O33" s="330"/>
      <c r="P33" s="330"/>
      <c r="Q33" s="330"/>
      <c r="R33" s="331"/>
    </row>
    <row r="34" spans="1:18" ht="22.05" customHeight="1" thickTop="1" thickBot="1" x14ac:dyDescent="0.35">
      <c r="A34" s="300" t="s">
        <v>6</v>
      </c>
      <c r="B34" s="295"/>
      <c r="C34" s="295"/>
      <c r="D34" s="295"/>
      <c r="E34" s="295"/>
      <c r="F34" s="296"/>
      <c r="G34" s="31">
        <v>45984</v>
      </c>
      <c r="H34" s="294" t="s">
        <v>7</v>
      </c>
      <c r="I34" s="295"/>
      <c r="J34" s="295"/>
      <c r="K34" s="295"/>
      <c r="L34" s="295"/>
      <c r="M34" s="295"/>
      <c r="N34" s="295"/>
      <c r="O34" s="295"/>
      <c r="P34" s="295"/>
      <c r="Q34" s="295"/>
      <c r="R34" s="296"/>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15" customHeight="1" x14ac:dyDescent="0.3">
      <c r="A36" s="129" t="s">
        <v>77</v>
      </c>
      <c r="B36" s="129" t="s">
        <v>249</v>
      </c>
      <c r="C36" s="130">
        <v>0.2361111111111111</v>
      </c>
      <c r="D36" s="129" t="s">
        <v>79</v>
      </c>
      <c r="E36" s="143"/>
      <c r="F36" s="129" t="s">
        <v>80</v>
      </c>
      <c r="G36" s="304"/>
      <c r="H36" s="131" t="s">
        <v>249</v>
      </c>
      <c r="I36" s="132">
        <v>1.0056</v>
      </c>
      <c r="J36" s="133">
        <v>181</v>
      </c>
      <c r="K36" s="134">
        <v>45959</v>
      </c>
      <c r="L36" s="133">
        <v>0</v>
      </c>
      <c r="M36" s="133">
        <v>0</v>
      </c>
      <c r="N36" s="133">
        <v>0</v>
      </c>
      <c r="O36" s="135" t="s">
        <v>81</v>
      </c>
      <c r="P36" s="136">
        <v>0.2361111111111111</v>
      </c>
      <c r="Q36" s="133">
        <v>180</v>
      </c>
      <c r="R36" s="137" t="s">
        <v>261</v>
      </c>
    </row>
    <row r="37" spans="1:18" ht="18" x14ac:dyDescent="0.3">
      <c r="A37" s="312" t="s">
        <v>252</v>
      </c>
      <c r="B37" s="313"/>
      <c r="C37" s="313"/>
      <c r="D37" s="313"/>
      <c r="E37" s="313"/>
      <c r="F37" s="314"/>
      <c r="G37" s="298"/>
      <c r="H37" s="138"/>
      <c r="I37" s="138"/>
      <c r="J37" s="138"/>
      <c r="K37" s="138"/>
      <c r="L37" s="138"/>
      <c r="M37" s="138"/>
      <c r="N37" s="138"/>
      <c r="O37" s="139"/>
      <c r="P37" s="138"/>
      <c r="Q37" s="99"/>
      <c r="R37" s="99"/>
    </row>
    <row r="38" spans="1:18" ht="15" customHeight="1" x14ac:dyDescent="0.3">
      <c r="A38" s="17" t="s">
        <v>41</v>
      </c>
      <c r="B38" s="17" t="s">
        <v>42</v>
      </c>
      <c r="C38" s="18" t="s">
        <v>237</v>
      </c>
      <c r="D38" s="17" t="s">
        <v>43</v>
      </c>
      <c r="E38" s="17" t="s">
        <v>262</v>
      </c>
      <c r="F38" s="17" t="s">
        <v>93</v>
      </c>
      <c r="G38" s="298"/>
      <c r="H38" s="138"/>
      <c r="I38" s="138"/>
      <c r="J38" s="138"/>
      <c r="K38" s="138"/>
      <c r="L38" s="138"/>
      <c r="M38" s="138"/>
      <c r="N38" s="138"/>
      <c r="O38" s="139"/>
      <c r="P38" s="138"/>
      <c r="Q38" s="99"/>
      <c r="R38" s="99"/>
    </row>
    <row r="39" spans="1:18" ht="15" customHeight="1" x14ac:dyDescent="0.3">
      <c r="A39" s="17" t="s">
        <v>48</v>
      </c>
      <c r="B39" s="17" t="s">
        <v>53</v>
      </c>
      <c r="C39" s="18" t="s">
        <v>240</v>
      </c>
      <c r="D39" s="17" t="s">
        <v>107</v>
      </c>
      <c r="E39" s="17" t="s">
        <v>256</v>
      </c>
      <c r="F39" s="17" t="s">
        <v>108</v>
      </c>
      <c r="G39" s="298"/>
      <c r="H39" s="138"/>
      <c r="I39" s="138"/>
      <c r="J39" s="138"/>
      <c r="K39" s="138"/>
      <c r="L39" s="138"/>
      <c r="M39" s="138"/>
      <c r="N39" s="138"/>
      <c r="O39" s="139"/>
      <c r="P39" s="138"/>
      <c r="Q39" s="99"/>
      <c r="R39" s="99"/>
    </row>
    <row r="40" spans="1:18" ht="15" customHeight="1" x14ac:dyDescent="0.3">
      <c r="A40" s="17" t="s">
        <v>41</v>
      </c>
      <c r="B40" s="17" t="s">
        <v>42</v>
      </c>
      <c r="C40" s="18" t="s">
        <v>237</v>
      </c>
      <c r="D40" s="17" t="s">
        <v>45</v>
      </c>
      <c r="E40" s="17" t="s">
        <v>262</v>
      </c>
      <c r="F40" s="17" t="s">
        <v>95</v>
      </c>
      <c r="G40" s="298"/>
      <c r="H40" s="138"/>
      <c r="I40" s="138"/>
      <c r="J40" s="138"/>
      <c r="K40" s="138"/>
      <c r="L40" s="138"/>
      <c r="M40" s="138"/>
      <c r="N40" s="138"/>
      <c r="O40" s="139"/>
      <c r="P40" s="138"/>
      <c r="Q40" s="99"/>
      <c r="R40" s="99"/>
    </row>
    <row r="41" spans="1:18" ht="15" customHeight="1" x14ac:dyDescent="0.3">
      <c r="A41" s="17" t="s">
        <v>48</v>
      </c>
      <c r="B41" s="17" t="s">
        <v>55</v>
      </c>
      <c r="C41" s="18" t="s">
        <v>263</v>
      </c>
      <c r="D41" s="17" t="s">
        <v>50</v>
      </c>
      <c r="E41" s="17" t="s">
        <v>256</v>
      </c>
      <c r="F41" s="17" t="s">
        <v>52</v>
      </c>
      <c r="G41" s="298"/>
      <c r="H41" s="138"/>
      <c r="I41" s="138"/>
      <c r="J41" s="138"/>
      <c r="K41" s="138"/>
      <c r="L41" s="138"/>
      <c r="M41" s="138"/>
      <c r="N41" s="138"/>
      <c r="O41" s="139"/>
      <c r="P41" s="138"/>
      <c r="Q41" s="99"/>
      <c r="R41" s="99"/>
    </row>
    <row r="42" spans="1:18" ht="15" customHeight="1" x14ac:dyDescent="0.3">
      <c r="A42" s="17" t="s">
        <v>41</v>
      </c>
      <c r="B42" s="17" t="s">
        <v>42</v>
      </c>
      <c r="C42" s="18" t="s">
        <v>237</v>
      </c>
      <c r="D42" s="17" t="s">
        <v>46</v>
      </c>
      <c r="E42" s="17" t="s">
        <v>262</v>
      </c>
      <c r="F42" s="17" t="s">
        <v>47</v>
      </c>
      <c r="G42" s="298"/>
      <c r="H42" s="138"/>
      <c r="I42" s="138"/>
      <c r="J42" s="138"/>
      <c r="K42" s="138"/>
      <c r="L42" s="138"/>
      <c r="M42" s="138"/>
      <c r="N42" s="138"/>
      <c r="O42" s="139"/>
      <c r="P42" s="138"/>
      <c r="Q42" s="99"/>
      <c r="R42" s="99"/>
    </row>
    <row r="43" spans="1:18" ht="15" customHeight="1" x14ac:dyDescent="0.3">
      <c r="A43" s="17" t="s">
        <v>60</v>
      </c>
      <c r="B43" s="17" t="s">
        <v>74</v>
      </c>
      <c r="C43" s="18" t="s">
        <v>245</v>
      </c>
      <c r="D43" s="17" t="s">
        <v>62</v>
      </c>
      <c r="E43" s="17" t="s">
        <v>256</v>
      </c>
      <c r="F43" s="17" t="s">
        <v>64</v>
      </c>
      <c r="G43" s="298"/>
      <c r="H43" s="138"/>
      <c r="I43" s="138"/>
      <c r="J43" s="138"/>
      <c r="K43" s="138"/>
      <c r="L43" s="138"/>
      <c r="M43" s="138"/>
      <c r="N43" s="138"/>
      <c r="O43" s="139"/>
      <c r="P43" s="138"/>
      <c r="Q43" s="99"/>
      <c r="R43" s="99"/>
    </row>
    <row r="44" spans="1:18" ht="15" customHeight="1" x14ac:dyDescent="0.3">
      <c r="A44" s="17" t="s">
        <v>60</v>
      </c>
      <c r="B44" s="17" t="s">
        <v>61</v>
      </c>
      <c r="C44" s="18" t="s">
        <v>241</v>
      </c>
      <c r="D44" s="17" t="s">
        <v>62</v>
      </c>
      <c r="E44" s="17" t="s">
        <v>256</v>
      </c>
      <c r="F44" s="17" t="s">
        <v>64</v>
      </c>
      <c r="G44" s="298"/>
      <c r="H44" s="138"/>
      <c r="I44" s="138"/>
      <c r="J44" s="138"/>
      <c r="K44" s="138"/>
      <c r="L44" s="138"/>
      <c r="M44" s="138"/>
      <c r="N44" s="138"/>
      <c r="O44" s="139"/>
      <c r="P44" s="138"/>
      <c r="Q44" s="99"/>
      <c r="R44" s="99"/>
    </row>
    <row r="45" spans="1:18" ht="15" customHeight="1" x14ac:dyDescent="0.3">
      <c r="A45" s="17" t="s">
        <v>48</v>
      </c>
      <c r="B45" s="17" t="s">
        <v>49</v>
      </c>
      <c r="C45" s="18" t="s">
        <v>264</v>
      </c>
      <c r="D45" s="17" t="s">
        <v>50</v>
      </c>
      <c r="E45" s="17" t="s">
        <v>256</v>
      </c>
      <c r="F45" s="17" t="s">
        <v>56</v>
      </c>
      <c r="G45" s="298"/>
      <c r="H45" s="138"/>
      <c r="I45" s="138"/>
      <c r="J45" s="138"/>
      <c r="K45" s="138"/>
      <c r="L45" s="138"/>
      <c r="M45" s="138"/>
      <c r="N45" s="138"/>
      <c r="O45" s="139"/>
      <c r="P45" s="138"/>
      <c r="Q45" s="99"/>
      <c r="R45" s="99"/>
    </row>
    <row r="46" spans="1:18" ht="15" customHeight="1" x14ac:dyDescent="0.3">
      <c r="A46" s="17" t="s">
        <v>60</v>
      </c>
      <c r="B46" s="17" t="s">
        <v>74</v>
      </c>
      <c r="C46" s="18" t="s">
        <v>245</v>
      </c>
      <c r="D46" s="17" t="s">
        <v>65</v>
      </c>
      <c r="E46" s="17" t="s">
        <v>256</v>
      </c>
      <c r="F46" s="17" t="s">
        <v>67</v>
      </c>
      <c r="G46" s="298"/>
      <c r="H46" s="138"/>
      <c r="I46" s="138"/>
      <c r="J46" s="138"/>
      <c r="K46" s="138"/>
      <c r="L46" s="138"/>
      <c r="M46" s="138"/>
      <c r="N46" s="138"/>
      <c r="O46" s="139"/>
      <c r="P46" s="138"/>
      <c r="Q46" s="99"/>
      <c r="R46" s="99"/>
    </row>
    <row r="47" spans="1:18" ht="15" customHeight="1" thickBot="1" x14ac:dyDescent="0.35">
      <c r="A47" s="39" t="s">
        <v>60</v>
      </c>
      <c r="B47" s="39" t="s">
        <v>61</v>
      </c>
      <c r="C47" s="40" t="s">
        <v>241</v>
      </c>
      <c r="D47" s="39" t="s">
        <v>65</v>
      </c>
      <c r="E47" s="39" t="s">
        <v>256</v>
      </c>
      <c r="F47" s="39" t="s">
        <v>67</v>
      </c>
      <c r="G47" s="299"/>
      <c r="H47" s="140"/>
      <c r="I47" s="140"/>
      <c r="J47" s="140"/>
      <c r="K47" s="140"/>
      <c r="L47" s="140"/>
      <c r="M47" s="140"/>
      <c r="N47" s="140"/>
      <c r="O47" s="141"/>
      <c r="P47" s="140"/>
      <c r="Q47" s="142"/>
      <c r="R47" s="142"/>
    </row>
    <row r="48" spans="1:18" ht="17.399999999999999" customHeight="1" thickBot="1" x14ac:dyDescent="0.35">
      <c r="A48" s="329"/>
      <c r="B48" s="330"/>
      <c r="C48" s="330"/>
      <c r="D48" s="330"/>
      <c r="E48" s="330"/>
      <c r="F48" s="330"/>
      <c r="G48" s="330"/>
      <c r="H48" s="330"/>
      <c r="I48" s="330"/>
      <c r="J48" s="330"/>
      <c r="K48" s="330"/>
      <c r="L48" s="330"/>
      <c r="M48" s="330"/>
      <c r="N48" s="330"/>
      <c r="O48" s="330"/>
      <c r="P48" s="330"/>
      <c r="Q48" s="330"/>
      <c r="R48" s="331"/>
    </row>
    <row r="49" spans="1:18" ht="22.05" customHeight="1" thickTop="1" thickBot="1" x14ac:dyDescent="0.35">
      <c r="A49" s="300" t="s">
        <v>6</v>
      </c>
      <c r="B49" s="295"/>
      <c r="C49" s="295"/>
      <c r="D49" s="295"/>
      <c r="E49" s="295"/>
      <c r="F49" s="296"/>
      <c r="G49" s="31">
        <v>45986</v>
      </c>
      <c r="H49" s="294" t="s">
        <v>7</v>
      </c>
      <c r="I49" s="295"/>
      <c r="J49" s="295"/>
      <c r="K49" s="295"/>
      <c r="L49" s="295"/>
      <c r="M49" s="295"/>
      <c r="N49" s="295"/>
      <c r="O49" s="295"/>
      <c r="P49" s="295"/>
      <c r="Q49" s="295"/>
      <c r="R49" s="296"/>
    </row>
    <row r="50" spans="1:18" ht="24" customHeight="1" x14ac:dyDescent="0.3">
      <c r="A50" s="32" t="s">
        <v>8</v>
      </c>
      <c r="B50" s="32" t="s">
        <v>9</v>
      </c>
      <c r="C50" s="33" t="s">
        <v>10</v>
      </c>
      <c r="D50" s="32" t="s">
        <v>11</v>
      </c>
      <c r="E50" s="32" t="s">
        <v>12</v>
      </c>
      <c r="F50" s="34" t="s">
        <v>13</v>
      </c>
      <c r="G50" s="35" t="s">
        <v>14</v>
      </c>
      <c r="H50" s="32" t="s">
        <v>15</v>
      </c>
      <c r="I50" s="36" t="s">
        <v>16</v>
      </c>
      <c r="J50" s="37" t="s">
        <v>17</v>
      </c>
      <c r="K50" s="38" t="s">
        <v>18</v>
      </c>
      <c r="L50" s="37" t="s">
        <v>19</v>
      </c>
      <c r="M50" s="37" t="s">
        <v>20</v>
      </c>
      <c r="N50" s="37" t="s">
        <v>21</v>
      </c>
      <c r="O50" s="32" t="s">
        <v>22</v>
      </c>
      <c r="P50" s="33" t="s">
        <v>23</v>
      </c>
      <c r="Q50" s="37" t="s">
        <v>24</v>
      </c>
      <c r="R50" s="32" t="s">
        <v>25</v>
      </c>
    </row>
    <row r="51" spans="1:18" ht="15" customHeight="1" x14ac:dyDescent="0.3">
      <c r="A51" s="144" t="s">
        <v>77</v>
      </c>
      <c r="B51" s="144" t="s">
        <v>249</v>
      </c>
      <c r="C51" s="145">
        <v>0.15972222222222221</v>
      </c>
      <c r="D51" s="144" t="s">
        <v>79</v>
      </c>
      <c r="E51" s="146"/>
      <c r="F51" s="144" t="s">
        <v>80</v>
      </c>
      <c r="G51" s="304"/>
      <c r="H51" s="147" t="s">
        <v>249</v>
      </c>
      <c r="I51" s="148">
        <v>1</v>
      </c>
      <c r="J51" s="149">
        <v>180</v>
      </c>
      <c r="K51" s="150">
        <v>45962</v>
      </c>
      <c r="L51" s="149">
        <v>0</v>
      </c>
      <c r="M51" s="149">
        <v>0</v>
      </c>
      <c r="N51" s="149">
        <v>0</v>
      </c>
      <c r="O51" s="151" t="s">
        <v>81</v>
      </c>
      <c r="P51" s="152">
        <v>0.15972222222222221</v>
      </c>
      <c r="Q51" s="149">
        <v>180</v>
      </c>
      <c r="R51" s="153" t="s">
        <v>265</v>
      </c>
    </row>
    <row r="52" spans="1:18" ht="18" x14ac:dyDescent="0.3">
      <c r="A52" s="312" t="s">
        <v>252</v>
      </c>
      <c r="B52" s="313"/>
      <c r="C52" s="313"/>
      <c r="D52" s="313"/>
      <c r="E52" s="313"/>
      <c r="F52" s="314"/>
      <c r="G52" s="298"/>
      <c r="H52" s="138"/>
      <c r="I52" s="138"/>
      <c r="J52" s="138"/>
      <c r="K52" s="138"/>
      <c r="L52" s="138"/>
      <c r="M52" s="138"/>
      <c r="N52" s="138"/>
      <c r="O52" s="139"/>
      <c r="P52" s="138"/>
      <c r="Q52" s="99"/>
      <c r="R52" s="99"/>
    </row>
    <row r="53" spans="1:18" ht="15" customHeight="1" x14ac:dyDescent="0.3">
      <c r="A53" s="17" t="s">
        <v>41</v>
      </c>
      <c r="B53" s="17" t="s">
        <v>42</v>
      </c>
      <c r="C53" s="18" t="s">
        <v>237</v>
      </c>
      <c r="D53" s="17" t="s">
        <v>43</v>
      </c>
      <c r="E53" s="17" t="s">
        <v>266</v>
      </c>
      <c r="F53" s="17" t="s">
        <v>33</v>
      </c>
      <c r="G53" s="298"/>
      <c r="H53" s="138"/>
      <c r="I53" s="138"/>
      <c r="J53" s="138"/>
      <c r="K53" s="138"/>
      <c r="L53" s="138"/>
      <c r="M53" s="138"/>
      <c r="N53" s="138"/>
      <c r="O53" s="139"/>
      <c r="P53" s="138"/>
      <c r="Q53" s="99"/>
      <c r="R53" s="99"/>
    </row>
    <row r="54" spans="1:18" ht="15" customHeight="1" x14ac:dyDescent="0.3">
      <c r="A54" s="17" t="s">
        <v>26</v>
      </c>
      <c r="B54" s="17" t="s">
        <v>36</v>
      </c>
      <c r="C54" s="18" t="s">
        <v>238</v>
      </c>
      <c r="D54" s="17" t="s">
        <v>28</v>
      </c>
      <c r="E54" s="17" t="s">
        <v>255</v>
      </c>
      <c r="F54" s="17" t="s">
        <v>122</v>
      </c>
      <c r="G54" s="298"/>
      <c r="H54" s="138"/>
      <c r="I54" s="138"/>
      <c r="J54" s="138"/>
      <c r="K54" s="138"/>
      <c r="L54" s="138"/>
      <c r="M54" s="138"/>
      <c r="N54" s="138"/>
      <c r="O54" s="139"/>
      <c r="P54" s="138"/>
      <c r="Q54" s="99"/>
      <c r="R54" s="99"/>
    </row>
    <row r="55" spans="1:18" ht="15" customHeight="1" x14ac:dyDescent="0.3">
      <c r="A55" s="17" t="s">
        <v>41</v>
      </c>
      <c r="B55" s="17" t="s">
        <v>42</v>
      </c>
      <c r="C55" s="18" t="s">
        <v>237</v>
      </c>
      <c r="D55" s="17" t="s">
        <v>45</v>
      </c>
      <c r="E55" s="17" t="s">
        <v>266</v>
      </c>
      <c r="F55" s="17" t="s">
        <v>132</v>
      </c>
      <c r="G55" s="298"/>
      <c r="H55" s="138"/>
      <c r="I55" s="138"/>
      <c r="J55" s="138"/>
      <c r="K55" s="138"/>
      <c r="L55" s="138"/>
      <c r="M55" s="138"/>
      <c r="N55" s="138"/>
      <c r="O55" s="139"/>
      <c r="P55" s="138"/>
      <c r="Q55" s="99"/>
      <c r="R55" s="99"/>
    </row>
    <row r="56" spans="1:18" ht="15" customHeight="1" x14ac:dyDescent="0.3">
      <c r="A56" s="17" t="s">
        <v>26</v>
      </c>
      <c r="B56" s="17" t="s">
        <v>36</v>
      </c>
      <c r="C56" s="18" t="s">
        <v>238</v>
      </c>
      <c r="D56" s="17" t="s">
        <v>31</v>
      </c>
      <c r="E56" s="17" t="s">
        <v>255</v>
      </c>
      <c r="F56" s="17" t="s">
        <v>123</v>
      </c>
      <c r="G56" s="298"/>
      <c r="H56" s="138"/>
      <c r="I56" s="138"/>
      <c r="J56" s="138"/>
      <c r="K56" s="138"/>
      <c r="L56" s="138"/>
      <c r="M56" s="138"/>
      <c r="N56" s="138"/>
      <c r="O56" s="139"/>
      <c r="P56" s="138"/>
      <c r="Q56" s="99"/>
      <c r="R56" s="99"/>
    </row>
    <row r="57" spans="1:18" ht="15" customHeight="1" x14ac:dyDescent="0.3">
      <c r="A57" s="17" t="s">
        <v>41</v>
      </c>
      <c r="B57" s="17" t="s">
        <v>42</v>
      </c>
      <c r="C57" s="18" t="s">
        <v>237</v>
      </c>
      <c r="D57" s="17" t="s">
        <v>46</v>
      </c>
      <c r="E57" s="17" t="s">
        <v>266</v>
      </c>
      <c r="F57" s="17" t="s">
        <v>47</v>
      </c>
      <c r="G57" s="298"/>
      <c r="H57" s="138"/>
      <c r="I57" s="138"/>
      <c r="J57" s="138"/>
      <c r="K57" s="138"/>
      <c r="L57" s="138"/>
      <c r="M57" s="138"/>
      <c r="N57" s="138"/>
      <c r="O57" s="139"/>
      <c r="P57" s="138"/>
      <c r="Q57" s="99"/>
      <c r="R57" s="99"/>
    </row>
    <row r="58" spans="1:18" ht="15" customHeight="1" x14ac:dyDescent="0.3">
      <c r="A58" s="17" t="s">
        <v>60</v>
      </c>
      <c r="B58" s="17" t="s">
        <v>61</v>
      </c>
      <c r="C58" s="18" t="s">
        <v>241</v>
      </c>
      <c r="D58" s="17" t="s">
        <v>62</v>
      </c>
      <c r="E58" s="17" t="s">
        <v>256</v>
      </c>
      <c r="F58" s="17" t="s">
        <v>64</v>
      </c>
      <c r="G58" s="298"/>
      <c r="H58" s="138"/>
      <c r="I58" s="138"/>
      <c r="J58" s="138"/>
      <c r="K58" s="138"/>
      <c r="L58" s="138"/>
      <c r="M58" s="138"/>
      <c r="N58" s="138"/>
      <c r="O58" s="139"/>
      <c r="P58" s="138"/>
      <c r="Q58" s="99"/>
      <c r="R58" s="99"/>
    </row>
    <row r="59" spans="1:18" ht="15" customHeight="1" x14ac:dyDescent="0.3">
      <c r="A59" s="17" t="s">
        <v>26</v>
      </c>
      <c r="B59" s="17" t="s">
        <v>36</v>
      </c>
      <c r="C59" s="18" t="s">
        <v>238</v>
      </c>
      <c r="D59" s="17" t="s">
        <v>34</v>
      </c>
      <c r="E59" s="17" t="s">
        <v>255</v>
      </c>
      <c r="F59" s="17" t="s">
        <v>124</v>
      </c>
      <c r="G59" s="298"/>
      <c r="H59" s="138"/>
      <c r="I59" s="138"/>
      <c r="J59" s="138"/>
      <c r="K59" s="138"/>
      <c r="L59" s="138"/>
      <c r="M59" s="138"/>
      <c r="N59" s="138"/>
      <c r="O59" s="139"/>
      <c r="P59" s="138"/>
      <c r="Q59" s="99"/>
      <c r="R59" s="99"/>
    </row>
    <row r="60" spans="1:18" ht="15" customHeight="1" x14ac:dyDescent="0.3">
      <c r="A60" s="17" t="s">
        <v>60</v>
      </c>
      <c r="B60" s="17" t="s">
        <v>61</v>
      </c>
      <c r="C60" s="18" t="s">
        <v>241</v>
      </c>
      <c r="D60" s="17" t="s">
        <v>65</v>
      </c>
      <c r="E60" s="17" t="s">
        <v>256</v>
      </c>
      <c r="F60" s="17" t="s">
        <v>67</v>
      </c>
      <c r="G60" s="298"/>
      <c r="H60" s="138"/>
      <c r="I60" s="138"/>
      <c r="J60" s="138"/>
      <c r="K60" s="138"/>
      <c r="L60" s="138"/>
      <c r="M60" s="138"/>
      <c r="N60" s="138"/>
      <c r="O60" s="139"/>
      <c r="P60" s="138"/>
      <c r="Q60" s="99"/>
      <c r="R60" s="99"/>
    </row>
    <row r="61" spans="1:18" ht="15" customHeight="1" x14ac:dyDescent="0.3">
      <c r="A61" s="17" t="s">
        <v>48</v>
      </c>
      <c r="B61" s="17" t="s">
        <v>90</v>
      </c>
      <c r="C61" s="18" t="s">
        <v>267</v>
      </c>
      <c r="D61" s="17" t="s">
        <v>50</v>
      </c>
      <c r="E61" s="17" t="s">
        <v>256</v>
      </c>
      <c r="F61" s="17" t="s">
        <v>91</v>
      </c>
      <c r="G61" s="298"/>
      <c r="H61" s="138"/>
      <c r="I61" s="138"/>
      <c r="J61" s="138"/>
      <c r="K61" s="138"/>
      <c r="L61" s="138"/>
      <c r="M61" s="138"/>
      <c r="N61" s="138"/>
      <c r="O61" s="139"/>
      <c r="P61" s="138"/>
      <c r="Q61" s="99"/>
      <c r="R61" s="99"/>
    </row>
    <row r="62" spans="1:18" ht="15" customHeight="1" thickBot="1" x14ac:dyDescent="0.35">
      <c r="A62" s="39" t="s">
        <v>48</v>
      </c>
      <c r="B62" s="39" t="s">
        <v>49</v>
      </c>
      <c r="C62" s="40" t="s">
        <v>239</v>
      </c>
      <c r="D62" s="39" t="s">
        <v>50</v>
      </c>
      <c r="E62" s="39" t="s">
        <v>256</v>
      </c>
      <c r="F62" s="39" t="s">
        <v>91</v>
      </c>
      <c r="G62" s="299"/>
      <c r="H62" s="140"/>
      <c r="I62" s="140"/>
      <c r="J62" s="140"/>
      <c r="K62" s="140"/>
      <c r="L62" s="140"/>
      <c r="M62" s="140"/>
      <c r="N62" s="140"/>
      <c r="O62" s="141"/>
      <c r="P62" s="140"/>
      <c r="Q62" s="142"/>
      <c r="R62" s="142"/>
    </row>
    <row r="63" spans="1:18" ht="17.399999999999999" customHeight="1" thickBot="1" x14ac:dyDescent="0.35">
      <c r="A63" s="329"/>
      <c r="B63" s="330"/>
      <c r="C63" s="330"/>
      <c r="D63" s="330"/>
      <c r="E63" s="330"/>
      <c r="F63" s="330"/>
      <c r="G63" s="330"/>
      <c r="H63" s="330"/>
      <c r="I63" s="330"/>
      <c r="J63" s="330"/>
      <c r="K63" s="330"/>
      <c r="L63" s="330"/>
      <c r="M63" s="330"/>
      <c r="N63" s="330"/>
      <c r="O63" s="330"/>
      <c r="P63" s="330"/>
      <c r="Q63" s="330"/>
      <c r="R63" s="331"/>
    </row>
    <row r="64" spans="1:18" ht="22.05" customHeight="1" thickTop="1" thickBot="1" x14ac:dyDescent="0.35">
      <c r="A64" s="300" t="s">
        <v>6</v>
      </c>
      <c r="B64" s="295"/>
      <c r="C64" s="295"/>
      <c r="D64" s="295"/>
      <c r="E64" s="295"/>
      <c r="F64" s="296"/>
      <c r="G64" s="31">
        <v>45987</v>
      </c>
      <c r="H64" s="294" t="s">
        <v>7</v>
      </c>
      <c r="I64" s="295"/>
      <c r="J64" s="295"/>
      <c r="K64" s="295"/>
      <c r="L64" s="295"/>
      <c r="M64" s="295"/>
      <c r="N64" s="295"/>
      <c r="O64" s="295"/>
      <c r="P64" s="295"/>
      <c r="Q64" s="295"/>
      <c r="R64" s="296"/>
    </row>
    <row r="65" spans="1:18" ht="24" customHeight="1" x14ac:dyDescent="0.3">
      <c r="A65" s="32" t="s">
        <v>8</v>
      </c>
      <c r="B65" s="32" t="s">
        <v>9</v>
      </c>
      <c r="C65" s="33" t="s">
        <v>10</v>
      </c>
      <c r="D65" s="32" t="s">
        <v>11</v>
      </c>
      <c r="E65" s="32" t="s">
        <v>12</v>
      </c>
      <c r="F65" s="34" t="s">
        <v>13</v>
      </c>
      <c r="G65" s="35" t="s">
        <v>14</v>
      </c>
      <c r="H65" s="32" t="s">
        <v>15</v>
      </c>
      <c r="I65" s="36" t="s">
        <v>16</v>
      </c>
      <c r="J65" s="37" t="s">
        <v>17</v>
      </c>
      <c r="K65" s="38" t="s">
        <v>18</v>
      </c>
      <c r="L65" s="37" t="s">
        <v>19</v>
      </c>
      <c r="M65" s="37" t="s">
        <v>20</v>
      </c>
      <c r="N65" s="37" t="s">
        <v>21</v>
      </c>
      <c r="O65" s="32" t="s">
        <v>22</v>
      </c>
      <c r="P65" s="33" t="s">
        <v>23</v>
      </c>
      <c r="Q65" s="37" t="s">
        <v>24</v>
      </c>
      <c r="R65" s="32" t="s">
        <v>25</v>
      </c>
    </row>
    <row r="66" spans="1:18" ht="15" customHeight="1" x14ac:dyDescent="0.3">
      <c r="A66" s="154" t="s">
        <v>77</v>
      </c>
      <c r="B66" s="154" t="s">
        <v>249</v>
      </c>
      <c r="C66" s="155">
        <v>0.77777777777777779</v>
      </c>
      <c r="D66" s="154" t="s">
        <v>79</v>
      </c>
      <c r="E66" s="156"/>
      <c r="F66" s="154" t="s">
        <v>80</v>
      </c>
      <c r="G66" s="297"/>
      <c r="H66" s="157" t="s">
        <v>249</v>
      </c>
      <c r="I66" s="158">
        <v>0.99439999999999995</v>
      </c>
      <c r="J66" s="159">
        <v>179</v>
      </c>
      <c r="K66" s="160">
        <v>45976</v>
      </c>
      <c r="L66" s="159">
        <v>1</v>
      </c>
      <c r="M66" s="159">
        <v>0</v>
      </c>
      <c r="N66" s="159">
        <v>0</v>
      </c>
      <c r="O66" s="161" t="s">
        <v>81</v>
      </c>
      <c r="P66" s="162">
        <v>0.77777777777777779</v>
      </c>
      <c r="Q66" s="159">
        <v>180</v>
      </c>
      <c r="R66" s="163" t="s">
        <v>268</v>
      </c>
    </row>
    <row r="67" spans="1:18" ht="18" x14ac:dyDescent="0.3">
      <c r="A67" s="312" t="s">
        <v>252</v>
      </c>
      <c r="B67" s="313"/>
      <c r="C67" s="313"/>
      <c r="D67" s="313"/>
      <c r="E67" s="313"/>
      <c r="F67" s="314"/>
      <c r="G67" s="298"/>
      <c r="H67" s="138"/>
      <c r="I67" s="138"/>
      <c r="J67" s="138"/>
      <c r="K67" s="138"/>
      <c r="L67" s="138"/>
      <c r="M67" s="138"/>
      <c r="N67" s="138"/>
      <c r="O67" s="139"/>
      <c r="P67" s="138"/>
      <c r="Q67" s="99"/>
      <c r="R67" s="99"/>
    </row>
    <row r="68" spans="1:18" ht="15" customHeight="1" x14ac:dyDescent="0.3">
      <c r="A68" s="17" t="s">
        <v>41</v>
      </c>
      <c r="B68" s="17" t="s">
        <v>42</v>
      </c>
      <c r="C68" s="18" t="s">
        <v>237</v>
      </c>
      <c r="D68" s="17" t="s">
        <v>43</v>
      </c>
      <c r="E68" s="17" t="s">
        <v>254</v>
      </c>
      <c r="F68" s="17" t="s">
        <v>33</v>
      </c>
      <c r="G68" s="298"/>
      <c r="H68" s="138"/>
      <c r="I68" s="138"/>
      <c r="J68" s="138"/>
      <c r="K68" s="138"/>
      <c r="L68" s="138"/>
      <c r="M68" s="138"/>
      <c r="N68" s="138"/>
      <c r="O68" s="139"/>
      <c r="P68" s="138"/>
      <c r="Q68" s="99"/>
      <c r="R68" s="99"/>
    </row>
    <row r="69" spans="1:18" ht="15" customHeight="1" x14ac:dyDescent="0.3">
      <c r="A69" s="17" t="s">
        <v>41</v>
      </c>
      <c r="B69" s="17" t="s">
        <v>42</v>
      </c>
      <c r="C69" s="18" t="s">
        <v>237</v>
      </c>
      <c r="D69" s="17" t="s">
        <v>45</v>
      </c>
      <c r="E69" s="17" t="s">
        <v>254</v>
      </c>
      <c r="F69" s="17" t="s">
        <v>132</v>
      </c>
      <c r="G69" s="298"/>
      <c r="H69" s="138"/>
      <c r="I69" s="138"/>
      <c r="J69" s="138"/>
      <c r="K69" s="138"/>
      <c r="L69" s="138"/>
      <c r="M69" s="138"/>
      <c r="N69" s="138"/>
      <c r="O69" s="139"/>
      <c r="P69" s="138"/>
      <c r="Q69" s="99"/>
      <c r="R69" s="99"/>
    </row>
    <row r="70" spans="1:18" ht="15" customHeight="1" x14ac:dyDescent="0.3">
      <c r="A70" s="17" t="s">
        <v>41</v>
      </c>
      <c r="B70" s="17" t="s">
        <v>42</v>
      </c>
      <c r="C70" s="18" t="s">
        <v>237</v>
      </c>
      <c r="D70" s="17" t="s">
        <v>46</v>
      </c>
      <c r="E70" s="17" t="s">
        <v>254</v>
      </c>
      <c r="F70" s="17" t="s">
        <v>47</v>
      </c>
      <c r="G70" s="298"/>
      <c r="H70" s="138"/>
      <c r="I70" s="138"/>
      <c r="J70" s="138"/>
      <c r="K70" s="138"/>
      <c r="L70" s="138"/>
      <c r="M70" s="138"/>
      <c r="N70" s="138"/>
      <c r="O70" s="139"/>
      <c r="P70" s="138"/>
      <c r="Q70" s="99"/>
      <c r="R70" s="99"/>
    </row>
    <row r="71" spans="1:18" ht="15" customHeight="1" x14ac:dyDescent="0.3">
      <c r="A71" s="17" t="s">
        <v>26</v>
      </c>
      <c r="B71" s="17" t="s">
        <v>36</v>
      </c>
      <c r="C71" s="18" t="s">
        <v>238</v>
      </c>
      <c r="D71" s="17" t="s">
        <v>28</v>
      </c>
      <c r="E71" s="17" t="s">
        <v>269</v>
      </c>
      <c r="F71" s="17" t="s">
        <v>124</v>
      </c>
      <c r="G71" s="298"/>
      <c r="H71" s="138"/>
      <c r="I71" s="138"/>
      <c r="J71" s="138"/>
      <c r="K71" s="138"/>
      <c r="L71" s="138"/>
      <c r="M71" s="138"/>
      <c r="N71" s="138"/>
      <c r="O71" s="139"/>
      <c r="P71" s="138"/>
      <c r="Q71" s="99"/>
      <c r="R71" s="99"/>
    </row>
    <row r="72" spans="1:18" ht="15" customHeight="1" x14ac:dyDescent="0.3">
      <c r="A72" s="17" t="s">
        <v>26</v>
      </c>
      <c r="B72" s="17" t="s">
        <v>36</v>
      </c>
      <c r="C72" s="18" t="s">
        <v>238</v>
      </c>
      <c r="D72" s="17" t="s">
        <v>31</v>
      </c>
      <c r="E72" s="17" t="s">
        <v>269</v>
      </c>
      <c r="F72" s="17" t="s">
        <v>140</v>
      </c>
      <c r="G72" s="298"/>
      <c r="H72" s="138"/>
      <c r="I72" s="138"/>
      <c r="J72" s="138"/>
      <c r="K72" s="138"/>
      <c r="L72" s="138"/>
      <c r="M72" s="138"/>
      <c r="N72" s="138"/>
      <c r="O72" s="139"/>
      <c r="P72" s="138"/>
      <c r="Q72" s="99"/>
      <c r="R72" s="99"/>
    </row>
    <row r="73" spans="1:18" ht="15" customHeight="1" x14ac:dyDescent="0.3">
      <c r="A73" s="17" t="s">
        <v>26</v>
      </c>
      <c r="B73" s="17" t="s">
        <v>36</v>
      </c>
      <c r="C73" s="18" t="s">
        <v>238</v>
      </c>
      <c r="D73" s="17" t="s">
        <v>34</v>
      </c>
      <c r="E73" s="17" t="s">
        <v>269</v>
      </c>
      <c r="F73" s="17" t="s">
        <v>141</v>
      </c>
      <c r="G73" s="298"/>
      <c r="H73" s="138"/>
      <c r="I73" s="138"/>
      <c r="J73" s="138"/>
      <c r="K73" s="138"/>
      <c r="L73" s="138"/>
      <c r="M73" s="138"/>
      <c r="N73" s="138"/>
      <c r="O73" s="139"/>
      <c r="P73" s="138"/>
      <c r="Q73" s="99"/>
      <c r="R73" s="99"/>
    </row>
    <row r="74" spans="1:18" ht="15" customHeight="1" x14ac:dyDescent="0.3">
      <c r="A74" s="17" t="s">
        <v>60</v>
      </c>
      <c r="B74" s="17" t="s">
        <v>68</v>
      </c>
      <c r="C74" s="18" t="s">
        <v>270</v>
      </c>
      <c r="D74" s="17" t="s">
        <v>65</v>
      </c>
      <c r="E74" s="17" t="s">
        <v>255</v>
      </c>
      <c r="F74" s="17" t="s">
        <v>70</v>
      </c>
      <c r="G74" s="298"/>
      <c r="H74" s="138"/>
      <c r="I74" s="138"/>
      <c r="J74" s="138"/>
      <c r="K74" s="138"/>
      <c r="L74" s="138"/>
      <c r="M74" s="138"/>
      <c r="N74" s="138"/>
      <c r="O74" s="139"/>
      <c r="P74" s="138"/>
      <c r="Q74" s="99"/>
      <c r="R74" s="99"/>
    </row>
    <row r="75" spans="1:18" ht="15" customHeight="1" x14ac:dyDescent="0.3">
      <c r="A75" s="17" t="s">
        <v>60</v>
      </c>
      <c r="B75" s="17" t="s">
        <v>74</v>
      </c>
      <c r="C75" s="18" t="s">
        <v>245</v>
      </c>
      <c r="D75" s="17" t="s">
        <v>65</v>
      </c>
      <c r="E75" s="17" t="s">
        <v>256</v>
      </c>
      <c r="F75" s="17" t="s">
        <v>70</v>
      </c>
      <c r="G75" s="298"/>
      <c r="H75" s="138"/>
      <c r="I75" s="138"/>
      <c r="J75" s="138"/>
      <c r="K75" s="138"/>
      <c r="L75" s="138"/>
      <c r="M75" s="138"/>
      <c r="N75" s="138"/>
      <c r="O75" s="139"/>
      <c r="P75" s="138"/>
      <c r="Q75" s="99"/>
      <c r="R75" s="99"/>
    </row>
    <row r="76" spans="1:18" ht="15" customHeight="1" x14ac:dyDescent="0.3">
      <c r="A76" s="17" t="s">
        <v>60</v>
      </c>
      <c r="B76" s="17" t="s">
        <v>61</v>
      </c>
      <c r="C76" s="18" t="s">
        <v>241</v>
      </c>
      <c r="D76" s="17" t="s">
        <v>65</v>
      </c>
      <c r="E76" s="17" t="s">
        <v>256</v>
      </c>
      <c r="F76" s="17" t="s">
        <v>70</v>
      </c>
      <c r="G76" s="298"/>
      <c r="H76" s="138"/>
      <c r="I76" s="138"/>
      <c r="J76" s="138"/>
      <c r="K76" s="138"/>
      <c r="L76" s="138"/>
      <c r="M76" s="138"/>
      <c r="N76" s="138"/>
      <c r="O76" s="139"/>
      <c r="P76" s="138"/>
      <c r="Q76" s="99"/>
      <c r="R76" s="99"/>
    </row>
    <row r="77" spans="1:18" ht="15" customHeight="1" thickBot="1" x14ac:dyDescent="0.35">
      <c r="A77" s="39" t="s">
        <v>60</v>
      </c>
      <c r="B77" s="39" t="s">
        <v>71</v>
      </c>
      <c r="C77" s="40" t="s">
        <v>237</v>
      </c>
      <c r="D77" s="39" t="s">
        <v>65</v>
      </c>
      <c r="E77" s="39" t="s">
        <v>259</v>
      </c>
      <c r="F77" s="39" t="s">
        <v>134</v>
      </c>
      <c r="G77" s="299"/>
      <c r="H77" s="140"/>
      <c r="I77" s="140"/>
      <c r="J77" s="140"/>
      <c r="K77" s="140"/>
      <c r="L77" s="140"/>
      <c r="M77" s="140"/>
      <c r="N77" s="140"/>
      <c r="O77" s="141"/>
      <c r="P77" s="140"/>
      <c r="Q77" s="142"/>
      <c r="R77" s="142"/>
    </row>
    <row r="78" spans="1:18" ht="17.399999999999999" customHeight="1" thickBot="1" x14ac:dyDescent="0.35">
      <c r="A78" s="329"/>
      <c r="B78" s="330"/>
      <c r="C78" s="330"/>
      <c r="D78" s="330"/>
      <c r="E78" s="330"/>
      <c r="F78" s="330"/>
      <c r="G78" s="330"/>
      <c r="H78" s="330"/>
      <c r="I78" s="330"/>
      <c r="J78" s="330"/>
      <c r="K78" s="330"/>
      <c r="L78" s="330"/>
      <c r="M78" s="330"/>
      <c r="N78" s="330"/>
      <c r="O78" s="330"/>
      <c r="P78" s="330"/>
      <c r="Q78" s="330"/>
      <c r="R78" s="331"/>
    </row>
    <row r="79" spans="1:18" ht="22.05" customHeight="1" thickTop="1" thickBot="1" x14ac:dyDescent="0.35">
      <c r="A79" s="300" t="s">
        <v>6</v>
      </c>
      <c r="B79" s="295"/>
      <c r="C79" s="295"/>
      <c r="D79" s="295"/>
      <c r="E79" s="295"/>
      <c r="F79" s="296"/>
      <c r="G79" s="31">
        <v>45988</v>
      </c>
      <c r="H79" s="294" t="s">
        <v>7</v>
      </c>
      <c r="I79" s="295"/>
      <c r="J79" s="295"/>
      <c r="K79" s="295"/>
      <c r="L79" s="295"/>
      <c r="M79" s="295"/>
      <c r="N79" s="295"/>
      <c r="O79" s="295"/>
      <c r="P79" s="295"/>
      <c r="Q79" s="295"/>
      <c r="R79" s="296"/>
    </row>
    <row r="80" spans="1:18" ht="24" customHeight="1" x14ac:dyDescent="0.3">
      <c r="A80" s="32" t="s">
        <v>8</v>
      </c>
      <c r="B80" s="32" t="s">
        <v>9</v>
      </c>
      <c r="C80" s="33" t="s">
        <v>10</v>
      </c>
      <c r="D80" s="32" t="s">
        <v>11</v>
      </c>
      <c r="E80" s="32" t="s">
        <v>12</v>
      </c>
      <c r="F80" s="34" t="s">
        <v>13</v>
      </c>
      <c r="G80" s="35" t="s">
        <v>14</v>
      </c>
      <c r="H80" s="32" t="s">
        <v>15</v>
      </c>
      <c r="I80" s="36" t="s">
        <v>16</v>
      </c>
      <c r="J80" s="37" t="s">
        <v>17</v>
      </c>
      <c r="K80" s="38" t="s">
        <v>18</v>
      </c>
      <c r="L80" s="37" t="s">
        <v>19</v>
      </c>
      <c r="M80" s="37" t="s">
        <v>20</v>
      </c>
      <c r="N80" s="37" t="s">
        <v>21</v>
      </c>
      <c r="O80" s="32" t="s">
        <v>22</v>
      </c>
      <c r="P80" s="33" t="s">
        <v>23</v>
      </c>
      <c r="Q80" s="37" t="s">
        <v>24</v>
      </c>
      <c r="R80" s="32" t="s">
        <v>25</v>
      </c>
    </row>
    <row r="81" spans="1:18" ht="15" customHeight="1" x14ac:dyDescent="0.3">
      <c r="A81" s="8" t="s">
        <v>48</v>
      </c>
      <c r="B81" s="8" t="s">
        <v>257</v>
      </c>
      <c r="C81" s="9">
        <v>0.3576388888888889</v>
      </c>
      <c r="D81" s="8" t="s">
        <v>50</v>
      </c>
      <c r="E81" s="8" t="s">
        <v>96</v>
      </c>
      <c r="F81" s="8" t="s">
        <v>271</v>
      </c>
      <c r="G81" s="304"/>
      <c r="H81" s="10"/>
      <c r="I81" s="11"/>
      <c r="J81" s="11"/>
      <c r="K81" s="11"/>
      <c r="L81" s="11"/>
      <c r="M81" s="11"/>
      <c r="N81" s="11"/>
      <c r="O81" s="12"/>
      <c r="P81" s="11"/>
      <c r="Q81" s="13"/>
      <c r="R81" s="14"/>
    </row>
    <row r="82" spans="1:18" ht="15" customHeight="1" x14ac:dyDescent="0.3">
      <c r="A82" s="164" t="s">
        <v>77</v>
      </c>
      <c r="B82" s="164" t="s">
        <v>249</v>
      </c>
      <c r="C82" s="165">
        <v>0.47916666666666669</v>
      </c>
      <c r="D82" s="164" t="s">
        <v>79</v>
      </c>
      <c r="E82" s="166"/>
      <c r="F82" s="164" t="s">
        <v>80</v>
      </c>
      <c r="G82" s="298"/>
      <c r="H82" s="167" t="s">
        <v>249</v>
      </c>
      <c r="I82" s="168">
        <v>1</v>
      </c>
      <c r="J82" s="169">
        <v>180</v>
      </c>
      <c r="K82" s="170">
        <v>45980</v>
      </c>
      <c r="L82" s="169">
        <v>1</v>
      </c>
      <c r="M82" s="169">
        <v>1</v>
      </c>
      <c r="N82" s="169">
        <v>0</v>
      </c>
      <c r="O82" s="171" t="s">
        <v>81</v>
      </c>
      <c r="P82" s="172">
        <v>0.47916666666666669</v>
      </c>
      <c r="Q82" s="169">
        <v>180</v>
      </c>
      <c r="R82" s="173" t="s">
        <v>272</v>
      </c>
    </row>
    <row r="83" spans="1:18" ht="18" x14ac:dyDescent="0.3">
      <c r="A83" s="312" t="s">
        <v>252</v>
      </c>
      <c r="B83" s="313"/>
      <c r="C83" s="313"/>
      <c r="D83" s="313"/>
      <c r="E83" s="313"/>
      <c r="F83" s="314"/>
      <c r="G83" s="298"/>
      <c r="H83" s="138"/>
      <c r="I83" s="138"/>
      <c r="J83" s="138"/>
      <c r="K83" s="138"/>
      <c r="L83" s="138"/>
      <c r="M83" s="138"/>
      <c r="N83" s="138"/>
      <c r="O83" s="139"/>
      <c r="P83" s="138"/>
      <c r="Q83" s="99"/>
      <c r="R83" s="99"/>
    </row>
    <row r="84" spans="1:18" ht="15" customHeight="1" x14ac:dyDescent="0.3">
      <c r="A84" s="17" t="s">
        <v>41</v>
      </c>
      <c r="B84" s="17" t="s">
        <v>42</v>
      </c>
      <c r="C84" s="18" t="s">
        <v>237</v>
      </c>
      <c r="D84" s="17" t="s">
        <v>43</v>
      </c>
      <c r="E84" s="17" t="s">
        <v>273</v>
      </c>
      <c r="F84" s="17" t="s">
        <v>143</v>
      </c>
      <c r="G84" s="298"/>
      <c r="H84" s="138"/>
      <c r="I84" s="138"/>
      <c r="J84" s="138"/>
      <c r="K84" s="138"/>
      <c r="L84" s="138"/>
      <c r="M84" s="138"/>
      <c r="N84" s="138"/>
      <c r="O84" s="139"/>
      <c r="P84" s="138"/>
      <c r="Q84" s="99"/>
      <c r="R84" s="99"/>
    </row>
    <row r="85" spans="1:18" ht="15" customHeight="1" x14ac:dyDescent="0.3">
      <c r="A85" s="17" t="s">
        <v>26</v>
      </c>
      <c r="B85" s="17" t="s">
        <v>36</v>
      </c>
      <c r="C85" s="18" t="s">
        <v>238</v>
      </c>
      <c r="D85" s="17" t="s">
        <v>28</v>
      </c>
      <c r="E85" s="17" t="s">
        <v>273</v>
      </c>
      <c r="F85" s="17" t="s">
        <v>122</v>
      </c>
      <c r="G85" s="298"/>
      <c r="H85" s="138"/>
      <c r="I85" s="138"/>
      <c r="J85" s="138"/>
      <c r="K85" s="138"/>
      <c r="L85" s="138"/>
      <c r="M85" s="138"/>
      <c r="N85" s="138"/>
      <c r="O85" s="139"/>
      <c r="P85" s="138"/>
      <c r="Q85" s="99"/>
      <c r="R85" s="99"/>
    </row>
    <row r="86" spans="1:18" ht="15" customHeight="1" x14ac:dyDescent="0.3">
      <c r="A86" s="17" t="s">
        <v>26</v>
      </c>
      <c r="B86" s="17" t="s">
        <v>27</v>
      </c>
      <c r="C86" s="18" t="s">
        <v>236</v>
      </c>
      <c r="D86" s="17" t="s">
        <v>28</v>
      </c>
      <c r="E86" s="17" t="s">
        <v>255</v>
      </c>
      <c r="F86" s="17" t="s">
        <v>145</v>
      </c>
      <c r="G86" s="298"/>
      <c r="H86" s="138"/>
      <c r="I86" s="138"/>
      <c r="J86" s="138"/>
      <c r="K86" s="138"/>
      <c r="L86" s="138"/>
      <c r="M86" s="138"/>
      <c r="N86" s="138"/>
      <c r="O86" s="139"/>
      <c r="P86" s="138"/>
      <c r="Q86" s="99"/>
      <c r="R86" s="99"/>
    </row>
    <row r="87" spans="1:18" ht="15" customHeight="1" x14ac:dyDescent="0.3">
      <c r="A87" s="17" t="s">
        <v>26</v>
      </c>
      <c r="B87" s="17" t="s">
        <v>36</v>
      </c>
      <c r="C87" s="18" t="s">
        <v>238</v>
      </c>
      <c r="D87" s="17" t="s">
        <v>31</v>
      </c>
      <c r="E87" s="17" t="s">
        <v>273</v>
      </c>
      <c r="F87" s="17" t="s">
        <v>123</v>
      </c>
      <c r="G87" s="298"/>
      <c r="H87" s="138"/>
      <c r="I87" s="138"/>
      <c r="J87" s="138"/>
      <c r="K87" s="138"/>
      <c r="L87" s="138"/>
      <c r="M87" s="138"/>
      <c r="N87" s="138"/>
      <c r="O87" s="139"/>
      <c r="P87" s="138"/>
      <c r="Q87" s="99"/>
      <c r="R87" s="99"/>
    </row>
    <row r="88" spans="1:18" ht="15" customHeight="1" x14ac:dyDescent="0.3">
      <c r="A88" s="17" t="s">
        <v>41</v>
      </c>
      <c r="B88" s="17" t="s">
        <v>42</v>
      </c>
      <c r="C88" s="18" t="s">
        <v>237</v>
      </c>
      <c r="D88" s="17" t="s">
        <v>45</v>
      </c>
      <c r="E88" s="17" t="s">
        <v>273</v>
      </c>
      <c r="F88" s="17" t="s">
        <v>47</v>
      </c>
      <c r="G88" s="298"/>
      <c r="H88" s="138"/>
      <c r="I88" s="138"/>
      <c r="J88" s="138"/>
      <c r="K88" s="138"/>
      <c r="L88" s="138"/>
      <c r="M88" s="138"/>
      <c r="N88" s="138"/>
      <c r="O88" s="139"/>
      <c r="P88" s="138"/>
      <c r="Q88" s="99"/>
      <c r="R88" s="99"/>
    </row>
    <row r="89" spans="1:18" ht="15" customHeight="1" x14ac:dyDescent="0.3">
      <c r="A89" s="17" t="s">
        <v>41</v>
      </c>
      <c r="B89" s="17" t="s">
        <v>42</v>
      </c>
      <c r="C89" s="18" t="s">
        <v>237</v>
      </c>
      <c r="D89" s="17" t="s">
        <v>46</v>
      </c>
      <c r="E89" s="17" t="s">
        <v>273</v>
      </c>
      <c r="F89" s="17" t="s">
        <v>47</v>
      </c>
      <c r="G89" s="298"/>
      <c r="H89" s="138"/>
      <c r="I89" s="138"/>
      <c r="J89" s="138"/>
      <c r="K89" s="138"/>
      <c r="L89" s="138"/>
      <c r="M89" s="138"/>
      <c r="N89" s="138"/>
      <c r="O89" s="139"/>
      <c r="P89" s="138"/>
      <c r="Q89" s="99"/>
      <c r="R89" s="99"/>
    </row>
    <row r="90" spans="1:18" ht="15" customHeight="1" x14ac:dyDescent="0.3">
      <c r="A90" s="17" t="s">
        <v>26</v>
      </c>
      <c r="B90" s="17" t="s">
        <v>36</v>
      </c>
      <c r="C90" s="18" t="s">
        <v>238</v>
      </c>
      <c r="D90" s="17" t="s">
        <v>34</v>
      </c>
      <c r="E90" s="17" t="s">
        <v>273</v>
      </c>
      <c r="F90" s="17" t="s">
        <v>124</v>
      </c>
      <c r="G90" s="298"/>
      <c r="H90" s="138"/>
      <c r="I90" s="138"/>
      <c r="J90" s="138"/>
      <c r="K90" s="138"/>
      <c r="L90" s="138"/>
      <c r="M90" s="138"/>
      <c r="N90" s="138"/>
      <c r="O90" s="139"/>
      <c r="P90" s="138"/>
      <c r="Q90" s="99"/>
      <c r="R90" s="99"/>
    </row>
    <row r="91" spans="1:18" ht="15" customHeight="1" x14ac:dyDescent="0.3">
      <c r="A91" s="17" t="s">
        <v>26</v>
      </c>
      <c r="B91" s="17" t="s">
        <v>27</v>
      </c>
      <c r="C91" s="18" t="s">
        <v>236</v>
      </c>
      <c r="D91" s="17" t="s">
        <v>31</v>
      </c>
      <c r="E91" s="17" t="s">
        <v>255</v>
      </c>
      <c r="F91" s="17" t="s">
        <v>124</v>
      </c>
      <c r="G91" s="298"/>
      <c r="H91" s="138"/>
      <c r="I91" s="138"/>
      <c r="J91" s="138"/>
      <c r="K91" s="138"/>
      <c r="L91" s="138"/>
      <c r="M91" s="138"/>
      <c r="N91" s="138"/>
      <c r="O91" s="139"/>
      <c r="P91" s="138"/>
      <c r="Q91" s="99"/>
      <c r="R91" s="99"/>
    </row>
    <row r="92" spans="1:18" ht="15" customHeight="1" x14ac:dyDescent="0.3">
      <c r="A92" s="17" t="s">
        <v>26</v>
      </c>
      <c r="B92" s="17" t="s">
        <v>27</v>
      </c>
      <c r="C92" s="18" t="s">
        <v>236</v>
      </c>
      <c r="D92" s="17" t="s">
        <v>34</v>
      </c>
      <c r="E92" s="17" t="s">
        <v>255</v>
      </c>
      <c r="F92" s="17" t="s">
        <v>146</v>
      </c>
      <c r="G92" s="298"/>
      <c r="H92" s="138"/>
      <c r="I92" s="138"/>
      <c r="J92" s="138"/>
      <c r="K92" s="138"/>
      <c r="L92" s="138"/>
      <c r="M92" s="138"/>
      <c r="N92" s="138"/>
      <c r="O92" s="139"/>
      <c r="P92" s="138"/>
      <c r="Q92" s="99"/>
      <c r="R92" s="99"/>
    </row>
    <row r="93" spans="1:18" ht="15" customHeight="1" thickBot="1" x14ac:dyDescent="0.35">
      <c r="A93" s="39" t="s">
        <v>60</v>
      </c>
      <c r="B93" s="39" t="s">
        <v>61</v>
      </c>
      <c r="C93" s="40" t="s">
        <v>241</v>
      </c>
      <c r="D93" s="39" t="s">
        <v>65</v>
      </c>
      <c r="E93" s="39" t="s">
        <v>256</v>
      </c>
      <c r="F93" s="39" t="s">
        <v>70</v>
      </c>
      <c r="G93" s="299"/>
      <c r="H93" s="140"/>
      <c r="I93" s="140"/>
      <c r="J93" s="140"/>
      <c r="K93" s="140"/>
      <c r="L93" s="140"/>
      <c r="M93" s="140"/>
      <c r="N93" s="140"/>
      <c r="O93" s="141"/>
      <c r="P93" s="140"/>
      <c r="Q93" s="142"/>
      <c r="R93" s="142"/>
    </row>
    <row r="94" spans="1:18" ht="17.399999999999999" customHeight="1" thickBot="1" x14ac:dyDescent="0.35">
      <c r="A94" s="329"/>
      <c r="B94" s="330"/>
      <c r="C94" s="330"/>
      <c r="D94" s="330"/>
      <c r="E94" s="330"/>
      <c r="F94" s="330"/>
      <c r="G94" s="330"/>
      <c r="H94" s="330"/>
      <c r="I94" s="330"/>
      <c r="J94" s="330"/>
      <c r="K94" s="330"/>
      <c r="L94" s="330"/>
      <c r="M94" s="330"/>
      <c r="N94" s="330"/>
      <c r="O94" s="330"/>
      <c r="P94" s="330"/>
      <c r="Q94" s="330"/>
      <c r="R94" s="331"/>
    </row>
    <row r="95" spans="1:18" ht="22.05" customHeight="1" thickTop="1" thickBot="1" x14ac:dyDescent="0.35">
      <c r="A95" s="300" t="s">
        <v>6</v>
      </c>
      <c r="B95" s="295"/>
      <c r="C95" s="295"/>
      <c r="D95" s="295"/>
      <c r="E95" s="295"/>
      <c r="F95" s="296"/>
      <c r="G95" s="31">
        <v>45989</v>
      </c>
      <c r="H95" s="294" t="s">
        <v>7</v>
      </c>
      <c r="I95" s="295"/>
      <c r="J95" s="295"/>
      <c r="K95" s="295"/>
      <c r="L95" s="295"/>
      <c r="M95" s="295"/>
      <c r="N95" s="295"/>
      <c r="O95" s="295"/>
      <c r="P95" s="295"/>
      <c r="Q95" s="295"/>
      <c r="R95" s="296"/>
    </row>
    <row r="96" spans="1:18" ht="24" customHeight="1" x14ac:dyDescent="0.3">
      <c r="A96" s="32" t="s">
        <v>8</v>
      </c>
      <c r="B96" s="32" t="s">
        <v>9</v>
      </c>
      <c r="C96" s="33" t="s">
        <v>10</v>
      </c>
      <c r="D96" s="32" t="s">
        <v>11</v>
      </c>
      <c r="E96" s="32" t="s">
        <v>12</v>
      </c>
      <c r="F96" s="34" t="s">
        <v>13</v>
      </c>
      <c r="G96" s="35" t="s">
        <v>14</v>
      </c>
      <c r="H96" s="32" t="s">
        <v>15</v>
      </c>
      <c r="I96" s="36" t="s">
        <v>16</v>
      </c>
      <c r="J96" s="37" t="s">
        <v>17</v>
      </c>
      <c r="K96" s="38" t="s">
        <v>18</v>
      </c>
      <c r="L96" s="37" t="s">
        <v>19</v>
      </c>
      <c r="M96" s="37" t="s">
        <v>20</v>
      </c>
      <c r="N96" s="37" t="s">
        <v>21</v>
      </c>
      <c r="O96" s="32" t="s">
        <v>22</v>
      </c>
      <c r="P96" s="33" t="s">
        <v>23</v>
      </c>
      <c r="Q96" s="37" t="s">
        <v>24</v>
      </c>
      <c r="R96" s="32" t="s">
        <v>25</v>
      </c>
    </row>
    <row r="97" spans="1:18" ht="15" customHeight="1" x14ac:dyDescent="0.3">
      <c r="A97" s="8" t="s">
        <v>48</v>
      </c>
      <c r="B97" s="8" t="s">
        <v>257</v>
      </c>
      <c r="C97" s="9">
        <v>0.3576388888888889</v>
      </c>
      <c r="D97" s="8" t="s">
        <v>50</v>
      </c>
      <c r="E97" s="8" t="s">
        <v>63</v>
      </c>
      <c r="F97" s="8" t="s">
        <v>258</v>
      </c>
      <c r="G97" s="297"/>
      <c r="H97" s="10"/>
      <c r="I97" s="11"/>
      <c r="J97" s="11"/>
      <c r="K97" s="11"/>
      <c r="L97" s="11"/>
      <c r="M97" s="11"/>
      <c r="N97" s="11"/>
      <c r="O97" s="12"/>
      <c r="P97" s="11"/>
      <c r="Q97" s="13"/>
      <c r="R97" s="14"/>
    </row>
    <row r="98" spans="1:18" ht="18" x14ac:dyDescent="0.3">
      <c r="A98" s="312" t="s">
        <v>252</v>
      </c>
      <c r="B98" s="313"/>
      <c r="C98" s="313"/>
      <c r="D98" s="313"/>
      <c r="E98" s="313"/>
      <c r="F98" s="314"/>
      <c r="G98" s="298"/>
      <c r="H98" s="138"/>
      <c r="I98" s="138"/>
      <c r="J98" s="138"/>
      <c r="K98" s="138"/>
      <c r="L98" s="138"/>
      <c r="M98" s="138"/>
      <c r="N98" s="138"/>
      <c r="O98" s="139"/>
      <c r="P98" s="138"/>
      <c r="Q98" s="99"/>
      <c r="R98" s="99"/>
    </row>
    <row r="99" spans="1:18" ht="15" customHeight="1" x14ac:dyDescent="0.3">
      <c r="A99" s="17" t="s">
        <v>41</v>
      </c>
      <c r="B99" s="17" t="s">
        <v>42</v>
      </c>
      <c r="C99" s="18" t="s">
        <v>237</v>
      </c>
      <c r="D99" s="17" t="s">
        <v>43</v>
      </c>
      <c r="E99" s="17" t="s">
        <v>269</v>
      </c>
      <c r="F99" s="17" t="s">
        <v>44</v>
      </c>
      <c r="G99" s="298"/>
      <c r="H99" s="138"/>
      <c r="I99" s="138"/>
      <c r="J99" s="138"/>
      <c r="K99" s="138"/>
      <c r="L99" s="138"/>
      <c r="M99" s="138"/>
      <c r="N99" s="138"/>
      <c r="O99" s="139"/>
      <c r="P99" s="138"/>
      <c r="Q99" s="99"/>
      <c r="R99" s="99"/>
    </row>
    <row r="100" spans="1:18" ht="15" customHeight="1" x14ac:dyDescent="0.3">
      <c r="A100" s="17" t="s">
        <v>41</v>
      </c>
      <c r="B100" s="17" t="s">
        <v>42</v>
      </c>
      <c r="C100" s="18" t="s">
        <v>237</v>
      </c>
      <c r="D100" s="17" t="s">
        <v>45</v>
      </c>
      <c r="E100" s="17" t="s">
        <v>269</v>
      </c>
      <c r="F100" s="17" t="s">
        <v>35</v>
      </c>
      <c r="G100" s="298"/>
      <c r="H100" s="138"/>
      <c r="I100" s="138"/>
      <c r="J100" s="138"/>
      <c r="K100" s="138"/>
      <c r="L100" s="138"/>
      <c r="M100" s="138"/>
      <c r="N100" s="138"/>
      <c r="O100" s="139"/>
      <c r="P100" s="138"/>
      <c r="Q100" s="99"/>
      <c r="R100" s="99"/>
    </row>
    <row r="101" spans="1:18" ht="15" customHeight="1" x14ac:dyDescent="0.3">
      <c r="A101" s="17" t="s">
        <v>26</v>
      </c>
      <c r="B101" s="17" t="s">
        <v>36</v>
      </c>
      <c r="C101" s="18" t="s">
        <v>238</v>
      </c>
      <c r="D101" s="17" t="s">
        <v>28</v>
      </c>
      <c r="E101" s="17" t="s">
        <v>260</v>
      </c>
      <c r="F101" s="17" t="s">
        <v>149</v>
      </c>
      <c r="G101" s="298"/>
      <c r="H101" s="138"/>
      <c r="I101" s="138"/>
      <c r="J101" s="138"/>
      <c r="K101" s="138"/>
      <c r="L101" s="138"/>
      <c r="M101" s="138"/>
      <c r="N101" s="138"/>
      <c r="O101" s="139"/>
      <c r="P101" s="138"/>
      <c r="Q101" s="99"/>
      <c r="R101" s="99"/>
    </row>
    <row r="102" spans="1:18" ht="15" customHeight="1" x14ac:dyDescent="0.3">
      <c r="A102" s="17" t="s">
        <v>41</v>
      </c>
      <c r="B102" s="17" t="s">
        <v>42</v>
      </c>
      <c r="C102" s="18" t="s">
        <v>237</v>
      </c>
      <c r="D102" s="17" t="s">
        <v>46</v>
      </c>
      <c r="E102" s="17" t="s">
        <v>269</v>
      </c>
      <c r="F102" s="17" t="s">
        <v>47</v>
      </c>
      <c r="G102" s="298"/>
      <c r="H102" s="138"/>
      <c r="I102" s="138"/>
      <c r="J102" s="138"/>
      <c r="K102" s="138"/>
      <c r="L102" s="138"/>
      <c r="M102" s="138"/>
      <c r="N102" s="138"/>
      <c r="O102" s="139"/>
      <c r="P102" s="138"/>
      <c r="Q102" s="99"/>
      <c r="R102" s="99"/>
    </row>
    <row r="103" spans="1:18" ht="15" customHeight="1" x14ac:dyDescent="0.3">
      <c r="A103" s="17" t="s">
        <v>48</v>
      </c>
      <c r="B103" s="17" t="s">
        <v>53</v>
      </c>
      <c r="C103" s="18" t="s">
        <v>240</v>
      </c>
      <c r="D103" s="17" t="s">
        <v>50</v>
      </c>
      <c r="E103" s="17" t="s">
        <v>256</v>
      </c>
      <c r="F103" s="17" t="s">
        <v>56</v>
      </c>
      <c r="G103" s="298"/>
      <c r="H103" s="138"/>
      <c r="I103" s="138"/>
      <c r="J103" s="138"/>
      <c r="K103" s="138"/>
      <c r="L103" s="138"/>
      <c r="M103" s="138"/>
      <c r="N103" s="138"/>
      <c r="O103" s="139"/>
      <c r="P103" s="138"/>
      <c r="Q103" s="99"/>
      <c r="R103" s="99"/>
    </row>
    <row r="104" spans="1:18" ht="15" customHeight="1" x14ac:dyDescent="0.3">
      <c r="A104" s="17" t="s">
        <v>26</v>
      </c>
      <c r="B104" s="17" t="s">
        <v>36</v>
      </c>
      <c r="C104" s="18" t="s">
        <v>238</v>
      </c>
      <c r="D104" s="17" t="s">
        <v>31</v>
      </c>
      <c r="E104" s="17" t="s">
        <v>260</v>
      </c>
      <c r="F104" s="17" t="s">
        <v>150</v>
      </c>
      <c r="G104" s="298"/>
      <c r="H104" s="138"/>
      <c r="I104" s="138"/>
      <c r="J104" s="138"/>
      <c r="K104" s="138"/>
      <c r="L104" s="138"/>
      <c r="M104" s="138"/>
      <c r="N104" s="138"/>
      <c r="O104" s="139"/>
      <c r="P104" s="138"/>
      <c r="Q104" s="99"/>
      <c r="R104" s="99"/>
    </row>
    <row r="105" spans="1:18" ht="15" customHeight="1" x14ac:dyDescent="0.3">
      <c r="A105" s="17" t="s">
        <v>48</v>
      </c>
      <c r="B105" s="17" t="s">
        <v>55</v>
      </c>
      <c r="C105" s="18" t="s">
        <v>242</v>
      </c>
      <c r="D105" s="17" t="s">
        <v>50</v>
      </c>
      <c r="E105" s="17" t="s">
        <v>256</v>
      </c>
      <c r="F105" s="17" t="s">
        <v>91</v>
      </c>
      <c r="G105" s="298"/>
      <c r="H105" s="138"/>
      <c r="I105" s="138"/>
      <c r="J105" s="138"/>
      <c r="K105" s="138"/>
      <c r="L105" s="138"/>
      <c r="M105" s="138"/>
      <c r="N105" s="138"/>
      <c r="O105" s="139"/>
      <c r="P105" s="138"/>
      <c r="Q105" s="99"/>
      <c r="R105" s="99"/>
    </row>
    <row r="106" spans="1:18" ht="15" customHeight="1" x14ac:dyDescent="0.3">
      <c r="A106" s="17" t="s">
        <v>48</v>
      </c>
      <c r="B106" s="17" t="s">
        <v>49</v>
      </c>
      <c r="C106" s="18" t="s">
        <v>239</v>
      </c>
      <c r="D106" s="17" t="s">
        <v>50</v>
      </c>
      <c r="E106" s="17" t="s">
        <v>256</v>
      </c>
      <c r="F106" s="17" t="s">
        <v>91</v>
      </c>
      <c r="G106" s="298"/>
      <c r="H106" s="138"/>
      <c r="I106" s="138"/>
      <c r="J106" s="138"/>
      <c r="K106" s="138"/>
      <c r="L106" s="138"/>
      <c r="M106" s="138"/>
      <c r="N106" s="138"/>
      <c r="O106" s="139"/>
      <c r="P106" s="138"/>
      <c r="Q106" s="99"/>
      <c r="R106" s="99"/>
    </row>
    <row r="107" spans="1:18" ht="15" customHeight="1" x14ac:dyDescent="0.3">
      <c r="A107" s="17" t="s">
        <v>26</v>
      </c>
      <c r="B107" s="17" t="s">
        <v>36</v>
      </c>
      <c r="C107" s="18" t="s">
        <v>238</v>
      </c>
      <c r="D107" s="17" t="s">
        <v>34</v>
      </c>
      <c r="E107" s="17" t="s">
        <v>260</v>
      </c>
      <c r="F107" s="17" t="s">
        <v>151</v>
      </c>
      <c r="G107" s="298"/>
      <c r="H107" s="138"/>
      <c r="I107" s="138"/>
      <c r="J107" s="138"/>
      <c r="K107" s="138"/>
      <c r="L107" s="138"/>
      <c r="M107" s="138"/>
      <c r="N107" s="138"/>
      <c r="O107" s="139"/>
      <c r="P107" s="138"/>
      <c r="Q107" s="99"/>
      <c r="R107" s="99"/>
    </row>
    <row r="108" spans="1:18" ht="15" customHeight="1" thickBot="1" x14ac:dyDescent="0.35">
      <c r="A108" s="39" t="s">
        <v>60</v>
      </c>
      <c r="B108" s="39" t="s">
        <v>68</v>
      </c>
      <c r="C108" s="40" t="s">
        <v>270</v>
      </c>
      <c r="D108" s="39" t="s">
        <v>65</v>
      </c>
      <c r="E108" s="39" t="s">
        <v>256</v>
      </c>
      <c r="F108" s="39" t="s">
        <v>152</v>
      </c>
      <c r="G108" s="299"/>
      <c r="H108" s="140"/>
      <c r="I108" s="140"/>
      <c r="J108" s="140"/>
      <c r="K108" s="140"/>
      <c r="L108" s="140"/>
      <c r="M108" s="140"/>
      <c r="N108" s="140"/>
      <c r="O108" s="141"/>
      <c r="P108" s="140"/>
      <c r="Q108" s="142"/>
      <c r="R108" s="142"/>
    </row>
    <row r="109" spans="1:18" ht="17.399999999999999" customHeight="1" thickBot="1" x14ac:dyDescent="0.35">
      <c r="A109" s="329"/>
      <c r="B109" s="330"/>
      <c r="C109" s="330"/>
      <c r="D109" s="330"/>
      <c r="E109" s="330"/>
      <c r="F109" s="330"/>
      <c r="G109" s="330"/>
      <c r="H109" s="330"/>
      <c r="I109" s="330"/>
      <c r="J109" s="330"/>
      <c r="K109" s="330"/>
      <c r="L109" s="330"/>
      <c r="M109" s="330"/>
      <c r="N109" s="330"/>
      <c r="O109" s="330"/>
      <c r="P109" s="330"/>
      <c r="Q109" s="330"/>
      <c r="R109" s="331"/>
    </row>
    <row r="110" spans="1:18" ht="22.05" customHeight="1" thickTop="1" thickBot="1" x14ac:dyDescent="0.35">
      <c r="A110" s="300" t="s">
        <v>6</v>
      </c>
      <c r="B110" s="295"/>
      <c r="C110" s="295"/>
      <c r="D110" s="295"/>
      <c r="E110" s="295"/>
      <c r="F110" s="296"/>
      <c r="G110" s="31">
        <v>45991</v>
      </c>
      <c r="H110" s="294" t="s">
        <v>7</v>
      </c>
      <c r="I110" s="295"/>
      <c r="J110" s="295"/>
      <c r="K110" s="295"/>
      <c r="L110" s="295"/>
      <c r="M110" s="295"/>
      <c r="N110" s="295"/>
      <c r="O110" s="295"/>
      <c r="P110" s="295"/>
      <c r="Q110" s="295"/>
      <c r="R110" s="296"/>
    </row>
    <row r="111" spans="1:18" ht="24" customHeight="1" x14ac:dyDescent="0.3">
      <c r="A111" s="32" t="s">
        <v>8</v>
      </c>
      <c r="B111" s="32" t="s">
        <v>9</v>
      </c>
      <c r="C111" s="33" t="s">
        <v>10</v>
      </c>
      <c r="D111" s="32" t="s">
        <v>11</v>
      </c>
      <c r="E111" s="32" t="s">
        <v>12</v>
      </c>
      <c r="F111" s="34" t="s">
        <v>13</v>
      </c>
      <c r="G111" s="35" t="s">
        <v>14</v>
      </c>
      <c r="H111" s="32" t="s">
        <v>15</v>
      </c>
      <c r="I111" s="36" t="s">
        <v>16</v>
      </c>
      <c r="J111" s="37" t="s">
        <v>17</v>
      </c>
      <c r="K111" s="38" t="s">
        <v>18</v>
      </c>
      <c r="L111" s="37" t="s">
        <v>19</v>
      </c>
      <c r="M111" s="37" t="s">
        <v>20</v>
      </c>
      <c r="N111" s="37" t="s">
        <v>21</v>
      </c>
      <c r="O111" s="32" t="s">
        <v>22</v>
      </c>
      <c r="P111" s="33" t="s">
        <v>23</v>
      </c>
      <c r="Q111" s="37" t="s">
        <v>24</v>
      </c>
      <c r="R111" s="32" t="s">
        <v>25</v>
      </c>
    </row>
    <row r="112" spans="1:18" ht="15" customHeight="1" x14ac:dyDescent="0.3">
      <c r="A112" s="129" t="s">
        <v>77</v>
      </c>
      <c r="B112" s="129" t="s">
        <v>249</v>
      </c>
      <c r="C112" s="130">
        <v>0.2361111111111111</v>
      </c>
      <c r="D112" s="129" t="s">
        <v>79</v>
      </c>
      <c r="E112" s="143"/>
      <c r="F112" s="129" t="s">
        <v>80</v>
      </c>
      <c r="G112" s="297"/>
      <c r="H112" s="131" t="s">
        <v>249</v>
      </c>
      <c r="I112" s="132">
        <v>1</v>
      </c>
      <c r="J112" s="133">
        <v>180</v>
      </c>
      <c r="K112" s="134">
        <v>45977</v>
      </c>
      <c r="L112" s="133">
        <v>2</v>
      </c>
      <c r="M112" s="133">
        <v>0</v>
      </c>
      <c r="N112" s="133">
        <v>0</v>
      </c>
      <c r="O112" s="135" t="s">
        <v>81</v>
      </c>
      <c r="P112" s="136">
        <v>0.2361111111111111</v>
      </c>
      <c r="Q112" s="133">
        <v>180</v>
      </c>
      <c r="R112" s="137" t="s">
        <v>274</v>
      </c>
    </row>
    <row r="113" spans="1:18" ht="18" x14ac:dyDescent="0.3">
      <c r="A113" s="312" t="s">
        <v>252</v>
      </c>
      <c r="B113" s="313"/>
      <c r="C113" s="313"/>
      <c r="D113" s="313"/>
      <c r="E113" s="313"/>
      <c r="F113" s="314"/>
      <c r="G113" s="298"/>
      <c r="H113" s="138"/>
      <c r="I113" s="138"/>
      <c r="J113" s="138"/>
      <c r="K113" s="138"/>
      <c r="L113" s="138"/>
      <c r="M113" s="138"/>
      <c r="N113" s="138"/>
      <c r="O113" s="139"/>
      <c r="P113" s="138"/>
      <c r="Q113" s="99"/>
      <c r="R113" s="99"/>
    </row>
    <row r="114" spans="1:18" ht="15" customHeight="1" x14ac:dyDescent="0.3">
      <c r="A114" s="17" t="s">
        <v>41</v>
      </c>
      <c r="B114" s="17" t="s">
        <v>42</v>
      </c>
      <c r="C114" s="18" t="s">
        <v>237</v>
      </c>
      <c r="D114" s="17" t="s">
        <v>43</v>
      </c>
      <c r="E114" s="17" t="s">
        <v>254</v>
      </c>
      <c r="F114" s="17" t="s">
        <v>154</v>
      </c>
      <c r="G114" s="298"/>
      <c r="H114" s="138"/>
      <c r="I114" s="138"/>
      <c r="J114" s="138"/>
      <c r="K114" s="138"/>
      <c r="L114" s="138"/>
      <c r="M114" s="138"/>
      <c r="N114" s="138"/>
      <c r="O114" s="139"/>
      <c r="P114" s="138"/>
      <c r="Q114" s="99"/>
      <c r="R114" s="99"/>
    </row>
    <row r="115" spans="1:18" ht="15" customHeight="1" x14ac:dyDescent="0.3">
      <c r="A115" s="17" t="s">
        <v>26</v>
      </c>
      <c r="B115" s="17" t="s">
        <v>36</v>
      </c>
      <c r="C115" s="18" t="s">
        <v>238</v>
      </c>
      <c r="D115" s="17" t="s">
        <v>28</v>
      </c>
      <c r="E115" s="17" t="s">
        <v>259</v>
      </c>
      <c r="F115" s="17" t="s">
        <v>149</v>
      </c>
      <c r="G115" s="298"/>
      <c r="H115" s="138"/>
      <c r="I115" s="138"/>
      <c r="J115" s="138"/>
      <c r="K115" s="138"/>
      <c r="L115" s="138"/>
      <c r="M115" s="138"/>
      <c r="N115" s="138"/>
      <c r="O115" s="139"/>
      <c r="P115" s="138"/>
      <c r="Q115" s="99"/>
      <c r="R115" s="99"/>
    </row>
    <row r="116" spans="1:18" ht="15" customHeight="1" x14ac:dyDescent="0.3">
      <c r="A116" s="17" t="s">
        <v>48</v>
      </c>
      <c r="B116" s="17" t="s">
        <v>55</v>
      </c>
      <c r="C116" s="18" t="s">
        <v>242</v>
      </c>
      <c r="D116" s="17" t="s">
        <v>50</v>
      </c>
      <c r="E116" s="17" t="s">
        <v>256</v>
      </c>
      <c r="F116" s="17" t="s">
        <v>52</v>
      </c>
      <c r="G116" s="298"/>
      <c r="H116" s="138"/>
      <c r="I116" s="138"/>
      <c r="J116" s="138"/>
      <c r="K116" s="138"/>
      <c r="L116" s="138"/>
      <c r="M116" s="138"/>
      <c r="N116" s="138"/>
      <c r="O116" s="139"/>
      <c r="P116" s="138"/>
      <c r="Q116" s="99"/>
      <c r="R116" s="99"/>
    </row>
    <row r="117" spans="1:18" ht="15" customHeight="1" x14ac:dyDescent="0.3">
      <c r="A117" s="17" t="s">
        <v>48</v>
      </c>
      <c r="B117" s="17" t="s">
        <v>53</v>
      </c>
      <c r="C117" s="18" t="s">
        <v>240</v>
      </c>
      <c r="D117" s="17" t="s">
        <v>50</v>
      </c>
      <c r="E117" s="17" t="s">
        <v>256</v>
      </c>
      <c r="F117" s="17" t="s">
        <v>56</v>
      </c>
      <c r="G117" s="298"/>
      <c r="H117" s="138"/>
      <c r="I117" s="138"/>
      <c r="J117" s="138"/>
      <c r="K117" s="138"/>
      <c r="L117" s="138"/>
      <c r="M117" s="138"/>
      <c r="N117" s="138"/>
      <c r="O117" s="139"/>
      <c r="P117" s="138"/>
      <c r="Q117" s="99"/>
      <c r="R117" s="99"/>
    </row>
    <row r="118" spans="1:18" ht="15" customHeight="1" x14ac:dyDescent="0.3">
      <c r="A118" s="17" t="s">
        <v>26</v>
      </c>
      <c r="B118" s="17" t="s">
        <v>36</v>
      </c>
      <c r="C118" s="18" t="s">
        <v>238</v>
      </c>
      <c r="D118" s="17" t="s">
        <v>31</v>
      </c>
      <c r="E118" s="17" t="s">
        <v>259</v>
      </c>
      <c r="F118" s="17" t="s">
        <v>150</v>
      </c>
      <c r="G118" s="298"/>
      <c r="H118" s="138"/>
      <c r="I118" s="138"/>
      <c r="J118" s="138"/>
      <c r="K118" s="138"/>
      <c r="L118" s="138"/>
      <c r="M118" s="138"/>
      <c r="N118" s="138"/>
      <c r="O118" s="139"/>
      <c r="P118" s="138"/>
      <c r="Q118" s="99"/>
      <c r="R118" s="99"/>
    </row>
    <row r="119" spans="1:18" ht="15" customHeight="1" x14ac:dyDescent="0.3">
      <c r="A119" s="17" t="s">
        <v>41</v>
      </c>
      <c r="B119" s="17" t="s">
        <v>42</v>
      </c>
      <c r="C119" s="18" t="s">
        <v>237</v>
      </c>
      <c r="D119" s="17" t="s">
        <v>45</v>
      </c>
      <c r="E119" s="17" t="s">
        <v>254</v>
      </c>
      <c r="F119" s="17" t="s">
        <v>124</v>
      </c>
      <c r="G119" s="298"/>
      <c r="H119" s="138"/>
      <c r="I119" s="138"/>
      <c r="J119" s="138"/>
      <c r="K119" s="138"/>
      <c r="L119" s="138"/>
      <c r="M119" s="138"/>
      <c r="N119" s="138"/>
      <c r="O119" s="139"/>
      <c r="P119" s="138"/>
      <c r="Q119" s="99"/>
      <c r="R119" s="99"/>
    </row>
    <row r="120" spans="1:18" ht="15" customHeight="1" x14ac:dyDescent="0.3">
      <c r="A120" s="17" t="s">
        <v>26</v>
      </c>
      <c r="B120" s="17" t="s">
        <v>36</v>
      </c>
      <c r="C120" s="18" t="s">
        <v>238</v>
      </c>
      <c r="D120" s="17" t="s">
        <v>34</v>
      </c>
      <c r="E120" s="17" t="s">
        <v>259</v>
      </c>
      <c r="F120" s="17" t="s">
        <v>151</v>
      </c>
      <c r="G120" s="298"/>
      <c r="H120" s="138"/>
      <c r="I120" s="138"/>
      <c r="J120" s="138"/>
      <c r="K120" s="138"/>
      <c r="L120" s="138"/>
      <c r="M120" s="138"/>
      <c r="N120" s="138"/>
      <c r="O120" s="139"/>
      <c r="P120" s="138"/>
      <c r="Q120" s="99"/>
      <c r="R120" s="99"/>
    </row>
    <row r="121" spans="1:18" ht="15" customHeight="1" x14ac:dyDescent="0.3">
      <c r="A121" s="17" t="s">
        <v>48</v>
      </c>
      <c r="B121" s="17" t="s">
        <v>49</v>
      </c>
      <c r="C121" s="18" t="s">
        <v>239</v>
      </c>
      <c r="D121" s="17" t="s">
        <v>50</v>
      </c>
      <c r="E121" s="17" t="s">
        <v>256</v>
      </c>
      <c r="F121" s="17" t="s">
        <v>156</v>
      </c>
      <c r="G121" s="298"/>
      <c r="H121" s="138"/>
      <c r="I121" s="138"/>
      <c r="J121" s="138"/>
      <c r="K121" s="138"/>
      <c r="L121" s="138"/>
      <c r="M121" s="138"/>
      <c r="N121" s="138"/>
      <c r="O121" s="139"/>
      <c r="P121" s="138"/>
      <c r="Q121" s="99"/>
      <c r="R121" s="99"/>
    </row>
    <row r="122" spans="1:18" ht="15" customHeight="1" x14ac:dyDescent="0.3">
      <c r="A122" s="17" t="s">
        <v>60</v>
      </c>
      <c r="B122" s="17" t="s">
        <v>68</v>
      </c>
      <c r="C122" s="18" t="s">
        <v>270</v>
      </c>
      <c r="D122" s="17" t="s">
        <v>65</v>
      </c>
      <c r="E122" s="17" t="s">
        <v>260</v>
      </c>
      <c r="F122" s="17" t="s">
        <v>70</v>
      </c>
      <c r="G122" s="298"/>
      <c r="H122" s="138"/>
      <c r="I122" s="138"/>
      <c r="J122" s="138"/>
      <c r="K122" s="138"/>
      <c r="L122" s="138"/>
      <c r="M122" s="138"/>
      <c r="N122" s="138"/>
      <c r="O122" s="139"/>
      <c r="P122" s="138"/>
      <c r="Q122" s="99"/>
      <c r="R122" s="99"/>
    </row>
    <row r="123" spans="1:18" ht="15" customHeight="1" x14ac:dyDescent="0.3">
      <c r="A123" s="39" t="s">
        <v>60</v>
      </c>
      <c r="B123" s="39" t="s">
        <v>74</v>
      </c>
      <c r="C123" s="40" t="s">
        <v>245</v>
      </c>
      <c r="D123" s="39" t="s">
        <v>65</v>
      </c>
      <c r="E123" s="39" t="s">
        <v>275</v>
      </c>
      <c r="F123" s="39" t="s">
        <v>70</v>
      </c>
      <c r="G123" s="299"/>
      <c r="H123" s="140"/>
      <c r="I123" s="140"/>
      <c r="J123" s="140"/>
      <c r="K123" s="140"/>
      <c r="L123" s="140"/>
      <c r="M123" s="140"/>
      <c r="N123" s="140"/>
      <c r="O123" s="141"/>
      <c r="P123" s="140"/>
      <c r="Q123" s="142"/>
      <c r="R123" s="142"/>
    </row>
  </sheetData>
  <mergeCells count="46">
    <mergeCell ref="G112:G123"/>
    <mergeCell ref="A64:F64"/>
    <mergeCell ref="G6:G17"/>
    <mergeCell ref="A48:R48"/>
    <mergeCell ref="A49:F49"/>
    <mergeCell ref="A98:F98"/>
    <mergeCell ref="G81:G93"/>
    <mergeCell ref="A110:F110"/>
    <mergeCell ref="A79:F79"/>
    <mergeCell ref="H95:R95"/>
    <mergeCell ref="A94:R94"/>
    <mergeCell ref="A7:F7"/>
    <mergeCell ref="A109:R109"/>
    <mergeCell ref="A19:F19"/>
    <mergeCell ref="G66:G77"/>
    <mergeCell ref="A63:R63"/>
    <mergeCell ref="A67:F67"/>
    <mergeCell ref="A34:F34"/>
    <mergeCell ref="A83:F83"/>
    <mergeCell ref="H19:R19"/>
    <mergeCell ref="G97:G108"/>
    <mergeCell ref="A95:F95"/>
    <mergeCell ref="A113:F113"/>
    <mergeCell ref="A2:F2"/>
    <mergeCell ref="A3:R3"/>
    <mergeCell ref="H34:R34"/>
    <mergeCell ref="A33:R33"/>
    <mergeCell ref="G21:G32"/>
    <mergeCell ref="H64:R64"/>
    <mergeCell ref="A22:F22"/>
    <mergeCell ref="G2:J2"/>
    <mergeCell ref="H49:R49"/>
    <mergeCell ref="A4:F4"/>
    <mergeCell ref="G36:G47"/>
    <mergeCell ref="H110:R110"/>
    <mergeCell ref="H79:R79"/>
    <mergeCell ref="A52:F52"/>
    <mergeCell ref="A78:R78"/>
    <mergeCell ref="G51:G62"/>
    <mergeCell ref="A37:F37"/>
    <mergeCell ref="H1:L1"/>
    <mergeCell ref="A1:E1"/>
    <mergeCell ref="H4:R4"/>
    <mergeCell ref="A18:R18"/>
    <mergeCell ref="N1:R1"/>
    <mergeCell ref="K2:R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8"/>
  <sheetViews>
    <sheetView workbookViewId="0"/>
  </sheetViews>
  <sheetFormatPr defaultRowHeight="15.6" outlineLevelCol="1" x14ac:dyDescent="0.3"/>
  <cols>
    <col min="1" max="1" width="11.5546875" style="316" bestFit="1" customWidth="1"/>
    <col min="2" max="2" width="10.44140625" style="316" bestFit="1" customWidth="1"/>
    <col min="3" max="3" width="6.77734375" style="316" bestFit="1" customWidth="1"/>
    <col min="4" max="4" width="5.5546875" style="316" bestFit="1" customWidth="1"/>
    <col min="5" max="5" width="9.109375" style="316" bestFit="1" customWidth="1"/>
    <col min="6" max="6" width="4.21875" style="316" bestFit="1" customWidth="1"/>
    <col min="7" max="7" width="10" style="316" bestFit="1" customWidth="1"/>
    <col min="8" max="9" width="8.5546875" style="316" bestFit="1" customWidth="1"/>
    <col min="10"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5" width="3.88671875" style="316" bestFit="1" customWidth="1"/>
    <col min="26" max="26" width="4.109375" style="316" bestFit="1" customWidth="1"/>
    <col min="27" max="28" width="3.88671875" style="316" bestFit="1" customWidth="1"/>
    <col min="29" max="29" width="4.21875" style="316" bestFit="1" customWidth="1"/>
    <col min="30" max="31" width="4.5546875" style="316" bestFit="1" customWidth="1"/>
    <col min="32" max="32" width="3.88671875" style="316" bestFit="1" customWidth="1"/>
    <col min="33" max="33" width="4.21875" style="316" bestFit="1" customWidth="1"/>
    <col min="34" max="34" width="4.33203125" style="316" bestFit="1" customWidth="1"/>
    <col min="35" max="35" width="5.21875" style="316" bestFit="1" customWidth="1"/>
    <col min="36"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249</v>
      </c>
      <c r="D2" s="320" t="s">
        <v>276</v>
      </c>
      <c r="E2" s="319" t="s">
        <v>246</v>
      </c>
      <c r="F2" s="319" t="s">
        <v>189</v>
      </c>
      <c r="G2" s="321">
        <v>0.98329999999999995</v>
      </c>
      <c r="H2" s="322">
        <v>180</v>
      </c>
      <c r="I2" s="322">
        <v>177</v>
      </c>
      <c r="J2" s="322">
        <v>135</v>
      </c>
      <c r="K2" s="319" t="s">
        <v>190</v>
      </c>
      <c r="L2" s="323">
        <v>45974</v>
      </c>
      <c r="M2" s="322">
        <v>0</v>
      </c>
      <c r="N2" s="322">
        <v>0</v>
      </c>
      <c r="O2" s="322">
        <v>50</v>
      </c>
      <c r="P2" s="319" t="s">
        <v>250</v>
      </c>
      <c r="Q2" s="315"/>
      <c r="R2" s="315"/>
      <c r="S2" s="315"/>
      <c r="T2" s="315"/>
      <c r="U2" s="322" t="s">
        <v>277</v>
      </c>
      <c r="V2" s="315"/>
      <c r="W2" s="315"/>
      <c r="X2" s="322" t="s">
        <v>278</v>
      </c>
      <c r="Y2" s="315"/>
      <c r="Z2" s="322" t="s">
        <v>279</v>
      </c>
      <c r="AA2" s="315"/>
      <c r="AB2" s="315"/>
      <c r="AC2" s="322" t="s">
        <v>280</v>
      </c>
      <c r="AD2" s="315"/>
      <c r="AE2" s="322" t="s">
        <v>281</v>
      </c>
      <c r="AF2" s="322" t="s">
        <v>196</v>
      </c>
      <c r="AG2" s="322" t="s">
        <v>282</v>
      </c>
      <c r="AH2" s="315"/>
      <c r="AI2" s="322" t="s">
        <v>223</v>
      </c>
      <c r="AJ2" s="315"/>
    </row>
    <row r="3" spans="1:36" x14ac:dyDescent="0.3">
      <c r="A3" s="317" t="s">
        <v>203</v>
      </c>
      <c r="B3" s="318">
        <v>45984</v>
      </c>
      <c r="C3" s="319" t="s">
        <v>249</v>
      </c>
      <c r="D3" s="320" t="s">
        <v>200</v>
      </c>
      <c r="E3" s="319" t="s">
        <v>246</v>
      </c>
      <c r="F3" s="319" t="s">
        <v>189</v>
      </c>
      <c r="G3" s="321">
        <v>1.0056</v>
      </c>
      <c r="H3" s="322">
        <v>180</v>
      </c>
      <c r="I3" s="322">
        <v>181</v>
      </c>
      <c r="J3" s="322">
        <v>162</v>
      </c>
      <c r="K3" s="319" t="s">
        <v>190</v>
      </c>
      <c r="L3" s="323">
        <v>45959</v>
      </c>
      <c r="M3" s="322">
        <v>0</v>
      </c>
      <c r="N3" s="322">
        <v>0</v>
      </c>
      <c r="O3" s="322">
        <v>0</v>
      </c>
      <c r="P3" s="319" t="s">
        <v>81</v>
      </c>
      <c r="Q3" s="315"/>
      <c r="R3" s="315"/>
      <c r="S3" s="315"/>
      <c r="T3" s="315"/>
      <c r="U3" s="315"/>
      <c r="V3" s="315"/>
      <c r="W3" s="315"/>
      <c r="X3" s="315"/>
      <c r="Y3" s="315"/>
      <c r="Z3" s="322" t="s">
        <v>283</v>
      </c>
      <c r="AA3" s="315"/>
      <c r="AB3" s="315"/>
      <c r="AC3" s="322" t="s">
        <v>280</v>
      </c>
      <c r="AD3" s="315"/>
      <c r="AE3" s="322" t="s">
        <v>284</v>
      </c>
      <c r="AF3" s="322" t="s">
        <v>221</v>
      </c>
      <c r="AG3" s="315"/>
      <c r="AH3" s="315"/>
      <c r="AI3" s="322" t="s">
        <v>285</v>
      </c>
      <c r="AJ3" s="315"/>
    </row>
    <row r="4" spans="1:36" x14ac:dyDescent="0.3">
      <c r="A4" s="317" t="s">
        <v>213</v>
      </c>
      <c r="B4" s="318">
        <v>45986</v>
      </c>
      <c r="C4" s="319" t="s">
        <v>249</v>
      </c>
      <c r="D4" s="320" t="s">
        <v>286</v>
      </c>
      <c r="E4" s="319" t="s">
        <v>246</v>
      </c>
      <c r="F4" s="319" t="s">
        <v>189</v>
      </c>
      <c r="G4" s="321">
        <v>1</v>
      </c>
      <c r="H4" s="322">
        <v>180</v>
      </c>
      <c r="I4" s="322">
        <v>180</v>
      </c>
      <c r="J4" s="322">
        <v>170</v>
      </c>
      <c r="K4" s="319" t="s">
        <v>190</v>
      </c>
      <c r="L4" s="323">
        <v>45962</v>
      </c>
      <c r="M4" s="322">
        <v>0</v>
      </c>
      <c r="N4" s="322">
        <v>0</v>
      </c>
      <c r="O4" s="322">
        <v>0</v>
      </c>
      <c r="P4" s="319" t="s">
        <v>81</v>
      </c>
      <c r="Q4" s="315"/>
      <c r="R4" s="315"/>
      <c r="S4" s="315"/>
      <c r="T4" s="315"/>
      <c r="U4" s="315"/>
      <c r="V4" s="315"/>
      <c r="W4" s="315"/>
      <c r="X4" s="315"/>
      <c r="Y4" s="315"/>
      <c r="Z4" s="315"/>
      <c r="AA4" s="315"/>
      <c r="AB4" s="322" t="s">
        <v>287</v>
      </c>
      <c r="AC4" s="322" t="s">
        <v>205</v>
      </c>
      <c r="AD4" s="315"/>
      <c r="AE4" s="315"/>
      <c r="AF4" s="315"/>
      <c r="AG4" s="315"/>
      <c r="AH4" s="322" t="s">
        <v>288</v>
      </c>
      <c r="AI4" s="322" t="s">
        <v>289</v>
      </c>
      <c r="AJ4" s="315"/>
    </row>
    <row r="5" spans="1:36" x14ac:dyDescent="0.3">
      <c r="A5" s="317" t="s">
        <v>290</v>
      </c>
      <c r="B5" s="318">
        <v>45987</v>
      </c>
      <c r="C5" s="319" t="s">
        <v>249</v>
      </c>
      <c r="D5" s="320" t="s">
        <v>291</v>
      </c>
      <c r="E5" s="319" t="s">
        <v>246</v>
      </c>
      <c r="F5" s="319" t="s">
        <v>189</v>
      </c>
      <c r="G5" s="321">
        <v>0.99439999999999995</v>
      </c>
      <c r="H5" s="322">
        <v>180</v>
      </c>
      <c r="I5" s="322">
        <v>179</v>
      </c>
      <c r="J5" s="322">
        <v>175</v>
      </c>
      <c r="K5" s="319" t="s">
        <v>190</v>
      </c>
      <c r="L5" s="323">
        <v>45976</v>
      </c>
      <c r="M5" s="322">
        <v>0</v>
      </c>
      <c r="N5" s="322">
        <v>0</v>
      </c>
      <c r="O5" s="322">
        <v>1</v>
      </c>
      <c r="P5" s="319" t="s">
        <v>81</v>
      </c>
      <c r="Q5" s="315"/>
      <c r="R5" s="315"/>
      <c r="S5" s="315"/>
      <c r="T5" s="315"/>
      <c r="U5" s="315"/>
      <c r="V5" s="315"/>
      <c r="W5" s="315"/>
      <c r="X5" s="315"/>
      <c r="Y5" s="322" t="s">
        <v>209</v>
      </c>
      <c r="Z5" s="315"/>
      <c r="AA5" s="315"/>
      <c r="AB5" s="315"/>
      <c r="AC5" s="315"/>
      <c r="AD5" s="315"/>
      <c r="AE5" s="315"/>
      <c r="AF5" s="322" t="s">
        <v>292</v>
      </c>
      <c r="AG5" s="315"/>
      <c r="AH5" s="315"/>
      <c r="AI5" s="322" t="s">
        <v>293</v>
      </c>
      <c r="AJ5" s="315"/>
    </row>
    <row r="6" spans="1:36" x14ac:dyDescent="0.3">
      <c r="A6" s="317" t="s">
        <v>187</v>
      </c>
      <c r="B6" s="318">
        <v>45988</v>
      </c>
      <c r="C6" s="319" t="s">
        <v>249</v>
      </c>
      <c r="D6" s="320" t="s">
        <v>276</v>
      </c>
      <c r="E6" s="319" t="s">
        <v>246</v>
      </c>
      <c r="F6" s="319" t="s">
        <v>189</v>
      </c>
      <c r="G6" s="321">
        <v>1</v>
      </c>
      <c r="H6" s="322">
        <v>180</v>
      </c>
      <c r="I6" s="322">
        <v>180</v>
      </c>
      <c r="J6" s="322">
        <v>166</v>
      </c>
      <c r="K6" s="319" t="s">
        <v>190</v>
      </c>
      <c r="L6" s="323">
        <v>45980</v>
      </c>
      <c r="M6" s="322">
        <v>1</v>
      </c>
      <c r="N6" s="322">
        <v>0</v>
      </c>
      <c r="O6" s="322">
        <v>1</v>
      </c>
      <c r="P6" s="319" t="s">
        <v>81</v>
      </c>
      <c r="Q6" s="315"/>
      <c r="R6" s="315"/>
      <c r="S6" s="315"/>
      <c r="T6" s="315"/>
      <c r="U6" s="315"/>
      <c r="V6" s="315"/>
      <c r="W6" s="315"/>
      <c r="X6" s="315"/>
      <c r="Y6" s="322" t="s">
        <v>294</v>
      </c>
      <c r="Z6" s="315"/>
      <c r="AA6" s="315"/>
      <c r="AB6" s="315"/>
      <c r="AC6" s="322" t="s">
        <v>295</v>
      </c>
      <c r="AD6" s="315"/>
      <c r="AE6" s="315"/>
      <c r="AF6" s="322" t="s">
        <v>221</v>
      </c>
      <c r="AG6" s="315"/>
      <c r="AH6" s="315"/>
      <c r="AI6" s="322" t="s">
        <v>296</v>
      </c>
      <c r="AJ6" s="315"/>
    </row>
    <row r="7" spans="1:36" x14ac:dyDescent="0.3">
      <c r="A7" s="317" t="s">
        <v>203</v>
      </c>
      <c r="B7" s="318">
        <v>45991</v>
      </c>
      <c r="C7" s="319" t="s">
        <v>249</v>
      </c>
      <c r="D7" s="320" t="s">
        <v>200</v>
      </c>
      <c r="E7" s="319" t="s">
        <v>246</v>
      </c>
      <c r="F7" s="319" t="s">
        <v>189</v>
      </c>
      <c r="G7" s="321">
        <v>1</v>
      </c>
      <c r="H7" s="322">
        <v>180</v>
      </c>
      <c r="I7" s="322">
        <v>180</v>
      </c>
      <c r="J7" s="322">
        <v>135</v>
      </c>
      <c r="K7" s="319" t="s">
        <v>190</v>
      </c>
      <c r="L7" s="323">
        <v>45977</v>
      </c>
      <c r="M7" s="322">
        <v>0</v>
      </c>
      <c r="N7" s="322">
        <v>0</v>
      </c>
      <c r="O7" s="322">
        <v>2</v>
      </c>
      <c r="P7" s="319" t="s">
        <v>81</v>
      </c>
      <c r="Q7" s="315"/>
      <c r="R7" s="315"/>
      <c r="S7" s="315"/>
      <c r="T7" s="315"/>
      <c r="U7" s="315"/>
      <c r="V7" s="315"/>
      <c r="W7" s="315"/>
      <c r="X7" s="322" t="s">
        <v>278</v>
      </c>
      <c r="Y7" s="315"/>
      <c r="Z7" s="315"/>
      <c r="AA7" s="315"/>
      <c r="AB7" s="315"/>
      <c r="AC7" s="322" t="s">
        <v>193</v>
      </c>
      <c r="AD7" s="322" t="s">
        <v>194</v>
      </c>
      <c r="AE7" s="322" t="s">
        <v>195</v>
      </c>
      <c r="AF7" s="322" t="s">
        <v>196</v>
      </c>
      <c r="AG7" s="315"/>
      <c r="AH7" s="315"/>
      <c r="AI7" s="322" t="s">
        <v>229</v>
      </c>
      <c r="AJ7" s="315"/>
    </row>
    <row r="8" spans="1:36" ht="21" x14ac:dyDescent="0.3">
      <c r="A8" s="324" t="s">
        <v>1638</v>
      </c>
      <c r="B8" s="325"/>
      <c r="C8" s="324">
        <f>SUBTOTAL(103,HBE_MED_LF_LEGACY[Flt])</f>
        <v>6</v>
      </c>
      <c r="D8" s="324"/>
      <c r="E8" s="324">
        <f>SUBTOTAL(103,HBE_MED_LF_LEGACY[Brd-Off])</f>
        <v>6</v>
      </c>
      <c r="F8" s="324"/>
      <c r="G8" s="326">
        <f>SUBTOTAL(101,HBE_MED_LF_LEGACY[LF%])</f>
        <v>0.99721666666666664</v>
      </c>
      <c r="H8" s="327">
        <f>SUBTOTAL(109,HBE_MED_LF_LEGACY[CAP])</f>
        <v>1080</v>
      </c>
      <c r="I8" s="327">
        <f>SUBTOTAL(109,HBE_MED_LF_LEGACY[BKG(Y)])</f>
        <v>1077</v>
      </c>
      <c r="J8" s="327">
        <f>SUBTOTAL(109,HBE_MED_LF_LEGACY[GRP(Y)])</f>
        <v>943</v>
      </c>
      <c r="K8" s="324"/>
      <c r="L8" s="325"/>
      <c r="M8" s="327">
        <f>SUBTOTAL(109,HBE_MED_LF_LEGACY[TO-DAY])</f>
        <v>1</v>
      </c>
      <c r="N8" s="327">
        <f>SUBTOTAL(109,HBE_MED_LF_LEGACY[Y-DAY])</f>
        <v>0</v>
      </c>
      <c r="O8" s="327">
        <f>SUBTOTAL(109,HBE_MED_LF_LEGACY[WEEKLY])</f>
        <v>54</v>
      </c>
      <c r="P8" s="328"/>
      <c r="Q8" s="327">
        <f>SUBTOTAL(109,HBE_MED_LF_LEGACY[Y])</f>
        <v>0</v>
      </c>
      <c r="R8" s="327">
        <f>SUBTOTAL(109,HBE_MED_LF_LEGACY[B])</f>
        <v>0</v>
      </c>
      <c r="S8" s="327">
        <f>SUBTOTAL(109,HBE_MED_LF_LEGACY[M])</f>
        <v>0</v>
      </c>
      <c r="T8" s="327">
        <f>SUBTOTAL(109,HBE_MED_LF_LEGACY[H])</f>
        <v>0</v>
      </c>
      <c r="U8" s="327">
        <f>SUBTOTAL(109,HBE_MED_LF_LEGACY[Q])</f>
        <v>0</v>
      </c>
      <c r="V8" s="327">
        <f>SUBTOTAL(109,HBE_MED_LF_LEGACY[K])</f>
        <v>0</v>
      </c>
      <c r="W8" s="327">
        <f>SUBTOTAL(109,HBE_MED_LF_LEGACY[V])</f>
        <v>0</v>
      </c>
      <c r="X8" s="327">
        <f>SUBTOTAL(109,HBE_MED_LF_LEGACY[L])</f>
        <v>0</v>
      </c>
      <c r="Y8" s="327">
        <f>SUBTOTAL(109,HBE_MED_LF_LEGACY[G])</f>
        <v>0</v>
      </c>
      <c r="Z8" s="327">
        <f>SUBTOTAL(109,HBE_MED_LF_LEGACY[S])</f>
        <v>0</v>
      </c>
      <c r="AA8" s="327">
        <f>SUBTOTAL(109,HBE_MED_LF_LEGACY[W])</f>
        <v>0</v>
      </c>
      <c r="AB8" s="327">
        <f>SUBTOTAL(109,HBE_MED_LF_LEGACY[T])</f>
        <v>0</v>
      </c>
      <c r="AC8" s="327">
        <f>SUBTOTAL(109,HBE_MED_LF_LEGACY[X])</f>
        <v>0</v>
      </c>
      <c r="AD8" s="327">
        <f>SUBTOTAL(109,HBE_MED_LF_LEGACY[U])</f>
        <v>0</v>
      </c>
      <c r="AE8" s="327">
        <f>SUBTOTAL(109,HBE_MED_LF_LEGACY[O])</f>
        <v>0</v>
      </c>
      <c r="AF8" s="327">
        <f>SUBTOTAL(109,HBE_MED_LF_LEGACY[I])</f>
        <v>0</v>
      </c>
      <c r="AG8" s="327">
        <f>SUBTOTAL(109,HBE_MED_LF_LEGACY[E])</f>
        <v>0</v>
      </c>
      <c r="AH8" s="327">
        <f>SUBTOTAL(109,HBE_MED_LF_LEGACY[A])</f>
        <v>0</v>
      </c>
      <c r="AI8" s="327">
        <f>SUBTOTAL(109,HBE_MED_LF_LEGACY[P])</f>
        <v>0</v>
      </c>
      <c r="AJ8" s="327">
        <f>SUBTOTAL(103,HBE_MED_LF_LEGACY[N])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31"/>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4.218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74" t="s">
        <v>235</v>
      </c>
      <c r="B2" s="121" t="s">
        <v>77</v>
      </c>
      <c r="C2" s="122" t="s">
        <v>247</v>
      </c>
      <c r="D2" s="121" t="s">
        <v>246</v>
      </c>
      <c r="E2" s="121" t="s">
        <v>276</v>
      </c>
      <c r="F2" s="121" t="s">
        <v>101</v>
      </c>
      <c r="G2" s="124">
        <v>2</v>
      </c>
      <c r="H2" s="125" t="s">
        <v>248</v>
      </c>
    </row>
    <row r="3" spans="1:8" ht="19.8" customHeight="1" x14ac:dyDescent="0.3">
      <c r="A3" s="175"/>
      <c r="B3" s="176"/>
      <c r="C3" s="176"/>
      <c r="D3" s="176"/>
      <c r="E3" s="176"/>
      <c r="F3" s="177" t="s">
        <v>297</v>
      </c>
      <c r="G3" s="176"/>
      <c r="H3" s="178"/>
    </row>
    <row r="4" spans="1:8" ht="19.8" customHeight="1" x14ac:dyDescent="0.3">
      <c r="A4" s="112">
        <v>45981</v>
      </c>
      <c r="B4" s="104" t="s">
        <v>26</v>
      </c>
      <c r="C4" s="105" t="s">
        <v>27</v>
      </c>
      <c r="D4" s="104" t="s">
        <v>1</v>
      </c>
      <c r="E4" s="113">
        <v>1.4340277777777779</v>
      </c>
      <c r="F4" s="104" t="s">
        <v>28</v>
      </c>
      <c r="G4" s="106">
        <v>5</v>
      </c>
      <c r="H4" s="107" t="s">
        <v>30</v>
      </c>
    </row>
    <row r="5" spans="1:8" ht="19.8" customHeight="1" x14ac:dyDescent="0.3">
      <c r="A5" s="112">
        <v>45981</v>
      </c>
      <c r="B5" s="104" t="s">
        <v>41</v>
      </c>
      <c r="C5" s="105" t="s">
        <v>42</v>
      </c>
      <c r="D5" s="104" t="s">
        <v>1</v>
      </c>
      <c r="E5" s="113">
        <v>1.229166666666667</v>
      </c>
      <c r="F5" s="104" t="s">
        <v>43</v>
      </c>
      <c r="G5" s="106">
        <v>5</v>
      </c>
      <c r="H5" s="107" t="s">
        <v>44</v>
      </c>
    </row>
    <row r="6" spans="1:8" ht="19.8" customHeight="1" x14ac:dyDescent="0.3">
      <c r="A6" s="112">
        <v>45981</v>
      </c>
      <c r="B6" s="104" t="s">
        <v>26</v>
      </c>
      <c r="C6" s="105" t="s">
        <v>36</v>
      </c>
      <c r="D6" s="104" t="s">
        <v>1</v>
      </c>
      <c r="E6" s="113">
        <v>1.6076388888888891</v>
      </c>
      <c r="F6" s="104" t="s">
        <v>28</v>
      </c>
      <c r="G6" s="106">
        <v>9</v>
      </c>
      <c r="H6" s="107" t="s">
        <v>33</v>
      </c>
    </row>
    <row r="7" spans="1:8" ht="19.8" customHeight="1" x14ac:dyDescent="0.3">
      <c r="A7" s="112">
        <v>45981</v>
      </c>
      <c r="B7" s="104" t="s">
        <v>26</v>
      </c>
      <c r="C7" s="105" t="s">
        <v>27</v>
      </c>
      <c r="D7" s="104" t="s">
        <v>1</v>
      </c>
      <c r="E7" s="113">
        <v>1.4340277777777779</v>
      </c>
      <c r="F7" s="104" t="s">
        <v>31</v>
      </c>
      <c r="G7" s="106">
        <v>5</v>
      </c>
      <c r="H7" s="107" t="s">
        <v>33</v>
      </c>
    </row>
    <row r="8" spans="1:8" ht="19.8" customHeight="1" x14ac:dyDescent="0.3">
      <c r="A8" s="112">
        <v>45981</v>
      </c>
      <c r="B8" s="104" t="s">
        <v>41</v>
      </c>
      <c r="C8" s="105" t="s">
        <v>42</v>
      </c>
      <c r="D8" s="104" t="s">
        <v>1</v>
      </c>
      <c r="E8" s="113">
        <v>1.229166666666667</v>
      </c>
      <c r="F8" s="104" t="s">
        <v>45</v>
      </c>
      <c r="G8" s="106">
        <v>5</v>
      </c>
      <c r="H8" s="107" t="s">
        <v>35</v>
      </c>
    </row>
    <row r="9" spans="1:8" ht="19.8" customHeight="1" x14ac:dyDescent="0.3">
      <c r="A9" s="112">
        <v>45981</v>
      </c>
      <c r="B9" s="104" t="s">
        <v>26</v>
      </c>
      <c r="C9" s="105" t="s">
        <v>27</v>
      </c>
      <c r="D9" s="104" t="s">
        <v>1</v>
      </c>
      <c r="E9" s="113">
        <v>1.4340277777777779</v>
      </c>
      <c r="F9" s="104" t="s">
        <v>34</v>
      </c>
      <c r="G9" s="106">
        <v>5</v>
      </c>
      <c r="H9" s="107" t="s">
        <v>35</v>
      </c>
    </row>
    <row r="10" spans="1:8" ht="19.8" customHeight="1" x14ac:dyDescent="0.3">
      <c r="A10" s="112">
        <v>45981</v>
      </c>
      <c r="B10" s="104" t="s">
        <v>26</v>
      </c>
      <c r="C10" s="105" t="s">
        <v>36</v>
      </c>
      <c r="D10" s="104" t="s">
        <v>1</v>
      </c>
      <c r="E10" s="113">
        <v>1.6076388888888891</v>
      </c>
      <c r="F10" s="104" t="s">
        <v>31</v>
      </c>
      <c r="G10" s="106">
        <v>9</v>
      </c>
      <c r="H10" s="107" t="s">
        <v>39</v>
      </c>
    </row>
    <row r="11" spans="1:8" ht="19.8" customHeight="1" x14ac:dyDescent="0.3">
      <c r="A11" s="112">
        <v>45981</v>
      </c>
      <c r="B11" s="104" t="s">
        <v>48</v>
      </c>
      <c r="C11" s="105" t="s">
        <v>49</v>
      </c>
      <c r="D11" s="104" t="s">
        <v>1</v>
      </c>
      <c r="E11" s="113">
        <v>1.697916666666667</v>
      </c>
      <c r="F11" s="104" t="s">
        <v>50</v>
      </c>
      <c r="G11" s="106">
        <v>8</v>
      </c>
      <c r="H11" s="107" t="s">
        <v>52</v>
      </c>
    </row>
    <row r="12" spans="1:8" ht="19.8" customHeight="1" x14ac:dyDescent="0.3">
      <c r="A12" s="112">
        <v>45981</v>
      </c>
      <c r="B12" s="104" t="s">
        <v>48</v>
      </c>
      <c r="C12" s="105" t="s">
        <v>53</v>
      </c>
      <c r="D12" s="104" t="s">
        <v>1</v>
      </c>
      <c r="E12" s="113">
        <v>1.0659722222222221</v>
      </c>
      <c r="F12" s="104" t="s">
        <v>50</v>
      </c>
      <c r="G12" s="106">
        <v>9</v>
      </c>
      <c r="H12" s="107" t="s">
        <v>52</v>
      </c>
    </row>
    <row r="13" spans="1:8" ht="19.8" customHeight="1" x14ac:dyDescent="0.3">
      <c r="A13" s="114">
        <v>45981</v>
      </c>
      <c r="B13" s="115" t="s">
        <v>26</v>
      </c>
      <c r="C13" s="116" t="s">
        <v>36</v>
      </c>
      <c r="D13" s="115" t="s">
        <v>1</v>
      </c>
      <c r="E13" s="117">
        <v>1.6076388888888891</v>
      </c>
      <c r="F13" s="115" t="s">
        <v>34</v>
      </c>
      <c r="G13" s="118">
        <v>9</v>
      </c>
      <c r="H13" s="119" t="s">
        <v>40</v>
      </c>
    </row>
    <row r="14" spans="1:8" ht="19.8" customHeight="1" x14ac:dyDescent="0.3">
      <c r="A14" s="112">
        <v>45982</v>
      </c>
      <c r="B14" s="104" t="s">
        <v>48</v>
      </c>
      <c r="C14" s="105" t="s">
        <v>257</v>
      </c>
      <c r="D14" s="104" t="s">
        <v>246</v>
      </c>
      <c r="E14" s="113">
        <v>1.3576388888888891</v>
      </c>
      <c r="F14" s="104" t="s">
        <v>50</v>
      </c>
      <c r="G14" s="106">
        <v>7</v>
      </c>
      <c r="H14" s="107" t="s">
        <v>258</v>
      </c>
    </row>
    <row r="15" spans="1:8" ht="19.8" customHeight="1" x14ac:dyDescent="0.3">
      <c r="A15" s="175"/>
      <c r="B15" s="176"/>
      <c r="C15" s="176"/>
      <c r="D15" s="176"/>
      <c r="E15" s="176"/>
      <c r="F15" s="177" t="s">
        <v>297</v>
      </c>
      <c r="G15" s="176"/>
      <c r="H15" s="178"/>
    </row>
    <row r="16" spans="1:8" ht="19.8" customHeight="1" x14ac:dyDescent="0.3">
      <c r="A16" s="112">
        <v>45982</v>
      </c>
      <c r="B16" s="104" t="s">
        <v>41</v>
      </c>
      <c r="C16" s="105" t="s">
        <v>42</v>
      </c>
      <c r="D16" s="104" t="s">
        <v>1</v>
      </c>
      <c r="E16" s="113">
        <v>1.229166666666667</v>
      </c>
      <c r="F16" s="104" t="s">
        <v>43</v>
      </c>
      <c r="G16" s="106">
        <v>4</v>
      </c>
      <c r="H16" s="107" t="s">
        <v>44</v>
      </c>
    </row>
    <row r="17" spans="1:8" ht="19.8" customHeight="1" x14ac:dyDescent="0.3">
      <c r="A17" s="112">
        <v>45982</v>
      </c>
      <c r="B17" s="104" t="s">
        <v>26</v>
      </c>
      <c r="C17" s="105" t="s">
        <v>36</v>
      </c>
      <c r="D17" s="104" t="s">
        <v>1</v>
      </c>
      <c r="E17" s="113">
        <v>1.6076388888888891</v>
      </c>
      <c r="F17" s="104" t="s">
        <v>28</v>
      </c>
      <c r="G17" s="106">
        <v>1</v>
      </c>
      <c r="H17" s="107" t="s">
        <v>86</v>
      </c>
    </row>
    <row r="18" spans="1:8" ht="19.8" customHeight="1" x14ac:dyDescent="0.3">
      <c r="A18" s="112">
        <v>45982</v>
      </c>
      <c r="B18" s="104" t="s">
        <v>26</v>
      </c>
      <c r="C18" s="105" t="s">
        <v>36</v>
      </c>
      <c r="D18" s="104" t="s">
        <v>1</v>
      </c>
      <c r="E18" s="113">
        <v>1.6076388888888891</v>
      </c>
      <c r="F18" s="104" t="s">
        <v>31</v>
      </c>
      <c r="G18" s="106">
        <v>1</v>
      </c>
      <c r="H18" s="107" t="s">
        <v>88</v>
      </c>
    </row>
    <row r="19" spans="1:8" ht="19.8" customHeight="1" x14ac:dyDescent="0.3">
      <c r="A19" s="112">
        <v>45982</v>
      </c>
      <c r="B19" s="104" t="s">
        <v>41</v>
      </c>
      <c r="C19" s="105" t="s">
        <v>42</v>
      </c>
      <c r="D19" s="104" t="s">
        <v>1</v>
      </c>
      <c r="E19" s="113">
        <v>1.229166666666667</v>
      </c>
      <c r="F19" s="104" t="s">
        <v>45</v>
      </c>
      <c r="G19" s="106">
        <v>4</v>
      </c>
      <c r="H19" s="107" t="s">
        <v>35</v>
      </c>
    </row>
    <row r="20" spans="1:8" ht="19.8" customHeight="1" x14ac:dyDescent="0.3">
      <c r="A20" s="112">
        <v>45982</v>
      </c>
      <c r="B20" s="104" t="s">
        <v>48</v>
      </c>
      <c r="C20" s="105" t="s">
        <v>55</v>
      </c>
      <c r="D20" s="104" t="s">
        <v>1</v>
      </c>
      <c r="E20" s="113">
        <v>1.9409722222222221</v>
      </c>
      <c r="F20" s="104" t="s">
        <v>50</v>
      </c>
      <c r="G20" s="106">
        <v>9</v>
      </c>
      <c r="H20" s="107" t="s">
        <v>52</v>
      </c>
    </row>
    <row r="21" spans="1:8" ht="19.8" customHeight="1" x14ac:dyDescent="0.3">
      <c r="A21" s="112">
        <v>45982</v>
      </c>
      <c r="B21" s="104" t="s">
        <v>48</v>
      </c>
      <c r="C21" s="105" t="s">
        <v>53</v>
      </c>
      <c r="D21" s="104" t="s">
        <v>1</v>
      </c>
      <c r="E21" s="113">
        <v>1.0659722222222221</v>
      </c>
      <c r="F21" s="104" t="s">
        <v>50</v>
      </c>
      <c r="G21" s="106">
        <v>9</v>
      </c>
      <c r="H21" s="107" t="s">
        <v>52</v>
      </c>
    </row>
    <row r="22" spans="1:8" ht="19.8" customHeight="1" x14ac:dyDescent="0.3">
      <c r="A22" s="112">
        <v>45982</v>
      </c>
      <c r="B22" s="104" t="s">
        <v>48</v>
      </c>
      <c r="C22" s="105" t="s">
        <v>57</v>
      </c>
      <c r="D22" s="104" t="s">
        <v>1</v>
      </c>
      <c r="E22" s="113">
        <v>1.288194444444444</v>
      </c>
      <c r="F22" s="104" t="s">
        <v>50</v>
      </c>
      <c r="G22" s="106">
        <v>9</v>
      </c>
      <c r="H22" s="107" t="s">
        <v>52</v>
      </c>
    </row>
    <row r="23" spans="1:8" ht="19.8" customHeight="1" x14ac:dyDescent="0.3">
      <c r="A23" s="112">
        <v>45982</v>
      </c>
      <c r="B23" s="104" t="s">
        <v>26</v>
      </c>
      <c r="C23" s="105" t="s">
        <v>36</v>
      </c>
      <c r="D23" s="104" t="s">
        <v>1</v>
      </c>
      <c r="E23" s="113">
        <v>1.6076388888888891</v>
      </c>
      <c r="F23" s="104" t="s">
        <v>34</v>
      </c>
      <c r="G23" s="106">
        <v>1</v>
      </c>
      <c r="H23" s="107" t="s">
        <v>89</v>
      </c>
    </row>
    <row r="24" spans="1:8" ht="19.8" customHeight="1" x14ac:dyDescent="0.3">
      <c r="A24" s="112">
        <v>45982</v>
      </c>
      <c r="B24" s="104" t="s">
        <v>41</v>
      </c>
      <c r="C24" s="105" t="s">
        <v>42</v>
      </c>
      <c r="D24" s="104" t="s">
        <v>1</v>
      </c>
      <c r="E24" s="113">
        <v>1.229166666666667</v>
      </c>
      <c r="F24" s="104" t="s">
        <v>46</v>
      </c>
      <c r="G24" s="106">
        <v>4</v>
      </c>
      <c r="H24" s="107" t="s">
        <v>47</v>
      </c>
    </row>
    <row r="25" spans="1:8" ht="19.8" customHeight="1" x14ac:dyDescent="0.3">
      <c r="A25" s="114">
        <v>45982</v>
      </c>
      <c r="B25" s="115" t="s">
        <v>60</v>
      </c>
      <c r="C25" s="116" t="s">
        <v>74</v>
      </c>
      <c r="D25" s="115" t="s">
        <v>1</v>
      </c>
      <c r="E25" s="117">
        <v>1.895833333333333</v>
      </c>
      <c r="F25" s="115" t="s">
        <v>62</v>
      </c>
      <c r="G25" s="118">
        <v>9</v>
      </c>
      <c r="H25" s="119" t="s">
        <v>64</v>
      </c>
    </row>
    <row r="26" spans="1:8" ht="19.8" customHeight="1" x14ac:dyDescent="0.3">
      <c r="A26" s="175"/>
      <c r="B26" s="176"/>
      <c r="C26" s="176"/>
      <c r="D26" s="176"/>
      <c r="E26" s="176"/>
      <c r="F26" s="177" t="s">
        <v>297</v>
      </c>
      <c r="G26" s="176"/>
      <c r="H26" s="178"/>
    </row>
    <row r="27" spans="1:8" ht="19.8" customHeight="1" x14ac:dyDescent="0.3">
      <c r="A27" s="112">
        <v>45983</v>
      </c>
      <c r="B27" s="104" t="s">
        <v>41</v>
      </c>
      <c r="C27" s="105" t="s">
        <v>42</v>
      </c>
      <c r="D27" s="104" t="s">
        <v>1</v>
      </c>
      <c r="E27" s="113">
        <v>1.229166666666667</v>
      </c>
      <c r="F27" s="104" t="s">
        <v>43</v>
      </c>
      <c r="G27" s="106">
        <v>19</v>
      </c>
      <c r="H27" s="107" t="s">
        <v>93</v>
      </c>
    </row>
    <row r="28" spans="1:8" ht="19.8" customHeight="1" x14ac:dyDescent="0.3">
      <c r="A28" s="112">
        <v>45983</v>
      </c>
      <c r="B28" s="104" t="s">
        <v>26</v>
      </c>
      <c r="C28" s="105" t="s">
        <v>36</v>
      </c>
      <c r="D28" s="104" t="s">
        <v>1</v>
      </c>
      <c r="E28" s="113">
        <v>1.6076388888888891</v>
      </c>
      <c r="F28" s="104" t="s">
        <v>28</v>
      </c>
      <c r="G28" s="106">
        <v>6</v>
      </c>
      <c r="H28" s="107" t="s">
        <v>86</v>
      </c>
    </row>
    <row r="29" spans="1:8" ht="19.8" customHeight="1" x14ac:dyDescent="0.3">
      <c r="A29" s="112">
        <v>45983</v>
      </c>
      <c r="B29" s="104" t="s">
        <v>26</v>
      </c>
      <c r="C29" s="105" t="s">
        <v>27</v>
      </c>
      <c r="D29" s="104" t="s">
        <v>1</v>
      </c>
      <c r="E29" s="113">
        <v>1.4340277777777779</v>
      </c>
      <c r="F29" s="104" t="s">
        <v>28</v>
      </c>
      <c r="G29" s="106">
        <v>3</v>
      </c>
      <c r="H29" s="107" t="s">
        <v>86</v>
      </c>
    </row>
    <row r="30" spans="1:8" ht="19.8" customHeight="1" x14ac:dyDescent="0.3">
      <c r="A30" s="112">
        <v>45983</v>
      </c>
      <c r="B30" s="104" t="s">
        <v>48</v>
      </c>
      <c r="C30" s="105" t="s">
        <v>90</v>
      </c>
      <c r="D30" s="104" t="s">
        <v>1</v>
      </c>
      <c r="E30" s="113">
        <v>1.336805555555556</v>
      </c>
      <c r="F30" s="104" t="s">
        <v>50</v>
      </c>
      <c r="G30" s="106">
        <v>9</v>
      </c>
      <c r="H30" s="107" t="s">
        <v>99</v>
      </c>
    </row>
    <row r="31" spans="1:8" ht="19.8" customHeight="1" x14ac:dyDescent="0.3">
      <c r="A31" s="112">
        <v>45983</v>
      </c>
      <c r="B31" s="104" t="s">
        <v>48</v>
      </c>
      <c r="C31" s="105" t="s">
        <v>55</v>
      </c>
      <c r="D31" s="104" t="s">
        <v>1</v>
      </c>
      <c r="E31" s="113">
        <v>1.947916666666667</v>
      </c>
      <c r="F31" s="104" t="s">
        <v>50</v>
      </c>
      <c r="G31" s="106">
        <v>9</v>
      </c>
      <c r="H31" s="107" t="s">
        <v>99</v>
      </c>
    </row>
    <row r="32" spans="1:8" ht="19.8" customHeight="1" x14ac:dyDescent="0.3">
      <c r="A32" s="112">
        <v>45983</v>
      </c>
      <c r="B32" s="104" t="s">
        <v>48</v>
      </c>
      <c r="C32" s="105" t="s">
        <v>53</v>
      </c>
      <c r="D32" s="104" t="s">
        <v>1</v>
      </c>
      <c r="E32" s="113">
        <v>1.0659722222222221</v>
      </c>
      <c r="F32" s="104" t="s">
        <v>50</v>
      </c>
      <c r="G32" s="106">
        <v>9</v>
      </c>
      <c r="H32" s="107" t="s">
        <v>99</v>
      </c>
    </row>
    <row r="33" spans="1:8" ht="19.8" customHeight="1" x14ac:dyDescent="0.3">
      <c r="A33" s="112">
        <v>45983</v>
      </c>
      <c r="B33" s="104" t="s">
        <v>48</v>
      </c>
      <c r="C33" s="105" t="s">
        <v>57</v>
      </c>
      <c r="D33" s="104" t="s">
        <v>1</v>
      </c>
      <c r="E33" s="113">
        <v>1.288194444444444</v>
      </c>
      <c r="F33" s="104" t="s">
        <v>50</v>
      </c>
      <c r="G33" s="106">
        <v>9</v>
      </c>
      <c r="H33" s="107" t="s">
        <v>99</v>
      </c>
    </row>
    <row r="34" spans="1:8" ht="19.8" customHeight="1" x14ac:dyDescent="0.3">
      <c r="A34" s="112">
        <v>45983</v>
      </c>
      <c r="B34" s="104" t="s">
        <v>41</v>
      </c>
      <c r="C34" s="105" t="s">
        <v>42</v>
      </c>
      <c r="D34" s="104" t="s">
        <v>1</v>
      </c>
      <c r="E34" s="113">
        <v>1.229166666666667</v>
      </c>
      <c r="F34" s="104" t="s">
        <v>45</v>
      </c>
      <c r="G34" s="106">
        <v>19</v>
      </c>
      <c r="H34" s="107" t="s">
        <v>95</v>
      </c>
    </row>
    <row r="35" spans="1:8" ht="19.8" customHeight="1" x14ac:dyDescent="0.3">
      <c r="A35" s="112">
        <v>45983</v>
      </c>
      <c r="B35" s="104" t="s">
        <v>26</v>
      </c>
      <c r="C35" s="105" t="s">
        <v>36</v>
      </c>
      <c r="D35" s="104" t="s">
        <v>1</v>
      </c>
      <c r="E35" s="113">
        <v>1.6076388888888891</v>
      </c>
      <c r="F35" s="104" t="s">
        <v>31</v>
      </c>
      <c r="G35" s="106">
        <v>6</v>
      </c>
      <c r="H35" s="107" t="s">
        <v>88</v>
      </c>
    </row>
    <row r="36" spans="1:8" ht="19.8" customHeight="1" x14ac:dyDescent="0.3">
      <c r="A36" s="114">
        <v>45983</v>
      </c>
      <c r="B36" s="115" t="s">
        <v>26</v>
      </c>
      <c r="C36" s="116" t="s">
        <v>27</v>
      </c>
      <c r="D36" s="115" t="s">
        <v>1</v>
      </c>
      <c r="E36" s="117">
        <v>1.4340277777777779</v>
      </c>
      <c r="F36" s="115" t="s">
        <v>31</v>
      </c>
      <c r="G36" s="118">
        <v>3</v>
      </c>
      <c r="H36" s="119" t="s">
        <v>88</v>
      </c>
    </row>
    <row r="37" spans="1:8" ht="19.8" customHeight="1" x14ac:dyDescent="0.3">
      <c r="A37" s="120">
        <v>45984</v>
      </c>
      <c r="B37" s="121" t="s">
        <v>77</v>
      </c>
      <c r="C37" s="122" t="s">
        <v>247</v>
      </c>
      <c r="D37" s="121" t="s">
        <v>246</v>
      </c>
      <c r="E37" s="123">
        <v>1.2361111111111109</v>
      </c>
      <c r="F37" s="121"/>
      <c r="G37" s="121"/>
      <c r="H37" s="125" t="s">
        <v>80</v>
      </c>
    </row>
    <row r="38" spans="1:8" ht="19.8" customHeight="1" x14ac:dyDescent="0.3">
      <c r="A38" s="175"/>
      <c r="B38" s="176"/>
      <c r="C38" s="176"/>
      <c r="D38" s="176"/>
      <c r="E38" s="176"/>
      <c r="F38" s="177" t="s">
        <v>297</v>
      </c>
      <c r="G38" s="176"/>
      <c r="H38" s="178"/>
    </row>
    <row r="39" spans="1:8" ht="19.8" customHeight="1" x14ac:dyDescent="0.3">
      <c r="A39" s="112">
        <v>45984</v>
      </c>
      <c r="B39" s="104" t="s">
        <v>41</v>
      </c>
      <c r="C39" s="105" t="s">
        <v>42</v>
      </c>
      <c r="D39" s="104" t="s">
        <v>1</v>
      </c>
      <c r="E39" s="113">
        <v>1.229166666666667</v>
      </c>
      <c r="F39" s="104" t="s">
        <v>43</v>
      </c>
      <c r="G39" s="106">
        <v>10</v>
      </c>
      <c r="H39" s="107" t="s">
        <v>93</v>
      </c>
    </row>
    <row r="40" spans="1:8" ht="19.8" customHeight="1" x14ac:dyDescent="0.3">
      <c r="A40" s="112">
        <v>45984</v>
      </c>
      <c r="B40" s="104" t="s">
        <v>48</v>
      </c>
      <c r="C40" s="105" t="s">
        <v>53</v>
      </c>
      <c r="D40" s="104" t="s">
        <v>1</v>
      </c>
      <c r="E40" s="113">
        <v>1.0659722222222221</v>
      </c>
      <c r="F40" s="104" t="s">
        <v>107</v>
      </c>
      <c r="G40" s="106">
        <v>9</v>
      </c>
      <c r="H40" s="107" t="s">
        <v>108</v>
      </c>
    </row>
    <row r="41" spans="1:8" ht="19.8" customHeight="1" x14ac:dyDescent="0.3">
      <c r="A41" s="112">
        <v>45984</v>
      </c>
      <c r="B41" s="104" t="s">
        <v>41</v>
      </c>
      <c r="C41" s="105" t="s">
        <v>42</v>
      </c>
      <c r="D41" s="104" t="s">
        <v>1</v>
      </c>
      <c r="E41" s="113">
        <v>1.229166666666667</v>
      </c>
      <c r="F41" s="104" t="s">
        <v>45</v>
      </c>
      <c r="G41" s="106">
        <v>10</v>
      </c>
      <c r="H41" s="107" t="s">
        <v>95</v>
      </c>
    </row>
    <row r="42" spans="1:8" ht="19.8" customHeight="1" x14ac:dyDescent="0.3">
      <c r="A42" s="112">
        <v>45984</v>
      </c>
      <c r="B42" s="104" t="s">
        <v>48</v>
      </c>
      <c r="C42" s="105" t="s">
        <v>55</v>
      </c>
      <c r="D42" s="104" t="s">
        <v>1</v>
      </c>
      <c r="E42" s="113">
        <v>1.947916666666667</v>
      </c>
      <c r="F42" s="104" t="s">
        <v>50</v>
      </c>
      <c r="G42" s="106">
        <v>9</v>
      </c>
      <c r="H42" s="107" t="s">
        <v>52</v>
      </c>
    </row>
    <row r="43" spans="1:8" ht="19.8" customHeight="1" x14ac:dyDescent="0.3">
      <c r="A43" s="112">
        <v>45984</v>
      </c>
      <c r="B43" s="104" t="s">
        <v>41</v>
      </c>
      <c r="C43" s="105" t="s">
        <v>42</v>
      </c>
      <c r="D43" s="104" t="s">
        <v>1</v>
      </c>
      <c r="E43" s="113">
        <v>1.229166666666667</v>
      </c>
      <c r="F43" s="104" t="s">
        <v>46</v>
      </c>
      <c r="G43" s="106">
        <v>10</v>
      </c>
      <c r="H43" s="107" t="s">
        <v>47</v>
      </c>
    </row>
    <row r="44" spans="1:8" ht="19.8" customHeight="1" x14ac:dyDescent="0.3">
      <c r="A44" s="112">
        <v>45984</v>
      </c>
      <c r="B44" s="104" t="s">
        <v>60</v>
      </c>
      <c r="C44" s="105" t="s">
        <v>74</v>
      </c>
      <c r="D44" s="104" t="s">
        <v>1</v>
      </c>
      <c r="E44" s="113">
        <v>1.895833333333333</v>
      </c>
      <c r="F44" s="104" t="s">
        <v>62</v>
      </c>
      <c r="G44" s="106">
        <v>9</v>
      </c>
      <c r="H44" s="107" t="s">
        <v>64</v>
      </c>
    </row>
    <row r="45" spans="1:8" ht="19.8" customHeight="1" x14ac:dyDescent="0.3">
      <c r="A45" s="112">
        <v>45984</v>
      </c>
      <c r="B45" s="104" t="s">
        <v>60</v>
      </c>
      <c r="C45" s="105" t="s">
        <v>61</v>
      </c>
      <c r="D45" s="104" t="s">
        <v>1</v>
      </c>
      <c r="E45" s="113">
        <v>1.1840277777777779</v>
      </c>
      <c r="F45" s="104" t="s">
        <v>62</v>
      </c>
      <c r="G45" s="106">
        <v>9</v>
      </c>
      <c r="H45" s="107" t="s">
        <v>64</v>
      </c>
    </row>
    <row r="46" spans="1:8" ht="19.8" customHeight="1" x14ac:dyDescent="0.3">
      <c r="A46" s="112">
        <v>45984</v>
      </c>
      <c r="B46" s="104" t="s">
        <v>48</v>
      </c>
      <c r="C46" s="105" t="s">
        <v>49</v>
      </c>
      <c r="D46" s="104" t="s">
        <v>1</v>
      </c>
      <c r="E46" s="113">
        <v>1.6875</v>
      </c>
      <c r="F46" s="104" t="s">
        <v>50</v>
      </c>
      <c r="G46" s="106">
        <v>9</v>
      </c>
      <c r="H46" s="107" t="s">
        <v>56</v>
      </c>
    </row>
    <row r="47" spans="1:8" ht="19.8" customHeight="1" x14ac:dyDescent="0.3">
      <c r="A47" s="112">
        <v>45984</v>
      </c>
      <c r="B47" s="104" t="s">
        <v>60</v>
      </c>
      <c r="C47" s="105" t="s">
        <v>74</v>
      </c>
      <c r="D47" s="104" t="s">
        <v>1</v>
      </c>
      <c r="E47" s="113">
        <v>1.895833333333333</v>
      </c>
      <c r="F47" s="104" t="s">
        <v>65</v>
      </c>
      <c r="G47" s="106">
        <v>9</v>
      </c>
      <c r="H47" s="107" t="s">
        <v>67</v>
      </c>
    </row>
    <row r="48" spans="1:8" ht="19.8" customHeight="1" x14ac:dyDescent="0.3">
      <c r="A48" s="114">
        <v>45984</v>
      </c>
      <c r="B48" s="115" t="s">
        <v>60</v>
      </c>
      <c r="C48" s="116" t="s">
        <v>61</v>
      </c>
      <c r="D48" s="115" t="s">
        <v>1</v>
      </c>
      <c r="E48" s="117">
        <v>1.1840277777777779</v>
      </c>
      <c r="F48" s="115" t="s">
        <v>65</v>
      </c>
      <c r="G48" s="118">
        <v>9</v>
      </c>
      <c r="H48" s="119" t="s">
        <v>67</v>
      </c>
    </row>
    <row r="49" spans="1:8" ht="19.8" customHeight="1" x14ac:dyDescent="0.3">
      <c r="A49" s="175"/>
      <c r="B49" s="176"/>
      <c r="C49" s="176"/>
      <c r="D49" s="176"/>
      <c r="E49" s="176"/>
      <c r="F49" s="177" t="s">
        <v>297</v>
      </c>
      <c r="G49" s="176"/>
      <c r="H49" s="178"/>
    </row>
    <row r="50" spans="1:8" ht="19.8" customHeight="1" x14ac:dyDescent="0.3">
      <c r="A50" s="112">
        <v>45985</v>
      </c>
      <c r="B50" s="104" t="s">
        <v>41</v>
      </c>
      <c r="C50" s="105" t="s">
        <v>42</v>
      </c>
      <c r="D50" s="104" t="s">
        <v>1</v>
      </c>
      <c r="E50" s="113">
        <v>1.229166666666667</v>
      </c>
      <c r="F50" s="104" t="s">
        <v>43</v>
      </c>
      <c r="G50" s="106">
        <v>7</v>
      </c>
      <c r="H50" s="107" t="s">
        <v>93</v>
      </c>
    </row>
    <row r="51" spans="1:8" ht="19.8" customHeight="1" x14ac:dyDescent="0.3">
      <c r="A51" s="112">
        <v>45985</v>
      </c>
      <c r="B51" s="104" t="s">
        <v>26</v>
      </c>
      <c r="C51" s="105" t="s">
        <v>36</v>
      </c>
      <c r="D51" s="104" t="s">
        <v>1</v>
      </c>
      <c r="E51" s="113">
        <v>1.6076388888888891</v>
      </c>
      <c r="F51" s="104" t="s">
        <v>28</v>
      </c>
      <c r="G51" s="106">
        <v>7</v>
      </c>
      <c r="H51" s="107" t="s">
        <v>33</v>
      </c>
    </row>
    <row r="52" spans="1:8" ht="19.8" customHeight="1" x14ac:dyDescent="0.3">
      <c r="A52" s="112">
        <v>45985</v>
      </c>
      <c r="B52" s="104" t="s">
        <v>41</v>
      </c>
      <c r="C52" s="105" t="s">
        <v>42</v>
      </c>
      <c r="D52" s="104" t="s">
        <v>1</v>
      </c>
      <c r="E52" s="113">
        <v>1.229166666666667</v>
      </c>
      <c r="F52" s="104" t="s">
        <v>45</v>
      </c>
      <c r="G52" s="106">
        <v>7</v>
      </c>
      <c r="H52" s="107" t="s">
        <v>95</v>
      </c>
    </row>
    <row r="53" spans="1:8" ht="19.8" customHeight="1" x14ac:dyDescent="0.3">
      <c r="A53" s="112">
        <v>45985</v>
      </c>
      <c r="B53" s="104" t="s">
        <v>26</v>
      </c>
      <c r="C53" s="105" t="s">
        <v>27</v>
      </c>
      <c r="D53" s="104" t="s">
        <v>1</v>
      </c>
      <c r="E53" s="113">
        <v>1.4340277777777779</v>
      </c>
      <c r="F53" s="104" t="s">
        <v>28</v>
      </c>
      <c r="G53" s="106">
        <v>5</v>
      </c>
      <c r="H53" s="107" t="s">
        <v>122</v>
      </c>
    </row>
    <row r="54" spans="1:8" ht="19.8" customHeight="1" x14ac:dyDescent="0.3">
      <c r="A54" s="112">
        <v>45985</v>
      </c>
      <c r="B54" s="104" t="s">
        <v>26</v>
      </c>
      <c r="C54" s="105" t="s">
        <v>36</v>
      </c>
      <c r="D54" s="104" t="s">
        <v>1</v>
      </c>
      <c r="E54" s="113">
        <v>1.6076388888888891</v>
      </c>
      <c r="F54" s="104" t="s">
        <v>31</v>
      </c>
      <c r="G54" s="106">
        <v>7</v>
      </c>
      <c r="H54" s="107" t="s">
        <v>39</v>
      </c>
    </row>
    <row r="55" spans="1:8" ht="19.8" customHeight="1" x14ac:dyDescent="0.3">
      <c r="A55" s="112">
        <v>45985</v>
      </c>
      <c r="B55" s="104" t="s">
        <v>48</v>
      </c>
      <c r="C55" s="105" t="s">
        <v>49</v>
      </c>
      <c r="D55" s="104" t="s">
        <v>1</v>
      </c>
      <c r="E55" s="113">
        <v>1.697916666666667</v>
      </c>
      <c r="F55" s="104" t="s">
        <v>50</v>
      </c>
      <c r="G55" s="106">
        <v>9</v>
      </c>
      <c r="H55" s="107" t="s">
        <v>52</v>
      </c>
    </row>
    <row r="56" spans="1:8" ht="19.8" customHeight="1" x14ac:dyDescent="0.3">
      <c r="A56" s="112">
        <v>45985</v>
      </c>
      <c r="B56" s="104" t="s">
        <v>48</v>
      </c>
      <c r="C56" s="105" t="s">
        <v>53</v>
      </c>
      <c r="D56" s="104" t="s">
        <v>1</v>
      </c>
      <c r="E56" s="113">
        <v>1.0659722222222221</v>
      </c>
      <c r="F56" s="104" t="s">
        <v>50</v>
      </c>
      <c r="G56" s="106">
        <v>9</v>
      </c>
      <c r="H56" s="107" t="s">
        <v>52</v>
      </c>
    </row>
    <row r="57" spans="1:8" ht="19.8" customHeight="1" x14ac:dyDescent="0.3">
      <c r="A57" s="112">
        <v>45985</v>
      </c>
      <c r="B57" s="104" t="s">
        <v>26</v>
      </c>
      <c r="C57" s="105" t="s">
        <v>27</v>
      </c>
      <c r="D57" s="104" t="s">
        <v>1</v>
      </c>
      <c r="E57" s="113">
        <v>1.4340277777777779</v>
      </c>
      <c r="F57" s="104" t="s">
        <v>31</v>
      </c>
      <c r="G57" s="106">
        <v>5</v>
      </c>
      <c r="H57" s="107" t="s">
        <v>123</v>
      </c>
    </row>
    <row r="58" spans="1:8" ht="19.8" customHeight="1" x14ac:dyDescent="0.3">
      <c r="A58" s="112">
        <v>45985</v>
      </c>
      <c r="B58" s="104" t="s">
        <v>26</v>
      </c>
      <c r="C58" s="105" t="s">
        <v>36</v>
      </c>
      <c r="D58" s="104" t="s">
        <v>1</v>
      </c>
      <c r="E58" s="113">
        <v>1.6076388888888891</v>
      </c>
      <c r="F58" s="104" t="s">
        <v>34</v>
      </c>
      <c r="G58" s="106">
        <v>7</v>
      </c>
      <c r="H58" s="107" t="s">
        <v>40</v>
      </c>
    </row>
    <row r="59" spans="1:8" ht="19.8" customHeight="1" x14ac:dyDescent="0.3">
      <c r="A59" s="114">
        <v>45985</v>
      </c>
      <c r="B59" s="115" t="s">
        <v>60</v>
      </c>
      <c r="C59" s="116" t="s">
        <v>61</v>
      </c>
      <c r="D59" s="115" t="s">
        <v>1</v>
      </c>
      <c r="E59" s="117">
        <v>1.1840277777777779</v>
      </c>
      <c r="F59" s="115" t="s">
        <v>62</v>
      </c>
      <c r="G59" s="118">
        <v>9</v>
      </c>
      <c r="H59" s="119" t="s">
        <v>64</v>
      </c>
    </row>
    <row r="60" spans="1:8" ht="19.8" customHeight="1" x14ac:dyDescent="0.3">
      <c r="A60" s="120">
        <v>45986</v>
      </c>
      <c r="B60" s="121" t="s">
        <v>77</v>
      </c>
      <c r="C60" s="122" t="s">
        <v>247</v>
      </c>
      <c r="D60" s="121" t="s">
        <v>246</v>
      </c>
      <c r="E60" s="123">
        <v>1.1597222222222221</v>
      </c>
      <c r="F60" s="121"/>
      <c r="G60" s="121"/>
      <c r="H60" s="125" t="s">
        <v>80</v>
      </c>
    </row>
    <row r="61" spans="1:8" ht="19.8" customHeight="1" x14ac:dyDescent="0.3">
      <c r="A61" s="175"/>
      <c r="B61" s="176"/>
      <c r="C61" s="176"/>
      <c r="D61" s="176"/>
      <c r="E61" s="176"/>
      <c r="F61" s="177" t="s">
        <v>297</v>
      </c>
      <c r="G61" s="176"/>
      <c r="H61" s="178"/>
    </row>
    <row r="62" spans="1:8" ht="19.8" customHeight="1" x14ac:dyDescent="0.3">
      <c r="A62" s="112">
        <v>45986</v>
      </c>
      <c r="B62" s="104" t="s">
        <v>41</v>
      </c>
      <c r="C62" s="105" t="s">
        <v>42</v>
      </c>
      <c r="D62" s="104" t="s">
        <v>1</v>
      </c>
      <c r="E62" s="113">
        <v>1.229166666666667</v>
      </c>
      <c r="F62" s="104" t="s">
        <v>43</v>
      </c>
      <c r="G62" s="106">
        <v>12</v>
      </c>
      <c r="H62" s="107" t="s">
        <v>33</v>
      </c>
    </row>
    <row r="63" spans="1:8" ht="19.8" customHeight="1" x14ac:dyDescent="0.3">
      <c r="A63" s="112">
        <v>45986</v>
      </c>
      <c r="B63" s="104" t="s">
        <v>26</v>
      </c>
      <c r="C63" s="105" t="s">
        <v>36</v>
      </c>
      <c r="D63" s="104" t="s">
        <v>1</v>
      </c>
      <c r="E63" s="113">
        <v>1.6076388888888891</v>
      </c>
      <c r="F63" s="104" t="s">
        <v>28</v>
      </c>
      <c r="G63" s="106">
        <v>8</v>
      </c>
      <c r="H63" s="107" t="s">
        <v>122</v>
      </c>
    </row>
    <row r="64" spans="1:8" ht="19.8" customHeight="1" x14ac:dyDescent="0.3">
      <c r="A64" s="112">
        <v>45986</v>
      </c>
      <c r="B64" s="104" t="s">
        <v>41</v>
      </c>
      <c r="C64" s="105" t="s">
        <v>42</v>
      </c>
      <c r="D64" s="104" t="s">
        <v>1</v>
      </c>
      <c r="E64" s="113">
        <v>1.229166666666667</v>
      </c>
      <c r="F64" s="104" t="s">
        <v>45</v>
      </c>
      <c r="G64" s="106">
        <v>12</v>
      </c>
      <c r="H64" s="107" t="s">
        <v>132</v>
      </c>
    </row>
    <row r="65" spans="1:8" ht="19.8" customHeight="1" x14ac:dyDescent="0.3">
      <c r="A65" s="112">
        <v>45986</v>
      </c>
      <c r="B65" s="104" t="s">
        <v>26</v>
      </c>
      <c r="C65" s="105" t="s">
        <v>36</v>
      </c>
      <c r="D65" s="104" t="s">
        <v>1</v>
      </c>
      <c r="E65" s="113">
        <v>1.6076388888888891</v>
      </c>
      <c r="F65" s="104" t="s">
        <v>31</v>
      </c>
      <c r="G65" s="106">
        <v>8</v>
      </c>
      <c r="H65" s="107" t="s">
        <v>123</v>
      </c>
    </row>
    <row r="66" spans="1:8" ht="19.8" customHeight="1" x14ac:dyDescent="0.3">
      <c r="A66" s="112">
        <v>45986</v>
      </c>
      <c r="B66" s="104" t="s">
        <v>41</v>
      </c>
      <c r="C66" s="105" t="s">
        <v>42</v>
      </c>
      <c r="D66" s="104" t="s">
        <v>1</v>
      </c>
      <c r="E66" s="113">
        <v>1.229166666666667</v>
      </c>
      <c r="F66" s="104" t="s">
        <v>46</v>
      </c>
      <c r="G66" s="106">
        <v>12</v>
      </c>
      <c r="H66" s="107" t="s">
        <v>47</v>
      </c>
    </row>
    <row r="67" spans="1:8" ht="19.8" customHeight="1" x14ac:dyDescent="0.3">
      <c r="A67" s="112">
        <v>45986</v>
      </c>
      <c r="B67" s="104" t="s">
        <v>60</v>
      </c>
      <c r="C67" s="105" t="s">
        <v>61</v>
      </c>
      <c r="D67" s="104" t="s">
        <v>1</v>
      </c>
      <c r="E67" s="113">
        <v>1.1840277777777779</v>
      </c>
      <c r="F67" s="104" t="s">
        <v>62</v>
      </c>
      <c r="G67" s="106">
        <v>9</v>
      </c>
      <c r="H67" s="107" t="s">
        <v>64</v>
      </c>
    </row>
    <row r="68" spans="1:8" ht="19.8" customHeight="1" x14ac:dyDescent="0.3">
      <c r="A68" s="112">
        <v>45986</v>
      </c>
      <c r="B68" s="104" t="s">
        <v>26</v>
      </c>
      <c r="C68" s="105" t="s">
        <v>36</v>
      </c>
      <c r="D68" s="104" t="s">
        <v>1</v>
      </c>
      <c r="E68" s="113">
        <v>1.6076388888888891</v>
      </c>
      <c r="F68" s="104" t="s">
        <v>34</v>
      </c>
      <c r="G68" s="106">
        <v>8</v>
      </c>
      <c r="H68" s="107" t="s">
        <v>124</v>
      </c>
    </row>
    <row r="69" spans="1:8" ht="19.8" customHeight="1" x14ac:dyDescent="0.3">
      <c r="A69" s="112">
        <v>45986</v>
      </c>
      <c r="B69" s="104" t="s">
        <v>60</v>
      </c>
      <c r="C69" s="105" t="s">
        <v>61</v>
      </c>
      <c r="D69" s="104" t="s">
        <v>1</v>
      </c>
      <c r="E69" s="113">
        <v>1.1840277777777779</v>
      </c>
      <c r="F69" s="104" t="s">
        <v>65</v>
      </c>
      <c r="G69" s="106">
        <v>9</v>
      </c>
      <c r="H69" s="107" t="s">
        <v>67</v>
      </c>
    </row>
    <row r="70" spans="1:8" ht="19.8" customHeight="1" x14ac:dyDescent="0.3">
      <c r="A70" s="112">
        <v>45986</v>
      </c>
      <c r="B70" s="104" t="s">
        <v>48</v>
      </c>
      <c r="C70" s="105" t="s">
        <v>90</v>
      </c>
      <c r="D70" s="104" t="s">
        <v>1</v>
      </c>
      <c r="E70" s="113">
        <v>1.336805555555556</v>
      </c>
      <c r="F70" s="104" t="s">
        <v>50</v>
      </c>
      <c r="G70" s="106">
        <v>9</v>
      </c>
      <c r="H70" s="107" t="s">
        <v>91</v>
      </c>
    </row>
    <row r="71" spans="1:8" ht="19.8" customHeight="1" x14ac:dyDescent="0.3">
      <c r="A71" s="114">
        <v>45986</v>
      </c>
      <c r="B71" s="115" t="s">
        <v>48</v>
      </c>
      <c r="C71" s="116" t="s">
        <v>49</v>
      </c>
      <c r="D71" s="115" t="s">
        <v>1</v>
      </c>
      <c r="E71" s="117">
        <v>1.697916666666667</v>
      </c>
      <c r="F71" s="115" t="s">
        <v>50</v>
      </c>
      <c r="G71" s="118">
        <v>9</v>
      </c>
      <c r="H71" s="119" t="s">
        <v>91</v>
      </c>
    </row>
    <row r="72" spans="1:8" ht="19.8" customHeight="1" x14ac:dyDescent="0.3">
      <c r="A72" s="120">
        <v>45987</v>
      </c>
      <c r="B72" s="121" t="s">
        <v>77</v>
      </c>
      <c r="C72" s="122" t="s">
        <v>247</v>
      </c>
      <c r="D72" s="121" t="s">
        <v>246</v>
      </c>
      <c r="E72" s="123">
        <v>1.7777777777777779</v>
      </c>
      <c r="F72" s="121"/>
      <c r="G72" s="121"/>
      <c r="H72" s="125" t="s">
        <v>80</v>
      </c>
    </row>
    <row r="73" spans="1:8" ht="19.8" customHeight="1" x14ac:dyDescent="0.3">
      <c r="A73" s="175"/>
      <c r="B73" s="176"/>
      <c r="C73" s="176"/>
      <c r="D73" s="176"/>
      <c r="E73" s="176"/>
      <c r="F73" s="177" t="s">
        <v>297</v>
      </c>
      <c r="G73" s="176"/>
      <c r="H73" s="178"/>
    </row>
    <row r="74" spans="1:8" ht="19.8" customHeight="1" x14ac:dyDescent="0.3">
      <c r="A74" s="112">
        <v>45987</v>
      </c>
      <c r="B74" s="104" t="s">
        <v>41</v>
      </c>
      <c r="C74" s="105" t="s">
        <v>42</v>
      </c>
      <c r="D74" s="104" t="s">
        <v>1</v>
      </c>
      <c r="E74" s="113">
        <v>1.229166666666667</v>
      </c>
      <c r="F74" s="104" t="s">
        <v>43</v>
      </c>
      <c r="G74" s="106">
        <v>9</v>
      </c>
      <c r="H74" s="107" t="s">
        <v>33</v>
      </c>
    </row>
    <row r="75" spans="1:8" ht="19.8" customHeight="1" x14ac:dyDescent="0.3">
      <c r="A75" s="112">
        <v>45987</v>
      </c>
      <c r="B75" s="104" t="s">
        <v>41</v>
      </c>
      <c r="C75" s="105" t="s">
        <v>42</v>
      </c>
      <c r="D75" s="104" t="s">
        <v>1</v>
      </c>
      <c r="E75" s="113">
        <v>1.229166666666667</v>
      </c>
      <c r="F75" s="104" t="s">
        <v>45</v>
      </c>
      <c r="G75" s="106">
        <v>9</v>
      </c>
      <c r="H75" s="107" t="s">
        <v>132</v>
      </c>
    </row>
    <row r="76" spans="1:8" ht="19.8" customHeight="1" x14ac:dyDescent="0.3">
      <c r="A76" s="112">
        <v>45987</v>
      </c>
      <c r="B76" s="104" t="s">
        <v>41</v>
      </c>
      <c r="C76" s="105" t="s">
        <v>42</v>
      </c>
      <c r="D76" s="104" t="s">
        <v>1</v>
      </c>
      <c r="E76" s="113">
        <v>1.229166666666667</v>
      </c>
      <c r="F76" s="104" t="s">
        <v>46</v>
      </c>
      <c r="G76" s="106">
        <v>9</v>
      </c>
      <c r="H76" s="107" t="s">
        <v>47</v>
      </c>
    </row>
    <row r="77" spans="1:8" ht="19.8" customHeight="1" x14ac:dyDescent="0.3">
      <c r="A77" s="112">
        <v>45987</v>
      </c>
      <c r="B77" s="104" t="s">
        <v>26</v>
      </c>
      <c r="C77" s="105" t="s">
        <v>36</v>
      </c>
      <c r="D77" s="104" t="s">
        <v>1</v>
      </c>
      <c r="E77" s="113">
        <v>1.6076388888888891</v>
      </c>
      <c r="F77" s="104" t="s">
        <v>28</v>
      </c>
      <c r="G77" s="106">
        <v>3</v>
      </c>
      <c r="H77" s="107" t="s">
        <v>124</v>
      </c>
    </row>
    <row r="78" spans="1:8" ht="19.8" customHeight="1" x14ac:dyDescent="0.3">
      <c r="A78" s="112">
        <v>45987</v>
      </c>
      <c r="B78" s="104" t="s">
        <v>26</v>
      </c>
      <c r="C78" s="105" t="s">
        <v>36</v>
      </c>
      <c r="D78" s="104" t="s">
        <v>1</v>
      </c>
      <c r="E78" s="113">
        <v>1.6076388888888891</v>
      </c>
      <c r="F78" s="104" t="s">
        <v>31</v>
      </c>
      <c r="G78" s="106">
        <v>3</v>
      </c>
      <c r="H78" s="107" t="s">
        <v>140</v>
      </c>
    </row>
    <row r="79" spans="1:8" ht="19.8" customHeight="1" x14ac:dyDescent="0.3">
      <c r="A79" s="112">
        <v>45987</v>
      </c>
      <c r="B79" s="104" t="s">
        <v>26</v>
      </c>
      <c r="C79" s="105" t="s">
        <v>36</v>
      </c>
      <c r="D79" s="104" t="s">
        <v>1</v>
      </c>
      <c r="E79" s="113">
        <v>1.6076388888888891</v>
      </c>
      <c r="F79" s="104" t="s">
        <v>34</v>
      </c>
      <c r="G79" s="106">
        <v>3</v>
      </c>
      <c r="H79" s="107" t="s">
        <v>141</v>
      </c>
    </row>
    <row r="80" spans="1:8" ht="19.8" customHeight="1" x14ac:dyDescent="0.3">
      <c r="A80" s="112">
        <v>45987</v>
      </c>
      <c r="B80" s="104" t="s">
        <v>60</v>
      </c>
      <c r="C80" s="105" t="s">
        <v>68</v>
      </c>
      <c r="D80" s="104" t="s">
        <v>1</v>
      </c>
      <c r="E80" s="113">
        <v>1.350694444444444</v>
      </c>
      <c r="F80" s="104" t="s">
        <v>65</v>
      </c>
      <c r="G80" s="106">
        <v>8</v>
      </c>
      <c r="H80" s="107" t="s">
        <v>70</v>
      </c>
    </row>
    <row r="81" spans="1:8" ht="19.8" customHeight="1" x14ac:dyDescent="0.3">
      <c r="A81" s="112">
        <v>45987</v>
      </c>
      <c r="B81" s="104" t="s">
        <v>60</v>
      </c>
      <c r="C81" s="105" t="s">
        <v>74</v>
      </c>
      <c r="D81" s="104" t="s">
        <v>1</v>
      </c>
      <c r="E81" s="113">
        <v>1.895833333333333</v>
      </c>
      <c r="F81" s="104" t="s">
        <v>65</v>
      </c>
      <c r="G81" s="106">
        <v>9</v>
      </c>
      <c r="H81" s="107" t="s">
        <v>70</v>
      </c>
    </row>
    <row r="82" spans="1:8" ht="19.8" customHeight="1" x14ac:dyDescent="0.3">
      <c r="A82" s="112">
        <v>45987</v>
      </c>
      <c r="B82" s="104" t="s">
        <v>60</v>
      </c>
      <c r="C82" s="105" t="s">
        <v>61</v>
      </c>
      <c r="D82" s="104" t="s">
        <v>1</v>
      </c>
      <c r="E82" s="113">
        <v>1.1840277777777779</v>
      </c>
      <c r="F82" s="104" t="s">
        <v>65</v>
      </c>
      <c r="G82" s="106">
        <v>9</v>
      </c>
      <c r="H82" s="107" t="s">
        <v>70</v>
      </c>
    </row>
    <row r="83" spans="1:8" ht="19.8" customHeight="1" x14ac:dyDescent="0.3">
      <c r="A83" s="114">
        <v>45987</v>
      </c>
      <c r="B83" s="115" t="s">
        <v>60</v>
      </c>
      <c r="C83" s="116" t="s">
        <v>71</v>
      </c>
      <c r="D83" s="115" t="s">
        <v>1</v>
      </c>
      <c r="E83" s="117">
        <v>1.229166666666667</v>
      </c>
      <c r="F83" s="115" t="s">
        <v>65</v>
      </c>
      <c r="G83" s="118">
        <v>4</v>
      </c>
      <c r="H83" s="119" t="s">
        <v>134</v>
      </c>
    </row>
    <row r="84" spans="1:8" ht="19.8" customHeight="1" x14ac:dyDescent="0.3">
      <c r="A84" s="112">
        <v>45988</v>
      </c>
      <c r="B84" s="104" t="s">
        <v>48</v>
      </c>
      <c r="C84" s="105" t="s">
        <v>257</v>
      </c>
      <c r="D84" s="104" t="s">
        <v>246</v>
      </c>
      <c r="E84" s="113">
        <v>1.3576388888888891</v>
      </c>
      <c r="F84" s="104" t="s">
        <v>50</v>
      </c>
      <c r="G84" s="106">
        <v>6</v>
      </c>
      <c r="H84" s="107" t="s">
        <v>271</v>
      </c>
    </row>
    <row r="85" spans="1:8" ht="19.8" customHeight="1" x14ac:dyDescent="0.3">
      <c r="A85" s="120">
        <v>45988</v>
      </c>
      <c r="B85" s="121" t="s">
        <v>77</v>
      </c>
      <c r="C85" s="122" t="s">
        <v>249</v>
      </c>
      <c r="D85" s="121" t="s">
        <v>246</v>
      </c>
      <c r="E85" s="123">
        <v>1.479166666666667</v>
      </c>
      <c r="F85" s="121" t="s">
        <v>79</v>
      </c>
      <c r="G85" s="121"/>
      <c r="H85" s="125" t="s">
        <v>80</v>
      </c>
    </row>
    <row r="86" spans="1:8" ht="19.8" customHeight="1" x14ac:dyDescent="0.3">
      <c r="A86" s="175"/>
      <c r="B86" s="176"/>
      <c r="C86" s="176"/>
      <c r="D86" s="176"/>
      <c r="E86" s="176"/>
      <c r="F86" s="177" t="s">
        <v>297</v>
      </c>
      <c r="G86" s="176"/>
      <c r="H86" s="178"/>
    </row>
    <row r="87" spans="1:8" ht="19.8" customHeight="1" x14ac:dyDescent="0.3">
      <c r="A87" s="112">
        <v>45988</v>
      </c>
      <c r="B87" s="104" t="s">
        <v>41</v>
      </c>
      <c r="C87" s="105" t="s">
        <v>42</v>
      </c>
      <c r="D87" s="104" t="s">
        <v>1</v>
      </c>
      <c r="E87" s="113">
        <v>1.229166666666667</v>
      </c>
      <c r="F87" s="104" t="s">
        <v>43</v>
      </c>
      <c r="G87" s="106">
        <v>2</v>
      </c>
      <c r="H87" s="107" t="s">
        <v>143</v>
      </c>
    </row>
    <row r="88" spans="1:8" ht="19.8" customHeight="1" x14ac:dyDescent="0.3">
      <c r="A88" s="112">
        <v>45988</v>
      </c>
      <c r="B88" s="104" t="s">
        <v>26</v>
      </c>
      <c r="C88" s="105" t="s">
        <v>36</v>
      </c>
      <c r="D88" s="104" t="s">
        <v>1</v>
      </c>
      <c r="E88" s="113">
        <v>1.6076388888888891</v>
      </c>
      <c r="F88" s="104" t="s">
        <v>28</v>
      </c>
      <c r="G88" s="106">
        <v>2</v>
      </c>
      <c r="H88" s="107" t="s">
        <v>122</v>
      </c>
    </row>
    <row r="89" spans="1:8" ht="19.8" customHeight="1" x14ac:dyDescent="0.3">
      <c r="A89" s="112">
        <v>45988</v>
      </c>
      <c r="B89" s="104" t="s">
        <v>26</v>
      </c>
      <c r="C89" s="105" t="s">
        <v>27</v>
      </c>
      <c r="D89" s="104" t="s">
        <v>1</v>
      </c>
      <c r="E89" s="113">
        <v>1.4340277777777779</v>
      </c>
      <c r="F89" s="104" t="s">
        <v>28</v>
      </c>
      <c r="G89" s="106">
        <v>8</v>
      </c>
      <c r="H89" s="107" t="s">
        <v>145</v>
      </c>
    </row>
    <row r="90" spans="1:8" ht="19.8" customHeight="1" x14ac:dyDescent="0.3">
      <c r="A90" s="112">
        <v>45988</v>
      </c>
      <c r="B90" s="104" t="s">
        <v>26</v>
      </c>
      <c r="C90" s="105" t="s">
        <v>36</v>
      </c>
      <c r="D90" s="104" t="s">
        <v>1</v>
      </c>
      <c r="E90" s="113">
        <v>1.6076388888888891</v>
      </c>
      <c r="F90" s="104" t="s">
        <v>31</v>
      </c>
      <c r="G90" s="106">
        <v>2</v>
      </c>
      <c r="H90" s="107" t="s">
        <v>123</v>
      </c>
    </row>
    <row r="91" spans="1:8" ht="19.8" customHeight="1" x14ac:dyDescent="0.3">
      <c r="A91" s="112">
        <v>45988</v>
      </c>
      <c r="B91" s="104" t="s">
        <v>41</v>
      </c>
      <c r="C91" s="105" t="s">
        <v>42</v>
      </c>
      <c r="D91" s="104" t="s">
        <v>1</v>
      </c>
      <c r="E91" s="113">
        <v>1.229166666666667</v>
      </c>
      <c r="F91" s="104" t="s">
        <v>45</v>
      </c>
      <c r="G91" s="106">
        <v>2</v>
      </c>
      <c r="H91" s="107" t="s">
        <v>47</v>
      </c>
    </row>
    <row r="92" spans="1:8" ht="19.8" customHeight="1" x14ac:dyDescent="0.3">
      <c r="A92" s="112">
        <v>45988</v>
      </c>
      <c r="B92" s="104" t="s">
        <v>41</v>
      </c>
      <c r="C92" s="105" t="s">
        <v>42</v>
      </c>
      <c r="D92" s="104" t="s">
        <v>1</v>
      </c>
      <c r="E92" s="113">
        <v>1.229166666666667</v>
      </c>
      <c r="F92" s="104" t="s">
        <v>46</v>
      </c>
      <c r="G92" s="106">
        <v>2</v>
      </c>
      <c r="H92" s="107" t="s">
        <v>47</v>
      </c>
    </row>
    <row r="93" spans="1:8" ht="19.8" customHeight="1" x14ac:dyDescent="0.3">
      <c r="A93" s="112">
        <v>45988</v>
      </c>
      <c r="B93" s="104" t="s">
        <v>26</v>
      </c>
      <c r="C93" s="105" t="s">
        <v>36</v>
      </c>
      <c r="D93" s="104" t="s">
        <v>1</v>
      </c>
      <c r="E93" s="113">
        <v>1.6076388888888891</v>
      </c>
      <c r="F93" s="104" t="s">
        <v>34</v>
      </c>
      <c r="G93" s="106">
        <v>2</v>
      </c>
      <c r="H93" s="107" t="s">
        <v>124</v>
      </c>
    </row>
    <row r="94" spans="1:8" ht="19.8" customHeight="1" x14ac:dyDescent="0.3">
      <c r="A94" s="112">
        <v>45988</v>
      </c>
      <c r="B94" s="104" t="s">
        <v>26</v>
      </c>
      <c r="C94" s="105" t="s">
        <v>27</v>
      </c>
      <c r="D94" s="104" t="s">
        <v>1</v>
      </c>
      <c r="E94" s="113">
        <v>1.4340277777777779</v>
      </c>
      <c r="F94" s="104" t="s">
        <v>31</v>
      </c>
      <c r="G94" s="106">
        <v>8</v>
      </c>
      <c r="H94" s="107" t="s">
        <v>124</v>
      </c>
    </row>
    <row r="95" spans="1:8" ht="19.8" customHeight="1" x14ac:dyDescent="0.3">
      <c r="A95" s="112">
        <v>45988</v>
      </c>
      <c r="B95" s="104" t="s">
        <v>26</v>
      </c>
      <c r="C95" s="105" t="s">
        <v>27</v>
      </c>
      <c r="D95" s="104" t="s">
        <v>1</v>
      </c>
      <c r="E95" s="113">
        <v>1.4340277777777779</v>
      </c>
      <c r="F95" s="104" t="s">
        <v>34</v>
      </c>
      <c r="G95" s="106">
        <v>8</v>
      </c>
      <c r="H95" s="107" t="s">
        <v>146</v>
      </c>
    </row>
    <row r="96" spans="1:8" ht="19.8" customHeight="1" x14ac:dyDescent="0.3">
      <c r="A96" s="114">
        <v>45988</v>
      </c>
      <c r="B96" s="115" t="s">
        <v>60</v>
      </c>
      <c r="C96" s="116" t="s">
        <v>61</v>
      </c>
      <c r="D96" s="115" t="s">
        <v>1</v>
      </c>
      <c r="E96" s="117">
        <v>1.1840277777777779</v>
      </c>
      <c r="F96" s="115" t="s">
        <v>65</v>
      </c>
      <c r="G96" s="118">
        <v>9</v>
      </c>
      <c r="H96" s="119" t="s">
        <v>70</v>
      </c>
    </row>
    <row r="97" spans="1:8" ht="19.8" customHeight="1" x14ac:dyDescent="0.3">
      <c r="A97" s="112">
        <v>45989</v>
      </c>
      <c r="B97" s="104" t="s">
        <v>48</v>
      </c>
      <c r="C97" s="105" t="s">
        <v>257</v>
      </c>
      <c r="D97" s="104" t="s">
        <v>246</v>
      </c>
      <c r="E97" s="113">
        <v>1.3576388888888891</v>
      </c>
      <c r="F97" s="104" t="s">
        <v>50</v>
      </c>
      <c r="G97" s="106">
        <v>9</v>
      </c>
      <c r="H97" s="107" t="s">
        <v>258</v>
      </c>
    </row>
    <row r="98" spans="1:8" ht="19.8" customHeight="1" x14ac:dyDescent="0.3">
      <c r="A98" s="175"/>
      <c r="B98" s="176"/>
      <c r="C98" s="176"/>
      <c r="D98" s="176"/>
      <c r="E98" s="176"/>
      <c r="F98" s="177" t="s">
        <v>297</v>
      </c>
      <c r="G98" s="176"/>
      <c r="H98" s="178"/>
    </row>
    <row r="99" spans="1:8" ht="19.8" customHeight="1" x14ac:dyDescent="0.3">
      <c r="A99" s="112">
        <v>45989</v>
      </c>
      <c r="B99" s="104" t="s">
        <v>41</v>
      </c>
      <c r="C99" s="105" t="s">
        <v>42</v>
      </c>
      <c r="D99" s="104" t="s">
        <v>1</v>
      </c>
      <c r="E99" s="113">
        <v>1.229166666666667</v>
      </c>
      <c r="F99" s="104" t="s">
        <v>43</v>
      </c>
      <c r="G99" s="106">
        <v>3</v>
      </c>
      <c r="H99" s="107" t="s">
        <v>44</v>
      </c>
    </row>
    <row r="100" spans="1:8" ht="19.8" customHeight="1" x14ac:dyDescent="0.3">
      <c r="A100" s="112">
        <v>45989</v>
      </c>
      <c r="B100" s="104" t="s">
        <v>41</v>
      </c>
      <c r="C100" s="105" t="s">
        <v>42</v>
      </c>
      <c r="D100" s="104" t="s">
        <v>1</v>
      </c>
      <c r="E100" s="113">
        <v>1.229166666666667</v>
      </c>
      <c r="F100" s="104" t="s">
        <v>45</v>
      </c>
      <c r="G100" s="106">
        <v>3</v>
      </c>
      <c r="H100" s="107" t="s">
        <v>35</v>
      </c>
    </row>
    <row r="101" spans="1:8" ht="19.8" customHeight="1" x14ac:dyDescent="0.3">
      <c r="A101" s="112">
        <v>45989</v>
      </c>
      <c r="B101" s="104" t="s">
        <v>26</v>
      </c>
      <c r="C101" s="105" t="s">
        <v>36</v>
      </c>
      <c r="D101" s="104" t="s">
        <v>1</v>
      </c>
      <c r="E101" s="113">
        <v>1.6076388888888891</v>
      </c>
      <c r="F101" s="104" t="s">
        <v>28</v>
      </c>
      <c r="G101" s="106">
        <v>1</v>
      </c>
      <c r="H101" s="107" t="s">
        <v>149</v>
      </c>
    </row>
    <row r="102" spans="1:8" ht="19.8" customHeight="1" x14ac:dyDescent="0.3">
      <c r="A102" s="112">
        <v>45989</v>
      </c>
      <c r="B102" s="104" t="s">
        <v>41</v>
      </c>
      <c r="C102" s="105" t="s">
        <v>42</v>
      </c>
      <c r="D102" s="104" t="s">
        <v>1</v>
      </c>
      <c r="E102" s="113">
        <v>1.229166666666667</v>
      </c>
      <c r="F102" s="104" t="s">
        <v>46</v>
      </c>
      <c r="G102" s="106">
        <v>3</v>
      </c>
      <c r="H102" s="107" t="s">
        <v>47</v>
      </c>
    </row>
    <row r="103" spans="1:8" ht="19.8" customHeight="1" x14ac:dyDescent="0.3">
      <c r="A103" s="112">
        <v>45989</v>
      </c>
      <c r="B103" s="104" t="s">
        <v>48</v>
      </c>
      <c r="C103" s="105" t="s">
        <v>53</v>
      </c>
      <c r="D103" s="104" t="s">
        <v>1</v>
      </c>
      <c r="E103" s="113">
        <v>1.0659722222222221</v>
      </c>
      <c r="F103" s="104" t="s">
        <v>50</v>
      </c>
      <c r="G103" s="106">
        <v>9</v>
      </c>
      <c r="H103" s="107" t="s">
        <v>56</v>
      </c>
    </row>
    <row r="104" spans="1:8" ht="19.8" customHeight="1" x14ac:dyDescent="0.3">
      <c r="A104" s="112">
        <v>45989</v>
      </c>
      <c r="B104" s="104" t="s">
        <v>26</v>
      </c>
      <c r="C104" s="105" t="s">
        <v>36</v>
      </c>
      <c r="D104" s="104" t="s">
        <v>1</v>
      </c>
      <c r="E104" s="113">
        <v>1.6076388888888891</v>
      </c>
      <c r="F104" s="104" t="s">
        <v>31</v>
      </c>
      <c r="G104" s="106">
        <v>1</v>
      </c>
      <c r="H104" s="107" t="s">
        <v>150</v>
      </c>
    </row>
    <row r="105" spans="1:8" ht="19.8" customHeight="1" x14ac:dyDescent="0.3">
      <c r="A105" s="112">
        <v>45989</v>
      </c>
      <c r="B105" s="104" t="s">
        <v>48</v>
      </c>
      <c r="C105" s="105" t="s">
        <v>55</v>
      </c>
      <c r="D105" s="104" t="s">
        <v>1</v>
      </c>
      <c r="E105" s="113">
        <v>1.9409722222222221</v>
      </c>
      <c r="F105" s="104" t="s">
        <v>50</v>
      </c>
      <c r="G105" s="106">
        <v>9</v>
      </c>
      <c r="H105" s="107" t="s">
        <v>91</v>
      </c>
    </row>
    <row r="106" spans="1:8" ht="19.8" customHeight="1" x14ac:dyDescent="0.3">
      <c r="A106" s="112">
        <v>45989</v>
      </c>
      <c r="B106" s="104" t="s">
        <v>48</v>
      </c>
      <c r="C106" s="105" t="s">
        <v>49</v>
      </c>
      <c r="D106" s="104" t="s">
        <v>1</v>
      </c>
      <c r="E106" s="113">
        <v>1.697916666666667</v>
      </c>
      <c r="F106" s="104" t="s">
        <v>50</v>
      </c>
      <c r="G106" s="106">
        <v>9</v>
      </c>
      <c r="H106" s="107" t="s">
        <v>91</v>
      </c>
    </row>
    <row r="107" spans="1:8" ht="19.8" customHeight="1" x14ac:dyDescent="0.3">
      <c r="A107" s="112">
        <v>45989</v>
      </c>
      <c r="B107" s="104" t="s">
        <v>26</v>
      </c>
      <c r="C107" s="105" t="s">
        <v>36</v>
      </c>
      <c r="D107" s="104" t="s">
        <v>1</v>
      </c>
      <c r="E107" s="113">
        <v>1.6076388888888891</v>
      </c>
      <c r="F107" s="104" t="s">
        <v>34</v>
      </c>
      <c r="G107" s="106">
        <v>1</v>
      </c>
      <c r="H107" s="107" t="s">
        <v>151</v>
      </c>
    </row>
    <row r="108" spans="1:8" ht="19.8" customHeight="1" x14ac:dyDescent="0.3">
      <c r="A108" s="114">
        <v>45989</v>
      </c>
      <c r="B108" s="115" t="s">
        <v>60</v>
      </c>
      <c r="C108" s="116" t="s">
        <v>68</v>
      </c>
      <c r="D108" s="115" t="s">
        <v>1</v>
      </c>
      <c r="E108" s="117">
        <v>1.350694444444444</v>
      </c>
      <c r="F108" s="115" t="s">
        <v>65</v>
      </c>
      <c r="G108" s="118">
        <v>9</v>
      </c>
      <c r="H108" s="119" t="s">
        <v>152</v>
      </c>
    </row>
    <row r="109" spans="1:8" ht="19.8" customHeight="1" x14ac:dyDescent="0.3">
      <c r="A109" s="175"/>
      <c r="B109" s="176"/>
      <c r="C109" s="176"/>
      <c r="D109" s="176"/>
      <c r="E109" s="176"/>
      <c r="F109" s="177" t="s">
        <v>297</v>
      </c>
      <c r="G109" s="176"/>
      <c r="H109" s="178"/>
    </row>
    <row r="110" spans="1:8" ht="19.8" customHeight="1" x14ac:dyDescent="0.3">
      <c r="A110" s="112">
        <v>45990</v>
      </c>
      <c r="B110" s="104" t="s">
        <v>41</v>
      </c>
      <c r="C110" s="105" t="s">
        <v>42</v>
      </c>
      <c r="D110" s="104" t="s">
        <v>1</v>
      </c>
      <c r="E110" s="113">
        <v>1.229166666666667</v>
      </c>
      <c r="F110" s="104" t="s">
        <v>43</v>
      </c>
      <c r="G110" s="106">
        <v>8</v>
      </c>
      <c r="H110" s="107" t="s">
        <v>33</v>
      </c>
    </row>
    <row r="111" spans="1:8" ht="19.8" customHeight="1" x14ac:dyDescent="0.3">
      <c r="A111" s="112">
        <v>45990</v>
      </c>
      <c r="B111" s="104" t="s">
        <v>26</v>
      </c>
      <c r="C111" s="105" t="s">
        <v>27</v>
      </c>
      <c r="D111" s="104" t="s">
        <v>1</v>
      </c>
      <c r="E111" s="113">
        <v>1.4340277777777779</v>
      </c>
      <c r="F111" s="104" t="s">
        <v>28</v>
      </c>
      <c r="G111" s="106">
        <v>4</v>
      </c>
      <c r="H111" s="107" t="s">
        <v>153</v>
      </c>
    </row>
    <row r="112" spans="1:8" ht="19.8" customHeight="1" x14ac:dyDescent="0.3">
      <c r="A112" s="112">
        <v>45990</v>
      </c>
      <c r="B112" s="104" t="s">
        <v>26</v>
      </c>
      <c r="C112" s="105" t="s">
        <v>27</v>
      </c>
      <c r="D112" s="104" t="s">
        <v>1</v>
      </c>
      <c r="E112" s="113">
        <v>1.4340277777777779</v>
      </c>
      <c r="F112" s="104" t="s">
        <v>31</v>
      </c>
      <c r="G112" s="106">
        <v>4</v>
      </c>
      <c r="H112" s="107" t="s">
        <v>154</v>
      </c>
    </row>
    <row r="113" spans="1:8" ht="19.8" customHeight="1" x14ac:dyDescent="0.3">
      <c r="A113" s="112">
        <v>45990</v>
      </c>
      <c r="B113" s="104" t="s">
        <v>26</v>
      </c>
      <c r="C113" s="105" t="s">
        <v>36</v>
      </c>
      <c r="D113" s="104" t="s">
        <v>1</v>
      </c>
      <c r="E113" s="113">
        <v>1.6076388888888891</v>
      </c>
      <c r="F113" s="104" t="s">
        <v>28</v>
      </c>
      <c r="G113" s="106">
        <v>7</v>
      </c>
      <c r="H113" s="107" t="s">
        <v>149</v>
      </c>
    </row>
    <row r="114" spans="1:8" ht="19.8" customHeight="1" x14ac:dyDescent="0.3">
      <c r="A114" s="112">
        <v>45990</v>
      </c>
      <c r="B114" s="104" t="s">
        <v>41</v>
      </c>
      <c r="C114" s="105" t="s">
        <v>42</v>
      </c>
      <c r="D114" s="104" t="s">
        <v>1</v>
      </c>
      <c r="E114" s="113">
        <v>1.229166666666667</v>
      </c>
      <c r="F114" s="104" t="s">
        <v>45</v>
      </c>
      <c r="G114" s="106">
        <v>8</v>
      </c>
      <c r="H114" s="107" t="s">
        <v>132</v>
      </c>
    </row>
    <row r="115" spans="1:8" ht="19.8" customHeight="1" x14ac:dyDescent="0.3">
      <c r="A115" s="112">
        <v>45990</v>
      </c>
      <c r="B115" s="104" t="s">
        <v>41</v>
      </c>
      <c r="C115" s="105" t="s">
        <v>42</v>
      </c>
      <c r="D115" s="104" t="s">
        <v>1</v>
      </c>
      <c r="E115" s="113">
        <v>1.229166666666667</v>
      </c>
      <c r="F115" s="104" t="s">
        <v>46</v>
      </c>
      <c r="G115" s="106">
        <v>8</v>
      </c>
      <c r="H115" s="107" t="s">
        <v>47</v>
      </c>
    </row>
    <row r="116" spans="1:8" ht="19.8" customHeight="1" x14ac:dyDescent="0.3">
      <c r="A116" s="112">
        <v>45990</v>
      </c>
      <c r="B116" s="104" t="s">
        <v>26</v>
      </c>
      <c r="C116" s="105" t="s">
        <v>27</v>
      </c>
      <c r="D116" s="104" t="s">
        <v>1</v>
      </c>
      <c r="E116" s="113">
        <v>1.4340277777777779</v>
      </c>
      <c r="F116" s="104" t="s">
        <v>34</v>
      </c>
      <c r="G116" s="106">
        <v>4</v>
      </c>
      <c r="H116" s="107" t="s">
        <v>47</v>
      </c>
    </row>
    <row r="117" spans="1:8" ht="19.8" customHeight="1" x14ac:dyDescent="0.3">
      <c r="A117" s="112">
        <v>45990</v>
      </c>
      <c r="B117" s="104" t="s">
        <v>48</v>
      </c>
      <c r="C117" s="105" t="s">
        <v>53</v>
      </c>
      <c r="D117" s="104" t="s">
        <v>1</v>
      </c>
      <c r="E117" s="113">
        <v>1.0659722222222221</v>
      </c>
      <c r="F117" s="104" t="s">
        <v>50</v>
      </c>
      <c r="G117" s="106">
        <v>9</v>
      </c>
      <c r="H117" s="107" t="s">
        <v>56</v>
      </c>
    </row>
    <row r="118" spans="1:8" ht="19.8" customHeight="1" x14ac:dyDescent="0.3">
      <c r="A118" s="112">
        <v>45990</v>
      </c>
      <c r="B118" s="104" t="s">
        <v>26</v>
      </c>
      <c r="C118" s="105" t="s">
        <v>36</v>
      </c>
      <c r="D118" s="104" t="s">
        <v>1</v>
      </c>
      <c r="E118" s="113">
        <v>1.6076388888888891</v>
      </c>
      <c r="F118" s="104" t="s">
        <v>31</v>
      </c>
      <c r="G118" s="106">
        <v>7</v>
      </c>
      <c r="H118" s="107" t="s">
        <v>150</v>
      </c>
    </row>
    <row r="119" spans="1:8" ht="19.8" customHeight="1" x14ac:dyDescent="0.3">
      <c r="A119" s="114">
        <v>45990</v>
      </c>
      <c r="B119" s="115" t="s">
        <v>48</v>
      </c>
      <c r="C119" s="116" t="s">
        <v>55</v>
      </c>
      <c r="D119" s="115" t="s">
        <v>1</v>
      </c>
      <c r="E119" s="117">
        <v>1.9409722222222221</v>
      </c>
      <c r="F119" s="115" t="s">
        <v>50</v>
      </c>
      <c r="G119" s="118">
        <v>9</v>
      </c>
      <c r="H119" s="119" t="s">
        <v>91</v>
      </c>
    </row>
    <row r="120" spans="1:8" ht="19.8" customHeight="1" x14ac:dyDescent="0.3">
      <c r="A120" s="120">
        <v>45991</v>
      </c>
      <c r="B120" s="121" t="s">
        <v>77</v>
      </c>
      <c r="C120" s="122" t="s">
        <v>247</v>
      </c>
      <c r="D120" s="121" t="s">
        <v>246</v>
      </c>
      <c r="E120" s="123">
        <v>1.2361111111111109</v>
      </c>
      <c r="F120" s="121"/>
      <c r="G120" s="121"/>
      <c r="H120" s="125" t="s">
        <v>80</v>
      </c>
    </row>
    <row r="121" spans="1:8" ht="19.8" customHeight="1" x14ac:dyDescent="0.3">
      <c r="A121" s="175"/>
      <c r="B121" s="176"/>
      <c r="C121" s="176"/>
      <c r="D121" s="176"/>
      <c r="E121" s="176"/>
      <c r="F121" s="177" t="s">
        <v>297</v>
      </c>
      <c r="G121" s="176"/>
      <c r="H121" s="178"/>
    </row>
    <row r="122" spans="1:8" ht="19.8" customHeight="1" x14ac:dyDescent="0.3">
      <c r="A122" s="112">
        <v>45991</v>
      </c>
      <c r="B122" s="104" t="s">
        <v>41</v>
      </c>
      <c r="C122" s="105" t="s">
        <v>42</v>
      </c>
      <c r="D122" s="104" t="s">
        <v>1</v>
      </c>
      <c r="E122" s="113">
        <v>1.229166666666667</v>
      </c>
      <c r="F122" s="104" t="s">
        <v>43</v>
      </c>
      <c r="G122" s="106">
        <v>9</v>
      </c>
      <c r="H122" s="107" t="s">
        <v>154</v>
      </c>
    </row>
    <row r="123" spans="1:8" ht="19.8" customHeight="1" x14ac:dyDescent="0.3">
      <c r="A123" s="112">
        <v>45991</v>
      </c>
      <c r="B123" s="104" t="s">
        <v>26</v>
      </c>
      <c r="C123" s="105" t="s">
        <v>36</v>
      </c>
      <c r="D123" s="104" t="s">
        <v>1</v>
      </c>
      <c r="E123" s="113">
        <v>1.6076388888888891</v>
      </c>
      <c r="F123" s="104" t="s">
        <v>28</v>
      </c>
      <c r="G123" s="106">
        <v>4</v>
      </c>
      <c r="H123" s="107" t="s">
        <v>149</v>
      </c>
    </row>
    <row r="124" spans="1:8" ht="19.8" customHeight="1" x14ac:dyDescent="0.3">
      <c r="A124" s="112">
        <v>45991</v>
      </c>
      <c r="B124" s="104" t="s">
        <v>48</v>
      </c>
      <c r="C124" s="105" t="s">
        <v>55</v>
      </c>
      <c r="D124" s="104" t="s">
        <v>1</v>
      </c>
      <c r="E124" s="113">
        <v>1.9409722222222221</v>
      </c>
      <c r="F124" s="104" t="s">
        <v>50</v>
      </c>
      <c r="G124" s="106">
        <v>9</v>
      </c>
      <c r="H124" s="107" t="s">
        <v>52</v>
      </c>
    </row>
    <row r="125" spans="1:8" ht="19.8" customHeight="1" x14ac:dyDescent="0.3">
      <c r="A125" s="112">
        <v>45991</v>
      </c>
      <c r="B125" s="104" t="s">
        <v>48</v>
      </c>
      <c r="C125" s="105" t="s">
        <v>53</v>
      </c>
      <c r="D125" s="104" t="s">
        <v>1</v>
      </c>
      <c r="E125" s="113">
        <v>1.0659722222222221</v>
      </c>
      <c r="F125" s="104" t="s">
        <v>50</v>
      </c>
      <c r="G125" s="106">
        <v>9</v>
      </c>
      <c r="H125" s="107" t="s">
        <v>56</v>
      </c>
    </row>
    <row r="126" spans="1:8" ht="19.8" customHeight="1" x14ac:dyDescent="0.3">
      <c r="A126" s="112">
        <v>45991</v>
      </c>
      <c r="B126" s="104" t="s">
        <v>26</v>
      </c>
      <c r="C126" s="105" t="s">
        <v>36</v>
      </c>
      <c r="D126" s="104" t="s">
        <v>1</v>
      </c>
      <c r="E126" s="113">
        <v>1.6076388888888891</v>
      </c>
      <c r="F126" s="104" t="s">
        <v>31</v>
      </c>
      <c r="G126" s="106">
        <v>4</v>
      </c>
      <c r="H126" s="107" t="s">
        <v>150</v>
      </c>
    </row>
    <row r="127" spans="1:8" ht="19.8" customHeight="1" x14ac:dyDescent="0.3">
      <c r="A127" s="112">
        <v>45991</v>
      </c>
      <c r="B127" s="104" t="s">
        <v>41</v>
      </c>
      <c r="C127" s="105" t="s">
        <v>42</v>
      </c>
      <c r="D127" s="104" t="s">
        <v>1</v>
      </c>
      <c r="E127" s="113">
        <v>1.229166666666667</v>
      </c>
      <c r="F127" s="104" t="s">
        <v>45</v>
      </c>
      <c r="G127" s="106">
        <v>9</v>
      </c>
      <c r="H127" s="107" t="s">
        <v>124</v>
      </c>
    </row>
    <row r="128" spans="1:8" ht="19.8" customHeight="1" x14ac:dyDescent="0.3">
      <c r="A128" s="112">
        <v>45991</v>
      </c>
      <c r="B128" s="104" t="s">
        <v>26</v>
      </c>
      <c r="C128" s="105" t="s">
        <v>36</v>
      </c>
      <c r="D128" s="104" t="s">
        <v>1</v>
      </c>
      <c r="E128" s="113">
        <v>1.6076388888888891</v>
      </c>
      <c r="F128" s="104" t="s">
        <v>34</v>
      </c>
      <c r="G128" s="106">
        <v>4</v>
      </c>
      <c r="H128" s="107" t="s">
        <v>151</v>
      </c>
    </row>
    <row r="129" spans="1:8" ht="19.8" customHeight="1" x14ac:dyDescent="0.3">
      <c r="A129" s="112">
        <v>45991</v>
      </c>
      <c r="B129" s="104" t="s">
        <v>48</v>
      </c>
      <c r="C129" s="105" t="s">
        <v>49</v>
      </c>
      <c r="D129" s="104" t="s">
        <v>1</v>
      </c>
      <c r="E129" s="113">
        <v>1.697916666666667</v>
      </c>
      <c r="F129" s="104" t="s">
        <v>50</v>
      </c>
      <c r="G129" s="106">
        <v>9</v>
      </c>
      <c r="H129" s="107" t="s">
        <v>156</v>
      </c>
    </row>
    <row r="130" spans="1:8" ht="19.8" customHeight="1" x14ac:dyDescent="0.3">
      <c r="A130" s="112">
        <v>45991</v>
      </c>
      <c r="B130" s="104" t="s">
        <v>60</v>
      </c>
      <c r="C130" s="105" t="s">
        <v>68</v>
      </c>
      <c r="D130" s="104" t="s">
        <v>1</v>
      </c>
      <c r="E130" s="113">
        <v>1.350694444444444</v>
      </c>
      <c r="F130" s="104" t="s">
        <v>65</v>
      </c>
      <c r="G130" s="106">
        <v>1</v>
      </c>
      <c r="H130" s="107" t="s">
        <v>70</v>
      </c>
    </row>
    <row r="131" spans="1:8" ht="19.8" customHeight="1" x14ac:dyDescent="0.3">
      <c r="A131" s="114">
        <v>45991</v>
      </c>
      <c r="B131" s="115" t="s">
        <v>60</v>
      </c>
      <c r="C131" s="116" t="s">
        <v>74</v>
      </c>
      <c r="D131" s="115" t="s">
        <v>1</v>
      </c>
      <c r="E131" s="117">
        <v>1.895833333333333</v>
      </c>
      <c r="F131" s="115" t="s">
        <v>65</v>
      </c>
      <c r="G131" s="118">
        <v>7</v>
      </c>
      <c r="H131" s="119" t="s">
        <v>70</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64"/>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8.88671875" bestFit="1" customWidth="1"/>
  </cols>
  <sheetData>
    <row r="1" spans="1:92" ht="28.8" customHeight="1" x14ac:dyDescent="0.3">
      <c r="A1" s="303" t="s">
        <v>0</v>
      </c>
      <c r="B1" s="302"/>
      <c r="C1" s="302"/>
      <c r="D1" s="302"/>
      <c r="E1" s="302"/>
      <c r="F1" s="1" t="s">
        <v>298</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45980.583311214017</v>
      </c>
      <c r="H2" s="302"/>
      <c r="I2" s="302"/>
      <c r="J2" s="302"/>
      <c r="K2" s="311">
        <v>45980.583311214388</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45983</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79" t="s">
        <v>77</v>
      </c>
      <c r="B6" s="179" t="s">
        <v>299</v>
      </c>
      <c r="C6" s="180">
        <v>0.80208333333333337</v>
      </c>
      <c r="D6" s="179" t="s">
        <v>101</v>
      </c>
      <c r="E6" s="179" t="s">
        <v>63</v>
      </c>
      <c r="F6" s="179" t="s">
        <v>300</v>
      </c>
      <c r="G6" s="297"/>
      <c r="H6" s="181" t="s">
        <v>135</v>
      </c>
      <c r="I6" s="182">
        <v>0.91110000000000002</v>
      </c>
      <c r="J6" s="183">
        <v>164</v>
      </c>
      <c r="K6" s="184">
        <v>45980</v>
      </c>
      <c r="L6" s="183">
        <v>21</v>
      </c>
      <c r="M6" s="183">
        <v>2</v>
      </c>
      <c r="N6" s="183">
        <v>3</v>
      </c>
      <c r="O6" s="185" t="s">
        <v>215</v>
      </c>
      <c r="P6" s="186">
        <v>0.80208333333333337</v>
      </c>
      <c r="Q6" s="183">
        <v>180</v>
      </c>
      <c r="R6" s="187" t="s">
        <v>301</v>
      </c>
    </row>
    <row r="7" spans="1:92" ht="18" x14ac:dyDescent="0.3">
      <c r="A7" s="312" t="s">
        <v>252</v>
      </c>
      <c r="B7" s="313"/>
      <c r="C7" s="313"/>
      <c r="D7" s="313"/>
      <c r="E7" s="313"/>
      <c r="F7" s="314"/>
      <c r="G7" s="298"/>
      <c r="H7" s="138"/>
      <c r="I7" s="138"/>
      <c r="J7" s="138"/>
      <c r="K7" s="138"/>
      <c r="L7" s="138"/>
      <c r="M7" s="138"/>
      <c r="N7" s="138"/>
      <c r="O7" s="139"/>
      <c r="P7" s="138"/>
      <c r="Q7" s="99"/>
      <c r="R7" s="99"/>
    </row>
    <row r="8" spans="1:92" ht="15" customHeight="1" x14ac:dyDescent="0.3">
      <c r="A8" s="17" t="s">
        <v>41</v>
      </c>
      <c r="B8" s="17" t="s">
        <v>42</v>
      </c>
      <c r="C8" s="18" t="s">
        <v>237</v>
      </c>
      <c r="D8" s="17" t="s">
        <v>43</v>
      </c>
      <c r="E8" s="17" t="s">
        <v>302</v>
      </c>
      <c r="F8" s="17" t="s">
        <v>93</v>
      </c>
      <c r="G8" s="298"/>
      <c r="H8" s="138"/>
      <c r="I8" s="138"/>
      <c r="J8" s="138"/>
      <c r="K8" s="138"/>
      <c r="L8" s="138"/>
      <c r="M8" s="138"/>
      <c r="N8" s="138"/>
      <c r="O8" s="139"/>
      <c r="P8" s="138"/>
      <c r="Q8" s="99"/>
      <c r="R8" s="99"/>
    </row>
    <row r="9" spans="1:92" ht="15" customHeight="1" x14ac:dyDescent="0.3">
      <c r="A9" s="17" t="s">
        <v>26</v>
      </c>
      <c r="B9" s="17" t="s">
        <v>36</v>
      </c>
      <c r="C9" s="18" t="s">
        <v>238</v>
      </c>
      <c r="D9" s="17" t="s">
        <v>28</v>
      </c>
      <c r="E9" s="17" t="s">
        <v>303</v>
      </c>
      <c r="F9" s="17" t="s">
        <v>86</v>
      </c>
      <c r="G9" s="298"/>
      <c r="H9" s="138"/>
      <c r="I9" s="138"/>
      <c r="J9" s="138"/>
      <c r="K9" s="138"/>
      <c r="L9" s="138"/>
      <c r="M9" s="138"/>
      <c r="N9" s="138"/>
      <c r="O9" s="139"/>
      <c r="P9" s="138"/>
      <c r="Q9" s="99"/>
      <c r="R9" s="99"/>
    </row>
    <row r="10" spans="1:92" ht="15" customHeight="1" x14ac:dyDescent="0.3">
      <c r="A10" s="17" t="s">
        <v>26</v>
      </c>
      <c r="B10" s="17" t="s">
        <v>27</v>
      </c>
      <c r="C10" s="18" t="s">
        <v>236</v>
      </c>
      <c r="D10" s="17" t="s">
        <v>28</v>
      </c>
      <c r="E10" s="17" t="s">
        <v>269</v>
      </c>
      <c r="F10" s="17" t="s">
        <v>86</v>
      </c>
      <c r="G10" s="298"/>
      <c r="H10" s="138"/>
      <c r="I10" s="138"/>
      <c r="J10" s="138"/>
      <c r="K10" s="138"/>
      <c r="L10" s="138"/>
      <c r="M10" s="138"/>
      <c r="N10" s="138"/>
      <c r="O10" s="139"/>
      <c r="P10" s="138"/>
      <c r="Q10" s="99"/>
      <c r="R10" s="99"/>
    </row>
    <row r="11" spans="1:92" ht="15" customHeight="1" x14ac:dyDescent="0.3">
      <c r="A11" s="17" t="s">
        <v>48</v>
      </c>
      <c r="B11" s="17" t="s">
        <v>90</v>
      </c>
      <c r="C11" s="18" t="s">
        <v>267</v>
      </c>
      <c r="D11" s="17" t="s">
        <v>50</v>
      </c>
      <c r="E11" s="17" t="s">
        <v>256</v>
      </c>
      <c r="F11" s="17" t="s">
        <v>99</v>
      </c>
      <c r="G11" s="298"/>
      <c r="H11" s="138"/>
      <c r="I11" s="138"/>
      <c r="J11" s="138"/>
      <c r="K11" s="138"/>
      <c r="L11" s="138"/>
      <c r="M11" s="138"/>
      <c r="N11" s="138"/>
      <c r="O11" s="139"/>
      <c r="P11" s="138"/>
      <c r="Q11" s="99"/>
      <c r="R11" s="99"/>
    </row>
    <row r="12" spans="1:92" ht="15" customHeight="1" x14ac:dyDescent="0.3">
      <c r="A12" s="17" t="s">
        <v>48</v>
      </c>
      <c r="B12" s="17" t="s">
        <v>55</v>
      </c>
      <c r="C12" s="18" t="s">
        <v>263</v>
      </c>
      <c r="D12" s="17" t="s">
        <v>50</v>
      </c>
      <c r="E12" s="17" t="s">
        <v>256</v>
      </c>
      <c r="F12" s="17" t="s">
        <v>99</v>
      </c>
      <c r="G12" s="298"/>
      <c r="H12" s="138"/>
      <c r="I12" s="138"/>
      <c r="J12" s="138"/>
      <c r="K12" s="138"/>
      <c r="L12" s="138"/>
      <c r="M12" s="138"/>
      <c r="N12" s="138"/>
      <c r="O12" s="139"/>
      <c r="P12" s="138"/>
      <c r="Q12" s="99"/>
      <c r="R12" s="99"/>
    </row>
    <row r="13" spans="1:92" ht="15" customHeight="1" x14ac:dyDescent="0.3">
      <c r="A13" s="17" t="s">
        <v>48</v>
      </c>
      <c r="B13" s="17" t="s">
        <v>53</v>
      </c>
      <c r="C13" s="18" t="s">
        <v>240</v>
      </c>
      <c r="D13" s="17" t="s">
        <v>50</v>
      </c>
      <c r="E13" s="17" t="s">
        <v>256</v>
      </c>
      <c r="F13" s="17" t="s">
        <v>99</v>
      </c>
      <c r="G13" s="298"/>
      <c r="H13" s="138"/>
      <c r="I13" s="138"/>
      <c r="J13" s="138"/>
      <c r="K13" s="138"/>
      <c r="L13" s="138"/>
      <c r="M13" s="138"/>
      <c r="N13" s="138"/>
      <c r="O13" s="139"/>
      <c r="P13" s="138"/>
      <c r="Q13" s="99"/>
      <c r="R13" s="99"/>
    </row>
    <row r="14" spans="1:92" ht="15" customHeight="1" x14ac:dyDescent="0.3">
      <c r="A14" s="17" t="s">
        <v>48</v>
      </c>
      <c r="B14" s="17" t="s">
        <v>57</v>
      </c>
      <c r="C14" s="18" t="s">
        <v>244</v>
      </c>
      <c r="D14" s="17" t="s">
        <v>50</v>
      </c>
      <c r="E14" s="17" t="s">
        <v>256</v>
      </c>
      <c r="F14" s="17" t="s">
        <v>99</v>
      </c>
      <c r="G14" s="298"/>
      <c r="H14" s="138"/>
      <c r="I14" s="138"/>
      <c r="J14" s="138"/>
      <c r="K14" s="138"/>
      <c r="L14" s="138"/>
      <c r="M14" s="138"/>
      <c r="N14" s="138"/>
      <c r="O14" s="139"/>
      <c r="P14" s="138"/>
      <c r="Q14" s="99"/>
      <c r="R14" s="99"/>
    </row>
    <row r="15" spans="1:92" ht="15" customHeight="1" x14ac:dyDescent="0.3">
      <c r="A15" s="17" t="s">
        <v>41</v>
      </c>
      <c r="B15" s="17" t="s">
        <v>42</v>
      </c>
      <c r="C15" s="18" t="s">
        <v>237</v>
      </c>
      <c r="D15" s="17" t="s">
        <v>45</v>
      </c>
      <c r="E15" s="17" t="s">
        <v>302</v>
      </c>
      <c r="F15" s="17" t="s">
        <v>95</v>
      </c>
      <c r="G15" s="298"/>
      <c r="H15" s="138"/>
      <c r="I15" s="138"/>
      <c r="J15" s="138"/>
      <c r="K15" s="138"/>
      <c r="L15" s="138"/>
      <c r="M15" s="138"/>
      <c r="N15" s="138"/>
      <c r="O15" s="139"/>
      <c r="P15" s="138"/>
      <c r="Q15" s="99"/>
      <c r="R15" s="99"/>
    </row>
    <row r="16" spans="1:92" ht="15" customHeight="1" x14ac:dyDescent="0.3">
      <c r="A16" s="17" t="s">
        <v>26</v>
      </c>
      <c r="B16" s="17" t="s">
        <v>36</v>
      </c>
      <c r="C16" s="18" t="s">
        <v>238</v>
      </c>
      <c r="D16" s="17" t="s">
        <v>31</v>
      </c>
      <c r="E16" s="17" t="s">
        <v>303</v>
      </c>
      <c r="F16" s="17" t="s">
        <v>88</v>
      </c>
      <c r="G16" s="298"/>
      <c r="H16" s="138"/>
      <c r="I16" s="138"/>
      <c r="J16" s="138"/>
      <c r="K16" s="138"/>
      <c r="L16" s="138"/>
      <c r="M16" s="138"/>
      <c r="N16" s="138"/>
      <c r="O16" s="139"/>
      <c r="P16" s="138"/>
      <c r="Q16" s="99"/>
      <c r="R16" s="99"/>
    </row>
    <row r="17" spans="1:18" ht="15" customHeight="1" thickBot="1" x14ac:dyDescent="0.35">
      <c r="A17" s="39" t="s">
        <v>26</v>
      </c>
      <c r="B17" s="39" t="s">
        <v>27</v>
      </c>
      <c r="C17" s="40" t="s">
        <v>236</v>
      </c>
      <c r="D17" s="39" t="s">
        <v>31</v>
      </c>
      <c r="E17" s="39" t="s">
        <v>269</v>
      </c>
      <c r="F17" s="39" t="s">
        <v>88</v>
      </c>
      <c r="G17" s="299"/>
      <c r="H17" s="140"/>
      <c r="I17" s="140"/>
      <c r="J17" s="140"/>
      <c r="K17" s="140"/>
      <c r="L17" s="140"/>
      <c r="M17" s="140"/>
      <c r="N17" s="140"/>
      <c r="O17" s="141"/>
      <c r="P17" s="140"/>
      <c r="Q17" s="142"/>
      <c r="R17" s="142"/>
    </row>
    <row r="18" spans="1:18" ht="17.399999999999999" customHeight="1" thickBot="1" x14ac:dyDescent="0.35">
      <c r="A18" s="329"/>
      <c r="B18" s="330"/>
      <c r="C18" s="330"/>
      <c r="D18" s="330"/>
      <c r="E18" s="330"/>
      <c r="F18" s="330"/>
      <c r="G18" s="330"/>
      <c r="H18" s="330"/>
      <c r="I18" s="330"/>
      <c r="J18" s="330"/>
      <c r="K18" s="330"/>
      <c r="L18" s="330"/>
      <c r="M18" s="330"/>
      <c r="N18" s="330"/>
      <c r="O18" s="330"/>
      <c r="P18" s="330"/>
      <c r="Q18" s="330"/>
      <c r="R18" s="331"/>
    </row>
    <row r="19" spans="1:18" ht="22.05" customHeight="1" thickTop="1" thickBot="1" x14ac:dyDescent="0.35">
      <c r="A19" s="300" t="s">
        <v>6</v>
      </c>
      <c r="B19" s="295"/>
      <c r="C19" s="295"/>
      <c r="D19" s="295"/>
      <c r="E19" s="295"/>
      <c r="F19" s="296"/>
      <c r="G19" s="31">
        <v>45985</v>
      </c>
      <c r="H19" s="294" t="s">
        <v>7</v>
      </c>
      <c r="I19" s="295"/>
      <c r="J19" s="295"/>
      <c r="K19" s="295"/>
      <c r="L19" s="295"/>
      <c r="M19" s="295"/>
      <c r="N19" s="295"/>
      <c r="O19" s="295"/>
      <c r="P19" s="295"/>
      <c r="Q19" s="295"/>
      <c r="R19" s="296"/>
    </row>
    <row r="20" spans="1:18" ht="24" customHeight="1" x14ac:dyDescent="0.3">
      <c r="A20" s="32" t="s">
        <v>8</v>
      </c>
      <c r="B20" s="32" t="s">
        <v>9</v>
      </c>
      <c r="C20" s="33" t="s">
        <v>10</v>
      </c>
      <c r="D20" s="32" t="s">
        <v>11</v>
      </c>
      <c r="E20" s="32" t="s">
        <v>12</v>
      </c>
      <c r="F20" s="34" t="s">
        <v>13</v>
      </c>
      <c r="G20" s="35" t="s">
        <v>14</v>
      </c>
      <c r="H20" s="32" t="s">
        <v>15</v>
      </c>
      <c r="I20" s="36" t="s">
        <v>16</v>
      </c>
      <c r="J20" s="37" t="s">
        <v>17</v>
      </c>
      <c r="K20" s="38" t="s">
        <v>18</v>
      </c>
      <c r="L20" s="37" t="s">
        <v>19</v>
      </c>
      <c r="M20" s="37" t="s">
        <v>20</v>
      </c>
      <c r="N20" s="37" t="s">
        <v>21</v>
      </c>
      <c r="O20" s="32" t="s">
        <v>22</v>
      </c>
      <c r="P20" s="33" t="s">
        <v>23</v>
      </c>
      <c r="Q20" s="37" t="s">
        <v>24</v>
      </c>
      <c r="R20" s="32" t="s">
        <v>25</v>
      </c>
    </row>
    <row r="21" spans="1:18" ht="15" customHeight="1" x14ac:dyDescent="0.3">
      <c r="A21" s="164" t="s">
        <v>77</v>
      </c>
      <c r="B21" s="164" t="s">
        <v>299</v>
      </c>
      <c r="C21" s="165">
        <v>0.64583333333333337</v>
      </c>
      <c r="D21" s="164" t="s">
        <v>101</v>
      </c>
      <c r="E21" s="164" t="s">
        <v>51</v>
      </c>
      <c r="F21" s="164" t="s">
        <v>300</v>
      </c>
      <c r="G21" s="297"/>
      <c r="H21" s="167" t="s">
        <v>135</v>
      </c>
      <c r="I21" s="188">
        <v>0.53890000000000005</v>
      </c>
      <c r="J21" s="169">
        <v>97</v>
      </c>
      <c r="K21" s="170">
        <v>45980</v>
      </c>
      <c r="L21" s="169">
        <v>23</v>
      </c>
      <c r="M21" s="169">
        <v>2</v>
      </c>
      <c r="N21" s="169">
        <v>3</v>
      </c>
      <c r="O21" s="171" t="s">
        <v>304</v>
      </c>
      <c r="P21" s="172">
        <v>0.64583333333333337</v>
      </c>
      <c r="Q21" s="169">
        <v>180</v>
      </c>
      <c r="R21" s="173" t="s">
        <v>305</v>
      </c>
    </row>
    <row r="22" spans="1:18" ht="18" x14ac:dyDescent="0.3">
      <c r="A22" s="312" t="s">
        <v>252</v>
      </c>
      <c r="B22" s="313"/>
      <c r="C22" s="313"/>
      <c r="D22" s="313"/>
      <c r="E22" s="313"/>
      <c r="F22" s="314"/>
      <c r="G22" s="298"/>
      <c r="H22" s="138"/>
      <c r="I22" s="138"/>
      <c r="J22" s="138"/>
      <c r="K22" s="138"/>
      <c r="L22" s="138"/>
      <c r="M22" s="138"/>
      <c r="N22" s="138"/>
      <c r="O22" s="139"/>
      <c r="P22" s="138"/>
      <c r="Q22" s="99"/>
      <c r="R22" s="99"/>
    </row>
    <row r="23" spans="1:18" ht="15" customHeight="1" x14ac:dyDescent="0.3">
      <c r="A23" s="17" t="s">
        <v>41</v>
      </c>
      <c r="B23" s="17" t="s">
        <v>42</v>
      </c>
      <c r="C23" s="18" t="s">
        <v>237</v>
      </c>
      <c r="D23" s="17" t="s">
        <v>43</v>
      </c>
      <c r="E23" s="17" t="s">
        <v>275</v>
      </c>
      <c r="F23" s="17" t="s">
        <v>93</v>
      </c>
      <c r="G23" s="298"/>
      <c r="H23" s="138"/>
      <c r="I23" s="138"/>
      <c r="J23" s="138"/>
      <c r="K23" s="138"/>
      <c r="L23" s="138"/>
      <c r="M23" s="138"/>
      <c r="N23" s="138"/>
      <c r="O23" s="139"/>
      <c r="P23" s="138"/>
      <c r="Q23" s="99"/>
      <c r="R23" s="99"/>
    </row>
    <row r="24" spans="1:18" ht="15" customHeight="1" x14ac:dyDescent="0.3">
      <c r="A24" s="17" t="s">
        <v>26</v>
      </c>
      <c r="B24" s="17" t="s">
        <v>36</v>
      </c>
      <c r="C24" s="18" t="s">
        <v>238</v>
      </c>
      <c r="D24" s="17" t="s">
        <v>28</v>
      </c>
      <c r="E24" s="17" t="s">
        <v>275</v>
      </c>
      <c r="F24" s="17" t="s">
        <v>33</v>
      </c>
      <c r="G24" s="298"/>
      <c r="H24" s="138"/>
      <c r="I24" s="138"/>
      <c r="J24" s="138"/>
      <c r="K24" s="138"/>
      <c r="L24" s="138"/>
      <c r="M24" s="138"/>
      <c r="N24" s="138"/>
      <c r="O24" s="139"/>
      <c r="P24" s="138"/>
      <c r="Q24" s="99"/>
      <c r="R24" s="99"/>
    </row>
    <row r="25" spans="1:18" ht="15" customHeight="1" x14ac:dyDescent="0.3">
      <c r="A25" s="17" t="s">
        <v>41</v>
      </c>
      <c r="B25" s="17" t="s">
        <v>42</v>
      </c>
      <c r="C25" s="18" t="s">
        <v>237</v>
      </c>
      <c r="D25" s="17" t="s">
        <v>45</v>
      </c>
      <c r="E25" s="17" t="s">
        <v>275</v>
      </c>
      <c r="F25" s="17" t="s">
        <v>95</v>
      </c>
      <c r="G25" s="298"/>
      <c r="H25" s="138"/>
      <c r="I25" s="138"/>
      <c r="J25" s="138"/>
      <c r="K25" s="138"/>
      <c r="L25" s="138"/>
      <c r="M25" s="138"/>
      <c r="N25" s="138"/>
      <c r="O25" s="139"/>
      <c r="P25" s="138"/>
      <c r="Q25" s="99"/>
      <c r="R25" s="99"/>
    </row>
    <row r="26" spans="1:18" ht="15" customHeight="1" x14ac:dyDescent="0.3">
      <c r="A26" s="17" t="s">
        <v>26</v>
      </c>
      <c r="B26" s="17" t="s">
        <v>27</v>
      </c>
      <c r="C26" s="18" t="s">
        <v>236</v>
      </c>
      <c r="D26" s="17" t="s">
        <v>28</v>
      </c>
      <c r="E26" s="17" t="s">
        <v>253</v>
      </c>
      <c r="F26" s="17" t="s">
        <v>122</v>
      </c>
      <c r="G26" s="298"/>
      <c r="H26" s="138"/>
      <c r="I26" s="138"/>
      <c r="J26" s="138"/>
      <c r="K26" s="138"/>
      <c r="L26" s="138"/>
      <c r="M26" s="138"/>
      <c r="N26" s="138"/>
      <c r="O26" s="139"/>
      <c r="P26" s="138"/>
      <c r="Q26" s="99"/>
      <c r="R26" s="99"/>
    </row>
    <row r="27" spans="1:18" ht="15" customHeight="1" x14ac:dyDescent="0.3">
      <c r="A27" s="17" t="s">
        <v>26</v>
      </c>
      <c r="B27" s="17" t="s">
        <v>36</v>
      </c>
      <c r="C27" s="18" t="s">
        <v>238</v>
      </c>
      <c r="D27" s="17" t="s">
        <v>31</v>
      </c>
      <c r="E27" s="17" t="s">
        <v>275</v>
      </c>
      <c r="F27" s="17" t="s">
        <v>39</v>
      </c>
      <c r="G27" s="298"/>
      <c r="H27" s="138"/>
      <c r="I27" s="138"/>
      <c r="J27" s="138"/>
      <c r="K27" s="138"/>
      <c r="L27" s="138"/>
      <c r="M27" s="138"/>
      <c r="N27" s="138"/>
      <c r="O27" s="139"/>
      <c r="P27" s="138"/>
      <c r="Q27" s="99"/>
      <c r="R27" s="99"/>
    </row>
    <row r="28" spans="1:18" ht="15" customHeight="1" x14ac:dyDescent="0.3">
      <c r="A28" s="17" t="s">
        <v>48</v>
      </c>
      <c r="B28" s="17" t="s">
        <v>49</v>
      </c>
      <c r="C28" s="18" t="s">
        <v>239</v>
      </c>
      <c r="D28" s="17" t="s">
        <v>50</v>
      </c>
      <c r="E28" s="17" t="s">
        <v>256</v>
      </c>
      <c r="F28" s="17" t="s">
        <v>52</v>
      </c>
      <c r="G28" s="298"/>
      <c r="H28" s="138"/>
      <c r="I28" s="138"/>
      <c r="J28" s="138"/>
      <c r="K28" s="138"/>
      <c r="L28" s="138"/>
      <c r="M28" s="138"/>
      <c r="N28" s="138"/>
      <c r="O28" s="139"/>
      <c r="P28" s="138"/>
      <c r="Q28" s="99"/>
      <c r="R28" s="99"/>
    </row>
    <row r="29" spans="1:18" ht="15" customHeight="1" x14ac:dyDescent="0.3">
      <c r="A29" s="17" t="s">
        <v>48</v>
      </c>
      <c r="B29" s="17" t="s">
        <v>53</v>
      </c>
      <c r="C29" s="18" t="s">
        <v>240</v>
      </c>
      <c r="D29" s="17" t="s">
        <v>50</v>
      </c>
      <c r="E29" s="17" t="s">
        <v>256</v>
      </c>
      <c r="F29" s="17" t="s">
        <v>52</v>
      </c>
      <c r="G29" s="298"/>
      <c r="H29" s="138"/>
      <c r="I29" s="138"/>
      <c r="J29" s="138"/>
      <c r="K29" s="138"/>
      <c r="L29" s="138"/>
      <c r="M29" s="138"/>
      <c r="N29" s="138"/>
      <c r="O29" s="139"/>
      <c r="P29" s="138"/>
      <c r="Q29" s="99"/>
      <c r="R29" s="99"/>
    </row>
    <row r="30" spans="1:18" ht="15" customHeight="1" x14ac:dyDescent="0.3">
      <c r="A30" s="17" t="s">
        <v>26</v>
      </c>
      <c r="B30" s="17" t="s">
        <v>27</v>
      </c>
      <c r="C30" s="18" t="s">
        <v>236</v>
      </c>
      <c r="D30" s="17" t="s">
        <v>31</v>
      </c>
      <c r="E30" s="17" t="s">
        <v>253</v>
      </c>
      <c r="F30" s="17" t="s">
        <v>123</v>
      </c>
      <c r="G30" s="298"/>
      <c r="H30" s="138"/>
      <c r="I30" s="138"/>
      <c r="J30" s="138"/>
      <c r="K30" s="138"/>
      <c r="L30" s="138"/>
      <c r="M30" s="138"/>
      <c r="N30" s="138"/>
      <c r="O30" s="139"/>
      <c r="P30" s="138"/>
      <c r="Q30" s="99"/>
      <c r="R30" s="99"/>
    </row>
    <row r="31" spans="1:18" ht="15" customHeight="1" x14ac:dyDescent="0.3">
      <c r="A31" s="17" t="s">
        <v>26</v>
      </c>
      <c r="B31" s="17" t="s">
        <v>36</v>
      </c>
      <c r="C31" s="18" t="s">
        <v>238</v>
      </c>
      <c r="D31" s="17" t="s">
        <v>34</v>
      </c>
      <c r="E31" s="17" t="s">
        <v>275</v>
      </c>
      <c r="F31" s="17" t="s">
        <v>40</v>
      </c>
      <c r="G31" s="298"/>
      <c r="H31" s="138"/>
      <c r="I31" s="138"/>
      <c r="J31" s="138"/>
      <c r="K31" s="138"/>
      <c r="L31" s="138"/>
      <c r="M31" s="138"/>
      <c r="N31" s="138"/>
      <c r="O31" s="139"/>
      <c r="P31" s="138"/>
      <c r="Q31" s="99"/>
      <c r="R31" s="99"/>
    </row>
    <row r="32" spans="1:18" ht="15" customHeight="1" thickBot="1" x14ac:dyDescent="0.35">
      <c r="A32" s="39" t="s">
        <v>60</v>
      </c>
      <c r="B32" s="39" t="s">
        <v>61</v>
      </c>
      <c r="C32" s="40" t="s">
        <v>241</v>
      </c>
      <c r="D32" s="39" t="s">
        <v>62</v>
      </c>
      <c r="E32" s="39" t="s">
        <v>256</v>
      </c>
      <c r="F32" s="39" t="s">
        <v>64</v>
      </c>
      <c r="G32" s="299"/>
      <c r="H32" s="140"/>
      <c r="I32" s="140"/>
      <c r="J32" s="140"/>
      <c r="K32" s="140"/>
      <c r="L32" s="140"/>
      <c r="M32" s="140"/>
      <c r="N32" s="140"/>
      <c r="O32" s="141"/>
      <c r="P32" s="140"/>
      <c r="Q32" s="142"/>
      <c r="R32" s="142"/>
    </row>
    <row r="33" spans="1:18" ht="17.399999999999999" customHeight="1" thickBot="1" x14ac:dyDescent="0.35">
      <c r="A33" s="329"/>
      <c r="B33" s="330"/>
      <c r="C33" s="330"/>
      <c r="D33" s="330"/>
      <c r="E33" s="330"/>
      <c r="F33" s="330"/>
      <c r="G33" s="330"/>
      <c r="H33" s="330"/>
      <c r="I33" s="330"/>
      <c r="J33" s="330"/>
      <c r="K33" s="330"/>
      <c r="L33" s="330"/>
      <c r="M33" s="330"/>
      <c r="N33" s="330"/>
      <c r="O33" s="330"/>
      <c r="P33" s="330"/>
      <c r="Q33" s="330"/>
      <c r="R33" s="331"/>
    </row>
    <row r="34" spans="1:18" ht="22.05" customHeight="1" thickTop="1" thickBot="1" x14ac:dyDescent="0.35">
      <c r="A34" s="300" t="s">
        <v>6</v>
      </c>
      <c r="B34" s="295"/>
      <c r="C34" s="295"/>
      <c r="D34" s="295"/>
      <c r="E34" s="295"/>
      <c r="F34" s="296"/>
      <c r="G34" s="31">
        <v>45987</v>
      </c>
      <c r="H34" s="294" t="s">
        <v>7</v>
      </c>
      <c r="I34" s="295"/>
      <c r="J34" s="295"/>
      <c r="K34" s="295"/>
      <c r="L34" s="295"/>
      <c r="M34" s="295"/>
      <c r="N34" s="295"/>
      <c r="O34" s="295"/>
      <c r="P34" s="295"/>
      <c r="Q34" s="295"/>
      <c r="R34" s="296"/>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15" customHeight="1" x14ac:dyDescent="0.3">
      <c r="A36" s="55" t="s">
        <v>77</v>
      </c>
      <c r="B36" s="55" t="s">
        <v>306</v>
      </c>
      <c r="C36" s="56">
        <v>0.46180555555555558</v>
      </c>
      <c r="D36" s="55" t="s">
        <v>101</v>
      </c>
      <c r="E36" s="55" t="s">
        <v>63</v>
      </c>
      <c r="F36" s="55" t="s">
        <v>300</v>
      </c>
      <c r="G36" s="304"/>
      <c r="H36" s="57" t="s">
        <v>307</v>
      </c>
      <c r="I36" s="189">
        <v>0.73329999999999995</v>
      </c>
      <c r="J36" s="59">
        <v>132</v>
      </c>
      <c r="K36" s="60">
        <v>45980</v>
      </c>
      <c r="L36" s="59">
        <v>40</v>
      </c>
      <c r="M36" s="59">
        <v>5</v>
      </c>
      <c r="N36" s="59">
        <v>3</v>
      </c>
      <c r="O36" s="61" t="s">
        <v>215</v>
      </c>
      <c r="P36" s="62">
        <v>0.46180555555555558</v>
      </c>
      <c r="Q36" s="59">
        <v>180</v>
      </c>
      <c r="R36" s="63" t="s">
        <v>308</v>
      </c>
    </row>
    <row r="37" spans="1:18" ht="18" x14ac:dyDescent="0.3">
      <c r="A37" s="312" t="s">
        <v>252</v>
      </c>
      <c r="B37" s="313"/>
      <c r="C37" s="313"/>
      <c r="D37" s="313"/>
      <c r="E37" s="313"/>
      <c r="F37" s="314"/>
      <c r="G37" s="298"/>
      <c r="H37" s="138"/>
      <c r="I37" s="138"/>
      <c r="J37" s="138"/>
      <c r="K37" s="138"/>
      <c r="L37" s="138"/>
      <c r="M37" s="138"/>
      <c r="N37" s="138"/>
      <c r="O37" s="139"/>
      <c r="P37" s="138"/>
      <c r="Q37" s="99"/>
      <c r="R37" s="99"/>
    </row>
    <row r="38" spans="1:18" ht="15" customHeight="1" x14ac:dyDescent="0.3">
      <c r="A38" s="17" t="s">
        <v>41</v>
      </c>
      <c r="B38" s="17" t="s">
        <v>42</v>
      </c>
      <c r="C38" s="18" t="s">
        <v>237</v>
      </c>
      <c r="D38" s="17" t="s">
        <v>43</v>
      </c>
      <c r="E38" s="17" t="s">
        <v>254</v>
      </c>
      <c r="F38" s="17" t="s">
        <v>33</v>
      </c>
      <c r="G38" s="298"/>
      <c r="H38" s="138"/>
      <c r="I38" s="138"/>
      <c r="J38" s="138"/>
      <c r="K38" s="138"/>
      <c r="L38" s="138"/>
      <c r="M38" s="138"/>
      <c r="N38" s="138"/>
      <c r="O38" s="139"/>
      <c r="P38" s="138"/>
      <c r="Q38" s="99"/>
      <c r="R38" s="99"/>
    </row>
    <row r="39" spans="1:18" ht="15" customHeight="1" x14ac:dyDescent="0.3">
      <c r="A39" s="17" t="s">
        <v>41</v>
      </c>
      <c r="B39" s="17" t="s">
        <v>42</v>
      </c>
      <c r="C39" s="18" t="s">
        <v>237</v>
      </c>
      <c r="D39" s="17" t="s">
        <v>45</v>
      </c>
      <c r="E39" s="17" t="s">
        <v>254</v>
      </c>
      <c r="F39" s="17" t="s">
        <v>132</v>
      </c>
      <c r="G39" s="298"/>
      <c r="H39" s="138"/>
      <c r="I39" s="138"/>
      <c r="J39" s="138"/>
      <c r="K39" s="138"/>
      <c r="L39" s="138"/>
      <c r="M39" s="138"/>
      <c r="N39" s="138"/>
      <c r="O39" s="139"/>
      <c r="P39" s="138"/>
      <c r="Q39" s="99"/>
      <c r="R39" s="99"/>
    </row>
    <row r="40" spans="1:18" ht="15" customHeight="1" x14ac:dyDescent="0.3">
      <c r="A40" s="17" t="s">
        <v>41</v>
      </c>
      <c r="B40" s="17" t="s">
        <v>42</v>
      </c>
      <c r="C40" s="18" t="s">
        <v>237</v>
      </c>
      <c r="D40" s="17" t="s">
        <v>46</v>
      </c>
      <c r="E40" s="17" t="s">
        <v>254</v>
      </c>
      <c r="F40" s="17" t="s">
        <v>47</v>
      </c>
      <c r="G40" s="298"/>
      <c r="H40" s="138"/>
      <c r="I40" s="138"/>
      <c r="J40" s="138"/>
      <c r="K40" s="138"/>
      <c r="L40" s="138"/>
      <c r="M40" s="138"/>
      <c r="N40" s="138"/>
      <c r="O40" s="139"/>
      <c r="P40" s="138"/>
      <c r="Q40" s="99"/>
      <c r="R40" s="99"/>
    </row>
    <row r="41" spans="1:18" ht="15" customHeight="1" x14ac:dyDescent="0.3">
      <c r="A41" s="17" t="s">
        <v>26</v>
      </c>
      <c r="B41" s="17" t="s">
        <v>36</v>
      </c>
      <c r="C41" s="18" t="s">
        <v>238</v>
      </c>
      <c r="D41" s="17" t="s">
        <v>28</v>
      </c>
      <c r="E41" s="17" t="s">
        <v>269</v>
      </c>
      <c r="F41" s="17" t="s">
        <v>124</v>
      </c>
      <c r="G41" s="298"/>
      <c r="H41" s="138"/>
      <c r="I41" s="138"/>
      <c r="J41" s="138"/>
      <c r="K41" s="138"/>
      <c r="L41" s="138"/>
      <c r="M41" s="138"/>
      <c r="N41" s="138"/>
      <c r="O41" s="139"/>
      <c r="P41" s="138"/>
      <c r="Q41" s="99"/>
      <c r="R41" s="99"/>
    </row>
    <row r="42" spans="1:18" ht="15" customHeight="1" x14ac:dyDescent="0.3">
      <c r="A42" s="17" t="s">
        <v>26</v>
      </c>
      <c r="B42" s="17" t="s">
        <v>36</v>
      </c>
      <c r="C42" s="18" t="s">
        <v>238</v>
      </c>
      <c r="D42" s="17" t="s">
        <v>31</v>
      </c>
      <c r="E42" s="17" t="s">
        <v>269</v>
      </c>
      <c r="F42" s="17" t="s">
        <v>140</v>
      </c>
      <c r="G42" s="298"/>
      <c r="H42" s="138"/>
      <c r="I42" s="138"/>
      <c r="J42" s="138"/>
      <c r="K42" s="138"/>
      <c r="L42" s="138"/>
      <c r="M42" s="138"/>
      <c r="N42" s="138"/>
      <c r="O42" s="139"/>
      <c r="P42" s="138"/>
      <c r="Q42" s="99"/>
      <c r="R42" s="99"/>
    </row>
    <row r="43" spans="1:18" ht="15" customHeight="1" x14ac:dyDescent="0.3">
      <c r="A43" s="17" t="s">
        <v>26</v>
      </c>
      <c r="B43" s="17" t="s">
        <v>36</v>
      </c>
      <c r="C43" s="18" t="s">
        <v>238</v>
      </c>
      <c r="D43" s="17" t="s">
        <v>34</v>
      </c>
      <c r="E43" s="17" t="s">
        <v>269</v>
      </c>
      <c r="F43" s="17" t="s">
        <v>141</v>
      </c>
      <c r="G43" s="298"/>
      <c r="H43" s="138"/>
      <c r="I43" s="138"/>
      <c r="J43" s="138"/>
      <c r="K43" s="138"/>
      <c r="L43" s="138"/>
      <c r="M43" s="138"/>
      <c r="N43" s="138"/>
      <c r="O43" s="139"/>
      <c r="P43" s="138"/>
      <c r="Q43" s="99"/>
      <c r="R43" s="99"/>
    </row>
    <row r="44" spans="1:18" ht="15" customHeight="1" x14ac:dyDescent="0.3">
      <c r="A44" s="17" t="s">
        <v>60</v>
      </c>
      <c r="B44" s="17" t="s">
        <v>68</v>
      </c>
      <c r="C44" s="18" t="s">
        <v>270</v>
      </c>
      <c r="D44" s="17" t="s">
        <v>65</v>
      </c>
      <c r="E44" s="17" t="s">
        <v>255</v>
      </c>
      <c r="F44" s="17" t="s">
        <v>70</v>
      </c>
      <c r="G44" s="298"/>
      <c r="H44" s="138"/>
      <c r="I44" s="138"/>
      <c r="J44" s="138"/>
      <c r="K44" s="138"/>
      <c r="L44" s="138"/>
      <c r="M44" s="138"/>
      <c r="N44" s="138"/>
      <c r="O44" s="139"/>
      <c r="P44" s="138"/>
      <c r="Q44" s="99"/>
      <c r="R44" s="99"/>
    </row>
    <row r="45" spans="1:18" ht="15" customHeight="1" x14ac:dyDescent="0.3">
      <c r="A45" s="17" t="s">
        <v>60</v>
      </c>
      <c r="B45" s="17" t="s">
        <v>74</v>
      </c>
      <c r="C45" s="18" t="s">
        <v>245</v>
      </c>
      <c r="D45" s="17" t="s">
        <v>65</v>
      </c>
      <c r="E45" s="17" t="s">
        <v>256</v>
      </c>
      <c r="F45" s="17" t="s">
        <v>70</v>
      </c>
      <c r="G45" s="298"/>
      <c r="H45" s="138"/>
      <c r="I45" s="138"/>
      <c r="J45" s="138"/>
      <c r="K45" s="138"/>
      <c r="L45" s="138"/>
      <c r="M45" s="138"/>
      <c r="N45" s="138"/>
      <c r="O45" s="139"/>
      <c r="P45" s="138"/>
      <c r="Q45" s="99"/>
      <c r="R45" s="99"/>
    </row>
    <row r="46" spans="1:18" ht="15" customHeight="1" x14ac:dyDescent="0.3">
      <c r="A46" s="17" t="s">
        <v>60</v>
      </c>
      <c r="B46" s="17" t="s">
        <v>61</v>
      </c>
      <c r="C46" s="18" t="s">
        <v>241</v>
      </c>
      <c r="D46" s="17" t="s">
        <v>65</v>
      </c>
      <c r="E46" s="17" t="s">
        <v>256</v>
      </c>
      <c r="F46" s="17" t="s">
        <v>70</v>
      </c>
      <c r="G46" s="298"/>
      <c r="H46" s="138"/>
      <c r="I46" s="138"/>
      <c r="J46" s="138"/>
      <c r="K46" s="138"/>
      <c r="L46" s="138"/>
      <c r="M46" s="138"/>
      <c r="N46" s="138"/>
      <c r="O46" s="139"/>
      <c r="P46" s="138"/>
      <c r="Q46" s="99"/>
      <c r="R46" s="99"/>
    </row>
    <row r="47" spans="1:18" ht="15" customHeight="1" thickBot="1" x14ac:dyDescent="0.35">
      <c r="A47" s="39" t="s">
        <v>60</v>
      </c>
      <c r="B47" s="39" t="s">
        <v>71</v>
      </c>
      <c r="C47" s="40" t="s">
        <v>237</v>
      </c>
      <c r="D47" s="39" t="s">
        <v>65</v>
      </c>
      <c r="E47" s="39" t="s">
        <v>259</v>
      </c>
      <c r="F47" s="39" t="s">
        <v>134</v>
      </c>
      <c r="G47" s="299"/>
      <c r="H47" s="140"/>
      <c r="I47" s="140"/>
      <c r="J47" s="140"/>
      <c r="K47" s="140"/>
      <c r="L47" s="140"/>
      <c r="M47" s="140"/>
      <c r="N47" s="140"/>
      <c r="O47" s="141"/>
      <c r="P47" s="140"/>
      <c r="Q47" s="142"/>
      <c r="R47" s="142"/>
    </row>
    <row r="48" spans="1:18" ht="17.399999999999999" customHeight="1" thickBot="1" x14ac:dyDescent="0.35">
      <c r="A48" s="329"/>
      <c r="B48" s="330"/>
      <c r="C48" s="330"/>
      <c r="D48" s="330"/>
      <c r="E48" s="330"/>
      <c r="F48" s="330"/>
      <c r="G48" s="330"/>
      <c r="H48" s="330"/>
      <c r="I48" s="330"/>
      <c r="J48" s="330"/>
      <c r="K48" s="330"/>
      <c r="L48" s="330"/>
      <c r="M48" s="330"/>
      <c r="N48" s="330"/>
      <c r="O48" s="330"/>
      <c r="P48" s="330"/>
      <c r="Q48" s="330"/>
      <c r="R48" s="331"/>
    </row>
    <row r="49" spans="1:18" ht="22.05" customHeight="1" thickTop="1" thickBot="1" x14ac:dyDescent="0.35">
      <c r="A49" s="300" t="s">
        <v>6</v>
      </c>
      <c r="B49" s="295"/>
      <c r="C49" s="295"/>
      <c r="D49" s="295"/>
      <c r="E49" s="295"/>
      <c r="F49" s="296"/>
      <c r="G49" s="31">
        <v>45990</v>
      </c>
      <c r="H49" s="294" t="s">
        <v>7</v>
      </c>
      <c r="I49" s="295"/>
      <c r="J49" s="295"/>
      <c r="K49" s="295"/>
      <c r="L49" s="295"/>
      <c r="M49" s="295"/>
      <c r="N49" s="295"/>
      <c r="O49" s="295"/>
      <c r="P49" s="295"/>
      <c r="Q49" s="295"/>
      <c r="R49" s="296"/>
    </row>
    <row r="50" spans="1:18" ht="24" customHeight="1" x14ac:dyDescent="0.3">
      <c r="A50" s="32" t="s">
        <v>8</v>
      </c>
      <c r="B50" s="32" t="s">
        <v>9</v>
      </c>
      <c r="C50" s="33" t="s">
        <v>10</v>
      </c>
      <c r="D50" s="32" t="s">
        <v>11</v>
      </c>
      <c r="E50" s="32" t="s">
        <v>12</v>
      </c>
      <c r="F50" s="34" t="s">
        <v>13</v>
      </c>
      <c r="G50" s="35" t="s">
        <v>14</v>
      </c>
      <c r="H50" s="32" t="s">
        <v>15</v>
      </c>
      <c r="I50" s="36" t="s">
        <v>16</v>
      </c>
      <c r="J50" s="37" t="s">
        <v>17</v>
      </c>
      <c r="K50" s="38" t="s">
        <v>18</v>
      </c>
      <c r="L50" s="37" t="s">
        <v>19</v>
      </c>
      <c r="M50" s="37" t="s">
        <v>20</v>
      </c>
      <c r="N50" s="37" t="s">
        <v>21</v>
      </c>
      <c r="O50" s="32" t="s">
        <v>22</v>
      </c>
      <c r="P50" s="33" t="s">
        <v>23</v>
      </c>
      <c r="Q50" s="37" t="s">
        <v>24</v>
      </c>
      <c r="R50" s="32" t="s">
        <v>25</v>
      </c>
    </row>
    <row r="51" spans="1:18" ht="15" customHeight="1" x14ac:dyDescent="0.3">
      <c r="A51" s="55" t="s">
        <v>77</v>
      </c>
      <c r="B51" s="55" t="s">
        <v>299</v>
      </c>
      <c r="C51" s="56">
        <v>0.80208333333333337</v>
      </c>
      <c r="D51" s="55" t="s">
        <v>101</v>
      </c>
      <c r="E51" s="55" t="s">
        <v>96</v>
      </c>
      <c r="F51" s="55" t="s">
        <v>300</v>
      </c>
      <c r="G51" s="297"/>
      <c r="H51" s="57" t="s">
        <v>135</v>
      </c>
      <c r="I51" s="189">
        <v>0.77780000000000005</v>
      </c>
      <c r="J51" s="59">
        <v>140</v>
      </c>
      <c r="K51" s="60">
        <v>45980</v>
      </c>
      <c r="L51" s="59">
        <v>15</v>
      </c>
      <c r="M51" s="59">
        <v>2</v>
      </c>
      <c r="N51" s="59">
        <v>4</v>
      </c>
      <c r="O51" s="61" t="s">
        <v>309</v>
      </c>
      <c r="P51" s="62">
        <v>0.80208333333333337</v>
      </c>
      <c r="Q51" s="59">
        <v>180</v>
      </c>
      <c r="R51" s="63" t="s">
        <v>310</v>
      </c>
    </row>
    <row r="52" spans="1:18" ht="18" x14ac:dyDescent="0.3">
      <c r="A52" s="312" t="s">
        <v>252</v>
      </c>
      <c r="B52" s="313"/>
      <c r="C52" s="313"/>
      <c r="D52" s="313"/>
      <c r="E52" s="313"/>
      <c r="F52" s="314"/>
      <c r="G52" s="298"/>
      <c r="H52" s="138"/>
      <c r="I52" s="138"/>
      <c r="J52" s="138"/>
      <c r="K52" s="138"/>
      <c r="L52" s="138"/>
      <c r="M52" s="138"/>
      <c r="N52" s="138"/>
      <c r="O52" s="139"/>
      <c r="P52" s="138"/>
      <c r="Q52" s="99"/>
      <c r="R52" s="99"/>
    </row>
    <row r="53" spans="1:18" ht="15" customHeight="1" x14ac:dyDescent="0.3">
      <c r="A53" s="17" t="s">
        <v>41</v>
      </c>
      <c r="B53" s="17" t="s">
        <v>42</v>
      </c>
      <c r="C53" s="18" t="s">
        <v>237</v>
      </c>
      <c r="D53" s="17" t="s">
        <v>43</v>
      </c>
      <c r="E53" s="17" t="s">
        <v>255</v>
      </c>
      <c r="F53" s="17" t="s">
        <v>33</v>
      </c>
      <c r="G53" s="298"/>
      <c r="H53" s="138"/>
      <c r="I53" s="138"/>
      <c r="J53" s="138"/>
      <c r="K53" s="138"/>
      <c r="L53" s="138"/>
      <c r="M53" s="138"/>
      <c r="N53" s="138"/>
      <c r="O53" s="139"/>
      <c r="P53" s="138"/>
      <c r="Q53" s="99"/>
      <c r="R53" s="99"/>
    </row>
    <row r="54" spans="1:18" ht="15" customHeight="1" x14ac:dyDescent="0.3">
      <c r="A54" s="17" t="s">
        <v>26</v>
      </c>
      <c r="B54" s="17" t="s">
        <v>27</v>
      </c>
      <c r="C54" s="18" t="s">
        <v>236</v>
      </c>
      <c r="D54" s="17" t="s">
        <v>28</v>
      </c>
      <c r="E54" s="17" t="s">
        <v>259</v>
      </c>
      <c r="F54" s="17" t="s">
        <v>153</v>
      </c>
      <c r="G54" s="298"/>
      <c r="H54" s="138"/>
      <c r="I54" s="138"/>
      <c r="J54" s="138"/>
      <c r="K54" s="138"/>
      <c r="L54" s="138"/>
      <c r="M54" s="138"/>
      <c r="N54" s="138"/>
      <c r="O54" s="139"/>
      <c r="P54" s="138"/>
      <c r="Q54" s="99"/>
      <c r="R54" s="99"/>
    </row>
    <row r="55" spans="1:18" ht="15" customHeight="1" x14ac:dyDescent="0.3">
      <c r="A55" s="17" t="s">
        <v>26</v>
      </c>
      <c r="B55" s="17" t="s">
        <v>27</v>
      </c>
      <c r="C55" s="18" t="s">
        <v>236</v>
      </c>
      <c r="D55" s="17" t="s">
        <v>31</v>
      </c>
      <c r="E55" s="17" t="s">
        <v>259</v>
      </c>
      <c r="F55" s="17" t="s">
        <v>154</v>
      </c>
      <c r="G55" s="298"/>
      <c r="H55" s="138"/>
      <c r="I55" s="138"/>
      <c r="J55" s="138"/>
      <c r="K55" s="138"/>
      <c r="L55" s="138"/>
      <c r="M55" s="138"/>
      <c r="N55" s="138"/>
      <c r="O55" s="139"/>
      <c r="P55" s="138"/>
      <c r="Q55" s="99"/>
      <c r="R55" s="99"/>
    </row>
    <row r="56" spans="1:18" ht="15" customHeight="1" x14ac:dyDescent="0.3">
      <c r="A56" s="17" t="s">
        <v>26</v>
      </c>
      <c r="B56" s="17" t="s">
        <v>36</v>
      </c>
      <c r="C56" s="18" t="s">
        <v>238</v>
      </c>
      <c r="D56" s="17" t="s">
        <v>28</v>
      </c>
      <c r="E56" s="17" t="s">
        <v>275</v>
      </c>
      <c r="F56" s="17" t="s">
        <v>149</v>
      </c>
      <c r="G56" s="298"/>
      <c r="H56" s="138"/>
      <c r="I56" s="138"/>
      <c r="J56" s="138"/>
      <c r="K56" s="138"/>
      <c r="L56" s="138"/>
      <c r="M56" s="138"/>
      <c r="N56" s="138"/>
      <c r="O56" s="139"/>
      <c r="P56" s="138"/>
      <c r="Q56" s="99"/>
      <c r="R56" s="99"/>
    </row>
    <row r="57" spans="1:18" ht="15" customHeight="1" x14ac:dyDescent="0.3">
      <c r="A57" s="17" t="s">
        <v>41</v>
      </c>
      <c r="B57" s="17" t="s">
        <v>42</v>
      </c>
      <c r="C57" s="18" t="s">
        <v>237</v>
      </c>
      <c r="D57" s="17" t="s">
        <v>45</v>
      </c>
      <c r="E57" s="17" t="s">
        <v>255</v>
      </c>
      <c r="F57" s="17" t="s">
        <v>132</v>
      </c>
      <c r="G57" s="298"/>
      <c r="H57" s="138"/>
      <c r="I57" s="138"/>
      <c r="J57" s="138"/>
      <c r="K57" s="138"/>
      <c r="L57" s="138"/>
      <c r="M57" s="138"/>
      <c r="N57" s="138"/>
      <c r="O57" s="139"/>
      <c r="P57" s="138"/>
      <c r="Q57" s="99"/>
      <c r="R57" s="99"/>
    </row>
    <row r="58" spans="1:18" ht="15" customHeight="1" x14ac:dyDescent="0.3">
      <c r="A58" s="17" t="s">
        <v>41</v>
      </c>
      <c r="B58" s="17" t="s">
        <v>42</v>
      </c>
      <c r="C58" s="18" t="s">
        <v>237</v>
      </c>
      <c r="D58" s="17" t="s">
        <v>46</v>
      </c>
      <c r="E58" s="17" t="s">
        <v>255</v>
      </c>
      <c r="F58" s="17" t="s">
        <v>47</v>
      </c>
      <c r="G58" s="298"/>
      <c r="H58" s="138"/>
      <c r="I58" s="138"/>
      <c r="J58" s="138"/>
      <c r="K58" s="138"/>
      <c r="L58" s="138"/>
      <c r="M58" s="138"/>
      <c r="N58" s="138"/>
      <c r="O58" s="139"/>
      <c r="P58" s="138"/>
      <c r="Q58" s="99"/>
      <c r="R58" s="99"/>
    </row>
    <row r="59" spans="1:18" ht="15" customHeight="1" x14ac:dyDescent="0.3">
      <c r="A59" s="17" t="s">
        <v>26</v>
      </c>
      <c r="B59" s="17" t="s">
        <v>27</v>
      </c>
      <c r="C59" s="18" t="s">
        <v>236</v>
      </c>
      <c r="D59" s="17" t="s">
        <v>34</v>
      </c>
      <c r="E59" s="17" t="s">
        <v>259</v>
      </c>
      <c r="F59" s="17" t="s">
        <v>47</v>
      </c>
      <c r="G59" s="298"/>
      <c r="H59" s="138"/>
      <c r="I59" s="138"/>
      <c r="J59" s="138"/>
      <c r="K59" s="138"/>
      <c r="L59" s="138"/>
      <c r="M59" s="138"/>
      <c r="N59" s="138"/>
      <c r="O59" s="139"/>
      <c r="P59" s="138"/>
      <c r="Q59" s="99"/>
      <c r="R59" s="99"/>
    </row>
    <row r="60" spans="1:18" ht="15" customHeight="1" x14ac:dyDescent="0.3">
      <c r="A60" s="17" t="s">
        <v>48</v>
      </c>
      <c r="B60" s="17" t="s">
        <v>53</v>
      </c>
      <c r="C60" s="18" t="s">
        <v>240</v>
      </c>
      <c r="D60" s="17" t="s">
        <v>50</v>
      </c>
      <c r="E60" s="17" t="s">
        <v>256</v>
      </c>
      <c r="F60" s="17" t="s">
        <v>56</v>
      </c>
      <c r="G60" s="298"/>
      <c r="H60" s="138"/>
      <c r="I60" s="138"/>
      <c r="J60" s="138"/>
      <c r="K60" s="138"/>
      <c r="L60" s="138"/>
      <c r="M60" s="138"/>
      <c r="N60" s="138"/>
      <c r="O60" s="139"/>
      <c r="P60" s="138"/>
      <c r="Q60" s="99"/>
      <c r="R60" s="99"/>
    </row>
    <row r="61" spans="1:18" ht="15" customHeight="1" x14ac:dyDescent="0.3">
      <c r="A61" s="17" t="s">
        <v>26</v>
      </c>
      <c r="B61" s="17" t="s">
        <v>36</v>
      </c>
      <c r="C61" s="18" t="s">
        <v>238</v>
      </c>
      <c r="D61" s="17" t="s">
        <v>31</v>
      </c>
      <c r="E61" s="17" t="s">
        <v>275</v>
      </c>
      <c r="F61" s="17" t="s">
        <v>150</v>
      </c>
      <c r="G61" s="298"/>
      <c r="H61" s="138"/>
      <c r="I61" s="138"/>
      <c r="J61" s="138"/>
      <c r="K61" s="138"/>
      <c r="L61" s="138"/>
      <c r="M61" s="138"/>
      <c r="N61" s="138"/>
      <c r="O61" s="139"/>
      <c r="P61" s="138"/>
      <c r="Q61" s="99"/>
      <c r="R61" s="99"/>
    </row>
    <row r="62" spans="1:18" ht="15" customHeight="1" thickBot="1" x14ac:dyDescent="0.35">
      <c r="A62" s="39" t="s">
        <v>48</v>
      </c>
      <c r="B62" s="39" t="s">
        <v>55</v>
      </c>
      <c r="C62" s="40" t="s">
        <v>242</v>
      </c>
      <c r="D62" s="39" t="s">
        <v>50</v>
      </c>
      <c r="E62" s="39" t="s">
        <v>256</v>
      </c>
      <c r="F62" s="39" t="s">
        <v>91</v>
      </c>
      <c r="G62" s="299"/>
      <c r="H62" s="140"/>
      <c r="I62" s="140"/>
      <c r="J62" s="140"/>
      <c r="K62" s="140"/>
      <c r="L62" s="140"/>
      <c r="M62" s="140"/>
      <c r="N62" s="140"/>
      <c r="O62" s="141"/>
      <c r="P62" s="140"/>
      <c r="Q62" s="142"/>
      <c r="R62" s="142"/>
    </row>
    <row r="63" spans="1:18" ht="17.399999999999999" customHeight="1" thickBot="1" x14ac:dyDescent="0.35">
      <c r="A63" s="329"/>
      <c r="B63" s="330"/>
      <c r="C63" s="330"/>
      <c r="D63" s="330"/>
      <c r="E63" s="330"/>
      <c r="F63" s="330"/>
      <c r="G63" s="330"/>
      <c r="H63" s="330"/>
      <c r="I63" s="330"/>
      <c r="J63" s="330"/>
      <c r="K63" s="330"/>
      <c r="L63" s="330"/>
      <c r="M63" s="330"/>
      <c r="N63" s="330"/>
      <c r="O63" s="330"/>
      <c r="P63" s="330"/>
      <c r="Q63" s="330"/>
      <c r="R63" s="331"/>
    </row>
    <row r="64" spans="1:18" ht="15" thickTop="1" x14ac:dyDescent="0.3"/>
  </sheetData>
  <mergeCells count="27">
    <mergeCell ref="N1:R1"/>
    <mergeCell ref="A52:F52"/>
    <mergeCell ref="A19:F19"/>
    <mergeCell ref="A63:R63"/>
    <mergeCell ref="K2:R2"/>
    <mergeCell ref="A34:F34"/>
    <mergeCell ref="H19:R19"/>
    <mergeCell ref="G6:G17"/>
    <mergeCell ref="A48:R48"/>
    <mergeCell ref="A49:F49"/>
    <mergeCell ref="A7:F7"/>
    <mergeCell ref="G51:G62"/>
    <mergeCell ref="A37:F37"/>
    <mergeCell ref="H1:L1"/>
    <mergeCell ref="A1:E1"/>
    <mergeCell ref="H4:R4"/>
    <mergeCell ref="A18:R18"/>
    <mergeCell ref="A2:F2"/>
    <mergeCell ref="A3:R3"/>
    <mergeCell ref="H34:R34"/>
    <mergeCell ref="A33:R33"/>
    <mergeCell ref="G21:G32"/>
    <mergeCell ref="A22:F22"/>
    <mergeCell ref="G2:J2"/>
    <mergeCell ref="H49:R49"/>
    <mergeCell ref="A4:F4"/>
    <mergeCell ref="G36:G4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6"/>
  <sheetViews>
    <sheetView workbookViewId="0"/>
  </sheetViews>
  <sheetFormatPr defaultRowHeight="15.6" outlineLevelCol="1" x14ac:dyDescent="0.3"/>
  <cols>
    <col min="1" max="1" width="11.5546875" style="316" bestFit="1" customWidth="1"/>
    <col min="2" max="2" width="10.44140625" style="316" bestFit="1" customWidth="1"/>
    <col min="3" max="3" width="6.77734375" style="316" bestFit="1" customWidth="1"/>
    <col min="4" max="4" width="5.5546875" style="316" bestFit="1" customWidth="1"/>
    <col min="5" max="5" width="8.7773437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6" width="3.88671875" style="316" bestFit="1" customWidth="1"/>
    <col min="27" max="27" width="4" style="316" bestFit="1" customWidth="1"/>
    <col min="28" max="28" width="3.88671875" style="316" bestFit="1" customWidth="1"/>
    <col min="29" max="29" width="4.21875" style="316" bestFit="1" customWidth="1"/>
    <col min="30" max="31" width="4.5546875" style="316" bestFit="1" customWidth="1"/>
    <col min="32" max="34" width="3.88671875" style="316" bestFit="1" customWidth="1"/>
    <col min="35" max="35" width="5.21875" style="316" bestFit="1" customWidth="1"/>
    <col min="36"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199</v>
      </c>
      <c r="B2" s="318">
        <v>45983</v>
      </c>
      <c r="C2" s="319" t="s">
        <v>135</v>
      </c>
      <c r="D2" s="320" t="s">
        <v>311</v>
      </c>
      <c r="E2" s="319" t="s">
        <v>298</v>
      </c>
      <c r="F2" s="319" t="s">
        <v>189</v>
      </c>
      <c r="G2" s="321">
        <v>0.91110000000000002</v>
      </c>
      <c r="H2" s="322">
        <v>180</v>
      </c>
      <c r="I2" s="322">
        <v>164</v>
      </c>
      <c r="J2" s="322">
        <v>105</v>
      </c>
      <c r="K2" s="319" t="s">
        <v>190</v>
      </c>
      <c r="L2" s="323">
        <v>45980</v>
      </c>
      <c r="M2" s="322">
        <v>2</v>
      </c>
      <c r="N2" s="322">
        <v>3</v>
      </c>
      <c r="O2" s="322">
        <v>21</v>
      </c>
      <c r="P2" s="319" t="s">
        <v>215</v>
      </c>
      <c r="Q2" s="315"/>
      <c r="R2" s="315"/>
      <c r="S2" s="315"/>
      <c r="T2" s="315"/>
      <c r="U2" s="315"/>
      <c r="V2" s="315"/>
      <c r="W2" s="315"/>
      <c r="X2" s="315"/>
      <c r="Y2" s="315"/>
      <c r="Z2" s="322" t="s">
        <v>312</v>
      </c>
      <c r="AA2" s="322" t="s">
        <v>313</v>
      </c>
      <c r="AB2" s="322" t="s">
        <v>309</v>
      </c>
      <c r="AC2" s="322" t="s">
        <v>314</v>
      </c>
      <c r="AD2" s="322" t="s">
        <v>315</v>
      </c>
      <c r="AE2" s="322" t="s">
        <v>316</v>
      </c>
      <c r="AF2" s="322" t="s">
        <v>210</v>
      </c>
      <c r="AG2" s="315"/>
      <c r="AH2" s="315"/>
      <c r="AI2" s="322" t="s">
        <v>317</v>
      </c>
      <c r="AJ2" s="315"/>
    </row>
    <row r="3" spans="1:36" x14ac:dyDescent="0.3">
      <c r="A3" s="317" t="s">
        <v>207</v>
      </c>
      <c r="B3" s="318">
        <v>45985</v>
      </c>
      <c r="C3" s="319" t="s">
        <v>135</v>
      </c>
      <c r="D3" s="320" t="s">
        <v>318</v>
      </c>
      <c r="E3" s="319" t="s">
        <v>298</v>
      </c>
      <c r="F3" s="319" t="s">
        <v>189</v>
      </c>
      <c r="G3" s="321">
        <v>0.53890000000000005</v>
      </c>
      <c r="H3" s="322">
        <v>180</v>
      </c>
      <c r="I3" s="322">
        <v>97</v>
      </c>
      <c r="J3" s="322">
        <v>45</v>
      </c>
      <c r="K3" s="319" t="s">
        <v>190</v>
      </c>
      <c r="L3" s="323">
        <v>45980</v>
      </c>
      <c r="M3" s="322">
        <v>2</v>
      </c>
      <c r="N3" s="322">
        <v>3</v>
      </c>
      <c r="O3" s="322">
        <v>23</v>
      </c>
      <c r="P3" s="319" t="s">
        <v>304</v>
      </c>
      <c r="Q3" s="315"/>
      <c r="R3" s="315"/>
      <c r="S3" s="315"/>
      <c r="T3" s="315"/>
      <c r="U3" s="315"/>
      <c r="V3" s="315"/>
      <c r="W3" s="315"/>
      <c r="X3" s="315"/>
      <c r="Y3" s="315"/>
      <c r="Z3" s="315"/>
      <c r="AA3" s="315"/>
      <c r="AB3" s="322" t="s">
        <v>319</v>
      </c>
      <c r="AC3" s="322" t="s">
        <v>193</v>
      </c>
      <c r="AD3" s="322" t="s">
        <v>216</v>
      </c>
      <c r="AE3" s="322" t="s">
        <v>195</v>
      </c>
      <c r="AF3" s="322" t="s">
        <v>320</v>
      </c>
      <c r="AG3" s="315"/>
      <c r="AH3" s="315"/>
      <c r="AI3" s="322" t="s">
        <v>321</v>
      </c>
      <c r="AJ3" s="315"/>
    </row>
    <row r="4" spans="1:36" x14ac:dyDescent="0.3">
      <c r="A4" s="317" t="s">
        <v>290</v>
      </c>
      <c r="B4" s="318">
        <v>45987</v>
      </c>
      <c r="C4" s="319" t="s">
        <v>307</v>
      </c>
      <c r="D4" s="320" t="s">
        <v>322</v>
      </c>
      <c r="E4" s="319" t="s">
        <v>298</v>
      </c>
      <c r="F4" s="319" t="s">
        <v>189</v>
      </c>
      <c r="G4" s="321">
        <v>0.73329999999999995</v>
      </c>
      <c r="H4" s="322">
        <v>180</v>
      </c>
      <c r="I4" s="322">
        <v>132</v>
      </c>
      <c r="J4" s="322">
        <v>50</v>
      </c>
      <c r="K4" s="319" t="s">
        <v>190</v>
      </c>
      <c r="L4" s="323">
        <v>45980</v>
      </c>
      <c r="M4" s="322">
        <v>5</v>
      </c>
      <c r="N4" s="322">
        <v>3</v>
      </c>
      <c r="O4" s="322">
        <v>40</v>
      </c>
      <c r="P4" s="319" t="s">
        <v>215</v>
      </c>
      <c r="Q4" s="315"/>
      <c r="R4" s="315"/>
      <c r="S4" s="315"/>
      <c r="T4" s="315"/>
      <c r="U4" s="315"/>
      <c r="V4" s="315"/>
      <c r="W4" s="315"/>
      <c r="X4" s="315"/>
      <c r="Y4" s="315"/>
      <c r="Z4" s="315"/>
      <c r="AA4" s="315"/>
      <c r="AB4" s="322" t="s">
        <v>323</v>
      </c>
      <c r="AC4" s="322" t="s">
        <v>324</v>
      </c>
      <c r="AD4" s="322" t="s">
        <v>325</v>
      </c>
      <c r="AE4" s="322" t="s">
        <v>326</v>
      </c>
      <c r="AF4" s="322" t="s">
        <v>327</v>
      </c>
      <c r="AG4" s="315"/>
      <c r="AH4" s="315"/>
      <c r="AI4" s="322" t="s">
        <v>328</v>
      </c>
      <c r="AJ4" s="315"/>
    </row>
    <row r="5" spans="1:36" x14ac:dyDescent="0.3">
      <c r="A5" s="317" t="s">
        <v>199</v>
      </c>
      <c r="B5" s="318">
        <v>45990</v>
      </c>
      <c r="C5" s="319" t="s">
        <v>135</v>
      </c>
      <c r="D5" s="320" t="s">
        <v>311</v>
      </c>
      <c r="E5" s="319" t="s">
        <v>298</v>
      </c>
      <c r="F5" s="319" t="s">
        <v>189</v>
      </c>
      <c r="G5" s="321">
        <v>0.77780000000000005</v>
      </c>
      <c r="H5" s="322">
        <v>180</v>
      </c>
      <c r="I5" s="322">
        <v>140</v>
      </c>
      <c r="J5" s="322">
        <v>90</v>
      </c>
      <c r="K5" s="319" t="s">
        <v>190</v>
      </c>
      <c r="L5" s="323">
        <v>45980</v>
      </c>
      <c r="M5" s="322">
        <v>2</v>
      </c>
      <c r="N5" s="322">
        <v>4</v>
      </c>
      <c r="O5" s="322">
        <v>15</v>
      </c>
      <c r="P5" s="319" t="s">
        <v>309</v>
      </c>
      <c r="Q5" s="322" t="s">
        <v>329</v>
      </c>
      <c r="R5" s="315"/>
      <c r="S5" s="315"/>
      <c r="T5" s="315"/>
      <c r="U5" s="315"/>
      <c r="V5" s="315"/>
      <c r="W5" s="315"/>
      <c r="X5" s="315"/>
      <c r="Y5" s="315"/>
      <c r="Z5" s="322" t="s">
        <v>283</v>
      </c>
      <c r="AA5" s="315"/>
      <c r="AB5" s="322" t="s">
        <v>215</v>
      </c>
      <c r="AC5" s="322" t="s">
        <v>330</v>
      </c>
      <c r="AD5" s="322" t="s">
        <v>331</v>
      </c>
      <c r="AE5" s="322" t="s">
        <v>332</v>
      </c>
      <c r="AF5" s="322" t="s">
        <v>210</v>
      </c>
      <c r="AG5" s="315"/>
      <c r="AH5" s="315"/>
      <c r="AI5" s="322" t="s">
        <v>223</v>
      </c>
      <c r="AJ5" s="315"/>
    </row>
    <row r="6" spans="1:36" ht="21" x14ac:dyDescent="0.3">
      <c r="A6" s="324" t="s">
        <v>1638</v>
      </c>
      <c r="B6" s="325"/>
      <c r="C6" s="324">
        <f>SUBTOTAL(103,ATZ_MED_LF_LEGACY[Flt])</f>
        <v>4</v>
      </c>
      <c r="D6" s="324"/>
      <c r="E6" s="324">
        <f>SUBTOTAL(103,ATZ_MED_LF_LEGACY[Brd-Off])</f>
        <v>4</v>
      </c>
      <c r="F6" s="324"/>
      <c r="G6" s="326">
        <f>SUBTOTAL(101,ATZ_MED_LF_LEGACY[LF%])</f>
        <v>0.74027500000000002</v>
      </c>
      <c r="H6" s="327">
        <f>SUBTOTAL(109,ATZ_MED_LF_LEGACY[CAP])</f>
        <v>720</v>
      </c>
      <c r="I6" s="327">
        <f>SUBTOTAL(109,ATZ_MED_LF_LEGACY[BKG(Y)])</f>
        <v>533</v>
      </c>
      <c r="J6" s="327">
        <f>SUBTOTAL(109,ATZ_MED_LF_LEGACY[GRP(Y)])</f>
        <v>290</v>
      </c>
      <c r="K6" s="324"/>
      <c r="L6" s="325"/>
      <c r="M6" s="327">
        <f>SUBTOTAL(109,ATZ_MED_LF_LEGACY[TO-DAY])</f>
        <v>11</v>
      </c>
      <c r="N6" s="327">
        <f>SUBTOTAL(109,ATZ_MED_LF_LEGACY[Y-DAY])</f>
        <v>13</v>
      </c>
      <c r="O6" s="327">
        <f>SUBTOTAL(109,ATZ_MED_LF_LEGACY[WEEKLY])</f>
        <v>99</v>
      </c>
      <c r="P6" s="328"/>
      <c r="Q6" s="327">
        <f>SUBTOTAL(109,ATZ_MED_LF_LEGACY[Y])</f>
        <v>0</v>
      </c>
      <c r="R6" s="327">
        <f>SUBTOTAL(109,ATZ_MED_LF_LEGACY[B])</f>
        <v>0</v>
      </c>
      <c r="S6" s="327">
        <f>SUBTOTAL(109,ATZ_MED_LF_LEGACY[M])</f>
        <v>0</v>
      </c>
      <c r="T6" s="327">
        <f>SUBTOTAL(109,ATZ_MED_LF_LEGACY[H])</f>
        <v>0</v>
      </c>
      <c r="U6" s="327">
        <f>SUBTOTAL(109,ATZ_MED_LF_LEGACY[Q])</f>
        <v>0</v>
      </c>
      <c r="V6" s="327">
        <f>SUBTOTAL(109,ATZ_MED_LF_LEGACY[K])</f>
        <v>0</v>
      </c>
      <c r="W6" s="327">
        <f>SUBTOTAL(109,ATZ_MED_LF_LEGACY[V])</f>
        <v>0</v>
      </c>
      <c r="X6" s="327">
        <f>SUBTOTAL(109,ATZ_MED_LF_LEGACY[L])</f>
        <v>0</v>
      </c>
      <c r="Y6" s="327">
        <f>SUBTOTAL(109,ATZ_MED_LF_LEGACY[G])</f>
        <v>0</v>
      </c>
      <c r="Z6" s="327">
        <f>SUBTOTAL(109,ATZ_MED_LF_LEGACY[S])</f>
        <v>0</v>
      </c>
      <c r="AA6" s="327">
        <f>SUBTOTAL(109,ATZ_MED_LF_LEGACY[W])</f>
        <v>0</v>
      </c>
      <c r="AB6" s="327">
        <f>SUBTOTAL(109,ATZ_MED_LF_LEGACY[T])</f>
        <v>0</v>
      </c>
      <c r="AC6" s="327">
        <f>SUBTOTAL(109,ATZ_MED_LF_LEGACY[X])</f>
        <v>0</v>
      </c>
      <c r="AD6" s="327">
        <f>SUBTOTAL(109,ATZ_MED_LF_LEGACY[U])</f>
        <v>0</v>
      </c>
      <c r="AE6" s="327">
        <f>SUBTOTAL(109,ATZ_MED_LF_LEGACY[O])</f>
        <v>0</v>
      </c>
      <c r="AF6" s="327">
        <f>SUBTOTAL(109,ATZ_MED_LF_LEGACY[I])</f>
        <v>0</v>
      </c>
      <c r="AG6" s="327">
        <f>SUBTOTAL(109,ATZ_MED_LF_LEGACY[E])</f>
        <v>0</v>
      </c>
      <c r="AH6" s="327">
        <f>SUBTOTAL(109,ATZ_MED_LF_LEGACY[A])</f>
        <v>0</v>
      </c>
      <c r="AI6" s="327">
        <f>SUBTOTAL(109,ATZ_MED_LF_LEGACY[P])</f>
        <v>0</v>
      </c>
      <c r="AJ6" s="327">
        <f>SUBTOTAL(103,ATZ_MED_LF_LEGACY[N])</f>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6"/>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4.664062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75"/>
      <c r="B2" s="176"/>
      <c r="C2" s="176"/>
      <c r="D2" s="176"/>
      <c r="E2" s="176"/>
      <c r="F2" s="177" t="s">
        <v>297</v>
      </c>
      <c r="G2" s="176"/>
      <c r="H2" s="178"/>
    </row>
    <row r="3" spans="1:8" ht="19.8" customHeight="1" x14ac:dyDescent="0.3">
      <c r="A3" s="103" t="s">
        <v>235</v>
      </c>
      <c r="B3" s="104" t="s">
        <v>26</v>
      </c>
      <c r="C3" s="105" t="s">
        <v>27</v>
      </c>
      <c r="D3" s="104" t="s">
        <v>1</v>
      </c>
      <c r="E3" s="104" t="s">
        <v>236</v>
      </c>
      <c r="F3" s="104" t="s">
        <v>28</v>
      </c>
      <c r="G3" s="106">
        <v>5</v>
      </c>
      <c r="H3" s="107" t="s">
        <v>30</v>
      </c>
    </row>
    <row r="4" spans="1:8" ht="19.8" customHeight="1" x14ac:dyDescent="0.3">
      <c r="A4" s="103" t="s">
        <v>235</v>
      </c>
      <c r="B4" s="104" t="s">
        <v>41</v>
      </c>
      <c r="C4" s="105" t="s">
        <v>42</v>
      </c>
      <c r="D4" s="104" t="s">
        <v>1</v>
      </c>
      <c r="E4" s="104" t="s">
        <v>237</v>
      </c>
      <c r="F4" s="104" t="s">
        <v>43</v>
      </c>
      <c r="G4" s="106">
        <v>5</v>
      </c>
      <c r="H4" s="107" t="s">
        <v>44</v>
      </c>
    </row>
    <row r="5" spans="1:8" ht="19.8" customHeight="1" x14ac:dyDescent="0.3">
      <c r="A5" s="103" t="s">
        <v>235</v>
      </c>
      <c r="B5" s="104" t="s">
        <v>26</v>
      </c>
      <c r="C5" s="105" t="s">
        <v>36</v>
      </c>
      <c r="D5" s="104" t="s">
        <v>1</v>
      </c>
      <c r="E5" s="104" t="s">
        <v>238</v>
      </c>
      <c r="F5" s="104" t="s">
        <v>28</v>
      </c>
      <c r="G5" s="106">
        <v>9</v>
      </c>
      <c r="H5" s="107" t="s">
        <v>33</v>
      </c>
    </row>
    <row r="6" spans="1:8" ht="19.8" customHeight="1" x14ac:dyDescent="0.3">
      <c r="A6" s="103" t="s">
        <v>235</v>
      </c>
      <c r="B6" s="104" t="s">
        <v>26</v>
      </c>
      <c r="C6" s="105" t="s">
        <v>27</v>
      </c>
      <c r="D6" s="104" t="s">
        <v>1</v>
      </c>
      <c r="E6" s="104" t="s">
        <v>236</v>
      </c>
      <c r="F6" s="104" t="s">
        <v>31</v>
      </c>
      <c r="G6" s="106">
        <v>5</v>
      </c>
      <c r="H6" s="107" t="s">
        <v>33</v>
      </c>
    </row>
    <row r="7" spans="1:8" ht="19.8" customHeight="1" x14ac:dyDescent="0.3">
      <c r="A7" s="103" t="s">
        <v>235</v>
      </c>
      <c r="B7" s="104" t="s">
        <v>41</v>
      </c>
      <c r="C7" s="105" t="s">
        <v>42</v>
      </c>
      <c r="D7" s="104" t="s">
        <v>1</v>
      </c>
      <c r="E7" s="104" t="s">
        <v>237</v>
      </c>
      <c r="F7" s="104" t="s">
        <v>45</v>
      </c>
      <c r="G7" s="106">
        <v>5</v>
      </c>
      <c r="H7" s="107" t="s">
        <v>35</v>
      </c>
    </row>
    <row r="8" spans="1:8" ht="19.8" customHeight="1" x14ac:dyDescent="0.3">
      <c r="A8" s="103" t="s">
        <v>235</v>
      </c>
      <c r="B8" s="104" t="s">
        <v>26</v>
      </c>
      <c r="C8" s="105" t="s">
        <v>27</v>
      </c>
      <c r="D8" s="104" t="s">
        <v>1</v>
      </c>
      <c r="E8" s="104" t="s">
        <v>236</v>
      </c>
      <c r="F8" s="104" t="s">
        <v>34</v>
      </c>
      <c r="G8" s="106">
        <v>5</v>
      </c>
      <c r="H8" s="107" t="s">
        <v>35</v>
      </c>
    </row>
    <row r="9" spans="1:8" ht="19.8" customHeight="1" x14ac:dyDescent="0.3">
      <c r="A9" s="103" t="s">
        <v>235</v>
      </c>
      <c r="B9" s="104" t="s">
        <v>26</v>
      </c>
      <c r="C9" s="105" t="s">
        <v>36</v>
      </c>
      <c r="D9" s="104" t="s">
        <v>1</v>
      </c>
      <c r="E9" s="104" t="s">
        <v>238</v>
      </c>
      <c r="F9" s="104" t="s">
        <v>31</v>
      </c>
      <c r="G9" s="106">
        <v>9</v>
      </c>
      <c r="H9" s="107" t="s">
        <v>39</v>
      </c>
    </row>
    <row r="10" spans="1:8" ht="19.8" customHeight="1" x14ac:dyDescent="0.3">
      <c r="A10" s="103" t="s">
        <v>235</v>
      </c>
      <c r="B10" s="104" t="s">
        <v>48</v>
      </c>
      <c r="C10" s="105" t="s">
        <v>49</v>
      </c>
      <c r="D10" s="104" t="s">
        <v>1</v>
      </c>
      <c r="E10" s="104" t="s">
        <v>239</v>
      </c>
      <c r="F10" s="104" t="s">
        <v>50</v>
      </c>
      <c r="G10" s="106">
        <v>8</v>
      </c>
      <c r="H10" s="107" t="s">
        <v>52</v>
      </c>
    </row>
    <row r="11" spans="1:8" ht="19.8" customHeight="1" x14ac:dyDescent="0.3">
      <c r="A11" s="103" t="s">
        <v>235</v>
      </c>
      <c r="B11" s="104" t="s">
        <v>48</v>
      </c>
      <c r="C11" s="105" t="s">
        <v>53</v>
      </c>
      <c r="D11" s="104" t="s">
        <v>1</v>
      </c>
      <c r="E11" s="104" t="s">
        <v>240</v>
      </c>
      <c r="F11" s="104" t="s">
        <v>50</v>
      </c>
      <c r="G11" s="106">
        <v>9</v>
      </c>
      <c r="H11" s="107" t="s">
        <v>52</v>
      </c>
    </row>
    <row r="12" spans="1:8" ht="19.8" customHeight="1" x14ac:dyDescent="0.3">
      <c r="A12" s="190" t="s">
        <v>235</v>
      </c>
      <c r="B12" s="115" t="s">
        <v>26</v>
      </c>
      <c r="C12" s="116" t="s">
        <v>36</v>
      </c>
      <c r="D12" s="115" t="s">
        <v>1</v>
      </c>
      <c r="E12" s="115" t="s">
        <v>238</v>
      </c>
      <c r="F12" s="115" t="s">
        <v>34</v>
      </c>
      <c r="G12" s="118">
        <v>9</v>
      </c>
      <c r="H12" s="119" t="s">
        <v>40</v>
      </c>
    </row>
    <row r="13" spans="1:8" ht="19.8" customHeight="1" x14ac:dyDescent="0.3">
      <c r="A13" s="175"/>
      <c r="B13" s="176"/>
      <c r="C13" s="176"/>
      <c r="D13" s="176"/>
      <c r="E13" s="176"/>
      <c r="F13" s="177" t="s">
        <v>297</v>
      </c>
      <c r="G13" s="176"/>
      <c r="H13" s="178"/>
    </row>
    <row r="14" spans="1:8" ht="19.8" customHeight="1" x14ac:dyDescent="0.3">
      <c r="A14" s="103" t="s">
        <v>333</v>
      </c>
      <c r="B14" s="104" t="s">
        <v>41</v>
      </c>
      <c r="C14" s="105" t="s">
        <v>42</v>
      </c>
      <c r="D14" s="104" t="s">
        <v>1</v>
      </c>
      <c r="E14" s="104" t="s">
        <v>237</v>
      </c>
      <c r="F14" s="104" t="s">
        <v>43</v>
      </c>
      <c r="G14" s="106">
        <v>4</v>
      </c>
      <c r="H14" s="107" t="s">
        <v>44</v>
      </c>
    </row>
    <row r="15" spans="1:8" ht="19.8" customHeight="1" x14ac:dyDescent="0.3">
      <c r="A15" s="103" t="s">
        <v>333</v>
      </c>
      <c r="B15" s="104" t="s">
        <v>26</v>
      </c>
      <c r="C15" s="105" t="s">
        <v>36</v>
      </c>
      <c r="D15" s="104" t="s">
        <v>1</v>
      </c>
      <c r="E15" s="104" t="s">
        <v>238</v>
      </c>
      <c r="F15" s="104" t="s">
        <v>28</v>
      </c>
      <c r="G15" s="106">
        <v>1</v>
      </c>
      <c r="H15" s="107" t="s">
        <v>86</v>
      </c>
    </row>
    <row r="16" spans="1:8" ht="19.8" customHeight="1" x14ac:dyDescent="0.3">
      <c r="A16" s="103" t="s">
        <v>333</v>
      </c>
      <c r="B16" s="104" t="s">
        <v>26</v>
      </c>
      <c r="C16" s="105" t="s">
        <v>36</v>
      </c>
      <c r="D16" s="104" t="s">
        <v>1</v>
      </c>
      <c r="E16" s="104" t="s">
        <v>238</v>
      </c>
      <c r="F16" s="104" t="s">
        <v>31</v>
      </c>
      <c r="G16" s="106">
        <v>1</v>
      </c>
      <c r="H16" s="107" t="s">
        <v>88</v>
      </c>
    </row>
    <row r="17" spans="1:8" ht="19.8" customHeight="1" x14ac:dyDescent="0.3">
      <c r="A17" s="103" t="s">
        <v>333</v>
      </c>
      <c r="B17" s="104" t="s">
        <v>41</v>
      </c>
      <c r="C17" s="105" t="s">
        <v>42</v>
      </c>
      <c r="D17" s="104" t="s">
        <v>1</v>
      </c>
      <c r="E17" s="104" t="s">
        <v>237</v>
      </c>
      <c r="F17" s="104" t="s">
        <v>45</v>
      </c>
      <c r="G17" s="106">
        <v>4</v>
      </c>
      <c r="H17" s="107" t="s">
        <v>35</v>
      </c>
    </row>
    <row r="18" spans="1:8" ht="19.8" customHeight="1" x14ac:dyDescent="0.3">
      <c r="A18" s="103" t="s">
        <v>333</v>
      </c>
      <c r="B18" s="104" t="s">
        <v>48</v>
      </c>
      <c r="C18" s="105" t="s">
        <v>55</v>
      </c>
      <c r="D18" s="104" t="s">
        <v>1</v>
      </c>
      <c r="E18" s="104" t="s">
        <v>242</v>
      </c>
      <c r="F18" s="104" t="s">
        <v>50</v>
      </c>
      <c r="G18" s="106">
        <v>9</v>
      </c>
      <c r="H18" s="107" t="s">
        <v>52</v>
      </c>
    </row>
    <row r="19" spans="1:8" ht="19.8" customHeight="1" x14ac:dyDescent="0.3">
      <c r="A19" s="103" t="s">
        <v>333</v>
      </c>
      <c r="B19" s="104" t="s">
        <v>48</v>
      </c>
      <c r="C19" s="105" t="s">
        <v>53</v>
      </c>
      <c r="D19" s="104" t="s">
        <v>1</v>
      </c>
      <c r="E19" s="104" t="s">
        <v>240</v>
      </c>
      <c r="F19" s="104" t="s">
        <v>50</v>
      </c>
      <c r="G19" s="106">
        <v>9</v>
      </c>
      <c r="H19" s="107" t="s">
        <v>52</v>
      </c>
    </row>
    <row r="20" spans="1:8" ht="19.8" customHeight="1" x14ac:dyDescent="0.3">
      <c r="A20" s="103" t="s">
        <v>333</v>
      </c>
      <c r="B20" s="104" t="s">
        <v>48</v>
      </c>
      <c r="C20" s="105" t="s">
        <v>57</v>
      </c>
      <c r="D20" s="104" t="s">
        <v>1</v>
      </c>
      <c r="E20" s="104" t="s">
        <v>244</v>
      </c>
      <c r="F20" s="104" t="s">
        <v>50</v>
      </c>
      <c r="G20" s="106">
        <v>9</v>
      </c>
      <c r="H20" s="107" t="s">
        <v>52</v>
      </c>
    </row>
    <row r="21" spans="1:8" ht="19.8" customHeight="1" x14ac:dyDescent="0.3">
      <c r="A21" s="103" t="s">
        <v>333</v>
      </c>
      <c r="B21" s="104" t="s">
        <v>26</v>
      </c>
      <c r="C21" s="105" t="s">
        <v>36</v>
      </c>
      <c r="D21" s="104" t="s">
        <v>1</v>
      </c>
      <c r="E21" s="104" t="s">
        <v>238</v>
      </c>
      <c r="F21" s="104" t="s">
        <v>34</v>
      </c>
      <c r="G21" s="106">
        <v>1</v>
      </c>
      <c r="H21" s="107" t="s">
        <v>89</v>
      </c>
    </row>
    <row r="22" spans="1:8" ht="19.8" customHeight="1" x14ac:dyDescent="0.3">
      <c r="A22" s="103" t="s">
        <v>333</v>
      </c>
      <c r="B22" s="104" t="s">
        <v>41</v>
      </c>
      <c r="C22" s="105" t="s">
        <v>42</v>
      </c>
      <c r="D22" s="104" t="s">
        <v>1</v>
      </c>
      <c r="E22" s="104" t="s">
        <v>237</v>
      </c>
      <c r="F22" s="104" t="s">
        <v>46</v>
      </c>
      <c r="G22" s="106">
        <v>4</v>
      </c>
      <c r="H22" s="107" t="s">
        <v>47</v>
      </c>
    </row>
    <row r="23" spans="1:8" ht="19.8" customHeight="1" x14ac:dyDescent="0.3">
      <c r="A23" s="190" t="s">
        <v>333</v>
      </c>
      <c r="B23" s="115" t="s">
        <v>60</v>
      </c>
      <c r="C23" s="116" t="s">
        <v>74</v>
      </c>
      <c r="D23" s="115" t="s">
        <v>1</v>
      </c>
      <c r="E23" s="115" t="s">
        <v>245</v>
      </c>
      <c r="F23" s="115" t="s">
        <v>62</v>
      </c>
      <c r="G23" s="118">
        <v>9</v>
      </c>
      <c r="H23" s="119" t="s">
        <v>64</v>
      </c>
    </row>
    <row r="24" spans="1:8" ht="19.8" customHeight="1" x14ac:dyDescent="0.3">
      <c r="A24" s="174" t="s">
        <v>334</v>
      </c>
      <c r="B24" s="121" t="s">
        <v>77</v>
      </c>
      <c r="C24" s="122" t="s">
        <v>299</v>
      </c>
      <c r="D24" s="121" t="s">
        <v>298</v>
      </c>
      <c r="E24" s="121" t="s">
        <v>311</v>
      </c>
      <c r="F24" s="121" t="s">
        <v>101</v>
      </c>
      <c r="G24" s="124">
        <v>9</v>
      </c>
      <c r="H24" s="125" t="s">
        <v>300</v>
      </c>
    </row>
    <row r="25" spans="1:8" ht="19.8" customHeight="1" x14ac:dyDescent="0.3">
      <c r="A25" s="175"/>
      <c r="B25" s="176"/>
      <c r="C25" s="176"/>
      <c r="D25" s="176"/>
      <c r="E25" s="176"/>
      <c r="F25" s="177" t="s">
        <v>297</v>
      </c>
      <c r="G25" s="176"/>
      <c r="H25" s="178"/>
    </row>
    <row r="26" spans="1:8" ht="19.8" customHeight="1" x14ac:dyDescent="0.3">
      <c r="A26" s="112">
        <v>45983</v>
      </c>
      <c r="B26" s="104" t="s">
        <v>41</v>
      </c>
      <c r="C26" s="105" t="s">
        <v>42</v>
      </c>
      <c r="D26" s="104" t="s">
        <v>1</v>
      </c>
      <c r="E26" s="113">
        <v>1.229166666666667</v>
      </c>
      <c r="F26" s="104" t="s">
        <v>43</v>
      </c>
      <c r="G26" s="106">
        <v>19</v>
      </c>
      <c r="H26" s="107" t="s">
        <v>93</v>
      </c>
    </row>
    <row r="27" spans="1:8" ht="19.8" customHeight="1" x14ac:dyDescent="0.3">
      <c r="A27" s="112">
        <v>45983</v>
      </c>
      <c r="B27" s="104" t="s">
        <v>26</v>
      </c>
      <c r="C27" s="105" t="s">
        <v>36</v>
      </c>
      <c r="D27" s="104" t="s">
        <v>1</v>
      </c>
      <c r="E27" s="113">
        <v>1.6076388888888891</v>
      </c>
      <c r="F27" s="104" t="s">
        <v>28</v>
      </c>
      <c r="G27" s="106">
        <v>6</v>
      </c>
      <c r="H27" s="107" t="s">
        <v>86</v>
      </c>
    </row>
    <row r="28" spans="1:8" ht="19.8" customHeight="1" x14ac:dyDescent="0.3">
      <c r="A28" s="112">
        <v>45983</v>
      </c>
      <c r="B28" s="104" t="s">
        <v>26</v>
      </c>
      <c r="C28" s="105" t="s">
        <v>27</v>
      </c>
      <c r="D28" s="104" t="s">
        <v>1</v>
      </c>
      <c r="E28" s="113">
        <v>1.4340277777777779</v>
      </c>
      <c r="F28" s="104" t="s">
        <v>28</v>
      </c>
      <c r="G28" s="106">
        <v>3</v>
      </c>
      <c r="H28" s="107" t="s">
        <v>86</v>
      </c>
    </row>
    <row r="29" spans="1:8" ht="19.8" customHeight="1" x14ac:dyDescent="0.3">
      <c r="A29" s="112">
        <v>45983</v>
      </c>
      <c r="B29" s="104" t="s">
        <v>48</v>
      </c>
      <c r="C29" s="105" t="s">
        <v>90</v>
      </c>
      <c r="D29" s="104" t="s">
        <v>1</v>
      </c>
      <c r="E29" s="113">
        <v>1.336805555555556</v>
      </c>
      <c r="F29" s="104" t="s">
        <v>50</v>
      </c>
      <c r="G29" s="106">
        <v>9</v>
      </c>
      <c r="H29" s="107" t="s">
        <v>99</v>
      </c>
    </row>
    <row r="30" spans="1:8" ht="19.8" customHeight="1" x14ac:dyDescent="0.3">
      <c r="A30" s="112">
        <v>45983</v>
      </c>
      <c r="B30" s="104" t="s">
        <v>48</v>
      </c>
      <c r="C30" s="105" t="s">
        <v>55</v>
      </c>
      <c r="D30" s="104" t="s">
        <v>1</v>
      </c>
      <c r="E30" s="113">
        <v>1.947916666666667</v>
      </c>
      <c r="F30" s="104" t="s">
        <v>50</v>
      </c>
      <c r="G30" s="106">
        <v>9</v>
      </c>
      <c r="H30" s="107" t="s">
        <v>99</v>
      </c>
    </row>
    <row r="31" spans="1:8" ht="19.8" customHeight="1" x14ac:dyDescent="0.3">
      <c r="A31" s="112">
        <v>45983</v>
      </c>
      <c r="B31" s="104" t="s">
        <v>48</v>
      </c>
      <c r="C31" s="105" t="s">
        <v>53</v>
      </c>
      <c r="D31" s="104" t="s">
        <v>1</v>
      </c>
      <c r="E31" s="113">
        <v>1.0659722222222221</v>
      </c>
      <c r="F31" s="104" t="s">
        <v>50</v>
      </c>
      <c r="G31" s="106">
        <v>9</v>
      </c>
      <c r="H31" s="107" t="s">
        <v>99</v>
      </c>
    </row>
    <row r="32" spans="1:8" ht="19.8" customHeight="1" x14ac:dyDescent="0.3">
      <c r="A32" s="112">
        <v>45983</v>
      </c>
      <c r="B32" s="104" t="s">
        <v>48</v>
      </c>
      <c r="C32" s="105" t="s">
        <v>57</v>
      </c>
      <c r="D32" s="104" t="s">
        <v>1</v>
      </c>
      <c r="E32" s="113">
        <v>1.288194444444444</v>
      </c>
      <c r="F32" s="104" t="s">
        <v>50</v>
      </c>
      <c r="G32" s="106">
        <v>9</v>
      </c>
      <c r="H32" s="107" t="s">
        <v>99</v>
      </c>
    </row>
    <row r="33" spans="1:8" ht="19.8" customHeight="1" x14ac:dyDescent="0.3">
      <c r="A33" s="112">
        <v>45983</v>
      </c>
      <c r="B33" s="104" t="s">
        <v>41</v>
      </c>
      <c r="C33" s="105" t="s">
        <v>42</v>
      </c>
      <c r="D33" s="104" t="s">
        <v>1</v>
      </c>
      <c r="E33" s="113">
        <v>1.229166666666667</v>
      </c>
      <c r="F33" s="104" t="s">
        <v>45</v>
      </c>
      <c r="G33" s="106">
        <v>19</v>
      </c>
      <c r="H33" s="107" t="s">
        <v>95</v>
      </c>
    </row>
    <row r="34" spans="1:8" ht="19.8" customHeight="1" x14ac:dyDescent="0.3">
      <c r="A34" s="112">
        <v>45983</v>
      </c>
      <c r="B34" s="104" t="s">
        <v>26</v>
      </c>
      <c r="C34" s="105" t="s">
        <v>36</v>
      </c>
      <c r="D34" s="104" t="s">
        <v>1</v>
      </c>
      <c r="E34" s="113">
        <v>1.6076388888888891</v>
      </c>
      <c r="F34" s="104" t="s">
        <v>31</v>
      </c>
      <c r="G34" s="106">
        <v>6</v>
      </c>
      <c r="H34" s="107" t="s">
        <v>88</v>
      </c>
    </row>
    <row r="35" spans="1:8" ht="19.8" customHeight="1" x14ac:dyDescent="0.3">
      <c r="A35" s="114">
        <v>45983</v>
      </c>
      <c r="B35" s="115" t="s">
        <v>26</v>
      </c>
      <c r="C35" s="116" t="s">
        <v>27</v>
      </c>
      <c r="D35" s="115" t="s">
        <v>1</v>
      </c>
      <c r="E35" s="117">
        <v>1.4340277777777779</v>
      </c>
      <c r="F35" s="115" t="s">
        <v>31</v>
      </c>
      <c r="G35" s="118">
        <v>3</v>
      </c>
      <c r="H35" s="119" t="s">
        <v>88</v>
      </c>
    </row>
    <row r="36" spans="1:8" ht="19.8" customHeight="1" x14ac:dyDescent="0.3">
      <c r="A36" s="175"/>
      <c r="B36" s="176"/>
      <c r="C36" s="176"/>
      <c r="D36" s="176"/>
      <c r="E36" s="176"/>
      <c r="F36" s="177" t="s">
        <v>297</v>
      </c>
      <c r="G36" s="176"/>
      <c r="H36" s="178"/>
    </row>
    <row r="37" spans="1:8" ht="19.8" customHeight="1" x14ac:dyDescent="0.3">
      <c r="A37" s="112">
        <v>45984</v>
      </c>
      <c r="B37" s="104" t="s">
        <v>41</v>
      </c>
      <c r="C37" s="105" t="s">
        <v>42</v>
      </c>
      <c r="D37" s="104" t="s">
        <v>1</v>
      </c>
      <c r="E37" s="113">
        <v>1.229166666666667</v>
      </c>
      <c r="F37" s="104" t="s">
        <v>43</v>
      </c>
      <c r="G37" s="106">
        <v>10</v>
      </c>
      <c r="H37" s="107" t="s">
        <v>93</v>
      </c>
    </row>
    <row r="38" spans="1:8" ht="19.8" customHeight="1" x14ac:dyDescent="0.3">
      <c r="A38" s="112">
        <v>45984</v>
      </c>
      <c r="B38" s="104" t="s">
        <v>48</v>
      </c>
      <c r="C38" s="105" t="s">
        <v>53</v>
      </c>
      <c r="D38" s="104" t="s">
        <v>1</v>
      </c>
      <c r="E38" s="113">
        <v>1.0659722222222221</v>
      </c>
      <c r="F38" s="104" t="s">
        <v>107</v>
      </c>
      <c r="G38" s="106">
        <v>9</v>
      </c>
      <c r="H38" s="107" t="s">
        <v>108</v>
      </c>
    </row>
    <row r="39" spans="1:8" ht="19.8" customHeight="1" x14ac:dyDescent="0.3">
      <c r="A39" s="112">
        <v>45984</v>
      </c>
      <c r="B39" s="104" t="s">
        <v>41</v>
      </c>
      <c r="C39" s="105" t="s">
        <v>42</v>
      </c>
      <c r="D39" s="104" t="s">
        <v>1</v>
      </c>
      <c r="E39" s="113">
        <v>1.229166666666667</v>
      </c>
      <c r="F39" s="104" t="s">
        <v>45</v>
      </c>
      <c r="G39" s="106">
        <v>10</v>
      </c>
      <c r="H39" s="107" t="s">
        <v>95</v>
      </c>
    </row>
    <row r="40" spans="1:8" ht="19.8" customHeight="1" x14ac:dyDescent="0.3">
      <c r="A40" s="112">
        <v>45984</v>
      </c>
      <c r="B40" s="104" t="s">
        <v>48</v>
      </c>
      <c r="C40" s="105" t="s">
        <v>55</v>
      </c>
      <c r="D40" s="104" t="s">
        <v>1</v>
      </c>
      <c r="E40" s="113">
        <v>1.947916666666667</v>
      </c>
      <c r="F40" s="104" t="s">
        <v>50</v>
      </c>
      <c r="G40" s="106">
        <v>9</v>
      </c>
      <c r="H40" s="107" t="s">
        <v>52</v>
      </c>
    </row>
    <row r="41" spans="1:8" ht="19.8" customHeight="1" x14ac:dyDescent="0.3">
      <c r="A41" s="112">
        <v>45984</v>
      </c>
      <c r="B41" s="104" t="s">
        <v>41</v>
      </c>
      <c r="C41" s="105" t="s">
        <v>42</v>
      </c>
      <c r="D41" s="104" t="s">
        <v>1</v>
      </c>
      <c r="E41" s="113">
        <v>1.229166666666667</v>
      </c>
      <c r="F41" s="104" t="s">
        <v>46</v>
      </c>
      <c r="G41" s="106">
        <v>10</v>
      </c>
      <c r="H41" s="107" t="s">
        <v>47</v>
      </c>
    </row>
    <row r="42" spans="1:8" ht="19.8" customHeight="1" x14ac:dyDescent="0.3">
      <c r="A42" s="112">
        <v>45984</v>
      </c>
      <c r="B42" s="104" t="s">
        <v>60</v>
      </c>
      <c r="C42" s="105" t="s">
        <v>74</v>
      </c>
      <c r="D42" s="104" t="s">
        <v>1</v>
      </c>
      <c r="E42" s="113">
        <v>1.895833333333333</v>
      </c>
      <c r="F42" s="104" t="s">
        <v>62</v>
      </c>
      <c r="G42" s="106">
        <v>9</v>
      </c>
      <c r="H42" s="107" t="s">
        <v>64</v>
      </c>
    </row>
    <row r="43" spans="1:8" ht="19.8" customHeight="1" x14ac:dyDescent="0.3">
      <c r="A43" s="112">
        <v>45984</v>
      </c>
      <c r="B43" s="104" t="s">
        <v>60</v>
      </c>
      <c r="C43" s="105" t="s">
        <v>61</v>
      </c>
      <c r="D43" s="104" t="s">
        <v>1</v>
      </c>
      <c r="E43" s="113">
        <v>1.1840277777777779</v>
      </c>
      <c r="F43" s="104" t="s">
        <v>62</v>
      </c>
      <c r="G43" s="106">
        <v>9</v>
      </c>
      <c r="H43" s="107" t="s">
        <v>64</v>
      </c>
    </row>
    <row r="44" spans="1:8" ht="19.8" customHeight="1" x14ac:dyDescent="0.3">
      <c r="A44" s="112">
        <v>45984</v>
      </c>
      <c r="B44" s="104" t="s">
        <v>48</v>
      </c>
      <c r="C44" s="105" t="s">
        <v>49</v>
      </c>
      <c r="D44" s="104" t="s">
        <v>1</v>
      </c>
      <c r="E44" s="113">
        <v>1.6875</v>
      </c>
      <c r="F44" s="104" t="s">
        <v>50</v>
      </c>
      <c r="G44" s="106">
        <v>9</v>
      </c>
      <c r="H44" s="107" t="s">
        <v>56</v>
      </c>
    </row>
    <row r="45" spans="1:8" ht="19.8" customHeight="1" x14ac:dyDescent="0.3">
      <c r="A45" s="112">
        <v>45984</v>
      </c>
      <c r="B45" s="104" t="s">
        <v>60</v>
      </c>
      <c r="C45" s="105" t="s">
        <v>74</v>
      </c>
      <c r="D45" s="104" t="s">
        <v>1</v>
      </c>
      <c r="E45" s="113">
        <v>1.895833333333333</v>
      </c>
      <c r="F45" s="104" t="s">
        <v>65</v>
      </c>
      <c r="G45" s="106">
        <v>9</v>
      </c>
      <c r="H45" s="107" t="s">
        <v>67</v>
      </c>
    </row>
    <row r="46" spans="1:8" ht="19.8" customHeight="1" x14ac:dyDescent="0.3">
      <c r="A46" s="114">
        <v>45984</v>
      </c>
      <c r="B46" s="115" t="s">
        <v>60</v>
      </c>
      <c r="C46" s="116" t="s">
        <v>61</v>
      </c>
      <c r="D46" s="115" t="s">
        <v>1</v>
      </c>
      <c r="E46" s="117">
        <v>1.1840277777777779</v>
      </c>
      <c r="F46" s="115" t="s">
        <v>65</v>
      </c>
      <c r="G46" s="118">
        <v>9</v>
      </c>
      <c r="H46" s="119" t="s">
        <v>67</v>
      </c>
    </row>
    <row r="47" spans="1:8" ht="19.8" customHeight="1" x14ac:dyDescent="0.3">
      <c r="A47" s="120">
        <v>45985</v>
      </c>
      <c r="B47" s="121" t="s">
        <v>77</v>
      </c>
      <c r="C47" s="122" t="s">
        <v>299</v>
      </c>
      <c r="D47" s="121" t="s">
        <v>298</v>
      </c>
      <c r="E47" s="123">
        <v>1.645833333333333</v>
      </c>
      <c r="F47" s="121" t="s">
        <v>101</v>
      </c>
      <c r="G47" s="124">
        <v>8</v>
      </c>
      <c r="H47" s="125" t="s">
        <v>300</v>
      </c>
    </row>
    <row r="48" spans="1:8" ht="19.8" customHeight="1" x14ac:dyDescent="0.3">
      <c r="A48" s="175"/>
      <c r="B48" s="176"/>
      <c r="C48" s="176"/>
      <c r="D48" s="176"/>
      <c r="E48" s="176"/>
      <c r="F48" s="177" t="s">
        <v>297</v>
      </c>
      <c r="G48" s="176"/>
      <c r="H48" s="178"/>
    </row>
    <row r="49" spans="1:8" ht="19.8" customHeight="1" x14ac:dyDescent="0.3">
      <c r="A49" s="112">
        <v>45985</v>
      </c>
      <c r="B49" s="104" t="s">
        <v>41</v>
      </c>
      <c r="C49" s="105" t="s">
        <v>42</v>
      </c>
      <c r="D49" s="104" t="s">
        <v>1</v>
      </c>
      <c r="E49" s="113">
        <v>1.229166666666667</v>
      </c>
      <c r="F49" s="104" t="s">
        <v>43</v>
      </c>
      <c r="G49" s="106">
        <v>7</v>
      </c>
      <c r="H49" s="107" t="s">
        <v>93</v>
      </c>
    </row>
    <row r="50" spans="1:8" ht="19.8" customHeight="1" x14ac:dyDescent="0.3">
      <c r="A50" s="112">
        <v>45985</v>
      </c>
      <c r="B50" s="104" t="s">
        <v>26</v>
      </c>
      <c r="C50" s="105" t="s">
        <v>36</v>
      </c>
      <c r="D50" s="104" t="s">
        <v>1</v>
      </c>
      <c r="E50" s="113">
        <v>1.6076388888888891</v>
      </c>
      <c r="F50" s="104" t="s">
        <v>28</v>
      </c>
      <c r="G50" s="106">
        <v>7</v>
      </c>
      <c r="H50" s="107" t="s">
        <v>33</v>
      </c>
    </row>
    <row r="51" spans="1:8" ht="19.8" customHeight="1" x14ac:dyDescent="0.3">
      <c r="A51" s="112">
        <v>45985</v>
      </c>
      <c r="B51" s="104" t="s">
        <v>41</v>
      </c>
      <c r="C51" s="105" t="s">
        <v>42</v>
      </c>
      <c r="D51" s="104" t="s">
        <v>1</v>
      </c>
      <c r="E51" s="113">
        <v>1.229166666666667</v>
      </c>
      <c r="F51" s="104" t="s">
        <v>45</v>
      </c>
      <c r="G51" s="106">
        <v>7</v>
      </c>
      <c r="H51" s="107" t="s">
        <v>95</v>
      </c>
    </row>
    <row r="52" spans="1:8" ht="19.8" customHeight="1" x14ac:dyDescent="0.3">
      <c r="A52" s="112">
        <v>45985</v>
      </c>
      <c r="B52" s="104" t="s">
        <v>26</v>
      </c>
      <c r="C52" s="105" t="s">
        <v>27</v>
      </c>
      <c r="D52" s="104" t="s">
        <v>1</v>
      </c>
      <c r="E52" s="113">
        <v>1.4340277777777779</v>
      </c>
      <c r="F52" s="104" t="s">
        <v>28</v>
      </c>
      <c r="G52" s="106">
        <v>5</v>
      </c>
      <c r="H52" s="107" t="s">
        <v>122</v>
      </c>
    </row>
    <row r="53" spans="1:8" ht="19.8" customHeight="1" x14ac:dyDescent="0.3">
      <c r="A53" s="112">
        <v>45985</v>
      </c>
      <c r="B53" s="104" t="s">
        <v>26</v>
      </c>
      <c r="C53" s="105" t="s">
        <v>36</v>
      </c>
      <c r="D53" s="104" t="s">
        <v>1</v>
      </c>
      <c r="E53" s="113">
        <v>1.6076388888888891</v>
      </c>
      <c r="F53" s="104" t="s">
        <v>31</v>
      </c>
      <c r="G53" s="106">
        <v>7</v>
      </c>
      <c r="H53" s="107" t="s">
        <v>39</v>
      </c>
    </row>
    <row r="54" spans="1:8" ht="19.8" customHeight="1" x14ac:dyDescent="0.3">
      <c r="A54" s="112">
        <v>45985</v>
      </c>
      <c r="B54" s="104" t="s">
        <v>48</v>
      </c>
      <c r="C54" s="105" t="s">
        <v>49</v>
      </c>
      <c r="D54" s="104" t="s">
        <v>1</v>
      </c>
      <c r="E54" s="113">
        <v>1.697916666666667</v>
      </c>
      <c r="F54" s="104" t="s">
        <v>50</v>
      </c>
      <c r="G54" s="106">
        <v>9</v>
      </c>
      <c r="H54" s="107" t="s">
        <v>52</v>
      </c>
    </row>
    <row r="55" spans="1:8" ht="19.8" customHeight="1" x14ac:dyDescent="0.3">
      <c r="A55" s="112">
        <v>45985</v>
      </c>
      <c r="B55" s="104" t="s">
        <v>48</v>
      </c>
      <c r="C55" s="105" t="s">
        <v>53</v>
      </c>
      <c r="D55" s="104" t="s">
        <v>1</v>
      </c>
      <c r="E55" s="113">
        <v>1.0659722222222221</v>
      </c>
      <c r="F55" s="104" t="s">
        <v>50</v>
      </c>
      <c r="G55" s="106">
        <v>9</v>
      </c>
      <c r="H55" s="107" t="s">
        <v>52</v>
      </c>
    </row>
    <row r="56" spans="1:8" ht="19.8" customHeight="1" x14ac:dyDescent="0.3">
      <c r="A56" s="112">
        <v>45985</v>
      </c>
      <c r="B56" s="104" t="s">
        <v>26</v>
      </c>
      <c r="C56" s="105" t="s">
        <v>27</v>
      </c>
      <c r="D56" s="104" t="s">
        <v>1</v>
      </c>
      <c r="E56" s="113">
        <v>1.4340277777777779</v>
      </c>
      <c r="F56" s="104" t="s">
        <v>31</v>
      </c>
      <c r="G56" s="106">
        <v>5</v>
      </c>
      <c r="H56" s="107" t="s">
        <v>123</v>
      </c>
    </row>
    <row r="57" spans="1:8" ht="19.8" customHeight="1" x14ac:dyDescent="0.3">
      <c r="A57" s="112">
        <v>45985</v>
      </c>
      <c r="B57" s="104" t="s">
        <v>26</v>
      </c>
      <c r="C57" s="105" t="s">
        <v>36</v>
      </c>
      <c r="D57" s="104" t="s">
        <v>1</v>
      </c>
      <c r="E57" s="113">
        <v>1.6076388888888891</v>
      </c>
      <c r="F57" s="104" t="s">
        <v>34</v>
      </c>
      <c r="G57" s="106">
        <v>7</v>
      </c>
      <c r="H57" s="107" t="s">
        <v>40</v>
      </c>
    </row>
    <row r="58" spans="1:8" ht="19.8" customHeight="1" x14ac:dyDescent="0.3">
      <c r="A58" s="114">
        <v>45985</v>
      </c>
      <c r="B58" s="115" t="s">
        <v>60</v>
      </c>
      <c r="C58" s="116" t="s">
        <v>61</v>
      </c>
      <c r="D58" s="115" t="s">
        <v>1</v>
      </c>
      <c r="E58" s="117">
        <v>1.1840277777777779</v>
      </c>
      <c r="F58" s="115" t="s">
        <v>62</v>
      </c>
      <c r="G58" s="118">
        <v>9</v>
      </c>
      <c r="H58" s="119" t="s">
        <v>64</v>
      </c>
    </row>
    <row r="59" spans="1:8" ht="19.8" customHeight="1" x14ac:dyDescent="0.3">
      <c r="A59" s="175"/>
      <c r="B59" s="176"/>
      <c r="C59" s="176"/>
      <c r="D59" s="176"/>
      <c r="E59" s="176"/>
      <c r="F59" s="177" t="s">
        <v>297</v>
      </c>
      <c r="G59" s="176"/>
      <c r="H59" s="178"/>
    </row>
    <row r="60" spans="1:8" ht="19.8" customHeight="1" x14ac:dyDescent="0.3">
      <c r="A60" s="112">
        <v>45986</v>
      </c>
      <c r="B60" s="104" t="s">
        <v>41</v>
      </c>
      <c r="C60" s="105" t="s">
        <v>42</v>
      </c>
      <c r="D60" s="104" t="s">
        <v>1</v>
      </c>
      <c r="E60" s="113">
        <v>1.229166666666667</v>
      </c>
      <c r="F60" s="104" t="s">
        <v>43</v>
      </c>
      <c r="G60" s="106">
        <v>12</v>
      </c>
      <c r="H60" s="107" t="s">
        <v>33</v>
      </c>
    </row>
    <row r="61" spans="1:8" ht="19.8" customHeight="1" x14ac:dyDescent="0.3">
      <c r="A61" s="112">
        <v>45986</v>
      </c>
      <c r="B61" s="104" t="s">
        <v>26</v>
      </c>
      <c r="C61" s="105" t="s">
        <v>36</v>
      </c>
      <c r="D61" s="104" t="s">
        <v>1</v>
      </c>
      <c r="E61" s="113">
        <v>1.6076388888888891</v>
      </c>
      <c r="F61" s="104" t="s">
        <v>28</v>
      </c>
      <c r="G61" s="106">
        <v>8</v>
      </c>
      <c r="H61" s="107" t="s">
        <v>122</v>
      </c>
    </row>
    <row r="62" spans="1:8" ht="19.8" customHeight="1" x14ac:dyDescent="0.3">
      <c r="A62" s="112">
        <v>45986</v>
      </c>
      <c r="B62" s="104" t="s">
        <v>41</v>
      </c>
      <c r="C62" s="105" t="s">
        <v>42</v>
      </c>
      <c r="D62" s="104" t="s">
        <v>1</v>
      </c>
      <c r="E62" s="113">
        <v>1.229166666666667</v>
      </c>
      <c r="F62" s="104" t="s">
        <v>45</v>
      </c>
      <c r="G62" s="106">
        <v>12</v>
      </c>
      <c r="H62" s="107" t="s">
        <v>132</v>
      </c>
    </row>
    <row r="63" spans="1:8" ht="19.8" customHeight="1" x14ac:dyDescent="0.3">
      <c r="A63" s="112">
        <v>45986</v>
      </c>
      <c r="B63" s="104" t="s">
        <v>26</v>
      </c>
      <c r="C63" s="105" t="s">
        <v>36</v>
      </c>
      <c r="D63" s="104" t="s">
        <v>1</v>
      </c>
      <c r="E63" s="113">
        <v>1.6076388888888891</v>
      </c>
      <c r="F63" s="104" t="s">
        <v>31</v>
      </c>
      <c r="G63" s="106">
        <v>8</v>
      </c>
      <c r="H63" s="107" t="s">
        <v>123</v>
      </c>
    </row>
    <row r="64" spans="1:8" ht="19.8" customHeight="1" x14ac:dyDescent="0.3">
      <c r="A64" s="112">
        <v>45986</v>
      </c>
      <c r="B64" s="104" t="s">
        <v>41</v>
      </c>
      <c r="C64" s="105" t="s">
        <v>42</v>
      </c>
      <c r="D64" s="104" t="s">
        <v>1</v>
      </c>
      <c r="E64" s="113">
        <v>1.229166666666667</v>
      </c>
      <c r="F64" s="104" t="s">
        <v>46</v>
      </c>
      <c r="G64" s="106">
        <v>12</v>
      </c>
      <c r="H64" s="107" t="s">
        <v>47</v>
      </c>
    </row>
    <row r="65" spans="1:8" ht="19.8" customHeight="1" x14ac:dyDescent="0.3">
      <c r="A65" s="112">
        <v>45986</v>
      </c>
      <c r="B65" s="104" t="s">
        <v>60</v>
      </c>
      <c r="C65" s="105" t="s">
        <v>61</v>
      </c>
      <c r="D65" s="104" t="s">
        <v>1</v>
      </c>
      <c r="E65" s="113">
        <v>1.1840277777777779</v>
      </c>
      <c r="F65" s="104" t="s">
        <v>62</v>
      </c>
      <c r="G65" s="106">
        <v>9</v>
      </c>
      <c r="H65" s="107" t="s">
        <v>64</v>
      </c>
    </row>
    <row r="66" spans="1:8" ht="19.8" customHeight="1" x14ac:dyDescent="0.3">
      <c r="A66" s="112">
        <v>45986</v>
      </c>
      <c r="B66" s="104" t="s">
        <v>26</v>
      </c>
      <c r="C66" s="105" t="s">
        <v>36</v>
      </c>
      <c r="D66" s="104" t="s">
        <v>1</v>
      </c>
      <c r="E66" s="113">
        <v>1.6076388888888891</v>
      </c>
      <c r="F66" s="104" t="s">
        <v>34</v>
      </c>
      <c r="G66" s="106">
        <v>8</v>
      </c>
      <c r="H66" s="107" t="s">
        <v>124</v>
      </c>
    </row>
    <row r="67" spans="1:8" ht="19.8" customHeight="1" x14ac:dyDescent="0.3">
      <c r="A67" s="112">
        <v>45986</v>
      </c>
      <c r="B67" s="104" t="s">
        <v>60</v>
      </c>
      <c r="C67" s="105" t="s">
        <v>61</v>
      </c>
      <c r="D67" s="104" t="s">
        <v>1</v>
      </c>
      <c r="E67" s="113">
        <v>1.1840277777777779</v>
      </c>
      <c r="F67" s="104" t="s">
        <v>65</v>
      </c>
      <c r="G67" s="106">
        <v>9</v>
      </c>
      <c r="H67" s="107" t="s">
        <v>67</v>
      </c>
    </row>
    <row r="68" spans="1:8" ht="19.8" customHeight="1" x14ac:dyDescent="0.3">
      <c r="A68" s="112">
        <v>45986</v>
      </c>
      <c r="B68" s="104" t="s">
        <v>48</v>
      </c>
      <c r="C68" s="105" t="s">
        <v>90</v>
      </c>
      <c r="D68" s="104" t="s">
        <v>1</v>
      </c>
      <c r="E68" s="113">
        <v>1.336805555555556</v>
      </c>
      <c r="F68" s="104" t="s">
        <v>50</v>
      </c>
      <c r="G68" s="106">
        <v>9</v>
      </c>
      <c r="H68" s="107" t="s">
        <v>91</v>
      </c>
    </row>
    <row r="69" spans="1:8" ht="19.8" customHeight="1" x14ac:dyDescent="0.3">
      <c r="A69" s="114">
        <v>45986</v>
      </c>
      <c r="B69" s="115" t="s">
        <v>48</v>
      </c>
      <c r="C69" s="116" t="s">
        <v>49</v>
      </c>
      <c r="D69" s="115" t="s">
        <v>1</v>
      </c>
      <c r="E69" s="117">
        <v>1.697916666666667</v>
      </c>
      <c r="F69" s="115" t="s">
        <v>50</v>
      </c>
      <c r="G69" s="118">
        <v>9</v>
      </c>
      <c r="H69" s="119" t="s">
        <v>91</v>
      </c>
    </row>
    <row r="70" spans="1:8" ht="19.8" customHeight="1" x14ac:dyDescent="0.3">
      <c r="A70" s="120">
        <v>45987</v>
      </c>
      <c r="B70" s="121" t="s">
        <v>77</v>
      </c>
      <c r="C70" s="122" t="s">
        <v>306</v>
      </c>
      <c r="D70" s="121" t="s">
        <v>298</v>
      </c>
      <c r="E70" s="123">
        <v>1.461805555555556</v>
      </c>
      <c r="F70" s="121" t="s">
        <v>101</v>
      </c>
      <c r="G70" s="124">
        <v>9</v>
      </c>
      <c r="H70" s="125" t="s">
        <v>300</v>
      </c>
    </row>
    <row r="71" spans="1:8" ht="19.8" customHeight="1" x14ac:dyDescent="0.3">
      <c r="A71" s="175"/>
      <c r="B71" s="176"/>
      <c r="C71" s="176"/>
      <c r="D71" s="176"/>
      <c r="E71" s="176"/>
      <c r="F71" s="177" t="s">
        <v>297</v>
      </c>
      <c r="G71" s="176"/>
      <c r="H71" s="178"/>
    </row>
    <row r="72" spans="1:8" ht="19.8" customHeight="1" x14ac:dyDescent="0.3">
      <c r="A72" s="112">
        <v>45987</v>
      </c>
      <c r="B72" s="104" t="s">
        <v>41</v>
      </c>
      <c r="C72" s="105" t="s">
        <v>42</v>
      </c>
      <c r="D72" s="104" t="s">
        <v>1</v>
      </c>
      <c r="E72" s="113">
        <v>1.229166666666667</v>
      </c>
      <c r="F72" s="104" t="s">
        <v>43</v>
      </c>
      <c r="G72" s="106">
        <v>9</v>
      </c>
      <c r="H72" s="107" t="s">
        <v>33</v>
      </c>
    </row>
    <row r="73" spans="1:8" ht="19.8" customHeight="1" x14ac:dyDescent="0.3">
      <c r="A73" s="112">
        <v>45987</v>
      </c>
      <c r="B73" s="104" t="s">
        <v>41</v>
      </c>
      <c r="C73" s="105" t="s">
        <v>42</v>
      </c>
      <c r="D73" s="104" t="s">
        <v>1</v>
      </c>
      <c r="E73" s="113">
        <v>1.229166666666667</v>
      </c>
      <c r="F73" s="104" t="s">
        <v>45</v>
      </c>
      <c r="G73" s="106">
        <v>9</v>
      </c>
      <c r="H73" s="107" t="s">
        <v>132</v>
      </c>
    </row>
    <row r="74" spans="1:8" ht="19.8" customHeight="1" x14ac:dyDescent="0.3">
      <c r="A74" s="112">
        <v>45987</v>
      </c>
      <c r="B74" s="104" t="s">
        <v>41</v>
      </c>
      <c r="C74" s="105" t="s">
        <v>42</v>
      </c>
      <c r="D74" s="104" t="s">
        <v>1</v>
      </c>
      <c r="E74" s="113">
        <v>1.229166666666667</v>
      </c>
      <c r="F74" s="104" t="s">
        <v>46</v>
      </c>
      <c r="G74" s="106">
        <v>9</v>
      </c>
      <c r="H74" s="107" t="s">
        <v>47</v>
      </c>
    </row>
    <row r="75" spans="1:8" ht="19.8" customHeight="1" x14ac:dyDescent="0.3">
      <c r="A75" s="112">
        <v>45987</v>
      </c>
      <c r="B75" s="104" t="s">
        <v>26</v>
      </c>
      <c r="C75" s="105" t="s">
        <v>36</v>
      </c>
      <c r="D75" s="104" t="s">
        <v>1</v>
      </c>
      <c r="E75" s="113">
        <v>1.6076388888888891</v>
      </c>
      <c r="F75" s="104" t="s">
        <v>28</v>
      </c>
      <c r="G75" s="106">
        <v>3</v>
      </c>
      <c r="H75" s="107" t="s">
        <v>124</v>
      </c>
    </row>
    <row r="76" spans="1:8" ht="19.8" customHeight="1" x14ac:dyDescent="0.3">
      <c r="A76" s="112">
        <v>45987</v>
      </c>
      <c r="B76" s="104" t="s">
        <v>26</v>
      </c>
      <c r="C76" s="105" t="s">
        <v>36</v>
      </c>
      <c r="D76" s="104" t="s">
        <v>1</v>
      </c>
      <c r="E76" s="113">
        <v>1.6076388888888891</v>
      </c>
      <c r="F76" s="104" t="s">
        <v>31</v>
      </c>
      <c r="G76" s="106">
        <v>3</v>
      </c>
      <c r="H76" s="107" t="s">
        <v>140</v>
      </c>
    </row>
    <row r="77" spans="1:8" ht="19.8" customHeight="1" x14ac:dyDescent="0.3">
      <c r="A77" s="112">
        <v>45987</v>
      </c>
      <c r="B77" s="104" t="s">
        <v>26</v>
      </c>
      <c r="C77" s="105" t="s">
        <v>36</v>
      </c>
      <c r="D77" s="104" t="s">
        <v>1</v>
      </c>
      <c r="E77" s="113">
        <v>1.6076388888888891</v>
      </c>
      <c r="F77" s="104" t="s">
        <v>34</v>
      </c>
      <c r="G77" s="106">
        <v>3</v>
      </c>
      <c r="H77" s="107" t="s">
        <v>141</v>
      </c>
    </row>
    <row r="78" spans="1:8" ht="19.8" customHeight="1" x14ac:dyDescent="0.3">
      <c r="A78" s="112">
        <v>45987</v>
      </c>
      <c r="B78" s="104" t="s">
        <v>60</v>
      </c>
      <c r="C78" s="105" t="s">
        <v>68</v>
      </c>
      <c r="D78" s="104" t="s">
        <v>1</v>
      </c>
      <c r="E78" s="113">
        <v>1.350694444444444</v>
      </c>
      <c r="F78" s="104" t="s">
        <v>65</v>
      </c>
      <c r="G78" s="106">
        <v>8</v>
      </c>
      <c r="H78" s="107" t="s">
        <v>70</v>
      </c>
    </row>
    <row r="79" spans="1:8" ht="19.8" customHeight="1" x14ac:dyDescent="0.3">
      <c r="A79" s="112">
        <v>45987</v>
      </c>
      <c r="B79" s="104" t="s">
        <v>60</v>
      </c>
      <c r="C79" s="105" t="s">
        <v>74</v>
      </c>
      <c r="D79" s="104" t="s">
        <v>1</v>
      </c>
      <c r="E79" s="113">
        <v>1.895833333333333</v>
      </c>
      <c r="F79" s="104" t="s">
        <v>65</v>
      </c>
      <c r="G79" s="106">
        <v>9</v>
      </c>
      <c r="H79" s="107" t="s">
        <v>70</v>
      </c>
    </row>
    <row r="80" spans="1:8" ht="19.8" customHeight="1" x14ac:dyDescent="0.3">
      <c r="A80" s="112">
        <v>45987</v>
      </c>
      <c r="B80" s="104" t="s">
        <v>60</v>
      </c>
      <c r="C80" s="105" t="s">
        <v>61</v>
      </c>
      <c r="D80" s="104" t="s">
        <v>1</v>
      </c>
      <c r="E80" s="113">
        <v>1.1840277777777779</v>
      </c>
      <c r="F80" s="104" t="s">
        <v>65</v>
      </c>
      <c r="G80" s="106">
        <v>9</v>
      </c>
      <c r="H80" s="107" t="s">
        <v>70</v>
      </c>
    </row>
    <row r="81" spans="1:8" ht="19.8" customHeight="1" x14ac:dyDescent="0.3">
      <c r="A81" s="114">
        <v>45987</v>
      </c>
      <c r="B81" s="115" t="s">
        <v>60</v>
      </c>
      <c r="C81" s="116" t="s">
        <v>71</v>
      </c>
      <c r="D81" s="115" t="s">
        <v>1</v>
      </c>
      <c r="E81" s="117">
        <v>1.229166666666667</v>
      </c>
      <c r="F81" s="115" t="s">
        <v>65</v>
      </c>
      <c r="G81" s="118">
        <v>4</v>
      </c>
      <c r="H81" s="119" t="s">
        <v>134</v>
      </c>
    </row>
    <row r="82" spans="1:8" ht="19.8" customHeight="1" x14ac:dyDescent="0.3">
      <c r="A82" s="175"/>
      <c r="B82" s="176"/>
      <c r="C82" s="176"/>
      <c r="D82" s="176"/>
      <c r="E82" s="176"/>
      <c r="F82" s="177" t="s">
        <v>297</v>
      </c>
      <c r="G82" s="176"/>
      <c r="H82" s="178"/>
    </row>
    <row r="83" spans="1:8" ht="19.8" customHeight="1" x14ac:dyDescent="0.3">
      <c r="A83" s="112">
        <v>45988</v>
      </c>
      <c r="B83" s="104" t="s">
        <v>41</v>
      </c>
      <c r="C83" s="105" t="s">
        <v>42</v>
      </c>
      <c r="D83" s="104" t="s">
        <v>1</v>
      </c>
      <c r="E83" s="113">
        <v>1.229166666666667</v>
      </c>
      <c r="F83" s="104" t="s">
        <v>43</v>
      </c>
      <c r="G83" s="106">
        <v>2</v>
      </c>
      <c r="H83" s="107" t="s">
        <v>143</v>
      </c>
    </row>
    <row r="84" spans="1:8" ht="19.8" customHeight="1" x14ac:dyDescent="0.3">
      <c r="A84" s="112">
        <v>45988</v>
      </c>
      <c r="B84" s="104" t="s">
        <v>26</v>
      </c>
      <c r="C84" s="105" t="s">
        <v>36</v>
      </c>
      <c r="D84" s="104" t="s">
        <v>1</v>
      </c>
      <c r="E84" s="113">
        <v>1.6076388888888891</v>
      </c>
      <c r="F84" s="104" t="s">
        <v>28</v>
      </c>
      <c r="G84" s="106">
        <v>2</v>
      </c>
      <c r="H84" s="107" t="s">
        <v>122</v>
      </c>
    </row>
    <row r="85" spans="1:8" ht="19.8" customHeight="1" x14ac:dyDescent="0.3">
      <c r="A85" s="112">
        <v>45988</v>
      </c>
      <c r="B85" s="104" t="s">
        <v>26</v>
      </c>
      <c r="C85" s="105" t="s">
        <v>27</v>
      </c>
      <c r="D85" s="104" t="s">
        <v>1</v>
      </c>
      <c r="E85" s="113">
        <v>1.4340277777777779</v>
      </c>
      <c r="F85" s="104" t="s">
        <v>28</v>
      </c>
      <c r="G85" s="106">
        <v>8</v>
      </c>
      <c r="H85" s="107" t="s">
        <v>145</v>
      </c>
    </row>
    <row r="86" spans="1:8" ht="19.8" customHeight="1" x14ac:dyDescent="0.3">
      <c r="A86" s="112">
        <v>45988</v>
      </c>
      <c r="B86" s="104" t="s">
        <v>26</v>
      </c>
      <c r="C86" s="105" t="s">
        <v>36</v>
      </c>
      <c r="D86" s="104" t="s">
        <v>1</v>
      </c>
      <c r="E86" s="113">
        <v>1.6076388888888891</v>
      </c>
      <c r="F86" s="104" t="s">
        <v>31</v>
      </c>
      <c r="G86" s="106">
        <v>2</v>
      </c>
      <c r="H86" s="107" t="s">
        <v>123</v>
      </c>
    </row>
    <row r="87" spans="1:8" ht="19.8" customHeight="1" x14ac:dyDescent="0.3">
      <c r="A87" s="112">
        <v>45988</v>
      </c>
      <c r="B87" s="104" t="s">
        <v>41</v>
      </c>
      <c r="C87" s="105" t="s">
        <v>42</v>
      </c>
      <c r="D87" s="104" t="s">
        <v>1</v>
      </c>
      <c r="E87" s="113">
        <v>1.229166666666667</v>
      </c>
      <c r="F87" s="104" t="s">
        <v>45</v>
      </c>
      <c r="G87" s="106">
        <v>2</v>
      </c>
      <c r="H87" s="107" t="s">
        <v>47</v>
      </c>
    </row>
    <row r="88" spans="1:8" ht="19.8" customHeight="1" x14ac:dyDescent="0.3">
      <c r="A88" s="112">
        <v>45988</v>
      </c>
      <c r="B88" s="104" t="s">
        <v>41</v>
      </c>
      <c r="C88" s="105" t="s">
        <v>42</v>
      </c>
      <c r="D88" s="104" t="s">
        <v>1</v>
      </c>
      <c r="E88" s="113">
        <v>1.229166666666667</v>
      </c>
      <c r="F88" s="104" t="s">
        <v>46</v>
      </c>
      <c r="G88" s="106">
        <v>2</v>
      </c>
      <c r="H88" s="107" t="s">
        <v>47</v>
      </c>
    </row>
    <row r="89" spans="1:8" ht="19.8" customHeight="1" x14ac:dyDescent="0.3">
      <c r="A89" s="112">
        <v>45988</v>
      </c>
      <c r="B89" s="104" t="s">
        <v>26</v>
      </c>
      <c r="C89" s="105" t="s">
        <v>36</v>
      </c>
      <c r="D89" s="104" t="s">
        <v>1</v>
      </c>
      <c r="E89" s="113">
        <v>1.6076388888888891</v>
      </c>
      <c r="F89" s="104" t="s">
        <v>34</v>
      </c>
      <c r="G89" s="106">
        <v>2</v>
      </c>
      <c r="H89" s="107" t="s">
        <v>124</v>
      </c>
    </row>
    <row r="90" spans="1:8" ht="19.8" customHeight="1" x14ac:dyDescent="0.3">
      <c r="A90" s="112">
        <v>45988</v>
      </c>
      <c r="B90" s="104" t="s">
        <v>26</v>
      </c>
      <c r="C90" s="105" t="s">
        <v>27</v>
      </c>
      <c r="D90" s="104" t="s">
        <v>1</v>
      </c>
      <c r="E90" s="113">
        <v>1.4340277777777779</v>
      </c>
      <c r="F90" s="104" t="s">
        <v>31</v>
      </c>
      <c r="G90" s="106">
        <v>8</v>
      </c>
      <c r="H90" s="107" t="s">
        <v>124</v>
      </c>
    </row>
    <row r="91" spans="1:8" ht="19.8" customHeight="1" x14ac:dyDescent="0.3">
      <c r="A91" s="112">
        <v>45988</v>
      </c>
      <c r="B91" s="104" t="s">
        <v>26</v>
      </c>
      <c r="C91" s="105" t="s">
        <v>27</v>
      </c>
      <c r="D91" s="104" t="s">
        <v>1</v>
      </c>
      <c r="E91" s="113">
        <v>1.4340277777777779</v>
      </c>
      <c r="F91" s="104" t="s">
        <v>34</v>
      </c>
      <c r="G91" s="106">
        <v>8</v>
      </c>
      <c r="H91" s="107" t="s">
        <v>146</v>
      </c>
    </row>
    <row r="92" spans="1:8" ht="19.8" customHeight="1" x14ac:dyDescent="0.3">
      <c r="A92" s="114">
        <v>45988</v>
      </c>
      <c r="B92" s="115" t="s">
        <v>60</v>
      </c>
      <c r="C92" s="116" t="s">
        <v>61</v>
      </c>
      <c r="D92" s="115" t="s">
        <v>1</v>
      </c>
      <c r="E92" s="117">
        <v>1.1840277777777779</v>
      </c>
      <c r="F92" s="115" t="s">
        <v>65</v>
      </c>
      <c r="G92" s="118">
        <v>9</v>
      </c>
      <c r="H92" s="119" t="s">
        <v>70</v>
      </c>
    </row>
    <row r="93" spans="1:8" ht="19.8" customHeight="1" x14ac:dyDescent="0.3">
      <c r="A93" s="175"/>
      <c r="B93" s="176"/>
      <c r="C93" s="176"/>
      <c r="D93" s="176"/>
      <c r="E93" s="176"/>
      <c r="F93" s="177" t="s">
        <v>297</v>
      </c>
      <c r="G93" s="176"/>
      <c r="H93" s="178"/>
    </row>
    <row r="94" spans="1:8" ht="19.8" customHeight="1" x14ac:dyDescent="0.3">
      <c r="A94" s="112">
        <v>45989</v>
      </c>
      <c r="B94" s="104" t="s">
        <v>41</v>
      </c>
      <c r="C94" s="105" t="s">
        <v>42</v>
      </c>
      <c r="D94" s="104" t="s">
        <v>1</v>
      </c>
      <c r="E94" s="113">
        <v>1.229166666666667</v>
      </c>
      <c r="F94" s="104" t="s">
        <v>43</v>
      </c>
      <c r="G94" s="106">
        <v>3</v>
      </c>
      <c r="H94" s="107" t="s">
        <v>44</v>
      </c>
    </row>
    <row r="95" spans="1:8" ht="19.8" customHeight="1" x14ac:dyDescent="0.3">
      <c r="A95" s="112">
        <v>45989</v>
      </c>
      <c r="B95" s="104" t="s">
        <v>41</v>
      </c>
      <c r="C95" s="105" t="s">
        <v>42</v>
      </c>
      <c r="D95" s="104" t="s">
        <v>1</v>
      </c>
      <c r="E95" s="113">
        <v>1.229166666666667</v>
      </c>
      <c r="F95" s="104" t="s">
        <v>45</v>
      </c>
      <c r="G95" s="106">
        <v>3</v>
      </c>
      <c r="H95" s="107" t="s">
        <v>35</v>
      </c>
    </row>
    <row r="96" spans="1:8" ht="19.8" customHeight="1" x14ac:dyDescent="0.3">
      <c r="A96" s="112">
        <v>45989</v>
      </c>
      <c r="B96" s="104" t="s">
        <v>26</v>
      </c>
      <c r="C96" s="105" t="s">
        <v>36</v>
      </c>
      <c r="D96" s="104" t="s">
        <v>1</v>
      </c>
      <c r="E96" s="113">
        <v>1.6076388888888891</v>
      </c>
      <c r="F96" s="104" t="s">
        <v>28</v>
      </c>
      <c r="G96" s="106">
        <v>1</v>
      </c>
      <c r="H96" s="107" t="s">
        <v>149</v>
      </c>
    </row>
    <row r="97" spans="1:8" ht="19.8" customHeight="1" x14ac:dyDescent="0.3">
      <c r="A97" s="112">
        <v>45989</v>
      </c>
      <c r="B97" s="104" t="s">
        <v>41</v>
      </c>
      <c r="C97" s="105" t="s">
        <v>42</v>
      </c>
      <c r="D97" s="104" t="s">
        <v>1</v>
      </c>
      <c r="E97" s="113">
        <v>1.229166666666667</v>
      </c>
      <c r="F97" s="104" t="s">
        <v>46</v>
      </c>
      <c r="G97" s="106">
        <v>3</v>
      </c>
      <c r="H97" s="107" t="s">
        <v>47</v>
      </c>
    </row>
    <row r="98" spans="1:8" ht="19.8" customHeight="1" x14ac:dyDescent="0.3">
      <c r="A98" s="112">
        <v>45989</v>
      </c>
      <c r="B98" s="104" t="s">
        <v>48</v>
      </c>
      <c r="C98" s="105" t="s">
        <v>53</v>
      </c>
      <c r="D98" s="104" t="s">
        <v>1</v>
      </c>
      <c r="E98" s="113">
        <v>1.0659722222222221</v>
      </c>
      <c r="F98" s="104" t="s">
        <v>50</v>
      </c>
      <c r="G98" s="106">
        <v>9</v>
      </c>
      <c r="H98" s="107" t="s">
        <v>56</v>
      </c>
    </row>
    <row r="99" spans="1:8" ht="19.8" customHeight="1" x14ac:dyDescent="0.3">
      <c r="A99" s="112">
        <v>45989</v>
      </c>
      <c r="B99" s="104" t="s">
        <v>26</v>
      </c>
      <c r="C99" s="105" t="s">
        <v>36</v>
      </c>
      <c r="D99" s="104" t="s">
        <v>1</v>
      </c>
      <c r="E99" s="113">
        <v>1.6076388888888891</v>
      </c>
      <c r="F99" s="104" t="s">
        <v>31</v>
      </c>
      <c r="G99" s="106">
        <v>1</v>
      </c>
      <c r="H99" s="107" t="s">
        <v>150</v>
      </c>
    </row>
    <row r="100" spans="1:8" ht="19.8" customHeight="1" x14ac:dyDescent="0.3">
      <c r="A100" s="112">
        <v>45989</v>
      </c>
      <c r="B100" s="104" t="s">
        <v>48</v>
      </c>
      <c r="C100" s="105" t="s">
        <v>55</v>
      </c>
      <c r="D100" s="104" t="s">
        <v>1</v>
      </c>
      <c r="E100" s="113">
        <v>1.9409722222222221</v>
      </c>
      <c r="F100" s="104" t="s">
        <v>50</v>
      </c>
      <c r="G100" s="106">
        <v>9</v>
      </c>
      <c r="H100" s="107" t="s">
        <v>91</v>
      </c>
    </row>
    <row r="101" spans="1:8" ht="19.8" customHeight="1" x14ac:dyDescent="0.3">
      <c r="A101" s="112">
        <v>45989</v>
      </c>
      <c r="B101" s="104" t="s">
        <v>48</v>
      </c>
      <c r="C101" s="105" t="s">
        <v>49</v>
      </c>
      <c r="D101" s="104" t="s">
        <v>1</v>
      </c>
      <c r="E101" s="113">
        <v>1.697916666666667</v>
      </c>
      <c r="F101" s="104" t="s">
        <v>50</v>
      </c>
      <c r="G101" s="106">
        <v>9</v>
      </c>
      <c r="H101" s="107" t="s">
        <v>91</v>
      </c>
    </row>
    <row r="102" spans="1:8" ht="19.8" customHeight="1" x14ac:dyDescent="0.3">
      <c r="A102" s="112">
        <v>45989</v>
      </c>
      <c r="B102" s="104" t="s">
        <v>26</v>
      </c>
      <c r="C102" s="105" t="s">
        <v>36</v>
      </c>
      <c r="D102" s="104" t="s">
        <v>1</v>
      </c>
      <c r="E102" s="113">
        <v>1.6076388888888891</v>
      </c>
      <c r="F102" s="104" t="s">
        <v>34</v>
      </c>
      <c r="G102" s="106">
        <v>1</v>
      </c>
      <c r="H102" s="107" t="s">
        <v>151</v>
      </c>
    </row>
    <row r="103" spans="1:8" ht="19.8" customHeight="1" x14ac:dyDescent="0.3">
      <c r="A103" s="114">
        <v>45989</v>
      </c>
      <c r="B103" s="115" t="s">
        <v>60</v>
      </c>
      <c r="C103" s="116" t="s">
        <v>68</v>
      </c>
      <c r="D103" s="115" t="s">
        <v>1</v>
      </c>
      <c r="E103" s="117">
        <v>1.350694444444444</v>
      </c>
      <c r="F103" s="115" t="s">
        <v>65</v>
      </c>
      <c r="G103" s="118">
        <v>9</v>
      </c>
      <c r="H103" s="119" t="s">
        <v>152</v>
      </c>
    </row>
    <row r="104" spans="1:8" ht="19.8" customHeight="1" x14ac:dyDescent="0.3">
      <c r="A104" s="120">
        <v>45990</v>
      </c>
      <c r="B104" s="121" t="s">
        <v>77</v>
      </c>
      <c r="C104" s="122" t="s">
        <v>299</v>
      </c>
      <c r="D104" s="121" t="s">
        <v>298</v>
      </c>
      <c r="E104" s="123">
        <v>1.802083333333333</v>
      </c>
      <c r="F104" s="121" t="s">
        <v>101</v>
      </c>
      <c r="G104" s="124">
        <v>6</v>
      </c>
      <c r="H104" s="125" t="s">
        <v>300</v>
      </c>
    </row>
    <row r="105" spans="1:8" ht="19.8" customHeight="1" x14ac:dyDescent="0.3">
      <c r="A105" s="175"/>
      <c r="B105" s="176"/>
      <c r="C105" s="176"/>
      <c r="D105" s="176"/>
      <c r="E105" s="176"/>
      <c r="F105" s="177" t="s">
        <v>297</v>
      </c>
      <c r="G105" s="176"/>
      <c r="H105" s="178"/>
    </row>
    <row r="106" spans="1:8" ht="19.8" customHeight="1" x14ac:dyDescent="0.3">
      <c r="A106" s="112">
        <v>45990</v>
      </c>
      <c r="B106" s="104" t="s">
        <v>41</v>
      </c>
      <c r="C106" s="105" t="s">
        <v>42</v>
      </c>
      <c r="D106" s="104" t="s">
        <v>1</v>
      </c>
      <c r="E106" s="113">
        <v>1.229166666666667</v>
      </c>
      <c r="F106" s="104" t="s">
        <v>43</v>
      </c>
      <c r="G106" s="106">
        <v>8</v>
      </c>
      <c r="H106" s="107" t="s">
        <v>33</v>
      </c>
    </row>
    <row r="107" spans="1:8" ht="19.8" customHeight="1" x14ac:dyDescent="0.3">
      <c r="A107" s="112">
        <v>45990</v>
      </c>
      <c r="B107" s="104" t="s">
        <v>26</v>
      </c>
      <c r="C107" s="105" t="s">
        <v>27</v>
      </c>
      <c r="D107" s="104" t="s">
        <v>1</v>
      </c>
      <c r="E107" s="113">
        <v>1.4340277777777779</v>
      </c>
      <c r="F107" s="104" t="s">
        <v>28</v>
      </c>
      <c r="G107" s="106">
        <v>4</v>
      </c>
      <c r="H107" s="107" t="s">
        <v>153</v>
      </c>
    </row>
    <row r="108" spans="1:8" ht="19.8" customHeight="1" x14ac:dyDescent="0.3">
      <c r="A108" s="112">
        <v>45990</v>
      </c>
      <c r="B108" s="104" t="s">
        <v>26</v>
      </c>
      <c r="C108" s="105" t="s">
        <v>27</v>
      </c>
      <c r="D108" s="104" t="s">
        <v>1</v>
      </c>
      <c r="E108" s="113">
        <v>1.4340277777777779</v>
      </c>
      <c r="F108" s="104" t="s">
        <v>31</v>
      </c>
      <c r="G108" s="106">
        <v>4</v>
      </c>
      <c r="H108" s="107" t="s">
        <v>154</v>
      </c>
    </row>
    <row r="109" spans="1:8" ht="19.8" customHeight="1" x14ac:dyDescent="0.3">
      <c r="A109" s="112">
        <v>45990</v>
      </c>
      <c r="B109" s="104" t="s">
        <v>26</v>
      </c>
      <c r="C109" s="105" t="s">
        <v>36</v>
      </c>
      <c r="D109" s="104" t="s">
        <v>1</v>
      </c>
      <c r="E109" s="113">
        <v>1.6076388888888891</v>
      </c>
      <c r="F109" s="104" t="s">
        <v>28</v>
      </c>
      <c r="G109" s="106">
        <v>7</v>
      </c>
      <c r="H109" s="107" t="s">
        <v>149</v>
      </c>
    </row>
    <row r="110" spans="1:8" ht="19.8" customHeight="1" x14ac:dyDescent="0.3">
      <c r="A110" s="112">
        <v>45990</v>
      </c>
      <c r="B110" s="104" t="s">
        <v>41</v>
      </c>
      <c r="C110" s="105" t="s">
        <v>42</v>
      </c>
      <c r="D110" s="104" t="s">
        <v>1</v>
      </c>
      <c r="E110" s="113">
        <v>1.229166666666667</v>
      </c>
      <c r="F110" s="104" t="s">
        <v>45</v>
      </c>
      <c r="G110" s="106">
        <v>8</v>
      </c>
      <c r="H110" s="107" t="s">
        <v>132</v>
      </c>
    </row>
    <row r="111" spans="1:8" ht="19.8" customHeight="1" x14ac:dyDescent="0.3">
      <c r="A111" s="112">
        <v>45990</v>
      </c>
      <c r="B111" s="104" t="s">
        <v>41</v>
      </c>
      <c r="C111" s="105" t="s">
        <v>42</v>
      </c>
      <c r="D111" s="104" t="s">
        <v>1</v>
      </c>
      <c r="E111" s="113">
        <v>1.229166666666667</v>
      </c>
      <c r="F111" s="104" t="s">
        <v>46</v>
      </c>
      <c r="G111" s="106">
        <v>8</v>
      </c>
      <c r="H111" s="107" t="s">
        <v>47</v>
      </c>
    </row>
    <row r="112" spans="1:8" ht="19.8" customHeight="1" x14ac:dyDescent="0.3">
      <c r="A112" s="112">
        <v>45990</v>
      </c>
      <c r="B112" s="104" t="s">
        <v>26</v>
      </c>
      <c r="C112" s="105" t="s">
        <v>27</v>
      </c>
      <c r="D112" s="104" t="s">
        <v>1</v>
      </c>
      <c r="E112" s="113">
        <v>1.4340277777777779</v>
      </c>
      <c r="F112" s="104" t="s">
        <v>34</v>
      </c>
      <c r="G112" s="106">
        <v>4</v>
      </c>
      <c r="H112" s="107" t="s">
        <v>47</v>
      </c>
    </row>
    <row r="113" spans="1:8" ht="19.8" customHeight="1" x14ac:dyDescent="0.3">
      <c r="A113" s="112">
        <v>45990</v>
      </c>
      <c r="B113" s="104" t="s">
        <v>48</v>
      </c>
      <c r="C113" s="105" t="s">
        <v>53</v>
      </c>
      <c r="D113" s="104" t="s">
        <v>1</v>
      </c>
      <c r="E113" s="113">
        <v>1.0659722222222221</v>
      </c>
      <c r="F113" s="104" t="s">
        <v>50</v>
      </c>
      <c r="G113" s="106">
        <v>9</v>
      </c>
      <c r="H113" s="107" t="s">
        <v>56</v>
      </c>
    </row>
    <row r="114" spans="1:8" ht="19.8" customHeight="1" x14ac:dyDescent="0.3">
      <c r="A114" s="112">
        <v>45990</v>
      </c>
      <c r="B114" s="104" t="s">
        <v>26</v>
      </c>
      <c r="C114" s="105" t="s">
        <v>36</v>
      </c>
      <c r="D114" s="104" t="s">
        <v>1</v>
      </c>
      <c r="E114" s="113">
        <v>1.6076388888888891</v>
      </c>
      <c r="F114" s="104" t="s">
        <v>31</v>
      </c>
      <c r="G114" s="106">
        <v>7</v>
      </c>
      <c r="H114" s="107" t="s">
        <v>150</v>
      </c>
    </row>
    <row r="115" spans="1:8" ht="19.8" customHeight="1" x14ac:dyDescent="0.3">
      <c r="A115" s="114">
        <v>45990</v>
      </c>
      <c r="B115" s="115" t="s">
        <v>48</v>
      </c>
      <c r="C115" s="116" t="s">
        <v>55</v>
      </c>
      <c r="D115" s="115" t="s">
        <v>1</v>
      </c>
      <c r="E115" s="117">
        <v>1.9409722222222221</v>
      </c>
      <c r="F115" s="115" t="s">
        <v>50</v>
      </c>
      <c r="G115" s="118">
        <v>9</v>
      </c>
      <c r="H115" s="119" t="s">
        <v>91</v>
      </c>
    </row>
    <row r="116" spans="1:8" ht="19.8" customHeight="1" x14ac:dyDescent="0.3">
      <c r="A116" s="175"/>
      <c r="B116" s="176"/>
      <c r="C116" s="176"/>
      <c r="D116" s="176"/>
      <c r="E116" s="176"/>
      <c r="F116" s="177" t="s">
        <v>297</v>
      </c>
      <c r="G116" s="176"/>
      <c r="H116" s="178"/>
    </row>
    <row r="117" spans="1:8" ht="19.8" customHeight="1" x14ac:dyDescent="0.3">
      <c r="A117" s="112">
        <v>45991</v>
      </c>
      <c r="B117" s="104" t="s">
        <v>41</v>
      </c>
      <c r="C117" s="105" t="s">
        <v>42</v>
      </c>
      <c r="D117" s="104" t="s">
        <v>1</v>
      </c>
      <c r="E117" s="113">
        <v>1.229166666666667</v>
      </c>
      <c r="F117" s="104" t="s">
        <v>43</v>
      </c>
      <c r="G117" s="106">
        <v>9</v>
      </c>
      <c r="H117" s="107" t="s">
        <v>154</v>
      </c>
    </row>
    <row r="118" spans="1:8" ht="19.8" customHeight="1" x14ac:dyDescent="0.3">
      <c r="A118" s="112">
        <v>45991</v>
      </c>
      <c r="B118" s="104" t="s">
        <v>26</v>
      </c>
      <c r="C118" s="105" t="s">
        <v>36</v>
      </c>
      <c r="D118" s="104" t="s">
        <v>1</v>
      </c>
      <c r="E118" s="113">
        <v>1.6076388888888891</v>
      </c>
      <c r="F118" s="104" t="s">
        <v>28</v>
      </c>
      <c r="G118" s="106">
        <v>4</v>
      </c>
      <c r="H118" s="107" t="s">
        <v>149</v>
      </c>
    </row>
    <row r="119" spans="1:8" ht="19.8" customHeight="1" x14ac:dyDescent="0.3">
      <c r="A119" s="112">
        <v>45991</v>
      </c>
      <c r="B119" s="104" t="s">
        <v>48</v>
      </c>
      <c r="C119" s="105" t="s">
        <v>55</v>
      </c>
      <c r="D119" s="104" t="s">
        <v>1</v>
      </c>
      <c r="E119" s="113">
        <v>1.9409722222222221</v>
      </c>
      <c r="F119" s="104" t="s">
        <v>50</v>
      </c>
      <c r="G119" s="106">
        <v>9</v>
      </c>
      <c r="H119" s="107" t="s">
        <v>52</v>
      </c>
    </row>
    <row r="120" spans="1:8" ht="19.8" customHeight="1" x14ac:dyDescent="0.3">
      <c r="A120" s="112">
        <v>45991</v>
      </c>
      <c r="B120" s="104" t="s">
        <v>48</v>
      </c>
      <c r="C120" s="105" t="s">
        <v>53</v>
      </c>
      <c r="D120" s="104" t="s">
        <v>1</v>
      </c>
      <c r="E120" s="113">
        <v>1.0659722222222221</v>
      </c>
      <c r="F120" s="104" t="s">
        <v>50</v>
      </c>
      <c r="G120" s="106">
        <v>9</v>
      </c>
      <c r="H120" s="107" t="s">
        <v>56</v>
      </c>
    </row>
    <row r="121" spans="1:8" ht="19.8" customHeight="1" x14ac:dyDescent="0.3">
      <c r="A121" s="112">
        <v>45991</v>
      </c>
      <c r="B121" s="104" t="s">
        <v>26</v>
      </c>
      <c r="C121" s="105" t="s">
        <v>36</v>
      </c>
      <c r="D121" s="104" t="s">
        <v>1</v>
      </c>
      <c r="E121" s="113">
        <v>1.6076388888888891</v>
      </c>
      <c r="F121" s="104" t="s">
        <v>31</v>
      </c>
      <c r="G121" s="106">
        <v>4</v>
      </c>
      <c r="H121" s="107" t="s">
        <v>150</v>
      </c>
    </row>
    <row r="122" spans="1:8" ht="19.8" customHeight="1" x14ac:dyDescent="0.3">
      <c r="A122" s="112">
        <v>45991</v>
      </c>
      <c r="B122" s="104" t="s">
        <v>41</v>
      </c>
      <c r="C122" s="105" t="s">
        <v>42</v>
      </c>
      <c r="D122" s="104" t="s">
        <v>1</v>
      </c>
      <c r="E122" s="113">
        <v>1.229166666666667</v>
      </c>
      <c r="F122" s="104" t="s">
        <v>45</v>
      </c>
      <c r="G122" s="106">
        <v>9</v>
      </c>
      <c r="H122" s="107" t="s">
        <v>124</v>
      </c>
    </row>
    <row r="123" spans="1:8" ht="19.8" customHeight="1" x14ac:dyDescent="0.3">
      <c r="A123" s="112">
        <v>45991</v>
      </c>
      <c r="B123" s="104" t="s">
        <v>26</v>
      </c>
      <c r="C123" s="105" t="s">
        <v>36</v>
      </c>
      <c r="D123" s="104" t="s">
        <v>1</v>
      </c>
      <c r="E123" s="113">
        <v>1.6076388888888891</v>
      </c>
      <c r="F123" s="104" t="s">
        <v>34</v>
      </c>
      <c r="G123" s="106">
        <v>4</v>
      </c>
      <c r="H123" s="107" t="s">
        <v>151</v>
      </c>
    </row>
    <row r="124" spans="1:8" ht="19.8" customHeight="1" x14ac:dyDescent="0.3">
      <c r="A124" s="112">
        <v>45991</v>
      </c>
      <c r="B124" s="104" t="s">
        <v>48</v>
      </c>
      <c r="C124" s="105" t="s">
        <v>49</v>
      </c>
      <c r="D124" s="104" t="s">
        <v>1</v>
      </c>
      <c r="E124" s="113">
        <v>1.697916666666667</v>
      </c>
      <c r="F124" s="104" t="s">
        <v>50</v>
      </c>
      <c r="G124" s="106">
        <v>9</v>
      </c>
      <c r="H124" s="107" t="s">
        <v>156</v>
      </c>
    </row>
    <row r="125" spans="1:8" ht="19.8" customHeight="1" x14ac:dyDescent="0.3">
      <c r="A125" s="112">
        <v>45991</v>
      </c>
      <c r="B125" s="104" t="s">
        <v>60</v>
      </c>
      <c r="C125" s="105" t="s">
        <v>68</v>
      </c>
      <c r="D125" s="104" t="s">
        <v>1</v>
      </c>
      <c r="E125" s="113">
        <v>1.350694444444444</v>
      </c>
      <c r="F125" s="104" t="s">
        <v>65</v>
      </c>
      <c r="G125" s="106">
        <v>1</v>
      </c>
      <c r="H125" s="107" t="s">
        <v>70</v>
      </c>
    </row>
    <row r="126" spans="1:8" ht="19.8" customHeight="1" x14ac:dyDescent="0.3">
      <c r="A126" s="114">
        <v>45991</v>
      </c>
      <c r="B126" s="115" t="s">
        <v>60</v>
      </c>
      <c r="C126" s="116" t="s">
        <v>74</v>
      </c>
      <c r="D126" s="115" t="s">
        <v>1</v>
      </c>
      <c r="E126" s="117">
        <v>1.895833333333333</v>
      </c>
      <c r="F126" s="115" t="s">
        <v>65</v>
      </c>
      <c r="G126" s="118">
        <v>7</v>
      </c>
      <c r="H126" s="119" t="s">
        <v>70</v>
      </c>
    </row>
  </sheetData>
  <pageMargins left="0.75" right="0.75" top="1" bottom="1" header="0.5" footer="0.5"/>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757"/>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86.21875" bestFit="1" customWidth="1"/>
  </cols>
  <sheetData>
    <row r="1" spans="1:92" ht="28.8" customHeight="1" x14ac:dyDescent="0.3">
      <c r="A1" s="303" t="s">
        <v>0</v>
      </c>
      <c r="B1" s="302"/>
      <c r="C1" s="302"/>
      <c r="D1" s="302"/>
      <c r="E1" s="302"/>
      <c r="F1" s="1" t="s">
        <v>335</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45980.583328240471</v>
      </c>
      <c r="H2" s="302"/>
      <c r="I2" s="302"/>
      <c r="J2" s="302"/>
      <c r="K2" s="311">
        <v>45980.583328240878</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41</v>
      </c>
      <c r="B6" s="8" t="s">
        <v>336</v>
      </c>
      <c r="C6" s="9">
        <v>0.98958333333333337</v>
      </c>
      <c r="D6" s="8" t="s">
        <v>337</v>
      </c>
      <c r="E6" s="8" t="s">
        <v>85</v>
      </c>
      <c r="F6" s="8" t="s">
        <v>338</v>
      </c>
      <c r="G6" s="304"/>
      <c r="H6" s="10"/>
      <c r="I6" s="11"/>
      <c r="J6" s="11"/>
      <c r="K6" s="11"/>
      <c r="L6" s="11"/>
      <c r="M6" s="11"/>
      <c r="N6" s="11"/>
      <c r="O6" s="12"/>
      <c r="P6" s="11"/>
      <c r="Q6" s="13"/>
      <c r="R6" s="14"/>
    </row>
    <row r="7" spans="1:92" ht="15" customHeight="1" x14ac:dyDescent="0.3">
      <c r="A7" s="15" t="s">
        <v>41</v>
      </c>
      <c r="B7" s="15" t="s">
        <v>336</v>
      </c>
      <c r="C7" s="16">
        <v>0.98958333333333337</v>
      </c>
      <c r="D7" s="15" t="s">
        <v>43</v>
      </c>
      <c r="E7" s="15" t="s">
        <v>87</v>
      </c>
      <c r="F7" s="15" t="s">
        <v>338</v>
      </c>
      <c r="G7" s="298"/>
      <c r="H7" s="10"/>
      <c r="I7" s="11"/>
      <c r="J7" s="11"/>
      <c r="K7" s="11"/>
      <c r="L7" s="11"/>
      <c r="M7" s="11"/>
      <c r="N7" s="11"/>
      <c r="O7" s="12"/>
      <c r="P7" s="11"/>
      <c r="Q7" s="13"/>
      <c r="R7" s="14"/>
    </row>
    <row r="8" spans="1:92" ht="15" customHeight="1" x14ac:dyDescent="0.3">
      <c r="A8" s="15" t="s">
        <v>41</v>
      </c>
      <c r="B8" s="15" t="s">
        <v>336</v>
      </c>
      <c r="C8" s="16">
        <v>0.98958333333333337</v>
      </c>
      <c r="D8" s="15" t="s">
        <v>45</v>
      </c>
      <c r="E8" s="15" t="s">
        <v>87</v>
      </c>
      <c r="F8" s="15" t="s">
        <v>339</v>
      </c>
      <c r="G8" s="298"/>
      <c r="H8" s="10"/>
      <c r="I8" s="11"/>
      <c r="J8" s="11"/>
      <c r="K8" s="11"/>
      <c r="L8" s="11"/>
      <c r="M8" s="11"/>
      <c r="N8" s="11"/>
      <c r="O8" s="12"/>
      <c r="P8" s="11"/>
      <c r="Q8" s="13"/>
      <c r="R8" s="14"/>
    </row>
    <row r="9" spans="1:92" ht="15" customHeight="1" x14ac:dyDescent="0.3">
      <c r="A9" s="15" t="s">
        <v>41</v>
      </c>
      <c r="B9" s="15" t="s">
        <v>336</v>
      </c>
      <c r="C9" s="16">
        <v>0.98958333333333337</v>
      </c>
      <c r="D9" s="15" t="s">
        <v>46</v>
      </c>
      <c r="E9" s="15" t="s">
        <v>87</v>
      </c>
      <c r="F9" s="15" t="s">
        <v>47</v>
      </c>
      <c r="G9" s="298"/>
      <c r="H9" s="10"/>
      <c r="I9" s="11"/>
      <c r="J9" s="11"/>
      <c r="K9" s="11"/>
      <c r="L9" s="11"/>
      <c r="M9" s="11"/>
      <c r="N9" s="11"/>
      <c r="O9" s="12"/>
      <c r="P9" s="11"/>
      <c r="Q9" s="13"/>
      <c r="R9" s="14"/>
    </row>
    <row r="10" spans="1:92" ht="15" customHeight="1" x14ac:dyDescent="0.3">
      <c r="A10" s="17" t="s">
        <v>41</v>
      </c>
      <c r="B10" s="17" t="s">
        <v>340</v>
      </c>
      <c r="C10" s="18">
        <v>0.39930555555555558</v>
      </c>
      <c r="D10" s="17" t="s">
        <v>337</v>
      </c>
      <c r="E10" s="17" t="s">
        <v>341</v>
      </c>
      <c r="F10" s="17" t="s">
        <v>342</v>
      </c>
      <c r="G10" s="298"/>
      <c r="H10" s="10"/>
      <c r="I10" s="11"/>
      <c r="J10" s="11"/>
      <c r="K10" s="11"/>
      <c r="L10" s="11"/>
      <c r="M10" s="11"/>
      <c r="N10" s="11"/>
      <c r="O10" s="12"/>
      <c r="P10" s="11"/>
      <c r="Q10" s="13"/>
      <c r="R10" s="14"/>
    </row>
    <row r="11" spans="1:92" ht="15" customHeight="1" x14ac:dyDescent="0.3">
      <c r="A11" s="15" t="s">
        <v>41</v>
      </c>
      <c r="B11" s="15" t="s">
        <v>340</v>
      </c>
      <c r="C11" s="16">
        <v>0.39930555555555558</v>
      </c>
      <c r="D11" s="15" t="s">
        <v>43</v>
      </c>
      <c r="E11" s="15" t="s">
        <v>343</v>
      </c>
      <c r="F11" s="15" t="s">
        <v>342</v>
      </c>
      <c r="G11" s="298"/>
      <c r="H11" s="10"/>
      <c r="I11" s="11"/>
      <c r="J11" s="11"/>
      <c r="K11" s="11"/>
      <c r="L11" s="11"/>
      <c r="M11" s="11"/>
      <c r="N11" s="11"/>
      <c r="O11" s="12"/>
      <c r="P11" s="11"/>
      <c r="Q11" s="13"/>
      <c r="R11" s="14"/>
    </row>
    <row r="12" spans="1:92" ht="15" customHeight="1" x14ac:dyDescent="0.3">
      <c r="A12" s="15" t="s">
        <v>41</v>
      </c>
      <c r="B12" s="15" t="s">
        <v>340</v>
      </c>
      <c r="C12" s="16">
        <v>0.39930555555555558</v>
      </c>
      <c r="D12" s="15" t="s">
        <v>45</v>
      </c>
      <c r="E12" s="15" t="s">
        <v>343</v>
      </c>
      <c r="F12" s="15" t="s">
        <v>153</v>
      </c>
      <c r="G12" s="298"/>
      <c r="H12" s="10"/>
      <c r="I12" s="11"/>
      <c r="J12" s="11"/>
      <c r="K12" s="11"/>
      <c r="L12" s="11"/>
      <c r="M12" s="11"/>
      <c r="N12" s="11"/>
      <c r="O12" s="12"/>
      <c r="P12" s="11"/>
      <c r="Q12" s="13"/>
      <c r="R12" s="14"/>
    </row>
    <row r="13" spans="1:92" ht="15" customHeight="1" x14ac:dyDescent="0.3">
      <c r="A13" s="15" t="s">
        <v>41</v>
      </c>
      <c r="B13" s="15" t="s">
        <v>340</v>
      </c>
      <c r="C13" s="16">
        <v>0.39930555555555558</v>
      </c>
      <c r="D13" s="15" t="s">
        <v>46</v>
      </c>
      <c r="E13" s="15" t="s">
        <v>343</v>
      </c>
      <c r="F13" s="15" t="s">
        <v>47</v>
      </c>
      <c r="G13" s="298"/>
      <c r="H13" s="10"/>
      <c r="I13" s="11"/>
      <c r="J13" s="11"/>
      <c r="K13" s="11"/>
      <c r="L13" s="11"/>
      <c r="M13" s="11"/>
      <c r="N13" s="11"/>
      <c r="O13" s="12"/>
      <c r="P13" s="11"/>
      <c r="Q13" s="13"/>
      <c r="R13" s="14"/>
    </row>
    <row r="14" spans="1:92" ht="15" customHeight="1" x14ac:dyDescent="0.3">
      <c r="A14" s="17" t="s">
        <v>41</v>
      </c>
      <c r="B14" s="17" t="s">
        <v>344</v>
      </c>
      <c r="C14" s="18">
        <v>0.48958333333333331</v>
      </c>
      <c r="D14" s="17" t="s">
        <v>337</v>
      </c>
      <c r="E14" s="17" t="s">
        <v>345</v>
      </c>
      <c r="F14" s="17" t="s">
        <v>342</v>
      </c>
      <c r="G14" s="298"/>
      <c r="H14" s="10"/>
      <c r="I14" s="11"/>
      <c r="J14" s="11"/>
      <c r="K14" s="11"/>
      <c r="L14" s="11"/>
      <c r="M14" s="11"/>
      <c r="N14" s="11"/>
      <c r="O14" s="12"/>
      <c r="P14" s="11"/>
      <c r="Q14" s="13"/>
      <c r="R14" s="14"/>
    </row>
    <row r="15" spans="1:92" ht="15" customHeight="1" x14ac:dyDescent="0.3">
      <c r="A15" s="15" t="s">
        <v>41</v>
      </c>
      <c r="B15" s="15" t="s">
        <v>344</v>
      </c>
      <c r="C15" s="16">
        <v>0.48958333333333331</v>
      </c>
      <c r="D15" s="15" t="s">
        <v>43</v>
      </c>
      <c r="E15" s="15" t="s">
        <v>346</v>
      </c>
      <c r="F15" s="15" t="s">
        <v>342</v>
      </c>
      <c r="G15" s="298"/>
      <c r="H15" s="10"/>
      <c r="I15" s="11"/>
      <c r="J15" s="11"/>
      <c r="K15" s="11"/>
      <c r="L15" s="11"/>
      <c r="M15" s="11"/>
      <c r="N15" s="11"/>
      <c r="O15" s="12"/>
      <c r="P15" s="11"/>
      <c r="Q15" s="13"/>
      <c r="R15" s="14"/>
    </row>
    <row r="16" spans="1:92" ht="15" customHeight="1" x14ac:dyDescent="0.3">
      <c r="A16" s="15" t="s">
        <v>41</v>
      </c>
      <c r="B16" s="15" t="s">
        <v>344</v>
      </c>
      <c r="C16" s="16">
        <v>0.48958333333333331</v>
      </c>
      <c r="D16" s="15" t="s">
        <v>45</v>
      </c>
      <c r="E16" s="15" t="s">
        <v>346</v>
      </c>
      <c r="F16" s="15" t="s">
        <v>153</v>
      </c>
      <c r="G16" s="298"/>
      <c r="H16" s="10"/>
      <c r="I16" s="11"/>
      <c r="J16" s="11"/>
      <c r="K16" s="11"/>
      <c r="L16" s="11"/>
      <c r="M16" s="11"/>
      <c r="N16" s="11"/>
      <c r="O16" s="12"/>
      <c r="P16" s="11"/>
      <c r="Q16" s="13"/>
      <c r="R16" s="14"/>
    </row>
    <row r="17" spans="1:18" ht="15" customHeight="1" x14ac:dyDescent="0.3">
      <c r="A17" s="15" t="s">
        <v>41</v>
      </c>
      <c r="B17" s="15" t="s">
        <v>344</v>
      </c>
      <c r="C17" s="16">
        <v>0.48958333333333331</v>
      </c>
      <c r="D17" s="15" t="s">
        <v>46</v>
      </c>
      <c r="E17" s="15" t="s">
        <v>346</v>
      </c>
      <c r="F17" s="15" t="s">
        <v>120</v>
      </c>
      <c r="G17" s="298"/>
      <c r="H17" s="10"/>
      <c r="I17" s="11"/>
      <c r="J17" s="11"/>
      <c r="K17" s="11"/>
      <c r="L17" s="11"/>
      <c r="M17" s="11"/>
      <c r="N17" s="11"/>
      <c r="O17" s="12"/>
      <c r="P17" s="11"/>
      <c r="Q17" s="13"/>
      <c r="R17" s="14"/>
    </row>
    <row r="18" spans="1:18" ht="15" customHeight="1" x14ac:dyDescent="0.3">
      <c r="A18" s="17" t="s">
        <v>41</v>
      </c>
      <c r="B18" s="17" t="s">
        <v>347</v>
      </c>
      <c r="C18" s="18">
        <v>0.88888888888888884</v>
      </c>
      <c r="D18" s="17" t="s">
        <v>337</v>
      </c>
      <c r="E18" s="17" t="s">
        <v>348</v>
      </c>
      <c r="F18" s="17" t="s">
        <v>342</v>
      </c>
      <c r="G18" s="298"/>
      <c r="H18" s="10"/>
      <c r="I18" s="11"/>
      <c r="J18" s="11"/>
      <c r="K18" s="11"/>
      <c r="L18" s="11"/>
      <c r="M18" s="11"/>
      <c r="N18" s="11"/>
      <c r="O18" s="12"/>
      <c r="P18" s="11"/>
      <c r="Q18" s="13"/>
      <c r="R18" s="14"/>
    </row>
    <row r="19" spans="1:18" ht="15" customHeight="1" x14ac:dyDescent="0.3">
      <c r="A19" s="15" t="s">
        <v>41</v>
      </c>
      <c r="B19" s="15" t="s">
        <v>347</v>
      </c>
      <c r="C19" s="16">
        <v>0.88888888888888884</v>
      </c>
      <c r="D19" s="15" t="s">
        <v>43</v>
      </c>
      <c r="E19" s="15" t="s">
        <v>349</v>
      </c>
      <c r="F19" s="15" t="s">
        <v>342</v>
      </c>
      <c r="G19" s="298"/>
      <c r="H19" s="10"/>
      <c r="I19" s="11"/>
      <c r="J19" s="11"/>
      <c r="K19" s="11"/>
      <c r="L19" s="11"/>
      <c r="M19" s="11"/>
      <c r="N19" s="11"/>
      <c r="O19" s="12"/>
      <c r="P19" s="11"/>
      <c r="Q19" s="13"/>
      <c r="R19" s="14"/>
    </row>
    <row r="20" spans="1:18" ht="15" customHeight="1" x14ac:dyDescent="0.3">
      <c r="A20" s="15" t="s">
        <v>41</v>
      </c>
      <c r="B20" s="15" t="s">
        <v>347</v>
      </c>
      <c r="C20" s="16">
        <v>0.88888888888888884</v>
      </c>
      <c r="D20" s="15" t="s">
        <v>45</v>
      </c>
      <c r="E20" s="15" t="s">
        <v>349</v>
      </c>
      <c r="F20" s="15" t="s">
        <v>153</v>
      </c>
      <c r="G20" s="298"/>
      <c r="H20" s="10"/>
      <c r="I20" s="11"/>
      <c r="J20" s="11"/>
      <c r="K20" s="11"/>
      <c r="L20" s="11"/>
      <c r="M20" s="11"/>
      <c r="N20" s="11"/>
      <c r="O20" s="12"/>
      <c r="P20" s="11"/>
      <c r="Q20" s="13"/>
      <c r="R20" s="14"/>
    </row>
    <row r="21" spans="1:18" ht="15" customHeight="1" x14ac:dyDescent="0.3">
      <c r="A21" s="15" t="s">
        <v>41</v>
      </c>
      <c r="B21" s="15" t="s">
        <v>347</v>
      </c>
      <c r="C21" s="16">
        <v>0.88888888888888884</v>
      </c>
      <c r="D21" s="15" t="s">
        <v>46</v>
      </c>
      <c r="E21" s="15" t="s">
        <v>349</v>
      </c>
      <c r="F21" s="15" t="s">
        <v>47</v>
      </c>
      <c r="G21" s="298"/>
      <c r="H21" s="10"/>
      <c r="I21" s="11"/>
      <c r="J21" s="11"/>
      <c r="K21" s="11"/>
      <c r="L21" s="11"/>
      <c r="M21" s="11"/>
      <c r="N21" s="11"/>
      <c r="O21" s="12"/>
      <c r="P21" s="11"/>
      <c r="Q21" s="13"/>
      <c r="R21" s="14"/>
    </row>
    <row r="22" spans="1:18" ht="15" customHeight="1" x14ac:dyDescent="0.3">
      <c r="A22" s="19" t="s">
        <v>26</v>
      </c>
      <c r="B22" s="19" t="s">
        <v>350</v>
      </c>
      <c r="C22" s="20">
        <v>0.99305555555555547</v>
      </c>
      <c r="D22" s="19" t="s">
        <v>351</v>
      </c>
      <c r="E22" s="19" t="s">
        <v>138</v>
      </c>
      <c r="F22" s="19" t="s">
        <v>93</v>
      </c>
      <c r="G22" s="298"/>
      <c r="H22" s="10"/>
      <c r="I22" s="11"/>
      <c r="J22" s="11"/>
      <c r="K22" s="11"/>
      <c r="L22" s="11"/>
      <c r="M22" s="11"/>
      <c r="N22" s="11"/>
      <c r="O22" s="12"/>
      <c r="P22" s="11"/>
      <c r="Q22" s="13"/>
      <c r="R22" s="14"/>
    </row>
    <row r="23" spans="1:18" ht="15" customHeight="1" x14ac:dyDescent="0.3">
      <c r="A23" s="15" t="s">
        <v>26</v>
      </c>
      <c r="B23" s="15" t="s">
        <v>350</v>
      </c>
      <c r="C23" s="16">
        <v>0.99305555555555547</v>
      </c>
      <c r="D23" s="15" t="s">
        <v>28</v>
      </c>
      <c r="E23" s="15" t="s">
        <v>38</v>
      </c>
      <c r="F23" s="15" t="s">
        <v>93</v>
      </c>
      <c r="G23" s="298"/>
      <c r="H23" s="10"/>
      <c r="I23" s="11"/>
      <c r="J23" s="11"/>
      <c r="K23" s="11"/>
      <c r="L23" s="11"/>
      <c r="M23" s="11"/>
      <c r="N23" s="11"/>
      <c r="O23" s="12"/>
      <c r="P23" s="11"/>
      <c r="Q23" s="13"/>
      <c r="R23" s="14"/>
    </row>
    <row r="24" spans="1:18" ht="15" customHeight="1" x14ac:dyDescent="0.3">
      <c r="A24" s="15" t="s">
        <v>26</v>
      </c>
      <c r="B24" s="15" t="s">
        <v>350</v>
      </c>
      <c r="C24" s="16">
        <v>0.99305555555555547</v>
      </c>
      <c r="D24" s="15" t="s">
        <v>31</v>
      </c>
      <c r="E24" s="15" t="s">
        <v>38</v>
      </c>
      <c r="F24" s="15" t="s">
        <v>339</v>
      </c>
      <c r="G24" s="298"/>
      <c r="H24" s="10"/>
      <c r="I24" s="11"/>
      <c r="J24" s="11"/>
      <c r="K24" s="11"/>
      <c r="L24" s="11"/>
      <c r="M24" s="11"/>
      <c r="N24" s="11"/>
      <c r="O24" s="12"/>
      <c r="P24" s="11"/>
      <c r="Q24" s="13"/>
      <c r="R24" s="14"/>
    </row>
    <row r="25" spans="1:18" ht="15" customHeight="1" x14ac:dyDescent="0.3">
      <c r="A25" s="15" t="s">
        <v>26</v>
      </c>
      <c r="B25" s="15" t="s">
        <v>350</v>
      </c>
      <c r="C25" s="16">
        <v>0.99305555555555547</v>
      </c>
      <c r="D25" s="15" t="s">
        <v>34</v>
      </c>
      <c r="E25" s="15" t="s">
        <v>38</v>
      </c>
      <c r="F25" s="15" t="s">
        <v>122</v>
      </c>
      <c r="G25" s="298"/>
      <c r="H25" s="10"/>
      <c r="I25" s="11"/>
      <c r="J25" s="11"/>
      <c r="K25" s="11"/>
      <c r="L25" s="11"/>
      <c r="M25" s="11"/>
      <c r="N25" s="11"/>
      <c r="O25" s="12"/>
      <c r="P25" s="11"/>
      <c r="Q25" s="13"/>
      <c r="R25" s="14"/>
    </row>
    <row r="26" spans="1:18" ht="15" customHeight="1" x14ac:dyDescent="0.3">
      <c r="A26" s="17" t="s">
        <v>26</v>
      </c>
      <c r="B26" s="17" t="s">
        <v>352</v>
      </c>
      <c r="C26" s="18">
        <v>0.94444444444444453</v>
      </c>
      <c r="D26" s="17" t="s">
        <v>351</v>
      </c>
      <c r="E26" s="17" t="s">
        <v>353</v>
      </c>
      <c r="F26" s="17" t="s">
        <v>93</v>
      </c>
      <c r="G26" s="298"/>
      <c r="H26" s="10"/>
      <c r="I26" s="11"/>
      <c r="J26" s="11"/>
      <c r="K26" s="11"/>
      <c r="L26" s="11"/>
      <c r="M26" s="11"/>
      <c r="N26" s="11"/>
      <c r="O26" s="12"/>
      <c r="P26" s="11"/>
      <c r="Q26" s="13"/>
      <c r="R26" s="14"/>
    </row>
    <row r="27" spans="1:18" ht="15" customHeight="1" x14ac:dyDescent="0.3">
      <c r="A27" s="15" t="s">
        <v>26</v>
      </c>
      <c r="B27" s="15" t="s">
        <v>352</v>
      </c>
      <c r="C27" s="16">
        <v>0.94444444444444453</v>
      </c>
      <c r="D27" s="15" t="s">
        <v>28</v>
      </c>
      <c r="E27" s="15" t="s">
        <v>97</v>
      </c>
      <c r="F27" s="15" t="s">
        <v>93</v>
      </c>
      <c r="G27" s="298"/>
      <c r="H27" s="10"/>
      <c r="I27" s="11"/>
      <c r="J27" s="11"/>
      <c r="K27" s="11"/>
      <c r="L27" s="11"/>
      <c r="M27" s="11"/>
      <c r="N27" s="11"/>
      <c r="O27" s="12"/>
      <c r="P27" s="11"/>
      <c r="Q27" s="13"/>
      <c r="R27" s="14"/>
    </row>
    <row r="28" spans="1:18" ht="15" customHeight="1" x14ac:dyDescent="0.3">
      <c r="A28" s="15" t="s">
        <v>26</v>
      </c>
      <c r="B28" s="15" t="s">
        <v>352</v>
      </c>
      <c r="C28" s="16">
        <v>0.94444444444444453</v>
      </c>
      <c r="D28" s="15" t="s">
        <v>31</v>
      </c>
      <c r="E28" s="15" t="s">
        <v>97</v>
      </c>
      <c r="F28" s="15" t="s">
        <v>339</v>
      </c>
      <c r="G28" s="298"/>
      <c r="H28" s="10"/>
      <c r="I28" s="11"/>
      <c r="J28" s="11"/>
      <c r="K28" s="11"/>
      <c r="L28" s="11"/>
      <c r="M28" s="11"/>
      <c r="N28" s="11"/>
      <c r="O28" s="12"/>
      <c r="P28" s="11"/>
      <c r="Q28" s="13"/>
      <c r="R28" s="14"/>
    </row>
    <row r="29" spans="1:18" ht="15" customHeight="1" x14ac:dyDescent="0.3">
      <c r="A29" s="15" t="s">
        <v>26</v>
      </c>
      <c r="B29" s="15" t="s">
        <v>352</v>
      </c>
      <c r="C29" s="16">
        <v>0.94444444444444453</v>
      </c>
      <c r="D29" s="15" t="s">
        <v>34</v>
      </c>
      <c r="E29" s="15" t="s">
        <v>97</v>
      </c>
      <c r="F29" s="15" t="s">
        <v>122</v>
      </c>
      <c r="G29" s="298"/>
      <c r="H29" s="10"/>
      <c r="I29" s="11"/>
      <c r="J29" s="11"/>
      <c r="K29" s="11"/>
      <c r="L29" s="11"/>
      <c r="M29" s="11"/>
      <c r="N29" s="11"/>
      <c r="O29" s="12"/>
      <c r="P29" s="11"/>
      <c r="Q29" s="13"/>
      <c r="R29" s="14"/>
    </row>
    <row r="30" spans="1:18" ht="15" customHeight="1" x14ac:dyDescent="0.3">
      <c r="A30" s="17" t="s">
        <v>26</v>
      </c>
      <c r="B30" s="17" t="s">
        <v>354</v>
      </c>
      <c r="C30" s="18">
        <v>0.34722222222222232</v>
      </c>
      <c r="D30" s="17" t="s">
        <v>351</v>
      </c>
      <c r="E30" s="17" t="s">
        <v>355</v>
      </c>
      <c r="F30" s="17" t="s">
        <v>44</v>
      </c>
      <c r="G30" s="298"/>
      <c r="H30" s="10"/>
      <c r="I30" s="11"/>
      <c r="J30" s="11"/>
      <c r="K30" s="11"/>
      <c r="L30" s="11"/>
      <c r="M30" s="11"/>
      <c r="N30" s="11"/>
      <c r="O30" s="12"/>
      <c r="P30" s="11"/>
      <c r="Q30" s="13"/>
      <c r="R30" s="14"/>
    </row>
    <row r="31" spans="1:18" ht="15" customHeight="1" x14ac:dyDescent="0.3">
      <c r="A31" s="15" t="s">
        <v>26</v>
      </c>
      <c r="B31" s="15" t="s">
        <v>354</v>
      </c>
      <c r="C31" s="16">
        <v>0.34722222222222232</v>
      </c>
      <c r="D31" s="15" t="s">
        <v>28</v>
      </c>
      <c r="E31" s="15" t="s">
        <v>115</v>
      </c>
      <c r="F31" s="15" t="s">
        <v>44</v>
      </c>
      <c r="G31" s="298"/>
      <c r="H31" s="10"/>
      <c r="I31" s="11"/>
      <c r="J31" s="11"/>
      <c r="K31" s="11"/>
      <c r="L31" s="11"/>
      <c r="M31" s="11"/>
      <c r="N31" s="11"/>
      <c r="O31" s="12"/>
      <c r="P31" s="11"/>
      <c r="Q31" s="13"/>
      <c r="R31" s="14"/>
    </row>
    <row r="32" spans="1:18" ht="15" customHeight="1" x14ac:dyDescent="0.3">
      <c r="A32" s="15" t="s">
        <v>26</v>
      </c>
      <c r="B32" s="15" t="s">
        <v>354</v>
      </c>
      <c r="C32" s="16">
        <v>0.34722222222222232</v>
      </c>
      <c r="D32" s="15" t="s">
        <v>31</v>
      </c>
      <c r="E32" s="15" t="s">
        <v>115</v>
      </c>
      <c r="F32" s="15" t="s">
        <v>95</v>
      </c>
      <c r="G32" s="298"/>
      <c r="H32" s="10"/>
      <c r="I32" s="11"/>
      <c r="J32" s="11"/>
      <c r="K32" s="11"/>
      <c r="L32" s="11"/>
      <c r="M32" s="11"/>
      <c r="N32" s="11"/>
      <c r="O32" s="12"/>
      <c r="P32" s="11"/>
      <c r="Q32" s="13"/>
      <c r="R32" s="14"/>
    </row>
    <row r="33" spans="1:18" ht="15" customHeight="1" x14ac:dyDescent="0.3">
      <c r="A33" s="15" t="s">
        <v>26</v>
      </c>
      <c r="B33" s="15" t="s">
        <v>354</v>
      </c>
      <c r="C33" s="16">
        <v>0.34722222222222232</v>
      </c>
      <c r="D33" s="15" t="s">
        <v>34</v>
      </c>
      <c r="E33" s="15" t="s">
        <v>115</v>
      </c>
      <c r="F33" s="15" t="s">
        <v>149</v>
      </c>
      <c r="G33" s="298"/>
      <c r="H33" s="10"/>
      <c r="I33" s="11"/>
      <c r="J33" s="11"/>
      <c r="K33" s="11"/>
      <c r="L33" s="11"/>
      <c r="M33" s="11"/>
      <c r="N33" s="11"/>
      <c r="O33" s="12"/>
      <c r="P33" s="11"/>
      <c r="Q33" s="13"/>
      <c r="R33" s="14"/>
    </row>
    <row r="34" spans="1:18" ht="15" customHeight="1" x14ac:dyDescent="0.3">
      <c r="A34" s="17" t="s">
        <v>26</v>
      </c>
      <c r="B34" s="17" t="s">
        <v>356</v>
      </c>
      <c r="C34" s="18">
        <v>0.83680555555555547</v>
      </c>
      <c r="D34" s="17" t="s">
        <v>351</v>
      </c>
      <c r="E34" s="17" t="s">
        <v>69</v>
      </c>
      <c r="F34" s="17" t="s">
        <v>44</v>
      </c>
      <c r="G34" s="298"/>
      <c r="H34" s="10"/>
      <c r="I34" s="11"/>
      <c r="J34" s="11"/>
      <c r="K34" s="11"/>
      <c r="L34" s="11"/>
      <c r="M34" s="11"/>
      <c r="N34" s="11"/>
      <c r="O34" s="12"/>
      <c r="P34" s="11"/>
      <c r="Q34" s="13"/>
      <c r="R34" s="14"/>
    </row>
    <row r="35" spans="1:18" ht="15" customHeight="1" x14ac:dyDescent="0.3">
      <c r="A35" s="15" t="s">
        <v>26</v>
      </c>
      <c r="B35" s="15" t="s">
        <v>356</v>
      </c>
      <c r="C35" s="16">
        <v>0.83680555555555547</v>
      </c>
      <c r="D35" s="15" t="s">
        <v>28</v>
      </c>
      <c r="E35" s="15" t="s">
        <v>87</v>
      </c>
      <c r="F35" s="15" t="s">
        <v>44</v>
      </c>
      <c r="G35" s="298"/>
      <c r="H35" s="10"/>
      <c r="I35" s="11"/>
      <c r="J35" s="11"/>
      <c r="K35" s="11"/>
      <c r="L35" s="11"/>
      <c r="M35" s="11"/>
      <c r="N35" s="11"/>
      <c r="O35" s="12"/>
      <c r="P35" s="11"/>
      <c r="Q35" s="13"/>
      <c r="R35" s="14"/>
    </row>
    <row r="36" spans="1:18" ht="15" customHeight="1" x14ac:dyDescent="0.3">
      <c r="A36" s="15" t="s">
        <v>26</v>
      </c>
      <c r="B36" s="15" t="s">
        <v>356</v>
      </c>
      <c r="C36" s="16">
        <v>0.83680555555555547</v>
      </c>
      <c r="D36" s="15" t="s">
        <v>31</v>
      </c>
      <c r="E36" s="15" t="s">
        <v>87</v>
      </c>
      <c r="F36" s="15" t="s">
        <v>95</v>
      </c>
      <c r="G36" s="298"/>
      <c r="H36" s="10"/>
      <c r="I36" s="11"/>
      <c r="J36" s="11"/>
      <c r="K36" s="11"/>
      <c r="L36" s="11"/>
      <c r="M36" s="11"/>
      <c r="N36" s="11"/>
      <c r="O36" s="12"/>
      <c r="P36" s="11"/>
      <c r="Q36" s="13"/>
      <c r="R36" s="14"/>
    </row>
    <row r="37" spans="1:18" ht="15" customHeight="1" x14ac:dyDescent="0.3">
      <c r="A37" s="15" t="s">
        <v>26</v>
      </c>
      <c r="B37" s="15" t="s">
        <v>356</v>
      </c>
      <c r="C37" s="16">
        <v>0.83680555555555547</v>
      </c>
      <c r="D37" s="15" t="s">
        <v>34</v>
      </c>
      <c r="E37" s="15" t="s">
        <v>87</v>
      </c>
      <c r="F37" s="15" t="s">
        <v>149</v>
      </c>
      <c r="G37" s="298"/>
      <c r="H37" s="10"/>
      <c r="I37" s="11"/>
      <c r="J37" s="11"/>
      <c r="K37" s="11"/>
      <c r="L37" s="11"/>
      <c r="M37" s="11"/>
      <c r="N37" s="11"/>
      <c r="O37" s="12"/>
      <c r="P37" s="11"/>
      <c r="Q37" s="13"/>
      <c r="R37" s="14"/>
    </row>
    <row r="38" spans="1:18" ht="15" customHeight="1" x14ac:dyDescent="0.3">
      <c r="A38" s="17" t="s">
        <v>26</v>
      </c>
      <c r="B38" s="17" t="s">
        <v>357</v>
      </c>
      <c r="C38" s="18">
        <v>0.3923611111111111</v>
      </c>
      <c r="D38" s="17" t="s">
        <v>351</v>
      </c>
      <c r="E38" s="17" t="s">
        <v>75</v>
      </c>
      <c r="F38" s="17" t="s">
        <v>44</v>
      </c>
      <c r="G38" s="298"/>
      <c r="H38" s="10"/>
      <c r="I38" s="11"/>
      <c r="J38" s="11"/>
      <c r="K38" s="11"/>
      <c r="L38" s="11"/>
      <c r="M38" s="11"/>
      <c r="N38" s="11"/>
      <c r="O38" s="12"/>
      <c r="P38" s="11"/>
      <c r="Q38" s="13"/>
      <c r="R38" s="14"/>
    </row>
    <row r="39" spans="1:18" ht="15" customHeight="1" x14ac:dyDescent="0.3">
      <c r="A39" s="15" t="s">
        <v>26</v>
      </c>
      <c r="B39" s="15" t="s">
        <v>357</v>
      </c>
      <c r="C39" s="16">
        <v>0.3923611111111111</v>
      </c>
      <c r="D39" s="15" t="s">
        <v>28</v>
      </c>
      <c r="E39" s="15" t="s">
        <v>98</v>
      </c>
      <c r="F39" s="15" t="s">
        <v>44</v>
      </c>
      <c r="G39" s="298"/>
      <c r="H39" s="10"/>
      <c r="I39" s="11"/>
      <c r="J39" s="11"/>
      <c r="K39" s="11"/>
      <c r="L39" s="11"/>
      <c r="M39" s="11"/>
      <c r="N39" s="11"/>
      <c r="O39" s="12"/>
      <c r="P39" s="11"/>
      <c r="Q39" s="13"/>
      <c r="R39" s="14"/>
    </row>
    <row r="40" spans="1:18" ht="15" customHeight="1" x14ac:dyDescent="0.3">
      <c r="A40" s="15" t="s">
        <v>26</v>
      </c>
      <c r="B40" s="15" t="s">
        <v>357</v>
      </c>
      <c r="C40" s="16">
        <v>0.3923611111111111</v>
      </c>
      <c r="D40" s="15" t="s">
        <v>31</v>
      </c>
      <c r="E40" s="15" t="s">
        <v>98</v>
      </c>
      <c r="F40" s="15" t="s">
        <v>95</v>
      </c>
      <c r="G40" s="298"/>
      <c r="H40" s="10"/>
      <c r="I40" s="11"/>
      <c r="J40" s="11"/>
      <c r="K40" s="11"/>
      <c r="L40" s="11"/>
      <c r="M40" s="11"/>
      <c r="N40" s="11"/>
      <c r="O40" s="12"/>
      <c r="P40" s="11"/>
      <c r="Q40" s="13"/>
      <c r="R40" s="14"/>
    </row>
    <row r="41" spans="1:18" ht="15" customHeight="1" x14ac:dyDescent="0.3">
      <c r="A41" s="15" t="s">
        <v>26</v>
      </c>
      <c r="B41" s="15" t="s">
        <v>357</v>
      </c>
      <c r="C41" s="16">
        <v>0.3923611111111111</v>
      </c>
      <c r="D41" s="15" t="s">
        <v>34</v>
      </c>
      <c r="E41" s="15" t="s">
        <v>98</v>
      </c>
      <c r="F41" s="15" t="s">
        <v>149</v>
      </c>
      <c r="G41" s="298"/>
      <c r="H41" s="10"/>
      <c r="I41" s="11"/>
      <c r="J41" s="11"/>
      <c r="K41" s="11"/>
      <c r="L41" s="11"/>
      <c r="M41" s="11"/>
      <c r="N41" s="11"/>
      <c r="O41" s="12"/>
      <c r="P41" s="11"/>
      <c r="Q41" s="13"/>
      <c r="R41" s="14"/>
    </row>
    <row r="42" spans="1:18" ht="15" customHeight="1" x14ac:dyDescent="0.3">
      <c r="A42" s="17" t="s">
        <v>26</v>
      </c>
      <c r="B42" s="17" t="s">
        <v>358</v>
      </c>
      <c r="C42" s="18">
        <v>0.88888888888888884</v>
      </c>
      <c r="D42" s="17" t="s">
        <v>351</v>
      </c>
      <c r="E42" s="17" t="s">
        <v>121</v>
      </c>
      <c r="F42" s="17" t="s">
        <v>44</v>
      </c>
      <c r="G42" s="298"/>
      <c r="H42" s="10"/>
      <c r="I42" s="11"/>
      <c r="J42" s="11"/>
      <c r="K42" s="11"/>
      <c r="L42" s="11"/>
      <c r="M42" s="11"/>
      <c r="N42" s="11"/>
      <c r="O42" s="12"/>
      <c r="P42" s="11"/>
      <c r="Q42" s="13"/>
      <c r="R42" s="14"/>
    </row>
    <row r="43" spans="1:18" ht="15" customHeight="1" x14ac:dyDescent="0.3">
      <c r="A43" s="15" t="s">
        <v>26</v>
      </c>
      <c r="B43" s="15" t="s">
        <v>358</v>
      </c>
      <c r="C43" s="16">
        <v>0.88888888888888884</v>
      </c>
      <c r="D43" s="15" t="s">
        <v>28</v>
      </c>
      <c r="E43" s="15" t="s">
        <v>32</v>
      </c>
      <c r="F43" s="15" t="s">
        <v>44</v>
      </c>
      <c r="G43" s="298"/>
      <c r="H43" s="10"/>
      <c r="I43" s="11"/>
      <c r="J43" s="11"/>
      <c r="K43" s="11"/>
      <c r="L43" s="11"/>
      <c r="M43" s="11"/>
      <c r="N43" s="11"/>
      <c r="O43" s="12"/>
      <c r="P43" s="11"/>
      <c r="Q43" s="13"/>
      <c r="R43" s="14"/>
    </row>
    <row r="44" spans="1:18" ht="15" customHeight="1" x14ac:dyDescent="0.3">
      <c r="A44" s="15" t="s">
        <v>26</v>
      </c>
      <c r="B44" s="15" t="s">
        <v>358</v>
      </c>
      <c r="C44" s="16">
        <v>0.88888888888888884</v>
      </c>
      <c r="D44" s="15" t="s">
        <v>31</v>
      </c>
      <c r="E44" s="15" t="s">
        <v>32</v>
      </c>
      <c r="F44" s="15" t="s">
        <v>95</v>
      </c>
      <c r="G44" s="298"/>
      <c r="H44" s="10"/>
      <c r="I44" s="11"/>
      <c r="J44" s="11"/>
      <c r="K44" s="11"/>
      <c r="L44" s="11"/>
      <c r="M44" s="11"/>
      <c r="N44" s="11"/>
      <c r="O44" s="12"/>
      <c r="P44" s="11"/>
      <c r="Q44" s="13"/>
      <c r="R44" s="14"/>
    </row>
    <row r="45" spans="1:18" ht="15" customHeight="1" x14ac:dyDescent="0.3">
      <c r="A45" s="15" t="s">
        <v>26</v>
      </c>
      <c r="B45" s="15" t="s">
        <v>358</v>
      </c>
      <c r="C45" s="16">
        <v>0.88888888888888884</v>
      </c>
      <c r="D45" s="15" t="s">
        <v>34</v>
      </c>
      <c r="E45" s="15" t="s">
        <v>32</v>
      </c>
      <c r="F45" s="15" t="s">
        <v>149</v>
      </c>
      <c r="G45" s="298"/>
      <c r="H45" s="10"/>
      <c r="I45" s="11"/>
      <c r="J45" s="11"/>
      <c r="K45" s="11"/>
      <c r="L45" s="11"/>
      <c r="M45" s="11"/>
      <c r="N45" s="11"/>
      <c r="O45" s="12"/>
      <c r="P45" s="11"/>
      <c r="Q45" s="13"/>
      <c r="R45" s="14"/>
    </row>
    <row r="46" spans="1:18" ht="15" customHeight="1" x14ac:dyDescent="0.3">
      <c r="A46" s="17" t="s">
        <v>26</v>
      </c>
      <c r="B46" s="17" t="s">
        <v>359</v>
      </c>
      <c r="C46" s="18">
        <v>0.75</v>
      </c>
      <c r="D46" s="17" t="s">
        <v>351</v>
      </c>
      <c r="E46" s="17" t="s">
        <v>144</v>
      </c>
      <c r="F46" s="17" t="s">
        <v>339</v>
      </c>
      <c r="G46" s="298"/>
      <c r="H46" s="10"/>
      <c r="I46" s="11"/>
      <c r="J46" s="11"/>
      <c r="K46" s="11"/>
      <c r="L46" s="11"/>
      <c r="M46" s="11"/>
      <c r="N46" s="11"/>
      <c r="O46" s="12"/>
      <c r="P46" s="11"/>
      <c r="Q46" s="13"/>
      <c r="R46" s="14"/>
    </row>
    <row r="47" spans="1:18" ht="15" customHeight="1" x14ac:dyDescent="0.3">
      <c r="A47" s="15" t="s">
        <v>26</v>
      </c>
      <c r="B47" s="15" t="s">
        <v>359</v>
      </c>
      <c r="C47" s="16">
        <v>0.75</v>
      </c>
      <c r="D47" s="15" t="s">
        <v>28</v>
      </c>
      <c r="E47" s="15" t="s">
        <v>133</v>
      </c>
      <c r="F47" s="15" t="s">
        <v>339</v>
      </c>
      <c r="G47" s="298"/>
      <c r="H47" s="10"/>
      <c r="I47" s="11"/>
      <c r="J47" s="11"/>
      <c r="K47" s="11"/>
      <c r="L47" s="11"/>
      <c r="M47" s="11"/>
      <c r="N47" s="11"/>
      <c r="O47" s="12"/>
      <c r="P47" s="11"/>
      <c r="Q47" s="13"/>
      <c r="R47" s="14"/>
    </row>
    <row r="48" spans="1:18" ht="15" customHeight="1" x14ac:dyDescent="0.3">
      <c r="A48" s="15" t="s">
        <v>26</v>
      </c>
      <c r="B48" s="15" t="s">
        <v>359</v>
      </c>
      <c r="C48" s="16">
        <v>0.75</v>
      </c>
      <c r="D48" s="15" t="s">
        <v>31</v>
      </c>
      <c r="E48" s="15" t="s">
        <v>133</v>
      </c>
      <c r="F48" s="15" t="s">
        <v>35</v>
      </c>
      <c r="G48" s="298"/>
      <c r="H48" s="10"/>
      <c r="I48" s="11"/>
      <c r="J48" s="11"/>
      <c r="K48" s="11"/>
      <c r="L48" s="11"/>
      <c r="M48" s="11"/>
      <c r="N48" s="11"/>
      <c r="O48" s="12"/>
      <c r="P48" s="11"/>
      <c r="Q48" s="13"/>
      <c r="R48" s="14"/>
    </row>
    <row r="49" spans="1:18" ht="15" customHeight="1" x14ac:dyDescent="0.3">
      <c r="A49" s="15" t="s">
        <v>26</v>
      </c>
      <c r="B49" s="15" t="s">
        <v>359</v>
      </c>
      <c r="C49" s="16">
        <v>0.75</v>
      </c>
      <c r="D49" s="15" t="s">
        <v>34</v>
      </c>
      <c r="E49" s="15" t="s">
        <v>133</v>
      </c>
      <c r="F49" s="15" t="s">
        <v>123</v>
      </c>
      <c r="G49" s="298"/>
      <c r="H49" s="10"/>
      <c r="I49" s="11"/>
      <c r="J49" s="11"/>
      <c r="K49" s="11"/>
      <c r="L49" s="11"/>
      <c r="M49" s="11"/>
      <c r="N49" s="11"/>
      <c r="O49" s="12"/>
      <c r="P49" s="11"/>
      <c r="Q49" s="13"/>
      <c r="R49" s="14"/>
    </row>
    <row r="50" spans="1:18" ht="15" customHeight="1" x14ac:dyDescent="0.3">
      <c r="A50" s="17" t="s">
        <v>26</v>
      </c>
      <c r="B50" s="17" t="s">
        <v>360</v>
      </c>
      <c r="C50" s="18">
        <v>0.4861111111111111</v>
      </c>
      <c r="D50" s="17" t="s">
        <v>351</v>
      </c>
      <c r="E50" s="17" t="s">
        <v>75</v>
      </c>
      <c r="F50" s="17" t="s">
        <v>339</v>
      </c>
      <c r="G50" s="298"/>
      <c r="H50" s="10"/>
      <c r="I50" s="11"/>
      <c r="J50" s="11"/>
      <c r="K50" s="11"/>
      <c r="L50" s="11"/>
      <c r="M50" s="11"/>
      <c r="N50" s="11"/>
      <c r="O50" s="12"/>
      <c r="P50" s="11"/>
      <c r="Q50" s="13"/>
      <c r="R50" s="14"/>
    </row>
    <row r="51" spans="1:18" ht="15" customHeight="1" x14ac:dyDescent="0.3">
      <c r="A51" s="15" t="s">
        <v>26</v>
      </c>
      <c r="B51" s="15" t="s">
        <v>360</v>
      </c>
      <c r="C51" s="16">
        <v>0.4861111111111111</v>
      </c>
      <c r="D51" s="15" t="s">
        <v>28</v>
      </c>
      <c r="E51" s="15" t="s">
        <v>98</v>
      </c>
      <c r="F51" s="15" t="s">
        <v>339</v>
      </c>
      <c r="G51" s="298"/>
      <c r="H51" s="10"/>
      <c r="I51" s="11"/>
      <c r="J51" s="11"/>
      <c r="K51" s="11"/>
      <c r="L51" s="11"/>
      <c r="M51" s="11"/>
      <c r="N51" s="11"/>
      <c r="O51" s="12"/>
      <c r="P51" s="11"/>
      <c r="Q51" s="13"/>
      <c r="R51" s="14"/>
    </row>
    <row r="52" spans="1:18" ht="15" customHeight="1" x14ac:dyDescent="0.3">
      <c r="A52" s="15" t="s">
        <v>26</v>
      </c>
      <c r="B52" s="15" t="s">
        <v>360</v>
      </c>
      <c r="C52" s="16">
        <v>0.4861111111111111</v>
      </c>
      <c r="D52" s="15" t="s">
        <v>31</v>
      </c>
      <c r="E52" s="15" t="s">
        <v>98</v>
      </c>
      <c r="F52" s="15" t="s">
        <v>35</v>
      </c>
      <c r="G52" s="298"/>
      <c r="H52" s="10"/>
      <c r="I52" s="11"/>
      <c r="J52" s="11"/>
      <c r="K52" s="11"/>
      <c r="L52" s="11"/>
      <c r="M52" s="11"/>
      <c r="N52" s="11"/>
      <c r="O52" s="12"/>
      <c r="P52" s="11"/>
      <c r="Q52" s="13"/>
      <c r="R52" s="14"/>
    </row>
    <row r="53" spans="1:18" ht="15" customHeight="1" x14ac:dyDescent="0.3">
      <c r="A53" s="15" t="s">
        <v>26</v>
      </c>
      <c r="B53" s="15" t="s">
        <v>360</v>
      </c>
      <c r="C53" s="16">
        <v>0.4861111111111111</v>
      </c>
      <c r="D53" s="15" t="s">
        <v>34</v>
      </c>
      <c r="E53" s="15" t="s">
        <v>98</v>
      </c>
      <c r="F53" s="15" t="s">
        <v>123</v>
      </c>
      <c r="G53" s="298"/>
      <c r="H53" s="10"/>
      <c r="I53" s="11"/>
      <c r="J53" s="11"/>
      <c r="K53" s="11"/>
      <c r="L53" s="11"/>
      <c r="M53" s="11"/>
      <c r="N53" s="11"/>
      <c r="O53" s="12"/>
      <c r="P53" s="11"/>
      <c r="Q53" s="13"/>
      <c r="R53" s="14"/>
    </row>
    <row r="54" spans="1:18" ht="15" customHeight="1" x14ac:dyDescent="0.3">
      <c r="A54" s="75" t="s">
        <v>77</v>
      </c>
      <c r="B54" s="75" t="s">
        <v>361</v>
      </c>
      <c r="C54" s="76">
        <v>0.5625</v>
      </c>
      <c r="D54" s="75" t="s">
        <v>101</v>
      </c>
      <c r="E54" s="75" t="s">
        <v>111</v>
      </c>
      <c r="F54" s="75" t="s">
        <v>362</v>
      </c>
      <c r="G54" s="298"/>
      <c r="H54" s="78" t="s">
        <v>363</v>
      </c>
      <c r="I54" s="79">
        <v>0.97219999999999995</v>
      </c>
      <c r="J54" s="80">
        <v>175</v>
      </c>
      <c r="K54" s="81">
        <v>45974</v>
      </c>
      <c r="L54" s="80">
        <v>52</v>
      </c>
      <c r="M54" s="80">
        <v>0</v>
      </c>
      <c r="N54" s="80">
        <v>0</v>
      </c>
      <c r="O54" s="82" t="s">
        <v>319</v>
      </c>
      <c r="P54" s="83">
        <v>0.5625</v>
      </c>
      <c r="Q54" s="80">
        <v>180</v>
      </c>
      <c r="R54" s="84" t="s">
        <v>364</v>
      </c>
    </row>
    <row r="55" spans="1:18" ht="15" customHeight="1" x14ac:dyDescent="0.3">
      <c r="A55" s="191" t="s">
        <v>77</v>
      </c>
      <c r="B55" s="191" t="s">
        <v>365</v>
      </c>
      <c r="C55" s="192">
        <v>0.1875</v>
      </c>
      <c r="D55" s="191" t="s">
        <v>101</v>
      </c>
      <c r="E55" s="191" t="s">
        <v>353</v>
      </c>
      <c r="F55" s="191" t="s">
        <v>366</v>
      </c>
      <c r="G55" s="298"/>
      <c r="H55" s="147" t="s">
        <v>367</v>
      </c>
      <c r="I55" s="148">
        <v>0.91110000000000002</v>
      </c>
      <c r="J55" s="149">
        <v>164</v>
      </c>
      <c r="K55" s="150">
        <v>45979</v>
      </c>
      <c r="L55" s="149">
        <v>49</v>
      </c>
      <c r="M55" s="149">
        <v>0</v>
      </c>
      <c r="N55" s="149">
        <v>2</v>
      </c>
      <c r="O55" s="151" t="s">
        <v>368</v>
      </c>
      <c r="P55" s="152">
        <v>0.1875</v>
      </c>
      <c r="Q55" s="149">
        <v>180</v>
      </c>
      <c r="R55" s="153" t="s">
        <v>369</v>
      </c>
    </row>
    <row r="56" spans="1:18" ht="15" customHeight="1" x14ac:dyDescent="0.3">
      <c r="A56" s="193" t="s">
        <v>77</v>
      </c>
      <c r="B56" s="193" t="s">
        <v>370</v>
      </c>
      <c r="C56" s="194">
        <v>6.5972222222222224E-2</v>
      </c>
      <c r="D56" s="193" t="s">
        <v>101</v>
      </c>
      <c r="E56" s="193" t="s">
        <v>121</v>
      </c>
      <c r="F56" s="193" t="s">
        <v>366</v>
      </c>
      <c r="G56" s="298"/>
      <c r="H56" s="167" t="s">
        <v>371</v>
      </c>
      <c r="I56" s="168">
        <v>0.9385</v>
      </c>
      <c r="J56" s="169">
        <v>168</v>
      </c>
      <c r="K56" s="170">
        <v>45980</v>
      </c>
      <c r="L56" s="169">
        <v>84</v>
      </c>
      <c r="M56" s="169">
        <v>1</v>
      </c>
      <c r="N56" s="169">
        <v>2</v>
      </c>
      <c r="O56" s="171" t="s">
        <v>372</v>
      </c>
      <c r="P56" s="172">
        <v>6.5972222222222224E-2</v>
      </c>
      <c r="Q56" s="169">
        <v>179</v>
      </c>
      <c r="R56" s="173" t="s">
        <v>373</v>
      </c>
    </row>
    <row r="57" spans="1:18" ht="15" customHeight="1" x14ac:dyDescent="0.3">
      <c r="A57" s="195" t="s">
        <v>77</v>
      </c>
      <c r="B57" s="195" t="s">
        <v>374</v>
      </c>
      <c r="C57" s="196">
        <v>0.15625</v>
      </c>
      <c r="D57" s="195" t="s">
        <v>101</v>
      </c>
      <c r="E57" s="195" t="s">
        <v>75</v>
      </c>
      <c r="F57" s="195" t="s">
        <v>366</v>
      </c>
      <c r="G57" s="298"/>
      <c r="H57" s="181" t="s">
        <v>375</v>
      </c>
      <c r="I57" s="197">
        <v>0.84440000000000004</v>
      </c>
      <c r="J57" s="183">
        <v>152</v>
      </c>
      <c r="K57" s="184">
        <v>45980</v>
      </c>
      <c r="L57" s="183">
        <v>93</v>
      </c>
      <c r="M57" s="183">
        <v>1</v>
      </c>
      <c r="N57" s="183">
        <v>3</v>
      </c>
      <c r="O57" s="185" t="s">
        <v>376</v>
      </c>
      <c r="P57" s="186">
        <v>0.15625</v>
      </c>
      <c r="Q57" s="183">
        <v>180</v>
      </c>
      <c r="R57" s="187" t="s">
        <v>377</v>
      </c>
    </row>
    <row r="58" spans="1:18" ht="15" customHeight="1" x14ac:dyDescent="0.3">
      <c r="A58" s="198" t="s">
        <v>77</v>
      </c>
      <c r="B58" s="198" t="s">
        <v>378</v>
      </c>
      <c r="C58" s="199">
        <v>0.9375</v>
      </c>
      <c r="D58" s="198" t="s">
        <v>101</v>
      </c>
      <c r="E58" s="198" t="s">
        <v>54</v>
      </c>
      <c r="F58" s="198" t="s">
        <v>379</v>
      </c>
      <c r="G58" s="298"/>
      <c r="H58" s="131" t="s">
        <v>380</v>
      </c>
      <c r="I58" s="200">
        <v>0.82220000000000004</v>
      </c>
      <c r="J58" s="133">
        <v>148</v>
      </c>
      <c r="K58" s="134">
        <v>45980</v>
      </c>
      <c r="L58" s="133">
        <v>50</v>
      </c>
      <c r="M58" s="133">
        <v>1</v>
      </c>
      <c r="N58" s="133">
        <v>9</v>
      </c>
      <c r="O58" s="135" t="s">
        <v>381</v>
      </c>
      <c r="P58" s="136">
        <v>0.9375</v>
      </c>
      <c r="Q58" s="133">
        <v>180</v>
      </c>
      <c r="R58" s="137" t="s">
        <v>382</v>
      </c>
    </row>
    <row r="59" spans="1:18" ht="15" customHeight="1" x14ac:dyDescent="0.3">
      <c r="A59" s="201" t="s">
        <v>77</v>
      </c>
      <c r="B59" s="201" t="s">
        <v>383</v>
      </c>
      <c r="C59" s="202">
        <v>0.40625</v>
      </c>
      <c r="D59" s="201" t="s">
        <v>79</v>
      </c>
      <c r="E59" s="203"/>
      <c r="F59" s="201" t="s">
        <v>80</v>
      </c>
      <c r="G59" s="298"/>
      <c r="H59" s="78" t="s">
        <v>383</v>
      </c>
      <c r="I59" s="79">
        <v>1.0111000000000001</v>
      </c>
      <c r="J59" s="80">
        <v>182</v>
      </c>
      <c r="K59" s="81">
        <v>45972</v>
      </c>
      <c r="L59" s="80">
        <v>0</v>
      </c>
      <c r="M59" s="80">
        <v>0</v>
      </c>
      <c r="N59" s="80">
        <v>0</v>
      </c>
      <c r="O59" s="82" t="s">
        <v>81</v>
      </c>
      <c r="P59" s="83">
        <v>0.40625</v>
      </c>
      <c r="Q59" s="80">
        <v>180</v>
      </c>
      <c r="R59" s="84" t="s">
        <v>384</v>
      </c>
    </row>
    <row r="60" spans="1:18" ht="15" customHeight="1" x14ac:dyDescent="0.3">
      <c r="A60" s="19" t="s">
        <v>385</v>
      </c>
      <c r="B60" s="19" t="s">
        <v>386</v>
      </c>
      <c r="C60" s="20">
        <v>0.49305555555555558</v>
      </c>
      <c r="D60" s="19" t="s">
        <v>101</v>
      </c>
      <c r="E60" s="19" t="s">
        <v>96</v>
      </c>
      <c r="F60" s="19" t="s">
        <v>387</v>
      </c>
      <c r="G60" s="298"/>
      <c r="H60" s="10"/>
      <c r="I60" s="11"/>
      <c r="J60" s="11"/>
      <c r="K60" s="11"/>
      <c r="L60" s="11"/>
      <c r="M60" s="11"/>
      <c r="N60" s="11"/>
      <c r="O60" s="12"/>
      <c r="P60" s="11"/>
      <c r="Q60" s="13"/>
      <c r="R60" s="14"/>
    </row>
    <row r="61" spans="1:18" ht="15" customHeight="1" x14ac:dyDescent="0.3">
      <c r="A61" s="19" t="s">
        <v>388</v>
      </c>
      <c r="B61" s="19" t="s">
        <v>389</v>
      </c>
      <c r="C61" s="20">
        <v>0.1701388888888889</v>
      </c>
      <c r="D61" s="19" t="s">
        <v>390</v>
      </c>
      <c r="E61" s="19" t="s">
        <v>29</v>
      </c>
      <c r="F61" s="19" t="s">
        <v>391</v>
      </c>
      <c r="G61" s="298"/>
      <c r="H61" s="10"/>
      <c r="I61" s="11"/>
      <c r="J61" s="11"/>
      <c r="K61" s="11"/>
      <c r="L61" s="11"/>
      <c r="M61" s="11"/>
      <c r="N61" s="11"/>
      <c r="O61" s="12"/>
      <c r="P61" s="11"/>
      <c r="Q61" s="13"/>
      <c r="R61" s="14"/>
    </row>
    <row r="62" spans="1:18" ht="15" customHeight="1" x14ac:dyDescent="0.3">
      <c r="A62" s="15" t="s">
        <v>388</v>
      </c>
      <c r="B62" s="15" t="s">
        <v>389</v>
      </c>
      <c r="C62" s="16">
        <v>0.1701388888888889</v>
      </c>
      <c r="D62" s="15" t="s">
        <v>46</v>
      </c>
      <c r="E62" s="15" t="s">
        <v>32</v>
      </c>
      <c r="F62" s="15" t="s">
        <v>392</v>
      </c>
      <c r="G62" s="298"/>
      <c r="H62" s="10"/>
      <c r="I62" s="11"/>
      <c r="J62" s="11"/>
      <c r="K62" s="11"/>
      <c r="L62" s="11"/>
      <c r="M62" s="11"/>
      <c r="N62" s="11"/>
      <c r="O62" s="12"/>
      <c r="P62" s="11"/>
      <c r="Q62" s="13"/>
      <c r="R62" s="14"/>
    </row>
    <row r="63" spans="1:18" ht="15" customHeight="1" x14ac:dyDescent="0.3">
      <c r="A63" s="19" t="s">
        <v>60</v>
      </c>
      <c r="B63" s="19" t="s">
        <v>393</v>
      </c>
      <c r="C63" s="20">
        <v>0.25347222222222221</v>
      </c>
      <c r="D63" s="19" t="s">
        <v>50</v>
      </c>
      <c r="E63" s="19" t="s">
        <v>139</v>
      </c>
      <c r="F63" s="19" t="s">
        <v>394</v>
      </c>
      <c r="G63" s="298"/>
      <c r="H63" s="10"/>
      <c r="I63" s="11"/>
      <c r="J63" s="11"/>
      <c r="K63" s="11"/>
      <c r="L63" s="11"/>
      <c r="M63" s="11"/>
      <c r="N63" s="11"/>
      <c r="O63" s="12"/>
      <c r="P63" s="11"/>
      <c r="Q63" s="13"/>
      <c r="R63" s="14"/>
    </row>
    <row r="64" spans="1:18" ht="15" customHeight="1" x14ac:dyDescent="0.3">
      <c r="A64" s="15" t="s">
        <v>60</v>
      </c>
      <c r="B64" s="15" t="s">
        <v>393</v>
      </c>
      <c r="C64" s="16">
        <v>0.25347222222222221</v>
      </c>
      <c r="D64" s="15" t="s">
        <v>65</v>
      </c>
      <c r="E64" s="15" t="s">
        <v>98</v>
      </c>
      <c r="F64" s="15" t="s">
        <v>394</v>
      </c>
      <c r="G64" s="298"/>
      <c r="H64" s="10"/>
      <c r="I64" s="11"/>
      <c r="J64" s="11"/>
      <c r="K64" s="11"/>
      <c r="L64" s="11"/>
      <c r="M64" s="11"/>
      <c r="N64" s="11"/>
      <c r="O64" s="12"/>
      <c r="P64" s="11"/>
      <c r="Q64" s="13"/>
      <c r="R64" s="14"/>
    </row>
    <row r="65" spans="1:18" ht="15" customHeight="1" x14ac:dyDescent="0.3">
      <c r="A65" s="17" t="s">
        <v>60</v>
      </c>
      <c r="B65" s="17" t="s">
        <v>395</v>
      </c>
      <c r="C65" s="18">
        <v>0.98958333333333337</v>
      </c>
      <c r="D65" s="17" t="s">
        <v>50</v>
      </c>
      <c r="E65" s="17" t="s">
        <v>72</v>
      </c>
      <c r="F65" s="17" t="s">
        <v>396</v>
      </c>
      <c r="G65" s="298"/>
      <c r="H65" s="10"/>
      <c r="I65" s="11"/>
      <c r="J65" s="11"/>
      <c r="K65" s="11"/>
      <c r="L65" s="11"/>
      <c r="M65" s="11"/>
      <c r="N65" s="11"/>
      <c r="O65" s="12"/>
      <c r="P65" s="11"/>
      <c r="Q65" s="13"/>
      <c r="R65" s="14"/>
    </row>
    <row r="66" spans="1:18" ht="15" customHeight="1" x14ac:dyDescent="0.3">
      <c r="A66" s="15" t="s">
        <v>60</v>
      </c>
      <c r="B66" s="15" t="s">
        <v>395</v>
      </c>
      <c r="C66" s="16">
        <v>0.98958333333333337</v>
      </c>
      <c r="D66" s="15" t="s">
        <v>65</v>
      </c>
      <c r="E66" s="15" t="s">
        <v>84</v>
      </c>
      <c r="F66" s="15" t="s">
        <v>396</v>
      </c>
      <c r="G66" s="298"/>
      <c r="H66" s="10"/>
      <c r="I66" s="11"/>
      <c r="J66" s="11"/>
      <c r="K66" s="11"/>
      <c r="L66" s="11"/>
      <c r="M66" s="11"/>
      <c r="N66" s="11"/>
      <c r="O66" s="12"/>
      <c r="P66" s="11"/>
      <c r="Q66" s="13"/>
      <c r="R66" s="14"/>
    </row>
    <row r="67" spans="1:18" ht="15" customHeight="1" x14ac:dyDescent="0.3">
      <c r="A67" s="17" t="s">
        <v>60</v>
      </c>
      <c r="B67" s="17" t="s">
        <v>397</v>
      </c>
      <c r="C67" s="18">
        <v>0.39930555555555558</v>
      </c>
      <c r="D67" s="17" t="s">
        <v>50</v>
      </c>
      <c r="E67" s="17" t="s">
        <v>72</v>
      </c>
      <c r="F67" s="17" t="s">
        <v>396</v>
      </c>
      <c r="G67" s="298"/>
      <c r="H67" s="10"/>
      <c r="I67" s="11"/>
      <c r="J67" s="11"/>
      <c r="K67" s="11"/>
      <c r="L67" s="11"/>
      <c r="M67" s="11"/>
      <c r="N67" s="11"/>
      <c r="O67" s="12"/>
      <c r="P67" s="11"/>
      <c r="Q67" s="13"/>
      <c r="R67" s="14"/>
    </row>
    <row r="68" spans="1:18" ht="15" customHeight="1" x14ac:dyDescent="0.3">
      <c r="A68" s="15" t="s">
        <v>60</v>
      </c>
      <c r="B68" s="15" t="s">
        <v>397</v>
      </c>
      <c r="C68" s="16">
        <v>0.39930555555555558</v>
      </c>
      <c r="D68" s="15" t="s">
        <v>65</v>
      </c>
      <c r="E68" s="15" t="s">
        <v>84</v>
      </c>
      <c r="F68" s="15" t="s">
        <v>396</v>
      </c>
      <c r="G68" s="298"/>
      <c r="H68" s="10"/>
      <c r="I68" s="11"/>
      <c r="J68" s="11"/>
      <c r="K68" s="11"/>
      <c r="L68" s="11"/>
      <c r="M68" s="11"/>
      <c r="N68" s="11"/>
      <c r="O68" s="12"/>
      <c r="P68" s="11"/>
      <c r="Q68" s="13"/>
      <c r="R68" s="14"/>
    </row>
    <row r="69" spans="1:18" ht="15" customHeight="1" x14ac:dyDescent="0.3">
      <c r="A69" s="17" t="s">
        <v>60</v>
      </c>
      <c r="B69" s="17" t="s">
        <v>398</v>
      </c>
      <c r="C69" s="18">
        <v>0.48958333333333331</v>
      </c>
      <c r="D69" s="17" t="s">
        <v>65</v>
      </c>
      <c r="E69" s="17" t="s">
        <v>72</v>
      </c>
      <c r="F69" s="17" t="s">
        <v>396</v>
      </c>
      <c r="G69" s="298"/>
      <c r="H69" s="10"/>
      <c r="I69" s="11"/>
      <c r="J69" s="11"/>
      <c r="K69" s="11"/>
      <c r="L69" s="11"/>
      <c r="M69" s="11"/>
      <c r="N69" s="11"/>
      <c r="O69" s="12"/>
      <c r="P69" s="11"/>
      <c r="Q69" s="13"/>
      <c r="R69" s="14"/>
    </row>
    <row r="70" spans="1:18" ht="15" customHeight="1" x14ac:dyDescent="0.3">
      <c r="A70" s="17" t="s">
        <v>60</v>
      </c>
      <c r="B70" s="17" t="s">
        <v>399</v>
      </c>
      <c r="C70" s="18">
        <v>0.88888888888888884</v>
      </c>
      <c r="D70" s="17" t="s">
        <v>50</v>
      </c>
      <c r="E70" s="17" t="s">
        <v>72</v>
      </c>
      <c r="F70" s="17" t="s">
        <v>396</v>
      </c>
      <c r="G70" s="298"/>
      <c r="H70" s="10"/>
      <c r="I70" s="11"/>
      <c r="J70" s="11"/>
      <c r="K70" s="11"/>
      <c r="L70" s="11"/>
      <c r="M70" s="11"/>
      <c r="N70" s="11"/>
      <c r="O70" s="12"/>
      <c r="P70" s="11"/>
      <c r="Q70" s="13"/>
      <c r="R70" s="14"/>
    </row>
    <row r="71" spans="1:18" ht="15" customHeight="1" x14ac:dyDescent="0.3">
      <c r="A71" s="15" t="s">
        <v>60</v>
      </c>
      <c r="B71" s="15" t="s">
        <v>399</v>
      </c>
      <c r="C71" s="16">
        <v>0.88888888888888884</v>
      </c>
      <c r="D71" s="15" t="s">
        <v>65</v>
      </c>
      <c r="E71" s="15" t="s">
        <v>84</v>
      </c>
      <c r="F71" s="15" t="s">
        <v>396</v>
      </c>
      <c r="G71" s="298"/>
      <c r="H71" s="10"/>
      <c r="I71" s="11"/>
      <c r="J71" s="11"/>
      <c r="K71" s="11"/>
      <c r="L71" s="11"/>
      <c r="M71" s="11"/>
      <c r="N71" s="11"/>
      <c r="O71" s="12"/>
      <c r="P71" s="11"/>
      <c r="Q71" s="13"/>
      <c r="R71" s="14"/>
    </row>
    <row r="72" spans="1:18" ht="15" customHeight="1" x14ac:dyDescent="0.3">
      <c r="A72" s="17" t="s">
        <v>60</v>
      </c>
      <c r="B72" s="17" t="s">
        <v>400</v>
      </c>
      <c r="C72" s="18">
        <v>0.82986111111111116</v>
      </c>
      <c r="D72" s="17" t="s">
        <v>50</v>
      </c>
      <c r="E72" s="17" t="s">
        <v>72</v>
      </c>
      <c r="F72" s="17" t="s">
        <v>401</v>
      </c>
      <c r="G72" s="298"/>
      <c r="H72" s="10"/>
      <c r="I72" s="11"/>
      <c r="J72" s="11"/>
      <c r="K72" s="11"/>
      <c r="L72" s="11"/>
      <c r="M72" s="11"/>
      <c r="N72" s="11"/>
      <c r="O72" s="12"/>
      <c r="P72" s="11"/>
      <c r="Q72" s="13"/>
      <c r="R72" s="14"/>
    </row>
    <row r="73" spans="1:18" ht="15" customHeight="1" x14ac:dyDescent="0.3">
      <c r="A73" s="15" t="s">
        <v>60</v>
      </c>
      <c r="B73" s="15" t="s">
        <v>400</v>
      </c>
      <c r="C73" s="16">
        <v>0.82986111111111116</v>
      </c>
      <c r="D73" s="15" t="s">
        <v>65</v>
      </c>
      <c r="E73" s="15" t="s">
        <v>84</v>
      </c>
      <c r="F73" s="15" t="s">
        <v>401</v>
      </c>
      <c r="G73" s="298"/>
      <c r="H73" s="10"/>
      <c r="I73" s="11"/>
      <c r="J73" s="11"/>
      <c r="K73" s="11"/>
      <c r="L73" s="11"/>
      <c r="M73" s="11"/>
      <c r="N73" s="11"/>
      <c r="O73" s="12"/>
      <c r="P73" s="11"/>
      <c r="Q73" s="13"/>
      <c r="R73" s="14"/>
    </row>
    <row r="74" spans="1:18" ht="15" customHeight="1" x14ac:dyDescent="0.3">
      <c r="A74" s="17" t="s">
        <v>60</v>
      </c>
      <c r="B74" s="17" t="s">
        <v>402</v>
      </c>
      <c r="C74" s="18">
        <v>0.11805555555555559</v>
      </c>
      <c r="D74" s="17" t="s">
        <v>50</v>
      </c>
      <c r="E74" s="17" t="s">
        <v>69</v>
      </c>
      <c r="F74" s="17" t="s">
        <v>401</v>
      </c>
      <c r="G74" s="298"/>
      <c r="H74" s="10"/>
      <c r="I74" s="11"/>
      <c r="J74" s="11"/>
      <c r="K74" s="11"/>
      <c r="L74" s="11"/>
      <c r="M74" s="11"/>
      <c r="N74" s="11"/>
      <c r="O74" s="12"/>
      <c r="P74" s="11"/>
      <c r="Q74" s="13"/>
      <c r="R74" s="14"/>
    </row>
    <row r="75" spans="1:18" ht="15" customHeight="1" x14ac:dyDescent="0.3">
      <c r="A75" s="15" t="s">
        <v>60</v>
      </c>
      <c r="B75" s="15" t="s">
        <v>402</v>
      </c>
      <c r="C75" s="16">
        <v>0.11805555555555559</v>
      </c>
      <c r="D75" s="15" t="s">
        <v>65</v>
      </c>
      <c r="E75" s="15" t="s">
        <v>87</v>
      </c>
      <c r="F75" s="15" t="s">
        <v>401</v>
      </c>
      <c r="G75" s="298"/>
      <c r="H75" s="10"/>
      <c r="I75" s="11"/>
      <c r="J75" s="11"/>
      <c r="K75" s="11"/>
      <c r="L75" s="11"/>
      <c r="M75" s="11"/>
      <c r="N75" s="11"/>
      <c r="O75" s="12"/>
      <c r="P75" s="11"/>
      <c r="Q75" s="13"/>
      <c r="R75" s="14"/>
    </row>
    <row r="76" spans="1:18" ht="15" customHeight="1" x14ac:dyDescent="0.3">
      <c r="A76" s="17" t="s">
        <v>60</v>
      </c>
      <c r="B76" s="17" t="s">
        <v>403</v>
      </c>
      <c r="C76" s="18">
        <v>0.70486111111111116</v>
      </c>
      <c r="D76" s="17" t="s">
        <v>65</v>
      </c>
      <c r="E76" s="17" t="s">
        <v>58</v>
      </c>
      <c r="F76" s="17" t="s">
        <v>401</v>
      </c>
      <c r="G76" s="298"/>
      <c r="H76" s="10"/>
      <c r="I76" s="11"/>
      <c r="J76" s="11"/>
      <c r="K76" s="11"/>
      <c r="L76" s="11"/>
      <c r="M76" s="11"/>
      <c r="N76" s="11"/>
      <c r="O76" s="12"/>
      <c r="P76" s="11"/>
      <c r="Q76" s="13"/>
      <c r="R76" s="14"/>
    </row>
    <row r="77" spans="1:18" ht="15" customHeight="1" x14ac:dyDescent="0.3">
      <c r="A77" s="17" t="s">
        <v>60</v>
      </c>
      <c r="B77" s="17" t="s">
        <v>404</v>
      </c>
      <c r="C77" s="18">
        <v>0.72222222222222221</v>
      </c>
      <c r="D77" s="17" t="s">
        <v>50</v>
      </c>
      <c r="E77" s="17" t="s">
        <v>69</v>
      </c>
      <c r="F77" s="17" t="s">
        <v>405</v>
      </c>
      <c r="G77" s="298"/>
      <c r="H77" s="10"/>
      <c r="I77" s="11"/>
      <c r="J77" s="11"/>
      <c r="K77" s="11"/>
      <c r="L77" s="11"/>
      <c r="M77" s="11"/>
      <c r="N77" s="11"/>
      <c r="O77" s="12"/>
      <c r="P77" s="11"/>
      <c r="Q77" s="13"/>
      <c r="R77" s="14"/>
    </row>
    <row r="78" spans="1:18" ht="15" customHeight="1" x14ac:dyDescent="0.3">
      <c r="A78" s="15" t="s">
        <v>60</v>
      </c>
      <c r="B78" s="15" t="s">
        <v>404</v>
      </c>
      <c r="C78" s="16">
        <v>0.72222222222222221</v>
      </c>
      <c r="D78" s="15" t="s">
        <v>65</v>
      </c>
      <c r="E78" s="15" t="s">
        <v>87</v>
      </c>
      <c r="F78" s="15" t="s">
        <v>405</v>
      </c>
      <c r="G78" s="298"/>
      <c r="H78" s="10"/>
      <c r="I78" s="11"/>
      <c r="J78" s="11"/>
      <c r="K78" s="11"/>
      <c r="L78" s="11"/>
      <c r="M78" s="11"/>
      <c r="N78" s="11"/>
      <c r="O78" s="12"/>
      <c r="P78" s="11"/>
      <c r="Q78" s="13"/>
      <c r="R78" s="14"/>
    </row>
    <row r="79" spans="1:18" ht="15" customHeight="1" x14ac:dyDescent="0.3">
      <c r="A79" s="19" t="s">
        <v>48</v>
      </c>
      <c r="B79" s="19" t="s">
        <v>406</v>
      </c>
      <c r="C79" s="20">
        <v>0.78472222222222221</v>
      </c>
      <c r="D79" s="19" t="s">
        <v>50</v>
      </c>
      <c r="E79" s="19" t="s">
        <v>63</v>
      </c>
      <c r="F79" s="19" t="s">
        <v>407</v>
      </c>
      <c r="G79" s="298"/>
      <c r="H79" s="10"/>
      <c r="I79" s="11"/>
      <c r="J79" s="11"/>
      <c r="K79" s="11"/>
      <c r="L79" s="11"/>
      <c r="M79" s="11"/>
      <c r="N79" s="11"/>
      <c r="O79" s="12"/>
      <c r="P79" s="11"/>
      <c r="Q79" s="13"/>
      <c r="R79" s="14"/>
    </row>
    <row r="80" spans="1:18" ht="15" customHeight="1" x14ac:dyDescent="0.3">
      <c r="A80" s="17" t="s">
        <v>48</v>
      </c>
      <c r="B80" s="17" t="s">
        <v>408</v>
      </c>
      <c r="C80" s="18">
        <v>0.3125</v>
      </c>
      <c r="D80" s="17" t="s">
        <v>50</v>
      </c>
      <c r="E80" s="17" t="s">
        <v>54</v>
      </c>
      <c r="F80" s="17" t="s">
        <v>409</v>
      </c>
      <c r="G80" s="298"/>
      <c r="H80" s="10"/>
      <c r="I80" s="11"/>
      <c r="J80" s="11"/>
      <c r="K80" s="11"/>
      <c r="L80" s="11"/>
      <c r="M80" s="11"/>
      <c r="N80" s="11"/>
      <c r="O80" s="12"/>
      <c r="P80" s="11"/>
      <c r="Q80" s="13"/>
      <c r="R80" s="14"/>
    </row>
    <row r="81" spans="1:18" ht="15" customHeight="1" x14ac:dyDescent="0.3">
      <c r="A81" s="17" t="s">
        <v>48</v>
      </c>
      <c r="B81" s="17" t="s">
        <v>410</v>
      </c>
      <c r="C81" s="18">
        <v>0.97222222222222221</v>
      </c>
      <c r="D81" s="17" t="s">
        <v>50</v>
      </c>
      <c r="E81" s="17" t="s">
        <v>144</v>
      </c>
      <c r="F81" s="17" t="s">
        <v>409</v>
      </c>
      <c r="G81" s="298"/>
      <c r="H81" s="10"/>
      <c r="I81" s="11"/>
      <c r="J81" s="11"/>
      <c r="K81" s="11"/>
      <c r="L81" s="11"/>
      <c r="M81" s="11"/>
      <c r="N81" s="11"/>
      <c r="O81" s="12"/>
      <c r="P81" s="11"/>
      <c r="Q81" s="13"/>
      <c r="R81" s="14"/>
    </row>
    <row r="82" spans="1:18" ht="15" customHeight="1" x14ac:dyDescent="0.3">
      <c r="A82" s="17" t="s">
        <v>48</v>
      </c>
      <c r="B82" s="17" t="s">
        <v>411</v>
      </c>
      <c r="C82" s="18">
        <v>0.1041666666666667</v>
      </c>
      <c r="D82" s="17" t="s">
        <v>50</v>
      </c>
      <c r="E82" s="17" t="s">
        <v>54</v>
      </c>
      <c r="F82" s="17" t="s">
        <v>409</v>
      </c>
      <c r="G82" s="298"/>
      <c r="H82" s="10"/>
      <c r="I82" s="11"/>
      <c r="J82" s="11"/>
      <c r="K82" s="11"/>
      <c r="L82" s="11"/>
      <c r="M82" s="11"/>
      <c r="N82" s="11"/>
      <c r="O82" s="12"/>
      <c r="P82" s="11"/>
      <c r="Q82" s="13"/>
      <c r="R82" s="14"/>
    </row>
    <row r="83" spans="1:18" ht="15" customHeight="1" x14ac:dyDescent="0.3">
      <c r="A83" s="17" t="s">
        <v>48</v>
      </c>
      <c r="B83" s="17" t="s">
        <v>412</v>
      </c>
      <c r="C83" s="18">
        <v>0.60069444444444442</v>
      </c>
      <c r="D83" s="17" t="s">
        <v>50</v>
      </c>
      <c r="E83" s="17" t="s">
        <v>54</v>
      </c>
      <c r="F83" s="17" t="s">
        <v>409</v>
      </c>
      <c r="G83" s="298"/>
      <c r="H83" s="10"/>
      <c r="I83" s="11"/>
      <c r="J83" s="11"/>
      <c r="K83" s="11"/>
      <c r="L83" s="11"/>
      <c r="M83" s="11"/>
      <c r="N83" s="11"/>
      <c r="O83" s="12"/>
      <c r="P83" s="11"/>
      <c r="Q83" s="13"/>
      <c r="R83" s="14"/>
    </row>
    <row r="84" spans="1:18" ht="15" customHeight="1" x14ac:dyDescent="0.3">
      <c r="A84" s="17" t="s">
        <v>48</v>
      </c>
      <c r="B84" s="17" t="s">
        <v>413</v>
      </c>
      <c r="C84" s="18">
        <v>0.83680555555555547</v>
      </c>
      <c r="D84" s="17" t="s">
        <v>50</v>
      </c>
      <c r="E84" s="17" t="s">
        <v>54</v>
      </c>
      <c r="F84" s="17" t="s">
        <v>414</v>
      </c>
      <c r="G84" s="298"/>
      <c r="H84" s="10"/>
      <c r="I84" s="11"/>
      <c r="J84" s="11"/>
      <c r="K84" s="11"/>
      <c r="L84" s="11"/>
      <c r="M84" s="11"/>
      <c r="N84" s="11"/>
      <c r="O84" s="12"/>
      <c r="P84" s="11"/>
      <c r="Q84" s="13"/>
      <c r="R84" s="14"/>
    </row>
    <row r="85" spans="1:18" ht="15" customHeight="1" thickBot="1" x14ac:dyDescent="0.35">
      <c r="A85" s="39" t="s">
        <v>48</v>
      </c>
      <c r="B85" s="39" t="s">
        <v>415</v>
      </c>
      <c r="C85" s="40">
        <v>4.8611111111111112E-2</v>
      </c>
      <c r="D85" s="39" t="s">
        <v>50</v>
      </c>
      <c r="E85" s="39" t="s">
        <v>54</v>
      </c>
      <c r="F85" s="39" t="s">
        <v>414</v>
      </c>
      <c r="G85" s="299"/>
      <c r="H85" s="41"/>
      <c r="I85" s="42"/>
      <c r="J85" s="42"/>
      <c r="K85" s="42"/>
      <c r="L85" s="42"/>
      <c r="M85" s="42"/>
      <c r="N85" s="42"/>
      <c r="O85" s="43"/>
      <c r="P85" s="42"/>
      <c r="Q85" s="44"/>
      <c r="R85" s="45"/>
    </row>
    <row r="86" spans="1:18" ht="17.399999999999999" customHeight="1" thickBot="1" x14ac:dyDescent="0.35">
      <c r="A86" s="329"/>
      <c r="B86" s="330"/>
      <c r="C86" s="330"/>
      <c r="D86" s="330"/>
      <c r="E86" s="330"/>
      <c r="F86" s="330"/>
      <c r="G86" s="330"/>
      <c r="H86" s="330"/>
      <c r="I86" s="330"/>
      <c r="J86" s="330"/>
      <c r="K86" s="330"/>
      <c r="L86" s="330"/>
      <c r="M86" s="330"/>
      <c r="N86" s="330"/>
      <c r="O86" s="330"/>
      <c r="P86" s="330"/>
      <c r="Q86" s="330"/>
      <c r="R86" s="331"/>
    </row>
    <row r="87" spans="1:18" ht="22.05" customHeight="1" thickTop="1" thickBot="1" x14ac:dyDescent="0.35">
      <c r="A87" s="300" t="s">
        <v>6</v>
      </c>
      <c r="B87" s="295"/>
      <c r="C87" s="295"/>
      <c r="D87" s="295"/>
      <c r="E87" s="295"/>
      <c r="F87" s="296"/>
      <c r="G87" s="31">
        <v>45982</v>
      </c>
      <c r="H87" s="294" t="s">
        <v>7</v>
      </c>
      <c r="I87" s="295"/>
      <c r="J87" s="295"/>
      <c r="K87" s="295"/>
      <c r="L87" s="295"/>
      <c r="M87" s="295"/>
      <c r="N87" s="295"/>
      <c r="O87" s="295"/>
      <c r="P87" s="295"/>
      <c r="Q87" s="295"/>
      <c r="R87" s="296"/>
    </row>
    <row r="88" spans="1:18" ht="24" customHeight="1" x14ac:dyDescent="0.3">
      <c r="A88" s="32" t="s">
        <v>8</v>
      </c>
      <c r="B88" s="32" t="s">
        <v>9</v>
      </c>
      <c r="C88" s="33" t="s">
        <v>10</v>
      </c>
      <c r="D88" s="32" t="s">
        <v>11</v>
      </c>
      <c r="E88" s="32" t="s">
        <v>12</v>
      </c>
      <c r="F88" s="34" t="s">
        <v>13</v>
      </c>
      <c r="G88" s="35" t="s">
        <v>14</v>
      </c>
      <c r="H88" s="32" t="s">
        <v>15</v>
      </c>
      <c r="I88" s="36" t="s">
        <v>16</v>
      </c>
      <c r="J88" s="37" t="s">
        <v>17</v>
      </c>
      <c r="K88" s="38" t="s">
        <v>18</v>
      </c>
      <c r="L88" s="37" t="s">
        <v>19</v>
      </c>
      <c r="M88" s="37" t="s">
        <v>20</v>
      </c>
      <c r="N88" s="37" t="s">
        <v>21</v>
      </c>
      <c r="O88" s="32" t="s">
        <v>22</v>
      </c>
      <c r="P88" s="33" t="s">
        <v>23</v>
      </c>
      <c r="Q88" s="37" t="s">
        <v>24</v>
      </c>
      <c r="R88" s="32" t="s">
        <v>25</v>
      </c>
    </row>
    <row r="89" spans="1:18" ht="15" customHeight="1" x14ac:dyDescent="0.3">
      <c r="A89" s="204" t="s">
        <v>77</v>
      </c>
      <c r="B89" s="204" t="s">
        <v>361</v>
      </c>
      <c r="C89" s="205">
        <v>0.4375</v>
      </c>
      <c r="D89" s="204" t="s">
        <v>101</v>
      </c>
      <c r="E89" s="204" t="s">
        <v>85</v>
      </c>
      <c r="F89" s="204" t="s">
        <v>416</v>
      </c>
      <c r="G89" s="304"/>
      <c r="H89" s="206" t="s">
        <v>363</v>
      </c>
      <c r="I89" s="207">
        <v>0.65559999999999996</v>
      </c>
      <c r="J89" s="208">
        <v>118</v>
      </c>
      <c r="K89" s="209">
        <v>45980</v>
      </c>
      <c r="L89" s="208">
        <v>43</v>
      </c>
      <c r="M89" s="208">
        <v>4</v>
      </c>
      <c r="N89" s="208">
        <v>3</v>
      </c>
      <c r="O89" s="210" t="s">
        <v>312</v>
      </c>
      <c r="P89" s="211">
        <v>0.4375</v>
      </c>
      <c r="Q89" s="208">
        <v>180</v>
      </c>
      <c r="R89" s="212" t="s">
        <v>417</v>
      </c>
    </row>
    <row r="90" spans="1:18" ht="15" customHeight="1" x14ac:dyDescent="0.3">
      <c r="A90" s="213" t="s">
        <v>77</v>
      </c>
      <c r="B90" s="213" t="s">
        <v>374</v>
      </c>
      <c r="C90" s="214">
        <v>0.1423611111111111</v>
      </c>
      <c r="D90" s="213" t="s">
        <v>101</v>
      </c>
      <c r="E90" s="213" t="s">
        <v>69</v>
      </c>
      <c r="F90" s="213" t="s">
        <v>362</v>
      </c>
      <c r="G90" s="298"/>
      <c r="H90" s="57" t="s">
        <v>375</v>
      </c>
      <c r="I90" s="189">
        <v>0.62219999999999998</v>
      </c>
      <c r="J90" s="59">
        <v>112</v>
      </c>
      <c r="K90" s="60">
        <v>45979</v>
      </c>
      <c r="L90" s="59">
        <v>58</v>
      </c>
      <c r="M90" s="59">
        <v>0</v>
      </c>
      <c r="N90" s="59">
        <v>4</v>
      </c>
      <c r="O90" s="61" t="s">
        <v>323</v>
      </c>
      <c r="P90" s="62">
        <v>0.1423611111111111</v>
      </c>
      <c r="Q90" s="59">
        <v>180</v>
      </c>
      <c r="R90" s="63" t="s">
        <v>418</v>
      </c>
    </row>
    <row r="91" spans="1:18" ht="15" customHeight="1" x14ac:dyDescent="0.3">
      <c r="A91" s="198" t="s">
        <v>77</v>
      </c>
      <c r="B91" s="198" t="s">
        <v>419</v>
      </c>
      <c r="C91" s="199">
        <v>0.76041666666666663</v>
      </c>
      <c r="D91" s="198" t="s">
        <v>101</v>
      </c>
      <c r="E91" s="198" t="s">
        <v>54</v>
      </c>
      <c r="F91" s="198" t="s">
        <v>420</v>
      </c>
      <c r="G91" s="298"/>
      <c r="H91" s="131" t="s">
        <v>421</v>
      </c>
      <c r="I91" s="200">
        <v>0.77969999999999995</v>
      </c>
      <c r="J91" s="133">
        <v>138</v>
      </c>
      <c r="K91" s="134">
        <v>45980</v>
      </c>
      <c r="L91" s="133">
        <v>88</v>
      </c>
      <c r="M91" s="133">
        <v>6</v>
      </c>
      <c r="N91" s="133">
        <v>26</v>
      </c>
      <c r="O91" s="135" t="s">
        <v>422</v>
      </c>
      <c r="P91" s="136">
        <v>0.76041666666666663</v>
      </c>
      <c r="Q91" s="133">
        <v>177</v>
      </c>
      <c r="R91" s="137" t="s">
        <v>423</v>
      </c>
    </row>
    <row r="92" spans="1:18" ht="15" customHeight="1" x14ac:dyDescent="0.3">
      <c r="A92" s="193" t="s">
        <v>77</v>
      </c>
      <c r="B92" s="193" t="s">
        <v>424</v>
      </c>
      <c r="C92" s="194">
        <v>0.28125</v>
      </c>
      <c r="D92" s="193" t="s">
        <v>101</v>
      </c>
      <c r="E92" s="193" t="s">
        <v>121</v>
      </c>
      <c r="F92" s="193" t="s">
        <v>420</v>
      </c>
      <c r="G92" s="298"/>
      <c r="H92" s="167" t="s">
        <v>383</v>
      </c>
      <c r="I92" s="215">
        <v>0.81669999999999998</v>
      </c>
      <c r="J92" s="169">
        <v>147</v>
      </c>
      <c r="K92" s="170">
        <v>45980</v>
      </c>
      <c r="L92" s="169">
        <v>120</v>
      </c>
      <c r="M92" s="169">
        <v>4</v>
      </c>
      <c r="N92" s="169">
        <v>65</v>
      </c>
      <c r="O92" s="171" t="s">
        <v>425</v>
      </c>
      <c r="P92" s="172">
        <v>0.28125</v>
      </c>
      <c r="Q92" s="169">
        <v>180</v>
      </c>
      <c r="R92" s="173" t="s">
        <v>426</v>
      </c>
    </row>
    <row r="93" spans="1:18" ht="15" customHeight="1" x14ac:dyDescent="0.3">
      <c r="A93" s="191" t="s">
        <v>77</v>
      </c>
      <c r="B93" s="191" t="s">
        <v>427</v>
      </c>
      <c r="C93" s="192">
        <v>0.55902777777777779</v>
      </c>
      <c r="D93" s="191" t="s">
        <v>101</v>
      </c>
      <c r="E93" s="191" t="s">
        <v>54</v>
      </c>
      <c r="F93" s="191" t="s">
        <v>366</v>
      </c>
      <c r="G93" s="298"/>
      <c r="H93" s="147" t="s">
        <v>428</v>
      </c>
      <c r="I93" s="216">
        <v>0.60560000000000003</v>
      </c>
      <c r="J93" s="149">
        <v>109</v>
      </c>
      <c r="K93" s="150">
        <v>45980</v>
      </c>
      <c r="L93" s="149">
        <v>52</v>
      </c>
      <c r="M93" s="149">
        <v>1</v>
      </c>
      <c r="N93" s="149">
        <v>4</v>
      </c>
      <c r="O93" s="151" t="s">
        <v>313</v>
      </c>
      <c r="P93" s="152">
        <v>0.55902777777777779</v>
      </c>
      <c r="Q93" s="149">
        <v>180</v>
      </c>
      <c r="R93" s="153" t="s">
        <v>429</v>
      </c>
    </row>
    <row r="94" spans="1:18" ht="15" customHeight="1" x14ac:dyDescent="0.3">
      <c r="A94" s="19" t="s">
        <v>26</v>
      </c>
      <c r="B94" s="19" t="s">
        <v>358</v>
      </c>
      <c r="C94" s="20">
        <v>0.88888888888888884</v>
      </c>
      <c r="D94" s="19" t="s">
        <v>28</v>
      </c>
      <c r="E94" s="19" t="s">
        <v>83</v>
      </c>
      <c r="F94" s="19" t="s">
        <v>93</v>
      </c>
      <c r="G94" s="298"/>
      <c r="H94" s="10"/>
      <c r="I94" s="11"/>
      <c r="J94" s="11"/>
      <c r="K94" s="11"/>
      <c r="L94" s="11"/>
      <c r="M94" s="11"/>
      <c r="N94" s="11"/>
      <c r="O94" s="12"/>
      <c r="P94" s="11"/>
      <c r="Q94" s="13"/>
      <c r="R94" s="14"/>
    </row>
    <row r="95" spans="1:18" ht="15" customHeight="1" x14ac:dyDescent="0.3">
      <c r="A95" s="15" t="s">
        <v>26</v>
      </c>
      <c r="B95" s="15" t="s">
        <v>358</v>
      </c>
      <c r="C95" s="16">
        <v>0.88888888888888884</v>
      </c>
      <c r="D95" s="15" t="s">
        <v>31</v>
      </c>
      <c r="E95" s="15" t="s">
        <v>84</v>
      </c>
      <c r="F95" s="15" t="s">
        <v>339</v>
      </c>
      <c r="G95" s="298"/>
      <c r="H95" s="10"/>
      <c r="I95" s="11"/>
      <c r="J95" s="11"/>
      <c r="K95" s="11"/>
      <c r="L95" s="11"/>
      <c r="M95" s="11"/>
      <c r="N95" s="11"/>
      <c r="O95" s="12"/>
      <c r="P95" s="11"/>
      <c r="Q95" s="13"/>
      <c r="R95" s="14"/>
    </row>
    <row r="96" spans="1:18" ht="15" customHeight="1" x14ac:dyDescent="0.3">
      <c r="A96" s="15" t="s">
        <v>26</v>
      </c>
      <c r="B96" s="15" t="s">
        <v>358</v>
      </c>
      <c r="C96" s="16">
        <v>0.88888888888888884</v>
      </c>
      <c r="D96" s="15" t="s">
        <v>34</v>
      </c>
      <c r="E96" s="15" t="s">
        <v>84</v>
      </c>
      <c r="F96" s="15" t="s">
        <v>122</v>
      </c>
      <c r="G96" s="298"/>
      <c r="H96" s="10"/>
      <c r="I96" s="11"/>
      <c r="J96" s="11"/>
      <c r="K96" s="11"/>
      <c r="L96" s="11"/>
      <c r="M96" s="11"/>
      <c r="N96" s="11"/>
      <c r="O96" s="12"/>
      <c r="P96" s="11"/>
      <c r="Q96" s="13"/>
      <c r="R96" s="14"/>
    </row>
    <row r="97" spans="1:18" ht="15" customHeight="1" x14ac:dyDescent="0.3">
      <c r="A97" s="17" t="s">
        <v>26</v>
      </c>
      <c r="B97" s="17" t="s">
        <v>354</v>
      </c>
      <c r="C97" s="18">
        <v>0.34722222222222232</v>
      </c>
      <c r="D97" s="17" t="s">
        <v>28</v>
      </c>
      <c r="E97" s="17" t="s">
        <v>58</v>
      </c>
      <c r="F97" s="17" t="s">
        <v>44</v>
      </c>
      <c r="G97" s="298"/>
      <c r="H97" s="10"/>
      <c r="I97" s="11"/>
      <c r="J97" s="11"/>
      <c r="K97" s="11"/>
      <c r="L97" s="11"/>
      <c r="M97" s="11"/>
      <c r="N97" s="11"/>
      <c r="O97" s="12"/>
      <c r="P97" s="11"/>
      <c r="Q97" s="13"/>
      <c r="R97" s="14"/>
    </row>
    <row r="98" spans="1:18" ht="15" customHeight="1" x14ac:dyDescent="0.3">
      <c r="A98" s="15" t="s">
        <v>26</v>
      </c>
      <c r="B98" s="15" t="s">
        <v>354</v>
      </c>
      <c r="C98" s="16">
        <v>0.34722222222222232</v>
      </c>
      <c r="D98" s="15" t="s">
        <v>31</v>
      </c>
      <c r="E98" s="15" t="s">
        <v>119</v>
      </c>
      <c r="F98" s="15" t="s">
        <v>95</v>
      </c>
      <c r="G98" s="298"/>
      <c r="H98" s="10"/>
      <c r="I98" s="11"/>
      <c r="J98" s="11"/>
      <c r="K98" s="11"/>
      <c r="L98" s="11"/>
      <c r="M98" s="11"/>
      <c r="N98" s="11"/>
      <c r="O98" s="12"/>
      <c r="P98" s="11"/>
      <c r="Q98" s="13"/>
      <c r="R98" s="14"/>
    </row>
    <row r="99" spans="1:18" ht="15" customHeight="1" x14ac:dyDescent="0.3">
      <c r="A99" s="15" t="s">
        <v>26</v>
      </c>
      <c r="B99" s="15" t="s">
        <v>354</v>
      </c>
      <c r="C99" s="16">
        <v>0.34722222222222232</v>
      </c>
      <c r="D99" s="15" t="s">
        <v>34</v>
      </c>
      <c r="E99" s="15" t="s">
        <v>119</v>
      </c>
      <c r="F99" s="15" t="s">
        <v>149</v>
      </c>
      <c r="G99" s="298"/>
      <c r="H99" s="10"/>
      <c r="I99" s="11"/>
      <c r="J99" s="11"/>
      <c r="K99" s="11"/>
      <c r="L99" s="11"/>
      <c r="M99" s="11"/>
      <c r="N99" s="11"/>
      <c r="O99" s="12"/>
      <c r="P99" s="11"/>
      <c r="Q99" s="13"/>
      <c r="R99" s="14"/>
    </row>
    <row r="100" spans="1:18" ht="15" customHeight="1" x14ac:dyDescent="0.3">
      <c r="A100" s="17" t="s">
        <v>26</v>
      </c>
      <c r="B100" s="17" t="s">
        <v>350</v>
      </c>
      <c r="C100" s="18">
        <v>0.99305555555555547</v>
      </c>
      <c r="D100" s="17" t="s">
        <v>28</v>
      </c>
      <c r="E100" s="17" t="s">
        <v>72</v>
      </c>
      <c r="F100" s="17" t="s">
        <v>44</v>
      </c>
      <c r="G100" s="298"/>
      <c r="H100" s="10"/>
      <c r="I100" s="11"/>
      <c r="J100" s="11"/>
      <c r="K100" s="11"/>
      <c r="L100" s="11"/>
      <c r="M100" s="11"/>
      <c r="N100" s="11"/>
      <c r="O100" s="12"/>
      <c r="P100" s="11"/>
      <c r="Q100" s="13"/>
      <c r="R100" s="14"/>
    </row>
    <row r="101" spans="1:18" ht="15" customHeight="1" x14ac:dyDescent="0.3">
      <c r="A101" s="15" t="s">
        <v>26</v>
      </c>
      <c r="B101" s="15" t="s">
        <v>350</v>
      </c>
      <c r="C101" s="16">
        <v>0.99305555555555547</v>
      </c>
      <c r="D101" s="15" t="s">
        <v>31</v>
      </c>
      <c r="E101" s="15" t="s">
        <v>84</v>
      </c>
      <c r="F101" s="15" t="s">
        <v>95</v>
      </c>
      <c r="G101" s="298"/>
      <c r="H101" s="10"/>
      <c r="I101" s="11"/>
      <c r="J101" s="11"/>
      <c r="K101" s="11"/>
      <c r="L101" s="11"/>
      <c r="M101" s="11"/>
      <c r="N101" s="11"/>
      <c r="O101" s="12"/>
      <c r="P101" s="11"/>
      <c r="Q101" s="13"/>
      <c r="R101" s="14"/>
    </row>
    <row r="102" spans="1:18" ht="15" customHeight="1" x14ac:dyDescent="0.3">
      <c r="A102" s="15" t="s">
        <v>26</v>
      </c>
      <c r="B102" s="15" t="s">
        <v>350</v>
      </c>
      <c r="C102" s="16">
        <v>0.99305555555555547</v>
      </c>
      <c r="D102" s="15" t="s">
        <v>34</v>
      </c>
      <c r="E102" s="15" t="s">
        <v>84</v>
      </c>
      <c r="F102" s="15" t="s">
        <v>149</v>
      </c>
      <c r="G102" s="298"/>
      <c r="H102" s="10"/>
      <c r="I102" s="11"/>
      <c r="J102" s="11"/>
      <c r="K102" s="11"/>
      <c r="L102" s="11"/>
      <c r="M102" s="11"/>
      <c r="N102" s="11"/>
      <c r="O102" s="12"/>
      <c r="P102" s="11"/>
      <c r="Q102" s="13"/>
      <c r="R102" s="14"/>
    </row>
    <row r="103" spans="1:18" ht="15" customHeight="1" x14ac:dyDescent="0.3">
      <c r="A103" s="17" t="s">
        <v>26</v>
      </c>
      <c r="B103" s="17" t="s">
        <v>359</v>
      </c>
      <c r="C103" s="18">
        <v>0.73611111111111116</v>
      </c>
      <c r="D103" s="17" t="s">
        <v>28</v>
      </c>
      <c r="E103" s="17" t="s">
        <v>75</v>
      </c>
      <c r="F103" s="17" t="s">
        <v>44</v>
      </c>
      <c r="G103" s="298"/>
      <c r="H103" s="10"/>
      <c r="I103" s="11"/>
      <c r="J103" s="11"/>
      <c r="K103" s="11"/>
      <c r="L103" s="11"/>
      <c r="M103" s="11"/>
      <c r="N103" s="11"/>
      <c r="O103" s="12"/>
      <c r="P103" s="11"/>
      <c r="Q103" s="13"/>
      <c r="R103" s="14"/>
    </row>
    <row r="104" spans="1:18" ht="15" customHeight="1" x14ac:dyDescent="0.3">
      <c r="A104" s="15" t="s">
        <v>26</v>
      </c>
      <c r="B104" s="15" t="s">
        <v>359</v>
      </c>
      <c r="C104" s="16">
        <v>0.73611111111111116</v>
      </c>
      <c r="D104" s="15" t="s">
        <v>31</v>
      </c>
      <c r="E104" s="15" t="s">
        <v>98</v>
      </c>
      <c r="F104" s="15" t="s">
        <v>95</v>
      </c>
      <c r="G104" s="298"/>
      <c r="H104" s="10"/>
      <c r="I104" s="11"/>
      <c r="J104" s="11"/>
      <c r="K104" s="11"/>
      <c r="L104" s="11"/>
      <c r="M104" s="11"/>
      <c r="N104" s="11"/>
      <c r="O104" s="12"/>
      <c r="P104" s="11"/>
      <c r="Q104" s="13"/>
      <c r="R104" s="14"/>
    </row>
    <row r="105" spans="1:18" ht="15" customHeight="1" x14ac:dyDescent="0.3">
      <c r="A105" s="15" t="s">
        <v>26</v>
      </c>
      <c r="B105" s="15" t="s">
        <v>359</v>
      </c>
      <c r="C105" s="16">
        <v>0.73611111111111116</v>
      </c>
      <c r="D105" s="15" t="s">
        <v>34</v>
      </c>
      <c r="E105" s="15" t="s">
        <v>98</v>
      </c>
      <c r="F105" s="15" t="s">
        <v>149</v>
      </c>
      <c r="G105" s="298"/>
      <c r="H105" s="10"/>
      <c r="I105" s="11"/>
      <c r="J105" s="11"/>
      <c r="K105" s="11"/>
      <c r="L105" s="11"/>
      <c r="M105" s="11"/>
      <c r="N105" s="11"/>
      <c r="O105" s="12"/>
      <c r="P105" s="11"/>
      <c r="Q105" s="13"/>
      <c r="R105" s="14"/>
    </row>
    <row r="106" spans="1:18" ht="15" customHeight="1" x14ac:dyDescent="0.3">
      <c r="A106" s="17" t="s">
        <v>26</v>
      </c>
      <c r="B106" s="17" t="s">
        <v>356</v>
      </c>
      <c r="C106" s="18">
        <v>0.83680555555555547</v>
      </c>
      <c r="D106" s="17" t="s">
        <v>28</v>
      </c>
      <c r="E106" s="17" t="s">
        <v>353</v>
      </c>
      <c r="F106" s="17" t="s">
        <v>44</v>
      </c>
      <c r="G106" s="298"/>
      <c r="H106" s="10"/>
      <c r="I106" s="11"/>
      <c r="J106" s="11"/>
      <c r="K106" s="11"/>
      <c r="L106" s="11"/>
      <c r="M106" s="11"/>
      <c r="N106" s="11"/>
      <c r="O106" s="12"/>
      <c r="P106" s="11"/>
      <c r="Q106" s="13"/>
      <c r="R106" s="14"/>
    </row>
    <row r="107" spans="1:18" ht="15" customHeight="1" x14ac:dyDescent="0.3">
      <c r="A107" s="15" t="s">
        <v>26</v>
      </c>
      <c r="B107" s="15" t="s">
        <v>356</v>
      </c>
      <c r="C107" s="16">
        <v>0.83680555555555547</v>
      </c>
      <c r="D107" s="15" t="s">
        <v>31</v>
      </c>
      <c r="E107" s="15" t="s">
        <v>97</v>
      </c>
      <c r="F107" s="15" t="s">
        <v>95</v>
      </c>
      <c r="G107" s="298"/>
      <c r="H107" s="10"/>
      <c r="I107" s="11"/>
      <c r="J107" s="11"/>
      <c r="K107" s="11"/>
      <c r="L107" s="11"/>
      <c r="M107" s="11"/>
      <c r="N107" s="11"/>
      <c r="O107" s="12"/>
      <c r="P107" s="11"/>
      <c r="Q107" s="13"/>
      <c r="R107" s="14"/>
    </row>
    <row r="108" spans="1:18" ht="15" customHeight="1" x14ac:dyDescent="0.3">
      <c r="A108" s="15" t="s">
        <v>26</v>
      </c>
      <c r="B108" s="15" t="s">
        <v>356</v>
      </c>
      <c r="C108" s="16">
        <v>0.83680555555555547</v>
      </c>
      <c r="D108" s="15" t="s">
        <v>34</v>
      </c>
      <c r="E108" s="15" t="s">
        <v>97</v>
      </c>
      <c r="F108" s="15" t="s">
        <v>149</v>
      </c>
      <c r="G108" s="298"/>
      <c r="H108" s="10"/>
      <c r="I108" s="11"/>
      <c r="J108" s="11"/>
      <c r="K108" s="11"/>
      <c r="L108" s="11"/>
      <c r="M108" s="11"/>
      <c r="N108" s="11"/>
      <c r="O108" s="12"/>
      <c r="P108" s="11"/>
      <c r="Q108" s="13"/>
      <c r="R108" s="14"/>
    </row>
    <row r="109" spans="1:18" ht="15" customHeight="1" x14ac:dyDescent="0.3">
      <c r="A109" s="17" t="s">
        <v>26</v>
      </c>
      <c r="B109" s="17" t="s">
        <v>352</v>
      </c>
      <c r="C109" s="18">
        <v>0.94444444444444453</v>
      </c>
      <c r="D109" s="17" t="s">
        <v>28</v>
      </c>
      <c r="E109" s="17" t="s">
        <v>37</v>
      </c>
      <c r="F109" s="17" t="s">
        <v>44</v>
      </c>
      <c r="G109" s="298"/>
      <c r="H109" s="10"/>
      <c r="I109" s="11"/>
      <c r="J109" s="11"/>
      <c r="K109" s="11"/>
      <c r="L109" s="11"/>
      <c r="M109" s="11"/>
      <c r="N109" s="11"/>
      <c r="O109" s="12"/>
      <c r="P109" s="11"/>
      <c r="Q109" s="13"/>
      <c r="R109" s="14"/>
    </row>
    <row r="110" spans="1:18" ht="15" customHeight="1" x14ac:dyDescent="0.3">
      <c r="A110" s="15" t="s">
        <v>26</v>
      </c>
      <c r="B110" s="15" t="s">
        <v>352</v>
      </c>
      <c r="C110" s="16">
        <v>0.94444444444444453</v>
      </c>
      <c r="D110" s="15" t="s">
        <v>31</v>
      </c>
      <c r="E110" s="15" t="s">
        <v>38</v>
      </c>
      <c r="F110" s="15" t="s">
        <v>95</v>
      </c>
      <c r="G110" s="298"/>
      <c r="H110" s="10"/>
      <c r="I110" s="11"/>
      <c r="J110" s="11"/>
      <c r="K110" s="11"/>
      <c r="L110" s="11"/>
      <c r="M110" s="11"/>
      <c r="N110" s="11"/>
      <c r="O110" s="12"/>
      <c r="P110" s="11"/>
      <c r="Q110" s="13"/>
      <c r="R110" s="14"/>
    </row>
    <row r="111" spans="1:18" ht="15" customHeight="1" x14ac:dyDescent="0.3">
      <c r="A111" s="15" t="s">
        <v>26</v>
      </c>
      <c r="B111" s="15" t="s">
        <v>352</v>
      </c>
      <c r="C111" s="16">
        <v>0.94444444444444453</v>
      </c>
      <c r="D111" s="15" t="s">
        <v>34</v>
      </c>
      <c r="E111" s="15" t="s">
        <v>38</v>
      </c>
      <c r="F111" s="15" t="s">
        <v>149</v>
      </c>
      <c r="G111" s="298"/>
      <c r="H111" s="10"/>
      <c r="I111" s="11"/>
      <c r="J111" s="11"/>
      <c r="K111" s="11"/>
      <c r="L111" s="11"/>
      <c r="M111" s="11"/>
      <c r="N111" s="11"/>
      <c r="O111" s="12"/>
      <c r="P111" s="11"/>
      <c r="Q111" s="13"/>
      <c r="R111" s="14"/>
    </row>
    <row r="112" spans="1:18" ht="15" customHeight="1" x14ac:dyDescent="0.3">
      <c r="A112" s="17" t="s">
        <v>26</v>
      </c>
      <c r="B112" s="17" t="s">
        <v>360</v>
      </c>
      <c r="C112" s="18">
        <v>0.4861111111111111</v>
      </c>
      <c r="D112" s="17" t="s">
        <v>28</v>
      </c>
      <c r="E112" s="17" t="s">
        <v>37</v>
      </c>
      <c r="F112" s="17" t="s">
        <v>44</v>
      </c>
      <c r="G112" s="298"/>
      <c r="H112" s="10"/>
      <c r="I112" s="11"/>
      <c r="J112" s="11"/>
      <c r="K112" s="11"/>
      <c r="L112" s="11"/>
      <c r="M112" s="11"/>
      <c r="N112" s="11"/>
      <c r="O112" s="12"/>
      <c r="P112" s="11"/>
      <c r="Q112" s="13"/>
      <c r="R112" s="14"/>
    </row>
    <row r="113" spans="1:18" ht="15" customHeight="1" x14ac:dyDescent="0.3">
      <c r="A113" s="15" t="s">
        <v>26</v>
      </c>
      <c r="B113" s="15" t="s">
        <v>360</v>
      </c>
      <c r="C113" s="16">
        <v>0.4861111111111111</v>
      </c>
      <c r="D113" s="15" t="s">
        <v>31</v>
      </c>
      <c r="E113" s="15" t="s">
        <v>38</v>
      </c>
      <c r="F113" s="15" t="s">
        <v>95</v>
      </c>
      <c r="G113" s="298"/>
      <c r="H113" s="10"/>
      <c r="I113" s="11"/>
      <c r="J113" s="11"/>
      <c r="K113" s="11"/>
      <c r="L113" s="11"/>
      <c r="M113" s="11"/>
      <c r="N113" s="11"/>
      <c r="O113" s="12"/>
      <c r="P113" s="11"/>
      <c r="Q113" s="13"/>
      <c r="R113" s="14"/>
    </row>
    <row r="114" spans="1:18" ht="15" customHeight="1" x14ac:dyDescent="0.3">
      <c r="A114" s="15" t="s">
        <v>26</v>
      </c>
      <c r="B114" s="15" t="s">
        <v>360</v>
      </c>
      <c r="C114" s="16">
        <v>0.4861111111111111</v>
      </c>
      <c r="D114" s="15" t="s">
        <v>34</v>
      </c>
      <c r="E114" s="15" t="s">
        <v>38</v>
      </c>
      <c r="F114" s="15" t="s">
        <v>149</v>
      </c>
      <c r="G114" s="298"/>
      <c r="H114" s="10"/>
      <c r="I114" s="11"/>
      <c r="J114" s="11"/>
      <c r="K114" s="11"/>
      <c r="L114" s="11"/>
      <c r="M114" s="11"/>
      <c r="N114" s="11"/>
      <c r="O114" s="12"/>
      <c r="P114" s="11"/>
      <c r="Q114" s="13"/>
      <c r="R114" s="14"/>
    </row>
    <row r="115" spans="1:18" ht="15" customHeight="1" x14ac:dyDescent="0.3">
      <c r="A115" s="19" t="s">
        <v>41</v>
      </c>
      <c r="B115" s="19" t="s">
        <v>340</v>
      </c>
      <c r="C115" s="20">
        <v>0.39930555555555558</v>
      </c>
      <c r="D115" s="19" t="s">
        <v>43</v>
      </c>
      <c r="E115" s="19" t="s">
        <v>430</v>
      </c>
      <c r="F115" s="19" t="s">
        <v>431</v>
      </c>
      <c r="G115" s="298"/>
      <c r="H115" s="10"/>
      <c r="I115" s="11"/>
      <c r="J115" s="11"/>
      <c r="K115" s="11"/>
      <c r="L115" s="11"/>
      <c r="M115" s="11"/>
      <c r="N115" s="11"/>
      <c r="O115" s="12"/>
      <c r="P115" s="11"/>
      <c r="Q115" s="13"/>
      <c r="R115" s="14"/>
    </row>
    <row r="116" spans="1:18" ht="15" customHeight="1" x14ac:dyDescent="0.3">
      <c r="A116" s="15" t="s">
        <v>41</v>
      </c>
      <c r="B116" s="15" t="s">
        <v>340</v>
      </c>
      <c r="C116" s="16">
        <v>0.39930555555555558</v>
      </c>
      <c r="D116" s="15" t="s">
        <v>45</v>
      </c>
      <c r="E116" s="15" t="s">
        <v>349</v>
      </c>
      <c r="F116" s="15" t="s">
        <v>143</v>
      </c>
      <c r="G116" s="298"/>
      <c r="H116" s="10"/>
      <c r="I116" s="11"/>
      <c r="J116" s="11"/>
      <c r="K116" s="11"/>
      <c r="L116" s="11"/>
      <c r="M116" s="11"/>
      <c r="N116" s="11"/>
      <c r="O116" s="12"/>
      <c r="P116" s="11"/>
      <c r="Q116" s="13"/>
      <c r="R116" s="14"/>
    </row>
    <row r="117" spans="1:18" ht="15" customHeight="1" x14ac:dyDescent="0.3">
      <c r="A117" s="15" t="s">
        <v>41</v>
      </c>
      <c r="B117" s="15" t="s">
        <v>340</v>
      </c>
      <c r="C117" s="16">
        <v>0.39930555555555558</v>
      </c>
      <c r="D117" s="15" t="s">
        <v>46</v>
      </c>
      <c r="E117" s="15" t="s">
        <v>349</v>
      </c>
      <c r="F117" s="15" t="s">
        <v>47</v>
      </c>
      <c r="G117" s="298"/>
      <c r="H117" s="10"/>
      <c r="I117" s="11"/>
      <c r="J117" s="11"/>
      <c r="K117" s="11"/>
      <c r="L117" s="11"/>
      <c r="M117" s="11"/>
      <c r="N117" s="11"/>
      <c r="O117" s="12"/>
      <c r="P117" s="11"/>
      <c r="Q117" s="13"/>
      <c r="R117" s="14"/>
    </row>
    <row r="118" spans="1:18" ht="15" customHeight="1" x14ac:dyDescent="0.3">
      <c r="A118" s="17" t="s">
        <v>41</v>
      </c>
      <c r="B118" s="17" t="s">
        <v>344</v>
      </c>
      <c r="C118" s="18">
        <v>0.48958333333333331</v>
      </c>
      <c r="D118" s="17" t="s">
        <v>43</v>
      </c>
      <c r="E118" s="17" t="s">
        <v>432</v>
      </c>
      <c r="F118" s="17" t="s">
        <v>431</v>
      </c>
      <c r="G118" s="298"/>
      <c r="H118" s="10"/>
      <c r="I118" s="11"/>
      <c r="J118" s="11"/>
      <c r="K118" s="11"/>
      <c r="L118" s="11"/>
      <c r="M118" s="11"/>
      <c r="N118" s="11"/>
      <c r="O118" s="12"/>
      <c r="P118" s="11"/>
      <c r="Q118" s="13"/>
      <c r="R118" s="14"/>
    </row>
    <row r="119" spans="1:18" ht="15" customHeight="1" x14ac:dyDescent="0.3">
      <c r="A119" s="15" t="s">
        <v>41</v>
      </c>
      <c r="B119" s="15" t="s">
        <v>344</v>
      </c>
      <c r="C119" s="16">
        <v>0.48958333333333331</v>
      </c>
      <c r="D119" s="15" t="s">
        <v>45</v>
      </c>
      <c r="E119" s="15" t="s">
        <v>433</v>
      </c>
      <c r="F119" s="15" t="s">
        <v>143</v>
      </c>
      <c r="G119" s="298"/>
      <c r="H119" s="10"/>
      <c r="I119" s="11"/>
      <c r="J119" s="11"/>
      <c r="K119" s="11"/>
      <c r="L119" s="11"/>
      <c r="M119" s="11"/>
      <c r="N119" s="11"/>
      <c r="O119" s="12"/>
      <c r="P119" s="11"/>
      <c r="Q119" s="13"/>
      <c r="R119" s="14"/>
    </row>
    <row r="120" spans="1:18" ht="15" customHeight="1" x14ac:dyDescent="0.3">
      <c r="A120" s="15" t="s">
        <v>41</v>
      </c>
      <c r="B120" s="15" t="s">
        <v>344</v>
      </c>
      <c r="C120" s="16">
        <v>0.48958333333333331</v>
      </c>
      <c r="D120" s="15" t="s">
        <v>46</v>
      </c>
      <c r="E120" s="15" t="s">
        <v>433</v>
      </c>
      <c r="F120" s="15" t="s">
        <v>47</v>
      </c>
      <c r="G120" s="298"/>
      <c r="H120" s="10"/>
      <c r="I120" s="11"/>
      <c r="J120" s="11"/>
      <c r="K120" s="11"/>
      <c r="L120" s="11"/>
      <c r="M120" s="11"/>
      <c r="N120" s="11"/>
      <c r="O120" s="12"/>
      <c r="P120" s="11"/>
      <c r="Q120" s="13"/>
      <c r="R120" s="14"/>
    </row>
    <row r="121" spans="1:18" ht="15" customHeight="1" x14ac:dyDescent="0.3">
      <c r="A121" s="17" t="s">
        <v>41</v>
      </c>
      <c r="B121" s="17" t="s">
        <v>347</v>
      </c>
      <c r="C121" s="18">
        <v>0.88888888888888884</v>
      </c>
      <c r="D121" s="17" t="s">
        <v>43</v>
      </c>
      <c r="E121" s="17" t="s">
        <v>348</v>
      </c>
      <c r="F121" s="17" t="s">
        <v>431</v>
      </c>
      <c r="G121" s="298"/>
      <c r="H121" s="10"/>
      <c r="I121" s="11"/>
      <c r="J121" s="11"/>
      <c r="K121" s="11"/>
      <c r="L121" s="11"/>
      <c r="M121" s="11"/>
      <c r="N121" s="11"/>
      <c r="O121" s="12"/>
      <c r="P121" s="11"/>
      <c r="Q121" s="13"/>
      <c r="R121" s="14"/>
    </row>
    <row r="122" spans="1:18" ht="15" customHeight="1" x14ac:dyDescent="0.3">
      <c r="A122" s="15" t="s">
        <v>41</v>
      </c>
      <c r="B122" s="15" t="s">
        <v>347</v>
      </c>
      <c r="C122" s="16">
        <v>0.88888888888888884</v>
      </c>
      <c r="D122" s="15" t="s">
        <v>45</v>
      </c>
      <c r="E122" s="15" t="s">
        <v>349</v>
      </c>
      <c r="F122" s="15" t="s">
        <v>143</v>
      </c>
      <c r="G122" s="298"/>
      <c r="H122" s="10"/>
      <c r="I122" s="11"/>
      <c r="J122" s="11"/>
      <c r="K122" s="11"/>
      <c r="L122" s="11"/>
      <c r="M122" s="11"/>
      <c r="N122" s="11"/>
      <c r="O122" s="12"/>
      <c r="P122" s="11"/>
      <c r="Q122" s="13"/>
      <c r="R122" s="14"/>
    </row>
    <row r="123" spans="1:18" ht="15" customHeight="1" x14ac:dyDescent="0.3">
      <c r="A123" s="15" t="s">
        <v>41</v>
      </c>
      <c r="B123" s="15" t="s">
        <v>347</v>
      </c>
      <c r="C123" s="16">
        <v>0.88888888888888884</v>
      </c>
      <c r="D123" s="15" t="s">
        <v>46</v>
      </c>
      <c r="E123" s="15" t="s">
        <v>349</v>
      </c>
      <c r="F123" s="15" t="s">
        <v>47</v>
      </c>
      <c r="G123" s="298"/>
      <c r="H123" s="10"/>
      <c r="I123" s="11"/>
      <c r="J123" s="11"/>
      <c r="K123" s="11"/>
      <c r="L123" s="11"/>
      <c r="M123" s="11"/>
      <c r="N123" s="11"/>
      <c r="O123" s="12"/>
      <c r="P123" s="11"/>
      <c r="Q123" s="13"/>
      <c r="R123" s="14"/>
    </row>
    <row r="124" spans="1:18" ht="15" customHeight="1" x14ac:dyDescent="0.3">
      <c r="A124" s="17" t="s">
        <v>41</v>
      </c>
      <c r="B124" s="17" t="s">
        <v>336</v>
      </c>
      <c r="C124" s="18">
        <v>0.98958333333333337</v>
      </c>
      <c r="D124" s="17" t="s">
        <v>43</v>
      </c>
      <c r="E124" s="17" t="s">
        <v>432</v>
      </c>
      <c r="F124" s="17" t="s">
        <v>431</v>
      </c>
      <c r="G124" s="298"/>
      <c r="H124" s="10"/>
      <c r="I124" s="11"/>
      <c r="J124" s="11"/>
      <c r="K124" s="11"/>
      <c r="L124" s="11"/>
      <c r="M124" s="11"/>
      <c r="N124" s="11"/>
      <c r="O124" s="12"/>
      <c r="P124" s="11"/>
      <c r="Q124" s="13"/>
      <c r="R124" s="14"/>
    </row>
    <row r="125" spans="1:18" ht="15" customHeight="1" x14ac:dyDescent="0.3">
      <c r="A125" s="15" t="s">
        <v>41</v>
      </c>
      <c r="B125" s="15" t="s">
        <v>336</v>
      </c>
      <c r="C125" s="16">
        <v>0.98958333333333337</v>
      </c>
      <c r="D125" s="15" t="s">
        <v>45</v>
      </c>
      <c r="E125" s="15" t="s">
        <v>433</v>
      </c>
      <c r="F125" s="15" t="s">
        <v>143</v>
      </c>
      <c r="G125" s="298"/>
      <c r="H125" s="10"/>
      <c r="I125" s="11"/>
      <c r="J125" s="11"/>
      <c r="K125" s="11"/>
      <c r="L125" s="11"/>
      <c r="M125" s="11"/>
      <c r="N125" s="11"/>
      <c r="O125" s="12"/>
      <c r="P125" s="11"/>
      <c r="Q125" s="13"/>
      <c r="R125" s="14"/>
    </row>
    <row r="126" spans="1:18" ht="15" customHeight="1" x14ac:dyDescent="0.3">
      <c r="A126" s="15" t="s">
        <v>41</v>
      </c>
      <c r="B126" s="15" t="s">
        <v>336</v>
      </c>
      <c r="C126" s="16">
        <v>0.98958333333333337</v>
      </c>
      <c r="D126" s="15" t="s">
        <v>46</v>
      </c>
      <c r="E126" s="15" t="s">
        <v>433</v>
      </c>
      <c r="F126" s="15" t="s">
        <v>47</v>
      </c>
      <c r="G126" s="298"/>
      <c r="H126" s="10"/>
      <c r="I126" s="11"/>
      <c r="J126" s="11"/>
      <c r="K126" s="11"/>
      <c r="L126" s="11"/>
      <c r="M126" s="11"/>
      <c r="N126" s="11"/>
      <c r="O126" s="12"/>
      <c r="P126" s="11"/>
      <c r="Q126" s="13"/>
      <c r="R126" s="14"/>
    </row>
    <row r="127" spans="1:18" ht="15" customHeight="1" x14ac:dyDescent="0.3">
      <c r="A127" s="19" t="s">
        <v>385</v>
      </c>
      <c r="B127" s="19" t="s">
        <v>386</v>
      </c>
      <c r="C127" s="20">
        <v>0.54166666666666663</v>
      </c>
      <c r="D127" s="19" t="s">
        <v>101</v>
      </c>
      <c r="E127" s="19" t="s">
        <v>96</v>
      </c>
      <c r="F127" s="19" t="s">
        <v>434</v>
      </c>
      <c r="G127" s="298"/>
      <c r="H127" s="10"/>
      <c r="I127" s="11"/>
      <c r="J127" s="11"/>
      <c r="K127" s="11"/>
      <c r="L127" s="11"/>
      <c r="M127" s="11"/>
      <c r="N127" s="11"/>
      <c r="O127" s="12"/>
      <c r="P127" s="11"/>
      <c r="Q127" s="13"/>
      <c r="R127" s="14"/>
    </row>
    <row r="128" spans="1:18" ht="15" customHeight="1" x14ac:dyDescent="0.3">
      <c r="A128" s="17" t="s">
        <v>385</v>
      </c>
      <c r="B128" s="17" t="s">
        <v>435</v>
      </c>
      <c r="C128" s="18">
        <v>0.23958333333333329</v>
      </c>
      <c r="D128" s="17" t="s">
        <v>101</v>
      </c>
      <c r="E128" s="17" t="s">
        <v>54</v>
      </c>
      <c r="F128" s="17" t="s">
        <v>434</v>
      </c>
      <c r="G128" s="298"/>
      <c r="H128" s="10"/>
      <c r="I128" s="11"/>
      <c r="J128" s="11"/>
      <c r="K128" s="11"/>
      <c r="L128" s="11"/>
      <c r="M128" s="11"/>
      <c r="N128" s="11"/>
      <c r="O128" s="12"/>
      <c r="P128" s="11"/>
      <c r="Q128" s="13"/>
      <c r="R128" s="14"/>
    </row>
    <row r="129" spans="1:18" ht="15" customHeight="1" x14ac:dyDescent="0.3">
      <c r="A129" s="19" t="s">
        <v>388</v>
      </c>
      <c r="B129" s="19" t="s">
        <v>389</v>
      </c>
      <c r="C129" s="20">
        <v>0.22569444444444439</v>
      </c>
      <c r="D129" s="19" t="s">
        <v>390</v>
      </c>
      <c r="E129" s="19" t="s">
        <v>118</v>
      </c>
      <c r="F129" s="19" t="s">
        <v>436</v>
      </c>
      <c r="G129" s="298"/>
      <c r="H129" s="10"/>
      <c r="I129" s="11"/>
      <c r="J129" s="11"/>
      <c r="K129" s="11"/>
      <c r="L129" s="11"/>
      <c r="M129" s="11"/>
      <c r="N129" s="11"/>
      <c r="O129" s="12"/>
      <c r="P129" s="11"/>
      <c r="Q129" s="13"/>
      <c r="R129" s="14"/>
    </row>
    <row r="130" spans="1:18" ht="15" customHeight="1" x14ac:dyDescent="0.3">
      <c r="A130" s="15" t="s">
        <v>388</v>
      </c>
      <c r="B130" s="15" t="s">
        <v>389</v>
      </c>
      <c r="C130" s="16">
        <v>0.22569444444444439</v>
      </c>
      <c r="D130" s="15" t="s">
        <v>46</v>
      </c>
      <c r="E130" s="15" t="s">
        <v>119</v>
      </c>
      <c r="F130" s="15" t="s">
        <v>437</v>
      </c>
      <c r="G130" s="298"/>
      <c r="H130" s="10"/>
      <c r="I130" s="11"/>
      <c r="J130" s="11"/>
      <c r="K130" s="11"/>
      <c r="L130" s="11"/>
      <c r="M130" s="11"/>
      <c r="N130" s="11"/>
      <c r="O130" s="12"/>
      <c r="P130" s="11"/>
      <c r="Q130" s="13"/>
      <c r="R130" s="14"/>
    </row>
    <row r="131" spans="1:18" ht="15" customHeight="1" x14ac:dyDescent="0.3">
      <c r="A131" s="17" t="s">
        <v>388</v>
      </c>
      <c r="B131" s="17" t="s">
        <v>438</v>
      </c>
      <c r="C131" s="18">
        <v>0.80902777777777779</v>
      </c>
      <c r="D131" s="17" t="s">
        <v>390</v>
      </c>
      <c r="E131" s="17" t="s">
        <v>75</v>
      </c>
      <c r="F131" s="17" t="s">
        <v>439</v>
      </c>
      <c r="G131" s="298"/>
      <c r="H131" s="10"/>
      <c r="I131" s="11"/>
      <c r="J131" s="11"/>
      <c r="K131" s="11"/>
      <c r="L131" s="11"/>
      <c r="M131" s="11"/>
      <c r="N131" s="11"/>
      <c r="O131" s="12"/>
      <c r="P131" s="11"/>
      <c r="Q131" s="13"/>
      <c r="R131" s="14"/>
    </row>
    <row r="132" spans="1:18" ht="15" customHeight="1" x14ac:dyDescent="0.3">
      <c r="A132" s="15" t="s">
        <v>388</v>
      </c>
      <c r="B132" s="15" t="s">
        <v>438</v>
      </c>
      <c r="C132" s="16">
        <v>0.80902777777777779</v>
      </c>
      <c r="D132" s="15" t="s">
        <v>46</v>
      </c>
      <c r="E132" s="15" t="s">
        <v>98</v>
      </c>
      <c r="F132" s="15" t="s">
        <v>440</v>
      </c>
      <c r="G132" s="298"/>
      <c r="H132" s="10"/>
      <c r="I132" s="11"/>
      <c r="J132" s="11"/>
      <c r="K132" s="11"/>
      <c r="L132" s="11"/>
      <c r="M132" s="11"/>
      <c r="N132" s="11"/>
      <c r="O132" s="12"/>
      <c r="P132" s="11"/>
      <c r="Q132" s="13"/>
      <c r="R132" s="14"/>
    </row>
    <row r="133" spans="1:18" ht="15" customHeight="1" x14ac:dyDescent="0.3">
      <c r="A133" s="19" t="s">
        <v>48</v>
      </c>
      <c r="B133" s="19" t="s">
        <v>411</v>
      </c>
      <c r="C133" s="20">
        <v>0.1041666666666667</v>
      </c>
      <c r="D133" s="19" t="s">
        <v>50</v>
      </c>
      <c r="E133" s="19" t="s">
        <v>63</v>
      </c>
      <c r="F133" s="19" t="s">
        <v>441</v>
      </c>
      <c r="G133" s="298"/>
      <c r="H133" s="10"/>
      <c r="I133" s="11"/>
      <c r="J133" s="11"/>
      <c r="K133" s="11"/>
      <c r="L133" s="11"/>
      <c r="M133" s="11"/>
      <c r="N133" s="11"/>
      <c r="O133" s="12"/>
      <c r="P133" s="11"/>
      <c r="Q133" s="13"/>
      <c r="R133" s="14"/>
    </row>
    <row r="134" spans="1:18" ht="15" customHeight="1" x14ac:dyDescent="0.3">
      <c r="A134" s="17" t="s">
        <v>48</v>
      </c>
      <c r="B134" s="17" t="s">
        <v>406</v>
      </c>
      <c r="C134" s="18">
        <v>0.79166666666666663</v>
      </c>
      <c r="D134" s="17" t="s">
        <v>50</v>
      </c>
      <c r="E134" s="17" t="s">
        <v>54</v>
      </c>
      <c r="F134" s="17" t="s">
        <v>441</v>
      </c>
      <c r="G134" s="298"/>
      <c r="H134" s="10"/>
      <c r="I134" s="11"/>
      <c r="J134" s="11"/>
      <c r="K134" s="11"/>
      <c r="L134" s="11"/>
      <c r="M134" s="11"/>
      <c r="N134" s="11"/>
      <c r="O134" s="12"/>
      <c r="P134" s="11"/>
      <c r="Q134" s="13"/>
      <c r="R134" s="14"/>
    </row>
    <row r="135" spans="1:18" ht="15" customHeight="1" x14ac:dyDescent="0.3">
      <c r="A135" s="17" t="s">
        <v>48</v>
      </c>
      <c r="B135" s="17" t="s">
        <v>413</v>
      </c>
      <c r="C135" s="18">
        <v>0.83680555555555547</v>
      </c>
      <c r="D135" s="17" t="s">
        <v>50</v>
      </c>
      <c r="E135" s="17" t="s">
        <v>54</v>
      </c>
      <c r="F135" s="17" t="s">
        <v>442</v>
      </c>
      <c r="G135" s="298"/>
      <c r="H135" s="10"/>
      <c r="I135" s="11"/>
      <c r="J135" s="11"/>
      <c r="K135" s="11"/>
      <c r="L135" s="11"/>
      <c r="M135" s="11"/>
      <c r="N135" s="11"/>
      <c r="O135" s="12"/>
      <c r="P135" s="11"/>
      <c r="Q135" s="13"/>
      <c r="R135" s="14"/>
    </row>
    <row r="136" spans="1:18" ht="15" customHeight="1" x14ac:dyDescent="0.3">
      <c r="A136" s="17" t="s">
        <v>48</v>
      </c>
      <c r="B136" s="17" t="s">
        <v>415</v>
      </c>
      <c r="C136" s="18">
        <v>4.8611111111111112E-2</v>
      </c>
      <c r="D136" s="17" t="s">
        <v>50</v>
      </c>
      <c r="E136" s="17" t="s">
        <v>54</v>
      </c>
      <c r="F136" s="17" t="s">
        <v>442</v>
      </c>
      <c r="G136" s="298"/>
      <c r="H136" s="10"/>
      <c r="I136" s="11"/>
      <c r="J136" s="11"/>
      <c r="K136" s="11"/>
      <c r="L136" s="11"/>
      <c r="M136" s="11"/>
      <c r="N136" s="11"/>
      <c r="O136" s="12"/>
      <c r="P136" s="11"/>
      <c r="Q136" s="13"/>
      <c r="R136" s="14"/>
    </row>
    <row r="137" spans="1:18" ht="15" customHeight="1" x14ac:dyDescent="0.3">
      <c r="A137" s="17" t="s">
        <v>48</v>
      </c>
      <c r="B137" s="17" t="s">
        <v>408</v>
      </c>
      <c r="C137" s="18">
        <v>0.33333333333333331</v>
      </c>
      <c r="D137" s="17" t="s">
        <v>50</v>
      </c>
      <c r="E137" s="17" t="s">
        <v>54</v>
      </c>
      <c r="F137" s="17" t="s">
        <v>443</v>
      </c>
      <c r="G137" s="298"/>
      <c r="H137" s="10"/>
      <c r="I137" s="11"/>
      <c r="J137" s="11"/>
      <c r="K137" s="11"/>
      <c r="L137" s="11"/>
      <c r="M137" s="11"/>
      <c r="N137" s="11"/>
      <c r="O137" s="12"/>
      <c r="P137" s="11"/>
      <c r="Q137" s="13"/>
      <c r="R137" s="14"/>
    </row>
    <row r="138" spans="1:18" ht="15" customHeight="1" x14ac:dyDescent="0.3">
      <c r="A138" s="17" t="s">
        <v>48</v>
      </c>
      <c r="B138" s="17" t="s">
        <v>412</v>
      </c>
      <c r="C138" s="18">
        <v>0.61805555555555558</v>
      </c>
      <c r="D138" s="17" t="s">
        <v>50</v>
      </c>
      <c r="E138" s="17" t="s">
        <v>54</v>
      </c>
      <c r="F138" s="17" t="s">
        <v>443</v>
      </c>
      <c r="G138" s="298"/>
      <c r="H138" s="10"/>
      <c r="I138" s="11"/>
      <c r="J138" s="11"/>
      <c r="K138" s="11"/>
      <c r="L138" s="11"/>
      <c r="M138" s="11"/>
      <c r="N138" s="11"/>
      <c r="O138" s="12"/>
      <c r="P138" s="11"/>
      <c r="Q138" s="13"/>
      <c r="R138" s="14"/>
    </row>
    <row r="139" spans="1:18" ht="15" customHeight="1" x14ac:dyDescent="0.3">
      <c r="A139" s="19" t="s">
        <v>60</v>
      </c>
      <c r="B139" s="19" t="s">
        <v>400</v>
      </c>
      <c r="C139" s="20">
        <v>0.82986111111111116</v>
      </c>
      <c r="D139" s="19" t="s">
        <v>65</v>
      </c>
      <c r="E139" s="19" t="s">
        <v>63</v>
      </c>
      <c r="F139" s="19" t="s">
        <v>394</v>
      </c>
      <c r="G139" s="298"/>
      <c r="H139" s="10"/>
      <c r="I139" s="11"/>
      <c r="J139" s="11"/>
      <c r="K139" s="11"/>
      <c r="L139" s="11"/>
      <c r="M139" s="11"/>
      <c r="N139" s="11"/>
      <c r="O139" s="12"/>
      <c r="P139" s="11"/>
      <c r="Q139" s="13"/>
      <c r="R139" s="14"/>
    </row>
    <row r="140" spans="1:18" ht="15" customHeight="1" x14ac:dyDescent="0.3">
      <c r="A140" s="17" t="s">
        <v>60</v>
      </c>
      <c r="B140" s="17" t="s">
        <v>404</v>
      </c>
      <c r="C140" s="18">
        <v>0.72222222222222221</v>
      </c>
      <c r="D140" s="17" t="s">
        <v>65</v>
      </c>
      <c r="E140" s="17" t="s">
        <v>75</v>
      </c>
      <c r="F140" s="17" t="s">
        <v>394</v>
      </c>
      <c r="G140" s="298"/>
      <c r="H140" s="10"/>
      <c r="I140" s="11"/>
      <c r="J140" s="11"/>
      <c r="K140" s="11"/>
      <c r="L140" s="11"/>
      <c r="M140" s="11"/>
      <c r="N140" s="11"/>
      <c r="O140" s="12"/>
      <c r="P140" s="11"/>
      <c r="Q140" s="13"/>
      <c r="R140" s="14"/>
    </row>
    <row r="141" spans="1:18" ht="15" customHeight="1" x14ac:dyDescent="0.3">
      <c r="A141" s="17" t="s">
        <v>60</v>
      </c>
      <c r="B141" s="17" t="s">
        <v>402</v>
      </c>
      <c r="C141" s="18">
        <v>0.11805555555555559</v>
      </c>
      <c r="D141" s="17" t="s">
        <v>65</v>
      </c>
      <c r="E141" s="17" t="s">
        <v>54</v>
      </c>
      <c r="F141" s="17" t="s">
        <v>394</v>
      </c>
      <c r="G141" s="298"/>
      <c r="H141" s="10"/>
      <c r="I141" s="11"/>
      <c r="J141" s="11"/>
      <c r="K141" s="11"/>
      <c r="L141" s="11"/>
      <c r="M141" s="11"/>
      <c r="N141" s="11"/>
      <c r="O141" s="12"/>
      <c r="P141" s="11"/>
      <c r="Q141" s="13"/>
      <c r="R141" s="14"/>
    </row>
    <row r="142" spans="1:18" ht="15" customHeight="1" x14ac:dyDescent="0.3">
      <c r="A142" s="17" t="s">
        <v>60</v>
      </c>
      <c r="B142" s="17" t="s">
        <v>403</v>
      </c>
      <c r="C142" s="18">
        <v>0.70138888888888884</v>
      </c>
      <c r="D142" s="17" t="s">
        <v>65</v>
      </c>
      <c r="E142" s="17" t="s">
        <v>121</v>
      </c>
      <c r="F142" s="17" t="s">
        <v>394</v>
      </c>
      <c r="G142" s="298"/>
      <c r="H142" s="10"/>
      <c r="I142" s="11"/>
      <c r="J142" s="11"/>
      <c r="K142" s="11"/>
      <c r="L142" s="11"/>
      <c r="M142" s="11"/>
      <c r="N142" s="11"/>
      <c r="O142" s="12"/>
      <c r="P142" s="11"/>
      <c r="Q142" s="13"/>
      <c r="R142" s="14"/>
    </row>
    <row r="143" spans="1:18" ht="15" customHeight="1" x14ac:dyDescent="0.3">
      <c r="A143" s="17" t="s">
        <v>60</v>
      </c>
      <c r="B143" s="17" t="s">
        <v>393</v>
      </c>
      <c r="C143" s="18">
        <v>0.25347222222222221</v>
      </c>
      <c r="D143" s="17" t="s">
        <v>65</v>
      </c>
      <c r="E143" s="17" t="s">
        <v>54</v>
      </c>
      <c r="F143" s="17" t="s">
        <v>394</v>
      </c>
      <c r="G143" s="298"/>
      <c r="H143" s="10"/>
      <c r="I143" s="11"/>
      <c r="J143" s="11"/>
      <c r="K143" s="11"/>
      <c r="L143" s="11"/>
      <c r="M143" s="11"/>
      <c r="N143" s="11"/>
      <c r="O143" s="12"/>
      <c r="P143" s="11"/>
      <c r="Q143" s="13"/>
      <c r="R143" s="14"/>
    </row>
    <row r="144" spans="1:18" ht="15" customHeight="1" x14ac:dyDescent="0.3">
      <c r="A144" s="17" t="s">
        <v>60</v>
      </c>
      <c r="B144" s="17" t="s">
        <v>444</v>
      </c>
      <c r="C144" s="18">
        <v>4.1666666666666657E-2</v>
      </c>
      <c r="D144" s="17" t="s">
        <v>65</v>
      </c>
      <c r="E144" s="17" t="s">
        <v>54</v>
      </c>
      <c r="F144" s="17" t="s">
        <v>394</v>
      </c>
      <c r="G144" s="298"/>
      <c r="H144" s="10"/>
      <c r="I144" s="11"/>
      <c r="J144" s="11"/>
      <c r="K144" s="11"/>
      <c r="L144" s="11"/>
      <c r="M144" s="11"/>
      <c r="N144" s="11"/>
      <c r="O144" s="12"/>
      <c r="P144" s="11"/>
      <c r="Q144" s="13"/>
      <c r="R144" s="14"/>
    </row>
    <row r="145" spans="1:18" ht="15" customHeight="1" x14ac:dyDescent="0.3">
      <c r="A145" s="17" t="s">
        <v>60</v>
      </c>
      <c r="B145" s="17" t="s">
        <v>445</v>
      </c>
      <c r="C145" s="18">
        <v>0.94097222222222221</v>
      </c>
      <c r="D145" s="17" t="s">
        <v>65</v>
      </c>
      <c r="E145" s="17" t="s">
        <v>54</v>
      </c>
      <c r="F145" s="17" t="s">
        <v>394</v>
      </c>
      <c r="G145" s="298"/>
      <c r="H145" s="10"/>
      <c r="I145" s="11"/>
      <c r="J145" s="11"/>
      <c r="K145" s="11"/>
      <c r="L145" s="11"/>
      <c r="M145" s="11"/>
      <c r="N145" s="11"/>
      <c r="O145" s="12"/>
      <c r="P145" s="11"/>
      <c r="Q145" s="13"/>
      <c r="R145" s="14"/>
    </row>
    <row r="146" spans="1:18" ht="15" customHeight="1" x14ac:dyDescent="0.3">
      <c r="A146" s="17" t="s">
        <v>60</v>
      </c>
      <c r="B146" s="17" t="s">
        <v>395</v>
      </c>
      <c r="C146" s="18">
        <v>0.98958333333333337</v>
      </c>
      <c r="D146" s="17" t="s">
        <v>65</v>
      </c>
      <c r="E146" s="17" t="s">
        <v>72</v>
      </c>
      <c r="F146" s="17" t="s">
        <v>396</v>
      </c>
      <c r="G146" s="298"/>
      <c r="H146" s="10"/>
      <c r="I146" s="11"/>
      <c r="J146" s="11"/>
      <c r="K146" s="11"/>
      <c r="L146" s="11"/>
      <c r="M146" s="11"/>
      <c r="N146" s="11"/>
      <c r="O146" s="12"/>
      <c r="P146" s="11"/>
      <c r="Q146" s="13"/>
      <c r="R146" s="14"/>
    </row>
    <row r="147" spans="1:18" ht="15" customHeight="1" x14ac:dyDescent="0.3">
      <c r="A147" s="17" t="s">
        <v>60</v>
      </c>
      <c r="B147" s="17" t="s">
        <v>397</v>
      </c>
      <c r="C147" s="18">
        <v>0.39930555555555558</v>
      </c>
      <c r="D147" s="17" t="s">
        <v>65</v>
      </c>
      <c r="E147" s="17" t="s">
        <v>72</v>
      </c>
      <c r="F147" s="17" t="s">
        <v>396</v>
      </c>
      <c r="G147" s="298"/>
      <c r="H147" s="10"/>
      <c r="I147" s="11"/>
      <c r="J147" s="11"/>
      <c r="K147" s="11"/>
      <c r="L147" s="11"/>
      <c r="M147" s="11"/>
      <c r="N147" s="11"/>
      <c r="O147" s="12"/>
      <c r="P147" s="11"/>
      <c r="Q147" s="13"/>
      <c r="R147" s="14"/>
    </row>
    <row r="148" spans="1:18" ht="15" customHeight="1" x14ac:dyDescent="0.3">
      <c r="A148" s="17" t="s">
        <v>60</v>
      </c>
      <c r="B148" s="17" t="s">
        <v>398</v>
      </c>
      <c r="C148" s="18">
        <v>0.48958333333333331</v>
      </c>
      <c r="D148" s="17" t="s">
        <v>65</v>
      </c>
      <c r="E148" s="17" t="s">
        <v>72</v>
      </c>
      <c r="F148" s="17" t="s">
        <v>396</v>
      </c>
      <c r="G148" s="298"/>
      <c r="H148" s="10"/>
      <c r="I148" s="11"/>
      <c r="J148" s="11"/>
      <c r="K148" s="11"/>
      <c r="L148" s="11"/>
      <c r="M148" s="11"/>
      <c r="N148" s="11"/>
      <c r="O148" s="12"/>
      <c r="P148" s="11"/>
      <c r="Q148" s="13"/>
      <c r="R148" s="14"/>
    </row>
    <row r="149" spans="1:18" ht="15" customHeight="1" x14ac:dyDescent="0.3">
      <c r="A149" s="17" t="s">
        <v>60</v>
      </c>
      <c r="B149" s="17" t="s">
        <v>399</v>
      </c>
      <c r="C149" s="18">
        <v>0.88888888888888884</v>
      </c>
      <c r="D149" s="17" t="s">
        <v>65</v>
      </c>
      <c r="E149" s="17" t="s">
        <v>72</v>
      </c>
      <c r="F149" s="17" t="s">
        <v>396</v>
      </c>
      <c r="G149" s="298"/>
      <c r="H149" s="10"/>
      <c r="I149" s="11"/>
      <c r="J149" s="11"/>
      <c r="K149" s="11"/>
      <c r="L149" s="11"/>
      <c r="M149" s="11"/>
      <c r="N149" s="11"/>
      <c r="O149" s="12"/>
      <c r="P149" s="11"/>
      <c r="Q149" s="13"/>
      <c r="R149" s="14"/>
    </row>
    <row r="150" spans="1:18" ht="15" customHeight="1" thickBot="1" x14ac:dyDescent="0.35">
      <c r="A150" s="39" t="s">
        <v>60</v>
      </c>
      <c r="B150" s="39" t="s">
        <v>446</v>
      </c>
      <c r="C150" s="40">
        <v>0.48958333333333331</v>
      </c>
      <c r="D150" s="39" t="s">
        <v>65</v>
      </c>
      <c r="E150" s="39" t="s">
        <v>353</v>
      </c>
      <c r="F150" s="39" t="s">
        <v>405</v>
      </c>
      <c r="G150" s="299"/>
      <c r="H150" s="41"/>
      <c r="I150" s="42"/>
      <c r="J150" s="42"/>
      <c r="K150" s="42"/>
      <c r="L150" s="42"/>
      <c r="M150" s="42"/>
      <c r="N150" s="42"/>
      <c r="O150" s="43"/>
      <c r="P150" s="42"/>
      <c r="Q150" s="44"/>
      <c r="R150" s="45"/>
    </row>
    <row r="151" spans="1:18" ht="17.399999999999999" customHeight="1" thickBot="1" x14ac:dyDescent="0.35">
      <c r="A151" s="329"/>
      <c r="B151" s="330"/>
      <c r="C151" s="330"/>
      <c r="D151" s="330"/>
      <c r="E151" s="330"/>
      <c r="F151" s="330"/>
      <c r="G151" s="330"/>
      <c r="H151" s="330"/>
      <c r="I151" s="330"/>
      <c r="J151" s="330"/>
      <c r="K151" s="330"/>
      <c r="L151" s="330"/>
      <c r="M151" s="330"/>
      <c r="N151" s="330"/>
      <c r="O151" s="330"/>
      <c r="P151" s="330"/>
      <c r="Q151" s="330"/>
      <c r="R151" s="331"/>
    </row>
    <row r="152" spans="1:18" ht="22.05" customHeight="1" thickTop="1" thickBot="1" x14ac:dyDescent="0.35">
      <c r="A152" s="300" t="s">
        <v>6</v>
      </c>
      <c r="B152" s="295"/>
      <c r="C152" s="295"/>
      <c r="D152" s="295"/>
      <c r="E152" s="295"/>
      <c r="F152" s="296"/>
      <c r="G152" s="31">
        <v>45983</v>
      </c>
      <c r="H152" s="294" t="s">
        <v>7</v>
      </c>
      <c r="I152" s="295"/>
      <c r="J152" s="295"/>
      <c r="K152" s="295"/>
      <c r="L152" s="295"/>
      <c r="M152" s="295"/>
      <c r="N152" s="295"/>
      <c r="O152" s="295"/>
      <c r="P152" s="295"/>
      <c r="Q152" s="295"/>
      <c r="R152" s="296"/>
    </row>
    <row r="153" spans="1:18" ht="24" customHeight="1" x14ac:dyDescent="0.3">
      <c r="A153" s="32" t="s">
        <v>8</v>
      </c>
      <c r="B153" s="32" t="s">
        <v>9</v>
      </c>
      <c r="C153" s="33" t="s">
        <v>10</v>
      </c>
      <c r="D153" s="32" t="s">
        <v>11</v>
      </c>
      <c r="E153" s="32" t="s">
        <v>12</v>
      </c>
      <c r="F153" s="34" t="s">
        <v>13</v>
      </c>
      <c r="G153" s="35" t="s">
        <v>14</v>
      </c>
      <c r="H153" s="32" t="s">
        <v>15</v>
      </c>
      <c r="I153" s="36" t="s">
        <v>16</v>
      </c>
      <c r="J153" s="37" t="s">
        <v>17</v>
      </c>
      <c r="K153" s="38" t="s">
        <v>18</v>
      </c>
      <c r="L153" s="37" t="s">
        <v>19</v>
      </c>
      <c r="M153" s="37" t="s">
        <v>20</v>
      </c>
      <c r="N153" s="37" t="s">
        <v>21</v>
      </c>
      <c r="O153" s="32" t="s">
        <v>22</v>
      </c>
      <c r="P153" s="33" t="s">
        <v>23</v>
      </c>
      <c r="Q153" s="37" t="s">
        <v>24</v>
      </c>
      <c r="R153" s="32" t="s">
        <v>25</v>
      </c>
    </row>
    <row r="154" spans="1:18" ht="15" customHeight="1" x14ac:dyDescent="0.3">
      <c r="A154" s="179" t="s">
        <v>77</v>
      </c>
      <c r="B154" s="179" t="s">
        <v>370</v>
      </c>
      <c r="C154" s="180">
        <v>4.8611111111111112E-2</v>
      </c>
      <c r="D154" s="179" t="s">
        <v>101</v>
      </c>
      <c r="E154" s="179" t="s">
        <v>85</v>
      </c>
      <c r="F154" s="179" t="s">
        <v>93</v>
      </c>
      <c r="G154" s="304"/>
      <c r="H154" s="181" t="s">
        <v>371</v>
      </c>
      <c r="I154" s="182">
        <v>1</v>
      </c>
      <c r="J154" s="183">
        <v>180</v>
      </c>
      <c r="K154" s="184">
        <v>45980</v>
      </c>
      <c r="L154" s="183">
        <v>37</v>
      </c>
      <c r="M154" s="183">
        <v>1</v>
      </c>
      <c r="N154" s="183">
        <v>10</v>
      </c>
      <c r="O154" s="185" t="s">
        <v>81</v>
      </c>
      <c r="P154" s="186">
        <v>4.8611111111111112E-2</v>
      </c>
      <c r="Q154" s="183">
        <v>180</v>
      </c>
      <c r="R154" s="187" t="s">
        <v>447</v>
      </c>
    </row>
    <row r="155" spans="1:18" ht="15" customHeight="1" x14ac:dyDescent="0.3">
      <c r="A155" s="217" t="s">
        <v>77</v>
      </c>
      <c r="B155" s="217" t="s">
        <v>378</v>
      </c>
      <c r="C155" s="218">
        <v>0.90625</v>
      </c>
      <c r="D155" s="217" t="s">
        <v>101</v>
      </c>
      <c r="E155" s="217" t="s">
        <v>72</v>
      </c>
      <c r="F155" s="217" t="s">
        <v>420</v>
      </c>
      <c r="G155" s="298"/>
      <c r="H155" s="157" t="s">
        <v>380</v>
      </c>
      <c r="I155" s="158">
        <v>0.86109999999999998</v>
      </c>
      <c r="J155" s="159">
        <v>155</v>
      </c>
      <c r="K155" s="160">
        <v>45980</v>
      </c>
      <c r="L155" s="159">
        <v>105</v>
      </c>
      <c r="M155" s="159">
        <v>1</v>
      </c>
      <c r="N155" s="159">
        <v>14</v>
      </c>
      <c r="O155" s="161" t="s">
        <v>448</v>
      </c>
      <c r="P155" s="162">
        <v>0.90625</v>
      </c>
      <c r="Q155" s="159">
        <v>180</v>
      </c>
      <c r="R155" s="163" t="s">
        <v>449</v>
      </c>
    </row>
    <row r="156" spans="1:18" ht="15" customHeight="1" x14ac:dyDescent="0.3">
      <c r="A156" s="213" t="s">
        <v>77</v>
      </c>
      <c r="B156" s="213" t="s">
        <v>374</v>
      </c>
      <c r="C156" s="214">
        <v>0.15625</v>
      </c>
      <c r="D156" s="213" t="s">
        <v>101</v>
      </c>
      <c r="E156" s="213" t="s">
        <v>355</v>
      </c>
      <c r="F156" s="213" t="s">
        <v>420</v>
      </c>
      <c r="G156" s="298"/>
      <c r="H156" s="57" t="s">
        <v>375</v>
      </c>
      <c r="I156" s="58">
        <v>0.98870000000000002</v>
      </c>
      <c r="J156" s="59">
        <v>175</v>
      </c>
      <c r="K156" s="60">
        <v>45979</v>
      </c>
      <c r="L156" s="59">
        <v>46</v>
      </c>
      <c r="M156" s="59">
        <v>0</v>
      </c>
      <c r="N156" s="59">
        <v>1</v>
      </c>
      <c r="O156" s="61" t="s">
        <v>450</v>
      </c>
      <c r="P156" s="62">
        <v>0.15625</v>
      </c>
      <c r="Q156" s="59">
        <v>177</v>
      </c>
      <c r="R156" s="63" t="s">
        <v>451</v>
      </c>
    </row>
    <row r="157" spans="1:18" ht="15" customHeight="1" x14ac:dyDescent="0.3">
      <c r="A157" s="217" t="s">
        <v>77</v>
      </c>
      <c r="B157" s="217" t="s">
        <v>383</v>
      </c>
      <c r="C157" s="218">
        <v>0.50347222222222221</v>
      </c>
      <c r="D157" s="217" t="s">
        <v>79</v>
      </c>
      <c r="E157" s="219"/>
      <c r="F157" s="217" t="s">
        <v>80</v>
      </c>
      <c r="G157" s="298"/>
      <c r="H157" s="157" t="s">
        <v>383</v>
      </c>
      <c r="I157" s="158">
        <v>0.99439999999999995</v>
      </c>
      <c r="J157" s="159">
        <v>179</v>
      </c>
      <c r="K157" s="160">
        <v>45977</v>
      </c>
      <c r="L157" s="159">
        <v>23</v>
      </c>
      <c r="M157" s="159">
        <v>0</v>
      </c>
      <c r="N157" s="159">
        <v>0</v>
      </c>
      <c r="O157" s="161" t="s">
        <v>81</v>
      </c>
      <c r="P157" s="162">
        <v>0.50347222222222221</v>
      </c>
      <c r="Q157" s="159">
        <v>180</v>
      </c>
      <c r="R157" s="163" t="s">
        <v>452</v>
      </c>
    </row>
    <row r="158" spans="1:18" ht="15" customHeight="1" x14ac:dyDescent="0.3">
      <c r="A158" s="19" t="s">
        <v>41</v>
      </c>
      <c r="B158" s="19" t="s">
        <v>340</v>
      </c>
      <c r="C158" s="20">
        <v>0.39930555555555558</v>
      </c>
      <c r="D158" s="19" t="s">
        <v>337</v>
      </c>
      <c r="E158" s="19" t="s">
        <v>138</v>
      </c>
      <c r="F158" s="19" t="s">
        <v>431</v>
      </c>
      <c r="G158" s="298"/>
      <c r="H158" s="10"/>
      <c r="I158" s="11"/>
      <c r="J158" s="11"/>
      <c r="K158" s="11"/>
      <c r="L158" s="11"/>
      <c r="M158" s="11"/>
      <c r="N158" s="11"/>
      <c r="O158" s="12"/>
      <c r="P158" s="11"/>
      <c r="Q158" s="13"/>
      <c r="R158" s="14"/>
    </row>
    <row r="159" spans="1:18" ht="15" customHeight="1" x14ac:dyDescent="0.3">
      <c r="A159" s="15" t="s">
        <v>41</v>
      </c>
      <c r="B159" s="15" t="s">
        <v>340</v>
      </c>
      <c r="C159" s="16">
        <v>0.39930555555555558</v>
      </c>
      <c r="D159" s="15" t="s">
        <v>43</v>
      </c>
      <c r="E159" s="15" t="s">
        <v>453</v>
      </c>
      <c r="F159" s="15" t="s">
        <v>431</v>
      </c>
      <c r="G159" s="298"/>
      <c r="H159" s="10"/>
      <c r="I159" s="11"/>
      <c r="J159" s="11"/>
      <c r="K159" s="11"/>
      <c r="L159" s="11"/>
      <c r="M159" s="11"/>
      <c r="N159" s="11"/>
      <c r="O159" s="12"/>
      <c r="P159" s="11"/>
      <c r="Q159" s="13"/>
      <c r="R159" s="14"/>
    </row>
    <row r="160" spans="1:18" ht="15" customHeight="1" x14ac:dyDescent="0.3">
      <c r="A160" s="15" t="s">
        <v>41</v>
      </c>
      <c r="B160" s="15" t="s">
        <v>340</v>
      </c>
      <c r="C160" s="16">
        <v>0.39930555555555558</v>
      </c>
      <c r="D160" s="15" t="s">
        <v>45</v>
      </c>
      <c r="E160" s="15" t="s">
        <v>453</v>
      </c>
      <c r="F160" s="15" t="s">
        <v>143</v>
      </c>
      <c r="G160" s="298"/>
      <c r="H160" s="10"/>
      <c r="I160" s="11"/>
      <c r="J160" s="11"/>
      <c r="K160" s="11"/>
      <c r="L160" s="11"/>
      <c r="M160" s="11"/>
      <c r="N160" s="11"/>
      <c r="O160" s="12"/>
      <c r="P160" s="11"/>
      <c r="Q160" s="13"/>
      <c r="R160" s="14"/>
    </row>
    <row r="161" spans="1:18" ht="15" customHeight="1" x14ac:dyDescent="0.3">
      <c r="A161" s="15" t="s">
        <v>41</v>
      </c>
      <c r="B161" s="15" t="s">
        <v>340</v>
      </c>
      <c r="C161" s="16">
        <v>0.39930555555555558</v>
      </c>
      <c r="D161" s="15" t="s">
        <v>46</v>
      </c>
      <c r="E161" s="15" t="s">
        <v>453</v>
      </c>
      <c r="F161" s="15" t="s">
        <v>47</v>
      </c>
      <c r="G161" s="298"/>
      <c r="H161" s="10"/>
      <c r="I161" s="11"/>
      <c r="J161" s="11"/>
      <c r="K161" s="11"/>
      <c r="L161" s="11"/>
      <c r="M161" s="11"/>
      <c r="N161" s="11"/>
      <c r="O161" s="12"/>
      <c r="P161" s="11"/>
      <c r="Q161" s="13"/>
      <c r="R161" s="14"/>
    </row>
    <row r="162" spans="1:18" ht="15" customHeight="1" x14ac:dyDescent="0.3">
      <c r="A162" s="17" t="s">
        <v>41</v>
      </c>
      <c r="B162" s="17" t="s">
        <v>344</v>
      </c>
      <c r="C162" s="18">
        <v>0.48958333333333331</v>
      </c>
      <c r="D162" s="17" t="s">
        <v>337</v>
      </c>
      <c r="E162" s="17" t="s">
        <v>454</v>
      </c>
      <c r="F162" s="17" t="s">
        <v>431</v>
      </c>
      <c r="G162" s="298"/>
      <c r="H162" s="10"/>
      <c r="I162" s="11"/>
      <c r="J162" s="11"/>
      <c r="K162" s="11"/>
      <c r="L162" s="11"/>
      <c r="M162" s="11"/>
      <c r="N162" s="11"/>
      <c r="O162" s="12"/>
      <c r="P162" s="11"/>
      <c r="Q162" s="13"/>
      <c r="R162" s="14"/>
    </row>
    <row r="163" spans="1:18" ht="15" customHeight="1" x14ac:dyDescent="0.3">
      <c r="A163" s="15" t="s">
        <v>41</v>
      </c>
      <c r="B163" s="15" t="s">
        <v>344</v>
      </c>
      <c r="C163" s="16">
        <v>0.48958333333333331</v>
      </c>
      <c r="D163" s="15" t="s">
        <v>43</v>
      </c>
      <c r="E163" s="15" t="s">
        <v>133</v>
      </c>
      <c r="F163" s="15" t="s">
        <v>431</v>
      </c>
      <c r="G163" s="298"/>
      <c r="H163" s="10"/>
      <c r="I163" s="11"/>
      <c r="J163" s="11"/>
      <c r="K163" s="11"/>
      <c r="L163" s="11"/>
      <c r="M163" s="11"/>
      <c r="N163" s="11"/>
      <c r="O163" s="12"/>
      <c r="P163" s="11"/>
      <c r="Q163" s="13"/>
      <c r="R163" s="14"/>
    </row>
    <row r="164" spans="1:18" ht="15" customHeight="1" x14ac:dyDescent="0.3">
      <c r="A164" s="15" t="s">
        <v>41</v>
      </c>
      <c r="B164" s="15" t="s">
        <v>344</v>
      </c>
      <c r="C164" s="16">
        <v>0.48958333333333331</v>
      </c>
      <c r="D164" s="15" t="s">
        <v>45</v>
      </c>
      <c r="E164" s="15" t="s">
        <v>133</v>
      </c>
      <c r="F164" s="15" t="s">
        <v>143</v>
      </c>
      <c r="G164" s="298"/>
      <c r="H164" s="10"/>
      <c r="I164" s="11"/>
      <c r="J164" s="11"/>
      <c r="K164" s="11"/>
      <c r="L164" s="11"/>
      <c r="M164" s="11"/>
      <c r="N164" s="11"/>
      <c r="O164" s="12"/>
      <c r="P164" s="11"/>
      <c r="Q164" s="13"/>
      <c r="R164" s="14"/>
    </row>
    <row r="165" spans="1:18" ht="15" customHeight="1" x14ac:dyDescent="0.3">
      <c r="A165" s="15" t="s">
        <v>41</v>
      </c>
      <c r="B165" s="15" t="s">
        <v>344</v>
      </c>
      <c r="C165" s="16">
        <v>0.48958333333333331</v>
      </c>
      <c r="D165" s="15" t="s">
        <v>46</v>
      </c>
      <c r="E165" s="15" t="s">
        <v>133</v>
      </c>
      <c r="F165" s="15" t="s">
        <v>47</v>
      </c>
      <c r="G165" s="298"/>
      <c r="H165" s="10"/>
      <c r="I165" s="11"/>
      <c r="J165" s="11"/>
      <c r="K165" s="11"/>
      <c r="L165" s="11"/>
      <c r="M165" s="11"/>
      <c r="N165" s="11"/>
      <c r="O165" s="12"/>
      <c r="P165" s="11"/>
      <c r="Q165" s="13"/>
      <c r="R165" s="14"/>
    </row>
    <row r="166" spans="1:18" ht="15" customHeight="1" x14ac:dyDescent="0.3">
      <c r="A166" s="17" t="s">
        <v>41</v>
      </c>
      <c r="B166" s="17" t="s">
        <v>347</v>
      </c>
      <c r="C166" s="18">
        <v>0.88888888888888884</v>
      </c>
      <c r="D166" s="17" t="s">
        <v>337</v>
      </c>
      <c r="E166" s="17" t="s">
        <v>58</v>
      </c>
      <c r="F166" s="17" t="s">
        <v>431</v>
      </c>
      <c r="G166" s="298"/>
      <c r="H166" s="10"/>
      <c r="I166" s="11"/>
      <c r="J166" s="11"/>
      <c r="K166" s="11"/>
      <c r="L166" s="11"/>
      <c r="M166" s="11"/>
      <c r="N166" s="11"/>
      <c r="O166" s="12"/>
      <c r="P166" s="11"/>
      <c r="Q166" s="13"/>
      <c r="R166" s="14"/>
    </row>
    <row r="167" spans="1:18" ht="15" customHeight="1" x14ac:dyDescent="0.3">
      <c r="A167" s="15" t="s">
        <v>41</v>
      </c>
      <c r="B167" s="15" t="s">
        <v>347</v>
      </c>
      <c r="C167" s="16">
        <v>0.88888888888888884</v>
      </c>
      <c r="D167" s="15" t="s">
        <v>43</v>
      </c>
      <c r="E167" s="15" t="s">
        <v>97</v>
      </c>
      <c r="F167" s="15" t="s">
        <v>431</v>
      </c>
      <c r="G167" s="298"/>
      <c r="H167" s="10"/>
      <c r="I167" s="11"/>
      <c r="J167" s="11"/>
      <c r="K167" s="11"/>
      <c r="L167" s="11"/>
      <c r="M167" s="11"/>
      <c r="N167" s="11"/>
      <c r="O167" s="12"/>
      <c r="P167" s="11"/>
      <c r="Q167" s="13"/>
      <c r="R167" s="14"/>
    </row>
    <row r="168" spans="1:18" ht="15" customHeight="1" x14ac:dyDescent="0.3">
      <c r="A168" s="15" t="s">
        <v>41</v>
      </c>
      <c r="B168" s="15" t="s">
        <v>347</v>
      </c>
      <c r="C168" s="16">
        <v>0.88888888888888884</v>
      </c>
      <c r="D168" s="15" t="s">
        <v>45</v>
      </c>
      <c r="E168" s="15" t="s">
        <v>97</v>
      </c>
      <c r="F168" s="15" t="s">
        <v>143</v>
      </c>
      <c r="G168" s="298"/>
      <c r="H168" s="10"/>
      <c r="I168" s="11"/>
      <c r="J168" s="11"/>
      <c r="K168" s="11"/>
      <c r="L168" s="11"/>
      <c r="M168" s="11"/>
      <c r="N168" s="11"/>
      <c r="O168" s="12"/>
      <c r="P168" s="11"/>
      <c r="Q168" s="13"/>
      <c r="R168" s="14"/>
    </row>
    <row r="169" spans="1:18" ht="15" customHeight="1" x14ac:dyDescent="0.3">
      <c r="A169" s="15" t="s">
        <v>41</v>
      </c>
      <c r="B169" s="15" t="s">
        <v>347</v>
      </c>
      <c r="C169" s="16">
        <v>0.88888888888888884</v>
      </c>
      <c r="D169" s="15" t="s">
        <v>46</v>
      </c>
      <c r="E169" s="15" t="s">
        <v>97</v>
      </c>
      <c r="F169" s="15" t="s">
        <v>120</v>
      </c>
      <c r="G169" s="298"/>
      <c r="H169" s="10"/>
      <c r="I169" s="11"/>
      <c r="J169" s="11"/>
      <c r="K169" s="11"/>
      <c r="L169" s="11"/>
      <c r="M169" s="11"/>
      <c r="N169" s="11"/>
      <c r="O169" s="12"/>
      <c r="P169" s="11"/>
      <c r="Q169" s="13"/>
      <c r="R169" s="14"/>
    </row>
    <row r="170" spans="1:18" ht="15" customHeight="1" x14ac:dyDescent="0.3">
      <c r="A170" s="17" t="s">
        <v>41</v>
      </c>
      <c r="B170" s="17" t="s">
        <v>336</v>
      </c>
      <c r="C170" s="18">
        <v>0.98958333333333337</v>
      </c>
      <c r="D170" s="17" t="s">
        <v>337</v>
      </c>
      <c r="E170" s="17" t="s">
        <v>455</v>
      </c>
      <c r="F170" s="17" t="s">
        <v>431</v>
      </c>
      <c r="G170" s="298"/>
      <c r="H170" s="10"/>
      <c r="I170" s="11"/>
      <c r="J170" s="11"/>
      <c r="K170" s="11"/>
      <c r="L170" s="11"/>
      <c r="M170" s="11"/>
      <c r="N170" s="11"/>
      <c r="O170" s="12"/>
      <c r="P170" s="11"/>
      <c r="Q170" s="13"/>
      <c r="R170" s="14"/>
    </row>
    <row r="171" spans="1:18" ht="15" customHeight="1" x14ac:dyDescent="0.3">
      <c r="A171" s="15" t="s">
        <v>41</v>
      </c>
      <c r="B171" s="15" t="s">
        <v>336</v>
      </c>
      <c r="C171" s="16">
        <v>0.98958333333333337</v>
      </c>
      <c r="D171" s="15" t="s">
        <v>43</v>
      </c>
      <c r="E171" s="15" t="s">
        <v>453</v>
      </c>
      <c r="F171" s="15" t="s">
        <v>431</v>
      </c>
      <c r="G171" s="298"/>
      <c r="H171" s="10"/>
      <c r="I171" s="11"/>
      <c r="J171" s="11"/>
      <c r="K171" s="11"/>
      <c r="L171" s="11"/>
      <c r="M171" s="11"/>
      <c r="N171" s="11"/>
      <c r="O171" s="12"/>
      <c r="P171" s="11"/>
      <c r="Q171" s="13"/>
      <c r="R171" s="14"/>
    </row>
    <row r="172" spans="1:18" ht="15" customHeight="1" x14ac:dyDescent="0.3">
      <c r="A172" s="15" t="s">
        <v>41</v>
      </c>
      <c r="B172" s="15" t="s">
        <v>336</v>
      </c>
      <c r="C172" s="16">
        <v>0.98958333333333337</v>
      </c>
      <c r="D172" s="15" t="s">
        <v>45</v>
      </c>
      <c r="E172" s="15" t="s">
        <v>453</v>
      </c>
      <c r="F172" s="15" t="s">
        <v>143</v>
      </c>
      <c r="G172" s="298"/>
      <c r="H172" s="10"/>
      <c r="I172" s="11"/>
      <c r="J172" s="11"/>
      <c r="K172" s="11"/>
      <c r="L172" s="11"/>
      <c r="M172" s="11"/>
      <c r="N172" s="11"/>
      <c r="O172" s="12"/>
      <c r="P172" s="11"/>
      <c r="Q172" s="13"/>
      <c r="R172" s="14"/>
    </row>
    <row r="173" spans="1:18" ht="15" customHeight="1" x14ac:dyDescent="0.3">
      <c r="A173" s="15" t="s">
        <v>41</v>
      </c>
      <c r="B173" s="15" t="s">
        <v>336</v>
      </c>
      <c r="C173" s="16">
        <v>0.98958333333333337</v>
      </c>
      <c r="D173" s="15" t="s">
        <v>46</v>
      </c>
      <c r="E173" s="15" t="s">
        <v>453</v>
      </c>
      <c r="F173" s="15" t="s">
        <v>47</v>
      </c>
      <c r="G173" s="298"/>
      <c r="H173" s="10"/>
      <c r="I173" s="11"/>
      <c r="J173" s="11"/>
      <c r="K173" s="11"/>
      <c r="L173" s="11"/>
      <c r="M173" s="11"/>
      <c r="N173" s="11"/>
      <c r="O173" s="12"/>
      <c r="P173" s="11"/>
      <c r="Q173" s="13"/>
      <c r="R173" s="14"/>
    </row>
    <row r="174" spans="1:18" ht="15" customHeight="1" x14ac:dyDescent="0.3">
      <c r="A174" s="19" t="s">
        <v>26</v>
      </c>
      <c r="B174" s="19" t="s">
        <v>358</v>
      </c>
      <c r="C174" s="20">
        <v>0.88888888888888884</v>
      </c>
      <c r="D174" s="19" t="s">
        <v>351</v>
      </c>
      <c r="E174" s="19" t="s">
        <v>111</v>
      </c>
      <c r="F174" s="19" t="s">
        <v>44</v>
      </c>
      <c r="G174" s="298"/>
      <c r="H174" s="10"/>
      <c r="I174" s="11"/>
      <c r="J174" s="11"/>
      <c r="K174" s="11"/>
      <c r="L174" s="11"/>
      <c r="M174" s="11"/>
      <c r="N174" s="11"/>
      <c r="O174" s="12"/>
      <c r="P174" s="11"/>
      <c r="Q174" s="13"/>
      <c r="R174" s="14"/>
    </row>
    <row r="175" spans="1:18" ht="15" customHeight="1" x14ac:dyDescent="0.3">
      <c r="A175" s="15" t="s">
        <v>26</v>
      </c>
      <c r="B175" s="15" t="s">
        <v>358</v>
      </c>
      <c r="C175" s="16">
        <v>0.88888888888888884</v>
      </c>
      <c r="D175" s="15" t="s">
        <v>28</v>
      </c>
      <c r="E175" s="15" t="s">
        <v>38</v>
      </c>
      <c r="F175" s="15" t="s">
        <v>339</v>
      </c>
      <c r="G175" s="298"/>
      <c r="H175" s="10"/>
      <c r="I175" s="11"/>
      <c r="J175" s="11"/>
      <c r="K175" s="11"/>
      <c r="L175" s="11"/>
      <c r="M175" s="11"/>
      <c r="N175" s="11"/>
      <c r="O175" s="12"/>
      <c r="P175" s="11"/>
      <c r="Q175" s="13"/>
      <c r="R175" s="14"/>
    </row>
    <row r="176" spans="1:18" ht="15" customHeight="1" x14ac:dyDescent="0.3">
      <c r="A176" s="15" t="s">
        <v>26</v>
      </c>
      <c r="B176" s="15" t="s">
        <v>358</v>
      </c>
      <c r="C176" s="16">
        <v>0.88888888888888884</v>
      </c>
      <c r="D176" s="15" t="s">
        <v>31</v>
      </c>
      <c r="E176" s="15" t="s">
        <v>38</v>
      </c>
      <c r="F176" s="15" t="s">
        <v>35</v>
      </c>
      <c r="G176" s="298"/>
      <c r="H176" s="10"/>
      <c r="I176" s="11"/>
      <c r="J176" s="11"/>
      <c r="K176" s="11"/>
      <c r="L176" s="11"/>
      <c r="M176" s="11"/>
      <c r="N176" s="11"/>
      <c r="O176" s="12"/>
      <c r="P176" s="11"/>
      <c r="Q176" s="13"/>
      <c r="R176" s="14"/>
    </row>
    <row r="177" spans="1:18" ht="15" customHeight="1" x14ac:dyDescent="0.3">
      <c r="A177" s="15" t="s">
        <v>26</v>
      </c>
      <c r="B177" s="15" t="s">
        <v>358</v>
      </c>
      <c r="C177" s="16">
        <v>0.88888888888888884</v>
      </c>
      <c r="D177" s="15" t="s">
        <v>34</v>
      </c>
      <c r="E177" s="15" t="s">
        <v>38</v>
      </c>
      <c r="F177" s="15" t="s">
        <v>123</v>
      </c>
      <c r="G177" s="298"/>
      <c r="H177" s="10"/>
      <c r="I177" s="11"/>
      <c r="J177" s="11"/>
      <c r="K177" s="11"/>
      <c r="L177" s="11"/>
      <c r="M177" s="11"/>
      <c r="N177" s="11"/>
      <c r="O177" s="12"/>
      <c r="P177" s="11"/>
      <c r="Q177" s="13"/>
      <c r="R177" s="14"/>
    </row>
    <row r="178" spans="1:18" ht="15" customHeight="1" x14ac:dyDescent="0.3">
      <c r="A178" s="17" t="s">
        <v>26</v>
      </c>
      <c r="B178" s="17" t="s">
        <v>354</v>
      </c>
      <c r="C178" s="18">
        <v>0.34722222222222232</v>
      </c>
      <c r="D178" s="17" t="s">
        <v>351</v>
      </c>
      <c r="E178" s="17" t="s">
        <v>69</v>
      </c>
      <c r="F178" s="17" t="s">
        <v>339</v>
      </c>
      <c r="G178" s="298"/>
      <c r="H178" s="10"/>
      <c r="I178" s="11"/>
      <c r="J178" s="11"/>
      <c r="K178" s="11"/>
      <c r="L178" s="11"/>
      <c r="M178" s="11"/>
      <c r="N178" s="11"/>
      <c r="O178" s="12"/>
      <c r="P178" s="11"/>
      <c r="Q178" s="13"/>
      <c r="R178" s="14"/>
    </row>
    <row r="179" spans="1:18" ht="15" customHeight="1" x14ac:dyDescent="0.3">
      <c r="A179" s="15" t="s">
        <v>26</v>
      </c>
      <c r="B179" s="15" t="s">
        <v>354</v>
      </c>
      <c r="C179" s="16">
        <v>0.34722222222222232</v>
      </c>
      <c r="D179" s="15" t="s">
        <v>28</v>
      </c>
      <c r="E179" s="15" t="s">
        <v>87</v>
      </c>
      <c r="F179" s="15" t="s">
        <v>339</v>
      </c>
      <c r="G179" s="298"/>
      <c r="H179" s="10"/>
      <c r="I179" s="11"/>
      <c r="J179" s="11"/>
      <c r="K179" s="11"/>
      <c r="L179" s="11"/>
      <c r="M179" s="11"/>
      <c r="N179" s="11"/>
      <c r="O179" s="12"/>
      <c r="P179" s="11"/>
      <c r="Q179" s="13"/>
      <c r="R179" s="14"/>
    </row>
    <row r="180" spans="1:18" ht="15" customHeight="1" x14ac:dyDescent="0.3">
      <c r="A180" s="15" t="s">
        <v>26</v>
      </c>
      <c r="B180" s="15" t="s">
        <v>354</v>
      </c>
      <c r="C180" s="16">
        <v>0.34722222222222232</v>
      </c>
      <c r="D180" s="15" t="s">
        <v>31</v>
      </c>
      <c r="E180" s="15" t="s">
        <v>87</v>
      </c>
      <c r="F180" s="15" t="s">
        <v>35</v>
      </c>
      <c r="G180" s="298"/>
      <c r="H180" s="10"/>
      <c r="I180" s="11"/>
      <c r="J180" s="11"/>
      <c r="K180" s="11"/>
      <c r="L180" s="11"/>
      <c r="M180" s="11"/>
      <c r="N180" s="11"/>
      <c r="O180" s="12"/>
      <c r="P180" s="11"/>
      <c r="Q180" s="13"/>
      <c r="R180" s="14"/>
    </row>
    <row r="181" spans="1:18" ht="15" customHeight="1" x14ac:dyDescent="0.3">
      <c r="A181" s="15" t="s">
        <v>26</v>
      </c>
      <c r="B181" s="15" t="s">
        <v>354</v>
      </c>
      <c r="C181" s="16">
        <v>0.34722222222222232</v>
      </c>
      <c r="D181" s="15" t="s">
        <v>34</v>
      </c>
      <c r="E181" s="15" t="s">
        <v>87</v>
      </c>
      <c r="F181" s="15" t="s">
        <v>123</v>
      </c>
      <c r="G181" s="298"/>
      <c r="H181" s="10"/>
      <c r="I181" s="11"/>
      <c r="J181" s="11"/>
      <c r="K181" s="11"/>
      <c r="L181" s="11"/>
      <c r="M181" s="11"/>
      <c r="N181" s="11"/>
      <c r="O181" s="12"/>
      <c r="P181" s="11"/>
      <c r="Q181" s="13"/>
      <c r="R181" s="14"/>
    </row>
    <row r="182" spans="1:18" ht="15" customHeight="1" x14ac:dyDescent="0.3">
      <c r="A182" s="17" t="s">
        <v>26</v>
      </c>
      <c r="B182" s="17" t="s">
        <v>350</v>
      </c>
      <c r="C182" s="18">
        <v>0.99305555555555547</v>
      </c>
      <c r="D182" s="17" t="s">
        <v>351</v>
      </c>
      <c r="E182" s="17" t="s">
        <v>69</v>
      </c>
      <c r="F182" s="17" t="s">
        <v>339</v>
      </c>
      <c r="G182" s="298"/>
      <c r="H182" s="10"/>
      <c r="I182" s="11"/>
      <c r="J182" s="11"/>
      <c r="K182" s="11"/>
      <c r="L182" s="11"/>
      <c r="M182" s="11"/>
      <c r="N182" s="11"/>
      <c r="O182" s="12"/>
      <c r="P182" s="11"/>
      <c r="Q182" s="13"/>
      <c r="R182" s="14"/>
    </row>
    <row r="183" spans="1:18" ht="15" customHeight="1" x14ac:dyDescent="0.3">
      <c r="A183" s="15" t="s">
        <v>26</v>
      </c>
      <c r="B183" s="15" t="s">
        <v>350</v>
      </c>
      <c r="C183" s="16">
        <v>0.99305555555555547</v>
      </c>
      <c r="D183" s="15" t="s">
        <v>28</v>
      </c>
      <c r="E183" s="15" t="s">
        <v>87</v>
      </c>
      <c r="F183" s="15" t="s">
        <v>339</v>
      </c>
      <c r="G183" s="298"/>
      <c r="H183" s="10"/>
      <c r="I183" s="11"/>
      <c r="J183" s="11"/>
      <c r="K183" s="11"/>
      <c r="L183" s="11"/>
      <c r="M183" s="11"/>
      <c r="N183" s="11"/>
      <c r="O183" s="12"/>
      <c r="P183" s="11"/>
      <c r="Q183" s="13"/>
      <c r="R183" s="14"/>
    </row>
    <row r="184" spans="1:18" ht="15" customHeight="1" x14ac:dyDescent="0.3">
      <c r="A184" s="15" t="s">
        <v>26</v>
      </c>
      <c r="B184" s="15" t="s">
        <v>350</v>
      </c>
      <c r="C184" s="16">
        <v>0.99305555555555547</v>
      </c>
      <c r="D184" s="15" t="s">
        <v>31</v>
      </c>
      <c r="E184" s="15" t="s">
        <v>87</v>
      </c>
      <c r="F184" s="15" t="s">
        <v>35</v>
      </c>
      <c r="G184" s="298"/>
      <c r="H184" s="10"/>
      <c r="I184" s="11"/>
      <c r="J184" s="11"/>
      <c r="K184" s="11"/>
      <c r="L184" s="11"/>
      <c r="M184" s="11"/>
      <c r="N184" s="11"/>
      <c r="O184" s="12"/>
      <c r="P184" s="11"/>
      <c r="Q184" s="13"/>
      <c r="R184" s="14"/>
    </row>
    <row r="185" spans="1:18" ht="15" customHeight="1" x14ac:dyDescent="0.3">
      <c r="A185" s="15" t="s">
        <v>26</v>
      </c>
      <c r="B185" s="15" t="s">
        <v>350</v>
      </c>
      <c r="C185" s="16">
        <v>0.99305555555555547</v>
      </c>
      <c r="D185" s="15" t="s">
        <v>34</v>
      </c>
      <c r="E185" s="15" t="s">
        <v>87</v>
      </c>
      <c r="F185" s="15" t="s">
        <v>123</v>
      </c>
      <c r="G185" s="298"/>
      <c r="H185" s="10"/>
      <c r="I185" s="11"/>
      <c r="J185" s="11"/>
      <c r="K185" s="11"/>
      <c r="L185" s="11"/>
      <c r="M185" s="11"/>
      <c r="N185" s="11"/>
      <c r="O185" s="12"/>
      <c r="P185" s="11"/>
      <c r="Q185" s="13"/>
      <c r="R185" s="14"/>
    </row>
    <row r="186" spans="1:18" ht="15" customHeight="1" x14ac:dyDescent="0.3">
      <c r="A186" s="17" t="s">
        <v>26</v>
      </c>
      <c r="B186" s="17" t="s">
        <v>359</v>
      </c>
      <c r="C186" s="18">
        <v>0.75</v>
      </c>
      <c r="D186" s="17" t="s">
        <v>351</v>
      </c>
      <c r="E186" s="17" t="s">
        <v>355</v>
      </c>
      <c r="F186" s="17" t="s">
        <v>339</v>
      </c>
      <c r="G186" s="298"/>
      <c r="H186" s="10"/>
      <c r="I186" s="11"/>
      <c r="J186" s="11"/>
      <c r="K186" s="11"/>
      <c r="L186" s="11"/>
      <c r="M186" s="11"/>
      <c r="N186" s="11"/>
      <c r="O186" s="12"/>
      <c r="P186" s="11"/>
      <c r="Q186" s="13"/>
      <c r="R186" s="14"/>
    </row>
    <row r="187" spans="1:18" ht="15" customHeight="1" x14ac:dyDescent="0.3">
      <c r="A187" s="15" t="s">
        <v>26</v>
      </c>
      <c r="B187" s="15" t="s">
        <v>359</v>
      </c>
      <c r="C187" s="16">
        <v>0.75</v>
      </c>
      <c r="D187" s="15" t="s">
        <v>28</v>
      </c>
      <c r="E187" s="15" t="s">
        <v>32</v>
      </c>
      <c r="F187" s="15" t="s">
        <v>339</v>
      </c>
      <c r="G187" s="298"/>
      <c r="H187" s="10"/>
      <c r="I187" s="11"/>
      <c r="J187" s="11"/>
      <c r="K187" s="11"/>
      <c r="L187" s="11"/>
      <c r="M187" s="11"/>
      <c r="N187" s="11"/>
      <c r="O187" s="12"/>
      <c r="P187" s="11"/>
      <c r="Q187" s="13"/>
      <c r="R187" s="14"/>
    </row>
    <row r="188" spans="1:18" ht="15" customHeight="1" x14ac:dyDescent="0.3">
      <c r="A188" s="15" t="s">
        <v>26</v>
      </c>
      <c r="B188" s="15" t="s">
        <v>359</v>
      </c>
      <c r="C188" s="16">
        <v>0.75</v>
      </c>
      <c r="D188" s="15" t="s">
        <v>31</v>
      </c>
      <c r="E188" s="15" t="s">
        <v>32</v>
      </c>
      <c r="F188" s="15" t="s">
        <v>35</v>
      </c>
      <c r="G188" s="298"/>
      <c r="H188" s="10"/>
      <c r="I188" s="11"/>
      <c r="J188" s="11"/>
      <c r="K188" s="11"/>
      <c r="L188" s="11"/>
      <c r="M188" s="11"/>
      <c r="N188" s="11"/>
      <c r="O188" s="12"/>
      <c r="P188" s="11"/>
      <c r="Q188" s="13"/>
      <c r="R188" s="14"/>
    </row>
    <row r="189" spans="1:18" ht="15" customHeight="1" x14ac:dyDescent="0.3">
      <c r="A189" s="15" t="s">
        <v>26</v>
      </c>
      <c r="B189" s="15" t="s">
        <v>359</v>
      </c>
      <c r="C189" s="16">
        <v>0.75</v>
      </c>
      <c r="D189" s="15" t="s">
        <v>34</v>
      </c>
      <c r="E189" s="15" t="s">
        <v>32</v>
      </c>
      <c r="F189" s="15" t="s">
        <v>123</v>
      </c>
      <c r="G189" s="298"/>
      <c r="H189" s="10"/>
      <c r="I189" s="11"/>
      <c r="J189" s="11"/>
      <c r="K189" s="11"/>
      <c r="L189" s="11"/>
      <c r="M189" s="11"/>
      <c r="N189" s="11"/>
      <c r="O189" s="12"/>
      <c r="P189" s="11"/>
      <c r="Q189" s="13"/>
      <c r="R189" s="14"/>
    </row>
    <row r="190" spans="1:18" ht="15" customHeight="1" x14ac:dyDescent="0.3">
      <c r="A190" s="17" t="s">
        <v>26</v>
      </c>
      <c r="B190" s="17" t="s">
        <v>352</v>
      </c>
      <c r="C190" s="18">
        <v>0.94444444444444453</v>
      </c>
      <c r="D190" s="17" t="s">
        <v>351</v>
      </c>
      <c r="E190" s="17" t="s">
        <v>37</v>
      </c>
      <c r="F190" s="17" t="s">
        <v>339</v>
      </c>
      <c r="G190" s="298"/>
      <c r="H190" s="10"/>
      <c r="I190" s="11"/>
      <c r="J190" s="11"/>
      <c r="K190" s="11"/>
      <c r="L190" s="11"/>
      <c r="M190" s="11"/>
      <c r="N190" s="11"/>
      <c r="O190" s="12"/>
      <c r="P190" s="11"/>
      <c r="Q190" s="13"/>
      <c r="R190" s="14"/>
    </row>
    <row r="191" spans="1:18" ht="15" customHeight="1" x14ac:dyDescent="0.3">
      <c r="A191" s="15" t="s">
        <v>26</v>
      </c>
      <c r="B191" s="15" t="s">
        <v>352</v>
      </c>
      <c r="C191" s="16">
        <v>0.94444444444444453</v>
      </c>
      <c r="D191" s="15" t="s">
        <v>28</v>
      </c>
      <c r="E191" s="15" t="s">
        <v>38</v>
      </c>
      <c r="F191" s="15" t="s">
        <v>339</v>
      </c>
      <c r="G191" s="298"/>
      <c r="H191" s="10"/>
      <c r="I191" s="11"/>
      <c r="J191" s="11"/>
      <c r="K191" s="11"/>
      <c r="L191" s="11"/>
      <c r="M191" s="11"/>
      <c r="N191" s="11"/>
      <c r="O191" s="12"/>
      <c r="P191" s="11"/>
      <c r="Q191" s="13"/>
      <c r="R191" s="14"/>
    </row>
    <row r="192" spans="1:18" ht="15" customHeight="1" x14ac:dyDescent="0.3">
      <c r="A192" s="15" t="s">
        <v>26</v>
      </c>
      <c r="B192" s="15" t="s">
        <v>352</v>
      </c>
      <c r="C192" s="16">
        <v>0.94444444444444453</v>
      </c>
      <c r="D192" s="15" t="s">
        <v>31</v>
      </c>
      <c r="E192" s="15" t="s">
        <v>38</v>
      </c>
      <c r="F192" s="15" t="s">
        <v>35</v>
      </c>
      <c r="G192" s="298"/>
      <c r="H192" s="10"/>
      <c r="I192" s="11"/>
      <c r="J192" s="11"/>
      <c r="K192" s="11"/>
      <c r="L192" s="11"/>
      <c r="M192" s="11"/>
      <c r="N192" s="11"/>
      <c r="O192" s="12"/>
      <c r="P192" s="11"/>
      <c r="Q192" s="13"/>
      <c r="R192" s="14"/>
    </row>
    <row r="193" spans="1:18" ht="15" customHeight="1" x14ac:dyDescent="0.3">
      <c r="A193" s="15" t="s">
        <v>26</v>
      </c>
      <c r="B193" s="15" t="s">
        <v>352</v>
      </c>
      <c r="C193" s="16">
        <v>0.94444444444444453</v>
      </c>
      <c r="D193" s="15" t="s">
        <v>34</v>
      </c>
      <c r="E193" s="15" t="s">
        <v>38</v>
      </c>
      <c r="F193" s="15" t="s">
        <v>123</v>
      </c>
      <c r="G193" s="298"/>
      <c r="H193" s="10"/>
      <c r="I193" s="11"/>
      <c r="J193" s="11"/>
      <c r="K193" s="11"/>
      <c r="L193" s="11"/>
      <c r="M193" s="11"/>
      <c r="N193" s="11"/>
      <c r="O193" s="12"/>
      <c r="P193" s="11"/>
      <c r="Q193" s="13"/>
      <c r="R193" s="14"/>
    </row>
    <row r="194" spans="1:18" ht="15" customHeight="1" x14ac:dyDescent="0.3">
      <c r="A194" s="17" t="s">
        <v>26</v>
      </c>
      <c r="B194" s="17" t="s">
        <v>360</v>
      </c>
      <c r="C194" s="18">
        <v>0.4861111111111111</v>
      </c>
      <c r="D194" s="17" t="s">
        <v>351</v>
      </c>
      <c r="E194" s="17" t="s">
        <v>72</v>
      </c>
      <c r="F194" s="17" t="s">
        <v>339</v>
      </c>
      <c r="G194" s="298"/>
      <c r="H194" s="10"/>
      <c r="I194" s="11"/>
      <c r="J194" s="11"/>
      <c r="K194" s="11"/>
      <c r="L194" s="11"/>
      <c r="M194" s="11"/>
      <c r="N194" s="11"/>
      <c r="O194" s="12"/>
      <c r="P194" s="11"/>
      <c r="Q194" s="13"/>
      <c r="R194" s="14"/>
    </row>
    <row r="195" spans="1:18" ht="15" customHeight="1" x14ac:dyDescent="0.3">
      <c r="A195" s="15" t="s">
        <v>26</v>
      </c>
      <c r="B195" s="15" t="s">
        <v>360</v>
      </c>
      <c r="C195" s="16">
        <v>0.4861111111111111</v>
      </c>
      <c r="D195" s="15" t="s">
        <v>28</v>
      </c>
      <c r="E195" s="15" t="s">
        <v>84</v>
      </c>
      <c r="F195" s="15" t="s">
        <v>339</v>
      </c>
      <c r="G195" s="298"/>
      <c r="H195" s="10"/>
      <c r="I195" s="11"/>
      <c r="J195" s="11"/>
      <c r="K195" s="11"/>
      <c r="L195" s="11"/>
      <c r="M195" s="11"/>
      <c r="N195" s="11"/>
      <c r="O195" s="12"/>
      <c r="P195" s="11"/>
      <c r="Q195" s="13"/>
      <c r="R195" s="14"/>
    </row>
    <row r="196" spans="1:18" ht="15" customHeight="1" x14ac:dyDescent="0.3">
      <c r="A196" s="15" t="s">
        <v>26</v>
      </c>
      <c r="B196" s="15" t="s">
        <v>360</v>
      </c>
      <c r="C196" s="16">
        <v>0.4861111111111111</v>
      </c>
      <c r="D196" s="15" t="s">
        <v>31</v>
      </c>
      <c r="E196" s="15" t="s">
        <v>84</v>
      </c>
      <c r="F196" s="15" t="s">
        <v>35</v>
      </c>
      <c r="G196" s="298"/>
      <c r="H196" s="10"/>
      <c r="I196" s="11"/>
      <c r="J196" s="11"/>
      <c r="K196" s="11"/>
      <c r="L196" s="11"/>
      <c r="M196" s="11"/>
      <c r="N196" s="11"/>
      <c r="O196" s="12"/>
      <c r="P196" s="11"/>
      <c r="Q196" s="13"/>
      <c r="R196" s="14"/>
    </row>
    <row r="197" spans="1:18" ht="15" customHeight="1" x14ac:dyDescent="0.3">
      <c r="A197" s="15" t="s">
        <v>26</v>
      </c>
      <c r="B197" s="15" t="s">
        <v>360</v>
      </c>
      <c r="C197" s="16">
        <v>0.4861111111111111</v>
      </c>
      <c r="D197" s="15" t="s">
        <v>34</v>
      </c>
      <c r="E197" s="15" t="s">
        <v>84</v>
      </c>
      <c r="F197" s="15" t="s">
        <v>123</v>
      </c>
      <c r="G197" s="298"/>
      <c r="H197" s="10"/>
      <c r="I197" s="11"/>
      <c r="J197" s="11"/>
      <c r="K197" s="11"/>
      <c r="L197" s="11"/>
      <c r="M197" s="11"/>
      <c r="N197" s="11"/>
      <c r="O197" s="12"/>
      <c r="P197" s="11"/>
      <c r="Q197" s="13"/>
      <c r="R197" s="14"/>
    </row>
    <row r="198" spans="1:18" ht="15" customHeight="1" x14ac:dyDescent="0.3">
      <c r="A198" s="17" t="s">
        <v>26</v>
      </c>
      <c r="B198" s="17" t="s">
        <v>356</v>
      </c>
      <c r="C198" s="18">
        <v>0.83680555555555547</v>
      </c>
      <c r="D198" s="17" t="s">
        <v>351</v>
      </c>
      <c r="E198" s="17" t="s">
        <v>37</v>
      </c>
      <c r="F198" s="17" t="s">
        <v>456</v>
      </c>
      <c r="G198" s="298"/>
      <c r="H198" s="10"/>
      <c r="I198" s="11"/>
      <c r="J198" s="11"/>
      <c r="K198" s="11"/>
      <c r="L198" s="11"/>
      <c r="M198" s="11"/>
      <c r="N198" s="11"/>
      <c r="O198" s="12"/>
      <c r="P198" s="11"/>
      <c r="Q198" s="13"/>
      <c r="R198" s="14"/>
    </row>
    <row r="199" spans="1:18" ht="15" customHeight="1" x14ac:dyDescent="0.3">
      <c r="A199" s="15" t="s">
        <v>26</v>
      </c>
      <c r="B199" s="15" t="s">
        <v>356</v>
      </c>
      <c r="C199" s="16">
        <v>0.83680555555555547</v>
      </c>
      <c r="D199" s="15" t="s">
        <v>28</v>
      </c>
      <c r="E199" s="15" t="s">
        <v>38</v>
      </c>
      <c r="F199" s="15" t="s">
        <v>456</v>
      </c>
      <c r="G199" s="298"/>
      <c r="H199" s="10"/>
      <c r="I199" s="11"/>
      <c r="J199" s="11"/>
      <c r="K199" s="11"/>
      <c r="L199" s="11"/>
      <c r="M199" s="11"/>
      <c r="N199" s="11"/>
      <c r="O199" s="12"/>
      <c r="P199" s="11"/>
      <c r="Q199" s="13"/>
      <c r="R199" s="14"/>
    </row>
    <row r="200" spans="1:18" ht="15" customHeight="1" x14ac:dyDescent="0.3">
      <c r="A200" s="15" t="s">
        <v>26</v>
      </c>
      <c r="B200" s="15" t="s">
        <v>356</v>
      </c>
      <c r="C200" s="16">
        <v>0.83680555555555547</v>
      </c>
      <c r="D200" s="15" t="s">
        <v>31</v>
      </c>
      <c r="E200" s="15" t="s">
        <v>38</v>
      </c>
      <c r="F200" s="15" t="s">
        <v>145</v>
      </c>
      <c r="G200" s="298"/>
      <c r="H200" s="10"/>
      <c r="I200" s="11"/>
      <c r="J200" s="11"/>
      <c r="K200" s="11"/>
      <c r="L200" s="11"/>
      <c r="M200" s="11"/>
      <c r="N200" s="11"/>
      <c r="O200" s="12"/>
      <c r="P200" s="11"/>
      <c r="Q200" s="13"/>
      <c r="R200" s="14"/>
    </row>
    <row r="201" spans="1:18" ht="15" customHeight="1" x14ac:dyDescent="0.3">
      <c r="A201" s="15" t="s">
        <v>26</v>
      </c>
      <c r="B201" s="15" t="s">
        <v>356</v>
      </c>
      <c r="C201" s="16">
        <v>0.83680555555555547</v>
      </c>
      <c r="D201" s="15" t="s">
        <v>34</v>
      </c>
      <c r="E201" s="15" t="s">
        <v>38</v>
      </c>
      <c r="F201" s="15" t="s">
        <v>457</v>
      </c>
      <c r="G201" s="298"/>
      <c r="H201" s="10"/>
      <c r="I201" s="11"/>
      <c r="J201" s="11"/>
      <c r="K201" s="11"/>
      <c r="L201" s="11"/>
      <c r="M201" s="11"/>
      <c r="N201" s="11"/>
      <c r="O201" s="12"/>
      <c r="P201" s="11"/>
      <c r="Q201" s="13"/>
      <c r="R201" s="14"/>
    </row>
    <row r="202" spans="1:18" ht="15" customHeight="1" x14ac:dyDescent="0.3">
      <c r="A202" s="19" t="s">
        <v>458</v>
      </c>
      <c r="B202" s="19" t="s">
        <v>459</v>
      </c>
      <c r="C202" s="20">
        <v>9.7222222222222224E-2</v>
      </c>
      <c r="D202" s="19" t="s">
        <v>101</v>
      </c>
      <c r="E202" s="19" t="s">
        <v>63</v>
      </c>
      <c r="F202" s="19" t="s">
        <v>460</v>
      </c>
      <c r="G202" s="298"/>
      <c r="H202" s="10"/>
      <c r="I202" s="11"/>
      <c r="J202" s="11"/>
      <c r="K202" s="11"/>
      <c r="L202" s="11"/>
      <c r="M202" s="11"/>
      <c r="N202" s="11"/>
      <c r="O202" s="12"/>
      <c r="P202" s="11"/>
      <c r="Q202" s="13"/>
      <c r="R202" s="14"/>
    </row>
    <row r="203" spans="1:18" ht="15" customHeight="1" x14ac:dyDescent="0.3">
      <c r="A203" s="19" t="s">
        <v>385</v>
      </c>
      <c r="B203" s="19" t="s">
        <v>386</v>
      </c>
      <c r="C203" s="20">
        <v>0.49305555555555558</v>
      </c>
      <c r="D203" s="19" t="s">
        <v>101</v>
      </c>
      <c r="E203" s="19" t="s">
        <v>51</v>
      </c>
      <c r="F203" s="19" t="s">
        <v>387</v>
      </c>
      <c r="G203" s="298"/>
      <c r="H203" s="10"/>
      <c r="I203" s="11"/>
      <c r="J203" s="11"/>
      <c r="K203" s="11"/>
      <c r="L203" s="11"/>
      <c r="M203" s="11"/>
      <c r="N203" s="11"/>
      <c r="O203" s="12"/>
      <c r="P203" s="11"/>
      <c r="Q203" s="13"/>
      <c r="R203" s="14"/>
    </row>
    <row r="204" spans="1:18" ht="15" customHeight="1" x14ac:dyDescent="0.3">
      <c r="A204" s="19" t="s">
        <v>388</v>
      </c>
      <c r="B204" s="19" t="s">
        <v>389</v>
      </c>
      <c r="C204" s="20">
        <v>0.12847222222222221</v>
      </c>
      <c r="D204" s="19" t="s">
        <v>461</v>
      </c>
      <c r="E204" s="19" t="s">
        <v>83</v>
      </c>
      <c r="F204" s="19" t="s">
        <v>436</v>
      </c>
      <c r="G204" s="298"/>
      <c r="H204" s="10"/>
      <c r="I204" s="11"/>
      <c r="J204" s="11"/>
      <c r="K204" s="11"/>
      <c r="L204" s="11"/>
      <c r="M204" s="11"/>
      <c r="N204" s="11"/>
      <c r="O204" s="12"/>
      <c r="P204" s="11"/>
      <c r="Q204" s="13"/>
      <c r="R204" s="14"/>
    </row>
    <row r="205" spans="1:18" ht="15" customHeight="1" x14ac:dyDescent="0.3">
      <c r="A205" s="15" t="s">
        <v>388</v>
      </c>
      <c r="B205" s="15" t="s">
        <v>389</v>
      </c>
      <c r="C205" s="16">
        <v>0.12847222222222221</v>
      </c>
      <c r="D205" s="15" t="s">
        <v>390</v>
      </c>
      <c r="E205" s="15" t="s">
        <v>84</v>
      </c>
      <c r="F205" s="15" t="s">
        <v>436</v>
      </c>
      <c r="G205" s="298"/>
      <c r="H205" s="10"/>
      <c r="I205" s="11"/>
      <c r="J205" s="11"/>
      <c r="K205" s="11"/>
      <c r="L205" s="11"/>
      <c r="M205" s="11"/>
      <c r="N205" s="11"/>
      <c r="O205" s="12"/>
      <c r="P205" s="11"/>
      <c r="Q205" s="13"/>
      <c r="R205" s="14"/>
    </row>
    <row r="206" spans="1:18" ht="15" customHeight="1" x14ac:dyDescent="0.3">
      <c r="A206" s="15" t="s">
        <v>388</v>
      </c>
      <c r="B206" s="15" t="s">
        <v>389</v>
      </c>
      <c r="C206" s="16">
        <v>0.12847222222222221</v>
      </c>
      <c r="D206" s="15" t="s">
        <v>46</v>
      </c>
      <c r="E206" s="15" t="s">
        <v>84</v>
      </c>
      <c r="F206" s="15" t="s">
        <v>437</v>
      </c>
      <c r="G206" s="298"/>
      <c r="H206" s="10"/>
      <c r="I206" s="11"/>
      <c r="J206" s="11"/>
      <c r="K206" s="11"/>
      <c r="L206" s="11"/>
      <c r="M206" s="11"/>
      <c r="N206" s="11"/>
      <c r="O206" s="12"/>
      <c r="P206" s="11"/>
      <c r="Q206" s="13"/>
      <c r="R206" s="14"/>
    </row>
    <row r="207" spans="1:18" ht="15" customHeight="1" x14ac:dyDescent="0.3">
      <c r="A207" s="17" t="s">
        <v>388</v>
      </c>
      <c r="B207" s="17" t="s">
        <v>462</v>
      </c>
      <c r="C207" s="18">
        <v>5.5555555555555552E-2</v>
      </c>
      <c r="D207" s="17" t="s">
        <v>461</v>
      </c>
      <c r="E207" s="17" t="s">
        <v>353</v>
      </c>
      <c r="F207" s="17" t="s">
        <v>436</v>
      </c>
      <c r="G207" s="298"/>
      <c r="H207" s="10"/>
      <c r="I207" s="11"/>
      <c r="J207" s="11"/>
      <c r="K207" s="11"/>
      <c r="L207" s="11"/>
      <c r="M207" s="11"/>
      <c r="N207" s="11"/>
      <c r="O207" s="12"/>
      <c r="P207" s="11"/>
      <c r="Q207" s="13"/>
      <c r="R207" s="14"/>
    </row>
    <row r="208" spans="1:18" ht="15" customHeight="1" x14ac:dyDescent="0.3">
      <c r="A208" s="15" t="s">
        <v>388</v>
      </c>
      <c r="B208" s="15" t="s">
        <v>462</v>
      </c>
      <c r="C208" s="16">
        <v>5.5555555555555552E-2</v>
      </c>
      <c r="D208" s="15" t="s">
        <v>390</v>
      </c>
      <c r="E208" s="15" t="s">
        <v>119</v>
      </c>
      <c r="F208" s="15" t="s">
        <v>436</v>
      </c>
      <c r="G208" s="298"/>
      <c r="H208" s="10"/>
      <c r="I208" s="11"/>
      <c r="J208" s="11"/>
      <c r="K208" s="11"/>
      <c r="L208" s="11"/>
      <c r="M208" s="11"/>
      <c r="N208" s="11"/>
      <c r="O208" s="12"/>
      <c r="P208" s="11"/>
      <c r="Q208" s="13"/>
      <c r="R208" s="14"/>
    </row>
    <row r="209" spans="1:18" ht="15" customHeight="1" x14ac:dyDescent="0.3">
      <c r="A209" s="15" t="s">
        <v>388</v>
      </c>
      <c r="B209" s="15" t="s">
        <v>462</v>
      </c>
      <c r="C209" s="16">
        <v>5.5555555555555552E-2</v>
      </c>
      <c r="D209" s="15" t="s">
        <v>46</v>
      </c>
      <c r="E209" s="15" t="s">
        <v>119</v>
      </c>
      <c r="F209" s="15" t="s">
        <v>437</v>
      </c>
      <c r="G209" s="298"/>
      <c r="H209" s="10"/>
      <c r="I209" s="11"/>
      <c r="J209" s="11"/>
      <c r="K209" s="11"/>
      <c r="L209" s="11"/>
      <c r="M209" s="11"/>
      <c r="N209" s="11"/>
      <c r="O209" s="12"/>
      <c r="P209" s="11"/>
      <c r="Q209" s="13"/>
      <c r="R209" s="14"/>
    </row>
    <row r="210" spans="1:18" ht="15" customHeight="1" x14ac:dyDescent="0.3">
      <c r="A210" s="19" t="s">
        <v>48</v>
      </c>
      <c r="B210" s="19" t="s">
        <v>463</v>
      </c>
      <c r="C210" s="20">
        <v>0.36805555555555558</v>
      </c>
      <c r="D210" s="19" t="s">
        <v>50</v>
      </c>
      <c r="E210" s="19" t="s">
        <v>63</v>
      </c>
      <c r="F210" s="19" t="s">
        <v>441</v>
      </c>
      <c r="G210" s="298"/>
      <c r="H210" s="10"/>
      <c r="I210" s="11"/>
      <c r="J210" s="11"/>
      <c r="K210" s="11"/>
      <c r="L210" s="11"/>
      <c r="M210" s="11"/>
      <c r="N210" s="11"/>
      <c r="O210" s="12"/>
      <c r="P210" s="11"/>
      <c r="Q210" s="13"/>
      <c r="R210" s="14"/>
    </row>
    <row r="211" spans="1:18" ht="15" customHeight="1" x14ac:dyDescent="0.3">
      <c r="A211" s="17" t="s">
        <v>48</v>
      </c>
      <c r="B211" s="17" t="s">
        <v>406</v>
      </c>
      <c r="C211" s="18">
        <v>0.78472222222222221</v>
      </c>
      <c r="D211" s="17" t="s">
        <v>50</v>
      </c>
      <c r="E211" s="17" t="s">
        <v>54</v>
      </c>
      <c r="F211" s="17" t="s">
        <v>441</v>
      </c>
      <c r="G211" s="298"/>
      <c r="H211" s="10"/>
      <c r="I211" s="11"/>
      <c r="J211" s="11"/>
      <c r="K211" s="11"/>
      <c r="L211" s="11"/>
      <c r="M211" s="11"/>
      <c r="N211" s="11"/>
      <c r="O211" s="12"/>
      <c r="P211" s="11"/>
      <c r="Q211" s="13"/>
      <c r="R211" s="14"/>
    </row>
    <row r="212" spans="1:18" ht="15" customHeight="1" x14ac:dyDescent="0.3">
      <c r="A212" s="17" t="s">
        <v>48</v>
      </c>
      <c r="B212" s="17" t="s">
        <v>415</v>
      </c>
      <c r="C212" s="18">
        <v>4.8611111111111112E-2</v>
      </c>
      <c r="D212" s="17" t="s">
        <v>50</v>
      </c>
      <c r="E212" s="17" t="s">
        <v>54</v>
      </c>
      <c r="F212" s="17" t="s">
        <v>441</v>
      </c>
      <c r="G212" s="298"/>
      <c r="H212" s="10"/>
      <c r="I212" s="11"/>
      <c r="J212" s="11"/>
      <c r="K212" s="11"/>
      <c r="L212" s="11"/>
      <c r="M212" s="11"/>
      <c r="N212" s="11"/>
      <c r="O212" s="12"/>
      <c r="P212" s="11"/>
      <c r="Q212" s="13"/>
      <c r="R212" s="14"/>
    </row>
    <row r="213" spans="1:18" ht="15" customHeight="1" x14ac:dyDescent="0.3">
      <c r="A213" s="17" t="s">
        <v>48</v>
      </c>
      <c r="B213" s="17" t="s">
        <v>413</v>
      </c>
      <c r="C213" s="18">
        <v>0.83680555555555547</v>
      </c>
      <c r="D213" s="17" t="s">
        <v>50</v>
      </c>
      <c r="E213" s="17" t="s">
        <v>54</v>
      </c>
      <c r="F213" s="17" t="s">
        <v>442</v>
      </c>
      <c r="G213" s="298"/>
      <c r="H213" s="10"/>
      <c r="I213" s="11"/>
      <c r="J213" s="11"/>
      <c r="K213" s="11"/>
      <c r="L213" s="11"/>
      <c r="M213" s="11"/>
      <c r="N213" s="11"/>
      <c r="O213" s="12"/>
      <c r="P213" s="11"/>
      <c r="Q213" s="13"/>
      <c r="R213" s="14"/>
    </row>
    <row r="214" spans="1:18" ht="15" customHeight="1" x14ac:dyDescent="0.3">
      <c r="A214" s="17" t="s">
        <v>48</v>
      </c>
      <c r="B214" s="17" t="s">
        <v>412</v>
      </c>
      <c r="C214" s="18">
        <v>0.59722222222222221</v>
      </c>
      <c r="D214" s="17" t="s">
        <v>50</v>
      </c>
      <c r="E214" s="17" t="s">
        <v>54</v>
      </c>
      <c r="F214" s="17" t="s">
        <v>443</v>
      </c>
      <c r="G214" s="298"/>
      <c r="H214" s="10"/>
      <c r="I214" s="11"/>
      <c r="J214" s="11"/>
      <c r="K214" s="11"/>
      <c r="L214" s="11"/>
      <c r="M214" s="11"/>
      <c r="N214" s="11"/>
      <c r="O214" s="12"/>
      <c r="P214" s="11"/>
      <c r="Q214" s="13"/>
      <c r="R214" s="14"/>
    </row>
    <row r="215" spans="1:18" ht="15" customHeight="1" x14ac:dyDescent="0.3">
      <c r="A215" s="17" t="s">
        <v>48</v>
      </c>
      <c r="B215" s="17" t="s">
        <v>411</v>
      </c>
      <c r="C215" s="18">
        <v>0.1041666666666667</v>
      </c>
      <c r="D215" s="17" t="s">
        <v>50</v>
      </c>
      <c r="E215" s="17" t="s">
        <v>54</v>
      </c>
      <c r="F215" s="17" t="s">
        <v>407</v>
      </c>
      <c r="G215" s="298"/>
      <c r="H215" s="10"/>
      <c r="I215" s="11"/>
      <c r="J215" s="11"/>
      <c r="K215" s="11"/>
      <c r="L215" s="11"/>
      <c r="M215" s="11"/>
      <c r="N215" s="11"/>
      <c r="O215" s="12"/>
      <c r="P215" s="11"/>
      <c r="Q215" s="13"/>
      <c r="R215" s="14"/>
    </row>
    <row r="216" spans="1:18" ht="15" customHeight="1" x14ac:dyDescent="0.3">
      <c r="A216" s="17" t="s">
        <v>48</v>
      </c>
      <c r="B216" s="17" t="s">
        <v>410</v>
      </c>
      <c r="C216" s="18">
        <v>0.97222222222222221</v>
      </c>
      <c r="D216" s="17" t="s">
        <v>50</v>
      </c>
      <c r="E216" s="17" t="s">
        <v>54</v>
      </c>
      <c r="F216" s="17" t="s">
        <v>464</v>
      </c>
      <c r="G216" s="298"/>
      <c r="H216" s="10"/>
      <c r="I216" s="11"/>
      <c r="J216" s="11"/>
      <c r="K216" s="11"/>
      <c r="L216" s="11"/>
      <c r="M216" s="11"/>
      <c r="N216" s="11"/>
      <c r="O216" s="12"/>
      <c r="P216" s="11"/>
      <c r="Q216" s="13"/>
      <c r="R216" s="14"/>
    </row>
    <row r="217" spans="1:18" ht="15" customHeight="1" x14ac:dyDescent="0.3">
      <c r="A217" s="17" t="s">
        <v>48</v>
      </c>
      <c r="B217" s="17" t="s">
        <v>408</v>
      </c>
      <c r="C217" s="18">
        <v>0.3125</v>
      </c>
      <c r="D217" s="17" t="s">
        <v>50</v>
      </c>
      <c r="E217" s="17" t="s">
        <v>353</v>
      </c>
      <c r="F217" s="17" t="s">
        <v>409</v>
      </c>
      <c r="G217" s="298"/>
      <c r="H217" s="10"/>
      <c r="I217" s="11"/>
      <c r="J217" s="11"/>
      <c r="K217" s="11"/>
      <c r="L217" s="11"/>
      <c r="M217" s="11"/>
      <c r="N217" s="11"/>
      <c r="O217" s="12"/>
      <c r="P217" s="11"/>
      <c r="Q217" s="13"/>
      <c r="R217" s="14"/>
    </row>
    <row r="218" spans="1:18" ht="15" customHeight="1" x14ac:dyDescent="0.3">
      <c r="A218" s="19" t="s">
        <v>60</v>
      </c>
      <c r="B218" s="19" t="s">
        <v>446</v>
      </c>
      <c r="C218" s="20">
        <v>0.48958333333333331</v>
      </c>
      <c r="D218" s="19" t="s">
        <v>65</v>
      </c>
      <c r="E218" s="19" t="s">
        <v>111</v>
      </c>
      <c r="F218" s="19" t="s">
        <v>394</v>
      </c>
      <c r="G218" s="298"/>
      <c r="H218" s="10"/>
      <c r="I218" s="11"/>
      <c r="J218" s="11"/>
      <c r="K218" s="11"/>
      <c r="L218" s="11"/>
      <c r="M218" s="11"/>
      <c r="N218" s="11"/>
      <c r="O218" s="12"/>
      <c r="P218" s="11"/>
      <c r="Q218" s="13"/>
      <c r="R218" s="14"/>
    </row>
    <row r="219" spans="1:18" ht="15" customHeight="1" x14ac:dyDescent="0.3">
      <c r="A219" s="17" t="s">
        <v>60</v>
      </c>
      <c r="B219" s="17" t="s">
        <v>403</v>
      </c>
      <c r="C219" s="18">
        <v>0.70486111111111116</v>
      </c>
      <c r="D219" s="17" t="s">
        <v>65</v>
      </c>
      <c r="E219" s="17" t="s">
        <v>69</v>
      </c>
      <c r="F219" s="17" t="s">
        <v>394</v>
      </c>
      <c r="G219" s="298"/>
      <c r="H219" s="10"/>
      <c r="I219" s="11"/>
      <c r="J219" s="11"/>
      <c r="K219" s="11"/>
      <c r="L219" s="11"/>
      <c r="M219" s="11"/>
      <c r="N219" s="11"/>
      <c r="O219" s="12"/>
      <c r="P219" s="11"/>
      <c r="Q219" s="13"/>
      <c r="R219" s="14"/>
    </row>
    <row r="220" spans="1:18" ht="15" customHeight="1" x14ac:dyDescent="0.3">
      <c r="A220" s="17" t="s">
        <v>60</v>
      </c>
      <c r="B220" s="17" t="s">
        <v>393</v>
      </c>
      <c r="C220" s="18">
        <v>0.25347222222222221</v>
      </c>
      <c r="D220" s="17" t="s">
        <v>65</v>
      </c>
      <c r="E220" s="17" t="s">
        <v>54</v>
      </c>
      <c r="F220" s="17" t="s">
        <v>394</v>
      </c>
      <c r="G220" s="298"/>
      <c r="H220" s="10"/>
      <c r="I220" s="11"/>
      <c r="J220" s="11"/>
      <c r="K220" s="11"/>
      <c r="L220" s="11"/>
      <c r="M220" s="11"/>
      <c r="N220" s="11"/>
      <c r="O220" s="12"/>
      <c r="P220" s="11"/>
      <c r="Q220" s="13"/>
      <c r="R220" s="14"/>
    </row>
    <row r="221" spans="1:18" ht="15" customHeight="1" x14ac:dyDescent="0.3">
      <c r="A221" s="17" t="s">
        <v>60</v>
      </c>
      <c r="B221" s="17" t="s">
        <v>445</v>
      </c>
      <c r="C221" s="18">
        <v>0.94097222222222221</v>
      </c>
      <c r="D221" s="17" t="s">
        <v>65</v>
      </c>
      <c r="E221" s="17" t="s">
        <v>144</v>
      </c>
      <c r="F221" s="17" t="s">
        <v>394</v>
      </c>
      <c r="G221" s="298"/>
      <c r="H221" s="10"/>
      <c r="I221" s="11"/>
      <c r="J221" s="11"/>
      <c r="K221" s="11"/>
      <c r="L221" s="11"/>
      <c r="M221" s="11"/>
      <c r="N221" s="11"/>
      <c r="O221" s="12"/>
      <c r="P221" s="11"/>
      <c r="Q221" s="13"/>
      <c r="R221" s="14"/>
    </row>
    <row r="222" spans="1:18" ht="15" customHeight="1" x14ac:dyDescent="0.3">
      <c r="A222" s="17" t="s">
        <v>60</v>
      </c>
      <c r="B222" s="17" t="s">
        <v>395</v>
      </c>
      <c r="C222" s="18">
        <v>0.98958333333333337</v>
      </c>
      <c r="D222" s="17" t="s">
        <v>65</v>
      </c>
      <c r="E222" s="17" t="s">
        <v>72</v>
      </c>
      <c r="F222" s="17" t="s">
        <v>396</v>
      </c>
      <c r="G222" s="298"/>
      <c r="H222" s="10"/>
      <c r="I222" s="11"/>
      <c r="J222" s="11"/>
      <c r="K222" s="11"/>
      <c r="L222" s="11"/>
      <c r="M222" s="11"/>
      <c r="N222" s="11"/>
      <c r="O222" s="12"/>
      <c r="P222" s="11"/>
      <c r="Q222" s="13"/>
      <c r="R222" s="14"/>
    </row>
    <row r="223" spans="1:18" ht="15" customHeight="1" x14ac:dyDescent="0.3">
      <c r="A223" s="17" t="s">
        <v>60</v>
      </c>
      <c r="B223" s="17" t="s">
        <v>397</v>
      </c>
      <c r="C223" s="18">
        <v>0.39930555555555558</v>
      </c>
      <c r="D223" s="17" t="s">
        <v>65</v>
      </c>
      <c r="E223" s="17" t="s">
        <v>72</v>
      </c>
      <c r="F223" s="17" t="s">
        <v>396</v>
      </c>
      <c r="G223" s="298"/>
      <c r="H223" s="10"/>
      <c r="I223" s="11"/>
      <c r="J223" s="11"/>
      <c r="K223" s="11"/>
      <c r="L223" s="11"/>
      <c r="M223" s="11"/>
      <c r="N223" s="11"/>
      <c r="O223" s="12"/>
      <c r="P223" s="11"/>
      <c r="Q223" s="13"/>
      <c r="R223" s="14"/>
    </row>
    <row r="224" spans="1:18" ht="15" customHeight="1" x14ac:dyDescent="0.3">
      <c r="A224" s="17" t="s">
        <v>60</v>
      </c>
      <c r="B224" s="17" t="s">
        <v>398</v>
      </c>
      <c r="C224" s="18">
        <v>0.48958333333333331</v>
      </c>
      <c r="D224" s="17" t="s">
        <v>65</v>
      </c>
      <c r="E224" s="17" t="s">
        <v>72</v>
      </c>
      <c r="F224" s="17" t="s">
        <v>396</v>
      </c>
      <c r="G224" s="298"/>
      <c r="H224" s="10"/>
      <c r="I224" s="11"/>
      <c r="J224" s="11"/>
      <c r="K224" s="11"/>
      <c r="L224" s="11"/>
      <c r="M224" s="11"/>
      <c r="N224" s="11"/>
      <c r="O224" s="12"/>
      <c r="P224" s="11"/>
      <c r="Q224" s="13"/>
      <c r="R224" s="14"/>
    </row>
    <row r="225" spans="1:18" ht="15" customHeight="1" x14ac:dyDescent="0.3">
      <c r="A225" s="17" t="s">
        <v>60</v>
      </c>
      <c r="B225" s="17" t="s">
        <v>399</v>
      </c>
      <c r="C225" s="18">
        <v>0.88888888888888884</v>
      </c>
      <c r="D225" s="17" t="s">
        <v>65</v>
      </c>
      <c r="E225" s="17" t="s">
        <v>72</v>
      </c>
      <c r="F225" s="17" t="s">
        <v>396</v>
      </c>
      <c r="G225" s="298"/>
      <c r="H225" s="10"/>
      <c r="I225" s="11"/>
      <c r="J225" s="11"/>
      <c r="K225" s="11"/>
      <c r="L225" s="11"/>
      <c r="M225" s="11"/>
      <c r="N225" s="11"/>
      <c r="O225" s="12"/>
      <c r="P225" s="11"/>
      <c r="Q225" s="13"/>
      <c r="R225" s="14"/>
    </row>
    <row r="226" spans="1:18" ht="15" customHeight="1" x14ac:dyDescent="0.3">
      <c r="A226" s="17" t="s">
        <v>60</v>
      </c>
      <c r="B226" s="17" t="s">
        <v>400</v>
      </c>
      <c r="C226" s="18">
        <v>0.82986111111111116</v>
      </c>
      <c r="D226" s="17" t="s">
        <v>65</v>
      </c>
      <c r="E226" s="17" t="s">
        <v>54</v>
      </c>
      <c r="F226" s="17" t="s">
        <v>465</v>
      </c>
      <c r="G226" s="298"/>
      <c r="H226" s="10"/>
      <c r="I226" s="11"/>
      <c r="J226" s="11"/>
      <c r="K226" s="11"/>
      <c r="L226" s="11"/>
      <c r="M226" s="11"/>
      <c r="N226" s="11"/>
      <c r="O226" s="12"/>
      <c r="P226" s="11"/>
      <c r="Q226" s="13"/>
      <c r="R226" s="14"/>
    </row>
    <row r="227" spans="1:18" ht="15" customHeight="1" x14ac:dyDescent="0.3">
      <c r="A227" s="17" t="s">
        <v>60</v>
      </c>
      <c r="B227" s="17" t="s">
        <v>402</v>
      </c>
      <c r="C227" s="18">
        <v>0.11805555555555559</v>
      </c>
      <c r="D227" s="17" t="s">
        <v>65</v>
      </c>
      <c r="E227" s="17" t="s">
        <v>69</v>
      </c>
      <c r="F227" s="17" t="s">
        <v>401</v>
      </c>
      <c r="G227" s="298"/>
      <c r="H227" s="10"/>
      <c r="I227" s="11"/>
      <c r="J227" s="11"/>
      <c r="K227" s="11"/>
      <c r="L227" s="11"/>
      <c r="M227" s="11"/>
      <c r="N227" s="11"/>
      <c r="O227" s="12"/>
      <c r="P227" s="11"/>
      <c r="Q227" s="13"/>
      <c r="R227" s="14"/>
    </row>
    <row r="228" spans="1:18" ht="15" customHeight="1" thickBot="1" x14ac:dyDescent="0.35">
      <c r="A228" s="39" t="s">
        <v>60</v>
      </c>
      <c r="B228" s="39" t="s">
        <v>404</v>
      </c>
      <c r="C228" s="40">
        <v>0.72222222222222221</v>
      </c>
      <c r="D228" s="39" t="s">
        <v>65</v>
      </c>
      <c r="E228" s="39" t="s">
        <v>355</v>
      </c>
      <c r="F228" s="39" t="s">
        <v>466</v>
      </c>
      <c r="G228" s="299"/>
      <c r="H228" s="41"/>
      <c r="I228" s="42"/>
      <c r="J228" s="42"/>
      <c r="K228" s="42"/>
      <c r="L228" s="42"/>
      <c r="M228" s="42"/>
      <c r="N228" s="42"/>
      <c r="O228" s="43"/>
      <c r="P228" s="42"/>
      <c r="Q228" s="44"/>
      <c r="R228" s="45"/>
    </row>
    <row r="229" spans="1:18" ht="17.399999999999999" customHeight="1" thickBot="1" x14ac:dyDescent="0.35">
      <c r="A229" s="329"/>
      <c r="B229" s="330"/>
      <c r="C229" s="330"/>
      <c r="D229" s="330"/>
      <c r="E229" s="330"/>
      <c r="F229" s="330"/>
      <c r="G229" s="330"/>
      <c r="H229" s="330"/>
      <c r="I229" s="330"/>
      <c r="J229" s="330"/>
      <c r="K229" s="330"/>
      <c r="L229" s="330"/>
      <c r="M229" s="330"/>
      <c r="N229" s="330"/>
      <c r="O229" s="330"/>
      <c r="P229" s="330"/>
      <c r="Q229" s="330"/>
      <c r="R229" s="331"/>
    </row>
    <row r="230" spans="1:18" ht="22.05" customHeight="1" thickTop="1" thickBot="1" x14ac:dyDescent="0.35">
      <c r="A230" s="300" t="s">
        <v>6</v>
      </c>
      <c r="B230" s="295"/>
      <c r="C230" s="295"/>
      <c r="D230" s="295"/>
      <c r="E230" s="295"/>
      <c r="F230" s="296"/>
      <c r="G230" s="31">
        <v>45984</v>
      </c>
      <c r="H230" s="294" t="s">
        <v>7</v>
      </c>
      <c r="I230" s="295"/>
      <c r="J230" s="295"/>
      <c r="K230" s="295"/>
      <c r="L230" s="295"/>
      <c r="M230" s="295"/>
      <c r="N230" s="295"/>
      <c r="O230" s="295"/>
      <c r="P230" s="295"/>
      <c r="Q230" s="295"/>
      <c r="R230" s="296"/>
    </row>
    <row r="231" spans="1:18" ht="24" customHeight="1" x14ac:dyDescent="0.3">
      <c r="A231" s="32" t="s">
        <v>8</v>
      </c>
      <c r="B231" s="32" t="s">
        <v>9</v>
      </c>
      <c r="C231" s="33" t="s">
        <v>10</v>
      </c>
      <c r="D231" s="32" t="s">
        <v>11</v>
      </c>
      <c r="E231" s="32" t="s">
        <v>12</v>
      </c>
      <c r="F231" s="34" t="s">
        <v>13</v>
      </c>
      <c r="G231" s="35" t="s">
        <v>14</v>
      </c>
      <c r="H231" s="32" t="s">
        <v>15</v>
      </c>
      <c r="I231" s="36" t="s">
        <v>16</v>
      </c>
      <c r="J231" s="37" t="s">
        <v>17</v>
      </c>
      <c r="K231" s="38" t="s">
        <v>18</v>
      </c>
      <c r="L231" s="37" t="s">
        <v>19</v>
      </c>
      <c r="M231" s="37" t="s">
        <v>20</v>
      </c>
      <c r="N231" s="37" t="s">
        <v>21</v>
      </c>
      <c r="O231" s="32" t="s">
        <v>22</v>
      </c>
      <c r="P231" s="33" t="s">
        <v>23</v>
      </c>
      <c r="Q231" s="37" t="s">
        <v>24</v>
      </c>
      <c r="R231" s="32" t="s">
        <v>25</v>
      </c>
    </row>
    <row r="232" spans="1:18" ht="15" customHeight="1" x14ac:dyDescent="0.3">
      <c r="A232" s="8" t="s">
        <v>41</v>
      </c>
      <c r="B232" s="8" t="s">
        <v>340</v>
      </c>
      <c r="C232" s="9">
        <v>0.39930555555555558</v>
      </c>
      <c r="D232" s="8" t="s">
        <v>43</v>
      </c>
      <c r="E232" s="8" t="s">
        <v>83</v>
      </c>
      <c r="F232" s="8" t="s">
        <v>342</v>
      </c>
      <c r="G232" s="304"/>
      <c r="H232" s="10"/>
      <c r="I232" s="11"/>
      <c r="J232" s="11"/>
      <c r="K232" s="11"/>
      <c r="L232" s="11"/>
      <c r="M232" s="11"/>
      <c r="N232" s="11"/>
      <c r="O232" s="12"/>
      <c r="P232" s="11"/>
      <c r="Q232" s="13"/>
      <c r="R232" s="14"/>
    </row>
    <row r="233" spans="1:18" ht="15" customHeight="1" x14ac:dyDescent="0.3">
      <c r="A233" s="15" t="s">
        <v>41</v>
      </c>
      <c r="B233" s="15" t="s">
        <v>340</v>
      </c>
      <c r="C233" s="16">
        <v>0.39930555555555558</v>
      </c>
      <c r="D233" s="15" t="s">
        <v>45</v>
      </c>
      <c r="E233" s="15" t="s">
        <v>84</v>
      </c>
      <c r="F233" s="15" t="s">
        <v>153</v>
      </c>
      <c r="G233" s="298"/>
      <c r="H233" s="10"/>
      <c r="I233" s="11"/>
      <c r="J233" s="11"/>
      <c r="K233" s="11"/>
      <c r="L233" s="11"/>
      <c r="M233" s="11"/>
      <c r="N233" s="11"/>
      <c r="O233" s="12"/>
      <c r="P233" s="11"/>
      <c r="Q233" s="13"/>
      <c r="R233" s="14"/>
    </row>
    <row r="234" spans="1:18" ht="15" customHeight="1" x14ac:dyDescent="0.3">
      <c r="A234" s="15" t="s">
        <v>41</v>
      </c>
      <c r="B234" s="15" t="s">
        <v>340</v>
      </c>
      <c r="C234" s="16">
        <v>0.39930555555555558</v>
      </c>
      <c r="D234" s="15" t="s">
        <v>46</v>
      </c>
      <c r="E234" s="15" t="s">
        <v>84</v>
      </c>
      <c r="F234" s="15" t="s">
        <v>47</v>
      </c>
      <c r="G234" s="298"/>
      <c r="H234" s="10"/>
      <c r="I234" s="11"/>
      <c r="J234" s="11"/>
      <c r="K234" s="11"/>
      <c r="L234" s="11"/>
      <c r="M234" s="11"/>
      <c r="N234" s="11"/>
      <c r="O234" s="12"/>
      <c r="P234" s="11"/>
      <c r="Q234" s="13"/>
      <c r="R234" s="14"/>
    </row>
    <row r="235" spans="1:18" ht="15" customHeight="1" x14ac:dyDescent="0.3">
      <c r="A235" s="17" t="s">
        <v>41</v>
      </c>
      <c r="B235" s="17" t="s">
        <v>344</v>
      </c>
      <c r="C235" s="18">
        <v>0.48958333333333331</v>
      </c>
      <c r="D235" s="17" t="s">
        <v>337</v>
      </c>
      <c r="E235" s="17" t="s">
        <v>454</v>
      </c>
      <c r="F235" s="17" t="s">
        <v>342</v>
      </c>
      <c r="G235" s="298"/>
      <c r="H235" s="10"/>
      <c r="I235" s="11"/>
      <c r="J235" s="11"/>
      <c r="K235" s="11"/>
      <c r="L235" s="11"/>
      <c r="M235" s="11"/>
      <c r="N235" s="11"/>
      <c r="O235" s="12"/>
      <c r="P235" s="11"/>
      <c r="Q235" s="13"/>
      <c r="R235" s="14"/>
    </row>
    <row r="236" spans="1:18" ht="15" customHeight="1" x14ac:dyDescent="0.3">
      <c r="A236" s="15" t="s">
        <v>41</v>
      </c>
      <c r="B236" s="15" t="s">
        <v>344</v>
      </c>
      <c r="C236" s="16">
        <v>0.48958333333333331</v>
      </c>
      <c r="D236" s="15" t="s">
        <v>43</v>
      </c>
      <c r="E236" s="15" t="s">
        <v>106</v>
      </c>
      <c r="F236" s="15" t="s">
        <v>342</v>
      </c>
      <c r="G236" s="298"/>
      <c r="H236" s="10"/>
      <c r="I236" s="11"/>
      <c r="J236" s="11"/>
      <c r="K236" s="11"/>
      <c r="L236" s="11"/>
      <c r="M236" s="11"/>
      <c r="N236" s="11"/>
      <c r="O236" s="12"/>
      <c r="P236" s="11"/>
      <c r="Q236" s="13"/>
      <c r="R236" s="14"/>
    </row>
    <row r="237" spans="1:18" ht="15" customHeight="1" x14ac:dyDescent="0.3">
      <c r="A237" s="15" t="s">
        <v>41</v>
      </c>
      <c r="B237" s="15" t="s">
        <v>344</v>
      </c>
      <c r="C237" s="16">
        <v>0.48958333333333331</v>
      </c>
      <c r="D237" s="15" t="s">
        <v>45</v>
      </c>
      <c r="E237" s="15" t="s">
        <v>106</v>
      </c>
      <c r="F237" s="15" t="s">
        <v>153</v>
      </c>
      <c r="G237" s="298"/>
      <c r="H237" s="10"/>
      <c r="I237" s="11"/>
      <c r="J237" s="11"/>
      <c r="K237" s="11"/>
      <c r="L237" s="11"/>
      <c r="M237" s="11"/>
      <c r="N237" s="11"/>
      <c r="O237" s="12"/>
      <c r="P237" s="11"/>
      <c r="Q237" s="13"/>
      <c r="R237" s="14"/>
    </row>
    <row r="238" spans="1:18" ht="15" customHeight="1" x14ac:dyDescent="0.3">
      <c r="A238" s="15" t="s">
        <v>41</v>
      </c>
      <c r="B238" s="15" t="s">
        <v>344</v>
      </c>
      <c r="C238" s="16">
        <v>0.48958333333333331</v>
      </c>
      <c r="D238" s="15" t="s">
        <v>46</v>
      </c>
      <c r="E238" s="15" t="s">
        <v>106</v>
      </c>
      <c r="F238" s="15" t="s">
        <v>120</v>
      </c>
      <c r="G238" s="298"/>
      <c r="H238" s="10"/>
      <c r="I238" s="11"/>
      <c r="J238" s="11"/>
      <c r="K238" s="11"/>
      <c r="L238" s="11"/>
      <c r="M238" s="11"/>
      <c r="N238" s="11"/>
      <c r="O238" s="12"/>
      <c r="P238" s="11"/>
      <c r="Q238" s="13"/>
      <c r="R238" s="14"/>
    </row>
    <row r="239" spans="1:18" ht="15" customHeight="1" x14ac:dyDescent="0.3">
      <c r="A239" s="17" t="s">
        <v>41</v>
      </c>
      <c r="B239" s="17" t="s">
        <v>347</v>
      </c>
      <c r="C239" s="18">
        <v>0.88888888888888884</v>
      </c>
      <c r="D239" s="17" t="s">
        <v>337</v>
      </c>
      <c r="E239" s="17" t="s">
        <v>454</v>
      </c>
      <c r="F239" s="17" t="s">
        <v>431</v>
      </c>
      <c r="G239" s="298"/>
      <c r="H239" s="10"/>
      <c r="I239" s="11"/>
      <c r="J239" s="11"/>
      <c r="K239" s="11"/>
      <c r="L239" s="11"/>
      <c r="M239" s="11"/>
      <c r="N239" s="11"/>
      <c r="O239" s="12"/>
      <c r="P239" s="11"/>
      <c r="Q239" s="13"/>
      <c r="R239" s="14"/>
    </row>
    <row r="240" spans="1:18" ht="15" customHeight="1" x14ac:dyDescent="0.3">
      <c r="A240" s="15" t="s">
        <v>41</v>
      </c>
      <c r="B240" s="15" t="s">
        <v>347</v>
      </c>
      <c r="C240" s="16">
        <v>0.88888888888888884</v>
      </c>
      <c r="D240" s="15" t="s">
        <v>43</v>
      </c>
      <c r="E240" s="15" t="s">
        <v>106</v>
      </c>
      <c r="F240" s="15" t="s">
        <v>431</v>
      </c>
      <c r="G240" s="298"/>
      <c r="H240" s="10"/>
      <c r="I240" s="11"/>
      <c r="J240" s="11"/>
      <c r="K240" s="11"/>
      <c r="L240" s="11"/>
      <c r="M240" s="11"/>
      <c r="N240" s="11"/>
      <c r="O240" s="12"/>
      <c r="P240" s="11"/>
      <c r="Q240" s="13"/>
      <c r="R240" s="14"/>
    </row>
    <row r="241" spans="1:18" ht="15" customHeight="1" x14ac:dyDescent="0.3">
      <c r="A241" s="15" t="s">
        <v>41</v>
      </c>
      <c r="B241" s="15" t="s">
        <v>347</v>
      </c>
      <c r="C241" s="16">
        <v>0.88888888888888884</v>
      </c>
      <c r="D241" s="15" t="s">
        <v>45</v>
      </c>
      <c r="E241" s="15" t="s">
        <v>106</v>
      </c>
      <c r="F241" s="15" t="s">
        <v>143</v>
      </c>
      <c r="G241" s="298"/>
      <c r="H241" s="10"/>
      <c r="I241" s="11"/>
      <c r="J241" s="11"/>
      <c r="K241" s="11"/>
      <c r="L241" s="11"/>
      <c r="M241" s="11"/>
      <c r="N241" s="11"/>
      <c r="O241" s="12"/>
      <c r="P241" s="11"/>
      <c r="Q241" s="13"/>
      <c r="R241" s="14"/>
    </row>
    <row r="242" spans="1:18" ht="15" customHeight="1" x14ac:dyDescent="0.3">
      <c r="A242" s="15" t="s">
        <v>41</v>
      </c>
      <c r="B242" s="15" t="s">
        <v>347</v>
      </c>
      <c r="C242" s="16">
        <v>0.88888888888888884</v>
      </c>
      <c r="D242" s="15" t="s">
        <v>46</v>
      </c>
      <c r="E242" s="15" t="s">
        <v>106</v>
      </c>
      <c r="F242" s="15" t="s">
        <v>120</v>
      </c>
      <c r="G242" s="298"/>
      <c r="H242" s="10"/>
      <c r="I242" s="11"/>
      <c r="J242" s="11"/>
      <c r="K242" s="11"/>
      <c r="L242" s="11"/>
      <c r="M242" s="11"/>
      <c r="N242" s="11"/>
      <c r="O242" s="12"/>
      <c r="P242" s="11"/>
      <c r="Q242" s="13"/>
      <c r="R242" s="14"/>
    </row>
    <row r="243" spans="1:18" ht="15" customHeight="1" x14ac:dyDescent="0.3">
      <c r="A243" s="17" t="s">
        <v>41</v>
      </c>
      <c r="B243" s="17" t="s">
        <v>336</v>
      </c>
      <c r="C243" s="18">
        <v>0.98958333333333337</v>
      </c>
      <c r="D243" s="17" t="s">
        <v>337</v>
      </c>
      <c r="E243" s="17" t="s">
        <v>58</v>
      </c>
      <c r="F243" s="17" t="s">
        <v>431</v>
      </c>
      <c r="G243" s="298"/>
      <c r="H243" s="10"/>
      <c r="I243" s="11"/>
      <c r="J243" s="11"/>
      <c r="K243" s="11"/>
      <c r="L243" s="11"/>
      <c r="M243" s="11"/>
      <c r="N243" s="11"/>
      <c r="O243" s="12"/>
      <c r="P243" s="11"/>
      <c r="Q243" s="13"/>
      <c r="R243" s="14"/>
    </row>
    <row r="244" spans="1:18" ht="15" customHeight="1" x14ac:dyDescent="0.3">
      <c r="A244" s="15" t="s">
        <v>41</v>
      </c>
      <c r="B244" s="15" t="s">
        <v>336</v>
      </c>
      <c r="C244" s="16">
        <v>0.98958333333333337</v>
      </c>
      <c r="D244" s="15" t="s">
        <v>43</v>
      </c>
      <c r="E244" s="15" t="s">
        <v>119</v>
      </c>
      <c r="F244" s="15" t="s">
        <v>431</v>
      </c>
      <c r="G244" s="298"/>
      <c r="H244" s="10"/>
      <c r="I244" s="11"/>
      <c r="J244" s="11"/>
      <c r="K244" s="11"/>
      <c r="L244" s="11"/>
      <c r="M244" s="11"/>
      <c r="N244" s="11"/>
      <c r="O244" s="12"/>
      <c r="P244" s="11"/>
      <c r="Q244" s="13"/>
      <c r="R244" s="14"/>
    </row>
    <row r="245" spans="1:18" ht="15" customHeight="1" x14ac:dyDescent="0.3">
      <c r="A245" s="15" t="s">
        <v>41</v>
      </c>
      <c r="B245" s="15" t="s">
        <v>336</v>
      </c>
      <c r="C245" s="16">
        <v>0.98958333333333337</v>
      </c>
      <c r="D245" s="15" t="s">
        <v>45</v>
      </c>
      <c r="E245" s="15" t="s">
        <v>119</v>
      </c>
      <c r="F245" s="15" t="s">
        <v>143</v>
      </c>
      <c r="G245" s="298"/>
      <c r="H245" s="10"/>
      <c r="I245" s="11"/>
      <c r="J245" s="11"/>
      <c r="K245" s="11"/>
      <c r="L245" s="11"/>
      <c r="M245" s="11"/>
      <c r="N245" s="11"/>
      <c r="O245" s="12"/>
      <c r="P245" s="11"/>
      <c r="Q245" s="13"/>
      <c r="R245" s="14"/>
    </row>
    <row r="246" spans="1:18" ht="15" customHeight="1" x14ac:dyDescent="0.3">
      <c r="A246" s="15" t="s">
        <v>41</v>
      </c>
      <c r="B246" s="15" t="s">
        <v>336</v>
      </c>
      <c r="C246" s="16">
        <v>0.98958333333333337</v>
      </c>
      <c r="D246" s="15" t="s">
        <v>46</v>
      </c>
      <c r="E246" s="15" t="s">
        <v>119</v>
      </c>
      <c r="F246" s="15" t="s">
        <v>47</v>
      </c>
      <c r="G246" s="298"/>
      <c r="H246" s="10"/>
      <c r="I246" s="11"/>
      <c r="J246" s="11"/>
      <c r="K246" s="11"/>
      <c r="L246" s="11"/>
      <c r="M246" s="11"/>
      <c r="N246" s="11"/>
      <c r="O246" s="12"/>
      <c r="P246" s="11"/>
      <c r="Q246" s="13"/>
      <c r="R246" s="14"/>
    </row>
    <row r="247" spans="1:18" ht="15" customHeight="1" x14ac:dyDescent="0.3">
      <c r="A247" s="19" t="s">
        <v>26</v>
      </c>
      <c r="B247" s="19" t="s">
        <v>354</v>
      </c>
      <c r="C247" s="20">
        <v>0.34722222222222232</v>
      </c>
      <c r="D247" s="19" t="s">
        <v>28</v>
      </c>
      <c r="E247" s="19" t="s">
        <v>139</v>
      </c>
      <c r="F247" s="19" t="s">
        <v>93</v>
      </c>
      <c r="G247" s="298"/>
      <c r="H247" s="10"/>
      <c r="I247" s="11"/>
      <c r="J247" s="11"/>
      <c r="K247" s="11"/>
      <c r="L247" s="11"/>
      <c r="M247" s="11"/>
      <c r="N247" s="11"/>
      <c r="O247" s="12"/>
      <c r="P247" s="11"/>
      <c r="Q247" s="13"/>
      <c r="R247" s="14"/>
    </row>
    <row r="248" spans="1:18" ht="15" customHeight="1" x14ac:dyDescent="0.3">
      <c r="A248" s="15" t="s">
        <v>26</v>
      </c>
      <c r="B248" s="15" t="s">
        <v>354</v>
      </c>
      <c r="C248" s="16">
        <v>0.34722222222222232</v>
      </c>
      <c r="D248" s="15" t="s">
        <v>31</v>
      </c>
      <c r="E248" s="15" t="s">
        <v>98</v>
      </c>
      <c r="F248" s="15" t="s">
        <v>339</v>
      </c>
      <c r="G248" s="298"/>
      <c r="H248" s="10"/>
      <c r="I248" s="11"/>
      <c r="J248" s="11"/>
      <c r="K248" s="11"/>
      <c r="L248" s="11"/>
      <c r="M248" s="11"/>
      <c r="N248" s="11"/>
      <c r="O248" s="12"/>
      <c r="P248" s="11"/>
      <c r="Q248" s="13"/>
      <c r="R248" s="14"/>
    </row>
    <row r="249" spans="1:18" ht="15" customHeight="1" x14ac:dyDescent="0.3">
      <c r="A249" s="15" t="s">
        <v>26</v>
      </c>
      <c r="B249" s="15" t="s">
        <v>354</v>
      </c>
      <c r="C249" s="16">
        <v>0.34722222222222232</v>
      </c>
      <c r="D249" s="15" t="s">
        <v>34</v>
      </c>
      <c r="E249" s="15" t="s">
        <v>98</v>
      </c>
      <c r="F249" s="15" t="s">
        <v>122</v>
      </c>
      <c r="G249" s="298"/>
      <c r="H249" s="10"/>
      <c r="I249" s="11"/>
      <c r="J249" s="11"/>
      <c r="K249" s="11"/>
      <c r="L249" s="11"/>
      <c r="M249" s="11"/>
      <c r="N249" s="11"/>
      <c r="O249" s="12"/>
      <c r="P249" s="11"/>
      <c r="Q249" s="13"/>
      <c r="R249" s="14"/>
    </row>
    <row r="250" spans="1:18" ht="15" customHeight="1" x14ac:dyDescent="0.3">
      <c r="A250" s="17" t="s">
        <v>26</v>
      </c>
      <c r="B250" s="17" t="s">
        <v>350</v>
      </c>
      <c r="C250" s="18">
        <v>0.99305555555555547</v>
      </c>
      <c r="D250" s="17" t="s">
        <v>28</v>
      </c>
      <c r="E250" s="17" t="s">
        <v>75</v>
      </c>
      <c r="F250" s="17" t="s">
        <v>93</v>
      </c>
      <c r="G250" s="298"/>
      <c r="H250" s="10"/>
      <c r="I250" s="11"/>
      <c r="J250" s="11"/>
      <c r="K250" s="11"/>
      <c r="L250" s="11"/>
      <c r="M250" s="11"/>
      <c r="N250" s="11"/>
      <c r="O250" s="12"/>
      <c r="P250" s="11"/>
      <c r="Q250" s="13"/>
      <c r="R250" s="14"/>
    </row>
    <row r="251" spans="1:18" ht="15" customHeight="1" x14ac:dyDescent="0.3">
      <c r="A251" s="15" t="s">
        <v>26</v>
      </c>
      <c r="B251" s="15" t="s">
        <v>350</v>
      </c>
      <c r="C251" s="16">
        <v>0.99305555555555547</v>
      </c>
      <c r="D251" s="15" t="s">
        <v>31</v>
      </c>
      <c r="E251" s="15" t="s">
        <v>98</v>
      </c>
      <c r="F251" s="15" t="s">
        <v>339</v>
      </c>
      <c r="G251" s="298"/>
      <c r="H251" s="10"/>
      <c r="I251" s="11"/>
      <c r="J251" s="11"/>
      <c r="K251" s="11"/>
      <c r="L251" s="11"/>
      <c r="M251" s="11"/>
      <c r="N251" s="11"/>
      <c r="O251" s="12"/>
      <c r="P251" s="11"/>
      <c r="Q251" s="13"/>
      <c r="R251" s="14"/>
    </row>
    <row r="252" spans="1:18" ht="15" customHeight="1" x14ac:dyDescent="0.3">
      <c r="A252" s="15" t="s">
        <v>26</v>
      </c>
      <c r="B252" s="15" t="s">
        <v>350</v>
      </c>
      <c r="C252" s="16">
        <v>0.99305555555555547</v>
      </c>
      <c r="D252" s="15" t="s">
        <v>34</v>
      </c>
      <c r="E252" s="15" t="s">
        <v>98</v>
      </c>
      <c r="F252" s="15" t="s">
        <v>122</v>
      </c>
      <c r="G252" s="298"/>
      <c r="H252" s="10"/>
      <c r="I252" s="11"/>
      <c r="J252" s="11"/>
      <c r="K252" s="11"/>
      <c r="L252" s="11"/>
      <c r="M252" s="11"/>
      <c r="N252" s="11"/>
      <c r="O252" s="12"/>
      <c r="P252" s="11"/>
      <c r="Q252" s="13"/>
      <c r="R252" s="14"/>
    </row>
    <row r="253" spans="1:18" ht="15" customHeight="1" x14ac:dyDescent="0.3">
      <c r="A253" s="17" t="s">
        <v>26</v>
      </c>
      <c r="B253" s="17" t="s">
        <v>352</v>
      </c>
      <c r="C253" s="18">
        <v>0.94444444444444453</v>
      </c>
      <c r="D253" s="17" t="s">
        <v>351</v>
      </c>
      <c r="E253" s="17" t="s">
        <v>144</v>
      </c>
      <c r="F253" s="17" t="s">
        <v>93</v>
      </c>
      <c r="G253" s="298"/>
      <c r="H253" s="10"/>
      <c r="I253" s="11"/>
      <c r="J253" s="11"/>
      <c r="K253" s="11"/>
      <c r="L253" s="11"/>
      <c r="M253" s="11"/>
      <c r="N253" s="11"/>
      <c r="O253" s="12"/>
      <c r="P253" s="11"/>
      <c r="Q253" s="13"/>
      <c r="R253" s="14"/>
    </row>
    <row r="254" spans="1:18" ht="15" customHeight="1" x14ac:dyDescent="0.3">
      <c r="A254" s="15" t="s">
        <v>26</v>
      </c>
      <c r="B254" s="15" t="s">
        <v>352</v>
      </c>
      <c r="C254" s="16">
        <v>0.94444444444444453</v>
      </c>
      <c r="D254" s="15" t="s">
        <v>28</v>
      </c>
      <c r="E254" s="15" t="s">
        <v>133</v>
      </c>
      <c r="F254" s="15" t="s">
        <v>93</v>
      </c>
      <c r="G254" s="298"/>
      <c r="H254" s="10"/>
      <c r="I254" s="11"/>
      <c r="J254" s="11"/>
      <c r="K254" s="11"/>
      <c r="L254" s="11"/>
      <c r="M254" s="11"/>
      <c r="N254" s="11"/>
      <c r="O254" s="12"/>
      <c r="P254" s="11"/>
      <c r="Q254" s="13"/>
      <c r="R254" s="14"/>
    </row>
    <row r="255" spans="1:18" ht="15" customHeight="1" x14ac:dyDescent="0.3">
      <c r="A255" s="15" t="s">
        <v>26</v>
      </c>
      <c r="B255" s="15" t="s">
        <v>352</v>
      </c>
      <c r="C255" s="16">
        <v>0.94444444444444453</v>
      </c>
      <c r="D255" s="15" t="s">
        <v>31</v>
      </c>
      <c r="E255" s="15" t="s">
        <v>133</v>
      </c>
      <c r="F255" s="15" t="s">
        <v>339</v>
      </c>
      <c r="G255" s="298"/>
      <c r="H255" s="10"/>
      <c r="I255" s="11"/>
      <c r="J255" s="11"/>
      <c r="K255" s="11"/>
      <c r="L255" s="11"/>
      <c r="M255" s="11"/>
      <c r="N255" s="11"/>
      <c r="O255" s="12"/>
      <c r="P255" s="11"/>
      <c r="Q255" s="13"/>
      <c r="R255" s="14"/>
    </row>
    <row r="256" spans="1:18" ht="15" customHeight="1" x14ac:dyDescent="0.3">
      <c r="A256" s="15" t="s">
        <v>26</v>
      </c>
      <c r="B256" s="15" t="s">
        <v>352</v>
      </c>
      <c r="C256" s="16">
        <v>0.94444444444444453</v>
      </c>
      <c r="D256" s="15" t="s">
        <v>34</v>
      </c>
      <c r="E256" s="15" t="s">
        <v>133</v>
      </c>
      <c r="F256" s="15" t="s">
        <v>122</v>
      </c>
      <c r="G256" s="298"/>
      <c r="H256" s="10"/>
      <c r="I256" s="11"/>
      <c r="J256" s="11"/>
      <c r="K256" s="11"/>
      <c r="L256" s="11"/>
      <c r="M256" s="11"/>
      <c r="N256" s="11"/>
      <c r="O256" s="12"/>
      <c r="P256" s="11"/>
      <c r="Q256" s="13"/>
      <c r="R256" s="14"/>
    </row>
    <row r="257" spans="1:18" ht="15" customHeight="1" x14ac:dyDescent="0.3">
      <c r="A257" s="17" t="s">
        <v>26</v>
      </c>
      <c r="B257" s="17" t="s">
        <v>360</v>
      </c>
      <c r="C257" s="18">
        <v>0.4861111111111111</v>
      </c>
      <c r="D257" s="17" t="s">
        <v>351</v>
      </c>
      <c r="E257" s="17" t="s">
        <v>69</v>
      </c>
      <c r="F257" s="17" t="s">
        <v>93</v>
      </c>
      <c r="G257" s="298"/>
      <c r="H257" s="10"/>
      <c r="I257" s="11"/>
      <c r="J257" s="11"/>
      <c r="K257" s="11"/>
      <c r="L257" s="11"/>
      <c r="M257" s="11"/>
      <c r="N257" s="11"/>
      <c r="O257" s="12"/>
      <c r="P257" s="11"/>
      <c r="Q257" s="13"/>
      <c r="R257" s="14"/>
    </row>
    <row r="258" spans="1:18" ht="15" customHeight="1" x14ac:dyDescent="0.3">
      <c r="A258" s="15" t="s">
        <v>26</v>
      </c>
      <c r="B258" s="15" t="s">
        <v>360</v>
      </c>
      <c r="C258" s="16">
        <v>0.4861111111111111</v>
      </c>
      <c r="D258" s="15" t="s">
        <v>28</v>
      </c>
      <c r="E258" s="15" t="s">
        <v>87</v>
      </c>
      <c r="F258" s="15" t="s">
        <v>93</v>
      </c>
      <c r="G258" s="298"/>
      <c r="H258" s="10"/>
      <c r="I258" s="11"/>
      <c r="J258" s="11"/>
      <c r="K258" s="11"/>
      <c r="L258" s="11"/>
      <c r="M258" s="11"/>
      <c r="N258" s="11"/>
      <c r="O258" s="12"/>
      <c r="P258" s="11"/>
      <c r="Q258" s="13"/>
      <c r="R258" s="14"/>
    </row>
    <row r="259" spans="1:18" ht="15" customHeight="1" x14ac:dyDescent="0.3">
      <c r="A259" s="15" t="s">
        <v>26</v>
      </c>
      <c r="B259" s="15" t="s">
        <v>360</v>
      </c>
      <c r="C259" s="16">
        <v>0.4861111111111111</v>
      </c>
      <c r="D259" s="15" t="s">
        <v>31</v>
      </c>
      <c r="E259" s="15" t="s">
        <v>87</v>
      </c>
      <c r="F259" s="15" t="s">
        <v>339</v>
      </c>
      <c r="G259" s="298"/>
      <c r="H259" s="10"/>
      <c r="I259" s="11"/>
      <c r="J259" s="11"/>
      <c r="K259" s="11"/>
      <c r="L259" s="11"/>
      <c r="M259" s="11"/>
      <c r="N259" s="11"/>
      <c r="O259" s="12"/>
      <c r="P259" s="11"/>
      <c r="Q259" s="13"/>
      <c r="R259" s="14"/>
    </row>
    <row r="260" spans="1:18" ht="15" customHeight="1" x14ac:dyDescent="0.3">
      <c r="A260" s="15" t="s">
        <v>26</v>
      </c>
      <c r="B260" s="15" t="s">
        <v>360</v>
      </c>
      <c r="C260" s="16">
        <v>0.4861111111111111</v>
      </c>
      <c r="D260" s="15" t="s">
        <v>34</v>
      </c>
      <c r="E260" s="15" t="s">
        <v>87</v>
      </c>
      <c r="F260" s="15" t="s">
        <v>122</v>
      </c>
      <c r="G260" s="298"/>
      <c r="H260" s="10"/>
      <c r="I260" s="11"/>
      <c r="J260" s="11"/>
      <c r="K260" s="11"/>
      <c r="L260" s="11"/>
      <c r="M260" s="11"/>
      <c r="N260" s="11"/>
      <c r="O260" s="12"/>
      <c r="P260" s="11"/>
      <c r="Q260" s="13"/>
      <c r="R260" s="14"/>
    </row>
    <row r="261" spans="1:18" ht="15" customHeight="1" x14ac:dyDescent="0.3">
      <c r="A261" s="17" t="s">
        <v>26</v>
      </c>
      <c r="B261" s="17" t="s">
        <v>358</v>
      </c>
      <c r="C261" s="18">
        <v>0.88888888888888884</v>
      </c>
      <c r="D261" s="17" t="s">
        <v>351</v>
      </c>
      <c r="E261" s="17" t="s">
        <v>69</v>
      </c>
      <c r="F261" s="17" t="s">
        <v>93</v>
      </c>
      <c r="G261" s="298"/>
      <c r="H261" s="10"/>
      <c r="I261" s="11"/>
      <c r="J261" s="11"/>
      <c r="K261" s="11"/>
      <c r="L261" s="11"/>
      <c r="M261" s="11"/>
      <c r="N261" s="11"/>
      <c r="O261" s="12"/>
      <c r="P261" s="11"/>
      <c r="Q261" s="13"/>
      <c r="R261" s="14"/>
    </row>
    <row r="262" spans="1:18" ht="15" customHeight="1" x14ac:dyDescent="0.3">
      <c r="A262" s="15" t="s">
        <v>26</v>
      </c>
      <c r="B262" s="15" t="s">
        <v>358</v>
      </c>
      <c r="C262" s="16">
        <v>0.88888888888888884</v>
      </c>
      <c r="D262" s="15" t="s">
        <v>28</v>
      </c>
      <c r="E262" s="15" t="s">
        <v>87</v>
      </c>
      <c r="F262" s="15" t="s">
        <v>93</v>
      </c>
      <c r="G262" s="298"/>
      <c r="H262" s="10"/>
      <c r="I262" s="11"/>
      <c r="J262" s="11"/>
      <c r="K262" s="11"/>
      <c r="L262" s="11"/>
      <c r="M262" s="11"/>
      <c r="N262" s="11"/>
      <c r="O262" s="12"/>
      <c r="P262" s="11"/>
      <c r="Q262" s="13"/>
      <c r="R262" s="14"/>
    </row>
    <row r="263" spans="1:18" ht="15" customHeight="1" x14ac:dyDescent="0.3">
      <c r="A263" s="15" t="s">
        <v>26</v>
      </c>
      <c r="B263" s="15" t="s">
        <v>358</v>
      </c>
      <c r="C263" s="16">
        <v>0.88888888888888884</v>
      </c>
      <c r="D263" s="15" t="s">
        <v>31</v>
      </c>
      <c r="E263" s="15" t="s">
        <v>87</v>
      </c>
      <c r="F263" s="15" t="s">
        <v>339</v>
      </c>
      <c r="G263" s="298"/>
      <c r="H263" s="10"/>
      <c r="I263" s="11"/>
      <c r="J263" s="11"/>
      <c r="K263" s="11"/>
      <c r="L263" s="11"/>
      <c r="M263" s="11"/>
      <c r="N263" s="11"/>
      <c r="O263" s="12"/>
      <c r="P263" s="11"/>
      <c r="Q263" s="13"/>
      <c r="R263" s="14"/>
    </row>
    <row r="264" spans="1:18" ht="15" customHeight="1" x14ac:dyDescent="0.3">
      <c r="A264" s="15" t="s">
        <v>26</v>
      </c>
      <c r="B264" s="15" t="s">
        <v>358</v>
      </c>
      <c r="C264" s="16">
        <v>0.88888888888888884</v>
      </c>
      <c r="D264" s="15" t="s">
        <v>34</v>
      </c>
      <c r="E264" s="15" t="s">
        <v>87</v>
      </c>
      <c r="F264" s="15" t="s">
        <v>122</v>
      </c>
      <c r="G264" s="298"/>
      <c r="H264" s="10"/>
      <c r="I264" s="11"/>
      <c r="J264" s="11"/>
      <c r="K264" s="11"/>
      <c r="L264" s="11"/>
      <c r="M264" s="11"/>
      <c r="N264" s="11"/>
      <c r="O264" s="12"/>
      <c r="P264" s="11"/>
      <c r="Q264" s="13"/>
      <c r="R264" s="14"/>
    </row>
    <row r="265" spans="1:18" ht="15" customHeight="1" x14ac:dyDescent="0.3">
      <c r="A265" s="17" t="s">
        <v>26</v>
      </c>
      <c r="B265" s="17" t="s">
        <v>357</v>
      </c>
      <c r="C265" s="18">
        <v>0.3923611111111111</v>
      </c>
      <c r="D265" s="17" t="s">
        <v>351</v>
      </c>
      <c r="E265" s="17" t="s">
        <v>144</v>
      </c>
      <c r="F265" s="17" t="s">
        <v>44</v>
      </c>
      <c r="G265" s="298"/>
      <c r="H265" s="10"/>
      <c r="I265" s="11"/>
      <c r="J265" s="11"/>
      <c r="K265" s="11"/>
      <c r="L265" s="11"/>
      <c r="M265" s="11"/>
      <c r="N265" s="11"/>
      <c r="O265" s="12"/>
      <c r="P265" s="11"/>
      <c r="Q265" s="13"/>
      <c r="R265" s="14"/>
    </row>
    <row r="266" spans="1:18" ht="15" customHeight="1" x14ac:dyDescent="0.3">
      <c r="A266" s="15" t="s">
        <v>26</v>
      </c>
      <c r="B266" s="15" t="s">
        <v>357</v>
      </c>
      <c r="C266" s="16">
        <v>0.3923611111111111</v>
      </c>
      <c r="D266" s="15" t="s">
        <v>28</v>
      </c>
      <c r="E266" s="15" t="s">
        <v>133</v>
      </c>
      <c r="F266" s="15" t="s">
        <v>44</v>
      </c>
      <c r="G266" s="298"/>
      <c r="H266" s="10"/>
      <c r="I266" s="11"/>
      <c r="J266" s="11"/>
      <c r="K266" s="11"/>
      <c r="L266" s="11"/>
      <c r="M266" s="11"/>
      <c r="N266" s="11"/>
      <c r="O266" s="12"/>
      <c r="P266" s="11"/>
      <c r="Q266" s="13"/>
      <c r="R266" s="14"/>
    </row>
    <row r="267" spans="1:18" ht="15" customHeight="1" x14ac:dyDescent="0.3">
      <c r="A267" s="15" t="s">
        <v>26</v>
      </c>
      <c r="B267" s="15" t="s">
        <v>357</v>
      </c>
      <c r="C267" s="16">
        <v>0.3923611111111111</v>
      </c>
      <c r="D267" s="15" t="s">
        <v>31</v>
      </c>
      <c r="E267" s="15" t="s">
        <v>133</v>
      </c>
      <c r="F267" s="15" t="s">
        <v>95</v>
      </c>
      <c r="G267" s="298"/>
      <c r="H267" s="10"/>
      <c r="I267" s="11"/>
      <c r="J267" s="11"/>
      <c r="K267" s="11"/>
      <c r="L267" s="11"/>
      <c r="M267" s="11"/>
      <c r="N267" s="11"/>
      <c r="O267" s="12"/>
      <c r="P267" s="11"/>
      <c r="Q267" s="13"/>
      <c r="R267" s="14"/>
    </row>
    <row r="268" spans="1:18" ht="15" customHeight="1" x14ac:dyDescent="0.3">
      <c r="A268" s="15" t="s">
        <v>26</v>
      </c>
      <c r="B268" s="15" t="s">
        <v>357</v>
      </c>
      <c r="C268" s="16">
        <v>0.3923611111111111</v>
      </c>
      <c r="D268" s="15" t="s">
        <v>34</v>
      </c>
      <c r="E268" s="15" t="s">
        <v>133</v>
      </c>
      <c r="F268" s="15" t="s">
        <v>149</v>
      </c>
      <c r="G268" s="298"/>
      <c r="H268" s="10"/>
      <c r="I268" s="11"/>
      <c r="J268" s="11"/>
      <c r="K268" s="11"/>
      <c r="L268" s="11"/>
      <c r="M268" s="11"/>
      <c r="N268" s="11"/>
      <c r="O268" s="12"/>
      <c r="P268" s="11"/>
      <c r="Q268" s="13"/>
      <c r="R268" s="14"/>
    </row>
    <row r="269" spans="1:18" ht="15" customHeight="1" x14ac:dyDescent="0.3">
      <c r="A269" s="17" t="s">
        <v>26</v>
      </c>
      <c r="B269" s="17" t="s">
        <v>359</v>
      </c>
      <c r="C269" s="18">
        <v>0.73611111111111116</v>
      </c>
      <c r="D269" s="17" t="s">
        <v>351</v>
      </c>
      <c r="E269" s="17" t="s">
        <v>72</v>
      </c>
      <c r="F269" s="17" t="s">
        <v>339</v>
      </c>
      <c r="G269" s="298"/>
      <c r="H269" s="10"/>
      <c r="I269" s="11"/>
      <c r="J269" s="11"/>
      <c r="K269" s="11"/>
      <c r="L269" s="11"/>
      <c r="M269" s="11"/>
      <c r="N269" s="11"/>
      <c r="O269" s="12"/>
      <c r="P269" s="11"/>
      <c r="Q269" s="13"/>
      <c r="R269" s="14"/>
    </row>
    <row r="270" spans="1:18" ht="15" customHeight="1" x14ac:dyDescent="0.3">
      <c r="A270" s="15" t="s">
        <v>26</v>
      </c>
      <c r="B270" s="15" t="s">
        <v>359</v>
      </c>
      <c r="C270" s="16">
        <v>0.73611111111111116</v>
      </c>
      <c r="D270" s="15" t="s">
        <v>28</v>
      </c>
      <c r="E270" s="15" t="s">
        <v>84</v>
      </c>
      <c r="F270" s="15" t="s">
        <v>339</v>
      </c>
      <c r="G270" s="298"/>
      <c r="H270" s="10"/>
      <c r="I270" s="11"/>
      <c r="J270" s="11"/>
      <c r="K270" s="11"/>
      <c r="L270" s="11"/>
      <c r="M270" s="11"/>
      <c r="N270" s="11"/>
      <c r="O270" s="12"/>
      <c r="P270" s="11"/>
      <c r="Q270" s="13"/>
      <c r="R270" s="14"/>
    </row>
    <row r="271" spans="1:18" ht="15" customHeight="1" x14ac:dyDescent="0.3">
      <c r="A271" s="15" t="s">
        <v>26</v>
      </c>
      <c r="B271" s="15" t="s">
        <v>359</v>
      </c>
      <c r="C271" s="16">
        <v>0.73611111111111116</v>
      </c>
      <c r="D271" s="15" t="s">
        <v>31</v>
      </c>
      <c r="E271" s="15" t="s">
        <v>84</v>
      </c>
      <c r="F271" s="15" t="s">
        <v>35</v>
      </c>
      <c r="G271" s="298"/>
      <c r="H271" s="10"/>
      <c r="I271" s="11"/>
      <c r="J271" s="11"/>
      <c r="K271" s="11"/>
      <c r="L271" s="11"/>
      <c r="M271" s="11"/>
      <c r="N271" s="11"/>
      <c r="O271" s="12"/>
      <c r="P271" s="11"/>
      <c r="Q271" s="13"/>
      <c r="R271" s="14"/>
    </row>
    <row r="272" spans="1:18" ht="15" customHeight="1" x14ac:dyDescent="0.3">
      <c r="A272" s="15" t="s">
        <v>26</v>
      </c>
      <c r="B272" s="15" t="s">
        <v>359</v>
      </c>
      <c r="C272" s="16">
        <v>0.73611111111111116</v>
      </c>
      <c r="D272" s="15" t="s">
        <v>34</v>
      </c>
      <c r="E272" s="15" t="s">
        <v>84</v>
      </c>
      <c r="F272" s="15" t="s">
        <v>123</v>
      </c>
      <c r="G272" s="298"/>
      <c r="H272" s="10"/>
      <c r="I272" s="11"/>
      <c r="J272" s="11"/>
      <c r="K272" s="11"/>
      <c r="L272" s="11"/>
      <c r="M272" s="11"/>
      <c r="N272" s="11"/>
      <c r="O272" s="12"/>
      <c r="P272" s="11"/>
      <c r="Q272" s="13"/>
      <c r="R272" s="14"/>
    </row>
    <row r="273" spans="1:18" ht="15" customHeight="1" x14ac:dyDescent="0.3">
      <c r="A273" s="17" t="s">
        <v>26</v>
      </c>
      <c r="B273" s="17" t="s">
        <v>356</v>
      </c>
      <c r="C273" s="18">
        <v>0.83680555555555547</v>
      </c>
      <c r="D273" s="17" t="s">
        <v>351</v>
      </c>
      <c r="E273" s="17" t="s">
        <v>37</v>
      </c>
      <c r="F273" s="17" t="s">
        <v>339</v>
      </c>
      <c r="G273" s="298"/>
      <c r="H273" s="10"/>
      <c r="I273" s="11"/>
      <c r="J273" s="11"/>
      <c r="K273" s="11"/>
      <c r="L273" s="11"/>
      <c r="M273" s="11"/>
      <c r="N273" s="11"/>
      <c r="O273" s="12"/>
      <c r="P273" s="11"/>
      <c r="Q273" s="13"/>
      <c r="R273" s="14"/>
    </row>
    <row r="274" spans="1:18" ht="15" customHeight="1" x14ac:dyDescent="0.3">
      <c r="A274" s="15" t="s">
        <v>26</v>
      </c>
      <c r="B274" s="15" t="s">
        <v>356</v>
      </c>
      <c r="C274" s="16">
        <v>0.83680555555555547</v>
      </c>
      <c r="D274" s="15" t="s">
        <v>28</v>
      </c>
      <c r="E274" s="15" t="s">
        <v>38</v>
      </c>
      <c r="F274" s="15" t="s">
        <v>339</v>
      </c>
      <c r="G274" s="298"/>
      <c r="H274" s="10"/>
      <c r="I274" s="11"/>
      <c r="J274" s="11"/>
      <c r="K274" s="11"/>
      <c r="L274" s="11"/>
      <c r="M274" s="11"/>
      <c r="N274" s="11"/>
      <c r="O274" s="12"/>
      <c r="P274" s="11"/>
      <c r="Q274" s="13"/>
      <c r="R274" s="14"/>
    </row>
    <row r="275" spans="1:18" ht="15" customHeight="1" x14ac:dyDescent="0.3">
      <c r="A275" s="15" t="s">
        <v>26</v>
      </c>
      <c r="B275" s="15" t="s">
        <v>356</v>
      </c>
      <c r="C275" s="16">
        <v>0.83680555555555547</v>
      </c>
      <c r="D275" s="15" t="s">
        <v>31</v>
      </c>
      <c r="E275" s="15" t="s">
        <v>38</v>
      </c>
      <c r="F275" s="15" t="s">
        <v>35</v>
      </c>
      <c r="G275" s="298"/>
      <c r="H275" s="10"/>
      <c r="I275" s="11"/>
      <c r="J275" s="11"/>
      <c r="K275" s="11"/>
      <c r="L275" s="11"/>
      <c r="M275" s="11"/>
      <c r="N275" s="11"/>
      <c r="O275" s="12"/>
      <c r="P275" s="11"/>
      <c r="Q275" s="13"/>
      <c r="R275" s="14"/>
    </row>
    <row r="276" spans="1:18" ht="15" customHeight="1" x14ac:dyDescent="0.3">
      <c r="A276" s="15" t="s">
        <v>26</v>
      </c>
      <c r="B276" s="15" t="s">
        <v>356</v>
      </c>
      <c r="C276" s="16">
        <v>0.83680555555555547</v>
      </c>
      <c r="D276" s="15" t="s">
        <v>34</v>
      </c>
      <c r="E276" s="15" t="s">
        <v>38</v>
      </c>
      <c r="F276" s="15" t="s">
        <v>123</v>
      </c>
      <c r="G276" s="298"/>
      <c r="H276" s="10"/>
      <c r="I276" s="11"/>
      <c r="J276" s="11"/>
      <c r="K276" s="11"/>
      <c r="L276" s="11"/>
      <c r="M276" s="11"/>
      <c r="N276" s="11"/>
      <c r="O276" s="12"/>
      <c r="P276" s="11"/>
      <c r="Q276" s="13"/>
      <c r="R276" s="14"/>
    </row>
    <row r="277" spans="1:18" ht="15" customHeight="1" x14ac:dyDescent="0.3">
      <c r="A277" s="19" t="s">
        <v>385</v>
      </c>
      <c r="B277" s="19" t="s">
        <v>386</v>
      </c>
      <c r="C277" s="20">
        <v>0.49305555555555558</v>
      </c>
      <c r="D277" s="19" t="s">
        <v>101</v>
      </c>
      <c r="E277" s="19" t="s">
        <v>118</v>
      </c>
      <c r="F277" s="19" t="s">
        <v>434</v>
      </c>
      <c r="G277" s="298"/>
      <c r="H277" s="10"/>
      <c r="I277" s="11"/>
      <c r="J277" s="11"/>
      <c r="K277" s="11"/>
      <c r="L277" s="11"/>
      <c r="M277" s="11"/>
      <c r="N277" s="11"/>
      <c r="O277" s="12"/>
      <c r="P277" s="11"/>
      <c r="Q277" s="13"/>
      <c r="R277" s="14"/>
    </row>
    <row r="278" spans="1:18" ht="15" customHeight="1" x14ac:dyDescent="0.3">
      <c r="A278" s="17" t="s">
        <v>385</v>
      </c>
      <c r="B278" s="17" t="s">
        <v>435</v>
      </c>
      <c r="C278" s="18">
        <v>0.2048611111111111</v>
      </c>
      <c r="D278" s="17" t="s">
        <v>101</v>
      </c>
      <c r="E278" s="17" t="s">
        <v>75</v>
      </c>
      <c r="F278" s="17" t="s">
        <v>434</v>
      </c>
      <c r="G278" s="298"/>
      <c r="H278" s="10"/>
      <c r="I278" s="11"/>
      <c r="J278" s="11"/>
      <c r="K278" s="11"/>
      <c r="L278" s="11"/>
      <c r="M278" s="11"/>
      <c r="N278" s="11"/>
      <c r="O278" s="12"/>
      <c r="P278" s="11"/>
      <c r="Q278" s="13"/>
      <c r="R278" s="14"/>
    </row>
    <row r="279" spans="1:18" ht="15" customHeight="1" x14ac:dyDescent="0.3">
      <c r="A279" s="19" t="s">
        <v>458</v>
      </c>
      <c r="B279" s="19" t="s">
        <v>467</v>
      </c>
      <c r="C279" s="20">
        <v>0.1736111111111111</v>
      </c>
      <c r="D279" s="19" t="s">
        <v>101</v>
      </c>
      <c r="E279" s="19" t="s">
        <v>51</v>
      </c>
      <c r="F279" s="19" t="s">
        <v>460</v>
      </c>
      <c r="G279" s="298"/>
      <c r="H279" s="10"/>
      <c r="I279" s="11"/>
      <c r="J279" s="11"/>
      <c r="K279" s="11"/>
      <c r="L279" s="11"/>
      <c r="M279" s="11"/>
      <c r="N279" s="11"/>
      <c r="O279" s="12"/>
      <c r="P279" s="11"/>
      <c r="Q279" s="13"/>
      <c r="R279" s="14"/>
    </row>
    <row r="280" spans="1:18" ht="15" customHeight="1" x14ac:dyDescent="0.3">
      <c r="A280" s="154" t="s">
        <v>77</v>
      </c>
      <c r="B280" s="154" t="s">
        <v>374</v>
      </c>
      <c r="C280" s="155">
        <v>0.1423611111111111</v>
      </c>
      <c r="D280" s="154" t="s">
        <v>101</v>
      </c>
      <c r="E280" s="154" t="s">
        <v>29</v>
      </c>
      <c r="F280" s="154" t="s">
        <v>420</v>
      </c>
      <c r="G280" s="298"/>
      <c r="H280" s="157" t="s">
        <v>375</v>
      </c>
      <c r="I280" s="158">
        <v>0.93330000000000002</v>
      </c>
      <c r="J280" s="159">
        <v>168</v>
      </c>
      <c r="K280" s="160">
        <v>45980</v>
      </c>
      <c r="L280" s="159">
        <v>56</v>
      </c>
      <c r="M280" s="159">
        <v>2</v>
      </c>
      <c r="N280" s="159">
        <v>9</v>
      </c>
      <c r="O280" s="161" t="s">
        <v>425</v>
      </c>
      <c r="P280" s="162">
        <v>0.1423611111111111</v>
      </c>
      <c r="Q280" s="159">
        <v>180</v>
      </c>
      <c r="R280" s="163" t="s">
        <v>468</v>
      </c>
    </row>
    <row r="281" spans="1:18" ht="15" customHeight="1" x14ac:dyDescent="0.3">
      <c r="A281" s="201" t="s">
        <v>77</v>
      </c>
      <c r="B281" s="201" t="s">
        <v>361</v>
      </c>
      <c r="C281" s="202">
        <v>0.82986111111111116</v>
      </c>
      <c r="D281" s="201" t="s">
        <v>101</v>
      </c>
      <c r="E281" s="201" t="s">
        <v>144</v>
      </c>
      <c r="F281" s="201" t="s">
        <v>379</v>
      </c>
      <c r="G281" s="298"/>
      <c r="H281" s="78" t="s">
        <v>363</v>
      </c>
      <c r="I281" s="220">
        <v>0.56669999999999998</v>
      </c>
      <c r="J281" s="80">
        <v>102</v>
      </c>
      <c r="K281" s="81">
        <v>45980</v>
      </c>
      <c r="L281" s="80">
        <v>60</v>
      </c>
      <c r="M281" s="80">
        <v>5</v>
      </c>
      <c r="N281" s="80">
        <v>8</v>
      </c>
      <c r="O281" s="82" t="s">
        <v>469</v>
      </c>
      <c r="P281" s="83">
        <v>0.82986111111111116</v>
      </c>
      <c r="Q281" s="80">
        <v>180</v>
      </c>
      <c r="R281" s="84" t="s">
        <v>470</v>
      </c>
    </row>
    <row r="282" spans="1:18" ht="15" customHeight="1" x14ac:dyDescent="0.3">
      <c r="A282" s="195" t="s">
        <v>77</v>
      </c>
      <c r="B282" s="195" t="s">
        <v>367</v>
      </c>
      <c r="C282" s="196">
        <v>0.15625</v>
      </c>
      <c r="D282" s="195" t="s">
        <v>79</v>
      </c>
      <c r="E282" s="221"/>
      <c r="F282" s="195" t="s">
        <v>80</v>
      </c>
      <c r="G282" s="298"/>
      <c r="H282" s="181" t="s">
        <v>367</v>
      </c>
      <c r="I282" s="182">
        <v>0.99439999999999995</v>
      </c>
      <c r="J282" s="183">
        <v>179</v>
      </c>
      <c r="K282" s="184">
        <v>45980</v>
      </c>
      <c r="L282" s="183">
        <v>66</v>
      </c>
      <c r="M282" s="183">
        <v>5</v>
      </c>
      <c r="N282" s="183">
        <v>12</v>
      </c>
      <c r="O282" s="185" t="s">
        <v>81</v>
      </c>
      <c r="P282" s="186">
        <v>0.15625</v>
      </c>
      <c r="Q282" s="183">
        <v>180</v>
      </c>
      <c r="R282" s="187" t="s">
        <v>471</v>
      </c>
    </row>
    <row r="283" spans="1:18" ht="15" customHeight="1" x14ac:dyDescent="0.3">
      <c r="A283" s="222" t="s">
        <v>77</v>
      </c>
      <c r="B283" s="222" t="s">
        <v>421</v>
      </c>
      <c r="C283" s="223">
        <v>0.33333333333333331</v>
      </c>
      <c r="D283" s="222" t="s">
        <v>79</v>
      </c>
      <c r="E283" s="224"/>
      <c r="F283" s="222" t="s">
        <v>80</v>
      </c>
      <c r="G283" s="298"/>
      <c r="H283" s="206" t="s">
        <v>421</v>
      </c>
      <c r="I283" s="225">
        <v>1</v>
      </c>
      <c r="J283" s="208">
        <v>180</v>
      </c>
      <c r="K283" s="209">
        <v>45980</v>
      </c>
      <c r="L283" s="208">
        <v>58</v>
      </c>
      <c r="M283" s="208">
        <v>2</v>
      </c>
      <c r="N283" s="208">
        <v>43</v>
      </c>
      <c r="O283" s="210" t="s">
        <v>81</v>
      </c>
      <c r="P283" s="211">
        <v>0.33333333333333331</v>
      </c>
      <c r="Q283" s="208">
        <v>180</v>
      </c>
      <c r="R283" s="212" t="s">
        <v>472</v>
      </c>
    </row>
    <row r="284" spans="1:18" ht="15" customHeight="1" x14ac:dyDescent="0.3">
      <c r="A284" s="198" t="s">
        <v>77</v>
      </c>
      <c r="B284" s="198" t="s">
        <v>383</v>
      </c>
      <c r="C284" s="199">
        <v>0.4548611111111111</v>
      </c>
      <c r="D284" s="198" t="s">
        <v>79</v>
      </c>
      <c r="E284" s="226"/>
      <c r="F284" s="198" t="s">
        <v>80</v>
      </c>
      <c r="G284" s="298"/>
      <c r="H284" s="131" t="s">
        <v>383</v>
      </c>
      <c r="I284" s="132">
        <v>1</v>
      </c>
      <c r="J284" s="133">
        <v>180</v>
      </c>
      <c r="K284" s="134">
        <v>45977</v>
      </c>
      <c r="L284" s="133">
        <v>3</v>
      </c>
      <c r="M284" s="133">
        <v>0</v>
      </c>
      <c r="N284" s="133">
        <v>0</v>
      </c>
      <c r="O284" s="135" t="s">
        <v>81</v>
      </c>
      <c r="P284" s="136">
        <v>0.4548611111111111</v>
      </c>
      <c r="Q284" s="133">
        <v>180</v>
      </c>
      <c r="R284" s="137" t="s">
        <v>473</v>
      </c>
    </row>
    <row r="285" spans="1:18" ht="15" customHeight="1" x14ac:dyDescent="0.3">
      <c r="A285" s="19" t="s">
        <v>388</v>
      </c>
      <c r="B285" s="19" t="s">
        <v>389</v>
      </c>
      <c r="C285" s="20">
        <v>0.22916666666666671</v>
      </c>
      <c r="D285" s="19" t="s">
        <v>390</v>
      </c>
      <c r="E285" s="19" t="s">
        <v>83</v>
      </c>
      <c r="F285" s="19" t="s">
        <v>474</v>
      </c>
      <c r="G285" s="298"/>
      <c r="H285" s="10"/>
      <c r="I285" s="11"/>
      <c r="J285" s="11"/>
      <c r="K285" s="11"/>
      <c r="L285" s="11"/>
      <c r="M285" s="11"/>
      <c r="N285" s="11"/>
      <c r="O285" s="12"/>
      <c r="P285" s="11"/>
      <c r="Q285" s="13"/>
      <c r="R285" s="14"/>
    </row>
    <row r="286" spans="1:18" ht="15" customHeight="1" x14ac:dyDescent="0.3">
      <c r="A286" s="15" t="s">
        <v>388</v>
      </c>
      <c r="B286" s="15" t="s">
        <v>389</v>
      </c>
      <c r="C286" s="16">
        <v>0.22916666666666671</v>
      </c>
      <c r="D286" s="15" t="s">
        <v>46</v>
      </c>
      <c r="E286" s="15" t="s">
        <v>84</v>
      </c>
      <c r="F286" s="15" t="s">
        <v>475</v>
      </c>
      <c r="G286" s="298"/>
      <c r="H286" s="10"/>
      <c r="I286" s="11"/>
      <c r="J286" s="11"/>
      <c r="K286" s="11"/>
      <c r="L286" s="11"/>
      <c r="M286" s="11"/>
      <c r="N286" s="11"/>
      <c r="O286" s="12"/>
      <c r="P286" s="11"/>
      <c r="Q286" s="13"/>
      <c r="R286" s="14"/>
    </row>
    <row r="287" spans="1:18" ht="15" customHeight="1" x14ac:dyDescent="0.3">
      <c r="A287" s="19" t="s">
        <v>48</v>
      </c>
      <c r="B287" s="19" t="s">
        <v>413</v>
      </c>
      <c r="C287" s="20">
        <v>0.83680555555555547</v>
      </c>
      <c r="D287" s="19" t="s">
        <v>50</v>
      </c>
      <c r="E287" s="19" t="s">
        <v>63</v>
      </c>
      <c r="F287" s="19" t="s">
        <v>476</v>
      </c>
      <c r="G287" s="298"/>
      <c r="H287" s="10"/>
      <c r="I287" s="11"/>
      <c r="J287" s="11"/>
      <c r="K287" s="11"/>
      <c r="L287" s="11"/>
      <c r="M287" s="11"/>
      <c r="N287" s="11"/>
      <c r="O287" s="12"/>
      <c r="P287" s="11"/>
      <c r="Q287" s="13"/>
      <c r="R287" s="14"/>
    </row>
    <row r="288" spans="1:18" ht="15" customHeight="1" x14ac:dyDescent="0.3">
      <c r="A288" s="17" t="s">
        <v>48</v>
      </c>
      <c r="B288" s="17" t="s">
        <v>410</v>
      </c>
      <c r="C288" s="18">
        <v>0.97222222222222221</v>
      </c>
      <c r="D288" s="17" t="s">
        <v>50</v>
      </c>
      <c r="E288" s="17" t="s">
        <v>54</v>
      </c>
      <c r="F288" s="17" t="s">
        <v>476</v>
      </c>
      <c r="G288" s="298"/>
      <c r="H288" s="10"/>
      <c r="I288" s="11"/>
      <c r="J288" s="11"/>
      <c r="K288" s="11"/>
      <c r="L288" s="11"/>
      <c r="M288" s="11"/>
      <c r="N288" s="11"/>
      <c r="O288" s="12"/>
      <c r="P288" s="11"/>
      <c r="Q288" s="13"/>
      <c r="R288" s="14"/>
    </row>
    <row r="289" spans="1:18" ht="15" customHeight="1" x14ac:dyDescent="0.3">
      <c r="A289" s="17" t="s">
        <v>48</v>
      </c>
      <c r="B289" s="17" t="s">
        <v>406</v>
      </c>
      <c r="C289" s="18">
        <v>0.80208333333333337</v>
      </c>
      <c r="D289" s="17" t="s">
        <v>50</v>
      </c>
      <c r="E289" s="17" t="s">
        <v>54</v>
      </c>
      <c r="F289" s="17" t="s">
        <v>464</v>
      </c>
      <c r="G289" s="298"/>
      <c r="H289" s="10"/>
      <c r="I289" s="11"/>
      <c r="J289" s="11"/>
      <c r="K289" s="11"/>
      <c r="L289" s="11"/>
      <c r="M289" s="11"/>
      <c r="N289" s="11"/>
      <c r="O289" s="12"/>
      <c r="P289" s="11"/>
      <c r="Q289" s="13"/>
      <c r="R289" s="14"/>
    </row>
    <row r="290" spans="1:18" ht="15" customHeight="1" x14ac:dyDescent="0.3">
      <c r="A290" s="17" t="s">
        <v>48</v>
      </c>
      <c r="B290" s="17" t="s">
        <v>412</v>
      </c>
      <c r="C290" s="18">
        <v>0.60069444444444442</v>
      </c>
      <c r="D290" s="17" t="s">
        <v>50</v>
      </c>
      <c r="E290" s="17" t="s">
        <v>54</v>
      </c>
      <c r="F290" s="17" t="s">
        <v>464</v>
      </c>
      <c r="G290" s="298"/>
      <c r="H290" s="10"/>
      <c r="I290" s="11"/>
      <c r="J290" s="11"/>
      <c r="K290" s="11"/>
      <c r="L290" s="11"/>
      <c r="M290" s="11"/>
      <c r="N290" s="11"/>
      <c r="O290" s="12"/>
      <c r="P290" s="11"/>
      <c r="Q290" s="13"/>
      <c r="R290" s="14"/>
    </row>
    <row r="291" spans="1:18" ht="15" customHeight="1" x14ac:dyDescent="0.3">
      <c r="A291" s="17" t="s">
        <v>48</v>
      </c>
      <c r="B291" s="17" t="s">
        <v>411</v>
      </c>
      <c r="C291" s="18">
        <v>9.0277777777777776E-2</v>
      </c>
      <c r="D291" s="17" t="s">
        <v>50</v>
      </c>
      <c r="E291" s="17" t="s">
        <v>58</v>
      </c>
      <c r="F291" s="17" t="s">
        <v>409</v>
      </c>
      <c r="G291" s="298"/>
      <c r="H291" s="10"/>
      <c r="I291" s="11"/>
      <c r="J291" s="11"/>
      <c r="K291" s="11"/>
      <c r="L291" s="11"/>
      <c r="M291" s="11"/>
      <c r="N291" s="11"/>
      <c r="O291" s="12"/>
      <c r="P291" s="11"/>
      <c r="Q291" s="13"/>
      <c r="R291" s="14"/>
    </row>
    <row r="292" spans="1:18" ht="15" customHeight="1" x14ac:dyDescent="0.3">
      <c r="A292" s="19" t="s">
        <v>60</v>
      </c>
      <c r="B292" s="19" t="s">
        <v>395</v>
      </c>
      <c r="C292" s="20">
        <v>0.98958333333333337</v>
      </c>
      <c r="D292" s="19" t="s">
        <v>65</v>
      </c>
      <c r="E292" s="19" t="s">
        <v>83</v>
      </c>
      <c r="F292" s="19" t="s">
        <v>396</v>
      </c>
      <c r="G292" s="298"/>
      <c r="H292" s="10"/>
      <c r="I292" s="11"/>
      <c r="J292" s="11"/>
      <c r="K292" s="11"/>
      <c r="L292" s="11"/>
      <c r="M292" s="11"/>
      <c r="N292" s="11"/>
      <c r="O292" s="12"/>
      <c r="P292" s="11"/>
      <c r="Q292" s="13"/>
      <c r="R292" s="14"/>
    </row>
    <row r="293" spans="1:18" ht="15" customHeight="1" x14ac:dyDescent="0.3">
      <c r="A293" s="17" t="s">
        <v>60</v>
      </c>
      <c r="B293" s="17" t="s">
        <v>397</v>
      </c>
      <c r="C293" s="18">
        <v>0.39930555555555558</v>
      </c>
      <c r="D293" s="17" t="s">
        <v>65</v>
      </c>
      <c r="E293" s="17" t="s">
        <v>72</v>
      </c>
      <c r="F293" s="17" t="s">
        <v>396</v>
      </c>
      <c r="G293" s="298"/>
      <c r="H293" s="10"/>
      <c r="I293" s="11"/>
      <c r="J293" s="11"/>
      <c r="K293" s="11"/>
      <c r="L293" s="11"/>
      <c r="M293" s="11"/>
      <c r="N293" s="11"/>
      <c r="O293" s="12"/>
      <c r="P293" s="11"/>
      <c r="Q293" s="13"/>
      <c r="R293" s="14"/>
    </row>
    <row r="294" spans="1:18" ht="15" customHeight="1" x14ac:dyDescent="0.3">
      <c r="A294" s="17" t="s">
        <v>60</v>
      </c>
      <c r="B294" s="17" t="s">
        <v>398</v>
      </c>
      <c r="C294" s="18">
        <v>0.48958333333333331</v>
      </c>
      <c r="D294" s="17" t="s">
        <v>65</v>
      </c>
      <c r="E294" s="17" t="s">
        <v>72</v>
      </c>
      <c r="F294" s="17" t="s">
        <v>396</v>
      </c>
      <c r="G294" s="298"/>
      <c r="H294" s="10"/>
      <c r="I294" s="11"/>
      <c r="J294" s="11"/>
      <c r="K294" s="11"/>
      <c r="L294" s="11"/>
      <c r="M294" s="11"/>
      <c r="N294" s="11"/>
      <c r="O294" s="12"/>
      <c r="P294" s="11"/>
      <c r="Q294" s="13"/>
      <c r="R294" s="14"/>
    </row>
    <row r="295" spans="1:18" ht="15" customHeight="1" x14ac:dyDescent="0.3">
      <c r="A295" s="17" t="s">
        <v>60</v>
      </c>
      <c r="B295" s="17" t="s">
        <v>399</v>
      </c>
      <c r="C295" s="18">
        <v>0.88888888888888884</v>
      </c>
      <c r="D295" s="17" t="s">
        <v>65</v>
      </c>
      <c r="E295" s="17" t="s">
        <v>72</v>
      </c>
      <c r="F295" s="17" t="s">
        <v>396</v>
      </c>
      <c r="G295" s="298"/>
      <c r="H295" s="10"/>
      <c r="I295" s="11"/>
      <c r="J295" s="11"/>
      <c r="K295" s="11"/>
      <c r="L295" s="11"/>
      <c r="M295" s="11"/>
      <c r="N295" s="11"/>
      <c r="O295" s="12"/>
      <c r="P295" s="11"/>
      <c r="Q295" s="13"/>
      <c r="R295" s="14"/>
    </row>
    <row r="296" spans="1:18" ht="15" customHeight="1" x14ac:dyDescent="0.3">
      <c r="A296" s="17" t="s">
        <v>60</v>
      </c>
      <c r="B296" s="17" t="s">
        <v>400</v>
      </c>
      <c r="C296" s="18">
        <v>0.82986111111111116</v>
      </c>
      <c r="D296" s="17" t="s">
        <v>65</v>
      </c>
      <c r="E296" s="17" t="s">
        <v>54</v>
      </c>
      <c r="F296" s="17" t="s">
        <v>401</v>
      </c>
      <c r="G296" s="298"/>
      <c r="H296" s="10"/>
      <c r="I296" s="11"/>
      <c r="J296" s="11"/>
      <c r="K296" s="11"/>
      <c r="L296" s="11"/>
      <c r="M296" s="11"/>
      <c r="N296" s="11"/>
      <c r="O296" s="12"/>
      <c r="P296" s="11"/>
      <c r="Q296" s="13"/>
      <c r="R296" s="14"/>
    </row>
    <row r="297" spans="1:18" ht="15" customHeight="1" x14ac:dyDescent="0.3">
      <c r="A297" s="17" t="s">
        <v>60</v>
      </c>
      <c r="B297" s="17" t="s">
        <v>404</v>
      </c>
      <c r="C297" s="18">
        <v>0.72222222222222221</v>
      </c>
      <c r="D297" s="17" t="s">
        <v>65</v>
      </c>
      <c r="E297" s="17" t="s">
        <v>144</v>
      </c>
      <c r="F297" s="17" t="s">
        <v>401</v>
      </c>
      <c r="G297" s="298"/>
      <c r="H297" s="10"/>
      <c r="I297" s="11"/>
      <c r="J297" s="11"/>
      <c r="K297" s="11"/>
      <c r="L297" s="11"/>
      <c r="M297" s="11"/>
      <c r="N297" s="11"/>
      <c r="O297" s="12"/>
      <c r="P297" s="11"/>
      <c r="Q297" s="13"/>
      <c r="R297" s="14"/>
    </row>
    <row r="298" spans="1:18" ht="15" customHeight="1" x14ac:dyDescent="0.3">
      <c r="A298" s="17" t="s">
        <v>60</v>
      </c>
      <c r="B298" s="17" t="s">
        <v>402</v>
      </c>
      <c r="C298" s="18">
        <v>0.11805555555555559</v>
      </c>
      <c r="D298" s="17" t="s">
        <v>65</v>
      </c>
      <c r="E298" s="17" t="s">
        <v>58</v>
      </c>
      <c r="F298" s="17" t="s">
        <v>401</v>
      </c>
      <c r="G298" s="298"/>
      <c r="H298" s="10"/>
      <c r="I298" s="11"/>
      <c r="J298" s="11"/>
      <c r="K298" s="11"/>
      <c r="L298" s="11"/>
      <c r="M298" s="11"/>
      <c r="N298" s="11"/>
      <c r="O298" s="12"/>
      <c r="P298" s="11"/>
      <c r="Q298" s="13"/>
      <c r="R298" s="14"/>
    </row>
    <row r="299" spans="1:18" ht="15" customHeight="1" x14ac:dyDescent="0.3">
      <c r="A299" s="17" t="s">
        <v>60</v>
      </c>
      <c r="B299" s="17" t="s">
        <v>393</v>
      </c>
      <c r="C299" s="18">
        <v>0.25347222222222221</v>
      </c>
      <c r="D299" s="17" t="s">
        <v>65</v>
      </c>
      <c r="E299" s="17" t="s">
        <v>355</v>
      </c>
      <c r="F299" s="17" t="s">
        <v>401</v>
      </c>
      <c r="G299" s="298"/>
      <c r="H299" s="10"/>
      <c r="I299" s="11"/>
      <c r="J299" s="11"/>
      <c r="K299" s="11"/>
      <c r="L299" s="11"/>
      <c r="M299" s="11"/>
      <c r="N299" s="11"/>
      <c r="O299" s="12"/>
      <c r="P299" s="11"/>
      <c r="Q299" s="13"/>
      <c r="R299" s="14"/>
    </row>
    <row r="300" spans="1:18" ht="15" customHeight="1" x14ac:dyDescent="0.3">
      <c r="A300" s="17" t="s">
        <v>60</v>
      </c>
      <c r="B300" s="17" t="s">
        <v>446</v>
      </c>
      <c r="C300" s="18">
        <v>0.48958333333333331</v>
      </c>
      <c r="D300" s="17" t="s">
        <v>65</v>
      </c>
      <c r="E300" s="17" t="s">
        <v>69</v>
      </c>
      <c r="F300" s="17" t="s">
        <v>405</v>
      </c>
      <c r="G300" s="298"/>
      <c r="H300" s="10"/>
      <c r="I300" s="11"/>
      <c r="J300" s="11"/>
      <c r="K300" s="11"/>
      <c r="L300" s="11"/>
      <c r="M300" s="11"/>
      <c r="N300" s="11"/>
      <c r="O300" s="12"/>
      <c r="P300" s="11"/>
      <c r="Q300" s="13"/>
      <c r="R300" s="14"/>
    </row>
    <row r="301" spans="1:18" ht="15" customHeight="1" x14ac:dyDescent="0.3">
      <c r="A301" s="17" t="s">
        <v>60</v>
      </c>
      <c r="B301" s="17" t="s">
        <v>403</v>
      </c>
      <c r="C301" s="18">
        <v>0.70138888888888884</v>
      </c>
      <c r="D301" s="17" t="s">
        <v>65</v>
      </c>
      <c r="E301" s="17" t="s">
        <v>75</v>
      </c>
      <c r="F301" s="17" t="s">
        <v>405</v>
      </c>
      <c r="G301" s="298"/>
      <c r="H301" s="10"/>
      <c r="I301" s="11"/>
      <c r="J301" s="11"/>
      <c r="K301" s="11"/>
      <c r="L301" s="11"/>
      <c r="M301" s="11"/>
      <c r="N301" s="11"/>
      <c r="O301" s="12"/>
      <c r="P301" s="11"/>
      <c r="Q301" s="13"/>
      <c r="R301" s="14"/>
    </row>
    <row r="302" spans="1:18" ht="15" customHeight="1" thickBot="1" x14ac:dyDescent="0.35">
      <c r="A302" s="39" t="s">
        <v>60</v>
      </c>
      <c r="B302" s="39" t="s">
        <v>445</v>
      </c>
      <c r="C302" s="40">
        <v>0.94097222222222221</v>
      </c>
      <c r="D302" s="39" t="s">
        <v>65</v>
      </c>
      <c r="E302" s="39" t="s">
        <v>69</v>
      </c>
      <c r="F302" s="39" t="s">
        <v>405</v>
      </c>
      <c r="G302" s="299"/>
      <c r="H302" s="41"/>
      <c r="I302" s="42"/>
      <c r="J302" s="42"/>
      <c r="K302" s="42"/>
      <c r="L302" s="42"/>
      <c r="M302" s="42"/>
      <c r="N302" s="42"/>
      <c r="O302" s="43"/>
      <c r="P302" s="42"/>
      <c r="Q302" s="44"/>
      <c r="R302" s="45"/>
    </row>
    <row r="303" spans="1:18" ht="17.399999999999999" customHeight="1" thickBot="1" x14ac:dyDescent="0.35">
      <c r="A303" s="329"/>
      <c r="B303" s="330"/>
      <c r="C303" s="330"/>
      <c r="D303" s="330"/>
      <c r="E303" s="330"/>
      <c r="F303" s="330"/>
      <c r="G303" s="330"/>
      <c r="H303" s="330"/>
      <c r="I303" s="330"/>
      <c r="J303" s="330"/>
      <c r="K303" s="330"/>
      <c r="L303" s="330"/>
      <c r="M303" s="330"/>
      <c r="N303" s="330"/>
      <c r="O303" s="330"/>
      <c r="P303" s="330"/>
      <c r="Q303" s="330"/>
      <c r="R303" s="331"/>
    </row>
    <row r="304" spans="1:18" ht="22.05" customHeight="1" thickTop="1" thickBot="1" x14ac:dyDescent="0.35">
      <c r="A304" s="300" t="s">
        <v>6</v>
      </c>
      <c r="B304" s="295"/>
      <c r="C304" s="295"/>
      <c r="D304" s="295"/>
      <c r="E304" s="295"/>
      <c r="F304" s="296"/>
      <c r="G304" s="31">
        <v>45985</v>
      </c>
      <c r="H304" s="294" t="s">
        <v>7</v>
      </c>
      <c r="I304" s="295"/>
      <c r="J304" s="295"/>
      <c r="K304" s="295"/>
      <c r="L304" s="295"/>
      <c r="M304" s="295"/>
      <c r="N304" s="295"/>
      <c r="O304" s="295"/>
      <c r="P304" s="295"/>
      <c r="Q304" s="295"/>
      <c r="R304" s="296"/>
    </row>
    <row r="305" spans="1:18" ht="24" customHeight="1" x14ac:dyDescent="0.3">
      <c r="A305" s="32" t="s">
        <v>8</v>
      </c>
      <c r="B305" s="32" t="s">
        <v>9</v>
      </c>
      <c r="C305" s="33" t="s">
        <v>10</v>
      </c>
      <c r="D305" s="32" t="s">
        <v>11</v>
      </c>
      <c r="E305" s="32" t="s">
        <v>12</v>
      </c>
      <c r="F305" s="34" t="s">
        <v>13</v>
      </c>
      <c r="G305" s="35" t="s">
        <v>14</v>
      </c>
      <c r="H305" s="32" t="s">
        <v>15</v>
      </c>
      <c r="I305" s="36" t="s">
        <v>16</v>
      </c>
      <c r="J305" s="37" t="s">
        <v>17</v>
      </c>
      <c r="K305" s="38" t="s">
        <v>18</v>
      </c>
      <c r="L305" s="37" t="s">
        <v>19</v>
      </c>
      <c r="M305" s="37" t="s">
        <v>20</v>
      </c>
      <c r="N305" s="37" t="s">
        <v>21</v>
      </c>
      <c r="O305" s="32" t="s">
        <v>22</v>
      </c>
      <c r="P305" s="33" t="s">
        <v>23</v>
      </c>
      <c r="Q305" s="37" t="s">
        <v>24</v>
      </c>
      <c r="R305" s="32" t="s">
        <v>25</v>
      </c>
    </row>
    <row r="306" spans="1:18" ht="15" customHeight="1" x14ac:dyDescent="0.3">
      <c r="A306" s="8" t="s">
        <v>41</v>
      </c>
      <c r="B306" s="8" t="s">
        <v>340</v>
      </c>
      <c r="C306" s="9">
        <v>0.39930555555555558</v>
      </c>
      <c r="D306" s="8" t="s">
        <v>43</v>
      </c>
      <c r="E306" s="8" t="s">
        <v>96</v>
      </c>
      <c r="F306" s="8" t="s">
        <v>431</v>
      </c>
      <c r="G306" s="304"/>
      <c r="H306" s="10"/>
      <c r="I306" s="11"/>
      <c r="J306" s="11"/>
      <c r="K306" s="11"/>
      <c r="L306" s="11"/>
      <c r="M306" s="11"/>
      <c r="N306" s="11"/>
      <c r="O306" s="12"/>
      <c r="P306" s="11"/>
      <c r="Q306" s="13"/>
      <c r="R306" s="14"/>
    </row>
    <row r="307" spans="1:18" ht="15" customHeight="1" x14ac:dyDescent="0.3">
      <c r="A307" s="15" t="s">
        <v>41</v>
      </c>
      <c r="B307" s="15" t="s">
        <v>340</v>
      </c>
      <c r="C307" s="16">
        <v>0.39930555555555558</v>
      </c>
      <c r="D307" s="15" t="s">
        <v>45</v>
      </c>
      <c r="E307" s="15" t="s">
        <v>97</v>
      </c>
      <c r="F307" s="15" t="s">
        <v>143</v>
      </c>
      <c r="G307" s="298"/>
      <c r="H307" s="10"/>
      <c r="I307" s="11"/>
      <c r="J307" s="11"/>
      <c r="K307" s="11"/>
      <c r="L307" s="11"/>
      <c r="M307" s="11"/>
      <c r="N307" s="11"/>
      <c r="O307" s="12"/>
      <c r="P307" s="11"/>
      <c r="Q307" s="13"/>
      <c r="R307" s="14"/>
    </row>
    <row r="308" spans="1:18" ht="15" customHeight="1" x14ac:dyDescent="0.3">
      <c r="A308" s="15" t="s">
        <v>41</v>
      </c>
      <c r="B308" s="15" t="s">
        <v>340</v>
      </c>
      <c r="C308" s="16">
        <v>0.39930555555555558</v>
      </c>
      <c r="D308" s="15" t="s">
        <v>46</v>
      </c>
      <c r="E308" s="15" t="s">
        <v>97</v>
      </c>
      <c r="F308" s="15" t="s">
        <v>47</v>
      </c>
      <c r="G308" s="298"/>
      <c r="H308" s="10"/>
      <c r="I308" s="11"/>
      <c r="J308" s="11"/>
      <c r="K308" s="11"/>
      <c r="L308" s="11"/>
      <c r="M308" s="11"/>
      <c r="N308" s="11"/>
      <c r="O308" s="12"/>
      <c r="P308" s="11"/>
      <c r="Q308" s="13"/>
      <c r="R308" s="14"/>
    </row>
    <row r="309" spans="1:18" ht="15" customHeight="1" x14ac:dyDescent="0.3">
      <c r="A309" s="17" t="s">
        <v>41</v>
      </c>
      <c r="B309" s="17" t="s">
        <v>344</v>
      </c>
      <c r="C309" s="18">
        <v>0.48958333333333331</v>
      </c>
      <c r="D309" s="17" t="s">
        <v>43</v>
      </c>
      <c r="E309" s="17" t="s">
        <v>72</v>
      </c>
      <c r="F309" s="17" t="s">
        <v>431</v>
      </c>
      <c r="G309" s="298"/>
      <c r="H309" s="10"/>
      <c r="I309" s="11"/>
      <c r="J309" s="11"/>
      <c r="K309" s="11"/>
      <c r="L309" s="11"/>
      <c r="M309" s="11"/>
      <c r="N309" s="11"/>
      <c r="O309" s="12"/>
      <c r="P309" s="11"/>
      <c r="Q309" s="13"/>
      <c r="R309" s="14"/>
    </row>
    <row r="310" spans="1:18" ht="15" customHeight="1" x14ac:dyDescent="0.3">
      <c r="A310" s="15" t="s">
        <v>41</v>
      </c>
      <c r="B310" s="15" t="s">
        <v>344</v>
      </c>
      <c r="C310" s="16">
        <v>0.48958333333333331</v>
      </c>
      <c r="D310" s="15" t="s">
        <v>45</v>
      </c>
      <c r="E310" s="15" t="s">
        <v>84</v>
      </c>
      <c r="F310" s="15" t="s">
        <v>143</v>
      </c>
      <c r="G310" s="298"/>
      <c r="H310" s="10"/>
      <c r="I310" s="11"/>
      <c r="J310" s="11"/>
      <c r="K310" s="11"/>
      <c r="L310" s="11"/>
      <c r="M310" s="11"/>
      <c r="N310" s="11"/>
      <c r="O310" s="12"/>
      <c r="P310" s="11"/>
      <c r="Q310" s="13"/>
      <c r="R310" s="14"/>
    </row>
    <row r="311" spans="1:18" ht="15" customHeight="1" x14ac:dyDescent="0.3">
      <c r="A311" s="15" t="s">
        <v>41</v>
      </c>
      <c r="B311" s="15" t="s">
        <v>344</v>
      </c>
      <c r="C311" s="16">
        <v>0.48958333333333331</v>
      </c>
      <c r="D311" s="15" t="s">
        <v>46</v>
      </c>
      <c r="E311" s="15" t="s">
        <v>84</v>
      </c>
      <c r="F311" s="15" t="s">
        <v>47</v>
      </c>
      <c r="G311" s="298"/>
      <c r="H311" s="10"/>
      <c r="I311" s="11"/>
      <c r="J311" s="11"/>
      <c r="K311" s="11"/>
      <c r="L311" s="11"/>
      <c r="M311" s="11"/>
      <c r="N311" s="11"/>
      <c r="O311" s="12"/>
      <c r="P311" s="11"/>
      <c r="Q311" s="13"/>
      <c r="R311" s="14"/>
    </row>
    <row r="312" spans="1:18" ht="15" customHeight="1" x14ac:dyDescent="0.3">
      <c r="A312" s="17" t="s">
        <v>41</v>
      </c>
      <c r="B312" s="17" t="s">
        <v>347</v>
      </c>
      <c r="C312" s="18">
        <v>0.88888888888888884</v>
      </c>
      <c r="D312" s="17" t="s">
        <v>43</v>
      </c>
      <c r="E312" s="17" t="s">
        <v>75</v>
      </c>
      <c r="F312" s="17" t="s">
        <v>431</v>
      </c>
      <c r="G312" s="298"/>
      <c r="H312" s="10"/>
      <c r="I312" s="11"/>
      <c r="J312" s="11"/>
      <c r="K312" s="11"/>
      <c r="L312" s="11"/>
      <c r="M312" s="11"/>
      <c r="N312" s="11"/>
      <c r="O312" s="12"/>
      <c r="P312" s="11"/>
      <c r="Q312" s="13"/>
      <c r="R312" s="14"/>
    </row>
    <row r="313" spans="1:18" ht="15" customHeight="1" x14ac:dyDescent="0.3">
      <c r="A313" s="15" t="s">
        <v>41</v>
      </c>
      <c r="B313" s="15" t="s">
        <v>347</v>
      </c>
      <c r="C313" s="16">
        <v>0.88888888888888884</v>
      </c>
      <c r="D313" s="15" t="s">
        <v>45</v>
      </c>
      <c r="E313" s="15" t="s">
        <v>98</v>
      </c>
      <c r="F313" s="15" t="s">
        <v>143</v>
      </c>
      <c r="G313" s="298"/>
      <c r="H313" s="10"/>
      <c r="I313" s="11"/>
      <c r="J313" s="11"/>
      <c r="K313" s="11"/>
      <c r="L313" s="11"/>
      <c r="M313" s="11"/>
      <c r="N313" s="11"/>
      <c r="O313" s="12"/>
      <c r="P313" s="11"/>
      <c r="Q313" s="13"/>
      <c r="R313" s="14"/>
    </row>
    <row r="314" spans="1:18" ht="15" customHeight="1" x14ac:dyDescent="0.3">
      <c r="A314" s="15" t="s">
        <v>41</v>
      </c>
      <c r="B314" s="15" t="s">
        <v>347</v>
      </c>
      <c r="C314" s="16">
        <v>0.88888888888888884</v>
      </c>
      <c r="D314" s="15" t="s">
        <v>46</v>
      </c>
      <c r="E314" s="15" t="s">
        <v>98</v>
      </c>
      <c r="F314" s="15" t="s">
        <v>47</v>
      </c>
      <c r="G314" s="298"/>
      <c r="H314" s="10"/>
      <c r="I314" s="11"/>
      <c r="J314" s="11"/>
      <c r="K314" s="11"/>
      <c r="L314" s="11"/>
      <c r="M314" s="11"/>
      <c r="N314" s="11"/>
      <c r="O314" s="12"/>
      <c r="P314" s="11"/>
      <c r="Q314" s="13"/>
      <c r="R314" s="14"/>
    </row>
    <row r="315" spans="1:18" ht="15" customHeight="1" x14ac:dyDescent="0.3">
      <c r="A315" s="17" t="s">
        <v>41</v>
      </c>
      <c r="B315" s="17" t="s">
        <v>336</v>
      </c>
      <c r="C315" s="18">
        <v>0.98958333333333337</v>
      </c>
      <c r="D315" s="17" t="s">
        <v>43</v>
      </c>
      <c r="E315" s="17" t="s">
        <v>37</v>
      </c>
      <c r="F315" s="17" t="s">
        <v>431</v>
      </c>
      <c r="G315" s="298"/>
      <c r="H315" s="10"/>
      <c r="I315" s="11"/>
      <c r="J315" s="11"/>
      <c r="K315" s="11"/>
      <c r="L315" s="11"/>
      <c r="M315" s="11"/>
      <c r="N315" s="11"/>
      <c r="O315" s="12"/>
      <c r="P315" s="11"/>
      <c r="Q315" s="13"/>
      <c r="R315" s="14"/>
    </row>
    <row r="316" spans="1:18" ht="15" customHeight="1" x14ac:dyDescent="0.3">
      <c r="A316" s="15" t="s">
        <v>41</v>
      </c>
      <c r="B316" s="15" t="s">
        <v>336</v>
      </c>
      <c r="C316" s="16">
        <v>0.98958333333333337</v>
      </c>
      <c r="D316" s="15" t="s">
        <v>45</v>
      </c>
      <c r="E316" s="15" t="s">
        <v>38</v>
      </c>
      <c r="F316" s="15" t="s">
        <v>143</v>
      </c>
      <c r="G316" s="298"/>
      <c r="H316" s="10"/>
      <c r="I316" s="11"/>
      <c r="J316" s="11"/>
      <c r="K316" s="11"/>
      <c r="L316" s="11"/>
      <c r="M316" s="11"/>
      <c r="N316" s="11"/>
      <c r="O316" s="12"/>
      <c r="P316" s="11"/>
      <c r="Q316" s="13"/>
      <c r="R316" s="14"/>
    </row>
    <row r="317" spans="1:18" ht="15" customHeight="1" x14ac:dyDescent="0.3">
      <c r="A317" s="15" t="s">
        <v>41</v>
      </c>
      <c r="B317" s="15" t="s">
        <v>336</v>
      </c>
      <c r="C317" s="16">
        <v>0.98958333333333337</v>
      </c>
      <c r="D317" s="15" t="s">
        <v>46</v>
      </c>
      <c r="E317" s="15" t="s">
        <v>38</v>
      </c>
      <c r="F317" s="15" t="s">
        <v>47</v>
      </c>
      <c r="G317" s="298"/>
      <c r="H317" s="10"/>
      <c r="I317" s="11"/>
      <c r="J317" s="11"/>
      <c r="K317" s="11"/>
      <c r="L317" s="11"/>
      <c r="M317" s="11"/>
      <c r="N317" s="11"/>
      <c r="O317" s="12"/>
      <c r="P317" s="11"/>
      <c r="Q317" s="13"/>
      <c r="R317" s="14"/>
    </row>
    <row r="318" spans="1:18" ht="15" customHeight="1" x14ac:dyDescent="0.3">
      <c r="A318" s="19" t="s">
        <v>385</v>
      </c>
      <c r="B318" s="19" t="s">
        <v>435</v>
      </c>
      <c r="C318" s="20">
        <v>0.13541666666666671</v>
      </c>
      <c r="D318" s="19" t="s">
        <v>101</v>
      </c>
      <c r="E318" s="19" t="s">
        <v>63</v>
      </c>
      <c r="F318" s="19" t="s">
        <v>434</v>
      </c>
      <c r="G318" s="298"/>
      <c r="H318" s="10"/>
      <c r="I318" s="11"/>
      <c r="J318" s="11"/>
      <c r="K318" s="11"/>
      <c r="L318" s="11"/>
      <c r="M318" s="11"/>
      <c r="N318" s="11"/>
      <c r="O318" s="12"/>
      <c r="P318" s="11"/>
      <c r="Q318" s="13"/>
      <c r="R318" s="14"/>
    </row>
    <row r="319" spans="1:18" ht="15" customHeight="1" x14ac:dyDescent="0.3">
      <c r="A319" s="17" t="s">
        <v>385</v>
      </c>
      <c r="B319" s="17" t="s">
        <v>477</v>
      </c>
      <c r="C319" s="18">
        <v>0.86805555555555547</v>
      </c>
      <c r="D319" s="17" t="s">
        <v>101</v>
      </c>
      <c r="E319" s="17" t="s">
        <v>121</v>
      </c>
      <c r="F319" s="17" t="s">
        <v>434</v>
      </c>
      <c r="G319" s="298"/>
      <c r="H319" s="10"/>
      <c r="I319" s="11"/>
      <c r="J319" s="11"/>
      <c r="K319" s="11"/>
      <c r="L319" s="11"/>
      <c r="M319" s="11"/>
      <c r="N319" s="11"/>
      <c r="O319" s="12"/>
      <c r="P319" s="11"/>
      <c r="Q319" s="13"/>
      <c r="R319" s="14"/>
    </row>
    <row r="320" spans="1:18" ht="15" customHeight="1" x14ac:dyDescent="0.3">
      <c r="A320" s="17" t="s">
        <v>385</v>
      </c>
      <c r="B320" s="17" t="s">
        <v>386</v>
      </c>
      <c r="C320" s="18">
        <v>0.49305555555555558</v>
      </c>
      <c r="D320" s="17" t="s">
        <v>101</v>
      </c>
      <c r="E320" s="17" t="s">
        <v>54</v>
      </c>
      <c r="F320" s="17" t="s">
        <v>387</v>
      </c>
      <c r="G320" s="298"/>
      <c r="H320" s="10"/>
      <c r="I320" s="11"/>
      <c r="J320" s="11"/>
      <c r="K320" s="11"/>
      <c r="L320" s="11"/>
      <c r="M320" s="11"/>
      <c r="N320" s="11"/>
      <c r="O320" s="12"/>
      <c r="P320" s="11"/>
      <c r="Q320" s="13"/>
      <c r="R320" s="14"/>
    </row>
    <row r="321" spans="1:18" ht="15" customHeight="1" x14ac:dyDescent="0.3">
      <c r="A321" s="19" t="s">
        <v>26</v>
      </c>
      <c r="B321" s="19" t="s">
        <v>350</v>
      </c>
      <c r="C321" s="20">
        <v>0.99305555555555547</v>
      </c>
      <c r="D321" s="19" t="s">
        <v>28</v>
      </c>
      <c r="E321" s="19" t="s">
        <v>139</v>
      </c>
      <c r="F321" s="19" t="s">
        <v>44</v>
      </c>
      <c r="G321" s="298"/>
      <c r="H321" s="10"/>
      <c r="I321" s="11"/>
      <c r="J321" s="11"/>
      <c r="K321" s="11"/>
      <c r="L321" s="11"/>
      <c r="M321" s="11"/>
      <c r="N321" s="11"/>
      <c r="O321" s="12"/>
      <c r="P321" s="11"/>
      <c r="Q321" s="13"/>
      <c r="R321" s="14"/>
    </row>
    <row r="322" spans="1:18" ht="15" customHeight="1" x14ac:dyDescent="0.3">
      <c r="A322" s="15" t="s">
        <v>26</v>
      </c>
      <c r="B322" s="15" t="s">
        <v>350</v>
      </c>
      <c r="C322" s="16">
        <v>0.99305555555555547</v>
      </c>
      <c r="D322" s="15" t="s">
        <v>31</v>
      </c>
      <c r="E322" s="15" t="s">
        <v>98</v>
      </c>
      <c r="F322" s="15" t="s">
        <v>95</v>
      </c>
      <c r="G322" s="298"/>
      <c r="H322" s="10"/>
      <c r="I322" s="11"/>
      <c r="J322" s="11"/>
      <c r="K322" s="11"/>
      <c r="L322" s="11"/>
      <c r="M322" s="11"/>
      <c r="N322" s="11"/>
      <c r="O322" s="12"/>
      <c r="P322" s="11"/>
      <c r="Q322" s="13"/>
      <c r="R322" s="14"/>
    </row>
    <row r="323" spans="1:18" ht="15" customHeight="1" x14ac:dyDescent="0.3">
      <c r="A323" s="15" t="s">
        <v>26</v>
      </c>
      <c r="B323" s="15" t="s">
        <v>350</v>
      </c>
      <c r="C323" s="16">
        <v>0.99305555555555547</v>
      </c>
      <c r="D323" s="15" t="s">
        <v>34</v>
      </c>
      <c r="E323" s="15" t="s">
        <v>98</v>
      </c>
      <c r="F323" s="15" t="s">
        <v>149</v>
      </c>
      <c r="G323" s="298"/>
      <c r="H323" s="10"/>
      <c r="I323" s="11"/>
      <c r="J323" s="11"/>
      <c r="K323" s="11"/>
      <c r="L323" s="11"/>
      <c r="M323" s="11"/>
      <c r="N323" s="11"/>
      <c r="O323" s="12"/>
      <c r="P323" s="11"/>
      <c r="Q323" s="13"/>
      <c r="R323" s="14"/>
    </row>
    <row r="324" spans="1:18" ht="15" customHeight="1" x14ac:dyDescent="0.3">
      <c r="A324" s="17" t="s">
        <v>26</v>
      </c>
      <c r="B324" s="17" t="s">
        <v>360</v>
      </c>
      <c r="C324" s="18">
        <v>0.4861111111111111</v>
      </c>
      <c r="D324" s="17" t="s">
        <v>28</v>
      </c>
      <c r="E324" s="17" t="s">
        <v>69</v>
      </c>
      <c r="F324" s="17" t="s">
        <v>44</v>
      </c>
      <c r="G324" s="298"/>
      <c r="H324" s="10"/>
      <c r="I324" s="11"/>
      <c r="J324" s="11"/>
      <c r="K324" s="11"/>
      <c r="L324" s="11"/>
      <c r="M324" s="11"/>
      <c r="N324" s="11"/>
      <c r="O324" s="12"/>
      <c r="P324" s="11"/>
      <c r="Q324" s="13"/>
      <c r="R324" s="14"/>
    </row>
    <row r="325" spans="1:18" ht="15" customHeight="1" x14ac:dyDescent="0.3">
      <c r="A325" s="15" t="s">
        <v>26</v>
      </c>
      <c r="B325" s="15" t="s">
        <v>360</v>
      </c>
      <c r="C325" s="16">
        <v>0.4861111111111111</v>
      </c>
      <c r="D325" s="15" t="s">
        <v>31</v>
      </c>
      <c r="E325" s="15" t="s">
        <v>87</v>
      </c>
      <c r="F325" s="15" t="s">
        <v>95</v>
      </c>
      <c r="G325" s="298"/>
      <c r="H325" s="10"/>
      <c r="I325" s="11"/>
      <c r="J325" s="11"/>
      <c r="K325" s="11"/>
      <c r="L325" s="11"/>
      <c r="M325" s="11"/>
      <c r="N325" s="11"/>
      <c r="O325" s="12"/>
      <c r="P325" s="11"/>
      <c r="Q325" s="13"/>
      <c r="R325" s="14"/>
    </row>
    <row r="326" spans="1:18" ht="15" customHeight="1" x14ac:dyDescent="0.3">
      <c r="A326" s="15" t="s">
        <v>26</v>
      </c>
      <c r="B326" s="15" t="s">
        <v>360</v>
      </c>
      <c r="C326" s="16">
        <v>0.4861111111111111</v>
      </c>
      <c r="D326" s="15" t="s">
        <v>34</v>
      </c>
      <c r="E326" s="15" t="s">
        <v>87</v>
      </c>
      <c r="F326" s="15" t="s">
        <v>149</v>
      </c>
      <c r="G326" s="298"/>
      <c r="H326" s="10"/>
      <c r="I326" s="11"/>
      <c r="J326" s="11"/>
      <c r="K326" s="11"/>
      <c r="L326" s="11"/>
      <c r="M326" s="11"/>
      <c r="N326" s="11"/>
      <c r="O326" s="12"/>
      <c r="P326" s="11"/>
      <c r="Q326" s="13"/>
      <c r="R326" s="14"/>
    </row>
    <row r="327" spans="1:18" ht="15" customHeight="1" x14ac:dyDescent="0.3">
      <c r="A327" s="17" t="s">
        <v>26</v>
      </c>
      <c r="B327" s="17" t="s">
        <v>359</v>
      </c>
      <c r="C327" s="18">
        <v>0.73611111111111116</v>
      </c>
      <c r="D327" s="17" t="s">
        <v>28</v>
      </c>
      <c r="E327" s="17" t="s">
        <v>75</v>
      </c>
      <c r="F327" s="17" t="s">
        <v>339</v>
      </c>
      <c r="G327" s="298"/>
      <c r="H327" s="10"/>
      <c r="I327" s="11"/>
      <c r="J327" s="11"/>
      <c r="K327" s="11"/>
      <c r="L327" s="11"/>
      <c r="M327" s="11"/>
      <c r="N327" s="11"/>
      <c r="O327" s="12"/>
      <c r="P327" s="11"/>
      <c r="Q327" s="13"/>
      <c r="R327" s="14"/>
    </row>
    <row r="328" spans="1:18" ht="15" customHeight="1" x14ac:dyDescent="0.3">
      <c r="A328" s="15" t="s">
        <v>26</v>
      </c>
      <c r="B328" s="15" t="s">
        <v>359</v>
      </c>
      <c r="C328" s="16">
        <v>0.73611111111111116</v>
      </c>
      <c r="D328" s="15" t="s">
        <v>31</v>
      </c>
      <c r="E328" s="15" t="s">
        <v>98</v>
      </c>
      <c r="F328" s="15" t="s">
        <v>35</v>
      </c>
      <c r="G328" s="298"/>
      <c r="H328" s="10"/>
      <c r="I328" s="11"/>
      <c r="J328" s="11"/>
      <c r="K328" s="11"/>
      <c r="L328" s="11"/>
      <c r="M328" s="11"/>
      <c r="N328" s="11"/>
      <c r="O328" s="12"/>
      <c r="P328" s="11"/>
      <c r="Q328" s="13"/>
      <c r="R328" s="14"/>
    </row>
    <row r="329" spans="1:18" ht="15" customHeight="1" x14ac:dyDescent="0.3">
      <c r="A329" s="15" t="s">
        <v>26</v>
      </c>
      <c r="B329" s="15" t="s">
        <v>359</v>
      </c>
      <c r="C329" s="16">
        <v>0.73611111111111116</v>
      </c>
      <c r="D329" s="15" t="s">
        <v>34</v>
      </c>
      <c r="E329" s="15" t="s">
        <v>98</v>
      </c>
      <c r="F329" s="15" t="s">
        <v>123</v>
      </c>
      <c r="G329" s="298"/>
      <c r="H329" s="10"/>
      <c r="I329" s="11"/>
      <c r="J329" s="11"/>
      <c r="K329" s="11"/>
      <c r="L329" s="11"/>
      <c r="M329" s="11"/>
      <c r="N329" s="11"/>
      <c r="O329" s="12"/>
      <c r="P329" s="11"/>
      <c r="Q329" s="13"/>
      <c r="R329" s="14"/>
    </row>
    <row r="330" spans="1:18" ht="15" customHeight="1" x14ac:dyDescent="0.3">
      <c r="A330" s="17" t="s">
        <v>26</v>
      </c>
      <c r="B330" s="17" t="s">
        <v>356</v>
      </c>
      <c r="C330" s="18">
        <v>0.83680555555555547</v>
      </c>
      <c r="D330" s="17" t="s">
        <v>28</v>
      </c>
      <c r="E330" s="17" t="s">
        <v>144</v>
      </c>
      <c r="F330" s="17" t="s">
        <v>339</v>
      </c>
      <c r="G330" s="298"/>
      <c r="H330" s="10"/>
      <c r="I330" s="11"/>
      <c r="J330" s="11"/>
      <c r="K330" s="11"/>
      <c r="L330" s="11"/>
      <c r="M330" s="11"/>
      <c r="N330" s="11"/>
      <c r="O330" s="12"/>
      <c r="P330" s="11"/>
      <c r="Q330" s="13"/>
      <c r="R330" s="14"/>
    </row>
    <row r="331" spans="1:18" ht="15" customHeight="1" x14ac:dyDescent="0.3">
      <c r="A331" s="15" t="s">
        <v>26</v>
      </c>
      <c r="B331" s="15" t="s">
        <v>356</v>
      </c>
      <c r="C331" s="16">
        <v>0.83680555555555547</v>
      </c>
      <c r="D331" s="15" t="s">
        <v>31</v>
      </c>
      <c r="E331" s="15" t="s">
        <v>133</v>
      </c>
      <c r="F331" s="15" t="s">
        <v>35</v>
      </c>
      <c r="G331" s="298"/>
      <c r="H331" s="10"/>
      <c r="I331" s="11"/>
      <c r="J331" s="11"/>
      <c r="K331" s="11"/>
      <c r="L331" s="11"/>
      <c r="M331" s="11"/>
      <c r="N331" s="11"/>
      <c r="O331" s="12"/>
      <c r="P331" s="11"/>
      <c r="Q331" s="13"/>
      <c r="R331" s="14"/>
    </row>
    <row r="332" spans="1:18" ht="15" customHeight="1" x14ac:dyDescent="0.3">
      <c r="A332" s="15" t="s">
        <v>26</v>
      </c>
      <c r="B332" s="15" t="s">
        <v>356</v>
      </c>
      <c r="C332" s="16">
        <v>0.83680555555555547</v>
      </c>
      <c r="D332" s="15" t="s">
        <v>34</v>
      </c>
      <c r="E332" s="15" t="s">
        <v>133</v>
      </c>
      <c r="F332" s="15" t="s">
        <v>123</v>
      </c>
      <c r="G332" s="298"/>
      <c r="H332" s="10"/>
      <c r="I332" s="11"/>
      <c r="J332" s="11"/>
      <c r="K332" s="11"/>
      <c r="L332" s="11"/>
      <c r="M332" s="11"/>
      <c r="N332" s="11"/>
      <c r="O332" s="12"/>
      <c r="P332" s="11"/>
      <c r="Q332" s="13"/>
      <c r="R332" s="14"/>
    </row>
    <row r="333" spans="1:18" ht="15" customHeight="1" x14ac:dyDescent="0.3">
      <c r="A333" s="17" t="s">
        <v>26</v>
      </c>
      <c r="B333" s="17" t="s">
        <v>352</v>
      </c>
      <c r="C333" s="18">
        <v>0.94444444444444453</v>
      </c>
      <c r="D333" s="17" t="s">
        <v>28</v>
      </c>
      <c r="E333" s="17" t="s">
        <v>353</v>
      </c>
      <c r="F333" s="17" t="s">
        <v>339</v>
      </c>
      <c r="G333" s="298"/>
      <c r="H333" s="10"/>
      <c r="I333" s="11"/>
      <c r="J333" s="11"/>
      <c r="K333" s="11"/>
      <c r="L333" s="11"/>
      <c r="M333" s="11"/>
      <c r="N333" s="11"/>
      <c r="O333" s="12"/>
      <c r="P333" s="11"/>
      <c r="Q333" s="13"/>
      <c r="R333" s="14"/>
    </row>
    <row r="334" spans="1:18" ht="15" customHeight="1" x14ac:dyDescent="0.3">
      <c r="A334" s="15" t="s">
        <v>26</v>
      </c>
      <c r="B334" s="15" t="s">
        <v>352</v>
      </c>
      <c r="C334" s="16">
        <v>0.94444444444444453</v>
      </c>
      <c r="D334" s="15" t="s">
        <v>31</v>
      </c>
      <c r="E334" s="15" t="s">
        <v>97</v>
      </c>
      <c r="F334" s="15" t="s">
        <v>35</v>
      </c>
      <c r="G334" s="298"/>
      <c r="H334" s="10"/>
      <c r="I334" s="11"/>
      <c r="J334" s="11"/>
      <c r="K334" s="11"/>
      <c r="L334" s="11"/>
      <c r="M334" s="11"/>
      <c r="N334" s="11"/>
      <c r="O334" s="12"/>
      <c r="P334" s="11"/>
      <c r="Q334" s="13"/>
      <c r="R334" s="14"/>
    </row>
    <row r="335" spans="1:18" ht="15" customHeight="1" x14ac:dyDescent="0.3">
      <c r="A335" s="15" t="s">
        <v>26</v>
      </c>
      <c r="B335" s="15" t="s">
        <v>352</v>
      </c>
      <c r="C335" s="16">
        <v>0.94444444444444453</v>
      </c>
      <c r="D335" s="15" t="s">
        <v>34</v>
      </c>
      <c r="E335" s="15" t="s">
        <v>97</v>
      </c>
      <c r="F335" s="15" t="s">
        <v>123</v>
      </c>
      <c r="G335" s="298"/>
      <c r="H335" s="10"/>
      <c r="I335" s="11"/>
      <c r="J335" s="11"/>
      <c r="K335" s="11"/>
      <c r="L335" s="11"/>
      <c r="M335" s="11"/>
      <c r="N335" s="11"/>
      <c r="O335" s="12"/>
      <c r="P335" s="11"/>
      <c r="Q335" s="13"/>
      <c r="R335" s="14"/>
    </row>
    <row r="336" spans="1:18" ht="15" customHeight="1" x14ac:dyDescent="0.3">
      <c r="A336" s="17" t="s">
        <v>26</v>
      </c>
      <c r="B336" s="17" t="s">
        <v>357</v>
      </c>
      <c r="C336" s="18">
        <v>0.55902777777777779</v>
      </c>
      <c r="D336" s="17" t="s">
        <v>28</v>
      </c>
      <c r="E336" s="17" t="s">
        <v>69</v>
      </c>
      <c r="F336" s="17" t="s">
        <v>339</v>
      </c>
      <c r="G336" s="298"/>
      <c r="H336" s="10"/>
      <c r="I336" s="11"/>
      <c r="J336" s="11"/>
      <c r="K336" s="11"/>
      <c r="L336" s="11"/>
      <c r="M336" s="11"/>
      <c r="N336" s="11"/>
      <c r="O336" s="12"/>
      <c r="P336" s="11"/>
      <c r="Q336" s="13"/>
      <c r="R336" s="14"/>
    </row>
    <row r="337" spans="1:18" ht="15" customHeight="1" x14ac:dyDescent="0.3">
      <c r="A337" s="15" t="s">
        <v>26</v>
      </c>
      <c r="B337" s="15" t="s">
        <v>357</v>
      </c>
      <c r="C337" s="16">
        <v>0.55902777777777779</v>
      </c>
      <c r="D337" s="15" t="s">
        <v>31</v>
      </c>
      <c r="E337" s="15" t="s">
        <v>87</v>
      </c>
      <c r="F337" s="15" t="s">
        <v>35</v>
      </c>
      <c r="G337" s="298"/>
      <c r="H337" s="10"/>
      <c r="I337" s="11"/>
      <c r="J337" s="11"/>
      <c r="K337" s="11"/>
      <c r="L337" s="11"/>
      <c r="M337" s="11"/>
      <c r="N337" s="11"/>
      <c r="O337" s="12"/>
      <c r="P337" s="11"/>
      <c r="Q337" s="13"/>
      <c r="R337" s="14"/>
    </row>
    <row r="338" spans="1:18" ht="15" customHeight="1" x14ac:dyDescent="0.3">
      <c r="A338" s="15" t="s">
        <v>26</v>
      </c>
      <c r="B338" s="15" t="s">
        <v>357</v>
      </c>
      <c r="C338" s="16">
        <v>0.55902777777777779</v>
      </c>
      <c r="D338" s="15" t="s">
        <v>34</v>
      </c>
      <c r="E338" s="15" t="s">
        <v>87</v>
      </c>
      <c r="F338" s="15" t="s">
        <v>123</v>
      </c>
      <c r="G338" s="298"/>
      <c r="H338" s="10"/>
      <c r="I338" s="11"/>
      <c r="J338" s="11"/>
      <c r="K338" s="11"/>
      <c r="L338" s="11"/>
      <c r="M338" s="11"/>
      <c r="N338" s="11"/>
      <c r="O338" s="12"/>
      <c r="P338" s="11"/>
      <c r="Q338" s="13"/>
      <c r="R338" s="14"/>
    </row>
    <row r="339" spans="1:18" ht="15" customHeight="1" x14ac:dyDescent="0.3">
      <c r="A339" s="17" t="s">
        <v>26</v>
      </c>
      <c r="B339" s="17" t="s">
        <v>358</v>
      </c>
      <c r="C339" s="18">
        <v>0.88888888888888884</v>
      </c>
      <c r="D339" s="17" t="s">
        <v>28</v>
      </c>
      <c r="E339" s="17" t="s">
        <v>144</v>
      </c>
      <c r="F339" s="17" t="s">
        <v>339</v>
      </c>
      <c r="G339" s="298"/>
      <c r="H339" s="10"/>
      <c r="I339" s="11"/>
      <c r="J339" s="11"/>
      <c r="K339" s="11"/>
      <c r="L339" s="11"/>
      <c r="M339" s="11"/>
      <c r="N339" s="11"/>
      <c r="O339" s="12"/>
      <c r="P339" s="11"/>
      <c r="Q339" s="13"/>
      <c r="R339" s="14"/>
    </row>
    <row r="340" spans="1:18" ht="15" customHeight="1" x14ac:dyDescent="0.3">
      <c r="A340" s="15" t="s">
        <v>26</v>
      </c>
      <c r="B340" s="15" t="s">
        <v>358</v>
      </c>
      <c r="C340" s="16">
        <v>0.88888888888888884</v>
      </c>
      <c r="D340" s="15" t="s">
        <v>31</v>
      </c>
      <c r="E340" s="15" t="s">
        <v>133</v>
      </c>
      <c r="F340" s="15" t="s">
        <v>35</v>
      </c>
      <c r="G340" s="298"/>
      <c r="H340" s="10"/>
      <c r="I340" s="11"/>
      <c r="J340" s="11"/>
      <c r="K340" s="11"/>
      <c r="L340" s="11"/>
      <c r="M340" s="11"/>
      <c r="N340" s="11"/>
      <c r="O340" s="12"/>
      <c r="P340" s="11"/>
      <c r="Q340" s="13"/>
      <c r="R340" s="14"/>
    </row>
    <row r="341" spans="1:18" ht="15" customHeight="1" x14ac:dyDescent="0.3">
      <c r="A341" s="15" t="s">
        <v>26</v>
      </c>
      <c r="B341" s="15" t="s">
        <v>358</v>
      </c>
      <c r="C341" s="16">
        <v>0.88888888888888884</v>
      </c>
      <c r="D341" s="15" t="s">
        <v>34</v>
      </c>
      <c r="E341" s="15" t="s">
        <v>133</v>
      </c>
      <c r="F341" s="15" t="s">
        <v>123</v>
      </c>
      <c r="G341" s="298"/>
      <c r="H341" s="10"/>
      <c r="I341" s="11"/>
      <c r="J341" s="11"/>
      <c r="K341" s="11"/>
      <c r="L341" s="11"/>
      <c r="M341" s="11"/>
      <c r="N341" s="11"/>
      <c r="O341" s="12"/>
      <c r="P341" s="11"/>
      <c r="Q341" s="13"/>
      <c r="R341" s="14"/>
    </row>
    <row r="342" spans="1:18" ht="15" customHeight="1" x14ac:dyDescent="0.3">
      <c r="A342" s="17" t="s">
        <v>26</v>
      </c>
      <c r="B342" s="17" t="s">
        <v>354</v>
      </c>
      <c r="C342" s="18">
        <v>0.34722222222222232</v>
      </c>
      <c r="D342" s="17" t="s">
        <v>28</v>
      </c>
      <c r="E342" s="17" t="s">
        <v>355</v>
      </c>
      <c r="F342" s="17" t="s">
        <v>478</v>
      </c>
      <c r="G342" s="298"/>
      <c r="H342" s="10"/>
      <c r="I342" s="11"/>
      <c r="J342" s="11"/>
      <c r="K342" s="11"/>
      <c r="L342" s="11"/>
      <c r="M342" s="11"/>
      <c r="N342" s="11"/>
      <c r="O342" s="12"/>
      <c r="P342" s="11"/>
      <c r="Q342" s="13"/>
      <c r="R342" s="14"/>
    </row>
    <row r="343" spans="1:18" ht="15" customHeight="1" x14ac:dyDescent="0.3">
      <c r="A343" s="15" t="s">
        <v>26</v>
      </c>
      <c r="B343" s="15" t="s">
        <v>354</v>
      </c>
      <c r="C343" s="16">
        <v>0.34722222222222232</v>
      </c>
      <c r="D343" s="15" t="s">
        <v>31</v>
      </c>
      <c r="E343" s="15" t="s">
        <v>115</v>
      </c>
      <c r="F343" s="15" t="s">
        <v>457</v>
      </c>
      <c r="G343" s="298"/>
      <c r="H343" s="10"/>
      <c r="I343" s="11"/>
      <c r="J343" s="11"/>
      <c r="K343" s="11"/>
      <c r="L343" s="11"/>
      <c r="M343" s="11"/>
      <c r="N343" s="11"/>
      <c r="O343" s="12"/>
      <c r="P343" s="11"/>
      <c r="Q343" s="13"/>
      <c r="R343" s="14"/>
    </row>
    <row r="344" spans="1:18" ht="15" customHeight="1" x14ac:dyDescent="0.3">
      <c r="A344" s="15" t="s">
        <v>26</v>
      </c>
      <c r="B344" s="15" t="s">
        <v>354</v>
      </c>
      <c r="C344" s="16">
        <v>0.34722222222222232</v>
      </c>
      <c r="D344" s="15" t="s">
        <v>34</v>
      </c>
      <c r="E344" s="15" t="s">
        <v>115</v>
      </c>
      <c r="F344" s="15" t="s">
        <v>479</v>
      </c>
      <c r="G344" s="298"/>
      <c r="H344" s="10"/>
      <c r="I344" s="11"/>
      <c r="J344" s="11"/>
      <c r="K344" s="11"/>
      <c r="L344" s="11"/>
      <c r="M344" s="11"/>
      <c r="N344" s="11"/>
      <c r="O344" s="12"/>
      <c r="P344" s="11"/>
      <c r="Q344" s="13"/>
      <c r="R344" s="14"/>
    </row>
    <row r="345" spans="1:18" ht="15" customHeight="1" x14ac:dyDescent="0.3">
      <c r="A345" s="19" t="s">
        <v>458</v>
      </c>
      <c r="B345" s="19" t="s">
        <v>480</v>
      </c>
      <c r="C345" s="20">
        <v>3.4722222222222217E-2</v>
      </c>
      <c r="D345" s="19" t="s">
        <v>101</v>
      </c>
      <c r="E345" s="19" t="s">
        <v>29</v>
      </c>
      <c r="F345" s="19" t="s">
        <v>481</v>
      </c>
      <c r="G345" s="298"/>
      <c r="H345" s="10"/>
      <c r="I345" s="11"/>
      <c r="J345" s="11"/>
      <c r="K345" s="11"/>
      <c r="L345" s="11"/>
      <c r="M345" s="11"/>
      <c r="N345" s="11"/>
      <c r="O345" s="12"/>
      <c r="P345" s="11"/>
      <c r="Q345" s="13"/>
      <c r="R345" s="14"/>
    </row>
    <row r="346" spans="1:18" ht="15" customHeight="1" x14ac:dyDescent="0.3">
      <c r="A346" s="19" t="s">
        <v>388</v>
      </c>
      <c r="B346" s="19" t="s">
        <v>462</v>
      </c>
      <c r="C346" s="20">
        <v>1.388888888888889E-2</v>
      </c>
      <c r="D346" s="19" t="s">
        <v>390</v>
      </c>
      <c r="E346" s="19" t="s">
        <v>138</v>
      </c>
      <c r="F346" s="19" t="s">
        <v>482</v>
      </c>
      <c r="G346" s="298"/>
      <c r="H346" s="10"/>
      <c r="I346" s="11"/>
      <c r="J346" s="11"/>
      <c r="K346" s="11"/>
      <c r="L346" s="11"/>
      <c r="M346" s="11"/>
      <c r="N346" s="11"/>
      <c r="O346" s="12"/>
      <c r="P346" s="11"/>
      <c r="Q346" s="13"/>
      <c r="R346" s="14"/>
    </row>
    <row r="347" spans="1:18" ht="15" customHeight="1" x14ac:dyDescent="0.3">
      <c r="A347" s="15" t="s">
        <v>388</v>
      </c>
      <c r="B347" s="15" t="s">
        <v>462</v>
      </c>
      <c r="C347" s="16">
        <v>1.388888888888889E-2</v>
      </c>
      <c r="D347" s="15" t="s">
        <v>46</v>
      </c>
      <c r="E347" s="15" t="s">
        <v>38</v>
      </c>
      <c r="F347" s="15" t="s">
        <v>483</v>
      </c>
      <c r="G347" s="298"/>
      <c r="H347" s="10"/>
      <c r="I347" s="11"/>
      <c r="J347" s="11"/>
      <c r="K347" s="11"/>
      <c r="L347" s="11"/>
      <c r="M347" s="11"/>
      <c r="N347" s="11"/>
      <c r="O347" s="12"/>
      <c r="P347" s="11"/>
      <c r="Q347" s="13"/>
      <c r="R347" s="14"/>
    </row>
    <row r="348" spans="1:18" ht="15" customHeight="1" x14ac:dyDescent="0.3">
      <c r="A348" s="17" t="s">
        <v>388</v>
      </c>
      <c r="B348" s="17" t="s">
        <v>389</v>
      </c>
      <c r="C348" s="18">
        <v>0.22569444444444439</v>
      </c>
      <c r="D348" s="17" t="s">
        <v>390</v>
      </c>
      <c r="E348" s="17" t="s">
        <v>355</v>
      </c>
      <c r="F348" s="17" t="s">
        <v>484</v>
      </c>
      <c r="G348" s="298"/>
      <c r="H348" s="10"/>
      <c r="I348" s="11"/>
      <c r="J348" s="11"/>
      <c r="K348" s="11"/>
      <c r="L348" s="11"/>
      <c r="M348" s="11"/>
      <c r="N348" s="11"/>
      <c r="O348" s="12"/>
      <c r="P348" s="11"/>
      <c r="Q348" s="13"/>
      <c r="R348" s="14"/>
    </row>
    <row r="349" spans="1:18" ht="15" customHeight="1" x14ac:dyDescent="0.3">
      <c r="A349" s="15" t="s">
        <v>388</v>
      </c>
      <c r="B349" s="15" t="s">
        <v>389</v>
      </c>
      <c r="C349" s="16">
        <v>0.22569444444444439</v>
      </c>
      <c r="D349" s="15" t="s">
        <v>46</v>
      </c>
      <c r="E349" s="15" t="s">
        <v>115</v>
      </c>
      <c r="F349" s="15" t="s">
        <v>485</v>
      </c>
      <c r="G349" s="298"/>
      <c r="H349" s="10"/>
      <c r="I349" s="11"/>
      <c r="J349" s="11"/>
      <c r="K349" s="11"/>
      <c r="L349" s="11"/>
      <c r="M349" s="11"/>
      <c r="N349" s="11"/>
      <c r="O349" s="12"/>
      <c r="P349" s="11"/>
      <c r="Q349" s="13"/>
      <c r="R349" s="14"/>
    </row>
    <row r="350" spans="1:18" ht="15" customHeight="1" x14ac:dyDescent="0.3">
      <c r="A350" s="179" t="s">
        <v>77</v>
      </c>
      <c r="B350" s="179" t="s">
        <v>419</v>
      </c>
      <c r="C350" s="180">
        <v>0.80208333333333337</v>
      </c>
      <c r="D350" s="179" t="s">
        <v>101</v>
      </c>
      <c r="E350" s="179" t="s">
        <v>51</v>
      </c>
      <c r="F350" s="179" t="s">
        <v>366</v>
      </c>
      <c r="G350" s="298"/>
      <c r="H350" s="181" t="s">
        <v>421</v>
      </c>
      <c r="I350" s="197">
        <v>0.7389</v>
      </c>
      <c r="J350" s="183">
        <v>133</v>
      </c>
      <c r="K350" s="184">
        <v>45979</v>
      </c>
      <c r="L350" s="183">
        <v>46</v>
      </c>
      <c r="M350" s="183">
        <v>0</v>
      </c>
      <c r="N350" s="183">
        <v>2</v>
      </c>
      <c r="O350" s="185" t="s">
        <v>486</v>
      </c>
      <c r="P350" s="186">
        <v>0.80208333333333337</v>
      </c>
      <c r="Q350" s="183">
        <v>180</v>
      </c>
      <c r="R350" s="187" t="s">
        <v>487</v>
      </c>
    </row>
    <row r="351" spans="1:18" ht="15" customHeight="1" x14ac:dyDescent="0.3">
      <c r="A351" s="222" t="s">
        <v>77</v>
      </c>
      <c r="B351" s="222" t="s">
        <v>375</v>
      </c>
      <c r="C351" s="223">
        <v>0.24652777777777779</v>
      </c>
      <c r="D351" s="222" t="s">
        <v>79</v>
      </c>
      <c r="E351" s="224"/>
      <c r="F351" s="222" t="s">
        <v>80</v>
      </c>
      <c r="G351" s="298"/>
      <c r="H351" s="206" t="s">
        <v>375</v>
      </c>
      <c r="I351" s="225">
        <v>1</v>
      </c>
      <c r="J351" s="208">
        <v>180</v>
      </c>
      <c r="K351" s="209">
        <v>45978</v>
      </c>
      <c r="L351" s="208">
        <v>16</v>
      </c>
      <c r="M351" s="208">
        <v>0</v>
      </c>
      <c r="N351" s="208">
        <v>0</v>
      </c>
      <c r="O351" s="210" t="s">
        <v>81</v>
      </c>
      <c r="P351" s="211">
        <v>0.24652777777777779</v>
      </c>
      <c r="Q351" s="208">
        <v>180</v>
      </c>
      <c r="R351" s="212" t="s">
        <v>488</v>
      </c>
    </row>
    <row r="352" spans="1:18" ht="15" customHeight="1" x14ac:dyDescent="0.3">
      <c r="A352" s="201" t="s">
        <v>77</v>
      </c>
      <c r="B352" s="201" t="s">
        <v>383</v>
      </c>
      <c r="C352" s="202">
        <v>0.4375</v>
      </c>
      <c r="D352" s="201" t="s">
        <v>79</v>
      </c>
      <c r="E352" s="203"/>
      <c r="F352" s="201" t="s">
        <v>80</v>
      </c>
      <c r="G352" s="298"/>
      <c r="H352" s="78" t="s">
        <v>383</v>
      </c>
      <c r="I352" s="79">
        <v>1.0056</v>
      </c>
      <c r="J352" s="80">
        <v>181</v>
      </c>
      <c r="K352" s="81">
        <v>45979</v>
      </c>
      <c r="L352" s="80">
        <v>13</v>
      </c>
      <c r="M352" s="80">
        <v>0</v>
      </c>
      <c r="N352" s="80">
        <v>1</v>
      </c>
      <c r="O352" s="82" t="s">
        <v>81</v>
      </c>
      <c r="P352" s="83">
        <v>0.4375</v>
      </c>
      <c r="Q352" s="80">
        <v>180</v>
      </c>
      <c r="R352" s="84" t="s">
        <v>489</v>
      </c>
    </row>
    <row r="353" spans="1:18" ht="15" customHeight="1" x14ac:dyDescent="0.3">
      <c r="A353" s="19" t="s">
        <v>48</v>
      </c>
      <c r="B353" s="19" t="s">
        <v>410</v>
      </c>
      <c r="C353" s="20">
        <v>0.97222222222222221</v>
      </c>
      <c r="D353" s="19" t="s">
        <v>50</v>
      </c>
      <c r="E353" s="19" t="s">
        <v>63</v>
      </c>
      <c r="F353" s="19" t="s">
        <v>443</v>
      </c>
      <c r="G353" s="298"/>
      <c r="H353" s="10"/>
      <c r="I353" s="11"/>
      <c r="J353" s="11"/>
      <c r="K353" s="11"/>
      <c r="L353" s="11"/>
      <c r="M353" s="11"/>
      <c r="N353" s="11"/>
      <c r="O353" s="12"/>
      <c r="P353" s="11"/>
      <c r="Q353" s="13"/>
      <c r="R353" s="14"/>
    </row>
    <row r="354" spans="1:18" ht="15" customHeight="1" x14ac:dyDescent="0.3">
      <c r="A354" s="17" t="s">
        <v>48</v>
      </c>
      <c r="B354" s="17" t="s">
        <v>413</v>
      </c>
      <c r="C354" s="18">
        <v>0.83680555555555547</v>
      </c>
      <c r="D354" s="17" t="s">
        <v>50</v>
      </c>
      <c r="E354" s="17" t="s">
        <v>121</v>
      </c>
      <c r="F354" s="17" t="s">
        <v>409</v>
      </c>
      <c r="G354" s="298"/>
      <c r="H354" s="10"/>
      <c r="I354" s="11"/>
      <c r="J354" s="11"/>
      <c r="K354" s="11"/>
      <c r="L354" s="11"/>
      <c r="M354" s="11"/>
      <c r="N354" s="11"/>
      <c r="O354" s="12"/>
      <c r="P354" s="11"/>
      <c r="Q354" s="13"/>
      <c r="R354" s="14"/>
    </row>
    <row r="355" spans="1:18" ht="15" customHeight="1" x14ac:dyDescent="0.3">
      <c r="A355" s="17" t="s">
        <v>48</v>
      </c>
      <c r="B355" s="17" t="s">
        <v>408</v>
      </c>
      <c r="C355" s="18">
        <v>0.3125</v>
      </c>
      <c r="D355" s="17" t="s">
        <v>50</v>
      </c>
      <c r="E355" s="17" t="s">
        <v>72</v>
      </c>
      <c r="F355" s="17" t="s">
        <v>409</v>
      </c>
      <c r="G355" s="298"/>
      <c r="H355" s="10"/>
      <c r="I355" s="11"/>
      <c r="J355" s="11"/>
      <c r="K355" s="11"/>
      <c r="L355" s="11"/>
      <c r="M355" s="11"/>
      <c r="N355" s="11"/>
      <c r="O355" s="12"/>
      <c r="P355" s="11"/>
      <c r="Q355" s="13"/>
      <c r="R355" s="14"/>
    </row>
    <row r="356" spans="1:18" ht="15" customHeight="1" x14ac:dyDescent="0.3">
      <c r="A356" s="17" t="s">
        <v>48</v>
      </c>
      <c r="B356" s="17" t="s">
        <v>411</v>
      </c>
      <c r="C356" s="18">
        <v>0.1041666666666667</v>
      </c>
      <c r="D356" s="17" t="s">
        <v>50</v>
      </c>
      <c r="E356" s="17" t="s">
        <v>69</v>
      </c>
      <c r="F356" s="17" t="s">
        <v>409</v>
      </c>
      <c r="G356" s="298"/>
      <c r="H356" s="10"/>
      <c r="I356" s="11"/>
      <c r="J356" s="11"/>
      <c r="K356" s="11"/>
      <c r="L356" s="11"/>
      <c r="M356" s="11"/>
      <c r="N356" s="11"/>
      <c r="O356" s="12"/>
      <c r="P356" s="11"/>
      <c r="Q356" s="13"/>
      <c r="R356" s="14"/>
    </row>
    <row r="357" spans="1:18" ht="15" customHeight="1" x14ac:dyDescent="0.3">
      <c r="A357" s="17" t="s">
        <v>48</v>
      </c>
      <c r="B357" s="17" t="s">
        <v>463</v>
      </c>
      <c r="C357" s="18">
        <v>0.37847222222222232</v>
      </c>
      <c r="D357" s="17" t="s">
        <v>50</v>
      </c>
      <c r="E357" s="17" t="s">
        <v>54</v>
      </c>
      <c r="F357" s="17" t="s">
        <v>409</v>
      </c>
      <c r="G357" s="298"/>
      <c r="H357" s="10"/>
      <c r="I357" s="11"/>
      <c r="J357" s="11"/>
      <c r="K357" s="11"/>
      <c r="L357" s="11"/>
      <c r="M357" s="11"/>
      <c r="N357" s="11"/>
      <c r="O357" s="12"/>
      <c r="P357" s="11"/>
      <c r="Q357" s="13"/>
      <c r="R357" s="14"/>
    </row>
    <row r="358" spans="1:18" ht="15" customHeight="1" x14ac:dyDescent="0.3">
      <c r="A358" s="17" t="s">
        <v>48</v>
      </c>
      <c r="B358" s="17" t="s">
        <v>406</v>
      </c>
      <c r="C358" s="18">
        <v>0.78472222222222221</v>
      </c>
      <c r="D358" s="17" t="s">
        <v>50</v>
      </c>
      <c r="E358" s="17" t="s">
        <v>54</v>
      </c>
      <c r="F358" s="17" t="s">
        <v>409</v>
      </c>
      <c r="G358" s="298"/>
      <c r="H358" s="10"/>
      <c r="I358" s="11"/>
      <c r="J358" s="11"/>
      <c r="K358" s="11"/>
      <c r="L358" s="11"/>
      <c r="M358" s="11"/>
      <c r="N358" s="11"/>
      <c r="O358" s="12"/>
      <c r="P358" s="11"/>
      <c r="Q358" s="13"/>
      <c r="R358" s="14"/>
    </row>
    <row r="359" spans="1:18" ht="15" customHeight="1" x14ac:dyDescent="0.3">
      <c r="A359" s="17" t="s">
        <v>48</v>
      </c>
      <c r="B359" s="17" t="s">
        <v>412</v>
      </c>
      <c r="C359" s="18">
        <v>0.60069444444444442</v>
      </c>
      <c r="D359" s="17" t="s">
        <v>50</v>
      </c>
      <c r="E359" s="17" t="s">
        <v>54</v>
      </c>
      <c r="F359" s="17" t="s">
        <v>409</v>
      </c>
      <c r="G359" s="298"/>
      <c r="H359" s="10"/>
      <c r="I359" s="11"/>
      <c r="J359" s="11"/>
      <c r="K359" s="11"/>
      <c r="L359" s="11"/>
      <c r="M359" s="11"/>
      <c r="N359" s="11"/>
      <c r="O359" s="12"/>
      <c r="P359" s="11"/>
      <c r="Q359" s="13"/>
      <c r="R359" s="14"/>
    </row>
    <row r="360" spans="1:18" ht="15" customHeight="1" x14ac:dyDescent="0.3">
      <c r="A360" s="17" t="s">
        <v>48</v>
      </c>
      <c r="B360" s="17" t="s">
        <v>415</v>
      </c>
      <c r="C360" s="18">
        <v>4.8611111111111112E-2</v>
      </c>
      <c r="D360" s="17" t="s">
        <v>50</v>
      </c>
      <c r="E360" s="17" t="s">
        <v>72</v>
      </c>
      <c r="F360" s="17" t="s">
        <v>409</v>
      </c>
      <c r="G360" s="298"/>
      <c r="H360" s="10"/>
      <c r="I360" s="11"/>
      <c r="J360" s="11"/>
      <c r="K360" s="11"/>
      <c r="L360" s="11"/>
      <c r="M360" s="11"/>
      <c r="N360" s="11"/>
      <c r="O360" s="12"/>
      <c r="P360" s="11"/>
      <c r="Q360" s="13"/>
      <c r="R360" s="14"/>
    </row>
    <row r="361" spans="1:18" ht="15" customHeight="1" x14ac:dyDescent="0.3">
      <c r="A361" s="19" t="s">
        <v>60</v>
      </c>
      <c r="B361" s="19" t="s">
        <v>403</v>
      </c>
      <c r="C361" s="20">
        <v>0.70138888888888884</v>
      </c>
      <c r="D361" s="19" t="s">
        <v>65</v>
      </c>
      <c r="E361" s="19" t="s">
        <v>63</v>
      </c>
      <c r="F361" s="19" t="s">
        <v>490</v>
      </c>
      <c r="G361" s="298"/>
      <c r="H361" s="10"/>
      <c r="I361" s="11"/>
      <c r="J361" s="11"/>
      <c r="K361" s="11"/>
      <c r="L361" s="11"/>
      <c r="M361" s="11"/>
      <c r="N361" s="11"/>
      <c r="O361" s="12"/>
      <c r="P361" s="11"/>
      <c r="Q361" s="13"/>
      <c r="R361" s="14"/>
    </row>
    <row r="362" spans="1:18" ht="15" customHeight="1" x14ac:dyDescent="0.3">
      <c r="A362" s="17" t="s">
        <v>60</v>
      </c>
      <c r="B362" s="17" t="s">
        <v>446</v>
      </c>
      <c r="C362" s="18">
        <v>0.48958333333333331</v>
      </c>
      <c r="D362" s="17" t="s">
        <v>65</v>
      </c>
      <c r="E362" s="17" t="s">
        <v>72</v>
      </c>
      <c r="F362" s="17" t="s">
        <v>394</v>
      </c>
      <c r="G362" s="298"/>
      <c r="H362" s="10"/>
      <c r="I362" s="11"/>
      <c r="J362" s="11"/>
      <c r="K362" s="11"/>
      <c r="L362" s="11"/>
      <c r="M362" s="11"/>
      <c r="N362" s="11"/>
      <c r="O362" s="12"/>
      <c r="P362" s="11"/>
      <c r="Q362" s="13"/>
      <c r="R362" s="14"/>
    </row>
    <row r="363" spans="1:18" ht="15" customHeight="1" x14ac:dyDescent="0.3">
      <c r="A363" s="17" t="s">
        <v>60</v>
      </c>
      <c r="B363" s="17" t="s">
        <v>402</v>
      </c>
      <c r="C363" s="18">
        <v>0.11805555555555559</v>
      </c>
      <c r="D363" s="17" t="s">
        <v>65</v>
      </c>
      <c r="E363" s="17" t="s">
        <v>54</v>
      </c>
      <c r="F363" s="17" t="s">
        <v>394</v>
      </c>
      <c r="G363" s="298"/>
      <c r="H363" s="10"/>
      <c r="I363" s="11"/>
      <c r="J363" s="11"/>
      <c r="K363" s="11"/>
      <c r="L363" s="11"/>
      <c r="M363" s="11"/>
      <c r="N363" s="11"/>
      <c r="O363" s="12"/>
      <c r="P363" s="11"/>
      <c r="Q363" s="13"/>
      <c r="R363" s="14"/>
    </row>
    <row r="364" spans="1:18" ht="15" customHeight="1" x14ac:dyDescent="0.3">
      <c r="A364" s="17" t="s">
        <v>60</v>
      </c>
      <c r="B364" s="17" t="s">
        <v>393</v>
      </c>
      <c r="C364" s="18">
        <v>0.25347222222222221</v>
      </c>
      <c r="D364" s="17" t="s">
        <v>65</v>
      </c>
      <c r="E364" s="17" t="s">
        <v>54</v>
      </c>
      <c r="F364" s="17" t="s">
        <v>394</v>
      </c>
      <c r="G364" s="298"/>
      <c r="H364" s="10"/>
      <c r="I364" s="11"/>
      <c r="J364" s="11"/>
      <c r="K364" s="11"/>
      <c r="L364" s="11"/>
      <c r="M364" s="11"/>
      <c r="N364" s="11"/>
      <c r="O364" s="12"/>
      <c r="P364" s="11"/>
      <c r="Q364" s="13"/>
      <c r="R364" s="14"/>
    </row>
    <row r="365" spans="1:18" ht="15" customHeight="1" x14ac:dyDescent="0.3">
      <c r="A365" s="17" t="s">
        <v>60</v>
      </c>
      <c r="B365" s="17" t="s">
        <v>444</v>
      </c>
      <c r="C365" s="18">
        <v>4.1666666666666657E-2</v>
      </c>
      <c r="D365" s="17" t="s">
        <v>65</v>
      </c>
      <c r="E365" s="17" t="s">
        <v>54</v>
      </c>
      <c r="F365" s="17" t="s">
        <v>394</v>
      </c>
      <c r="G365" s="298"/>
      <c r="H365" s="10"/>
      <c r="I365" s="11"/>
      <c r="J365" s="11"/>
      <c r="K365" s="11"/>
      <c r="L365" s="11"/>
      <c r="M365" s="11"/>
      <c r="N365" s="11"/>
      <c r="O365" s="12"/>
      <c r="P365" s="11"/>
      <c r="Q365" s="13"/>
      <c r="R365" s="14"/>
    </row>
    <row r="366" spans="1:18" ht="15" customHeight="1" x14ac:dyDescent="0.3">
      <c r="A366" s="17" t="s">
        <v>60</v>
      </c>
      <c r="B366" s="17" t="s">
        <v>445</v>
      </c>
      <c r="C366" s="18">
        <v>0.94097222222222221</v>
      </c>
      <c r="D366" s="17" t="s">
        <v>65</v>
      </c>
      <c r="E366" s="17" t="s">
        <v>75</v>
      </c>
      <c r="F366" s="17" t="s">
        <v>394</v>
      </c>
      <c r="G366" s="298"/>
      <c r="H366" s="10"/>
      <c r="I366" s="11"/>
      <c r="J366" s="11"/>
      <c r="K366" s="11"/>
      <c r="L366" s="11"/>
      <c r="M366" s="11"/>
      <c r="N366" s="11"/>
      <c r="O366" s="12"/>
      <c r="P366" s="11"/>
      <c r="Q366" s="13"/>
      <c r="R366" s="14"/>
    </row>
    <row r="367" spans="1:18" ht="15" customHeight="1" x14ac:dyDescent="0.3">
      <c r="A367" s="17" t="s">
        <v>60</v>
      </c>
      <c r="B367" s="17" t="s">
        <v>395</v>
      </c>
      <c r="C367" s="18">
        <v>0.98958333333333337</v>
      </c>
      <c r="D367" s="17" t="s">
        <v>65</v>
      </c>
      <c r="E367" s="17" t="s">
        <v>72</v>
      </c>
      <c r="F367" s="17" t="s">
        <v>396</v>
      </c>
      <c r="G367" s="298"/>
      <c r="H367" s="10"/>
      <c r="I367" s="11"/>
      <c r="J367" s="11"/>
      <c r="K367" s="11"/>
      <c r="L367" s="11"/>
      <c r="M367" s="11"/>
      <c r="N367" s="11"/>
      <c r="O367" s="12"/>
      <c r="P367" s="11"/>
      <c r="Q367" s="13"/>
      <c r="R367" s="14"/>
    </row>
    <row r="368" spans="1:18" ht="15" customHeight="1" x14ac:dyDescent="0.3">
      <c r="A368" s="17" t="s">
        <v>60</v>
      </c>
      <c r="B368" s="17" t="s">
        <v>397</v>
      </c>
      <c r="C368" s="18">
        <v>0.39930555555555558</v>
      </c>
      <c r="D368" s="17" t="s">
        <v>65</v>
      </c>
      <c r="E368" s="17" t="s">
        <v>72</v>
      </c>
      <c r="F368" s="17" t="s">
        <v>396</v>
      </c>
      <c r="G368" s="298"/>
      <c r="H368" s="10"/>
      <c r="I368" s="11"/>
      <c r="J368" s="11"/>
      <c r="K368" s="11"/>
      <c r="L368" s="11"/>
      <c r="M368" s="11"/>
      <c r="N368" s="11"/>
      <c r="O368" s="12"/>
      <c r="P368" s="11"/>
      <c r="Q368" s="13"/>
      <c r="R368" s="14"/>
    </row>
    <row r="369" spans="1:18" ht="15" customHeight="1" x14ac:dyDescent="0.3">
      <c r="A369" s="17" t="s">
        <v>60</v>
      </c>
      <c r="B369" s="17" t="s">
        <v>398</v>
      </c>
      <c r="C369" s="18">
        <v>0.48958333333333331</v>
      </c>
      <c r="D369" s="17" t="s">
        <v>65</v>
      </c>
      <c r="E369" s="17" t="s">
        <v>72</v>
      </c>
      <c r="F369" s="17" t="s">
        <v>491</v>
      </c>
      <c r="G369" s="298"/>
      <c r="H369" s="10"/>
      <c r="I369" s="11"/>
      <c r="J369" s="11"/>
      <c r="K369" s="11"/>
      <c r="L369" s="11"/>
      <c r="M369" s="11"/>
      <c r="N369" s="11"/>
      <c r="O369" s="12"/>
      <c r="P369" s="11"/>
      <c r="Q369" s="13"/>
      <c r="R369" s="14"/>
    </row>
    <row r="370" spans="1:18" ht="15" customHeight="1" x14ac:dyDescent="0.3">
      <c r="A370" s="17" t="s">
        <v>60</v>
      </c>
      <c r="B370" s="17" t="s">
        <v>399</v>
      </c>
      <c r="C370" s="18">
        <v>0.88888888888888884</v>
      </c>
      <c r="D370" s="17" t="s">
        <v>65</v>
      </c>
      <c r="E370" s="17" t="s">
        <v>72</v>
      </c>
      <c r="F370" s="17" t="s">
        <v>491</v>
      </c>
      <c r="G370" s="298"/>
      <c r="H370" s="10"/>
      <c r="I370" s="11"/>
      <c r="J370" s="11"/>
      <c r="K370" s="11"/>
      <c r="L370" s="11"/>
      <c r="M370" s="11"/>
      <c r="N370" s="11"/>
      <c r="O370" s="12"/>
      <c r="P370" s="11"/>
      <c r="Q370" s="13"/>
      <c r="R370" s="14"/>
    </row>
    <row r="371" spans="1:18" ht="15" customHeight="1" x14ac:dyDescent="0.3">
      <c r="A371" s="17" t="s">
        <v>60</v>
      </c>
      <c r="B371" s="17" t="s">
        <v>400</v>
      </c>
      <c r="C371" s="18">
        <v>0.82986111111111116</v>
      </c>
      <c r="D371" s="17" t="s">
        <v>65</v>
      </c>
      <c r="E371" s="17" t="s">
        <v>54</v>
      </c>
      <c r="F371" s="17" t="s">
        <v>401</v>
      </c>
      <c r="G371" s="298"/>
      <c r="H371" s="10"/>
      <c r="I371" s="11"/>
      <c r="J371" s="11"/>
      <c r="K371" s="11"/>
      <c r="L371" s="11"/>
      <c r="M371" s="11"/>
      <c r="N371" s="11"/>
      <c r="O371" s="12"/>
      <c r="P371" s="11"/>
      <c r="Q371" s="13"/>
      <c r="R371" s="14"/>
    </row>
    <row r="372" spans="1:18" ht="15" customHeight="1" thickBot="1" x14ac:dyDescent="0.35">
      <c r="A372" s="39" t="s">
        <v>60</v>
      </c>
      <c r="B372" s="39" t="s">
        <v>404</v>
      </c>
      <c r="C372" s="40">
        <v>0.72222222222222221</v>
      </c>
      <c r="D372" s="39" t="s">
        <v>65</v>
      </c>
      <c r="E372" s="39" t="s">
        <v>54</v>
      </c>
      <c r="F372" s="39" t="s">
        <v>401</v>
      </c>
      <c r="G372" s="299"/>
      <c r="H372" s="41"/>
      <c r="I372" s="42"/>
      <c r="J372" s="42"/>
      <c r="K372" s="42"/>
      <c r="L372" s="42"/>
      <c r="M372" s="42"/>
      <c r="N372" s="42"/>
      <c r="O372" s="43"/>
      <c r="P372" s="42"/>
      <c r="Q372" s="44"/>
      <c r="R372" s="45"/>
    </row>
    <row r="373" spans="1:18" ht="17.399999999999999" customHeight="1" thickBot="1" x14ac:dyDescent="0.35">
      <c r="A373" s="329"/>
      <c r="B373" s="330"/>
      <c r="C373" s="330"/>
      <c r="D373" s="330"/>
      <c r="E373" s="330"/>
      <c r="F373" s="330"/>
      <c r="G373" s="330"/>
      <c r="H373" s="330"/>
      <c r="I373" s="330"/>
      <c r="J373" s="330"/>
      <c r="K373" s="330"/>
      <c r="L373" s="330"/>
      <c r="M373" s="330"/>
      <c r="N373" s="330"/>
      <c r="O373" s="330"/>
      <c r="P373" s="330"/>
      <c r="Q373" s="330"/>
      <c r="R373" s="331"/>
    </row>
    <row r="374" spans="1:18" ht="22.05" customHeight="1" thickTop="1" thickBot="1" x14ac:dyDescent="0.35">
      <c r="A374" s="300" t="s">
        <v>6</v>
      </c>
      <c r="B374" s="295"/>
      <c r="C374" s="295"/>
      <c r="D374" s="295"/>
      <c r="E374" s="295"/>
      <c r="F374" s="296"/>
      <c r="G374" s="31">
        <v>45986</v>
      </c>
      <c r="H374" s="294" t="s">
        <v>7</v>
      </c>
      <c r="I374" s="295"/>
      <c r="J374" s="295"/>
      <c r="K374" s="295"/>
      <c r="L374" s="295"/>
      <c r="M374" s="295"/>
      <c r="N374" s="295"/>
      <c r="O374" s="295"/>
      <c r="P374" s="295"/>
      <c r="Q374" s="295"/>
      <c r="R374" s="296"/>
    </row>
    <row r="375" spans="1:18" ht="24" customHeight="1" x14ac:dyDescent="0.3">
      <c r="A375" s="32" t="s">
        <v>8</v>
      </c>
      <c r="B375" s="32" t="s">
        <v>9</v>
      </c>
      <c r="C375" s="33" t="s">
        <v>10</v>
      </c>
      <c r="D375" s="32" t="s">
        <v>11</v>
      </c>
      <c r="E375" s="32" t="s">
        <v>12</v>
      </c>
      <c r="F375" s="34" t="s">
        <v>13</v>
      </c>
      <c r="G375" s="35" t="s">
        <v>14</v>
      </c>
      <c r="H375" s="32" t="s">
        <v>15</v>
      </c>
      <c r="I375" s="36" t="s">
        <v>16</v>
      </c>
      <c r="J375" s="37" t="s">
        <v>17</v>
      </c>
      <c r="K375" s="38" t="s">
        <v>18</v>
      </c>
      <c r="L375" s="37" t="s">
        <v>19</v>
      </c>
      <c r="M375" s="37" t="s">
        <v>20</v>
      </c>
      <c r="N375" s="37" t="s">
        <v>21</v>
      </c>
      <c r="O375" s="32" t="s">
        <v>22</v>
      </c>
      <c r="P375" s="33" t="s">
        <v>23</v>
      </c>
      <c r="Q375" s="37" t="s">
        <v>24</v>
      </c>
      <c r="R375" s="32" t="s">
        <v>25</v>
      </c>
    </row>
    <row r="376" spans="1:18" ht="15" customHeight="1" x14ac:dyDescent="0.3">
      <c r="A376" s="8" t="s">
        <v>41</v>
      </c>
      <c r="B376" s="8" t="s">
        <v>340</v>
      </c>
      <c r="C376" s="9">
        <v>0.39930555555555558</v>
      </c>
      <c r="D376" s="8" t="s">
        <v>43</v>
      </c>
      <c r="E376" s="8" t="s">
        <v>29</v>
      </c>
      <c r="F376" s="8" t="s">
        <v>492</v>
      </c>
      <c r="G376" s="304"/>
      <c r="H376" s="10"/>
      <c r="I376" s="11"/>
      <c r="J376" s="11"/>
      <c r="K376" s="11"/>
      <c r="L376" s="11"/>
      <c r="M376" s="11"/>
      <c r="N376" s="11"/>
      <c r="O376" s="12"/>
      <c r="P376" s="11"/>
      <c r="Q376" s="13"/>
      <c r="R376" s="14"/>
    </row>
    <row r="377" spans="1:18" ht="15" customHeight="1" x14ac:dyDescent="0.3">
      <c r="A377" s="15" t="s">
        <v>41</v>
      </c>
      <c r="B377" s="15" t="s">
        <v>340</v>
      </c>
      <c r="C377" s="16">
        <v>0.39930555555555558</v>
      </c>
      <c r="D377" s="15" t="s">
        <v>45</v>
      </c>
      <c r="E377" s="15" t="s">
        <v>32</v>
      </c>
      <c r="F377" s="15" t="s">
        <v>493</v>
      </c>
      <c r="G377" s="298"/>
      <c r="H377" s="10"/>
      <c r="I377" s="11"/>
      <c r="J377" s="11"/>
      <c r="K377" s="11"/>
      <c r="L377" s="11"/>
      <c r="M377" s="11"/>
      <c r="N377" s="11"/>
      <c r="O377" s="12"/>
      <c r="P377" s="11"/>
      <c r="Q377" s="13"/>
      <c r="R377" s="14"/>
    </row>
    <row r="378" spans="1:18" ht="15" customHeight="1" x14ac:dyDescent="0.3">
      <c r="A378" s="15" t="s">
        <v>41</v>
      </c>
      <c r="B378" s="15" t="s">
        <v>340</v>
      </c>
      <c r="C378" s="16">
        <v>0.39930555555555558</v>
      </c>
      <c r="D378" s="15" t="s">
        <v>46</v>
      </c>
      <c r="E378" s="15" t="s">
        <v>32</v>
      </c>
      <c r="F378" s="15" t="s">
        <v>47</v>
      </c>
      <c r="G378" s="298"/>
      <c r="H378" s="10"/>
      <c r="I378" s="11"/>
      <c r="J378" s="11"/>
      <c r="K378" s="11"/>
      <c r="L378" s="11"/>
      <c r="M378" s="11"/>
      <c r="N378" s="11"/>
      <c r="O378" s="12"/>
      <c r="P378" s="11"/>
      <c r="Q378" s="13"/>
      <c r="R378" s="14"/>
    </row>
    <row r="379" spans="1:18" ht="15" customHeight="1" x14ac:dyDescent="0.3">
      <c r="A379" s="17" t="s">
        <v>41</v>
      </c>
      <c r="B379" s="17" t="s">
        <v>344</v>
      </c>
      <c r="C379" s="18">
        <v>0.48958333333333331</v>
      </c>
      <c r="D379" s="17" t="s">
        <v>43</v>
      </c>
      <c r="E379" s="17" t="s">
        <v>454</v>
      </c>
      <c r="F379" s="17" t="s">
        <v>492</v>
      </c>
      <c r="G379" s="298"/>
      <c r="H379" s="10"/>
      <c r="I379" s="11"/>
      <c r="J379" s="11"/>
      <c r="K379" s="11"/>
      <c r="L379" s="11"/>
      <c r="M379" s="11"/>
      <c r="N379" s="11"/>
      <c r="O379" s="12"/>
      <c r="P379" s="11"/>
      <c r="Q379" s="13"/>
      <c r="R379" s="14"/>
    </row>
    <row r="380" spans="1:18" ht="15" customHeight="1" x14ac:dyDescent="0.3">
      <c r="A380" s="15" t="s">
        <v>41</v>
      </c>
      <c r="B380" s="15" t="s">
        <v>344</v>
      </c>
      <c r="C380" s="16">
        <v>0.48958333333333331</v>
      </c>
      <c r="D380" s="15" t="s">
        <v>45</v>
      </c>
      <c r="E380" s="15" t="s">
        <v>106</v>
      </c>
      <c r="F380" s="15" t="s">
        <v>493</v>
      </c>
      <c r="G380" s="298"/>
      <c r="H380" s="10"/>
      <c r="I380" s="11"/>
      <c r="J380" s="11"/>
      <c r="K380" s="11"/>
      <c r="L380" s="11"/>
      <c r="M380" s="11"/>
      <c r="N380" s="11"/>
      <c r="O380" s="12"/>
      <c r="P380" s="11"/>
      <c r="Q380" s="13"/>
      <c r="R380" s="14"/>
    </row>
    <row r="381" spans="1:18" ht="15" customHeight="1" x14ac:dyDescent="0.3">
      <c r="A381" s="15" t="s">
        <v>41</v>
      </c>
      <c r="B381" s="15" t="s">
        <v>344</v>
      </c>
      <c r="C381" s="16">
        <v>0.48958333333333331</v>
      </c>
      <c r="D381" s="15" t="s">
        <v>46</v>
      </c>
      <c r="E381" s="15" t="s">
        <v>106</v>
      </c>
      <c r="F381" s="15" t="s">
        <v>47</v>
      </c>
      <c r="G381" s="298"/>
      <c r="H381" s="10"/>
      <c r="I381" s="11"/>
      <c r="J381" s="11"/>
      <c r="K381" s="11"/>
      <c r="L381" s="11"/>
      <c r="M381" s="11"/>
      <c r="N381" s="11"/>
      <c r="O381" s="12"/>
      <c r="P381" s="11"/>
      <c r="Q381" s="13"/>
      <c r="R381" s="14"/>
    </row>
    <row r="382" spans="1:18" ht="15" customHeight="1" x14ac:dyDescent="0.3">
      <c r="A382" s="17" t="s">
        <v>41</v>
      </c>
      <c r="B382" s="17" t="s">
        <v>347</v>
      </c>
      <c r="C382" s="18">
        <v>0.88888888888888884</v>
      </c>
      <c r="D382" s="17" t="s">
        <v>43</v>
      </c>
      <c r="E382" s="17" t="s">
        <v>144</v>
      </c>
      <c r="F382" s="17" t="s">
        <v>492</v>
      </c>
      <c r="G382" s="298"/>
      <c r="H382" s="10"/>
      <c r="I382" s="11"/>
      <c r="J382" s="11"/>
      <c r="K382" s="11"/>
      <c r="L382" s="11"/>
      <c r="M382" s="11"/>
      <c r="N382" s="11"/>
      <c r="O382" s="12"/>
      <c r="P382" s="11"/>
      <c r="Q382" s="13"/>
      <c r="R382" s="14"/>
    </row>
    <row r="383" spans="1:18" ht="15" customHeight="1" x14ac:dyDescent="0.3">
      <c r="A383" s="15" t="s">
        <v>41</v>
      </c>
      <c r="B383" s="15" t="s">
        <v>347</v>
      </c>
      <c r="C383" s="16">
        <v>0.88888888888888884</v>
      </c>
      <c r="D383" s="15" t="s">
        <v>45</v>
      </c>
      <c r="E383" s="15" t="s">
        <v>133</v>
      </c>
      <c r="F383" s="15" t="s">
        <v>493</v>
      </c>
      <c r="G383" s="298"/>
      <c r="H383" s="10"/>
      <c r="I383" s="11"/>
      <c r="J383" s="11"/>
      <c r="K383" s="11"/>
      <c r="L383" s="11"/>
      <c r="M383" s="11"/>
      <c r="N383" s="11"/>
      <c r="O383" s="12"/>
      <c r="P383" s="11"/>
      <c r="Q383" s="13"/>
      <c r="R383" s="14"/>
    </row>
    <row r="384" spans="1:18" ht="15" customHeight="1" x14ac:dyDescent="0.3">
      <c r="A384" s="15" t="s">
        <v>41</v>
      </c>
      <c r="B384" s="15" t="s">
        <v>347</v>
      </c>
      <c r="C384" s="16">
        <v>0.88888888888888884</v>
      </c>
      <c r="D384" s="15" t="s">
        <v>46</v>
      </c>
      <c r="E384" s="15" t="s">
        <v>133</v>
      </c>
      <c r="F384" s="15" t="s">
        <v>47</v>
      </c>
      <c r="G384" s="298"/>
      <c r="H384" s="10"/>
      <c r="I384" s="11"/>
      <c r="J384" s="11"/>
      <c r="K384" s="11"/>
      <c r="L384" s="11"/>
      <c r="M384" s="11"/>
      <c r="N384" s="11"/>
      <c r="O384" s="12"/>
      <c r="P384" s="11"/>
      <c r="Q384" s="13"/>
      <c r="R384" s="14"/>
    </row>
    <row r="385" spans="1:18" ht="15" customHeight="1" x14ac:dyDescent="0.3">
      <c r="A385" s="17" t="s">
        <v>41</v>
      </c>
      <c r="B385" s="17" t="s">
        <v>336</v>
      </c>
      <c r="C385" s="18">
        <v>0.98958333333333337</v>
      </c>
      <c r="D385" s="17" t="s">
        <v>43</v>
      </c>
      <c r="E385" s="17" t="s">
        <v>58</v>
      </c>
      <c r="F385" s="17" t="s">
        <v>492</v>
      </c>
      <c r="G385" s="298"/>
      <c r="H385" s="10"/>
      <c r="I385" s="11"/>
      <c r="J385" s="11"/>
      <c r="K385" s="11"/>
      <c r="L385" s="11"/>
      <c r="M385" s="11"/>
      <c r="N385" s="11"/>
      <c r="O385" s="12"/>
      <c r="P385" s="11"/>
      <c r="Q385" s="13"/>
      <c r="R385" s="14"/>
    </row>
    <row r="386" spans="1:18" ht="15" customHeight="1" x14ac:dyDescent="0.3">
      <c r="A386" s="15" t="s">
        <v>41</v>
      </c>
      <c r="B386" s="15" t="s">
        <v>336</v>
      </c>
      <c r="C386" s="16">
        <v>0.98958333333333337</v>
      </c>
      <c r="D386" s="15" t="s">
        <v>45</v>
      </c>
      <c r="E386" s="15" t="s">
        <v>119</v>
      </c>
      <c r="F386" s="15" t="s">
        <v>493</v>
      </c>
      <c r="G386" s="298"/>
      <c r="H386" s="10"/>
      <c r="I386" s="11"/>
      <c r="J386" s="11"/>
      <c r="K386" s="11"/>
      <c r="L386" s="11"/>
      <c r="M386" s="11"/>
      <c r="N386" s="11"/>
      <c r="O386" s="12"/>
      <c r="P386" s="11"/>
      <c r="Q386" s="13"/>
      <c r="R386" s="14"/>
    </row>
    <row r="387" spans="1:18" ht="15" customHeight="1" x14ac:dyDescent="0.3">
      <c r="A387" s="15" t="s">
        <v>41</v>
      </c>
      <c r="B387" s="15" t="s">
        <v>336</v>
      </c>
      <c r="C387" s="16">
        <v>0.98958333333333337</v>
      </c>
      <c r="D387" s="15" t="s">
        <v>46</v>
      </c>
      <c r="E387" s="15" t="s">
        <v>119</v>
      </c>
      <c r="F387" s="15" t="s">
        <v>47</v>
      </c>
      <c r="G387" s="298"/>
      <c r="H387" s="10"/>
      <c r="I387" s="11"/>
      <c r="J387" s="11"/>
      <c r="K387" s="11"/>
      <c r="L387" s="11"/>
      <c r="M387" s="11"/>
      <c r="N387" s="11"/>
      <c r="O387" s="12"/>
      <c r="P387" s="11"/>
      <c r="Q387" s="13"/>
      <c r="R387" s="14"/>
    </row>
    <row r="388" spans="1:18" ht="15" customHeight="1" x14ac:dyDescent="0.3">
      <c r="A388" s="19" t="s">
        <v>26</v>
      </c>
      <c r="B388" s="19" t="s">
        <v>354</v>
      </c>
      <c r="C388" s="20">
        <v>0.34722222222222232</v>
      </c>
      <c r="D388" s="19" t="s">
        <v>28</v>
      </c>
      <c r="E388" s="19" t="s">
        <v>118</v>
      </c>
      <c r="F388" s="19" t="s">
        <v>339</v>
      </c>
      <c r="G388" s="298"/>
      <c r="H388" s="10"/>
      <c r="I388" s="11"/>
      <c r="J388" s="11"/>
      <c r="K388" s="11"/>
      <c r="L388" s="11"/>
      <c r="M388" s="11"/>
      <c r="N388" s="11"/>
      <c r="O388" s="12"/>
      <c r="P388" s="11"/>
      <c r="Q388" s="13"/>
      <c r="R388" s="14"/>
    </row>
    <row r="389" spans="1:18" ht="15" customHeight="1" x14ac:dyDescent="0.3">
      <c r="A389" s="15" t="s">
        <v>26</v>
      </c>
      <c r="B389" s="15" t="s">
        <v>354</v>
      </c>
      <c r="C389" s="16">
        <v>0.34722222222222232</v>
      </c>
      <c r="D389" s="15" t="s">
        <v>31</v>
      </c>
      <c r="E389" s="15" t="s">
        <v>119</v>
      </c>
      <c r="F389" s="15" t="s">
        <v>35</v>
      </c>
      <c r="G389" s="298"/>
      <c r="H389" s="10"/>
      <c r="I389" s="11"/>
      <c r="J389" s="11"/>
      <c r="K389" s="11"/>
      <c r="L389" s="11"/>
      <c r="M389" s="11"/>
      <c r="N389" s="11"/>
      <c r="O389" s="12"/>
      <c r="P389" s="11"/>
      <c r="Q389" s="13"/>
      <c r="R389" s="14"/>
    </row>
    <row r="390" spans="1:18" ht="15" customHeight="1" x14ac:dyDescent="0.3">
      <c r="A390" s="15" t="s">
        <v>26</v>
      </c>
      <c r="B390" s="15" t="s">
        <v>354</v>
      </c>
      <c r="C390" s="16">
        <v>0.34722222222222232</v>
      </c>
      <c r="D390" s="15" t="s">
        <v>34</v>
      </c>
      <c r="E390" s="15" t="s">
        <v>119</v>
      </c>
      <c r="F390" s="15" t="s">
        <v>123</v>
      </c>
      <c r="G390" s="298"/>
      <c r="H390" s="10"/>
      <c r="I390" s="11"/>
      <c r="J390" s="11"/>
      <c r="K390" s="11"/>
      <c r="L390" s="11"/>
      <c r="M390" s="11"/>
      <c r="N390" s="11"/>
      <c r="O390" s="12"/>
      <c r="P390" s="11"/>
      <c r="Q390" s="13"/>
      <c r="R390" s="14"/>
    </row>
    <row r="391" spans="1:18" ht="15" customHeight="1" x14ac:dyDescent="0.3">
      <c r="A391" s="17" t="s">
        <v>26</v>
      </c>
      <c r="B391" s="17" t="s">
        <v>350</v>
      </c>
      <c r="C391" s="18">
        <v>0.99305555555555547</v>
      </c>
      <c r="D391" s="17" t="s">
        <v>28</v>
      </c>
      <c r="E391" s="17" t="s">
        <v>69</v>
      </c>
      <c r="F391" s="17" t="s">
        <v>339</v>
      </c>
      <c r="G391" s="298"/>
      <c r="H391" s="10"/>
      <c r="I391" s="11"/>
      <c r="J391" s="11"/>
      <c r="K391" s="11"/>
      <c r="L391" s="11"/>
      <c r="M391" s="11"/>
      <c r="N391" s="11"/>
      <c r="O391" s="12"/>
      <c r="P391" s="11"/>
      <c r="Q391" s="13"/>
      <c r="R391" s="14"/>
    </row>
    <row r="392" spans="1:18" ht="15" customHeight="1" x14ac:dyDescent="0.3">
      <c r="A392" s="15" t="s">
        <v>26</v>
      </c>
      <c r="B392" s="15" t="s">
        <v>350</v>
      </c>
      <c r="C392" s="16">
        <v>0.99305555555555547</v>
      </c>
      <c r="D392" s="15" t="s">
        <v>31</v>
      </c>
      <c r="E392" s="15" t="s">
        <v>87</v>
      </c>
      <c r="F392" s="15" t="s">
        <v>35</v>
      </c>
      <c r="G392" s="298"/>
      <c r="H392" s="10"/>
      <c r="I392" s="11"/>
      <c r="J392" s="11"/>
      <c r="K392" s="11"/>
      <c r="L392" s="11"/>
      <c r="M392" s="11"/>
      <c r="N392" s="11"/>
      <c r="O392" s="12"/>
      <c r="P392" s="11"/>
      <c r="Q392" s="13"/>
      <c r="R392" s="14"/>
    </row>
    <row r="393" spans="1:18" ht="15" customHeight="1" x14ac:dyDescent="0.3">
      <c r="A393" s="15" t="s">
        <v>26</v>
      </c>
      <c r="B393" s="15" t="s">
        <v>350</v>
      </c>
      <c r="C393" s="16">
        <v>0.99305555555555547</v>
      </c>
      <c r="D393" s="15" t="s">
        <v>34</v>
      </c>
      <c r="E393" s="15" t="s">
        <v>87</v>
      </c>
      <c r="F393" s="15" t="s">
        <v>123</v>
      </c>
      <c r="G393" s="298"/>
      <c r="H393" s="10"/>
      <c r="I393" s="11"/>
      <c r="J393" s="11"/>
      <c r="K393" s="11"/>
      <c r="L393" s="11"/>
      <c r="M393" s="11"/>
      <c r="N393" s="11"/>
      <c r="O393" s="12"/>
      <c r="P393" s="11"/>
      <c r="Q393" s="13"/>
      <c r="R393" s="14"/>
    </row>
    <row r="394" spans="1:18" ht="15" customHeight="1" x14ac:dyDescent="0.3">
      <c r="A394" s="17" t="s">
        <v>26</v>
      </c>
      <c r="B394" s="17" t="s">
        <v>360</v>
      </c>
      <c r="C394" s="18">
        <v>0.4861111111111111</v>
      </c>
      <c r="D394" s="17" t="s">
        <v>28</v>
      </c>
      <c r="E394" s="17" t="s">
        <v>69</v>
      </c>
      <c r="F394" s="17" t="s">
        <v>339</v>
      </c>
      <c r="G394" s="298"/>
      <c r="H394" s="10"/>
      <c r="I394" s="11"/>
      <c r="J394" s="11"/>
      <c r="K394" s="11"/>
      <c r="L394" s="11"/>
      <c r="M394" s="11"/>
      <c r="N394" s="11"/>
      <c r="O394" s="12"/>
      <c r="P394" s="11"/>
      <c r="Q394" s="13"/>
      <c r="R394" s="14"/>
    </row>
    <row r="395" spans="1:18" ht="15" customHeight="1" x14ac:dyDescent="0.3">
      <c r="A395" s="15" t="s">
        <v>26</v>
      </c>
      <c r="B395" s="15" t="s">
        <v>360</v>
      </c>
      <c r="C395" s="16">
        <v>0.4861111111111111</v>
      </c>
      <c r="D395" s="15" t="s">
        <v>31</v>
      </c>
      <c r="E395" s="15" t="s">
        <v>87</v>
      </c>
      <c r="F395" s="15" t="s">
        <v>35</v>
      </c>
      <c r="G395" s="298"/>
      <c r="H395" s="10"/>
      <c r="I395" s="11"/>
      <c r="J395" s="11"/>
      <c r="K395" s="11"/>
      <c r="L395" s="11"/>
      <c r="M395" s="11"/>
      <c r="N395" s="11"/>
      <c r="O395" s="12"/>
      <c r="P395" s="11"/>
      <c r="Q395" s="13"/>
      <c r="R395" s="14"/>
    </row>
    <row r="396" spans="1:18" ht="15" customHeight="1" x14ac:dyDescent="0.3">
      <c r="A396" s="15" t="s">
        <v>26</v>
      </c>
      <c r="B396" s="15" t="s">
        <v>360</v>
      </c>
      <c r="C396" s="16">
        <v>0.4861111111111111</v>
      </c>
      <c r="D396" s="15" t="s">
        <v>34</v>
      </c>
      <c r="E396" s="15" t="s">
        <v>87</v>
      </c>
      <c r="F396" s="15" t="s">
        <v>123</v>
      </c>
      <c r="G396" s="298"/>
      <c r="H396" s="10"/>
      <c r="I396" s="11"/>
      <c r="J396" s="11"/>
      <c r="K396" s="11"/>
      <c r="L396" s="11"/>
      <c r="M396" s="11"/>
      <c r="N396" s="11"/>
      <c r="O396" s="12"/>
      <c r="P396" s="11"/>
      <c r="Q396" s="13"/>
      <c r="R396" s="14"/>
    </row>
    <row r="397" spans="1:18" ht="15" customHeight="1" x14ac:dyDescent="0.3">
      <c r="A397" s="17" t="s">
        <v>26</v>
      </c>
      <c r="B397" s="17" t="s">
        <v>357</v>
      </c>
      <c r="C397" s="18">
        <v>0.3923611111111111</v>
      </c>
      <c r="D397" s="17" t="s">
        <v>28</v>
      </c>
      <c r="E397" s="17" t="s">
        <v>69</v>
      </c>
      <c r="F397" s="17" t="s">
        <v>339</v>
      </c>
      <c r="G397" s="298"/>
      <c r="H397" s="10"/>
      <c r="I397" s="11"/>
      <c r="J397" s="11"/>
      <c r="K397" s="11"/>
      <c r="L397" s="11"/>
      <c r="M397" s="11"/>
      <c r="N397" s="11"/>
      <c r="O397" s="12"/>
      <c r="P397" s="11"/>
      <c r="Q397" s="13"/>
      <c r="R397" s="14"/>
    </row>
    <row r="398" spans="1:18" ht="15" customHeight="1" x14ac:dyDescent="0.3">
      <c r="A398" s="15" t="s">
        <v>26</v>
      </c>
      <c r="B398" s="15" t="s">
        <v>357</v>
      </c>
      <c r="C398" s="16">
        <v>0.3923611111111111</v>
      </c>
      <c r="D398" s="15" t="s">
        <v>31</v>
      </c>
      <c r="E398" s="15" t="s">
        <v>87</v>
      </c>
      <c r="F398" s="15" t="s">
        <v>35</v>
      </c>
      <c r="G398" s="298"/>
      <c r="H398" s="10"/>
      <c r="I398" s="11"/>
      <c r="J398" s="11"/>
      <c r="K398" s="11"/>
      <c r="L398" s="11"/>
      <c r="M398" s="11"/>
      <c r="N398" s="11"/>
      <c r="O398" s="12"/>
      <c r="P398" s="11"/>
      <c r="Q398" s="13"/>
      <c r="R398" s="14"/>
    </row>
    <row r="399" spans="1:18" ht="15" customHeight="1" x14ac:dyDescent="0.3">
      <c r="A399" s="15" t="s">
        <v>26</v>
      </c>
      <c r="B399" s="15" t="s">
        <v>357</v>
      </c>
      <c r="C399" s="16">
        <v>0.3923611111111111</v>
      </c>
      <c r="D399" s="15" t="s">
        <v>34</v>
      </c>
      <c r="E399" s="15" t="s">
        <v>87</v>
      </c>
      <c r="F399" s="15" t="s">
        <v>123</v>
      </c>
      <c r="G399" s="298"/>
      <c r="H399" s="10"/>
      <c r="I399" s="11"/>
      <c r="J399" s="11"/>
      <c r="K399" s="11"/>
      <c r="L399" s="11"/>
      <c r="M399" s="11"/>
      <c r="N399" s="11"/>
      <c r="O399" s="12"/>
      <c r="P399" s="11"/>
      <c r="Q399" s="13"/>
      <c r="R399" s="14"/>
    </row>
    <row r="400" spans="1:18" ht="15" customHeight="1" x14ac:dyDescent="0.3">
      <c r="A400" s="17" t="s">
        <v>26</v>
      </c>
      <c r="B400" s="17" t="s">
        <v>356</v>
      </c>
      <c r="C400" s="18">
        <v>0.83680555555555547</v>
      </c>
      <c r="D400" s="17" t="s">
        <v>28</v>
      </c>
      <c r="E400" s="17" t="s">
        <v>353</v>
      </c>
      <c r="F400" s="17" t="s">
        <v>456</v>
      </c>
      <c r="G400" s="298"/>
      <c r="H400" s="10"/>
      <c r="I400" s="11"/>
      <c r="J400" s="11"/>
      <c r="K400" s="11"/>
      <c r="L400" s="11"/>
      <c r="M400" s="11"/>
      <c r="N400" s="11"/>
      <c r="O400" s="12"/>
      <c r="P400" s="11"/>
      <c r="Q400" s="13"/>
      <c r="R400" s="14"/>
    </row>
    <row r="401" spans="1:18" ht="15" customHeight="1" x14ac:dyDescent="0.3">
      <c r="A401" s="15" t="s">
        <v>26</v>
      </c>
      <c r="B401" s="15" t="s">
        <v>356</v>
      </c>
      <c r="C401" s="16">
        <v>0.83680555555555547</v>
      </c>
      <c r="D401" s="15" t="s">
        <v>31</v>
      </c>
      <c r="E401" s="15" t="s">
        <v>97</v>
      </c>
      <c r="F401" s="15" t="s">
        <v>145</v>
      </c>
      <c r="G401" s="298"/>
      <c r="H401" s="10"/>
      <c r="I401" s="11"/>
      <c r="J401" s="11"/>
      <c r="K401" s="11"/>
      <c r="L401" s="11"/>
      <c r="M401" s="11"/>
      <c r="N401" s="11"/>
      <c r="O401" s="12"/>
      <c r="P401" s="11"/>
      <c r="Q401" s="13"/>
      <c r="R401" s="14"/>
    </row>
    <row r="402" spans="1:18" ht="15" customHeight="1" x14ac:dyDescent="0.3">
      <c r="A402" s="15" t="s">
        <v>26</v>
      </c>
      <c r="B402" s="15" t="s">
        <v>356</v>
      </c>
      <c r="C402" s="16">
        <v>0.83680555555555547</v>
      </c>
      <c r="D402" s="15" t="s">
        <v>34</v>
      </c>
      <c r="E402" s="15" t="s">
        <v>97</v>
      </c>
      <c r="F402" s="15" t="s">
        <v>457</v>
      </c>
      <c r="G402" s="298"/>
      <c r="H402" s="10"/>
      <c r="I402" s="11"/>
      <c r="J402" s="11"/>
      <c r="K402" s="11"/>
      <c r="L402" s="11"/>
      <c r="M402" s="11"/>
      <c r="N402" s="11"/>
      <c r="O402" s="12"/>
      <c r="P402" s="11"/>
      <c r="Q402" s="13"/>
      <c r="R402" s="14"/>
    </row>
    <row r="403" spans="1:18" ht="15" customHeight="1" x14ac:dyDescent="0.3">
      <c r="A403" s="17" t="s">
        <v>26</v>
      </c>
      <c r="B403" s="17" t="s">
        <v>352</v>
      </c>
      <c r="C403" s="18">
        <v>0.94444444444444453</v>
      </c>
      <c r="D403" s="17" t="s">
        <v>28</v>
      </c>
      <c r="E403" s="17" t="s">
        <v>58</v>
      </c>
      <c r="F403" s="17" t="s">
        <v>456</v>
      </c>
      <c r="G403" s="298"/>
      <c r="H403" s="10"/>
      <c r="I403" s="11"/>
      <c r="J403" s="11"/>
      <c r="K403" s="11"/>
      <c r="L403" s="11"/>
      <c r="M403" s="11"/>
      <c r="N403" s="11"/>
      <c r="O403" s="12"/>
      <c r="P403" s="11"/>
      <c r="Q403" s="13"/>
      <c r="R403" s="14"/>
    </row>
    <row r="404" spans="1:18" ht="15" customHeight="1" x14ac:dyDescent="0.3">
      <c r="A404" s="15" t="s">
        <v>26</v>
      </c>
      <c r="B404" s="15" t="s">
        <v>352</v>
      </c>
      <c r="C404" s="16">
        <v>0.94444444444444453</v>
      </c>
      <c r="D404" s="15" t="s">
        <v>31</v>
      </c>
      <c r="E404" s="15" t="s">
        <v>119</v>
      </c>
      <c r="F404" s="15" t="s">
        <v>145</v>
      </c>
      <c r="G404" s="298"/>
      <c r="H404" s="10"/>
      <c r="I404" s="11"/>
      <c r="J404" s="11"/>
      <c r="K404" s="11"/>
      <c r="L404" s="11"/>
      <c r="M404" s="11"/>
      <c r="N404" s="11"/>
      <c r="O404" s="12"/>
      <c r="P404" s="11"/>
      <c r="Q404" s="13"/>
      <c r="R404" s="14"/>
    </row>
    <row r="405" spans="1:18" ht="15" customHeight="1" x14ac:dyDescent="0.3">
      <c r="A405" s="15" t="s">
        <v>26</v>
      </c>
      <c r="B405" s="15" t="s">
        <v>352</v>
      </c>
      <c r="C405" s="16">
        <v>0.94444444444444453</v>
      </c>
      <c r="D405" s="15" t="s">
        <v>34</v>
      </c>
      <c r="E405" s="15" t="s">
        <v>119</v>
      </c>
      <c r="F405" s="15" t="s">
        <v>457</v>
      </c>
      <c r="G405" s="298"/>
      <c r="H405" s="10"/>
      <c r="I405" s="11"/>
      <c r="J405" s="11"/>
      <c r="K405" s="11"/>
      <c r="L405" s="11"/>
      <c r="M405" s="11"/>
      <c r="N405" s="11"/>
      <c r="O405" s="12"/>
      <c r="P405" s="11"/>
      <c r="Q405" s="13"/>
      <c r="R405" s="14"/>
    </row>
    <row r="406" spans="1:18" ht="15" customHeight="1" x14ac:dyDescent="0.3">
      <c r="A406" s="17" t="s">
        <v>26</v>
      </c>
      <c r="B406" s="17" t="s">
        <v>358</v>
      </c>
      <c r="C406" s="18">
        <v>0.88888888888888884</v>
      </c>
      <c r="D406" s="17" t="s">
        <v>28</v>
      </c>
      <c r="E406" s="17" t="s">
        <v>144</v>
      </c>
      <c r="F406" s="17" t="s">
        <v>456</v>
      </c>
      <c r="G406" s="298"/>
      <c r="H406" s="10"/>
      <c r="I406" s="11"/>
      <c r="J406" s="11"/>
      <c r="K406" s="11"/>
      <c r="L406" s="11"/>
      <c r="M406" s="11"/>
      <c r="N406" s="11"/>
      <c r="O406" s="12"/>
      <c r="P406" s="11"/>
      <c r="Q406" s="13"/>
      <c r="R406" s="14"/>
    </row>
    <row r="407" spans="1:18" ht="15" customHeight="1" x14ac:dyDescent="0.3">
      <c r="A407" s="15" t="s">
        <v>26</v>
      </c>
      <c r="B407" s="15" t="s">
        <v>358</v>
      </c>
      <c r="C407" s="16">
        <v>0.88888888888888884</v>
      </c>
      <c r="D407" s="15" t="s">
        <v>31</v>
      </c>
      <c r="E407" s="15" t="s">
        <v>133</v>
      </c>
      <c r="F407" s="15" t="s">
        <v>145</v>
      </c>
      <c r="G407" s="298"/>
      <c r="H407" s="10"/>
      <c r="I407" s="11"/>
      <c r="J407" s="11"/>
      <c r="K407" s="11"/>
      <c r="L407" s="11"/>
      <c r="M407" s="11"/>
      <c r="N407" s="11"/>
      <c r="O407" s="12"/>
      <c r="P407" s="11"/>
      <c r="Q407" s="13"/>
      <c r="R407" s="14"/>
    </row>
    <row r="408" spans="1:18" ht="15" customHeight="1" x14ac:dyDescent="0.3">
      <c r="A408" s="15" t="s">
        <v>26</v>
      </c>
      <c r="B408" s="15" t="s">
        <v>358</v>
      </c>
      <c r="C408" s="16">
        <v>0.88888888888888884</v>
      </c>
      <c r="D408" s="15" t="s">
        <v>34</v>
      </c>
      <c r="E408" s="15" t="s">
        <v>133</v>
      </c>
      <c r="F408" s="15" t="s">
        <v>457</v>
      </c>
      <c r="G408" s="298"/>
      <c r="H408" s="10"/>
      <c r="I408" s="11"/>
      <c r="J408" s="11"/>
      <c r="K408" s="11"/>
      <c r="L408" s="11"/>
      <c r="M408" s="11"/>
      <c r="N408" s="11"/>
      <c r="O408" s="12"/>
      <c r="P408" s="11"/>
      <c r="Q408" s="13"/>
      <c r="R408" s="14"/>
    </row>
    <row r="409" spans="1:18" ht="15" customHeight="1" x14ac:dyDescent="0.3">
      <c r="A409" s="17" t="s">
        <v>26</v>
      </c>
      <c r="B409" s="17" t="s">
        <v>359</v>
      </c>
      <c r="C409" s="18">
        <v>0.73611111111111116</v>
      </c>
      <c r="D409" s="17" t="s">
        <v>28</v>
      </c>
      <c r="E409" s="17" t="s">
        <v>37</v>
      </c>
      <c r="F409" s="17" t="s">
        <v>478</v>
      </c>
      <c r="G409" s="298"/>
      <c r="H409" s="10"/>
      <c r="I409" s="11"/>
      <c r="J409" s="11"/>
      <c r="K409" s="11"/>
      <c r="L409" s="11"/>
      <c r="M409" s="11"/>
      <c r="N409" s="11"/>
      <c r="O409" s="12"/>
      <c r="P409" s="11"/>
      <c r="Q409" s="13"/>
      <c r="R409" s="14"/>
    </row>
    <row r="410" spans="1:18" ht="15" customHeight="1" x14ac:dyDescent="0.3">
      <c r="A410" s="15" t="s">
        <v>26</v>
      </c>
      <c r="B410" s="15" t="s">
        <v>359</v>
      </c>
      <c r="C410" s="16">
        <v>0.73611111111111116</v>
      </c>
      <c r="D410" s="15" t="s">
        <v>31</v>
      </c>
      <c r="E410" s="15" t="s">
        <v>38</v>
      </c>
      <c r="F410" s="15" t="s">
        <v>457</v>
      </c>
      <c r="G410" s="298"/>
      <c r="H410" s="10"/>
      <c r="I410" s="11"/>
      <c r="J410" s="11"/>
      <c r="K410" s="11"/>
      <c r="L410" s="11"/>
      <c r="M410" s="11"/>
      <c r="N410" s="11"/>
      <c r="O410" s="12"/>
      <c r="P410" s="11"/>
      <c r="Q410" s="13"/>
      <c r="R410" s="14"/>
    </row>
    <row r="411" spans="1:18" ht="15" customHeight="1" x14ac:dyDescent="0.3">
      <c r="A411" s="15" t="s">
        <v>26</v>
      </c>
      <c r="B411" s="15" t="s">
        <v>359</v>
      </c>
      <c r="C411" s="16">
        <v>0.73611111111111116</v>
      </c>
      <c r="D411" s="15" t="s">
        <v>34</v>
      </c>
      <c r="E411" s="15" t="s">
        <v>38</v>
      </c>
      <c r="F411" s="15" t="s">
        <v>479</v>
      </c>
      <c r="G411" s="298"/>
      <c r="H411" s="10"/>
      <c r="I411" s="11"/>
      <c r="J411" s="11"/>
      <c r="K411" s="11"/>
      <c r="L411" s="11"/>
      <c r="M411" s="11"/>
      <c r="N411" s="11"/>
      <c r="O411" s="12"/>
      <c r="P411" s="11"/>
      <c r="Q411" s="13"/>
      <c r="R411" s="14"/>
    </row>
    <row r="412" spans="1:18" ht="15" customHeight="1" x14ac:dyDescent="0.3">
      <c r="A412" s="19" t="s">
        <v>385</v>
      </c>
      <c r="B412" s="19" t="s">
        <v>386</v>
      </c>
      <c r="C412" s="20">
        <v>0.49305555555555558</v>
      </c>
      <c r="D412" s="19" t="s">
        <v>101</v>
      </c>
      <c r="E412" s="19" t="s">
        <v>63</v>
      </c>
      <c r="F412" s="19" t="s">
        <v>387</v>
      </c>
      <c r="G412" s="298"/>
      <c r="H412" s="10"/>
      <c r="I412" s="11"/>
      <c r="J412" s="11"/>
      <c r="K412" s="11"/>
      <c r="L412" s="11"/>
      <c r="M412" s="11"/>
      <c r="N412" s="11"/>
      <c r="O412" s="12"/>
      <c r="P412" s="11"/>
      <c r="Q412" s="13"/>
      <c r="R412" s="14"/>
    </row>
    <row r="413" spans="1:18" ht="15" customHeight="1" x14ac:dyDescent="0.3">
      <c r="A413" s="17" t="s">
        <v>385</v>
      </c>
      <c r="B413" s="17" t="s">
        <v>435</v>
      </c>
      <c r="C413" s="18">
        <v>0.1875</v>
      </c>
      <c r="D413" s="17" t="s">
        <v>101</v>
      </c>
      <c r="E413" s="17" t="s">
        <v>54</v>
      </c>
      <c r="F413" s="17" t="s">
        <v>387</v>
      </c>
      <c r="G413" s="298"/>
      <c r="H413" s="10"/>
      <c r="I413" s="11"/>
      <c r="J413" s="11"/>
      <c r="K413" s="11"/>
      <c r="L413" s="11"/>
      <c r="M413" s="11"/>
      <c r="N413" s="11"/>
      <c r="O413" s="12"/>
      <c r="P413" s="11"/>
      <c r="Q413" s="13"/>
      <c r="R413" s="14"/>
    </row>
    <row r="414" spans="1:18" ht="15" customHeight="1" x14ac:dyDescent="0.3">
      <c r="A414" s="19" t="s">
        <v>388</v>
      </c>
      <c r="B414" s="19" t="s">
        <v>462</v>
      </c>
      <c r="C414" s="20">
        <v>5.5555555555555552E-2</v>
      </c>
      <c r="D414" s="19" t="s">
        <v>390</v>
      </c>
      <c r="E414" s="19" t="s">
        <v>138</v>
      </c>
      <c r="F414" s="19" t="s">
        <v>484</v>
      </c>
      <c r="G414" s="298"/>
      <c r="H414" s="10"/>
      <c r="I414" s="11"/>
      <c r="J414" s="11"/>
      <c r="K414" s="11"/>
      <c r="L414" s="11"/>
      <c r="M414" s="11"/>
      <c r="N414" s="11"/>
      <c r="O414" s="12"/>
      <c r="P414" s="11"/>
      <c r="Q414" s="13"/>
      <c r="R414" s="14"/>
    </row>
    <row r="415" spans="1:18" ht="15" customHeight="1" x14ac:dyDescent="0.3">
      <c r="A415" s="15" t="s">
        <v>388</v>
      </c>
      <c r="B415" s="15" t="s">
        <v>462</v>
      </c>
      <c r="C415" s="16">
        <v>5.5555555555555552E-2</v>
      </c>
      <c r="D415" s="15" t="s">
        <v>46</v>
      </c>
      <c r="E415" s="15" t="s">
        <v>38</v>
      </c>
      <c r="F415" s="15" t="s">
        <v>485</v>
      </c>
      <c r="G415" s="298"/>
      <c r="H415" s="10"/>
      <c r="I415" s="11"/>
      <c r="J415" s="11"/>
      <c r="K415" s="11"/>
      <c r="L415" s="11"/>
      <c r="M415" s="11"/>
      <c r="N415" s="11"/>
      <c r="O415" s="12"/>
      <c r="P415" s="11"/>
      <c r="Q415" s="13"/>
      <c r="R415" s="14"/>
    </row>
    <row r="416" spans="1:18" ht="15" customHeight="1" x14ac:dyDescent="0.3">
      <c r="A416" s="204" t="s">
        <v>77</v>
      </c>
      <c r="B416" s="204" t="s">
        <v>427</v>
      </c>
      <c r="C416" s="205">
        <v>5.2083333333333343E-2</v>
      </c>
      <c r="D416" s="204" t="s">
        <v>101</v>
      </c>
      <c r="E416" s="204" t="s">
        <v>63</v>
      </c>
      <c r="F416" s="204" t="s">
        <v>366</v>
      </c>
      <c r="G416" s="298"/>
      <c r="H416" s="206" t="s">
        <v>428</v>
      </c>
      <c r="I416" s="207">
        <v>0.7722</v>
      </c>
      <c r="J416" s="208">
        <v>139</v>
      </c>
      <c r="K416" s="209">
        <v>45980</v>
      </c>
      <c r="L416" s="208">
        <v>61</v>
      </c>
      <c r="M416" s="208">
        <v>2</v>
      </c>
      <c r="N416" s="208">
        <v>10</v>
      </c>
      <c r="O416" s="210" t="s">
        <v>494</v>
      </c>
      <c r="P416" s="211">
        <v>5.2083333333333343E-2</v>
      </c>
      <c r="Q416" s="208">
        <v>180</v>
      </c>
      <c r="R416" s="212" t="s">
        <v>495</v>
      </c>
    </row>
    <row r="417" spans="1:18" ht="15" customHeight="1" x14ac:dyDescent="0.3">
      <c r="A417" s="198" t="s">
        <v>77</v>
      </c>
      <c r="B417" s="198" t="s">
        <v>374</v>
      </c>
      <c r="C417" s="199">
        <v>0.79166666666666663</v>
      </c>
      <c r="D417" s="198" t="s">
        <v>101</v>
      </c>
      <c r="E417" s="198" t="s">
        <v>353</v>
      </c>
      <c r="F417" s="198" t="s">
        <v>379</v>
      </c>
      <c r="G417" s="298"/>
      <c r="H417" s="131" t="s">
        <v>375</v>
      </c>
      <c r="I417" s="132">
        <v>0.89439999999999997</v>
      </c>
      <c r="J417" s="133">
        <v>161</v>
      </c>
      <c r="K417" s="134">
        <v>45979</v>
      </c>
      <c r="L417" s="133">
        <v>61</v>
      </c>
      <c r="M417" s="133">
        <v>0</v>
      </c>
      <c r="N417" s="133">
        <v>7</v>
      </c>
      <c r="O417" s="135" t="s">
        <v>496</v>
      </c>
      <c r="P417" s="136">
        <v>0.79166666666666663</v>
      </c>
      <c r="Q417" s="133">
        <v>180</v>
      </c>
      <c r="R417" s="137" t="s">
        <v>497</v>
      </c>
    </row>
    <row r="418" spans="1:18" ht="15" customHeight="1" x14ac:dyDescent="0.3">
      <c r="A418" s="222" t="s">
        <v>77</v>
      </c>
      <c r="B418" s="222" t="s">
        <v>363</v>
      </c>
      <c r="C418" s="223">
        <v>0.38194444444444442</v>
      </c>
      <c r="D418" s="222" t="s">
        <v>79</v>
      </c>
      <c r="E418" s="224"/>
      <c r="F418" s="222" t="s">
        <v>80</v>
      </c>
      <c r="G418" s="298"/>
      <c r="H418" s="206" t="s">
        <v>363</v>
      </c>
      <c r="I418" s="225">
        <v>0.99439999999999995</v>
      </c>
      <c r="J418" s="208">
        <v>179</v>
      </c>
      <c r="K418" s="209">
        <v>45978</v>
      </c>
      <c r="L418" s="208">
        <v>19</v>
      </c>
      <c r="M418" s="208">
        <v>0</v>
      </c>
      <c r="N418" s="208">
        <v>0</v>
      </c>
      <c r="O418" s="210" t="s">
        <v>81</v>
      </c>
      <c r="P418" s="211">
        <v>0.38194444444444442</v>
      </c>
      <c r="Q418" s="208">
        <v>180</v>
      </c>
      <c r="R418" s="212" t="s">
        <v>498</v>
      </c>
    </row>
    <row r="419" spans="1:18" ht="15" customHeight="1" x14ac:dyDescent="0.3">
      <c r="A419" s="198" t="s">
        <v>77</v>
      </c>
      <c r="B419" s="198" t="s">
        <v>383</v>
      </c>
      <c r="C419" s="199">
        <v>0.4375</v>
      </c>
      <c r="D419" s="198" t="s">
        <v>79</v>
      </c>
      <c r="E419" s="226"/>
      <c r="F419" s="198" t="s">
        <v>80</v>
      </c>
      <c r="G419" s="298"/>
      <c r="H419" s="131" t="s">
        <v>383</v>
      </c>
      <c r="I419" s="132">
        <v>1</v>
      </c>
      <c r="J419" s="133">
        <v>180</v>
      </c>
      <c r="K419" s="134">
        <v>45980</v>
      </c>
      <c r="L419" s="133">
        <v>47</v>
      </c>
      <c r="M419" s="133">
        <v>3</v>
      </c>
      <c r="N419" s="133">
        <v>6</v>
      </c>
      <c r="O419" s="135" t="s">
        <v>81</v>
      </c>
      <c r="P419" s="136">
        <v>0.4375</v>
      </c>
      <c r="Q419" s="133">
        <v>180</v>
      </c>
      <c r="R419" s="137" t="s">
        <v>499</v>
      </c>
    </row>
    <row r="420" spans="1:18" ht="15" customHeight="1" x14ac:dyDescent="0.3">
      <c r="A420" s="222" t="s">
        <v>77</v>
      </c>
      <c r="B420" s="222" t="s">
        <v>421</v>
      </c>
      <c r="C420" s="223">
        <v>0.55208333333333337</v>
      </c>
      <c r="D420" s="222" t="s">
        <v>79</v>
      </c>
      <c r="E420" s="224"/>
      <c r="F420" s="222" t="s">
        <v>80</v>
      </c>
      <c r="G420" s="298"/>
      <c r="H420" s="206" t="s">
        <v>421</v>
      </c>
      <c r="I420" s="225">
        <v>0.98329999999999995</v>
      </c>
      <c r="J420" s="208">
        <v>177</v>
      </c>
      <c r="K420" s="209">
        <v>45973</v>
      </c>
      <c r="L420" s="208">
        <v>3</v>
      </c>
      <c r="M420" s="208">
        <v>0</v>
      </c>
      <c r="N420" s="208">
        <v>0</v>
      </c>
      <c r="O420" s="210" t="s">
        <v>81</v>
      </c>
      <c r="P420" s="211">
        <v>0.55208333333333337</v>
      </c>
      <c r="Q420" s="208">
        <v>180</v>
      </c>
      <c r="R420" s="212" t="s">
        <v>500</v>
      </c>
    </row>
    <row r="421" spans="1:18" ht="15" customHeight="1" x14ac:dyDescent="0.3">
      <c r="A421" s="213" t="s">
        <v>77</v>
      </c>
      <c r="B421" s="213" t="s">
        <v>380</v>
      </c>
      <c r="C421" s="214">
        <v>0.75694444444444453</v>
      </c>
      <c r="D421" s="213" t="s">
        <v>79</v>
      </c>
      <c r="E421" s="227"/>
      <c r="F421" s="213" t="s">
        <v>80</v>
      </c>
      <c r="G421" s="298"/>
      <c r="H421" s="57" t="s">
        <v>380</v>
      </c>
      <c r="I421" s="58">
        <v>0.99439999999999995</v>
      </c>
      <c r="J421" s="59">
        <v>179</v>
      </c>
      <c r="K421" s="60">
        <v>45979</v>
      </c>
      <c r="L421" s="59">
        <v>25</v>
      </c>
      <c r="M421" s="59">
        <v>0</v>
      </c>
      <c r="N421" s="59">
        <v>1</v>
      </c>
      <c r="O421" s="61" t="s">
        <v>81</v>
      </c>
      <c r="P421" s="62">
        <v>0.75694444444444453</v>
      </c>
      <c r="Q421" s="59">
        <v>180</v>
      </c>
      <c r="R421" s="63" t="s">
        <v>501</v>
      </c>
    </row>
    <row r="422" spans="1:18" ht="15" customHeight="1" x14ac:dyDescent="0.3">
      <c r="A422" s="19" t="s">
        <v>48</v>
      </c>
      <c r="B422" s="19" t="s">
        <v>410</v>
      </c>
      <c r="C422" s="20">
        <v>0.97222222222222221</v>
      </c>
      <c r="D422" s="19" t="s">
        <v>50</v>
      </c>
      <c r="E422" s="19" t="s">
        <v>63</v>
      </c>
      <c r="F422" s="19" t="s">
        <v>476</v>
      </c>
      <c r="G422" s="298"/>
      <c r="H422" s="10"/>
      <c r="I422" s="11"/>
      <c r="J422" s="11"/>
      <c r="K422" s="11"/>
      <c r="L422" s="11"/>
      <c r="M422" s="11"/>
      <c r="N422" s="11"/>
      <c r="O422" s="12"/>
      <c r="P422" s="11"/>
      <c r="Q422" s="13"/>
      <c r="R422" s="14"/>
    </row>
    <row r="423" spans="1:18" ht="15" customHeight="1" x14ac:dyDescent="0.3">
      <c r="A423" s="17" t="s">
        <v>48</v>
      </c>
      <c r="B423" s="17" t="s">
        <v>415</v>
      </c>
      <c r="C423" s="18">
        <v>4.8611111111111112E-2</v>
      </c>
      <c r="D423" s="17" t="s">
        <v>50</v>
      </c>
      <c r="E423" s="17" t="s">
        <v>54</v>
      </c>
      <c r="F423" s="17" t="s">
        <v>476</v>
      </c>
      <c r="G423" s="298"/>
      <c r="H423" s="10"/>
      <c r="I423" s="11"/>
      <c r="J423" s="11"/>
      <c r="K423" s="11"/>
      <c r="L423" s="11"/>
      <c r="M423" s="11"/>
      <c r="N423" s="11"/>
      <c r="O423" s="12"/>
      <c r="P423" s="11"/>
      <c r="Q423" s="13"/>
      <c r="R423" s="14"/>
    </row>
    <row r="424" spans="1:18" ht="15" customHeight="1" x14ac:dyDescent="0.3">
      <c r="A424" s="17" t="s">
        <v>48</v>
      </c>
      <c r="B424" s="17" t="s">
        <v>413</v>
      </c>
      <c r="C424" s="18">
        <v>0.83680555555555547</v>
      </c>
      <c r="D424" s="17" t="s">
        <v>50</v>
      </c>
      <c r="E424" s="17" t="s">
        <v>144</v>
      </c>
      <c r="F424" s="17" t="s">
        <v>409</v>
      </c>
      <c r="G424" s="298"/>
      <c r="H424" s="10"/>
      <c r="I424" s="11"/>
      <c r="J424" s="11"/>
      <c r="K424" s="11"/>
      <c r="L424" s="11"/>
      <c r="M424" s="11"/>
      <c r="N424" s="11"/>
      <c r="O424" s="12"/>
      <c r="P424" s="11"/>
      <c r="Q424" s="13"/>
      <c r="R424" s="14"/>
    </row>
    <row r="425" spans="1:18" ht="15" customHeight="1" x14ac:dyDescent="0.3">
      <c r="A425" s="17" t="s">
        <v>48</v>
      </c>
      <c r="B425" s="17" t="s">
        <v>408</v>
      </c>
      <c r="C425" s="18">
        <v>0.3125</v>
      </c>
      <c r="D425" s="17" t="s">
        <v>50</v>
      </c>
      <c r="E425" s="17" t="s">
        <v>72</v>
      </c>
      <c r="F425" s="17" t="s">
        <v>409</v>
      </c>
      <c r="G425" s="298"/>
      <c r="H425" s="10"/>
      <c r="I425" s="11"/>
      <c r="J425" s="11"/>
      <c r="K425" s="11"/>
      <c r="L425" s="11"/>
      <c r="M425" s="11"/>
      <c r="N425" s="11"/>
      <c r="O425" s="12"/>
      <c r="P425" s="11"/>
      <c r="Q425" s="13"/>
      <c r="R425" s="14"/>
    </row>
    <row r="426" spans="1:18" ht="15" customHeight="1" x14ac:dyDescent="0.3">
      <c r="A426" s="17" t="s">
        <v>48</v>
      </c>
      <c r="B426" s="17" t="s">
        <v>406</v>
      </c>
      <c r="C426" s="18">
        <v>0.78472222222222221</v>
      </c>
      <c r="D426" s="17" t="s">
        <v>50</v>
      </c>
      <c r="E426" s="17" t="s">
        <v>54</v>
      </c>
      <c r="F426" s="17" t="s">
        <v>409</v>
      </c>
      <c r="G426" s="298"/>
      <c r="H426" s="10"/>
      <c r="I426" s="11"/>
      <c r="J426" s="11"/>
      <c r="K426" s="11"/>
      <c r="L426" s="11"/>
      <c r="M426" s="11"/>
      <c r="N426" s="11"/>
      <c r="O426" s="12"/>
      <c r="P426" s="11"/>
      <c r="Q426" s="13"/>
      <c r="R426" s="14"/>
    </row>
    <row r="427" spans="1:18" ht="15" customHeight="1" x14ac:dyDescent="0.3">
      <c r="A427" s="19" t="s">
        <v>60</v>
      </c>
      <c r="B427" s="19" t="s">
        <v>444</v>
      </c>
      <c r="C427" s="20">
        <v>4.1666666666666657E-2</v>
      </c>
      <c r="D427" s="19" t="s">
        <v>65</v>
      </c>
      <c r="E427" s="19" t="s">
        <v>96</v>
      </c>
      <c r="F427" s="19" t="s">
        <v>394</v>
      </c>
      <c r="G427" s="298"/>
      <c r="H427" s="10"/>
      <c r="I427" s="11"/>
      <c r="J427" s="11"/>
      <c r="K427" s="11"/>
      <c r="L427" s="11"/>
      <c r="M427" s="11"/>
      <c r="N427" s="11"/>
      <c r="O427" s="12"/>
      <c r="P427" s="11"/>
      <c r="Q427" s="13"/>
      <c r="R427" s="14"/>
    </row>
    <row r="428" spans="1:18" ht="15" customHeight="1" x14ac:dyDescent="0.3">
      <c r="A428" s="17" t="s">
        <v>60</v>
      </c>
      <c r="B428" s="17" t="s">
        <v>445</v>
      </c>
      <c r="C428" s="18">
        <v>0.94097222222222221</v>
      </c>
      <c r="D428" s="17" t="s">
        <v>65</v>
      </c>
      <c r="E428" s="17" t="s">
        <v>75</v>
      </c>
      <c r="F428" s="17" t="s">
        <v>394</v>
      </c>
      <c r="G428" s="298"/>
      <c r="H428" s="10"/>
      <c r="I428" s="11"/>
      <c r="J428" s="11"/>
      <c r="K428" s="11"/>
      <c r="L428" s="11"/>
      <c r="M428" s="11"/>
      <c r="N428" s="11"/>
      <c r="O428" s="12"/>
      <c r="P428" s="11"/>
      <c r="Q428" s="13"/>
      <c r="R428" s="14"/>
    </row>
    <row r="429" spans="1:18" ht="15" customHeight="1" x14ac:dyDescent="0.3">
      <c r="A429" s="17" t="s">
        <v>60</v>
      </c>
      <c r="B429" s="17" t="s">
        <v>395</v>
      </c>
      <c r="C429" s="18">
        <v>0.98958333333333337</v>
      </c>
      <c r="D429" s="17" t="s">
        <v>65</v>
      </c>
      <c r="E429" s="17" t="s">
        <v>72</v>
      </c>
      <c r="F429" s="17" t="s">
        <v>491</v>
      </c>
      <c r="G429" s="298"/>
      <c r="H429" s="10"/>
      <c r="I429" s="11"/>
      <c r="J429" s="11"/>
      <c r="K429" s="11"/>
      <c r="L429" s="11"/>
      <c r="M429" s="11"/>
      <c r="N429" s="11"/>
      <c r="O429" s="12"/>
      <c r="P429" s="11"/>
      <c r="Q429" s="13"/>
      <c r="R429" s="14"/>
    </row>
    <row r="430" spans="1:18" ht="15" customHeight="1" x14ac:dyDescent="0.3">
      <c r="A430" s="17" t="s">
        <v>60</v>
      </c>
      <c r="B430" s="17" t="s">
        <v>397</v>
      </c>
      <c r="C430" s="18">
        <v>0.39930555555555558</v>
      </c>
      <c r="D430" s="17" t="s">
        <v>65</v>
      </c>
      <c r="E430" s="17" t="s">
        <v>72</v>
      </c>
      <c r="F430" s="17" t="s">
        <v>491</v>
      </c>
      <c r="G430" s="298"/>
      <c r="H430" s="10"/>
      <c r="I430" s="11"/>
      <c r="J430" s="11"/>
      <c r="K430" s="11"/>
      <c r="L430" s="11"/>
      <c r="M430" s="11"/>
      <c r="N430" s="11"/>
      <c r="O430" s="12"/>
      <c r="P430" s="11"/>
      <c r="Q430" s="13"/>
      <c r="R430" s="14"/>
    </row>
    <row r="431" spans="1:18" ht="15" customHeight="1" x14ac:dyDescent="0.3">
      <c r="A431" s="17" t="s">
        <v>60</v>
      </c>
      <c r="B431" s="17" t="s">
        <v>398</v>
      </c>
      <c r="C431" s="18">
        <v>0.48958333333333331</v>
      </c>
      <c r="D431" s="17" t="s">
        <v>65</v>
      </c>
      <c r="E431" s="17" t="s">
        <v>72</v>
      </c>
      <c r="F431" s="17" t="s">
        <v>491</v>
      </c>
      <c r="G431" s="298"/>
      <c r="H431" s="10"/>
      <c r="I431" s="11"/>
      <c r="J431" s="11"/>
      <c r="K431" s="11"/>
      <c r="L431" s="11"/>
      <c r="M431" s="11"/>
      <c r="N431" s="11"/>
      <c r="O431" s="12"/>
      <c r="P431" s="11"/>
      <c r="Q431" s="13"/>
      <c r="R431" s="14"/>
    </row>
    <row r="432" spans="1:18" ht="15" customHeight="1" x14ac:dyDescent="0.3">
      <c r="A432" s="17" t="s">
        <v>60</v>
      </c>
      <c r="B432" s="17" t="s">
        <v>399</v>
      </c>
      <c r="C432" s="18">
        <v>0.88888888888888884</v>
      </c>
      <c r="D432" s="17" t="s">
        <v>65</v>
      </c>
      <c r="E432" s="17" t="s">
        <v>72</v>
      </c>
      <c r="F432" s="17" t="s">
        <v>491</v>
      </c>
      <c r="G432" s="298"/>
      <c r="H432" s="10"/>
      <c r="I432" s="11"/>
      <c r="J432" s="11"/>
      <c r="K432" s="11"/>
      <c r="L432" s="11"/>
      <c r="M432" s="11"/>
      <c r="N432" s="11"/>
      <c r="O432" s="12"/>
      <c r="P432" s="11"/>
      <c r="Q432" s="13"/>
      <c r="R432" s="14"/>
    </row>
    <row r="433" spans="1:18" ht="15" customHeight="1" x14ac:dyDescent="0.3">
      <c r="A433" s="17" t="s">
        <v>60</v>
      </c>
      <c r="B433" s="17" t="s">
        <v>402</v>
      </c>
      <c r="C433" s="18">
        <v>0.11805555555555559</v>
      </c>
      <c r="D433" s="17" t="s">
        <v>65</v>
      </c>
      <c r="E433" s="17" t="s">
        <v>355</v>
      </c>
      <c r="F433" s="17" t="s">
        <v>405</v>
      </c>
      <c r="G433" s="298"/>
      <c r="H433" s="10"/>
      <c r="I433" s="11"/>
      <c r="J433" s="11"/>
      <c r="K433" s="11"/>
      <c r="L433" s="11"/>
      <c r="M433" s="11"/>
      <c r="N433" s="11"/>
      <c r="O433" s="12"/>
      <c r="P433" s="11"/>
      <c r="Q433" s="13"/>
      <c r="R433" s="14"/>
    </row>
    <row r="434" spans="1:18" ht="15" customHeight="1" x14ac:dyDescent="0.3">
      <c r="A434" s="17" t="s">
        <v>60</v>
      </c>
      <c r="B434" s="17" t="s">
        <v>403</v>
      </c>
      <c r="C434" s="18">
        <v>0.70138888888888884</v>
      </c>
      <c r="D434" s="17" t="s">
        <v>65</v>
      </c>
      <c r="E434" s="17" t="s">
        <v>69</v>
      </c>
      <c r="F434" s="17" t="s">
        <v>405</v>
      </c>
      <c r="G434" s="298"/>
      <c r="H434" s="10"/>
      <c r="I434" s="11"/>
      <c r="J434" s="11"/>
      <c r="K434" s="11"/>
      <c r="L434" s="11"/>
      <c r="M434" s="11"/>
      <c r="N434" s="11"/>
      <c r="O434" s="12"/>
      <c r="P434" s="11"/>
      <c r="Q434" s="13"/>
      <c r="R434" s="14"/>
    </row>
    <row r="435" spans="1:18" ht="15" customHeight="1" thickBot="1" x14ac:dyDescent="0.35">
      <c r="A435" s="39" t="s">
        <v>60</v>
      </c>
      <c r="B435" s="39" t="s">
        <v>393</v>
      </c>
      <c r="C435" s="40">
        <v>0.25347222222222221</v>
      </c>
      <c r="D435" s="39" t="s">
        <v>65</v>
      </c>
      <c r="E435" s="39" t="s">
        <v>353</v>
      </c>
      <c r="F435" s="39" t="s">
        <v>405</v>
      </c>
      <c r="G435" s="299"/>
      <c r="H435" s="41"/>
      <c r="I435" s="42"/>
      <c r="J435" s="42"/>
      <c r="K435" s="42"/>
      <c r="L435" s="42"/>
      <c r="M435" s="42"/>
      <c r="N435" s="42"/>
      <c r="O435" s="43"/>
      <c r="P435" s="42"/>
      <c r="Q435" s="44"/>
      <c r="R435" s="45"/>
    </row>
    <row r="436" spans="1:18" ht="17.399999999999999" customHeight="1" thickBot="1" x14ac:dyDescent="0.35">
      <c r="A436" s="329"/>
      <c r="B436" s="330"/>
      <c r="C436" s="330"/>
      <c r="D436" s="330"/>
      <c r="E436" s="330"/>
      <c r="F436" s="330"/>
      <c r="G436" s="330"/>
      <c r="H436" s="330"/>
      <c r="I436" s="330"/>
      <c r="J436" s="330"/>
      <c r="K436" s="330"/>
      <c r="L436" s="330"/>
      <c r="M436" s="330"/>
      <c r="N436" s="330"/>
      <c r="O436" s="330"/>
      <c r="P436" s="330"/>
      <c r="Q436" s="330"/>
      <c r="R436" s="331"/>
    </row>
    <row r="437" spans="1:18" ht="22.05" customHeight="1" thickTop="1" thickBot="1" x14ac:dyDescent="0.35">
      <c r="A437" s="300" t="s">
        <v>6</v>
      </c>
      <c r="B437" s="295"/>
      <c r="C437" s="295"/>
      <c r="D437" s="295"/>
      <c r="E437" s="295"/>
      <c r="F437" s="296"/>
      <c r="G437" s="31">
        <v>45987</v>
      </c>
      <c r="H437" s="294" t="s">
        <v>7</v>
      </c>
      <c r="I437" s="295"/>
      <c r="J437" s="295"/>
      <c r="K437" s="295"/>
      <c r="L437" s="295"/>
      <c r="M437" s="295"/>
      <c r="N437" s="295"/>
      <c r="O437" s="295"/>
      <c r="P437" s="295"/>
      <c r="Q437" s="295"/>
      <c r="R437" s="296"/>
    </row>
    <row r="438" spans="1:18" ht="24" customHeight="1" x14ac:dyDescent="0.3">
      <c r="A438" s="32" t="s">
        <v>8</v>
      </c>
      <c r="B438" s="32" t="s">
        <v>9</v>
      </c>
      <c r="C438" s="33" t="s">
        <v>10</v>
      </c>
      <c r="D438" s="32" t="s">
        <v>11</v>
      </c>
      <c r="E438" s="32" t="s">
        <v>12</v>
      </c>
      <c r="F438" s="34" t="s">
        <v>13</v>
      </c>
      <c r="G438" s="35" t="s">
        <v>14</v>
      </c>
      <c r="H438" s="32" t="s">
        <v>15</v>
      </c>
      <c r="I438" s="36" t="s">
        <v>16</v>
      </c>
      <c r="J438" s="37" t="s">
        <v>17</v>
      </c>
      <c r="K438" s="38" t="s">
        <v>18</v>
      </c>
      <c r="L438" s="37" t="s">
        <v>19</v>
      </c>
      <c r="M438" s="37" t="s">
        <v>20</v>
      </c>
      <c r="N438" s="37" t="s">
        <v>21</v>
      </c>
      <c r="O438" s="32" t="s">
        <v>22</v>
      </c>
      <c r="P438" s="33" t="s">
        <v>23</v>
      </c>
      <c r="Q438" s="37" t="s">
        <v>24</v>
      </c>
      <c r="R438" s="32" t="s">
        <v>25</v>
      </c>
    </row>
    <row r="439" spans="1:18" ht="15" customHeight="1" x14ac:dyDescent="0.3">
      <c r="A439" s="179" t="s">
        <v>77</v>
      </c>
      <c r="B439" s="179" t="s">
        <v>374</v>
      </c>
      <c r="C439" s="180">
        <v>0.34027777777777768</v>
      </c>
      <c r="D439" s="179" t="s">
        <v>101</v>
      </c>
      <c r="E439" s="179" t="s">
        <v>85</v>
      </c>
      <c r="F439" s="179" t="s">
        <v>362</v>
      </c>
      <c r="G439" s="304"/>
      <c r="H439" s="181" t="s">
        <v>375</v>
      </c>
      <c r="I439" s="182">
        <v>0.9778</v>
      </c>
      <c r="J439" s="183">
        <v>176</v>
      </c>
      <c r="K439" s="184">
        <v>45980</v>
      </c>
      <c r="L439" s="183">
        <v>69</v>
      </c>
      <c r="M439" s="183">
        <v>5</v>
      </c>
      <c r="N439" s="183">
        <v>7</v>
      </c>
      <c r="O439" s="185" t="s">
        <v>283</v>
      </c>
      <c r="P439" s="186">
        <v>0.34027777777777768</v>
      </c>
      <c r="Q439" s="183">
        <v>180</v>
      </c>
      <c r="R439" s="187" t="s">
        <v>502</v>
      </c>
    </row>
    <row r="440" spans="1:18" ht="15" customHeight="1" x14ac:dyDescent="0.3">
      <c r="A440" s="222" t="s">
        <v>77</v>
      </c>
      <c r="B440" s="222" t="s">
        <v>427</v>
      </c>
      <c r="C440" s="223">
        <v>0.9375</v>
      </c>
      <c r="D440" s="222" t="s">
        <v>101</v>
      </c>
      <c r="E440" s="222" t="s">
        <v>54</v>
      </c>
      <c r="F440" s="222" t="s">
        <v>379</v>
      </c>
      <c r="G440" s="298"/>
      <c r="H440" s="206" t="s">
        <v>428</v>
      </c>
      <c r="I440" s="207">
        <v>0.59440000000000004</v>
      </c>
      <c r="J440" s="208">
        <v>107</v>
      </c>
      <c r="K440" s="209">
        <v>45980</v>
      </c>
      <c r="L440" s="208">
        <v>39</v>
      </c>
      <c r="M440" s="208">
        <v>1</v>
      </c>
      <c r="N440" s="208">
        <v>2</v>
      </c>
      <c r="O440" s="210" t="s">
        <v>381</v>
      </c>
      <c r="P440" s="211">
        <v>0.9375</v>
      </c>
      <c r="Q440" s="208">
        <v>180</v>
      </c>
      <c r="R440" s="212" t="s">
        <v>503</v>
      </c>
    </row>
    <row r="441" spans="1:18" ht="15" customHeight="1" x14ac:dyDescent="0.3">
      <c r="A441" s="191" t="s">
        <v>77</v>
      </c>
      <c r="B441" s="191" t="s">
        <v>380</v>
      </c>
      <c r="C441" s="192">
        <v>0.2326388888888889</v>
      </c>
      <c r="D441" s="191" t="s">
        <v>79</v>
      </c>
      <c r="E441" s="228"/>
      <c r="F441" s="191" t="s">
        <v>80</v>
      </c>
      <c r="G441" s="298"/>
      <c r="H441" s="147" t="s">
        <v>380</v>
      </c>
      <c r="I441" s="148">
        <v>1</v>
      </c>
      <c r="J441" s="149">
        <v>180</v>
      </c>
      <c r="K441" s="150">
        <v>45980</v>
      </c>
      <c r="L441" s="149">
        <v>35</v>
      </c>
      <c r="M441" s="149">
        <v>1</v>
      </c>
      <c r="N441" s="149">
        <v>3</v>
      </c>
      <c r="O441" s="151" t="s">
        <v>81</v>
      </c>
      <c r="P441" s="152">
        <v>0.2326388888888889</v>
      </c>
      <c r="Q441" s="149">
        <v>180</v>
      </c>
      <c r="R441" s="153" t="s">
        <v>504</v>
      </c>
    </row>
    <row r="442" spans="1:18" ht="15" customHeight="1" x14ac:dyDescent="0.3">
      <c r="A442" s="213" t="s">
        <v>77</v>
      </c>
      <c r="B442" s="213" t="s">
        <v>421</v>
      </c>
      <c r="C442" s="214">
        <v>0.34375</v>
      </c>
      <c r="D442" s="213" t="s">
        <v>79</v>
      </c>
      <c r="E442" s="227"/>
      <c r="F442" s="213" t="s">
        <v>80</v>
      </c>
      <c r="G442" s="298"/>
      <c r="H442" s="57" t="s">
        <v>421</v>
      </c>
      <c r="I442" s="58">
        <v>0.99439999999999995</v>
      </c>
      <c r="J442" s="59">
        <v>179</v>
      </c>
      <c r="K442" s="60">
        <v>45980</v>
      </c>
      <c r="L442" s="59">
        <v>25</v>
      </c>
      <c r="M442" s="59">
        <v>2</v>
      </c>
      <c r="N442" s="59">
        <v>3</v>
      </c>
      <c r="O442" s="61" t="s">
        <v>81</v>
      </c>
      <c r="P442" s="62">
        <v>0.34375</v>
      </c>
      <c r="Q442" s="59">
        <v>180</v>
      </c>
      <c r="R442" s="63" t="s">
        <v>505</v>
      </c>
    </row>
    <row r="443" spans="1:18" ht="15" customHeight="1" x14ac:dyDescent="0.3">
      <c r="A443" s="198" t="s">
        <v>77</v>
      </c>
      <c r="B443" s="198" t="s">
        <v>383</v>
      </c>
      <c r="C443" s="199">
        <v>0.4375</v>
      </c>
      <c r="D443" s="198" t="s">
        <v>79</v>
      </c>
      <c r="E443" s="226"/>
      <c r="F443" s="198" t="s">
        <v>80</v>
      </c>
      <c r="G443" s="298"/>
      <c r="H443" s="131" t="s">
        <v>383</v>
      </c>
      <c r="I443" s="132">
        <v>1</v>
      </c>
      <c r="J443" s="133">
        <v>180</v>
      </c>
      <c r="K443" s="134">
        <v>45980</v>
      </c>
      <c r="L443" s="133">
        <v>25</v>
      </c>
      <c r="M443" s="133">
        <v>2</v>
      </c>
      <c r="N443" s="133">
        <v>1</v>
      </c>
      <c r="O443" s="135" t="s">
        <v>81</v>
      </c>
      <c r="P443" s="136">
        <v>0.4375</v>
      </c>
      <c r="Q443" s="133">
        <v>180</v>
      </c>
      <c r="R443" s="137" t="s">
        <v>506</v>
      </c>
    </row>
    <row r="444" spans="1:18" ht="15" customHeight="1" x14ac:dyDescent="0.3">
      <c r="A444" s="19" t="s">
        <v>41</v>
      </c>
      <c r="B444" s="19" t="s">
        <v>340</v>
      </c>
      <c r="C444" s="20">
        <v>0.39930555555555558</v>
      </c>
      <c r="D444" s="19" t="s">
        <v>43</v>
      </c>
      <c r="E444" s="19" t="s">
        <v>507</v>
      </c>
      <c r="F444" s="19" t="s">
        <v>492</v>
      </c>
      <c r="G444" s="298"/>
      <c r="H444" s="10"/>
      <c r="I444" s="11"/>
      <c r="J444" s="11"/>
      <c r="K444" s="11"/>
      <c r="L444" s="11"/>
      <c r="M444" s="11"/>
      <c r="N444" s="11"/>
      <c r="O444" s="12"/>
      <c r="P444" s="11"/>
      <c r="Q444" s="13"/>
      <c r="R444" s="14"/>
    </row>
    <row r="445" spans="1:18" ht="15" customHeight="1" x14ac:dyDescent="0.3">
      <c r="A445" s="15" t="s">
        <v>41</v>
      </c>
      <c r="B445" s="15" t="s">
        <v>340</v>
      </c>
      <c r="C445" s="16">
        <v>0.39930555555555558</v>
      </c>
      <c r="D445" s="15" t="s">
        <v>45</v>
      </c>
      <c r="E445" s="15" t="s">
        <v>453</v>
      </c>
      <c r="F445" s="15" t="s">
        <v>493</v>
      </c>
      <c r="G445" s="298"/>
      <c r="H445" s="10"/>
      <c r="I445" s="11"/>
      <c r="J445" s="11"/>
      <c r="K445" s="11"/>
      <c r="L445" s="11"/>
      <c r="M445" s="11"/>
      <c r="N445" s="11"/>
      <c r="O445" s="12"/>
      <c r="P445" s="11"/>
      <c r="Q445" s="13"/>
      <c r="R445" s="14"/>
    </row>
    <row r="446" spans="1:18" ht="15" customHeight="1" x14ac:dyDescent="0.3">
      <c r="A446" s="15" t="s">
        <v>41</v>
      </c>
      <c r="B446" s="15" t="s">
        <v>340</v>
      </c>
      <c r="C446" s="16">
        <v>0.39930555555555558</v>
      </c>
      <c r="D446" s="15" t="s">
        <v>46</v>
      </c>
      <c r="E446" s="15" t="s">
        <v>453</v>
      </c>
      <c r="F446" s="15" t="s">
        <v>47</v>
      </c>
      <c r="G446" s="298"/>
      <c r="H446" s="10"/>
      <c r="I446" s="11"/>
      <c r="J446" s="11"/>
      <c r="K446" s="11"/>
      <c r="L446" s="11"/>
      <c r="M446" s="11"/>
      <c r="N446" s="11"/>
      <c r="O446" s="12"/>
      <c r="P446" s="11"/>
      <c r="Q446" s="13"/>
      <c r="R446" s="14"/>
    </row>
    <row r="447" spans="1:18" ht="15" customHeight="1" x14ac:dyDescent="0.3">
      <c r="A447" s="17" t="s">
        <v>41</v>
      </c>
      <c r="B447" s="17" t="s">
        <v>344</v>
      </c>
      <c r="C447" s="18">
        <v>0.48958333333333331</v>
      </c>
      <c r="D447" s="17" t="s">
        <v>43</v>
      </c>
      <c r="E447" s="17" t="s">
        <v>454</v>
      </c>
      <c r="F447" s="17" t="s">
        <v>492</v>
      </c>
      <c r="G447" s="298"/>
      <c r="H447" s="10"/>
      <c r="I447" s="11"/>
      <c r="J447" s="11"/>
      <c r="K447" s="11"/>
      <c r="L447" s="11"/>
      <c r="M447" s="11"/>
      <c r="N447" s="11"/>
      <c r="O447" s="12"/>
      <c r="P447" s="11"/>
      <c r="Q447" s="13"/>
      <c r="R447" s="14"/>
    </row>
    <row r="448" spans="1:18" ht="15" customHeight="1" x14ac:dyDescent="0.3">
      <c r="A448" s="15" t="s">
        <v>41</v>
      </c>
      <c r="B448" s="15" t="s">
        <v>344</v>
      </c>
      <c r="C448" s="16">
        <v>0.48958333333333331</v>
      </c>
      <c r="D448" s="15" t="s">
        <v>45</v>
      </c>
      <c r="E448" s="15" t="s">
        <v>106</v>
      </c>
      <c r="F448" s="15" t="s">
        <v>493</v>
      </c>
      <c r="G448" s="298"/>
      <c r="H448" s="10"/>
      <c r="I448" s="11"/>
      <c r="J448" s="11"/>
      <c r="K448" s="11"/>
      <c r="L448" s="11"/>
      <c r="M448" s="11"/>
      <c r="N448" s="11"/>
      <c r="O448" s="12"/>
      <c r="P448" s="11"/>
      <c r="Q448" s="13"/>
      <c r="R448" s="14"/>
    </row>
    <row r="449" spans="1:18" ht="15" customHeight="1" x14ac:dyDescent="0.3">
      <c r="A449" s="15" t="s">
        <v>41</v>
      </c>
      <c r="B449" s="15" t="s">
        <v>344</v>
      </c>
      <c r="C449" s="16">
        <v>0.48958333333333331</v>
      </c>
      <c r="D449" s="15" t="s">
        <v>46</v>
      </c>
      <c r="E449" s="15" t="s">
        <v>106</v>
      </c>
      <c r="F449" s="15" t="s">
        <v>47</v>
      </c>
      <c r="G449" s="298"/>
      <c r="H449" s="10"/>
      <c r="I449" s="11"/>
      <c r="J449" s="11"/>
      <c r="K449" s="11"/>
      <c r="L449" s="11"/>
      <c r="M449" s="11"/>
      <c r="N449" s="11"/>
      <c r="O449" s="12"/>
      <c r="P449" s="11"/>
      <c r="Q449" s="13"/>
      <c r="R449" s="14"/>
    </row>
    <row r="450" spans="1:18" ht="15" customHeight="1" x14ac:dyDescent="0.3">
      <c r="A450" s="17" t="s">
        <v>41</v>
      </c>
      <c r="B450" s="17" t="s">
        <v>336</v>
      </c>
      <c r="C450" s="18">
        <v>0.98958333333333337</v>
      </c>
      <c r="D450" s="17" t="s">
        <v>43</v>
      </c>
      <c r="E450" s="17" t="s">
        <v>454</v>
      </c>
      <c r="F450" s="17" t="s">
        <v>492</v>
      </c>
      <c r="G450" s="298"/>
      <c r="H450" s="10"/>
      <c r="I450" s="11"/>
      <c r="J450" s="11"/>
      <c r="K450" s="11"/>
      <c r="L450" s="11"/>
      <c r="M450" s="11"/>
      <c r="N450" s="11"/>
      <c r="O450" s="12"/>
      <c r="P450" s="11"/>
      <c r="Q450" s="13"/>
      <c r="R450" s="14"/>
    </row>
    <row r="451" spans="1:18" ht="15" customHeight="1" x14ac:dyDescent="0.3">
      <c r="A451" s="15" t="s">
        <v>41</v>
      </c>
      <c r="B451" s="15" t="s">
        <v>336</v>
      </c>
      <c r="C451" s="16">
        <v>0.98958333333333337</v>
      </c>
      <c r="D451" s="15" t="s">
        <v>45</v>
      </c>
      <c r="E451" s="15" t="s">
        <v>106</v>
      </c>
      <c r="F451" s="15" t="s">
        <v>493</v>
      </c>
      <c r="G451" s="298"/>
      <c r="H451" s="10"/>
      <c r="I451" s="11"/>
      <c r="J451" s="11"/>
      <c r="K451" s="11"/>
      <c r="L451" s="11"/>
      <c r="M451" s="11"/>
      <c r="N451" s="11"/>
      <c r="O451" s="12"/>
      <c r="P451" s="11"/>
      <c r="Q451" s="13"/>
      <c r="R451" s="14"/>
    </row>
    <row r="452" spans="1:18" ht="15" customHeight="1" x14ac:dyDescent="0.3">
      <c r="A452" s="15" t="s">
        <v>41</v>
      </c>
      <c r="B452" s="15" t="s">
        <v>336</v>
      </c>
      <c r="C452" s="16">
        <v>0.98958333333333337</v>
      </c>
      <c r="D452" s="15" t="s">
        <v>46</v>
      </c>
      <c r="E452" s="15" t="s">
        <v>106</v>
      </c>
      <c r="F452" s="15" t="s">
        <v>47</v>
      </c>
      <c r="G452" s="298"/>
      <c r="H452" s="10"/>
      <c r="I452" s="11"/>
      <c r="J452" s="11"/>
      <c r="K452" s="11"/>
      <c r="L452" s="11"/>
      <c r="M452" s="11"/>
      <c r="N452" s="11"/>
      <c r="O452" s="12"/>
      <c r="P452" s="11"/>
      <c r="Q452" s="13"/>
      <c r="R452" s="14"/>
    </row>
    <row r="453" spans="1:18" ht="15" customHeight="1" x14ac:dyDescent="0.3">
      <c r="A453" s="17" t="s">
        <v>41</v>
      </c>
      <c r="B453" s="17" t="s">
        <v>347</v>
      </c>
      <c r="C453" s="18">
        <v>0.88888888888888884</v>
      </c>
      <c r="D453" s="17" t="s">
        <v>43</v>
      </c>
      <c r="E453" s="17" t="s">
        <v>144</v>
      </c>
      <c r="F453" s="17" t="s">
        <v>508</v>
      </c>
      <c r="G453" s="298"/>
      <c r="H453" s="10"/>
      <c r="I453" s="11"/>
      <c r="J453" s="11"/>
      <c r="K453" s="11"/>
      <c r="L453" s="11"/>
      <c r="M453" s="11"/>
      <c r="N453" s="11"/>
      <c r="O453" s="12"/>
      <c r="P453" s="11"/>
      <c r="Q453" s="13"/>
      <c r="R453" s="14"/>
    </row>
    <row r="454" spans="1:18" ht="15" customHeight="1" x14ac:dyDescent="0.3">
      <c r="A454" s="15" t="s">
        <v>41</v>
      </c>
      <c r="B454" s="15" t="s">
        <v>347</v>
      </c>
      <c r="C454" s="16">
        <v>0.88888888888888884</v>
      </c>
      <c r="D454" s="15" t="s">
        <v>45</v>
      </c>
      <c r="E454" s="15" t="s">
        <v>133</v>
      </c>
      <c r="F454" s="15" t="s">
        <v>478</v>
      </c>
      <c r="G454" s="298"/>
      <c r="H454" s="10"/>
      <c r="I454" s="11"/>
      <c r="J454" s="11"/>
      <c r="K454" s="11"/>
      <c r="L454" s="11"/>
      <c r="M454" s="11"/>
      <c r="N454" s="11"/>
      <c r="O454" s="12"/>
      <c r="P454" s="11"/>
      <c r="Q454" s="13"/>
      <c r="R454" s="14"/>
    </row>
    <row r="455" spans="1:18" ht="15" customHeight="1" x14ac:dyDescent="0.3">
      <c r="A455" s="15" t="s">
        <v>41</v>
      </c>
      <c r="B455" s="15" t="s">
        <v>347</v>
      </c>
      <c r="C455" s="16">
        <v>0.88888888888888884</v>
      </c>
      <c r="D455" s="15" t="s">
        <v>46</v>
      </c>
      <c r="E455" s="15" t="s">
        <v>133</v>
      </c>
      <c r="F455" s="15" t="s">
        <v>47</v>
      </c>
      <c r="G455" s="298"/>
      <c r="H455" s="10"/>
      <c r="I455" s="11"/>
      <c r="J455" s="11"/>
      <c r="K455" s="11"/>
      <c r="L455" s="11"/>
      <c r="M455" s="11"/>
      <c r="N455" s="11"/>
      <c r="O455" s="12"/>
      <c r="P455" s="11"/>
      <c r="Q455" s="13"/>
      <c r="R455" s="14"/>
    </row>
    <row r="456" spans="1:18" ht="15" customHeight="1" x14ac:dyDescent="0.3">
      <c r="A456" s="19" t="s">
        <v>26</v>
      </c>
      <c r="B456" s="19" t="s">
        <v>354</v>
      </c>
      <c r="C456" s="20">
        <v>0.34722222222222232</v>
      </c>
      <c r="D456" s="19" t="s">
        <v>28</v>
      </c>
      <c r="E456" s="19" t="s">
        <v>85</v>
      </c>
      <c r="F456" s="19" t="s">
        <v>339</v>
      </c>
      <c r="G456" s="298"/>
      <c r="H456" s="10"/>
      <c r="I456" s="11"/>
      <c r="J456" s="11"/>
      <c r="K456" s="11"/>
      <c r="L456" s="11"/>
      <c r="M456" s="11"/>
      <c r="N456" s="11"/>
      <c r="O456" s="12"/>
      <c r="P456" s="11"/>
      <c r="Q456" s="13"/>
      <c r="R456" s="14"/>
    </row>
    <row r="457" spans="1:18" ht="15" customHeight="1" x14ac:dyDescent="0.3">
      <c r="A457" s="15" t="s">
        <v>26</v>
      </c>
      <c r="B457" s="15" t="s">
        <v>354</v>
      </c>
      <c r="C457" s="16">
        <v>0.34722222222222232</v>
      </c>
      <c r="D457" s="15" t="s">
        <v>31</v>
      </c>
      <c r="E457" s="15" t="s">
        <v>87</v>
      </c>
      <c r="F457" s="15" t="s">
        <v>35</v>
      </c>
      <c r="G457" s="298"/>
      <c r="H457" s="10"/>
      <c r="I457" s="11"/>
      <c r="J457" s="11"/>
      <c r="K457" s="11"/>
      <c r="L457" s="11"/>
      <c r="M457" s="11"/>
      <c r="N457" s="11"/>
      <c r="O457" s="12"/>
      <c r="P457" s="11"/>
      <c r="Q457" s="13"/>
      <c r="R457" s="14"/>
    </row>
    <row r="458" spans="1:18" ht="15" customHeight="1" x14ac:dyDescent="0.3">
      <c r="A458" s="15" t="s">
        <v>26</v>
      </c>
      <c r="B458" s="15" t="s">
        <v>354</v>
      </c>
      <c r="C458" s="16">
        <v>0.34722222222222232</v>
      </c>
      <c r="D458" s="15" t="s">
        <v>34</v>
      </c>
      <c r="E458" s="15" t="s">
        <v>87</v>
      </c>
      <c r="F458" s="15" t="s">
        <v>123</v>
      </c>
      <c r="G458" s="298"/>
      <c r="H458" s="10"/>
      <c r="I458" s="11"/>
      <c r="J458" s="11"/>
      <c r="K458" s="11"/>
      <c r="L458" s="11"/>
      <c r="M458" s="11"/>
      <c r="N458" s="11"/>
      <c r="O458" s="12"/>
      <c r="P458" s="11"/>
      <c r="Q458" s="13"/>
      <c r="R458" s="14"/>
    </row>
    <row r="459" spans="1:18" ht="15" customHeight="1" x14ac:dyDescent="0.3">
      <c r="A459" s="17" t="s">
        <v>26</v>
      </c>
      <c r="B459" s="17" t="s">
        <v>350</v>
      </c>
      <c r="C459" s="18">
        <v>0.99305555555555547</v>
      </c>
      <c r="D459" s="17" t="s">
        <v>28</v>
      </c>
      <c r="E459" s="17" t="s">
        <v>37</v>
      </c>
      <c r="F459" s="17" t="s">
        <v>456</v>
      </c>
      <c r="G459" s="298"/>
      <c r="H459" s="10"/>
      <c r="I459" s="11"/>
      <c r="J459" s="11"/>
      <c r="K459" s="11"/>
      <c r="L459" s="11"/>
      <c r="M459" s="11"/>
      <c r="N459" s="11"/>
      <c r="O459" s="12"/>
      <c r="P459" s="11"/>
      <c r="Q459" s="13"/>
      <c r="R459" s="14"/>
    </row>
    <row r="460" spans="1:18" ht="15" customHeight="1" x14ac:dyDescent="0.3">
      <c r="A460" s="15" t="s">
        <v>26</v>
      </c>
      <c r="B460" s="15" t="s">
        <v>350</v>
      </c>
      <c r="C460" s="16">
        <v>0.99305555555555547</v>
      </c>
      <c r="D460" s="15" t="s">
        <v>31</v>
      </c>
      <c r="E460" s="15" t="s">
        <v>38</v>
      </c>
      <c r="F460" s="15" t="s">
        <v>145</v>
      </c>
      <c r="G460" s="298"/>
      <c r="H460" s="10"/>
      <c r="I460" s="11"/>
      <c r="J460" s="11"/>
      <c r="K460" s="11"/>
      <c r="L460" s="11"/>
      <c r="M460" s="11"/>
      <c r="N460" s="11"/>
      <c r="O460" s="12"/>
      <c r="P460" s="11"/>
      <c r="Q460" s="13"/>
      <c r="R460" s="14"/>
    </row>
    <row r="461" spans="1:18" ht="15" customHeight="1" x14ac:dyDescent="0.3">
      <c r="A461" s="15" t="s">
        <v>26</v>
      </c>
      <c r="B461" s="15" t="s">
        <v>350</v>
      </c>
      <c r="C461" s="16">
        <v>0.99305555555555547</v>
      </c>
      <c r="D461" s="15" t="s">
        <v>34</v>
      </c>
      <c r="E461" s="15" t="s">
        <v>38</v>
      </c>
      <c r="F461" s="15" t="s">
        <v>457</v>
      </c>
      <c r="G461" s="298"/>
      <c r="H461" s="10"/>
      <c r="I461" s="11"/>
      <c r="J461" s="11"/>
      <c r="K461" s="11"/>
      <c r="L461" s="11"/>
      <c r="M461" s="11"/>
      <c r="N461" s="11"/>
      <c r="O461" s="12"/>
      <c r="P461" s="11"/>
      <c r="Q461" s="13"/>
      <c r="R461" s="14"/>
    </row>
    <row r="462" spans="1:18" ht="15" customHeight="1" x14ac:dyDescent="0.3">
      <c r="A462" s="17" t="s">
        <v>26</v>
      </c>
      <c r="B462" s="17" t="s">
        <v>359</v>
      </c>
      <c r="C462" s="18">
        <v>0.73611111111111116</v>
      </c>
      <c r="D462" s="17" t="s">
        <v>28</v>
      </c>
      <c r="E462" s="17" t="s">
        <v>355</v>
      </c>
      <c r="F462" s="17" t="s">
        <v>456</v>
      </c>
      <c r="G462" s="298"/>
      <c r="H462" s="10"/>
      <c r="I462" s="11"/>
      <c r="J462" s="11"/>
      <c r="K462" s="11"/>
      <c r="L462" s="11"/>
      <c r="M462" s="11"/>
      <c r="N462" s="11"/>
      <c r="O462" s="12"/>
      <c r="P462" s="11"/>
      <c r="Q462" s="13"/>
      <c r="R462" s="14"/>
    </row>
    <row r="463" spans="1:18" ht="15" customHeight="1" x14ac:dyDescent="0.3">
      <c r="A463" s="15" t="s">
        <v>26</v>
      </c>
      <c r="B463" s="15" t="s">
        <v>359</v>
      </c>
      <c r="C463" s="16">
        <v>0.73611111111111116</v>
      </c>
      <c r="D463" s="15" t="s">
        <v>31</v>
      </c>
      <c r="E463" s="15" t="s">
        <v>115</v>
      </c>
      <c r="F463" s="15" t="s">
        <v>145</v>
      </c>
      <c r="G463" s="298"/>
      <c r="H463" s="10"/>
      <c r="I463" s="11"/>
      <c r="J463" s="11"/>
      <c r="K463" s="11"/>
      <c r="L463" s="11"/>
      <c r="M463" s="11"/>
      <c r="N463" s="11"/>
      <c r="O463" s="12"/>
      <c r="P463" s="11"/>
      <c r="Q463" s="13"/>
      <c r="R463" s="14"/>
    </row>
    <row r="464" spans="1:18" ht="15" customHeight="1" x14ac:dyDescent="0.3">
      <c r="A464" s="15" t="s">
        <v>26</v>
      </c>
      <c r="B464" s="15" t="s">
        <v>359</v>
      </c>
      <c r="C464" s="16">
        <v>0.73611111111111116</v>
      </c>
      <c r="D464" s="15" t="s">
        <v>34</v>
      </c>
      <c r="E464" s="15" t="s">
        <v>115</v>
      </c>
      <c r="F464" s="15" t="s">
        <v>457</v>
      </c>
      <c r="G464" s="298"/>
      <c r="H464" s="10"/>
      <c r="I464" s="11"/>
      <c r="J464" s="11"/>
      <c r="K464" s="11"/>
      <c r="L464" s="11"/>
      <c r="M464" s="11"/>
      <c r="N464" s="11"/>
      <c r="O464" s="12"/>
      <c r="P464" s="11"/>
      <c r="Q464" s="13"/>
      <c r="R464" s="14"/>
    </row>
    <row r="465" spans="1:18" ht="15" customHeight="1" x14ac:dyDescent="0.3">
      <c r="A465" s="17" t="s">
        <v>26</v>
      </c>
      <c r="B465" s="17" t="s">
        <v>356</v>
      </c>
      <c r="C465" s="18">
        <v>0.83680555555555547</v>
      </c>
      <c r="D465" s="17" t="s">
        <v>28</v>
      </c>
      <c r="E465" s="17" t="s">
        <v>121</v>
      </c>
      <c r="F465" s="17" t="s">
        <v>456</v>
      </c>
      <c r="G465" s="298"/>
      <c r="H465" s="10"/>
      <c r="I465" s="11"/>
      <c r="J465" s="11"/>
      <c r="K465" s="11"/>
      <c r="L465" s="11"/>
      <c r="M465" s="11"/>
      <c r="N465" s="11"/>
      <c r="O465" s="12"/>
      <c r="P465" s="11"/>
      <c r="Q465" s="13"/>
      <c r="R465" s="14"/>
    </row>
    <row r="466" spans="1:18" ht="15" customHeight="1" x14ac:dyDescent="0.3">
      <c r="A466" s="15" t="s">
        <v>26</v>
      </c>
      <c r="B466" s="15" t="s">
        <v>356</v>
      </c>
      <c r="C466" s="16">
        <v>0.83680555555555547</v>
      </c>
      <c r="D466" s="15" t="s">
        <v>31</v>
      </c>
      <c r="E466" s="15" t="s">
        <v>32</v>
      </c>
      <c r="F466" s="15" t="s">
        <v>145</v>
      </c>
      <c r="G466" s="298"/>
      <c r="H466" s="10"/>
      <c r="I466" s="11"/>
      <c r="J466" s="11"/>
      <c r="K466" s="11"/>
      <c r="L466" s="11"/>
      <c r="M466" s="11"/>
      <c r="N466" s="11"/>
      <c r="O466" s="12"/>
      <c r="P466" s="11"/>
      <c r="Q466" s="13"/>
      <c r="R466" s="14"/>
    </row>
    <row r="467" spans="1:18" ht="15" customHeight="1" x14ac:dyDescent="0.3">
      <c r="A467" s="15" t="s">
        <v>26</v>
      </c>
      <c r="B467" s="15" t="s">
        <v>356</v>
      </c>
      <c r="C467" s="16">
        <v>0.83680555555555547</v>
      </c>
      <c r="D467" s="15" t="s">
        <v>34</v>
      </c>
      <c r="E467" s="15" t="s">
        <v>32</v>
      </c>
      <c r="F467" s="15" t="s">
        <v>457</v>
      </c>
      <c r="G467" s="298"/>
      <c r="H467" s="10"/>
      <c r="I467" s="11"/>
      <c r="J467" s="11"/>
      <c r="K467" s="11"/>
      <c r="L467" s="11"/>
      <c r="M467" s="11"/>
      <c r="N467" s="11"/>
      <c r="O467" s="12"/>
      <c r="P467" s="11"/>
      <c r="Q467" s="13"/>
      <c r="R467" s="14"/>
    </row>
    <row r="468" spans="1:18" ht="15" customHeight="1" x14ac:dyDescent="0.3">
      <c r="A468" s="17" t="s">
        <v>26</v>
      </c>
      <c r="B468" s="17" t="s">
        <v>352</v>
      </c>
      <c r="C468" s="18">
        <v>0.94444444444444453</v>
      </c>
      <c r="D468" s="17" t="s">
        <v>28</v>
      </c>
      <c r="E468" s="17" t="s">
        <v>353</v>
      </c>
      <c r="F468" s="17" t="s">
        <v>456</v>
      </c>
      <c r="G468" s="298"/>
      <c r="H468" s="10"/>
      <c r="I468" s="11"/>
      <c r="J468" s="11"/>
      <c r="K468" s="11"/>
      <c r="L468" s="11"/>
      <c r="M468" s="11"/>
      <c r="N468" s="11"/>
      <c r="O468" s="12"/>
      <c r="P468" s="11"/>
      <c r="Q468" s="13"/>
      <c r="R468" s="14"/>
    </row>
    <row r="469" spans="1:18" ht="15" customHeight="1" x14ac:dyDescent="0.3">
      <c r="A469" s="15" t="s">
        <v>26</v>
      </c>
      <c r="B469" s="15" t="s">
        <v>352</v>
      </c>
      <c r="C469" s="16">
        <v>0.94444444444444453</v>
      </c>
      <c r="D469" s="15" t="s">
        <v>31</v>
      </c>
      <c r="E469" s="15" t="s">
        <v>97</v>
      </c>
      <c r="F469" s="15" t="s">
        <v>145</v>
      </c>
      <c r="G469" s="298"/>
      <c r="H469" s="10"/>
      <c r="I469" s="11"/>
      <c r="J469" s="11"/>
      <c r="K469" s="11"/>
      <c r="L469" s="11"/>
      <c r="M469" s="11"/>
      <c r="N469" s="11"/>
      <c r="O469" s="12"/>
      <c r="P469" s="11"/>
      <c r="Q469" s="13"/>
      <c r="R469" s="14"/>
    </row>
    <row r="470" spans="1:18" ht="15" customHeight="1" x14ac:dyDescent="0.3">
      <c r="A470" s="15" t="s">
        <v>26</v>
      </c>
      <c r="B470" s="15" t="s">
        <v>352</v>
      </c>
      <c r="C470" s="16">
        <v>0.94444444444444453</v>
      </c>
      <c r="D470" s="15" t="s">
        <v>34</v>
      </c>
      <c r="E470" s="15" t="s">
        <v>97</v>
      </c>
      <c r="F470" s="15" t="s">
        <v>457</v>
      </c>
      <c r="G470" s="298"/>
      <c r="H470" s="10"/>
      <c r="I470" s="11"/>
      <c r="J470" s="11"/>
      <c r="K470" s="11"/>
      <c r="L470" s="11"/>
      <c r="M470" s="11"/>
      <c r="N470" s="11"/>
      <c r="O470" s="12"/>
      <c r="P470" s="11"/>
      <c r="Q470" s="13"/>
      <c r="R470" s="14"/>
    </row>
    <row r="471" spans="1:18" ht="15" customHeight="1" x14ac:dyDescent="0.3">
      <c r="A471" s="17" t="s">
        <v>26</v>
      </c>
      <c r="B471" s="17" t="s">
        <v>360</v>
      </c>
      <c r="C471" s="18">
        <v>0.4861111111111111</v>
      </c>
      <c r="D471" s="17" t="s">
        <v>28</v>
      </c>
      <c r="E471" s="17" t="s">
        <v>37</v>
      </c>
      <c r="F471" s="17" t="s">
        <v>456</v>
      </c>
      <c r="G471" s="298"/>
      <c r="H471" s="10"/>
      <c r="I471" s="11"/>
      <c r="J471" s="11"/>
      <c r="K471" s="11"/>
      <c r="L471" s="11"/>
      <c r="M471" s="11"/>
      <c r="N471" s="11"/>
      <c r="O471" s="12"/>
      <c r="P471" s="11"/>
      <c r="Q471" s="13"/>
      <c r="R471" s="14"/>
    </row>
    <row r="472" spans="1:18" ht="15" customHeight="1" x14ac:dyDescent="0.3">
      <c r="A472" s="15" t="s">
        <v>26</v>
      </c>
      <c r="B472" s="15" t="s">
        <v>360</v>
      </c>
      <c r="C472" s="16">
        <v>0.4861111111111111</v>
      </c>
      <c r="D472" s="15" t="s">
        <v>31</v>
      </c>
      <c r="E472" s="15" t="s">
        <v>38</v>
      </c>
      <c r="F472" s="15" t="s">
        <v>145</v>
      </c>
      <c r="G472" s="298"/>
      <c r="H472" s="10"/>
      <c r="I472" s="11"/>
      <c r="J472" s="11"/>
      <c r="K472" s="11"/>
      <c r="L472" s="11"/>
      <c r="M472" s="11"/>
      <c r="N472" s="11"/>
      <c r="O472" s="12"/>
      <c r="P472" s="11"/>
      <c r="Q472" s="13"/>
      <c r="R472" s="14"/>
    </row>
    <row r="473" spans="1:18" ht="15" customHeight="1" x14ac:dyDescent="0.3">
      <c r="A473" s="15" t="s">
        <v>26</v>
      </c>
      <c r="B473" s="15" t="s">
        <v>360</v>
      </c>
      <c r="C473" s="16">
        <v>0.4861111111111111</v>
      </c>
      <c r="D473" s="15" t="s">
        <v>34</v>
      </c>
      <c r="E473" s="15" t="s">
        <v>38</v>
      </c>
      <c r="F473" s="15" t="s">
        <v>457</v>
      </c>
      <c r="G473" s="298"/>
      <c r="H473" s="10"/>
      <c r="I473" s="11"/>
      <c r="J473" s="11"/>
      <c r="K473" s="11"/>
      <c r="L473" s="11"/>
      <c r="M473" s="11"/>
      <c r="N473" s="11"/>
      <c r="O473" s="12"/>
      <c r="P473" s="11"/>
      <c r="Q473" s="13"/>
      <c r="R473" s="14"/>
    </row>
    <row r="474" spans="1:18" ht="15" customHeight="1" x14ac:dyDescent="0.3">
      <c r="A474" s="17" t="s">
        <v>26</v>
      </c>
      <c r="B474" s="17" t="s">
        <v>357</v>
      </c>
      <c r="C474" s="18">
        <v>0.3923611111111111</v>
      </c>
      <c r="D474" s="17" t="s">
        <v>28</v>
      </c>
      <c r="E474" s="17" t="s">
        <v>37</v>
      </c>
      <c r="F474" s="17" t="s">
        <v>456</v>
      </c>
      <c r="G474" s="298"/>
      <c r="H474" s="10"/>
      <c r="I474" s="11"/>
      <c r="J474" s="11"/>
      <c r="K474" s="11"/>
      <c r="L474" s="11"/>
      <c r="M474" s="11"/>
      <c r="N474" s="11"/>
      <c r="O474" s="12"/>
      <c r="P474" s="11"/>
      <c r="Q474" s="13"/>
      <c r="R474" s="14"/>
    </row>
    <row r="475" spans="1:18" ht="15" customHeight="1" x14ac:dyDescent="0.3">
      <c r="A475" s="15" t="s">
        <v>26</v>
      </c>
      <c r="B475" s="15" t="s">
        <v>357</v>
      </c>
      <c r="C475" s="16">
        <v>0.3923611111111111</v>
      </c>
      <c r="D475" s="15" t="s">
        <v>31</v>
      </c>
      <c r="E475" s="15" t="s">
        <v>38</v>
      </c>
      <c r="F475" s="15" t="s">
        <v>145</v>
      </c>
      <c r="G475" s="298"/>
      <c r="H475" s="10"/>
      <c r="I475" s="11"/>
      <c r="J475" s="11"/>
      <c r="K475" s="11"/>
      <c r="L475" s="11"/>
      <c r="M475" s="11"/>
      <c r="N475" s="11"/>
      <c r="O475" s="12"/>
      <c r="P475" s="11"/>
      <c r="Q475" s="13"/>
      <c r="R475" s="14"/>
    </row>
    <row r="476" spans="1:18" ht="15" customHeight="1" x14ac:dyDescent="0.3">
      <c r="A476" s="15" t="s">
        <v>26</v>
      </c>
      <c r="B476" s="15" t="s">
        <v>357</v>
      </c>
      <c r="C476" s="16">
        <v>0.3923611111111111</v>
      </c>
      <c r="D476" s="15" t="s">
        <v>34</v>
      </c>
      <c r="E476" s="15" t="s">
        <v>38</v>
      </c>
      <c r="F476" s="15" t="s">
        <v>457</v>
      </c>
      <c r="G476" s="298"/>
      <c r="H476" s="10"/>
      <c r="I476" s="11"/>
      <c r="J476" s="11"/>
      <c r="K476" s="11"/>
      <c r="L476" s="11"/>
      <c r="M476" s="11"/>
      <c r="N476" s="11"/>
      <c r="O476" s="12"/>
      <c r="P476" s="11"/>
      <c r="Q476" s="13"/>
      <c r="R476" s="14"/>
    </row>
    <row r="477" spans="1:18" ht="15" customHeight="1" x14ac:dyDescent="0.3">
      <c r="A477" s="17" t="s">
        <v>26</v>
      </c>
      <c r="B477" s="17" t="s">
        <v>358</v>
      </c>
      <c r="C477" s="18">
        <v>0.88888888888888884</v>
      </c>
      <c r="D477" s="17" t="s">
        <v>28</v>
      </c>
      <c r="E477" s="17" t="s">
        <v>121</v>
      </c>
      <c r="F477" s="17" t="s">
        <v>456</v>
      </c>
      <c r="G477" s="298"/>
      <c r="H477" s="10"/>
      <c r="I477" s="11"/>
      <c r="J477" s="11"/>
      <c r="K477" s="11"/>
      <c r="L477" s="11"/>
      <c r="M477" s="11"/>
      <c r="N477" s="11"/>
      <c r="O477" s="12"/>
      <c r="P477" s="11"/>
      <c r="Q477" s="13"/>
      <c r="R477" s="14"/>
    </row>
    <row r="478" spans="1:18" ht="15" customHeight="1" x14ac:dyDescent="0.3">
      <c r="A478" s="15" t="s">
        <v>26</v>
      </c>
      <c r="B478" s="15" t="s">
        <v>358</v>
      </c>
      <c r="C478" s="16">
        <v>0.88888888888888884</v>
      </c>
      <c r="D478" s="15" t="s">
        <v>31</v>
      </c>
      <c r="E478" s="15" t="s">
        <v>32</v>
      </c>
      <c r="F478" s="15" t="s">
        <v>145</v>
      </c>
      <c r="G478" s="298"/>
      <c r="H478" s="10"/>
      <c r="I478" s="11"/>
      <c r="J478" s="11"/>
      <c r="K478" s="11"/>
      <c r="L478" s="11"/>
      <c r="M478" s="11"/>
      <c r="N478" s="11"/>
      <c r="O478" s="12"/>
      <c r="P478" s="11"/>
      <c r="Q478" s="13"/>
      <c r="R478" s="14"/>
    </row>
    <row r="479" spans="1:18" ht="15" customHeight="1" x14ac:dyDescent="0.3">
      <c r="A479" s="15" t="s">
        <v>26</v>
      </c>
      <c r="B479" s="15" t="s">
        <v>358</v>
      </c>
      <c r="C479" s="16">
        <v>0.88888888888888884</v>
      </c>
      <c r="D479" s="15" t="s">
        <v>34</v>
      </c>
      <c r="E479" s="15" t="s">
        <v>32</v>
      </c>
      <c r="F479" s="15" t="s">
        <v>457</v>
      </c>
      <c r="G479" s="298"/>
      <c r="H479" s="10"/>
      <c r="I479" s="11"/>
      <c r="J479" s="11"/>
      <c r="K479" s="11"/>
      <c r="L479" s="11"/>
      <c r="M479" s="11"/>
      <c r="N479" s="11"/>
      <c r="O479" s="12"/>
      <c r="P479" s="11"/>
      <c r="Q479" s="13"/>
      <c r="R479" s="14"/>
    </row>
    <row r="480" spans="1:18" ht="15" customHeight="1" x14ac:dyDescent="0.3">
      <c r="A480" s="19" t="s">
        <v>385</v>
      </c>
      <c r="B480" s="19" t="s">
        <v>386</v>
      </c>
      <c r="C480" s="20">
        <v>0.49305555555555558</v>
      </c>
      <c r="D480" s="19" t="s">
        <v>101</v>
      </c>
      <c r="E480" s="19" t="s">
        <v>63</v>
      </c>
      <c r="F480" s="19" t="s">
        <v>387</v>
      </c>
      <c r="G480" s="298"/>
      <c r="H480" s="10"/>
      <c r="I480" s="11"/>
      <c r="J480" s="11"/>
      <c r="K480" s="11"/>
      <c r="L480" s="11"/>
      <c r="M480" s="11"/>
      <c r="N480" s="11"/>
      <c r="O480" s="12"/>
      <c r="P480" s="11"/>
      <c r="Q480" s="13"/>
      <c r="R480" s="14"/>
    </row>
    <row r="481" spans="1:18" ht="15" customHeight="1" x14ac:dyDescent="0.3">
      <c r="A481" s="17" t="s">
        <v>385</v>
      </c>
      <c r="B481" s="17" t="s">
        <v>435</v>
      </c>
      <c r="C481" s="18">
        <v>0.19444444444444439</v>
      </c>
      <c r="D481" s="17" t="s">
        <v>101</v>
      </c>
      <c r="E481" s="17" t="s">
        <v>353</v>
      </c>
      <c r="F481" s="17" t="s">
        <v>387</v>
      </c>
      <c r="G481" s="298"/>
      <c r="H481" s="10"/>
      <c r="I481" s="11"/>
      <c r="J481" s="11"/>
      <c r="K481" s="11"/>
      <c r="L481" s="11"/>
      <c r="M481" s="11"/>
      <c r="N481" s="11"/>
      <c r="O481" s="12"/>
      <c r="P481" s="11"/>
      <c r="Q481" s="13"/>
      <c r="R481" s="14"/>
    </row>
    <row r="482" spans="1:18" ht="15" customHeight="1" x14ac:dyDescent="0.3">
      <c r="A482" s="19" t="s">
        <v>388</v>
      </c>
      <c r="B482" s="19" t="s">
        <v>389</v>
      </c>
      <c r="C482" s="20">
        <v>0.22569444444444439</v>
      </c>
      <c r="D482" s="19" t="s">
        <v>390</v>
      </c>
      <c r="E482" s="19" t="s">
        <v>138</v>
      </c>
      <c r="F482" s="19" t="s">
        <v>509</v>
      </c>
      <c r="G482" s="298"/>
      <c r="H482" s="10"/>
      <c r="I482" s="11"/>
      <c r="J482" s="11"/>
      <c r="K482" s="11"/>
      <c r="L482" s="11"/>
      <c r="M482" s="11"/>
      <c r="N482" s="11"/>
      <c r="O482" s="12"/>
      <c r="P482" s="11"/>
      <c r="Q482" s="13"/>
      <c r="R482" s="14"/>
    </row>
    <row r="483" spans="1:18" ht="15" customHeight="1" x14ac:dyDescent="0.3">
      <c r="A483" s="15" t="s">
        <v>388</v>
      </c>
      <c r="B483" s="15" t="s">
        <v>389</v>
      </c>
      <c r="C483" s="16">
        <v>0.22569444444444439</v>
      </c>
      <c r="D483" s="15" t="s">
        <v>46</v>
      </c>
      <c r="E483" s="15" t="s">
        <v>38</v>
      </c>
      <c r="F483" s="15" t="s">
        <v>510</v>
      </c>
      <c r="G483" s="298"/>
      <c r="H483" s="10"/>
      <c r="I483" s="11"/>
      <c r="J483" s="11"/>
      <c r="K483" s="11"/>
      <c r="L483" s="11"/>
      <c r="M483" s="11"/>
      <c r="N483" s="11"/>
      <c r="O483" s="12"/>
      <c r="P483" s="11"/>
      <c r="Q483" s="13"/>
      <c r="R483" s="14"/>
    </row>
    <row r="484" spans="1:18" ht="15" customHeight="1" x14ac:dyDescent="0.3">
      <c r="A484" s="19" t="s">
        <v>458</v>
      </c>
      <c r="B484" s="19" t="s">
        <v>480</v>
      </c>
      <c r="C484" s="20">
        <v>0.46180555555555558</v>
      </c>
      <c r="D484" s="19" t="s">
        <v>101</v>
      </c>
      <c r="E484" s="19" t="s">
        <v>29</v>
      </c>
      <c r="F484" s="19" t="s">
        <v>122</v>
      </c>
      <c r="G484" s="298"/>
      <c r="H484" s="10"/>
      <c r="I484" s="11"/>
      <c r="J484" s="11"/>
      <c r="K484" s="11"/>
      <c r="L484" s="11"/>
      <c r="M484" s="11"/>
      <c r="N484" s="11"/>
      <c r="O484" s="12"/>
      <c r="P484" s="11"/>
      <c r="Q484" s="13"/>
      <c r="R484" s="14"/>
    </row>
    <row r="485" spans="1:18" ht="15" customHeight="1" x14ac:dyDescent="0.3">
      <c r="A485" s="19" t="s">
        <v>60</v>
      </c>
      <c r="B485" s="19" t="s">
        <v>400</v>
      </c>
      <c r="C485" s="20">
        <v>0.82986111111111116</v>
      </c>
      <c r="D485" s="19" t="s">
        <v>65</v>
      </c>
      <c r="E485" s="19" t="s">
        <v>63</v>
      </c>
      <c r="F485" s="19" t="s">
        <v>490</v>
      </c>
      <c r="G485" s="298"/>
      <c r="H485" s="10"/>
      <c r="I485" s="11"/>
      <c r="J485" s="11"/>
      <c r="K485" s="11"/>
      <c r="L485" s="11"/>
      <c r="M485" s="11"/>
      <c r="N485" s="11"/>
      <c r="O485" s="12"/>
      <c r="P485" s="11"/>
      <c r="Q485" s="13"/>
      <c r="R485" s="14"/>
    </row>
    <row r="486" spans="1:18" ht="15" customHeight="1" x14ac:dyDescent="0.3">
      <c r="A486" s="17" t="s">
        <v>60</v>
      </c>
      <c r="B486" s="17" t="s">
        <v>404</v>
      </c>
      <c r="C486" s="18">
        <v>0.72222222222222221</v>
      </c>
      <c r="D486" s="17" t="s">
        <v>65</v>
      </c>
      <c r="E486" s="17" t="s">
        <v>54</v>
      </c>
      <c r="F486" s="17" t="s">
        <v>490</v>
      </c>
      <c r="G486" s="298"/>
      <c r="H486" s="10"/>
      <c r="I486" s="11"/>
      <c r="J486" s="11"/>
      <c r="K486" s="11"/>
      <c r="L486" s="11"/>
      <c r="M486" s="11"/>
      <c r="N486" s="11"/>
      <c r="O486" s="12"/>
      <c r="P486" s="11"/>
      <c r="Q486" s="13"/>
      <c r="R486" s="14"/>
    </row>
    <row r="487" spans="1:18" ht="15" customHeight="1" x14ac:dyDescent="0.3">
      <c r="A487" s="17" t="s">
        <v>60</v>
      </c>
      <c r="B487" s="17" t="s">
        <v>445</v>
      </c>
      <c r="C487" s="18">
        <v>0.94097222222222221</v>
      </c>
      <c r="D487" s="17" t="s">
        <v>65</v>
      </c>
      <c r="E487" s="17" t="s">
        <v>54</v>
      </c>
      <c r="F487" s="17" t="s">
        <v>490</v>
      </c>
      <c r="G487" s="298"/>
      <c r="H487" s="10"/>
      <c r="I487" s="11"/>
      <c r="J487" s="11"/>
      <c r="K487" s="11"/>
      <c r="L487" s="11"/>
      <c r="M487" s="11"/>
      <c r="N487" s="11"/>
      <c r="O487" s="12"/>
      <c r="P487" s="11"/>
      <c r="Q487" s="13"/>
      <c r="R487" s="14"/>
    </row>
    <row r="488" spans="1:18" ht="15" customHeight="1" x14ac:dyDescent="0.3">
      <c r="A488" s="17" t="s">
        <v>60</v>
      </c>
      <c r="B488" s="17" t="s">
        <v>446</v>
      </c>
      <c r="C488" s="18">
        <v>0.48958333333333331</v>
      </c>
      <c r="D488" s="17" t="s">
        <v>65</v>
      </c>
      <c r="E488" s="17" t="s">
        <v>54</v>
      </c>
      <c r="F488" s="17" t="s">
        <v>511</v>
      </c>
      <c r="G488" s="298"/>
      <c r="H488" s="10"/>
      <c r="I488" s="11"/>
      <c r="J488" s="11"/>
      <c r="K488" s="11"/>
      <c r="L488" s="11"/>
      <c r="M488" s="11"/>
      <c r="N488" s="11"/>
      <c r="O488" s="12"/>
      <c r="P488" s="11"/>
      <c r="Q488" s="13"/>
      <c r="R488" s="14"/>
    </row>
    <row r="489" spans="1:18" ht="15" customHeight="1" x14ac:dyDescent="0.3">
      <c r="A489" s="17" t="s">
        <v>60</v>
      </c>
      <c r="B489" s="17" t="s">
        <v>402</v>
      </c>
      <c r="C489" s="18">
        <v>0.11805555555555559</v>
      </c>
      <c r="D489" s="17" t="s">
        <v>65</v>
      </c>
      <c r="E489" s="17" t="s">
        <v>54</v>
      </c>
      <c r="F489" s="17" t="s">
        <v>511</v>
      </c>
      <c r="G489" s="298"/>
      <c r="H489" s="10"/>
      <c r="I489" s="11"/>
      <c r="J489" s="11"/>
      <c r="K489" s="11"/>
      <c r="L489" s="11"/>
      <c r="M489" s="11"/>
      <c r="N489" s="11"/>
      <c r="O489" s="12"/>
      <c r="P489" s="11"/>
      <c r="Q489" s="13"/>
      <c r="R489" s="14"/>
    </row>
    <row r="490" spans="1:18" ht="15" customHeight="1" x14ac:dyDescent="0.3">
      <c r="A490" s="17" t="s">
        <v>60</v>
      </c>
      <c r="B490" s="17" t="s">
        <v>403</v>
      </c>
      <c r="C490" s="18">
        <v>0.70138888888888884</v>
      </c>
      <c r="D490" s="17" t="s">
        <v>65</v>
      </c>
      <c r="E490" s="17" t="s">
        <v>54</v>
      </c>
      <c r="F490" s="17" t="s">
        <v>511</v>
      </c>
      <c r="G490" s="298"/>
      <c r="H490" s="10"/>
      <c r="I490" s="11"/>
      <c r="J490" s="11"/>
      <c r="K490" s="11"/>
      <c r="L490" s="11"/>
      <c r="M490" s="11"/>
      <c r="N490" s="11"/>
      <c r="O490" s="12"/>
      <c r="P490" s="11"/>
      <c r="Q490" s="13"/>
      <c r="R490" s="14"/>
    </row>
    <row r="491" spans="1:18" ht="15" customHeight="1" x14ac:dyDescent="0.3">
      <c r="A491" s="17" t="s">
        <v>60</v>
      </c>
      <c r="B491" s="17" t="s">
        <v>395</v>
      </c>
      <c r="C491" s="18">
        <v>0.98958333333333337</v>
      </c>
      <c r="D491" s="17" t="s">
        <v>65</v>
      </c>
      <c r="E491" s="17" t="s">
        <v>72</v>
      </c>
      <c r="F491" s="17" t="s">
        <v>491</v>
      </c>
      <c r="G491" s="298"/>
      <c r="H491" s="10"/>
      <c r="I491" s="11"/>
      <c r="J491" s="11"/>
      <c r="K491" s="11"/>
      <c r="L491" s="11"/>
      <c r="M491" s="11"/>
      <c r="N491" s="11"/>
      <c r="O491" s="12"/>
      <c r="P491" s="11"/>
      <c r="Q491" s="13"/>
      <c r="R491" s="14"/>
    </row>
    <row r="492" spans="1:18" ht="15" customHeight="1" x14ac:dyDescent="0.3">
      <c r="A492" s="17" t="s">
        <v>60</v>
      </c>
      <c r="B492" s="17" t="s">
        <v>397</v>
      </c>
      <c r="C492" s="18">
        <v>0.39930555555555558</v>
      </c>
      <c r="D492" s="17" t="s">
        <v>65</v>
      </c>
      <c r="E492" s="17" t="s">
        <v>72</v>
      </c>
      <c r="F492" s="17" t="s">
        <v>491</v>
      </c>
      <c r="G492" s="298"/>
      <c r="H492" s="10"/>
      <c r="I492" s="11"/>
      <c r="J492" s="11"/>
      <c r="K492" s="11"/>
      <c r="L492" s="11"/>
      <c r="M492" s="11"/>
      <c r="N492" s="11"/>
      <c r="O492" s="12"/>
      <c r="P492" s="11"/>
      <c r="Q492" s="13"/>
      <c r="R492" s="14"/>
    </row>
    <row r="493" spans="1:18" ht="15" customHeight="1" x14ac:dyDescent="0.3">
      <c r="A493" s="17" t="s">
        <v>60</v>
      </c>
      <c r="B493" s="17" t="s">
        <v>398</v>
      </c>
      <c r="C493" s="18">
        <v>0.48958333333333331</v>
      </c>
      <c r="D493" s="17" t="s">
        <v>65</v>
      </c>
      <c r="E493" s="17" t="s">
        <v>72</v>
      </c>
      <c r="F493" s="17" t="s">
        <v>491</v>
      </c>
      <c r="G493" s="298"/>
      <c r="H493" s="10"/>
      <c r="I493" s="11"/>
      <c r="J493" s="11"/>
      <c r="K493" s="11"/>
      <c r="L493" s="11"/>
      <c r="M493" s="11"/>
      <c r="N493" s="11"/>
      <c r="O493" s="12"/>
      <c r="P493" s="11"/>
      <c r="Q493" s="13"/>
      <c r="R493" s="14"/>
    </row>
    <row r="494" spans="1:18" ht="15" customHeight="1" x14ac:dyDescent="0.3">
      <c r="A494" s="17" t="s">
        <v>60</v>
      </c>
      <c r="B494" s="17" t="s">
        <v>399</v>
      </c>
      <c r="C494" s="18">
        <v>0.88888888888888884</v>
      </c>
      <c r="D494" s="17" t="s">
        <v>65</v>
      </c>
      <c r="E494" s="17" t="s">
        <v>72</v>
      </c>
      <c r="F494" s="17" t="s">
        <v>512</v>
      </c>
      <c r="G494" s="298"/>
      <c r="H494" s="10"/>
      <c r="I494" s="11"/>
      <c r="J494" s="11"/>
      <c r="K494" s="11"/>
      <c r="L494" s="11"/>
      <c r="M494" s="11"/>
      <c r="N494" s="11"/>
      <c r="O494" s="12"/>
      <c r="P494" s="11"/>
      <c r="Q494" s="13"/>
      <c r="R494" s="14"/>
    </row>
    <row r="495" spans="1:18" ht="15" customHeight="1" x14ac:dyDescent="0.3">
      <c r="A495" s="17" t="s">
        <v>60</v>
      </c>
      <c r="B495" s="17" t="s">
        <v>393</v>
      </c>
      <c r="C495" s="18">
        <v>0.25347222222222221</v>
      </c>
      <c r="D495" s="17" t="s">
        <v>65</v>
      </c>
      <c r="E495" s="17" t="s">
        <v>54</v>
      </c>
      <c r="F495" s="17" t="s">
        <v>401</v>
      </c>
      <c r="G495" s="298"/>
      <c r="H495" s="10"/>
      <c r="I495" s="11"/>
      <c r="J495" s="11"/>
      <c r="K495" s="11"/>
      <c r="L495" s="11"/>
      <c r="M495" s="11"/>
      <c r="N495" s="11"/>
      <c r="O495" s="12"/>
      <c r="P495" s="11"/>
      <c r="Q495" s="13"/>
      <c r="R495" s="14"/>
    </row>
    <row r="496" spans="1:18" ht="15" customHeight="1" x14ac:dyDescent="0.3">
      <c r="A496" s="17" t="s">
        <v>60</v>
      </c>
      <c r="B496" s="17" t="s">
        <v>444</v>
      </c>
      <c r="C496" s="18">
        <v>4.1666666666666657E-2</v>
      </c>
      <c r="D496" s="17" t="s">
        <v>65</v>
      </c>
      <c r="E496" s="17" t="s">
        <v>54</v>
      </c>
      <c r="F496" s="17" t="s">
        <v>401</v>
      </c>
      <c r="G496" s="298"/>
      <c r="H496" s="10"/>
      <c r="I496" s="11"/>
      <c r="J496" s="11"/>
      <c r="K496" s="11"/>
      <c r="L496" s="11"/>
      <c r="M496" s="11"/>
      <c r="N496" s="11"/>
      <c r="O496" s="12"/>
      <c r="P496" s="11"/>
      <c r="Q496" s="13"/>
      <c r="R496" s="14"/>
    </row>
    <row r="497" spans="1:18" ht="15" customHeight="1" x14ac:dyDescent="0.3">
      <c r="A497" s="19" t="s">
        <v>48</v>
      </c>
      <c r="B497" s="19" t="s">
        <v>410</v>
      </c>
      <c r="C497" s="20">
        <v>0.97222222222222221</v>
      </c>
      <c r="D497" s="19" t="s">
        <v>50</v>
      </c>
      <c r="E497" s="19" t="s">
        <v>63</v>
      </c>
      <c r="F497" s="19" t="s">
        <v>409</v>
      </c>
      <c r="G497" s="298"/>
      <c r="H497" s="10"/>
      <c r="I497" s="11"/>
      <c r="J497" s="11"/>
      <c r="K497" s="11"/>
      <c r="L497" s="11"/>
      <c r="M497" s="11"/>
      <c r="N497" s="11"/>
      <c r="O497" s="12"/>
      <c r="P497" s="11"/>
      <c r="Q497" s="13"/>
      <c r="R497" s="14"/>
    </row>
    <row r="498" spans="1:18" ht="15" customHeight="1" thickBot="1" x14ac:dyDescent="0.35">
      <c r="A498" s="39" t="s">
        <v>48</v>
      </c>
      <c r="B498" s="39" t="s">
        <v>415</v>
      </c>
      <c r="C498" s="40">
        <v>4.8611111111111112E-2</v>
      </c>
      <c r="D498" s="39" t="s">
        <v>50</v>
      </c>
      <c r="E498" s="39" t="s">
        <v>54</v>
      </c>
      <c r="F498" s="39" t="s">
        <v>409</v>
      </c>
      <c r="G498" s="299"/>
      <c r="H498" s="41"/>
      <c r="I498" s="42"/>
      <c r="J498" s="42"/>
      <c r="K498" s="42"/>
      <c r="L498" s="42"/>
      <c r="M498" s="42"/>
      <c r="N498" s="42"/>
      <c r="O498" s="43"/>
      <c r="P498" s="42"/>
      <c r="Q498" s="44"/>
      <c r="R498" s="45"/>
    </row>
    <row r="499" spans="1:18" ht="17.399999999999999" customHeight="1" thickBot="1" x14ac:dyDescent="0.35">
      <c r="A499" s="329"/>
      <c r="B499" s="330"/>
      <c r="C499" s="330"/>
      <c r="D499" s="330"/>
      <c r="E499" s="330"/>
      <c r="F499" s="330"/>
      <c r="G499" s="330"/>
      <c r="H499" s="330"/>
      <c r="I499" s="330"/>
      <c r="J499" s="330"/>
      <c r="K499" s="330"/>
      <c r="L499" s="330"/>
      <c r="M499" s="330"/>
      <c r="N499" s="330"/>
      <c r="O499" s="330"/>
      <c r="P499" s="330"/>
      <c r="Q499" s="330"/>
      <c r="R499" s="331"/>
    </row>
    <row r="500" spans="1:18" ht="22.05" customHeight="1" thickTop="1" thickBot="1" x14ac:dyDescent="0.35">
      <c r="A500" s="300" t="s">
        <v>6</v>
      </c>
      <c r="B500" s="295"/>
      <c r="C500" s="295"/>
      <c r="D500" s="295"/>
      <c r="E500" s="295"/>
      <c r="F500" s="296"/>
      <c r="G500" s="31">
        <v>45988</v>
      </c>
      <c r="H500" s="294" t="s">
        <v>7</v>
      </c>
      <c r="I500" s="295"/>
      <c r="J500" s="295"/>
      <c r="K500" s="295"/>
      <c r="L500" s="295"/>
      <c r="M500" s="295"/>
      <c r="N500" s="295"/>
      <c r="O500" s="295"/>
      <c r="P500" s="295"/>
      <c r="Q500" s="295"/>
      <c r="R500" s="296"/>
    </row>
    <row r="501" spans="1:18" ht="24" customHeight="1" x14ac:dyDescent="0.3">
      <c r="A501" s="32" t="s">
        <v>8</v>
      </c>
      <c r="B501" s="32" t="s">
        <v>9</v>
      </c>
      <c r="C501" s="33" t="s">
        <v>10</v>
      </c>
      <c r="D501" s="32" t="s">
        <v>11</v>
      </c>
      <c r="E501" s="32" t="s">
        <v>12</v>
      </c>
      <c r="F501" s="34" t="s">
        <v>13</v>
      </c>
      <c r="G501" s="35" t="s">
        <v>14</v>
      </c>
      <c r="H501" s="32" t="s">
        <v>15</v>
      </c>
      <c r="I501" s="36" t="s">
        <v>16</v>
      </c>
      <c r="J501" s="37" t="s">
        <v>17</v>
      </c>
      <c r="K501" s="38" t="s">
        <v>18</v>
      </c>
      <c r="L501" s="37" t="s">
        <v>19</v>
      </c>
      <c r="M501" s="37" t="s">
        <v>20</v>
      </c>
      <c r="N501" s="37" t="s">
        <v>21</v>
      </c>
      <c r="O501" s="32" t="s">
        <v>22</v>
      </c>
      <c r="P501" s="33" t="s">
        <v>23</v>
      </c>
      <c r="Q501" s="37" t="s">
        <v>24</v>
      </c>
      <c r="R501" s="32" t="s">
        <v>25</v>
      </c>
    </row>
    <row r="502" spans="1:18" ht="15" customHeight="1" x14ac:dyDescent="0.3">
      <c r="A502" s="8" t="s">
        <v>41</v>
      </c>
      <c r="B502" s="8" t="s">
        <v>347</v>
      </c>
      <c r="C502" s="9">
        <v>0.88888888888888884</v>
      </c>
      <c r="D502" s="8" t="s">
        <v>43</v>
      </c>
      <c r="E502" s="8" t="s">
        <v>83</v>
      </c>
      <c r="F502" s="8" t="s">
        <v>508</v>
      </c>
      <c r="G502" s="297"/>
      <c r="H502" s="10"/>
      <c r="I502" s="11"/>
      <c r="J502" s="11"/>
      <c r="K502" s="11"/>
      <c r="L502" s="11"/>
      <c r="M502" s="11"/>
      <c r="N502" s="11"/>
      <c r="O502" s="12"/>
      <c r="P502" s="11"/>
      <c r="Q502" s="13"/>
      <c r="R502" s="14"/>
    </row>
    <row r="503" spans="1:18" ht="15" customHeight="1" x14ac:dyDescent="0.3">
      <c r="A503" s="15" t="s">
        <v>41</v>
      </c>
      <c r="B503" s="15" t="s">
        <v>347</v>
      </c>
      <c r="C503" s="16">
        <v>0.88888888888888884</v>
      </c>
      <c r="D503" s="15" t="s">
        <v>45</v>
      </c>
      <c r="E503" s="15" t="s">
        <v>84</v>
      </c>
      <c r="F503" s="15" t="s">
        <v>478</v>
      </c>
      <c r="G503" s="298"/>
      <c r="H503" s="10"/>
      <c r="I503" s="11"/>
      <c r="J503" s="11"/>
      <c r="K503" s="11"/>
      <c r="L503" s="11"/>
      <c r="M503" s="11"/>
      <c r="N503" s="11"/>
      <c r="O503" s="12"/>
      <c r="P503" s="11"/>
      <c r="Q503" s="13"/>
      <c r="R503" s="14"/>
    </row>
    <row r="504" spans="1:18" ht="15" customHeight="1" x14ac:dyDescent="0.3">
      <c r="A504" s="15" t="s">
        <v>41</v>
      </c>
      <c r="B504" s="15" t="s">
        <v>347</v>
      </c>
      <c r="C504" s="16">
        <v>0.88888888888888884</v>
      </c>
      <c r="D504" s="15" t="s">
        <v>46</v>
      </c>
      <c r="E504" s="15" t="s">
        <v>84</v>
      </c>
      <c r="F504" s="15" t="s">
        <v>47</v>
      </c>
      <c r="G504" s="298"/>
      <c r="H504" s="10"/>
      <c r="I504" s="11"/>
      <c r="J504" s="11"/>
      <c r="K504" s="11"/>
      <c r="L504" s="11"/>
      <c r="M504" s="11"/>
      <c r="N504" s="11"/>
      <c r="O504" s="12"/>
      <c r="P504" s="11"/>
      <c r="Q504" s="13"/>
      <c r="R504" s="14"/>
    </row>
    <row r="505" spans="1:18" ht="15" customHeight="1" x14ac:dyDescent="0.3">
      <c r="A505" s="17" t="s">
        <v>41</v>
      </c>
      <c r="B505" s="17" t="s">
        <v>336</v>
      </c>
      <c r="C505" s="18">
        <v>0.98958333333333337</v>
      </c>
      <c r="D505" s="17" t="s">
        <v>43</v>
      </c>
      <c r="E505" s="17" t="s">
        <v>121</v>
      </c>
      <c r="F505" s="17" t="s">
        <v>508</v>
      </c>
      <c r="G505" s="298"/>
      <c r="H505" s="10"/>
      <c r="I505" s="11"/>
      <c r="J505" s="11"/>
      <c r="K505" s="11"/>
      <c r="L505" s="11"/>
      <c r="M505" s="11"/>
      <c r="N505" s="11"/>
      <c r="O505" s="12"/>
      <c r="P505" s="11"/>
      <c r="Q505" s="13"/>
      <c r="R505" s="14"/>
    </row>
    <row r="506" spans="1:18" ht="15" customHeight="1" x14ac:dyDescent="0.3">
      <c r="A506" s="15" t="s">
        <v>41</v>
      </c>
      <c r="B506" s="15" t="s">
        <v>336</v>
      </c>
      <c r="C506" s="16">
        <v>0.98958333333333337</v>
      </c>
      <c r="D506" s="15" t="s">
        <v>45</v>
      </c>
      <c r="E506" s="15" t="s">
        <v>32</v>
      </c>
      <c r="F506" s="15" t="s">
        <v>478</v>
      </c>
      <c r="G506" s="298"/>
      <c r="H506" s="10"/>
      <c r="I506" s="11"/>
      <c r="J506" s="11"/>
      <c r="K506" s="11"/>
      <c r="L506" s="11"/>
      <c r="M506" s="11"/>
      <c r="N506" s="11"/>
      <c r="O506" s="12"/>
      <c r="P506" s="11"/>
      <c r="Q506" s="13"/>
      <c r="R506" s="14"/>
    </row>
    <row r="507" spans="1:18" ht="15" customHeight="1" x14ac:dyDescent="0.3">
      <c r="A507" s="15" t="s">
        <v>41</v>
      </c>
      <c r="B507" s="15" t="s">
        <v>336</v>
      </c>
      <c r="C507" s="16">
        <v>0.98958333333333337</v>
      </c>
      <c r="D507" s="15" t="s">
        <v>46</v>
      </c>
      <c r="E507" s="15" t="s">
        <v>32</v>
      </c>
      <c r="F507" s="15" t="s">
        <v>47</v>
      </c>
      <c r="G507" s="298"/>
      <c r="H507" s="10"/>
      <c r="I507" s="11"/>
      <c r="J507" s="11"/>
      <c r="K507" s="11"/>
      <c r="L507" s="11"/>
      <c r="M507" s="11"/>
      <c r="N507" s="11"/>
      <c r="O507" s="12"/>
      <c r="P507" s="11"/>
      <c r="Q507" s="13"/>
      <c r="R507" s="14"/>
    </row>
    <row r="508" spans="1:18" ht="15" customHeight="1" x14ac:dyDescent="0.3">
      <c r="A508" s="17" t="s">
        <v>41</v>
      </c>
      <c r="B508" s="17" t="s">
        <v>340</v>
      </c>
      <c r="C508" s="18">
        <v>0.39930555555555558</v>
      </c>
      <c r="D508" s="17" t="s">
        <v>43</v>
      </c>
      <c r="E508" s="17" t="s">
        <v>121</v>
      </c>
      <c r="F508" s="17" t="s">
        <v>143</v>
      </c>
      <c r="G508" s="298"/>
      <c r="H508" s="10"/>
      <c r="I508" s="11"/>
      <c r="J508" s="11"/>
      <c r="K508" s="11"/>
      <c r="L508" s="11"/>
      <c r="M508" s="11"/>
      <c r="N508" s="11"/>
      <c r="O508" s="12"/>
      <c r="P508" s="11"/>
      <c r="Q508" s="13"/>
      <c r="R508" s="14"/>
    </row>
    <row r="509" spans="1:18" ht="15" customHeight="1" x14ac:dyDescent="0.3">
      <c r="A509" s="15" t="s">
        <v>41</v>
      </c>
      <c r="B509" s="15" t="s">
        <v>340</v>
      </c>
      <c r="C509" s="16">
        <v>0.39930555555555558</v>
      </c>
      <c r="D509" s="15" t="s">
        <v>45</v>
      </c>
      <c r="E509" s="15" t="s">
        <v>32</v>
      </c>
      <c r="F509" s="15" t="s">
        <v>47</v>
      </c>
      <c r="G509" s="298"/>
      <c r="H509" s="10"/>
      <c r="I509" s="11"/>
      <c r="J509" s="11"/>
      <c r="K509" s="11"/>
      <c r="L509" s="11"/>
      <c r="M509" s="11"/>
      <c r="N509" s="11"/>
      <c r="O509" s="12"/>
      <c r="P509" s="11"/>
      <c r="Q509" s="13"/>
      <c r="R509" s="14"/>
    </row>
    <row r="510" spans="1:18" ht="15" customHeight="1" x14ac:dyDescent="0.3">
      <c r="A510" s="15" t="s">
        <v>41</v>
      </c>
      <c r="B510" s="15" t="s">
        <v>340</v>
      </c>
      <c r="C510" s="16">
        <v>0.39930555555555558</v>
      </c>
      <c r="D510" s="15" t="s">
        <v>46</v>
      </c>
      <c r="E510" s="15" t="s">
        <v>32</v>
      </c>
      <c r="F510" s="15" t="s">
        <v>120</v>
      </c>
      <c r="G510" s="298"/>
      <c r="H510" s="10"/>
      <c r="I510" s="11"/>
      <c r="J510" s="11"/>
      <c r="K510" s="11"/>
      <c r="L510" s="11"/>
      <c r="M510" s="11"/>
      <c r="N510" s="11"/>
      <c r="O510" s="12"/>
      <c r="P510" s="11"/>
      <c r="Q510" s="13"/>
      <c r="R510" s="14"/>
    </row>
    <row r="511" spans="1:18" ht="15" customHeight="1" x14ac:dyDescent="0.3">
      <c r="A511" s="17" t="s">
        <v>41</v>
      </c>
      <c r="B511" s="17" t="s">
        <v>344</v>
      </c>
      <c r="C511" s="18">
        <v>0.48958333333333331</v>
      </c>
      <c r="D511" s="17" t="s">
        <v>43</v>
      </c>
      <c r="E511" s="17" t="s">
        <v>37</v>
      </c>
      <c r="F511" s="17" t="s">
        <v>143</v>
      </c>
      <c r="G511" s="298"/>
      <c r="H511" s="10"/>
      <c r="I511" s="11"/>
      <c r="J511" s="11"/>
      <c r="K511" s="11"/>
      <c r="L511" s="11"/>
      <c r="M511" s="11"/>
      <c r="N511" s="11"/>
      <c r="O511" s="12"/>
      <c r="P511" s="11"/>
      <c r="Q511" s="13"/>
      <c r="R511" s="14"/>
    </row>
    <row r="512" spans="1:18" ht="15" customHeight="1" x14ac:dyDescent="0.3">
      <c r="A512" s="15" t="s">
        <v>41</v>
      </c>
      <c r="B512" s="15" t="s">
        <v>344</v>
      </c>
      <c r="C512" s="16">
        <v>0.48958333333333331</v>
      </c>
      <c r="D512" s="15" t="s">
        <v>45</v>
      </c>
      <c r="E512" s="15" t="s">
        <v>38</v>
      </c>
      <c r="F512" s="15" t="s">
        <v>47</v>
      </c>
      <c r="G512" s="298"/>
      <c r="H512" s="10"/>
      <c r="I512" s="11"/>
      <c r="J512" s="11"/>
      <c r="K512" s="11"/>
      <c r="L512" s="11"/>
      <c r="M512" s="11"/>
      <c r="N512" s="11"/>
      <c r="O512" s="12"/>
      <c r="P512" s="11"/>
      <c r="Q512" s="13"/>
      <c r="R512" s="14"/>
    </row>
    <row r="513" spans="1:18" ht="15" customHeight="1" x14ac:dyDescent="0.3">
      <c r="A513" s="15" t="s">
        <v>41</v>
      </c>
      <c r="B513" s="15" t="s">
        <v>344</v>
      </c>
      <c r="C513" s="16">
        <v>0.48958333333333331</v>
      </c>
      <c r="D513" s="15" t="s">
        <v>46</v>
      </c>
      <c r="E513" s="15" t="s">
        <v>38</v>
      </c>
      <c r="F513" s="15" t="s">
        <v>120</v>
      </c>
      <c r="G513" s="298"/>
      <c r="H513" s="10"/>
      <c r="I513" s="11"/>
      <c r="J513" s="11"/>
      <c r="K513" s="11"/>
      <c r="L513" s="11"/>
      <c r="M513" s="11"/>
      <c r="N513" s="11"/>
      <c r="O513" s="12"/>
      <c r="P513" s="11"/>
      <c r="Q513" s="13"/>
      <c r="R513" s="14"/>
    </row>
    <row r="514" spans="1:18" ht="15" customHeight="1" x14ac:dyDescent="0.3">
      <c r="A514" s="204" t="s">
        <v>77</v>
      </c>
      <c r="B514" s="204" t="s">
        <v>365</v>
      </c>
      <c r="C514" s="205">
        <v>0.1875</v>
      </c>
      <c r="D514" s="204" t="s">
        <v>101</v>
      </c>
      <c r="E514" s="204" t="s">
        <v>85</v>
      </c>
      <c r="F514" s="204" t="s">
        <v>379</v>
      </c>
      <c r="G514" s="298"/>
      <c r="H514" s="206" t="s">
        <v>367</v>
      </c>
      <c r="I514" s="207">
        <v>0.74439999999999995</v>
      </c>
      <c r="J514" s="208">
        <v>134</v>
      </c>
      <c r="K514" s="209">
        <v>45979</v>
      </c>
      <c r="L514" s="208">
        <v>37</v>
      </c>
      <c r="M514" s="208">
        <v>0</v>
      </c>
      <c r="N514" s="208">
        <v>2</v>
      </c>
      <c r="O514" s="210" t="s">
        <v>209</v>
      </c>
      <c r="P514" s="211">
        <v>0.1875</v>
      </c>
      <c r="Q514" s="208">
        <v>180</v>
      </c>
      <c r="R514" s="212" t="s">
        <v>513</v>
      </c>
    </row>
    <row r="515" spans="1:18" ht="15" customHeight="1" x14ac:dyDescent="0.3">
      <c r="A515" s="217" t="s">
        <v>77</v>
      </c>
      <c r="B515" s="217" t="s">
        <v>370</v>
      </c>
      <c r="C515" s="218">
        <v>6.5972222222222224E-2</v>
      </c>
      <c r="D515" s="217" t="s">
        <v>101</v>
      </c>
      <c r="E515" s="217" t="s">
        <v>353</v>
      </c>
      <c r="F515" s="217" t="s">
        <v>379</v>
      </c>
      <c r="G515" s="298"/>
      <c r="H515" s="157" t="s">
        <v>371</v>
      </c>
      <c r="I515" s="229">
        <v>0.68889999999999996</v>
      </c>
      <c r="J515" s="159">
        <v>124</v>
      </c>
      <c r="K515" s="160">
        <v>45979</v>
      </c>
      <c r="L515" s="159">
        <v>27</v>
      </c>
      <c r="M515" s="159">
        <v>0</v>
      </c>
      <c r="N515" s="159">
        <v>6</v>
      </c>
      <c r="O515" s="161" t="s">
        <v>496</v>
      </c>
      <c r="P515" s="162">
        <v>6.5972222222222224E-2</v>
      </c>
      <c r="Q515" s="159">
        <v>180</v>
      </c>
      <c r="R515" s="163" t="s">
        <v>514</v>
      </c>
    </row>
    <row r="516" spans="1:18" ht="15" customHeight="1" x14ac:dyDescent="0.3">
      <c r="A516" s="213" t="s">
        <v>77</v>
      </c>
      <c r="B516" s="213" t="s">
        <v>374</v>
      </c>
      <c r="C516" s="214">
        <v>0.15625</v>
      </c>
      <c r="D516" s="213" t="s">
        <v>101</v>
      </c>
      <c r="E516" s="213" t="s">
        <v>121</v>
      </c>
      <c r="F516" s="213" t="s">
        <v>379</v>
      </c>
      <c r="G516" s="298"/>
      <c r="H516" s="57" t="s">
        <v>375</v>
      </c>
      <c r="I516" s="58">
        <v>0.86109999999999998</v>
      </c>
      <c r="J516" s="59">
        <v>155</v>
      </c>
      <c r="K516" s="60">
        <v>45980</v>
      </c>
      <c r="L516" s="59">
        <v>15</v>
      </c>
      <c r="M516" s="59">
        <v>2</v>
      </c>
      <c r="N516" s="59">
        <v>5</v>
      </c>
      <c r="O516" s="61" t="s">
        <v>515</v>
      </c>
      <c r="P516" s="62">
        <v>0.15625</v>
      </c>
      <c r="Q516" s="59">
        <v>180</v>
      </c>
      <c r="R516" s="63" t="s">
        <v>516</v>
      </c>
    </row>
    <row r="517" spans="1:18" ht="15" customHeight="1" x14ac:dyDescent="0.3">
      <c r="A517" s="195" t="s">
        <v>77</v>
      </c>
      <c r="B517" s="195" t="s">
        <v>378</v>
      </c>
      <c r="C517" s="196">
        <v>0.9375</v>
      </c>
      <c r="D517" s="195" t="s">
        <v>101</v>
      </c>
      <c r="E517" s="195" t="s">
        <v>69</v>
      </c>
      <c r="F517" s="195" t="s">
        <v>517</v>
      </c>
      <c r="G517" s="298"/>
      <c r="H517" s="181" t="s">
        <v>380</v>
      </c>
      <c r="I517" s="197">
        <v>0.82779999999999998</v>
      </c>
      <c r="J517" s="183">
        <v>149</v>
      </c>
      <c r="K517" s="184">
        <v>45979</v>
      </c>
      <c r="L517" s="183">
        <v>17</v>
      </c>
      <c r="M517" s="183">
        <v>0</v>
      </c>
      <c r="N517" s="183">
        <v>10</v>
      </c>
      <c r="O517" s="185" t="s">
        <v>103</v>
      </c>
      <c r="P517" s="186">
        <v>0.9375</v>
      </c>
      <c r="Q517" s="183">
        <v>180</v>
      </c>
      <c r="R517" s="187" t="s">
        <v>518</v>
      </c>
    </row>
    <row r="518" spans="1:18" ht="15" customHeight="1" x14ac:dyDescent="0.3">
      <c r="A518" s="193" t="s">
        <v>77</v>
      </c>
      <c r="B518" s="193" t="s">
        <v>383</v>
      </c>
      <c r="C518" s="194">
        <v>0.40625</v>
      </c>
      <c r="D518" s="193" t="s">
        <v>79</v>
      </c>
      <c r="E518" s="230"/>
      <c r="F518" s="193" t="s">
        <v>80</v>
      </c>
      <c r="G518" s="298"/>
      <c r="H518" s="167" t="s">
        <v>383</v>
      </c>
      <c r="I518" s="168">
        <v>1</v>
      </c>
      <c r="J518" s="169">
        <v>180</v>
      </c>
      <c r="K518" s="170">
        <v>45960</v>
      </c>
      <c r="L518" s="169">
        <v>0</v>
      </c>
      <c r="M518" s="169">
        <v>0</v>
      </c>
      <c r="N518" s="169">
        <v>0</v>
      </c>
      <c r="O518" s="171" t="s">
        <v>81</v>
      </c>
      <c r="P518" s="172">
        <v>0.40625</v>
      </c>
      <c r="Q518" s="169">
        <v>180</v>
      </c>
      <c r="R518" s="173" t="s">
        <v>519</v>
      </c>
    </row>
    <row r="519" spans="1:18" ht="15" customHeight="1" x14ac:dyDescent="0.3">
      <c r="A519" s="217" t="s">
        <v>77</v>
      </c>
      <c r="B519" s="217" t="s">
        <v>363</v>
      </c>
      <c r="C519" s="218">
        <v>0.5625</v>
      </c>
      <c r="D519" s="217" t="s">
        <v>79</v>
      </c>
      <c r="E519" s="219"/>
      <c r="F519" s="217" t="s">
        <v>80</v>
      </c>
      <c r="G519" s="298"/>
      <c r="H519" s="157" t="s">
        <v>363</v>
      </c>
      <c r="I519" s="158">
        <v>0.99439999999999995</v>
      </c>
      <c r="J519" s="159">
        <v>179</v>
      </c>
      <c r="K519" s="160">
        <v>45975</v>
      </c>
      <c r="L519" s="159">
        <v>3</v>
      </c>
      <c r="M519" s="159">
        <v>0</v>
      </c>
      <c r="N519" s="159">
        <v>0</v>
      </c>
      <c r="O519" s="161" t="s">
        <v>81</v>
      </c>
      <c r="P519" s="162">
        <v>0.5625</v>
      </c>
      <c r="Q519" s="159">
        <v>180</v>
      </c>
      <c r="R519" s="163" t="s">
        <v>520</v>
      </c>
    </row>
    <row r="520" spans="1:18" ht="15" customHeight="1" x14ac:dyDescent="0.3">
      <c r="A520" s="19" t="s">
        <v>385</v>
      </c>
      <c r="B520" s="19" t="s">
        <v>386</v>
      </c>
      <c r="C520" s="20">
        <v>0.49305555555555558</v>
      </c>
      <c r="D520" s="19" t="s">
        <v>101</v>
      </c>
      <c r="E520" s="19" t="s">
        <v>63</v>
      </c>
      <c r="F520" s="19" t="s">
        <v>521</v>
      </c>
      <c r="G520" s="298"/>
      <c r="H520" s="10"/>
      <c r="I520" s="11"/>
      <c r="J520" s="11"/>
      <c r="K520" s="11"/>
      <c r="L520" s="11"/>
      <c r="M520" s="11"/>
      <c r="N520" s="11"/>
      <c r="O520" s="12"/>
      <c r="P520" s="11"/>
      <c r="Q520" s="13"/>
      <c r="R520" s="14"/>
    </row>
    <row r="521" spans="1:18" ht="15" customHeight="1" x14ac:dyDescent="0.3">
      <c r="A521" s="19" t="s">
        <v>26</v>
      </c>
      <c r="B521" s="19" t="s">
        <v>354</v>
      </c>
      <c r="C521" s="20">
        <v>0.34722222222222232</v>
      </c>
      <c r="D521" s="19" t="s">
        <v>28</v>
      </c>
      <c r="E521" s="19" t="s">
        <v>138</v>
      </c>
      <c r="F521" s="19" t="s">
        <v>478</v>
      </c>
      <c r="G521" s="298"/>
      <c r="H521" s="10"/>
      <c r="I521" s="11"/>
      <c r="J521" s="11"/>
      <c r="K521" s="11"/>
      <c r="L521" s="11"/>
      <c r="M521" s="11"/>
      <c r="N521" s="11"/>
      <c r="O521" s="12"/>
      <c r="P521" s="11"/>
      <c r="Q521" s="13"/>
      <c r="R521" s="14"/>
    </row>
    <row r="522" spans="1:18" ht="15" customHeight="1" x14ac:dyDescent="0.3">
      <c r="A522" s="15" t="s">
        <v>26</v>
      </c>
      <c r="B522" s="15" t="s">
        <v>354</v>
      </c>
      <c r="C522" s="16">
        <v>0.34722222222222232</v>
      </c>
      <c r="D522" s="15" t="s">
        <v>31</v>
      </c>
      <c r="E522" s="15" t="s">
        <v>38</v>
      </c>
      <c r="F522" s="15" t="s">
        <v>457</v>
      </c>
      <c r="G522" s="298"/>
      <c r="H522" s="10"/>
      <c r="I522" s="11"/>
      <c r="J522" s="11"/>
      <c r="K522" s="11"/>
      <c r="L522" s="11"/>
      <c r="M522" s="11"/>
      <c r="N522" s="11"/>
      <c r="O522" s="12"/>
      <c r="P522" s="11"/>
      <c r="Q522" s="13"/>
      <c r="R522" s="14"/>
    </row>
    <row r="523" spans="1:18" ht="15" customHeight="1" x14ac:dyDescent="0.3">
      <c r="A523" s="15" t="s">
        <v>26</v>
      </c>
      <c r="B523" s="15" t="s">
        <v>354</v>
      </c>
      <c r="C523" s="16">
        <v>0.34722222222222232</v>
      </c>
      <c r="D523" s="15" t="s">
        <v>34</v>
      </c>
      <c r="E523" s="15" t="s">
        <v>38</v>
      </c>
      <c r="F523" s="15" t="s">
        <v>479</v>
      </c>
      <c r="G523" s="298"/>
      <c r="H523" s="10"/>
      <c r="I523" s="11"/>
      <c r="J523" s="11"/>
      <c r="K523" s="11"/>
      <c r="L523" s="11"/>
      <c r="M523" s="11"/>
      <c r="N523" s="11"/>
      <c r="O523" s="12"/>
      <c r="P523" s="11"/>
      <c r="Q523" s="13"/>
      <c r="R523" s="14"/>
    </row>
    <row r="524" spans="1:18" ht="15" customHeight="1" x14ac:dyDescent="0.3">
      <c r="A524" s="17" t="s">
        <v>26</v>
      </c>
      <c r="B524" s="17" t="s">
        <v>350</v>
      </c>
      <c r="C524" s="18">
        <v>0.99305555555555547</v>
      </c>
      <c r="D524" s="17" t="s">
        <v>28</v>
      </c>
      <c r="E524" s="17" t="s">
        <v>37</v>
      </c>
      <c r="F524" s="17" t="s">
        <v>478</v>
      </c>
      <c r="G524" s="298"/>
      <c r="H524" s="10"/>
      <c r="I524" s="11"/>
      <c r="J524" s="11"/>
      <c r="K524" s="11"/>
      <c r="L524" s="11"/>
      <c r="M524" s="11"/>
      <c r="N524" s="11"/>
      <c r="O524" s="12"/>
      <c r="P524" s="11"/>
      <c r="Q524" s="13"/>
      <c r="R524" s="14"/>
    </row>
    <row r="525" spans="1:18" ht="15" customHeight="1" x14ac:dyDescent="0.3">
      <c r="A525" s="15" t="s">
        <v>26</v>
      </c>
      <c r="B525" s="15" t="s">
        <v>350</v>
      </c>
      <c r="C525" s="16">
        <v>0.99305555555555547</v>
      </c>
      <c r="D525" s="15" t="s">
        <v>31</v>
      </c>
      <c r="E525" s="15" t="s">
        <v>38</v>
      </c>
      <c r="F525" s="15" t="s">
        <v>457</v>
      </c>
      <c r="G525" s="298"/>
      <c r="H525" s="10"/>
      <c r="I525" s="11"/>
      <c r="J525" s="11"/>
      <c r="K525" s="11"/>
      <c r="L525" s="11"/>
      <c r="M525" s="11"/>
      <c r="N525" s="11"/>
      <c r="O525" s="12"/>
      <c r="P525" s="11"/>
      <c r="Q525" s="13"/>
      <c r="R525" s="14"/>
    </row>
    <row r="526" spans="1:18" ht="15" customHeight="1" x14ac:dyDescent="0.3">
      <c r="A526" s="15" t="s">
        <v>26</v>
      </c>
      <c r="B526" s="15" t="s">
        <v>350</v>
      </c>
      <c r="C526" s="16">
        <v>0.99305555555555547</v>
      </c>
      <c r="D526" s="15" t="s">
        <v>34</v>
      </c>
      <c r="E526" s="15" t="s">
        <v>38</v>
      </c>
      <c r="F526" s="15" t="s">
        <v>479</v>
      </c>
      <c r="G526" s="298"/>
      <c r="H526" s="10"/>
      <c r="I526" s="11"/>
      <c r="J526" s="11"/>
      <c r="K526" s="11"/>
      <c r="L526" s="11"/>
      <c r="M526" s="11"/>
      <c r="N526" s="11"/>
      <c r="O526" s="12"/>
      <c r="P526" s="11"/>
      <c r="Q526" s="13"/>
      <c r="R526" s="14"/>
    </row>
    <row r="527" spans="1:18" ht="15" customHeight="1" x14ac:dyDescent="0.3">
      <c r="A527" s="17" t="s">
        <v>26</v>
      </c>
      <c r="B527" s="17" t="s">
        <v>356</v>
      </c>
      <c r="C527" s="18">
        <v>0.83680555555555547</v>
      </c>
      <c r="D527" s="17" t="s">
        <v>28</v>
      </c>
      <c r="E527" s="17" t="s">
        <v>75</v>
      </c>
      <c r="F527" s="17" t="s">
        <v>478</v>
      </c>
      <c r="G527" s="298"/>
      <c r="H527" s="10"/>
      <c r="I527" s="11"/>
      <c r="J527" s="11"/>
      <c r="K527" s="11"/>
      <c r="L527" s="11"/>
      <c r="M527" s="11"/>
      <c r="N527" s="11"/>
      <c r="O527" s="12"/>
      <c r="P527" s="11"/>
      <c r="Q527" s="13"/>
      <c r="R527" s="14"/>
    </row>
    <row r="528" spans="1:18" ht="15" customHeight="1" x14ac:dyDescent="0.3">
      <c r="A528" s="15" t="s">
        <v>26</v>
      </c>
      <c r="B528" s="15" t="s">
        <v>356</v>
      </c>
      <c r="C528" s="16">
        <v>0.83680555555555547</v>
      </c>
      <c r="D528" s="15" t="s">
        <v>31</v>
      </c>
      <c r="E528" s="15" t="s">
        <v>98</v>
      </c>
      <c r="F528" s="15" t="s">
        <v>457</v>
      </c>
      <c r="G528" s="298"/>
      <c r="H528" s="10"/>
      <c r="I528" s="11"/>
      <c r="J528" s="11"/>
      <c r="K528" s="11"/>
      <c r="L528" s="11"/>
      <c r="M528" s="11"/>
      <c r="N528" s="11"/>
      <c r="O528" s="12"/>
      <c r="P528" s="11"/>
      <c r="Q528" s="13"/>
      <c r="R528" s="14"/>
    </row>
    <row r="529" spans="1:18" ht="15" customHeight="1" x14ac:dyDescent="0.3">
      <c r="A529" s="15" t="s">
        <v>26</v>
      </c>
      <c r="B529" s="15" t="s">
        <v>356</v>
      </c>
      <c r="C529" s="16">
        <v>0.83680555555555547</v>
      </c>
      <c r="D529" s="15" t="s">
        <v>34</v>
      </c>
      <c r="E529" s="15" t="s">
        <v>98</v>
      </c>
      <c r="F529" s="15" t="s">
        <v>479</v>
      </c>
      <c r="G529" s="298"/>
      <c r="H529" s="10"/>
      <c r="I529" s="11"/>
      <c r="J529" s="11"/>
      <c r="K529" s="11"/>
      <c r="L529" s="11"/>
      <c r="M529" s="11"/>
      <c r="N529" s="11"/>
      <c r="O529" s="12"/>
      <c r="P529" s="11"/>
      <c r="Q529" s="13"/>
      <c r="R529" s="14"/>
    </row>
    <row r="530" spans="1:18" ht="15" customHeight="1" x14ac:dyDescent="0.3">
      <c r="A530" s="17" t="s">
        <v>26</v>
      </c>
      <c r="B530" s="17" t="s">
        <v>352</v>
      </c>
      <c r="C530" s="18">
        <v>0.94444444444444453</v>
      </c>
      <c r="D530" s="17" t="s">
        <v>28</v>
      </c>
      <c r="E530" s="17" t="s">
        <v>37</v>
      </c>
      <c r="F530" s="17" t="s">
        <v>478</v>
      </c>
      <c r="G530" s="298"/>
      <c r="H530" s="10"/>
      <c r="I530" s="11"/>
      <c r="J530" s="11"/>
      <c r="K530" s="11"/>
      <c r="L530" s="11"/>
      <c r="M530" s="11"/>
      <c r="N530" s="11"/>
      <c r="O530" s="12"/>
      <c r="P530" s="11"/>
      <c r="Q530" s="13"/>
      <c r="R530" s="14"/>
    </row>
    <row r="531" spans="1:18" ht="15" customHeight="1" x14ac:dyDescent="0.3">
      <c r="A531" s="15" t="s">
        <v>26</v>
      </c>
      <c r="B531" s="15" t="s">
        <v>352</v>
      </c>
      <c r="C531" s="16">
        <v>0.94444444444444453</v>
      </c>
      <c r="D531" s="15" t="s">
        <v>31</v>
      </c>
      <c r="E531" s="15" t="s">
        <v>38</v>
      </c>
      <c r="F531" s="15" t="s">
        <v>457</v>
      </c>
      <c r="G531" s="298"/>
      <c r="H531" s="10"/>
      <c r="I531" s="11"/>
      <c r="J531" s="11"/>
      <c r="K531" s="11"/>
      <c r="L531" s="11"/>
      <c r="M531" s="11"/>
      <c r="N531" s="11"/>
      <c r="O531" s="12"/>
      <c r="P531" s="11"/>
      <c r="Q531" s="13"/>
      <c r="R531" s="14"/>
    </row>
    <row r="532" spans="1:18" ht="15" customHeight="1" x14ac:dyDescent="0.3">
      <c r="A532" s="15" t="s">
        <v>26</v>
      </c>
      <c r="B532" s="15" t="s">
        <v>352</v>
      </c>
      <c r="C532" s="16">
        <v>0.94444444444444453</v>
      </c>
      <c r="D532" s="15" t="s">
        <v>34</v>
      </c>
      <c r="E532" s="15" t="s">
        <v>38</v>
      </c>
      <c r="F532" s="15" t="s">
        <v>479</v>
      </c>
      <c r="G532" s="298"/>
      <c r="H532" s="10"/>
      <c r="I532" s="11"/>
      <c r="J532" s="11"/>
      <c r="K532" s="11"/>
      <c r="L532" s="11"/>
      <c r="M532" s="11"/>
      <c r="N532" s="11"/>
      <c r="O532" s="12"/>
      <c r="P532" s="11"/>
      <c r="Q532" s="13"/>
      <c r="R532" s="14"/>
    </row>
    <row r="533" spans="1:18" ht="15" customHeight="1" x14ac:dyDescent="0.3">
      <c r="A533" s="17" t="s">
        <v>26</v>
      </c>
      <c r="B533" s="17" t="s">
        <v>360</v>
      </c>
      <c r="C533" s="18">
        <v>0.4861111111111111</v>
      </c>
      <c r="D533" s="17" t="s">
        <v>28</v>
      </c>
      <c r="E533" s="17" t="s">
        <v>37</v>
      </c>
      <c r="F533" s="17" t="s">
        <v>478</v>
      </c>
      <c r="G533" s="298"/>
      <c r="H533" s="10"/>
      <c r="I533" s="11"/>
      <c r="J533" s="11"/>
      <c r="K533" s="11"/>
      <c r="L533" s="11"/>
      <c r="M533" s="11"/>
      <c r="N533" s="11"/>
      <c r="O533" s="12"/>
      <c r="P533" s="11"/>
      <c r="Q533" s="13"/>
      <c r="R533" s="14"/>
    </row>
    <row r="534" spans="1:18" ht="15" customHeight="1" x14ac:dyDescent="0.3">
      <c r="A534" s="15" t="s">
        <v>26</v>
      </c>
      <c r="B534" s="15" t="s">
        <v>360</v>
      </c>
      <c r="C534" s="16">
        <v>0.4861111111111111</v>
      </c>
      <c r="D534" s="15" t="s">
        <v>31</v>
      </c>
      <c r="E534" s="15" t="s">
        <v>38</v>
      </c>
      <c r="F534" s="15" t="s">
        <v>457</v>
      </c>
      <c r="G534" s="298"/>
      <c r="H534" s="10"/>
      <c r="I534" s="11"/>
      <c r="J534" s="11"/>
      <c r="K534" s="11"/>
      <c r="L534" s="11"/>
      <c r="M534" s="11"/>
      <c r="N534" s="11"/>
      <c r="O534" s="12"/>
      <c r="P534" s="11"/>
      <c r="Q534" s="13"/>
      <c r="R534" s="14"/>
    </row>
    <row r="535" spans="1:18" ht="15" customHeight="1" x14ac:dyDescent="0.3">
      <c r="A535" s="15" t="s">
        <v>26</v>
      </c>
      <c r="B535" s="15" t="s">
        <v>360</v>
      </c>
      <c r="C535" s="16">
        <v>0.4861111111111111</v>
      </c>
      <c r="D535" s="15" t="s">
        <v>34</v>
      </c>
      <c r="E535" s="15" t="s">
        <v>38</v>
      </c>
      <c r="F535" s="15" t="s">
        <v>479</v>
      </c>
      <c r="G535" s="298"/>
      <c r="H535" s="10"/>
      <c r="I535" s="11"/>
      <c r="J535" s="11"/>
      <c r="K535" s="11"/>
      <c r="L535" s="11"/>
      <c r="M535" s="11"/>
      <c r="N535" s="11"/>
      <c r="O535" s="12"/>
      <c r="P535" s="11"/>
      <c r="Q535" s="13"/>
      <c r="R535" s="14"/>
    </row>
    <row r="536" spans="1:18" ht="15" customHeight="1" x14ac:dyDescent="0.3">
      <c r="A536" s="17" t="s">
        <v>26</v>
      </c>
      <c r="B536" s="17" t="s">
        <v>357</v>
      </c>
      <c r="C536" s="18">
        <v>0.3923611111111111</v>
      </c>
      <c r="D536" s="17" t="s">
        <v>28</v>
      </c>
      <c r="E536" s="17" t="s">
        <v>37</v>
      </c>
      <c r="F536" s="17" t="s">
        <v>478</v>
      </c>
      <c r="G536" s="298"/>
      <c r="H536" s="10"/>
      <c r="I536" s="11"/>
      <c r="J536" s="11"/>
      <c r="K536" s="11"/>
      <c r="L536" s="11"/>
      <c r="M536" s="11"/>
      <c r="N536" s="11"/>
      <c r="O536" s="12"/>
      <c r="P536" s="11"/>
      <c r="Q536" s="13"/>
      <c r="R536" s="14"/>
    </row>
    <row r="537" spans="1:18" ht="15" customHeight="1" x14ac:dyDescent="0.3">
      <c r="A537" s="15" t="s">
        <v>26</v>
      </c>
      <c r="B537" s="15" t="s">
        <v>357</v>
      </c>
      <c r="C537" s="16">
        <v>0.3923611111111111</v>
      </c>
      <c r="D537" s="15" t="s">
        <v>31</v>
      </c>
      <c r="E537" s="15" t="s">
        <v>38</v>
      </c>
      <c r="F537" s="15" t="s">
        <v>457</v>
      </c>
      <c r="G537" s="298"/>
      <c r="H537" s="10"/>
      <c r="I537" s="11"/>
      <c r="J537" s="11"/>
      <c r="K537" s="11"/>
      <c r="L537" s="11"/>
      <c r="M537" s="11"/>
      <c r="N537" s="11"/>
      <c r="O537" s="12"/>
      <c r="P537" s="11"/>
      <c r="Q537" s="13"/>
      <c r="R537" s="14"/>
    </row>
    <row r="538" spans="1:18" ht="15" customHeight="1" x14ac:dyDescent="0.3">
      <c r="A538" s="15" t="s">
        <v>26</v>
      </c>
      <c r="B538" s="15" t="s">
        <v>357</v>
      </c>
      <c r="C538" s="16">
        <v>0.3923611111111111</v>
      </c>
      <c r="D538" s="15" t="s">
        <v>34</v>
      </c>
      <c r="E538" s="15" t="s">
        <v>38</v>
      </c>
      <c r="F538" s="15" t="s">
        <v>479</v>
      </c>
      <c r="G538" s="298"/>
      <c r="H538" s="10"/>
      <c r="I538" s="11"/>
      <c r="J538" s="11"/>
      <c r="K538" s="11"/>
      <c r="L538" s="11"/>
      <c r="M538" s="11"/>
      <c r="N538" s="11"/>
      <c r="O538" s="12"/>
      <c r="P538" s="11"/>
      <c r="Q538" s="13"/>
      <c r="R538" s="14"/>
    </row>
    <row r="539" spans="1:18" ht="15" customHeight="1" x14ac:dyDescent="0.3">
      <c r="A539" s="17" t="s">
        <v>26</v>
      </c>
      <c r="B539" s="17" t="s">
        <v>359</v>
      </c>
      <c r="C539" s="18">
        <v>0.75</v>
      </c>
      <c r="D539" s="17" t="s">
        <v>28</v>
      </c>
      <c r="E539" s="17" t="s">
        <v>121</v>
      </c>
      <c r="F539" s="17" t="s">
        <v>457</v>
      </c>
      <c r="G539" s="298"/>
      <c r="H539" s="10"/>
      <c r="I539" s="11"/>
      <c r="J539" s="11"/>
      <c r="K539" s="11"/>
      <c r="L539" s="11"/>
      <c r="M539" s="11"/>
      <c r="N539" s="11"/>
      <c r="O539" s="12"/>
      <c r="P539" s="11"/>
      <c r="Q539" s="13"/>
      <c r="R539" s="14"/>
    </row>
    <row r="540" spans="1:18" ht="15" customHeight="1" x14ac:dyDescent="0.3">
      <c r="A540" s="15" t="s">
        <v>26</v>
      </c>
      <c r="B540" s="15" t="s">
        <v>359</v>
      </c>
      <c r="C540" s="16">
        <v>0.75</v>
      </c>
      <c r="D540" s="15" t="s">
        <v>31</v>
      </c>
      <c r="E540" s="15" t="s">
        <v>32</v>
      </c>
      <c r="F540" s="15" t="s">
        <v>146</v>
      </c>
      <c r="G540" s="298"/>
      <c r="H540" s="10"/>
      <c r="I540" s="11"/>
      <c r="J540" s="11"/>
      <c r="K540" s="11"/>
      <c r="L540" s="11"/>
      <c r="M540" s="11"/>
      <c r="N540" s="11"/>
      <c r="O540" s="12"/>
      <c r="P540" s="11"/>
      <c r="Q540" s="13"/>
      <c r="R540" s="14"/>
    </row>
    <row r="541" spans="1:18" ht="15" customHeight="1" x14ac:dyDescent="0.3">
      <c r="A541" s="15" t="s">
        <v>26</v>
      </c>
      <c r="B541" s="15" t="s">
        <v>359</v>
      </c>
      <c r="C541" s="16">
        <v>0.75</v>
      </c>
      <c r="D541" s="15" t="s">
        <v>34</v>
      </c>
      <c r="E541" s="15" t="s">
        <v>32</v>
      </c>
      <c r="F541" s="15" t="s">
        <v>522</v>
      </c>
      <c r="G541" s="298"/>
      <c r="H541" s="10"/>
      <c r="I541" s="11"/>
      <c r="J541" s="11"/>
      <c r="K541" s="11"/>
      <c r="L541" s="11"/>
      <c r="M541" s="11"/>
      <c r="N541" s="11"/>
      <c r="O541" s="12"/>
      <c r="P541" s="11"/>
      <c r="Q541" s="13"/>
      <c r="R541" s="14"/>
    </row>
    <row r="542" spans="1:18" ht="15" customHeight="1" x14ac:dyDescent="0.3">
      <c r="A542" s="17" t="s">
        <v>26</v>
      </c>
      <c r="B542" s="17" t="s">
        <v>358</v>
      </c>
      <c r="C542" s="18">
        <v>0.88888888888888884</v>
      </c>
      <c r="D542" s="17" t="s">
        <v>28</v>
      </c>
      <c r="E542" s="17" t="s">
        <v>37</v>
      </c>
      <c r="F542" s="17" t="s">
        <v>457</v>
      </c>
      <c r="G542" s="298"/>
      <c r="H542" s="10"/>
      <c r="I542" s="11"/>
      <c r="J542" s="11"/>
      <c r="K542" s="11"/>
      <c r="L542" s="11"/>
      <c r="M542" s="11"/>
      <c r="N542" s="11"/>
      <c r="O542" s="12"/>
      <c r="P542" s="11"/>
      <c r="Q542" s="13"/>
      <c r="R542" s="14"/>
    </row>
    <row r="543" spans="1:18" ht="15" customHeight="1" x14ac:dyDescent="0.3">
      <c r="A543" s="15" t="s">
        <v>26</v>
      </c>
      <c r="B543" s="15" t="s">
        <v>358</v>
      </c>
      <c r="C543" s="16">
        <v>0.88888888888888884</v>
      </c>
      <c r="D543" s="15" t="s">
        <v>31</v>
      </c>
      <c r="E543" s="15" t="s">
        <v>38</v>
      </c>
      <c r="F543" s="15" t="s">
        <v>146</v>
      </c>
      <c r="G543" s="298"/>
      <c r="H543" s="10"/>
      <c r="I543" s="11"/>
      <c r="J543" s="11"/>
      <c r="K543" s="11"/>
      <c r="L543" s="11"/>
      <c r="M543" s="11"/>
      <c r="N543" s="11"/>
      <c r="O543" s="12"/>
      <c r="P543" s="11"/>
      <c r="Q543" s="13"/>
      <c r="R543" s="14"/>
    </row>
    <row r="544" spans="1:18" ht="15" customHeight="1" x14ac:dyDescent="0.3">
      <c r="A544" s="15" t="s">
        <v>26</v>
      </c>
      <c r="B544" s="15" t="s">
        <v>358</v>
      </c>
      <c r="C544" s="16">
        <v>0.88888888888888884</v>
      </c>
      <c r="D544" s="15" t="s">
        <v>34</v>
      </c>
      <c r="E544" s="15" t="s">
        <v>38</v>
      </c>
      <c r="F544" s="15" t="s">
        <v>522</v>
      </c>
      <c r="G544" s="298"/>
      <c r="H544" s="10"/>
      <c r="I544" s="11"/>
      <c r="J544" s="11"/>
      <c r="K544" s="11"/>
      <c r="L544" s="11"/>
      <c r="M544" s="11"/>
      <c r="N544" s="11"/>
      <c r="O544" s="12"/>
      <c r="P544" s="11"/>
      <c r="Q544" s="13"/>
      <c r="R544" s="14"/>
    </row>
    <row r="545" spans="1:18" ht="15" customHeight="1" x14ac:dyDescent="0.3">
      <c r="A545" s="19" t="s">
        <v>458</v>
      </c>
      <c r="B545" s="19" t="s">
        <v>480</v>
      </c>
      <c r="C545" s="20">
        <v>0.4201388888888889</v>
      </c>
      <c r="D545" s="19" t="s">
        <v>101</v>
      </c>
      <c r="E545" s="19" t="s">
        <v>96</v>
      </c>
      <c r="F545" s="19" t="s">
        <v>145</v>
      </c>
      <c r="G545" s="298"/>
      <c r="H545" s="10"/>
      <c r="I545" s="11"/>
      <c r="J545" s="11"/>
      <c r="K545" s="11"/>
      <c r="L545" s="11"/>
      <c r="M545" s="11"/>
      <c r="N545" s="11"/>
      <c r="O545" s="12"/>
      <c r="P545" s="11"/>
      <c r="Q545" s="13"/>
      <c r="R545" s="14"/>
    </row>
    <row r="546" spans="1:18" ht="15" customHeight="1" x14ac:dyDescent="0.3">
      <c r="A546" s="17" t="s">
        <v>458</v>
      </c>
      <c r="B546" s="17" t="s">
        <v>459</v>
      </c>
      <c r="C546" s="18">
        <v>0.11805555555555559</v>
      </c>
      <c r="D546" s="17" t="s">
        <v>101</v>
      </c>
      <c r="E546" s="17" t="s">
        <v>121</v>
      </c>
      <c r="F546" s="17" t="s">
        <v>523</v>
      </c>
      <c r="G546" s="298"/>
      <c r="H546" s="10"/>
      <c r="I546" s="11"/>
      <c r="J546" s="11"/>
      <c r="K546" s="11"/>
      <c r="L546" s="11"/>
      <c r="M546" s="11"/>
      <c r="N546" s="11"/>
      <c r="O546" s="12"/>
      <c r="P546" s="11"/>
      <c r="Q546" s="13"/>
      <c r="R546" s="14"/>
    </row>
    <row r="547" spans="1:18" ht="15" customHeight="1" x14ac:dyDescent="0.3">
      <c r="A547" s="19" t="s">
        <v>60</v>
      </c>
      <c r="B547" s="19" t="s">
        <v>402</v>
      </c>
      <c r="C547" s="20">
        <v>0.11805555555555559</v>
      </c>
      <c r="D547" s="19" t="s">
        <v>65</v>
      </c>
      <c r="E547" s="19" t="s">
        <v>63</v>
      </c>
      <c r="F547" s="19" t="s">
        <v>490</v>
      </c>
      <c r="G547" s="298"/>
      <c r="H547" s="10"/>
      <c r="I547" s="11"/>
      <c r="J547" s="11"/>
      <c r="K547" s="11"/>
      <c r="L547" s="11"/>
      <c r="M547" s="11"/>
      <c r="N547" s="11"/>
      <c r="O547" s="12"/>
      <c r="P547" s="11"/>
      <c r="Q547" s="13"/>
      <c r="R547" s="14"/>
    </row>
    <row r="548" spans="1:18" ht="15" customHeight="1" x14ac:dyDescent="0.3">
      <c r="A548" s="17" t="s">
        <v>60</v>
      </c>
      <c r="B548" s="17" t="s">
        <v>400</v>
      </c>
      <c r="C548" s="18">
        <v>0.82986111111111116</v>
      </c>
      <c r="D548" s="17" t="s">
        <v>65</v>
      </c>
      <c r="E548" s="17" t="s">
        <v>54</v>
      </c>
      <c r="F548" s="17" t="s">
        <v>511</v>
      </c>
      <c r="G548" s="298"/>
      <c r="H548" s="10"/>
      <c r="I548" s="11"/>
      <c r="J548" s="11"/>
      <c r="K548" s="11"/>
      <c r="L548" s="11"/>
      <c r="M548" s="11"/>
      <c r="N548" s="11"/>
      <c r="O548" s="12"/>
      <c r="P548" s="11"/>
      <c r="Q548" s="13"/>
      <c r="R548" s="14"/>
    </row>
    <row r="549" spans="1:18" ht="15" customHeight="1" x14ac:dyDescent="0.3">
      <c r="A549" s="17" t="s">
        <v>60</v>
      </c>
      <c r="B549" s="17" t="s">
        <v>404</v>
      </c>
      <c r="C549" s="18">
        <v>0.72222222222222221</v>
      </c>
      <c r="D549" s="17" t="s">
        <v>65</v>
      </c>
      <c r="E549" s="17" t="s">
        <v>54</v>
      </c>
      <c r="F549" s="17" t="s">
        <v>511</v>
      </c>
      <c r="G549" s="298"/>
      <c r="H549" s="10"/>
      <c r="I549" s="11"/>
      <c r="J549" s="11"/>
      <c r="K549" s="11"/>
      <c r="L549" s="11"/>
      <c r="M549" s="11"/>
      <c r="N549" s="11"/>
      <c r="O549" s="12"/>
      <c r="P549" s="11"/>
      <c r="Q549" s="13"/>
      <c r="R549" s="14"/>
    </row>
    <row r="550" spans="1:18" ht="15" customHeight="1" x14ac:dyDescent="0.3">
      <c r="A550" s="17" t="s">
        <v>60</v>
      </c>
      <c r="B550" s="17" t="s">
        <v>403</v>
      </c>
      <c r="C550" s="18">
        <v>0.70486111111111116</v>
      </c>
      <c r="D550" s="17" t="s">
        <v>65</v>
      </c>
      <c r="E550" s="17" t="s">
        <v>54</v>
      </c>
      <c r="F550" s="17" t="s">
        <v>511</v>
      </c>
      <c r="G550" s="298"/>
      <c r="H550" s="10"/>
      <c r="I550" s="11"/>
      <c r="J550" s="11"/>
      <c r="K550" s="11"/>
      <c r="L550" s="11"/>
      <c r="M550" s="11"/>
      <c r="N550" s="11"/>
      <c r="O550" s="12"/>
      <c r="P550" s="11"/>
      <c r="Q550" s="13"/>
      <c r="R550" s="14"/>
    </row>
    <row r="551" spans="1:18" ht="15" customHeight="1" x14ac:dyDescent="0.3">
      <c r="A551" s="17" t="s">
        <v>60</v>
      </c>
      <c r="B551" s="17" t="s">
        <v>393</v>
      </c>
      <c r="C551" s="18">
        <v>0.25347222222222221</v>
      </c>
      <c r="D551" s="17" t="s">
        <v>65</v>
      </c>
      <c r="E551" s="17" t="s">
        <v>54</v>
      </c>
      <c r="F551" s="17" t="s">
        <v>511</v>
      </c>
      <c r="G551" s="298"/>
      <c r="H551" s="10"/>
      <c r="I551" s="11"/>
      <c r="J551" s="11"/>
      <c r="K551" s="11"/>
      <c r="L551" s="11"/>
      <c r="M551" s="11"/>
      <c r="N551" s="11"/>
      <c r="O551" s="12"/>
      <c r="P551" s="11"/>
      <c r="Q551" s="13"/>
      <c r="R551" s="14"/>
    </row>
    <row r="552" spans="1:18" ht="15" customHeight="1" x14ac:dyDescent="0.3">
      <c r="A552" s="17" t="s">
        <v>60</v>
      </c>
      <c r="B552" s="17" t="s">
        <v>395</v>
      </c>
      <c r="C552" s="18">
        <v>0.98958333333333337</v>
      </c>
      <c r="D552" s="17" t="s">
        <v>65</v>
      </c>
      <c r="E552" s="17" t="s">
        <v>72</v>
      </c>
      <c r="F552" s="17" t="s">
        <v>512</v>
      </c>
      <c r="G552" s="298"/>
      <c r="H552" s="10"/>
      <c r="I552" s="11"/>
      <c r="J552" s="11"/>
      <c r="K552" s="11"/>
      <c r="L552" s="11"/>
      <c r="M552" s="11"/>
      <c r="N552" s="11"/>
      <c r="O552" s="12"/>
      <c r="P552" s="11"/>
      <c r="Q552" s="13"/>
      <c r="R552" s="14"/>
    </row>
    <row r="553" spans="1:18" ht="15" customHeight="1" x14ac:dyDescent="0.3">
      <c r="A553" s="17" t="s">
        <v>60</v>
      </c>
      <c r="B553" s="17" t="s">
        <v>397</v>
      </c>
      <c r="C553" s="18">
        <v>0.39930555555555558</v>
      </c>
      <c r="D553" s="17" t="s">
        <v>65</v>
      </c>
      <c r="E553" s="17" t="s">
        <v>72</v>
      </c>
      <c r="F553" s="17" t="s">
        <v>512</v>
      </c>
      <c r="G553" s="298"/>
      <c r="H553" s="10"/>
      <c r="I553" s="11"/>
      <c r="J553" s="11"/>
      <c r="K553" s="11"/>
      <c r="L553" s="11"/>
      <c r="M553" s="11"/>
      <c r="N553" s="11"/>
      <c r="O553" s="12"/>
      <c r="P553" s="11"/>
      <c r="Q553" s="13"/>
      <c r="R553" s="14"/>
    </row>
    <row r="554" spans="1:18" ht="15" customHeight="1" x14ac:dyDescent="0.3">
      <c r="A554" s="17" t="s">
        <v>60</v>
      </c>
      <c r="B554" s="17" t="s">
        <v>398</v>
      </c>
      <c r="C554" s="18">
        <v>0.48958333333333331</v>
      </c>
      <c r="D554" s="17" t="s">
        <v>65</v>
      </c>
      <c r="E554" s="17" t="s">
        <v>72</v>
      </c>
      <c r="F554" s="17" t="s">
        <v>512</v>
      </c>
      <c r="G554" s="298"/>
      <c r="H554" s="10"/>
      <c r="I554" s="11"/>
      <c r="J554" s="11"/>
      <c r="K554" s="11"/>
      <c r="L554" s="11"/>
      <c r="M554" s="11"/>
      <c r="N554" s="11"/>
      <c r="O554" s="12"/>
      <c r="P554" s="11"/>
      <c r="Q554" s="13"/>
      <c r="R554" s="14"/>
    </row>
    <row r="555" spans="1:18" ht="15" customHeight="1" x14ac:dyDescent="0.3">
      <c r="A555" s="17" t="s">
        <v>60</v>
      </c>
      <c r="B555" s="17" t="s">
        <v>399</v>
      </c>
      <c r="C555" s="18">
        <v>0.88888888888888884</v>
      </c>
      <c r="D555" s="17" t="s">
        <v>65</v>
      </c>
      <c r="E555" s="17" t="s">
        <v>72</v>
      </c>
      <c r="F555" s="17" t="s">
        <v>524</v>
      </c>
      <c r="G555" s="298"/>
      <c r="H555" s="10"/>
      <c r="I555" s="11"/>
      <c r="J555" s="11"/>
      <c r="K555" s="11"/>
      <c r="L555" s="11"/>
      <c r="M555" s="11"/>
      <c r="N555" s="11"/>
      <c r="O555" s="12"/>
      <c r="P555" s="11"/>
      <c r="Q555" s="13"/>
      <c r="R555" s="14"/>
    </row>
    <row r="556" spans="1:18" ht="15" customHeight="1" x14ac:dyDescent="0.3">
      <c r="A556" s="17" t="s">
        <v>60</v>
      </c>
      <c r="B556" s="17" t="s">
        <v>446</v>
      </c>
      <c r="C556" s="18">
        <v>0.48958333333333331</v>
      </c>
      <c r="D556" s="17" t="s">
        <v>65</v>
      </c>
      <c r="E556" s="17" t="s">
        <v>54</v>
      </c>
      <c r="F556" s="17" t="s">
        <v>401</v>
      </c>
      <c r="G556" s="298"/>
      <c r="H556" s="10"/>
      <c r="I556" s="11"/>
      <c r="J556" s="11"/>
      <c r="K556" s="11"/>
      <c r="L556" s="11"/>
      <c r="M556" s="11"/>
      <c r="N556" s="11"/>
      <c r="O556" s="12"/>
      <c r="P556" s="11"/>
      <c r="Q556" s="13"/>
      <c r="R556" s="14"/>
    </row>
    <row r="557" spans="1:18" ht="15" customHeight="1" x14ac:dyDescent="0.3">
      <c r="A557" s="17" t="s">
        <v>60</v>
      </c>
      <c r="B557" s="17" t="s">
        <v>444</v>
      </c>
      <c r="C557" s="18">
        <v>4.1666666666666657E-2</v>
      </c>
      <c r="D557" s="17" t="s">
        <v>65</v>
      </c>
      <c r="E557" s="17" t="s">
        <v>54</v>
      </c>
      <c r="F557" s="17" t="s">
        <v>401</v>
      </c>
      <c r="G557" s="298"/>
      <c r="H557" s="10"/>
      <c r="I557" s="11"/>
      <c r="J557" s="11"/>
      <c r="K557" s="11"/>
      <c r="L557" s="11"/>
      <c r="M557" s="11"/>
      <c r="N557" s="11"/>
      <c r="O557" s="12"/>
      <c r="P557" s="11"/>
      <c r="Q557" s="13"/>
      <c r="R557" s="14"/>
    </row>
    <row r="558" spans="1:18" ht="15" customHeight="1" x14ac:dyDescent="0.3">
      <c r="A558" s="17" t="s">
        <v>60</v>
      </c>
      <c r="B558" s="17" t="s">
        <v>445</v>
      </c>
      <c r="C558" s="18">
        <v>0.94097222222222221</v>
      </c>
      <c r="D558" s="17" t="s">
        <v>65</v>
      </c>
      <c r="E558" s="17" t="s">
        <v>54</v>
      </c>
      <c r="F558" s="17" t="s">
        <v>401</v>
      </c>
      <c r="G558" s="298"/>
      <c r="H558" s="10"/>
      <c r="I558" s="11"/>
      <c r="J558" s="11"/>
      <c r="K558" s="11"/>
      <c r="L558" s="11"/>
      <c r="M558" s="11"/>
      <c r="N558" s="11"/>
      <c r="O558" s="12"/>
      <c r="P558" s="11"/>
      <c r="Q558" s="13"/>
      <c r="R558" s="14"/>
    </row>
    <row r="559" spans="1:18" ht="15" customHeight="1" x14ac:dyDescent="0.3">
      <c r="A559" s="19" t="s">
        <v>48</v>
      </c>
      <c r="B559" s="19" t="s">
        <v>410</v>
      </c>
      <c r="C559" s="20">
        <v>0.97222222222222221</v>
      </c>
      <c r="D559" s="19" t="s">
        <v>50</v>
      </c>
      <c r="E559" s="19" t="s">
        <v>63</v>
      </c>
      <c r="F559" s="19" t="s">
        <v>409</v>
      </c>
      <c r="G559" s="298"/>
      <c r="H559" s="10"/>
      <c r="I559" s="11"/>
      <c r="J559" s="11"/>
      <c r="K559" s="11"/>
      <c r="L559" s="11"/>
      <c r="M559" s="11"/>
      <c r="N559" s="11"/>
      <c r="O559" s="12"/>
      <c r="P559" s="11"/>
      <c r="Q559" s="13"/>
      <c r="R559" s="14"/>
    </row>
    <row r="560" spans="1:18" ht="15" customHeight="1" thickBot="1" x14ac:dyDescent="0.35">
      <c r="A560" s="39" t="s">
        <v>48</v>
      </c>
      <c r="B560" s="39" t="s">
        <v>415</v>
      </c>
      <c r="C560" s="40">
        <v>4.8611111111111112E-2</v>
      </c>
      <c r="D560" s="39" t="s">
        <v>50</v>
      </c>
      <c r="E560" s="39" t="s">
        <v>121</v>
      </c>
      <c r="F560" s="39" t="s">
        <v>409</v>
      </c>
      <c r="G560" s="299"/>
      <c r="H560" s="41"/>
      <c r="I560" s="42"/>
      <c r="J560" s="42"/>
      <c r="K560" s="42"/>
      <c r="L560" s="42"/>
      <c r="M560" s="42"/>
      <c r="N560" s="42"/>
      <c r="O560" s="43"/>
      <c r="P560" s="42"/>
      <c r="Q560" s="44"/>
      <c r="R560" s="45"/>
    </row>
    <row r="561" spans="1:18" ht="17.399999999999999" customHeight="1" thickBot="1" x14ac:dyDescent="0.35">
      <c r="A561" s="329"/>
      <c r="B561" s="330"/>
      <c r="C561" s="330"/>
      <c r="D561" s="330"/>
      <c r="E561" s="330"/>
      <c r="F561" s="330"/>
      <c r="G561" s="330"/>
      <c r="H561" s="330"/>
      <c r="I561" s="330"/>
      <c r="J561" s="330"/>
      <c r="K561" s="330"/>
      <c r="L561" s="330"/>
      <c r="M561" s="330"/>
      <c r="N561" s="330"/>
      <c r="O561" s="330"/>
      <c r="P561" s="330"/>
      <c r="Q561" s="330"/>
      <c r="R561" s="331"/>
    </row>
    <row r="562" spans="1:18" ht="22.05" customHeight="1" thickTop="1" thickBot="1" x14ac:dyDescent="0.35">
      <c r="A562" s="300" t="s">
        <v>6</v>
      </c>
      <c r="B562" s="295"/>
      <c r="C562" s="295"/>
      <c r="D562" s="295"/>
      <c r="E562" s="295"/>
      <c r="F562" s="296"/>
      <c r="G562" s="31">
        <v>45989</v>
      </c>
      <c r="H562" s="294" t="s">
        <v>7</v>
      </c>
      <c r="I562" s="295"/>
      <c r="J562" s="295"/>
      <c r="K562" s="295"/>
      <c r="L562" s="295"/>
      <c r="M562" s="295"/>
      <c r="N562" s="295"/>
      <c r="O562" s="295"/>
      <c r="P562" s="295"/>
      <c r="Q562" s="295"/>
      <c r="R562" s="296"/>
    </row>
    <row r="563" spans="1:18" ht="24" customHeight="1" x14ac:dyDescent="0.3">
      <c r="A563" s="32" t="s">
        <v>8</v>
      </c>
      <c r="B563" s="32" t="s">
        <v>9</v>
      </c>
      <c r="C563" s="33" t="s">
        <v>10</v>
      </c>
      <c r="D563" s="32" t="s">
        <v>11</v>
      </c>
      <c r="E563" s="32" t="s">
        <v>12</v>
      </c>
      <c r="F563" s="34" t="s">
        <v>13</v>
      </c>
      <c r="G563" s="35" t="s">
        <v>14</v>
      </c>
      <c r="H563" s="32" t="s">
        <v>15</v>
      </c>
      <c r="I563" s="36" t="s">
        <v>16</v>
      </c>
      <c r="J563" s="37" t="s">
        <v>17</v>
      </c>
      <c r="K563" s="38" t="s">
        <v>18</v>
      </c>
      <c r="L563" s="37" t="s">
        <v>19</v>
      </c>
      <c r="M563" s="37" t="s">
        <v>20</v>
      </c>
      <c r="N563" s="37" t="s">
        <v>21</v>
      </c>
      <c r="O563" s="32" t="s">
        <v>22</v>
      </c>
      <c r="P563" s="33" t="s">
        <v>23</v>
      </c>
      <c r="Q563" s="37" t="s">
        <v>24</v>
      </c>
      <c r="R563" s="32" t="s">
        <v>25</v>
      </c>
    </row>
    <row r="564" spans="1:18" ht="15" customHeight="1" x14ac:dyDescent="0.3">
      <c r="A564" s="8" t="s">
        <v>388</v>
      </c>
      <c r="B564" s="8" t="s">
        <v>389</v>
      </c>
      <c r="C564" s="9">
        <v>0.22569444444444439</v>
      </c>
      <c r="D564" s="8" t="s">
        <v>390</v>
      </c>
      <c r="E564" s="8" t="s">
        <v>138</v>
      </c>
      <c r="F564" s="8" t="s">
        <v>525</v>
      </c>
      <c r="G564" s="297"/>
      <c r="H564" s="10"/>
      <c r="I564" s="11"/>
      <c r="J564" s="11"/>
      <c r="K564" s="11"/>
      <c r="L564" s="11"/>
      <c r="M564" s="11"/>
      <c r="N564" s="11"/>
      <c r="O564" s="12"/>
      <c r="P564" s="11"/>
      <c r="Q564" s="13"/>
      <c r="R564" s="14"/>
    </row>
    <row r="565" spans="1:18" ht="15" customHeight="1" x14ac:dyDescent="0.3">
      <c r="A565" s="15" t="s">
        <v>388</v>
      </c>
      <c r="B565" s="15" t="s">
        <v>389</v>
      </c>
      <c r="C565" s="16">
        <v>0.22569444444444439</v>
      </c>
      <c r="D565" s="15" t="s">
        <v>46</v>
      </c>
      <c r="E565" s="15" t="s">
        <v>38</v>
      </c>
      <c r="F565" s="15" t="s">
        <v>526</v>
      </c>
      <c r="G565" s="298"/>
      <c r="H565" s="10"/>
      <c r="I565" s="11"/>
      <c r="J565" s="11"/>
      <c r="K565" s="11"/>
      <c r="L565" s="11"/>
      <c r="M565" s="11"/>
      <c r="N565" s="11"/>
      <c r="O565" s="12"/>
      <c r="P565" s="11"/>
      <c r="Q565" s="13"/>
      <c r="R565" s="14"/>
    </row>
    <row r="566" spans="1:18" ht="15" customHeight="1" x14ac:dyDescent="0.3">
      <c r="A566" s="17" t="s">
        <v>388</v>
      </c>
      <c r="B566" s="17" t="s">
        <v>438</v>
      </c>
      <c r="C566" s="18">
        <v>0.80902777777777779</v>
      </c>
      <c r="D566" s="17" t="s">
        <v>390</v>
      </c>
      <c r="E566" s="17" t="s">
        <v>37</v>
      </c>
      <c r="F566" s="17" t="s">
        <v>527</v>
      </c>
      <c r="G566" s="298"/>
      <c r="H566" s="10"/>
      <c r="I566" s="11"/>
      <c r="J566" s="11"/>
      <c r="K566" s="11"/>
      <c r="L566" s="11"/>
      <c r="M566" s="11"/>
      <c r="N566" s="11"/>
      <c r="O566" s="12"/>
      <c r="P566" s="11"/>
      <c r="Q566" s="13"/>
      <c r="R566" s="14"/>
    </row>
    <row r="567" spans="1:18" ht="15" customHeight="1" x14ac:dyDescent="0.3">
      <c r="A567" s="15" t="s">
        <v>388</v>
      </c>
      <c r="B567" s="15" t="s">
        <v>438</v>
      </c>
      <c r="C567" s="16">
        <v>0.80902777777777779</v>
      </c>
      <c r="D567" s="15" t="s">
        <v>46</v>
      </c>
      <c r="E567" s="15" t="s">
        <v>38</v>
      </c>
      <c r="F567" s="15" t="s">
        <v>528</v>
      </c>
      <c r="G567" s="298"/>
      <c r="H567" s="10"/>
      <c r="I567" s="11"/>
      <c r="J567" s="11"/>
      <c r="K567" s="11"/>
      <c r="L567" s="11"/>
      <c r="M567" s="11"/>
      <c r="N567" s="11"/>
      <c r="O567" s="12"/>
      <c r="P567" s="11"/>
      <c r="Q567" s="13"/>
      <c r="R567" s="14"/>
    </row>
    <row r="568" spans="1:18" ht="15" customHeight="1" x14ac:dyDescent="0.3">
      <c r="A568" s="19" t="s">
        <v>41</v>
      </c>
      <c r="B568" s="19" t="s">
        <v>340</v>
      </c>
      <c r="C568" s="20">
        <v>0.39930555555555558</v>
      </c>
      <c r="D568" s="19" t="s">
        <v>43</v>
      </c>
      <c r="E568" s="19" t="s">
        <v>29</v>
      </c>
      <c r="F568" s="19" t="s">
        <v>493</v>
      </c>
      <c r="G568" s="298"/>
      <c r="H568" s="10"/>
      <c r="I568" s="11"/>
      <c r="J568" s="11"/>
      <c r="K568" s="11"/>
      <c r="L568" s="11"/>
      <c r="M568" s="11"/>
      <c r="N568" s="11"/>
      <c r="O568" s="12"/>
      <c r="P568" s="11"/>
      <c r="Q568" s="13"/>
      <c r="R568" s="14"/>
    </row>
    <row r="569" spans="1:18" ht="15" customHeight="1" x14ac:dyDescent="0.3">
      <c r="A569" s="15" t="s">
        <v>41</v>
      </c>
      <c r="B569" s="15" t="s">
        <v>340</v>
      </c>
      <c r="C569" s="16">
        <v>0.39930555555555558</v>
      </c>
      <c r="D569" s="15" t="s">
        <v>45</v>
      </c>
      <c r="E569" s="15" t="s">
        <v>32</v>
      </c>
      <c r="F569" s="15" t="s">
        <v>457</v>
      </c>
      <c r="G569" s="298"/>
      <c r="H569" s="10"/>
      <c r="I569" s="11"/>
      <c r="J569" s="11"/>
      <c r="K569" s="11"/>
      <c r="L569" s="11"/>
      <c r="M569" s="11"/>
      <c r="N569" s="11"/>
      <c r="O569" s="12"/>
      <c r="P569" s="11"/>
      <c r="Q569" s="13"/>
      <c r="R569" s="14"/>
    </row>
    <row r="570" spans="1:18" ht="15" customHeight="1" x14ac:dyDescent="0.3">
      <c r="A570" s="15" t="s">
        <v>41</v>
      </c>
      <c r="B570" s="15" t="s">
        <v>340</v>
      </c>
      <c r="C570" s="16">
        <v>0.39930555555555558</v>
      </c>
      <c r="D570" s="15" t="s">
        <v>46</v>
      </c>
      <c r="E570" s="15" t="s">
        <v>32</v>
      </c>
      <c r="F570" s="15" t="s">
        <v>120</v>
      </c>
      <c r="G570" s="298"/>
      <c r="H570" s="10"/>
      <c r="I570" s="11"/>
      <c r="J570" s="11"/>
      <c r="K570" s="11"/>
      <c r="L570" s="11"/>
      <c r="M570" s="11"/>
      <c r="N570" s="11"/>
      <c r="O570" s="12"/>
      <c r="P570" s="11"/>
      <c r="Q570" s="13"/>
      <c r="R570" s="14"/>
    </row>
    <row r="571" spans="1:18" ht="15" customHeight="1" x14ac:dyDescent="0.3">
      <c r="A571" s="17" t="s">
        <v>41</v>
      </c>
      <c r="B571" s="17" t="s">
        <v>347</v>
      </c>
      <c r="C571" s="18">
        <v>0.88888888888888884</v>
      </c>
      <c r="D571" s="17" t="s">
        <v>43</v>
      </c>
      <c r="E571" s="17" t="s">
        <v>454</v>
      </c>
      <c r="F571" s="17" t="s">
        <v>493</v>
      </c>
      <c r="G571" s="298"/>
      <c r="H571" s="10"/>
      <c r="I571" s="11"/>
      <c r="J571" s="11"/>
      <c r="K571" s="11"/>
      <c r="L571" s="11"/>
      <c r="M571" s="11"/>
      <c r="N571" s="11"/>
      <c r="O571" s="12"/>
      <c r="P571" s="11"/>
      <c r="Q571" s="13"/>
      <c r="R571" s="14"/>
    </row>
    <row r="572" spans="1:18" ht="15" customHeight="1" x14ac:dyDescent="0.3">
      <c r="A572" s="15" t="s">
        <v>41</v>
      </c>
      <c r="B572" s="15" t="s">
        <v>347</v>
      </c>
      <c r="C572" s="16">
        <v>0.88888888888888884</v>
      </c>
      <c r="D572" s="15" t="s">
        <v>45</v>
      </c>
      <c r="E572" s="15" t="s">
        <v>106</v>
      </c>
      <c r="F572" s="15" t="s">
        <v>457</v>
      </c>
      <c r="G572" s="298"/>
      <c r="H572" s="10"/>
      <c r="I572" s="11"/>
      <c r="J572" s="11"/>
      <c r="K572" s="11"/>
      <c r="L572" s="11"/>
      <c r="M572" s="11"/>
      <c r="N572" s="11"/>
      <c r="O572" s="12"/>
      <c r="P572" s="11"/>
      <c r="Q572" s="13"/>
      <c r="R572" s="14"/>
    </row>
    <row r="573" spans="1:18" ht="15" customHeight="1" x14ac:dyDescent="0.3">
      <c r="A573" s="15" t="s">
        <v>41</v>
      </c>
      <c r="B573" s="15" t="s">
        <v>347</v>
      </c>
      <c r="C573" s="16">
        <v>0.88888888888888884</v>
      </c>
      <c r="D573" s="15" t="s">
        <v>46</v>
      </c>
      <c r="E573" s="15" t="s">
        <v>106</v>
      </c>
      <c r="F573" s="15" t="s">
        <v>529</v>
      </c>
      <c r="G573" s="298"/>
      <c r="H573" s="10"/>
      <c r="I573" s="11"/>
      <c r="J573" s="11"/>
      <c r="K573" s="11"/>
      <c r="L573" s="11"/>
      <c r="M573" s="11"/>
      <c r="N573" s="11"/>
      <c r="O573" s="12"/>
      <c r="P573" s="11"/>
      <c r="Q573" s="13"/>
      <c r="R573" s="14"/>
    </row>
    <row r="574" spans="1:18" ht="15" customHeight="1" x14ac:dyDescent="0.3">
      <c r="A574" s="17" t="s">
        <v>41</v>
      </c>
      <c r="B574" s="17" t="s">
        <v>336</v>
      </c>
      <c r="C574" s="18">
        <v>0.98958333333333337</v>
      </c>
      <c r="D574" s="17" t="s">
        <v>43</v>
      </c>
      <c r="E574" s="17" t="s">
        <v>530</v>
      </c>
      <c r="F574" s="17" t="s">
        <v>493</v>
      </c>
      <c r="G574" s="298"/>
      <c r="H574" s="10"/>
      <c r="I574" s="11"/>
      <c r="J574" s="11"/>
      <c r="K574" s="11"/>
      <c r="L574" s="11"/>
      <c r="M574" s="11"/>
      <c r="N574" s="11"/>
      <c r="O574" s="12"/>
      <c r="P574" s="11"/>
      <c r="Q574" s="13"/>
      <c r="R574" s="14"/>
    </row>
    <row r="575" spans="1:18" ht="15" customHeight="1" x14ac:dyDescent="0.3">
      <c r="A575" s="15" t="s">
        <v>41</v>
      </c>
      <c r="B575" s="15" t="s">
        <v>336</v>
      </c>
      <c r="C575" s="16">
        <v>0.98958333333333337</v>
      </c>
      <c r="D575" s="15" t="s">
        <v>45</v>
      </c>
      <c r="E575" s="15" t="s">
        <v>531</v>
      </c>
      <c r="F575" s="15" t="s">
        <v>457</v>
      </c>
      <c r="G575" s="298"/>
      <c r="H575" s="10"/>
      <c r="I575" s="11"/>
      <c r="J575" s="11"/>
      <c r="K575" s="11"/>
      <c r="L575" s="11"/>
      <c r="M575" s="11"/>
      <c r="N575" s="11"/>
      <c r="O575" s="12"/>
      <c r="P575" s="11"/>
      <c r="Q575" s="13"/>
      <c r="R575" s="14"/>
    </row>
    <row r="576" spans="1:18" ht="15" customHeight="1" x14ac:dyDescent="0.3">
      <c r="A576" s="15" t="s">
        <v>41</v>
      </c>
      <c r="B576" s="15" t="s">
        <v>336</v>
      </c>
      <c r="C576" s="16">
        <v>0.98958333333333337</v>
      </c>
      <c r="D576" s="15" t="s">
        <v>46</v>
      </c>
      <c r="E576" s="15" t="s">
        <v>531</v>
      </c>
      <c r="F576" s="15" t="s">
        <v>120</v>
      </c>
      <c r="G576" s="298"/>
      <c r="H576" s="10"/>
      <c r="I576" s="11"/>
      <c r="J576" s="11"/>
      <c r="K576" s="11"/>
      <c r="L576" s="11"/>
      <c r="M576" s="11"/>
      <c r="N576" s="11"/>
      <c r="O576" s="12"/>
      <c r="P576" s="11"/>
      <c r="Q576" s="13"/>
      <c r="R576" s="14"/>
    </row>
    <row r="577" spans="1:18" ht="15" customHeight="1" x14ac:dyDescent="0.3">
      <c r="A577" s="17" t="s">
        <v>41</v>
      </c>
      <c r="B577" s="17" t="s">
        <v>344</v>
      </c>
      <c r="C577" s="18">
        <v>0.48958333333333331</v>
      </c>
      <c r="D577" s="17" t="s">
        <v>43</v>
      </c>
      <c r="E577" s="17" t="s">
        <v>72</v>
      </c>
      <c r="F577" s="17" t="s">
        <v>478</v>
      </c>
      <c r="G577" s="298"/>
      <c r="H577" s="10"/>
      <c r="I577" s="11"/>
      <c r="J577" s="11"/>
      <c r="K577" s="11"/>
      <c r="L577" s="11"/>
      <c r="M577" s="11"/>
      <c r="N577" s="11"/>
      <c r="O577" s="12"/>
      <c r="P577" s="11"/>
      <c r="Q577" s="13"/>
      <c r="R577" s="14"/>
    </row>
    <row r="578" spans="1:18" ht="15" customHeight="1" x14ac:dyDescent="0.3">
      <c r="A578" s="15" t="s">
        <v>41</v>
      </c>
      <c r="B578" s="15" t="s">
        <v>344</v>
      </c>
      <c r="C578" s="16">
        <v>0.48958333333333331</v>
      </c>
      <c r="D578" s="15" t="s">
        <v>45</v>
      </c>
      <c r="E578" s="15" t="s">
        <v>84</v>
      </c>
      <c r="F578" s="15" t="s">
        <v>532</v>
      </c>
      <c r="G578" s="298"/>
      <c r="H578" s="10"/>
      <c r="I578" s="11"/>
      <c r="J578" s="11"/>
      <c r="K578" s="11"/>
      <c r="L578" s="11"/>
      <c r="M578" s="11"/>
      <c r="N578" s="11"/>
      <c r="O578" s="12"/>
      <c r="P578" s="11"/>
      <c r="Q578" s="13"/>
      <c r="R578" s="14"/>
    </row>
    <row r="579" spans="1:18" ht="15" customHeight="1" x14ac:dyDescent="0.3">
      <c r="A579" s="15" t="s">
        <v>41</v>
      </c>
      <c r="B579" s="15" t="s">
        <v>344</v>
      </c>
      <c r="C579" s="16">
        <v>0.48958333333333331</v>
      </c>
      <c r="D579" s="15" t="s">
        <v>46</v>
      </c>
      <c r="E579" s="15" t="s">
        <v>84</v>
      </c>
      <c r="F579" s="15" t="s">
        <v>120</v>
      </c>
      <c r="G579" s="298"/>
      <c r="H579" s="10"/>
      <c r="I579" s="11"/>
      <c r="J579" s="11"/>
      <c r="K579" s="11"/>
      <c r="L579" s="11"/>
      <c r="M579" s="11"/>
      <c r="N579" s="11"/>
      <c r="O579" s="12"/>
      <c r="P579" s="11"/>
      <c r="Q579" s="13"/>
      <c r="R579" s="14"/>
    </row>
    <row r="580" spans="1:18" ht="15" customHeight="1" x14ac:dyDescent="0.3">
      <c r="A580" s="19" t="s">
        <v>385</v>
      </c>
      <c r="B580" s="19" t="s">
        <v>386</v>
      </c>
      <c r="C580" s="20">
        <v>0.49305555555555558</v>
      </c>
      <c r="D580" s="19" t="s">
        <v>101</v>
      </c>
      <c r="E580" s="19" t="s">
        <v>63</v>
      </c>
      <c r="F580" s="19" t="s">
        <v>521</v>
      </c>
      <c r="G580" s="298"/>
      <c r="H580" s="10"/>
      <c r="I580" s="11"/>
      <c r="J580" s="11"/>
      <c r="K580" s="11"/>
      <c r="L580" s="11"/>
      <c r="M580" s="11"/>
      <c r="N580" s="11"/>
      <c r="O580" s="12"/>
      <c r="P580" s="11"/>
      <c r="Q580" s="13"/>
      <c r="R580" s="14"/>
    </row>
    <row r="581" spans="1:18" ht="15" customHeight="1" x14ac:dyDescent="0.3">
      <c r="A581" s="19" t="s">
        <v>26</v>
      </c>
      <c r="B581" s="19" t="s">
        <v>354</v>
      </c>
      <c r="C581" s="20">
        <v>0.34722222222222232</v>
      </c>
      <c r="D581" s="19" t="s">
        <v>28</v>
      </c>
      <c r="E581" s="19" t="s">
        <v>138</v>
      </c>
      <c r="F581" s="19" t="s">
        <v>47</v>
      </c>
      <c r="G581" s="298"/>
      <c r="H581" s="10"/>
      <c r="I581" s="11"/>
      <c r="J581" s="11"/>
      <c r="K581" s="11"/>
      <c r="L581" s="11"/>
      <c r="M581" s="11"/>
      <c r="N581" s="11"/>
      <c r="O581" s="12"/>
      <c r="P581" s="11"/>
      <c r="Q581" s="13"/>
      <c r="R581" s="14"/>
    </row>
    <row r="582" spans="1:18" ht="15" customHeight="1" x14ac:dyDescent="0.3">
      <c r="A582" s="15" t="s">
        <v>26</v>
      </c>
      <c r="B582" s="15" t="s">
        <v>354</v>
      </c>
      <c r="C582" s="16">
        <v>0.34722222222222232</v>
      </c>
      <c r="D582" s="15" t="s">
        <v>31</v>
      </c>
      <c r="E582" s="15" t="s">
        <v>38</v>
      </c>
      <c r="F582" s="15" t="s">
        <v>532</v>
      </c>
      <c r="G582" s="298"/>
      <c r="H582" s="10"/>
      <c r="I582" s="11"/>
      <c r="J582" s="11"/>
      <c r="K582" s="11"/>
      <c r="L582" s="11"/>
      <c r="M582" s="11"/>
      <c r="N582" s="11"/>
      <c r="O582" s="12"/>
      <c r="P582" s="11"/>
      <c r="Q582" s="13"/>
      <c r="R582" s="14"/>
    </row>
    <row r="583" spans="1:18" ht="15" customHeight="1" x14ac:dyDescent="0.3">
      <c r="A583" s="15" t="s">
        <v>26</v>
      </c>
      <c r="B583" s="15" t="s">
        <v>354</v>
      </c>
      <c r="C583" s="16">
        <v>0.34722222222222232</v>
      </c>
      <c r="D583" s="15" t="s">
        <v>34</v>
      </c>
      <c r="E583" s="15" t="s">
        <v>38</v>
      </c>
      <c r="F583" s="15" t="s">
        <v>533</v>
      </c>
      <c r="G583" s="298"/>
      <c r="H583" s="10"/>
      <c r="I583" s="11"/>
      <c r="J583" s="11"/>
      <c r="K583" s="11"/>
      <c r="L583" s="11"/>
      <c r="M583" s="11"/>
      <c r="N583" s="11"/>
      <c r="O583" s="12"/>
      <c r="P583" s="11"/>
      <c r="Q583" s="13"/>
      <c r="R583" s="14"/>
    </row>
    <row r="584" spans="1:18" ht="15" customHeight="1" x14ac:dyDescent="0.3">
      <c r="A584" s="17" t="s">
        <v>26</v>
      </c>
      <c r="B584" s="17" t="s">
        <v>350</v>
      </c>
      <c r="C584" s="18">
        <v>0.99305555555555547</v>
      </c>
      <c r="D584" s="17" t="s">
        <v>28</v>
      </c>
      <c r="E584" s="17" t="s">
        <v>355</v>
      </c>
      <c r="F584" s="17" t="s">
        <v>47</v>
      </c>
      <c r="G584" s="298"/>
      <c r="H584" s="10"/>
      <c r="I584" s="11"/>
      <c r="J584" s="11"/>
      <c r="K584" s="11"/>
      <c r="L584" s="11"/>
      <c r="M584" s="11"/>
      <c r="N584" s="11"/>
      <c r="O584" s="12"/>
      <c r="P584" s="11"/>
      <c r="Q584" s="13"/>
      <c r="R584" s="14"/>
    </row>
    <row r="585" spans="1:18" ht="15" customHeight="1" x14ac:dyDescent="0.3">
      <c r="A585" s="15" t="s">
        <v>26</v>
      </c>
      <c r="B585" s="15" t="s">
        <v>350</v>
      </c>
      <c r="C585" s="16">
        <v>0.99305555555555547</v>
      </c>
      <c r="D585" s="15" t="s">
        <v>31</v>
      </c>
      <c r="E585" s="15" t="s">
        <v>115</v>
      </c>
      <c r="F585" s="15" t="s">
        <v>532</v>
      </c>
      <c r="G585" s="298"/>
      <c r="H585" s="10"/>
      <c r="I585" s="11"/>
      <c r="J585" s="11"/>
      <c r="K585" s="11"/>
      <c r="L585" s="11"/>
      <c r="M585" s="11"/>
      <c r="N585" s="11"/>
      <c r="O585" s="12"/>
      <c r="P585" s="11"/>
      <c r="Q585" s="13"/>
      <c r="R585" s="14"/>
    </row>
    <row r="586" spans="1:18" ht="15" customHeight="1" x14ac:dyDescent="0.3">
      <c r="A586" s="15" t="s">
        <v>26</v>
      </c>
      <c r="B586" s="15" t="s">
        <v>350</v>
      </c>
      <c r="C586" s="16">
        <v>0.99305555555555547</v>
      </c>
      <c r="D586" s="15" t="s">
        <v>34</v>
      </c>
      <c r="E586" s="15" t="s">
        <v>115</v>
      </c>
      <c r="F586" s="15" t="s">
        <v>533</v>
      </c>
      <c r="G586" s="298"/>
      <c r="H586" s="10"/>
      <c r="I586" s="11"/>
      <c r="J586" s="11"/>
      <c r="K586" s="11"/>
      <c r="L586" s="11"/>
      <c r="M586" s="11"/>
      <c r="N586" s="11"/>
      <c r="O586" s="12"/>
      <c r="P586" s="11"/>
      <c r="Q586" s="13"/>
      <c r="R586" s="14"/>
    </row>
    <row r="587" spans="1:18" ht="15" customHeight="1" x14ac:dyDescent="0.3">
      <c r="A587" s="17" t="s">
        <v>26</v>
      </c>
      <c r="B587" s="17" t="s">
        <v>352</v>
      </c>
      <c r="C587" s="18">
        <v>0.94444444444444453</v>
      </c>
      <c r="D587" s="17" t="s">
        <v>28</v>
      </c>
      <c r="E587" s="17" t="s">
        <v>75</v>
      </c>
      <c r="F587" s="17" t="s">
        <v>47</v>
      </c>
      <c r="G587" s="298"/>
      <c r="H587" s="10"/>
      <c r="I587" s="11"/>
      <c r="J587" s="11"/>
      <c r="K587" s="11"/>
      <c r="L587" s="11"/>
      <c r="M587" s="11"/>
      <c r="N587" s="11"/>
      <c r="O587" s="12"/>
      <c r="P587" s="11"/>
      <c r="Q587" s="13"/>
      <c r="R587" s="14"/>
    </row>
    <row r="588" spans="1:18" ht="15" customHeight="1" x14ac:dyDescent="0.3">
      <c r="A588" s="15" t="s">
        <v>26</v>
      </c>
      <c r="B588" s="15" t="s">
        <v>352</v>
      </c>
      <c r="C588" s="16">
        <v>0.94444444444444453</v>
      </c>
      <c r="D588" s="15" t="s">
        <v>31</v>
      </c>
      <c r="E588" s="15" t="s">
        <v>98</v>
      </c>
      <c r="F588" s="15" t="s">
        <v>532</v>
      </c>
      <c r="G588" s="298"/>
      <c r="H588" s="10"/>
      <c r="I588" s="11"/>
      <c r="J588" s="11"/>
      <c r="K588" s="11"/>
      <c r="L588" s="11"/>
      <c r="M588" s="11"/>
      <c r="N588" s="11"/>
      <c r="O588" s="12"/>
      <c r="P588" s="11"/>
      <c r="Q588" s="13"/>
      <c r="R588" s="14"/>
    </row>
    <row r="589" spans="1:18" ht="15" customHeight="1" x14ac:dyDescent="0.3">
      <c r="A589" s="15" t="s">
        <v>26</v>
      </c>
      <c r="B589" s="15" t="s">
        <v>352</v>
      </c>
      <c r="C589" s="16">
        <v>0.94444444444444453</v>
      </c>
      <c r="D589" s="15" t="s">
        <v>34</v>
      </c>
      <c r="E589" s="15" t="s">
        <v>98</v>
      </c>
      <c r="F589" s="15" t="s">
        <v>533</v>
      </c>
      <c r="G589" s="298"/>
      <c r="H589" s="10"/>
      <c r="I589" s="11"/>
      <c r="J589" s="11"/>
      <c r="K589" s="11"/>
      <c r="L589" s="11"/>
      <c r="M589" s="11"/>
      <c r="N589" s="11"/>
      <c r="O589" s="12"/>
      <c r="P589" s="11"/>
      <c r="Q589" s="13"/>
      <c r="R589" s="14"/>
    </row>
    <row r="590" spans="1:18" ht="15" customHeight="1" x14ac:dyDescent="0.3">
      <c r="A590" s="17" t="s">
        <v>26</v>
      </c>
      <c r="B590" s="17" t="s">
        <v>360</v>
      </c>
      <c r="C590" s="18">
        <v>0.4861111111111111</v>
      </c>
      <c r="D590" s="17" t="s">
        <v>28</v>
      </c>
      <c r="E590" s="17" t="s">
        <v>37</v>
      </c>
      <c r="F590" s="17" t="s">
        <v>47</v>
      </c>
      <c r="G590" s="298"/>
      <c r="H590" s="10"/>
      <c r="I590" s="11"/>
      <c r="J590" s="11"/>
      <c r="K590" s="11"/>
      <c r="L590" s="11"/>
      <c r="M590" s="11"/>
      <c r="N590" s="11"/>
      <c r="O590" s="12"/>
      <c r="P590" s="11"/>
      <c r="Q590" s="13"/>
      <c r="R590" s="14"/>
    </row>
    <row r="591" spans="1:18" ht="15" customHeight="1" x14ac:dyDescent="0.3">
      <c r="A591" s="15" t="s">
        <v>26</v>
      </c>
      <c r="B591" s="15" t="s">
        <v>360</v>
      </c>
      <c r="C591" s="16">
        <v>0.4861111111111111</v>
      </c>
      <c r="D591" s="15" t="s">
        <v>31</v>
      </c>
      <c r="E591" s="15" t="s">
        <v>38</v>
      </c>
      <c r="F591" s="15" t="s">
        <v>532</v>
      </c>
      <c r="G591" s="298"/>
      <c r="H591" s="10"/>
      <c r="I591" s="11"/>
      <c r="J591" s="11"/>
      <c r="K591" s="11"/>
      <c r="L591" s="11"/>
      <c r="M591" s="11"/>
      <c r="N591" s="11"/>
      <c r="O591" s="12"/>
      <c r="P591" s="11"/>
      <c r="Q591" s="13"/>
      <c r="R591" s="14"/>
    </row>
    <row r="592" spans="1:18" ht="15" customHeight="1" x14ac:dyDescent="0.3">
      <c r="A592" s="15" t="s">
        <v>26</v>
      </c>
      <c r="B592" s="15" t="s">
        <v>360</v>
      </c>
      <c r="C592" s="16">
        <v>0.4861111111111111</v>
      </c>
      <c r="D592" s="15" t="s">
        <v>34</v>
      </c>
      <c r="E592" s="15" t="s">
        <v>38</v>
      </c>
      <c r="F592" s="15" t="s">
        <v>533</v>
      </c>
      <c r="G592" s="298"/>
      <c r="H592" s="10"/>
      <c r="I592" s="11"/>
      <c r="J592" s="11"/>
      <c r="K592" s="11"/>
      <c r="L592" s="11"/>
      <c r="M592" s="11"/>
      <c r="N592" s="11"/>
      <c r="O592" s="12"/>
      <c r="P592" s="11"/>
      <c r="Q592" s="13"/>
      <c r="R592" s="14"/>
    </row>
    <row r="593" spans="1:18" ht="15" customHeight="1" x14ac:dyDescent="0.3">
      <c r="A593" s="17" t="s">
        <v>26</v>
      </c>
      <c r="B593" s="17" t="s">
        <v>359</v>
      </c>
      <c r="C593" s="18">
        <v>0.73611111111111116</v>
      </c>
      <c r="D593" s="17" t="s">
        <v>28</v>
      </c>
      <c r="E593" s="17" t="s">
        <v>353</v>
      </c>
      <c r="F593" s="17" t="s">
        <v>532</v>
      </c>
      <c r="G593" s="298"/>
      <c r="H593" s="10"/>
      <c r="I593" s="11"/>
      <c r="J593" s="11"/>
      <c r="K593" s="11"/>
      <c r="L593" s="11"/>
      <c r="M593" s="11"/>
      <c r="N593" s="11"/>
      <c r="O593" s="12"/>
      <c r="P593" s="11"/>
      <c r="Q593" s="13"/>
      <c r="R593" s="14"/>
    </row>
    <row r="594" spans="1:18" ht="15" customHeight="1" x14ac:dyDescent="0.3">
      <c r="A594" s="15" t="s">
        <v>26</v>
      </c>
      <c r="B594" s="15" t="s">
        <v>359</v>
      </c>
      <c r="C594" s="16">
        <v>0.73611111111111116</v>
      </c>
      <c r="D594" s="15" t="s">
        <v>31</v>
      </c>
      <c r="E594" s="15" t="s">
        <v>97</v>
      </c>
      <c r="F594" s="15" t="s">
        <v>534</v>
      </c>
      <c r="G594" s="298"/>
      <c r="H594" s="10"/>
      <c r="I594" s="11"/>
      <c r="J594" s="11"/>
      <c r="K594" s="11"/>
      <c r="L594" s="11"/>
      <c r="M594" s="11"/>
      <c r="N594" s="11"/>
      <c r="O594" s="12"/>
      <c r="P594" s="11"/>
      <c r="Q594" s="13"/>
      <c r="R594" s="14"/>
    </row>
    <row r="595" spans="1:18" ht="15" customHeight="1" x14ac:dyDescent="0.3">
      <c r="A595" s="15" t="s">
        <v>26</v>
      </c>
      <c r="B595" s="15" t="s">
        <v>359</v>
      </c>
      <c r="C595" s="16">
        <v>0.73611111111111116</v>
      </c>
      <c r="D595" s="15" t="s">
        <v>34</v>
      </c>
      <c r="E595" s="15" t="s">
        <v>97</v>
      </c>
      <c r="F595" s="15" t="s">
        <v>535</v>
      </c>
      <c r="G595" s="298"/>
      <c r="H595" s="10"/>
      <c r="I595" s="11"/>
      <c r="J595" s="11"/>
      <c r="K595" s="11"/>
      <c r="L595" s="11"/>
      <c r="M595" s="11"/>
      <c r="N595" s="11"/>
      <c r="O595" s="12"/>
      <c r="P595" s="11"/>
      <c r="Q595" s="13"/>
      <c r="R595" s="14"/>
    </row>
    <row r="596" spans="1:18" ht="15" customHeight="1" x14ac:dyDescent="0.3">
      <c r="A596" s="17" t="s">
        <v>26</v>
      </c>
      <c r="B596" s="17" t="s">
        <v>356</v>
      </c>
      <c r="C596" s="18">
        <v>0.83680555555555547</v>
      </c>
      <c r="D596" s="17" t="s">
        <v>28</v>
      </c>
      <c r="E596" s="17" t="s">
        <v>58</v>
      </c>
      <c r="F596" s="17" t="s">
        <v>532</v>
      </c>
      <c r="G596" s="298"/>
      <c r="H596" s="10"/>
      <c r="I596" s="11"/>
      <c r="J596" s="11"/>
      <c r="K596" s="11"/>
      <c r="L596" s="11"/>
      <c r="M596" s="11"/>
      <c r="N596" s="11"/>
      <c r="O596" s="12"/>
      <c r="P596" s="11"/>
      <c r="Q596" s="13"/>
      <c r="R596" s="14"/>
    </row>
    <row r="597" spans="1:18" ht="15" customHeight="1" x14ac:dyDescent="0.3">
      <c r="A597" s="15" t="s">
        <v>26</v>
      </c>
      <c r="B597" s="15" t="s">
        <v>356</v>
      </c>
      <c r="C597" s="16">
        <v>0.83680555555555547</v>
      </c>
      <c r="D597" s="15" t="s">
        <v>31</v>
      </c>
      <c r="E597" s="15" t="s">
        <v>119</v>
      </c>
      <c r="F597" s="15" t="s">
        <v>534</v>
      </c>
      <c r="G597" s="298"/>
      <c r="H597" s="10"/>
      <c r="I597" s="11"/>
      <c r="J597" s="11"/>
      <c r="K597" s="11"/>
      <c r="L597" s="11"/>
      <c r="M597" s="11"/>
      <c r="N597" s="11"/>
      <c r="O597" s="12"/>
      <c r="P597" s="11"/>
      <c r="Q597" s="13"/>
      <c r="R597" s="14"/>
    </row>
    <row r="598" spans="1:18" ht="15" customHeight="1" x14ac:dyDescent="0.3">
      <c r="A598" s="15" t="s">
        <v>26</v>
      </c>
      <c r="B598" s="15" t="s">
        <v>356</v>
      </c>
      <c r="C598" s="16">
        <v>0.83680555555555547</v>
      </c>
      <c r="D598" s="15" t="s">
        <v>34</v>
      </c>
      <c r="E598" s="15" t="s">
        <v>119</v>
      </c>
      <c r="F598" s="15" t="s">
        <v>535</v>
      </c>
      <c r="G598" s="298"/>
      <c r="H598" s="10"/>
      <c r="I598" s="11"/>
      <c r="J598" s="11"/>
      <c r="K598" s="11"/>
      <c r="L598" s="11"/>
      <c r="M598" s="11"/>
      <c r="N598" s="11"/>
      <c r="O598" s="12"/>
      <c r="P598" s="11"/>
      <c r="Q598" s="13"/>
      <c r="R598" s="14"/>
    </row>
    <row r="599" spans="1:18" ht="15" customHeight="1" x14ac:dyDescent="0.3">
      <c r="A599" s="17" t="s">
        <v>26</v>
      </c>
      <c r="B599" s="17" t="s">
        <v>358</v>
      </c>
      <c r="C599" s="18">
        <v>0.88888888888888884</v>
      </c>
      <c r="D599" s="17" t="s">
        <v>28</v>
      </c>
      <c r="E599" s="17" t="s">
        <v>37</v>
      </c>
      <c r="F599" s="17" t="s">
        <v>532</v>
      </c>
      <c r="G599" s="298"/>
      <c r="H599" s="10"/>
      <c r="I599" s="11"/>
      <c r="J599" s="11"/>
      <c r="K599" s="11"/>
      <c r="L599" s="11"/>
      <c r="M599" s="11"/>
      <c r="N599" s="11"/>
      <c r="O599" s="12"/>
      <c r="P599" s="11"/>
      <c r="Q599" s="13"/>
      <c r="R599" s="14"/>
    </row>
    <row r="600" spans="1:18" ht="15" customHeight="1" x14ac:dyDescent="0.3">
      <c r="A600" s="15" t="s">
        <v>26</v>
      </c>
      <c r="B600" s="15" t="s">
        <v>358</v>
      </c>
      <c r="C600" s="16">
        <v>0.88888888888888884</v>
      </c>
      <c r="D600" s="15" t="s">
        <v>31</v>
      </c>
      <c r="E600" s="15" t="s">
        <v>38</v>
      </c>
      <c r="F600" s="15" t="s">
        <v>534</v>
      </c>
      <c r="G600" s="298"/>
      <c r="H600" s="10"/>
      <c r="I600" s="11"/>
      <c r="J600" s="11"/>
      <c r="K600" s="11"/>
      <c r="L600" s="11"/>
      <c r="M600" s="11"/>
      <c r="N600" s="11"/>
      <c r="O600" s="12"/>
      <c r="P600" s="11"/>
      <c r="Q600" s="13"/>
      <c r="R600" s="14"/>
    </row>
    <row r="601" spans="1:18" ht="15" customHeight="1" x14ac:dyDescent="0.3">
      <c r="A601" s="15" t="s">
        <v>26</v>
      </c>
      <c r="B601" s="15" t="s">
        <v>358</v>
      </c>
      <c r="C601" s="16">
        <v>0.88888888888888884</v>
      </c>
      <c r="D601" s="15" t="s">
        <v>34</v>
      </c>
      <c r="E601" s="15" t="s">
        <v>38</v>
      </c>
      <c r="F601" s="15" t="s">
        <v>535</v>
      </c>
      <c r="G601" s="298"/>
      <c r="H601" s="10"/>
      <c r="I601" s="11"/>
      <c r="J601" s="11"/>
      <c r="K601" s="11"/>
      <c r="L601" s="11"/>
      <c r="M601" s="11"/>
      <c r="N601" s="11"/>
      <c r="O601" s="12"/>
      <c r="P601" s="11"/>
      <c r="Q601" s="13"/>
      <c r="R601" s="14"/>
    </row>
    <row r="602" spans="1:18" ht="15" customHeight="1" x14ac:dyDescent="0.3">
      <c r="A602" s="129" t="s">
        <v>77</v>
      </c>
      <c r="B602" s="129" t="s">
        <v>374</v>
      </c>
      <c r="C602" s="130">
        <v>0.1423611111111111</v>
      </c>
      <c r="D602" s="129" t="s">
        <v>101</v>
      </c>
      <c r="E602" s="129" t="s">
        <v>85</v>
      </c>
      <c r="F602" s="129" t="s">
        <v>517</v>
      </c>
      <c r="G602" s="298"/>
      <c r="H602" s="131" t="s">
        <v>375</v>
      </c>
      <c r="I602" s="132">
        <v>0.96109999999999995</v>
      </c>
      <c r="J602" s="133">
        <v>173</v>
      </c>
      <c r="K602" s="134">
        <v>45979</v>
      </c>
      <c r="L602" s="133">
        <v>27</v>
      </c>
      <c r="M602" s="133">
        <v>0</v>
      </c>
      <c r="N602" s="133">
        <v>3</v>
      </c>
      <c r="O602" s="135" t="s">
        <v>103</v>
      </c>
      <c r="P602" s="136">
        <v>0.1423611111111111</v>
      </c>
      <c r="Q602" s="133">
        <v>180</v>
      </c>
      <c r="R602" s="137" t="s">
        <v>536</v>
      </c>
    </row>
    <row r="603" spans="1:18" ht="15" customHeight="1" x14ac:dyDescent="0.3">
      <c r="A603" s="193" t="s">
        <v>77</v>
      </c>
      <c r="B603" s="193" t="s">
        <v>424</v>
      </c>
      <c r="C603" s="194">
        <v>0.28125</v>
      </c>
      <c r="D603" s="193" t="s">
        <v>101</v>
      </c>
      <c r="E603" s="193" t="s">
        <v>121</v>
      </c>
      <c r="F603" s="193" t="s">
        <v>517</v>
      </c>
      <c r="G603" s="298"/>
      <c r="H603" s="167" t="s">
        <v>383</v>
      </c>
      <c r="I603" s="215">
        <v>0.75</v>
      </c>
      <c r="J603" s="169">
        <v>135</v>
      </c>
      <c r="K603" s="170">
        <v>45979</v>
      </c>
      <c r="L603" s="169">
        <v>20</v>
      </c>
      <c r="M603" s="169">
        <v>0</v>
      </c>
      <c r="N603" s="169">
        <v>2</v>
      </c>
      <c r="O603" s="171" t="s">
        <v>128</v>
      </c>
      <c r="P603" s="172">
        <v>0.28125</v>
      </c>
      <c r="Q603" s="169">
        <v>180</v>
      </c>
      <c r="R603" s="173" t="s">
        <v>537</v>
      </c>
    </row>
    <row r="604" spans="1:18" ht="15" customHeight="1" x14ac:dyDescent="0.3">
      <c r="A604" s="222" t="s">
        <v>77</v>
      </c>
      <c r="B604" s="222" t="s">
        <v>427</v>
      </c>
      <c r="C604" s="223">
        <v>0.55902777777777779</v>
      </c>
      <c r="D604" s="222" t="s">
        <v>101</v>
      </c>
      <c r="E604" s="222" t="s">
        <v>54</v>
      </c>
      <c r="F604" s="222" t="s">
        <v>437</v>
      </c>
      <c r="G604" s="298"/>
      <c r="H604" s="206" t="s">
        <v>428</v>
      </c>
      <c r="I604" s="207">
        <v>0.75560000000000005</v>
      </c>
      <c r="J604" s="208">
        <v>136</v>
      </c>
      <c r="K604" s="209">
        <v>45979</v>
      </c>
      <c r="L604" s="208">
        <v>19</v>
      </c>
      <c r="M604" s="208">
        <v>0</v>
      </c>
      <c r="N604" s="208">
        <v>1</v>
      </c>
      <c r="O604" s="210" t="s">
        <v>538</v>
      </c>
      <c r="P604" s="211">
        <v>0.55902777777777779</v>
      </c>
      <c r="Q604" s="208">
        <v>180</v>
      </c>
      <c r="R604" s="212" t="s">
        <v>539</v>
      </c>
    </row>
    <row r="605" spans="1:18" ht="15" customHeight="1" x14ac:dyDescent="0.3">
      <c r="A605" s="201" t="s">
        <v>77</v>
      </c>
      <c r="B605" s="201" t="s">
        <v>361</v>
      </c>
      <c r="C605" s="202">
        <v>0.4375</v>
      </c>
      <c r="D605" s="201" t="s">
        <v>101</v>
      </c>
      <c r="E605" s="201" t="s">
        <v>54</v>
      </c>
      <c r="F605" s="201" t="s">
        <v>437</v>
      </c>
      <c r="G605" s="298"/>
      <c r="H605" s="78" t="s">
        <v>363</v>
      </c>
      <c r="I605" s="79">
        <v>0.87780000000000002</v>
      </c>
      <c r="J605" s="80">
        <v>158</v>
      </c>
      <c r="K605" s="81">
        <v>45978</v>
      </c>
      <c r="L605" s="80">
        <v>25</v>
      </c>
      <c r="M605" s="80">
        <v>0</v>
      </c>
      <c r="N605" s="80">
        <v>0</v>
      </c>
      <c r="O605" s="82" t="s">
        <v>538</v>
      </c>
      <c r="P605" s="83">
        <v>0.4375</v>
      </c>
      <c r="Q605" s="80">
        <v>180</v>
      </c>
      <c r="R605" s="84" t="s">
        <v>540</v>
      </c>
    </row>
    <row r="606" spans="1:18" ht="15" customHeight="1" x14ac:dyDescent="0.3">
      <c r="A606" s="195" t="s">
        <v>77</v>
      </c>
      <c r="B606" s="195" t="s">
        <v>419</v>
      </c>
      <c r="C606" s="196">
        <v>0.76041666666666663</v>
      </c>
      <c r="D606" s="195" t="s">
        <v>101</v>
      </c>
      <c r="E606" s="195" t="s">
        <v>69</v>
      </c>
      <c r="F606" s="195" t="s">
        <v>541</v>
      </c>
      <c r="G606" s="298"/>
      <c r="H606" s="181" t="s">
        <v>421</v>
      </c>
      <c r="I606" s="182">
        <v>0.99439999999999995</v>
      </c>
      <c r="J606" s="183">
        <v>179</v>
      </c>
      <c r="K606" s="184">
        <v>45980</v>
      </c>
      <c r="L606" s="183">
        <v>43</v>
      </c>
      <c r="M606" s="183">
        <v>2</v>
      </c>
      <c r="N606" s="183">
        <v>7</v>
      </c>
      <c r="O606" s="185" t="s">
        <v>542</v>
      </c>
      <c r="P606" s="186">
        <v>0.76041666666666663</v>
      </c>
      <c r="Q606" s="183">
        <v>180</v>
      </c>
      <c r="R606" s="187" t="s">
        <v>543</v>
      </c>
    </row>
    <row r="607" spans="1:18" ht="15" customHeight="1" x14ac:dyDescent="0.3">
      <c r="A607" s="19" t="s">
        <v>48</v>
      </c>
      <c r="B607" s="19" t="s">
        <v>408</v>
      </c>
      <c r="C607" s="20">
        <v>0.2986111111111111</v>
      </c>
      <c r="D607" s="19" t="s">
        <v>50</v>
      </c>
      <c r="E607" s="19" t="s">
        <v>63</v>
      </c>
      <c r="F607" s="19" t="s">
        <v>443</v>
      </c>
      <c r="G607" s="298"/>
      <c r="H607" s="10"/>
      <c r="I607" s="11"/>
      <c r="J607" s="11"/>
      <c r="K607" s="11"/>
      <c r="L607" s="11"/>
      <c r="M607" s="11"/>
      <c r="N607" s="11"/>
      <c r="O607" s="12"/>
      <c r="P607" s="11"/>
      <c r="Q607" s="13"/>
      <c r="R607" s="14"/>
    </row>
    <row r="608" spans="1:18" ht="15" customHeight="1" x14ac:dyDescent="0.3">
      <c r="A608" s="17" t="s">
        <v>48</v>
      </c>
      <c r="B608" s="17" t="s">
        <v>411</v>
      </c>
      <c r="C608" s="18">
        <v>0.1041666666666667</v>
      </c>
      <c r="D608" s="17" t="s">
        <v>50</v>
      </c>
      <c r="E608" s="17" t="s">
        <v>54</v>
      </c>
      <c r="F608" s="17" t="s">
        <v>443</v>
      </c>
      <c r="G608" s="298"/>
      <c r="H608" s="10"/>
      <c r="I608" s="11"/>
      <c r="J608" s="11"/>
      <c r="K608" s="11"/>
      <c r="L608" s="11"/>
      <c r="M608" s="11"/>
      <c r="N608" s="11"/>
      <c r="O608" s="12"/>
      <c r="P608" s="11"/>
      <c r="Q608" s="13"/>
      <c r="R608" s="14"/>
    </row>
    <row r="609" spans="1:18" ht="15" customHeight="1" x14ac:dyDescent="0.3">
      <c r="A609" s="17" t="s">
        <v>48</v>
      </c>
      <c r="B609" s="17" t="s">
        <v>410</v>
      </c>
      <c r="C609" s="18">
        <v>0.97222222222222221</v>
      </c>
      <c r="D609" s="17" t="s">
        <v>50</v>
      </c>
      <c r="E609" s="17" t="s">
        <v>54</v>
      </c>
      <c r="F609" s="17" t="s">
        <v>407</v>
      </c>
      <c r="G609" s="298"/>
      <c r="H609" s="10"/>
      <c r="I609" s="11"/>
      <c r="J609" s="11"/>
      <c r="K609" s="11"/>
      <c r="L609" s="11"/>
      <c r="M609" s="11"/>
      <c r="N609" s="11"/>
      <c r="O609" s="12"/>
      <c r="P609" s="11"/>
      <c r="Q609" s="13"/>
      <c r="R609" s="14"/>
    </row>
    <row r="610" spans="1:18" ht="15" customHeight="1" x14ac:dyDescent="0.3">
      <c r="A610" s="17" t="s">
        <v>48</v>
      </c>
      <c r="B610" s="17" t="s">
        <v>412</v>
      </c>
      <c r="C610" s="18">
        <v>0.59722222222222221</v>
      </c>
      <c r="D610" s="17" t="s">
        <v>50</v>
      </c>
      <c r="E610" s="17" t="s">
        <v>54</v>
      </c>
      <c r="F610" s="17" t="s">
        <v>407</v>
      </c>
      <c r="G610" s="298"/>
      <c r="H610" s="10"/>
      <c r="I610" s="11"/>
      <c r="J610" s="11"/>
      <c r="K610" s="11"/>
      <c r="L610" s="11"/>
      <c r="M610" s="11"/>
      <c r="N610" s="11"/>
      <c r="O610" s="12"/>
      <c r="P610" s="11"/>
      <c r="Q610" s="13"/>
      <c r="R610" s="14"/>
    </row>
    <row r="611" spans="1:18" ht="15" customHeight="1" x14ac:dyDescent="0.3">
      <c r="A611" s="17" t="s">
        <v>48</v>
      </c>
      <c r="B611" s="17" t="s">
        <v>406</v>
      </c>
      <c r="C611" s="18">
        <v>0.78472222222222221</v>
      </c>
      <c r="D611" s="17" t="s">
        <v>50</v>
      </c>
      <c r="E611" s="17" t="s">
        <v>54</v>
      </c>
      <c r="F611" s="17" t="s">
        <v>464</v>
      </c>
      <c r="G611" s="298"/>
      <c r="H611" s="10"/>
      <c r="I611" s="11"/>
      <c r="J611" s="11"/>
      <c r="K611" s="11"/>
      <c r="L611" s="11"/>
      <c r="M611" s="11"/>
      <c r="N611" s="11"/>
      <c r="O611" s="12"/>
      <c r="P611" s="11"/>
      <c r="Q611" s="13"/>
      <c r="R611" s="14"/>
    </row>
    <row r="612" spans="1:18" ht="15" customHeight="1" x14ac:dyDescent="0.3">
      <c r="A612" s="17" t="s">
        <v>48</v>
      </c>
      <c r="B612" s="17" t="s">
        <v>413</v>
      </c>
      <c r="C612" s="18">
        <v>0.83680555555555547</v>
      </c>
      <c r="D612" s="17" t="s">
        <v>50</v>
      </c>
      <c r="E612" s="17" t="s">
        <v>54</v>
      </c>
      <c r="F612" s="17" t="s">
        <v>544</v>
      </c>
      <c r="G612" s="298"/>
      <c r="H612" s="10"/>
      <c r="I612" s="11"/>
      <c r="J612" s="11"/>
      <c r="K612" s="11"/>
      <c r="L612" s="11"/>
      <c r="M612" s="11"/>
      <c r="N612" s="11"/>
      <c r="O612" s="12"/>
      <c r="P612" s="11"/>
      <c r="Q612" s="13"/>
      <c r="R612" s="14"/>
    </row>
    <row r="613" spans="1:18" ht="15" customHeight="1" x14ac:dyDescent="0.3">
      <c r="A613" s="19" t="s">
        <v>60</v>
      </c>
      <c r="B613" s="19" t="s">
        <v>444</v>
      </c>
      <c r="C613" s="20">
        <v>4.1666666666666657E-2</v>
      </c>
      <c r="D613" s="19" t="s">
        <v>65</v>
      </c>
      <c r="E613" s="19" t="s">
        <v>63</v>
      </c>
      <c r="F613" s="19" t="s">
        <v>490</v>
      </c>
      <c r="G613" s="298"/>
      <c r="H613" s="10"/>
      <c r="I613" s="11"/>
      <c r="J613" s="11"/>
      <c r="K613" s="11"/>
      <c r="L613" s="11"/>
      <c r="M613" s="11"/>
      <c r="N613" s="11"/>
      <c r="O613" s="12"/>
      <c r="P613" s="11"/>
      <c r="Q613" s="13"/>
      <c r="R613" s="14"/>
    </row>
    <row r="614" spans="1:18" ht="15" customHeight="1" x14ac:dyDescent="0.3">
      <c r="A614" s="17" t="s">
        <v>60</v>
      </c>
      <c r="B614" s="17" t="s">
        <v>446</v>
      </c>
      <c r="C614" s="18">
        <v>0.48958333333333331</v>
      </c>
      <c r="D614" s="17" t="s">
        <v>65</v>
      </c>
      <c r="E614" s="17" t="s">
        <v>54</v>
      </c>
      <c r="F614" s="17" t="s">
        <v>511</v>
      </c>
      <c r="G614" s="298"/>
      <c r="H614" s="10"/>
      <c r="I614" s="11"/>
      <c r="J614" s="11"/>
      <c r="K614" s="11"/>
      <c r="L614" s="11"/>
      <c r="M614" s="11"/>
      <c r="N614" s="11"/>
      <c r="O614" s="12"/>
      <c r="P614" s="11"/>
      <c r="Q614" s="13"/>
      <c r="R614" s="14"/>
    </row>
    <row r="615" spans="1:18" ht="15" customHeight="1" x14ac:dyDescent="0.3">
      <c r="A615" s="17" t="s">
        <v>60</v>
      </c>
      <c r="B615" s="17" t="s">
        <v>400</v>
      </c>
      <c r="C615" s="18">
        <v>0.82986111111111116</v>
      </c>
      <c r="D615" s="17" t="s">
        <v>65</v>
      </c>
      <c r="E615" s="17" t="s">
        <v>54</v>
      </c>
      <c r="F615" s="17" t="s">
        <v>511</v>
      </c>
      <c r="G615" s="298"/>
      <c r="H615" s="10"/>
      <c r="I615" s="11"/>
      <c r="J615" s="11"/>
      <c r="K615" s="11"/>
      <c r="L615" s="11"/>
      <c r="M615" s="11"/>
      <c r="N615" s="11"/>
      <c r="O615" s="12"/>
      <c r="P615" s="11"/>
      <c r="Q615" s="13"/>
      <c r="R615" s="14"/>
    </row>
    <row r="616" spans="1:18" ht="15" customHeight="1" x14ac:dyDescent="0.3">
      <c r="A616" s="17" t="s">
        <v>60</v>
      </c>
      <c r="B616" s="17" t="s">
        <v>402</v>
      </c>
      <c r="C616" s="18">
        <v>0.11805555555555559</v>
      </c>
      <c r="D616" s="17" t="s">
        <v>65</v>
      </c>
      <c r="E616" s="17" t="s">
        <v>54</v>
      </c>
      <c r="F616" s="17" t="s">
        <v>511</v>
      </c>
      <c r="G616" s="298"/>
      <c r="H616" s="10"/>
      <c r="I616" s="11"/>
      <c r="J616" s="11"/>
      <c r="K616" s="11"/>
      <c r="L616" s="11"/>
      <c r="M616" s="11"/>
      <c r="N616" s="11"/>
      <c r="O616" s="12"/>
      <c r="P616" s="11"/>
      <c r="Q616" s="13"/>
      <c r="R616" s="14"/>
    </row>
    <row r="617" spans="1:18" ht="15" customHeight="1" x14ac:dyDescent="0.3">
      <c r="A617" s="17" t="s">
        <v>60</v>
      </c>
      <c r="B617" s="17" t="s">
        <v>445</v>
      </c>
      <c r="C617" s="18">
        <v>0.94097222222222221</v>
      </c>
      <c r="D617" s="17" t="s">
        <v>65</v>
      </c>
      <c r="E617" s="17" t="s">
        <v>54</v>
      </c>
      <c r="F617" s="17" t="s">
        <v>511</v>
      </c>
      <c r="G617" s="298"/>
      <c r="H617" s="10"/>
      <c r="I617" s="11"/>
      <c r="J617" s="11"/>
      <c r="K617" s="11"/>
      <c r="L617" s="11"/>
      <c r="M617" s="11"/>
      <c r="N617" s="11"/>
      <c r="O617" s="12"/>
      <c r="P617" s="11"/>
      <c r="Q617" s="13"/>
      <c r="R617" s="14"/>
    </row>
    <row r="618" spans="1:18" ht="15" customHeight="1" x14ac:dyDescent="0.3">
      <c r="A618" s="17" t="s">
        <v>60</v>
      </c>
      <c r="B618" s="17" t="s">
        <v>395</v>
      </c>
      <c r="C618" s="18">
        <v>0.98958333333333337</v>
      </c>
      <c r="D618" s="17" t="s">
        <v>65</v>
      </c>
      <c r="E618" s="17" t="s">
        <v>72</v>
      </c>
      <c r="F618" s="17" t="s">
        <v>512</v>
      </c>
      <c r="G618" s="298"/>
      <c r="H618" s="10"/>
      <c r="I618" s="11"/>
      <c r="J618" s="11"/>
      <c r="K618" s="11"/>
      <c r="L618" s="11"/>
      <c r="M618" s="11"/>
      <c r="N618" s="11"/>
      <c r="O618" s="12"/>
      <c r="P618" s="11"/>
      <c r="Q618" s="13"/>
      <c r="R618" s="14"/>
    </row>
    <row r="619" spans="1:18" ht="15" customHeight="1" x14ac:dyDescent="0.3">
      <c r="A619" s="17" t="s">
        <v>60</v>
      </c>
      <c r="B619" s="17" t="s">
        <v>397</v>
      </c>
      <c r="C619" s="18">
        <v>0.39930555555555558</v>
      </c>
      <c r="D619" s="17" t="s">
        <v>65</v>
      </c>
      <c r="E619" s="17" t="s">
        <v>72</v>
      </c>
      <c r="F619" s="17" t="s">
        <v>512</v>
      </c>
      <c r="G619" s="298"/>
      <c r="H619" s="10"/>
      <c r="I619" s="11"/>
      <c r="J619" s="11"/>
      <c r="K619" s="11"/>
      <c r="L619" s="11"/>
      <c r="M619" s="11"/>
      <c r="N619" s="11"/>
      <c r="O619" s="12"/>
      <c r="P619" s="11"/>
      <c r="Q619" s="13"/>
      <c r="R619" s="14"/>
    </row>
    <row r="620" spans="1:18" ht="15" customHeight="1" x14ac:dyDescent="0.3">
      <c r="A620" s="17" t="s">
        <v>60</v>
      </c>
      <c r="B620" s="17" t="s">
        <v>399</v>
      </c>
      <c r="C620" s="18">
        <v>0.88888888888888884</v>
      </c>
      <c r="D620" s="17" t="s">
        <v>65</v>
      </c>
      <c r="E620" s="17" t="s">
        <v>72</v>
      </c>
      <c r="F620" s="17" t="s">
        <v>512</v>
      </c>
      <c r="G620" s="298"/>
      <c r="H620" s="10"/>
      <c r="I620" s="11"/>
      <c r="J620" s="11"/>
      <c r="K620" s="11"/>
      <c r="L620" s="11"/>
      <c r="M620" s="11"/>
      <c r="N620" s="11"/>
      <c r="O620" s="12"/>
      <c r="P620" s="11"/>
      <c r="Q620" s="13"/>
      <c r="R620" s="14"/>
    </row>
    <row r="621" spans="1:18" ht="15" customHeight="1" x14ac:dyDescent="0.3">
      <c r="A621" s="17" t="s">
        <v>60</v>
      </c>
      <c r="B621" s="17" t="s">
        <v>404</v>
      </c>
      <c r="C621" s="18">
        <v>0.72222222222222221</v>
      </c>
      <c r="D621" s="17" t="s">
        <v>65</v>
      </c>
      <c r="E621" s="17" t="s">
        <v>54</v>
      </c>
      <c r="F621" s="17" t="s">
        <v>401</v>
      </c>
      <c r="G621" s="298"/>
      <c r="H621" s="10"/>
      <c r="I621" s="11"/>
      <c r="J621" s="11"/>
      <c r="K621" s="11"/>
      <c r="L621" s="11"/>
      <c r="M621" s="11"/>
      <c r="N621" s="11"/>
      <c r="O621" s="12"/>
      <c r="P621" s="11"/>
      <c r="Q621" s="13"/>
      <c r="R621" s="14"/>
    </row>
    <row r="622" spans="1:18" ht="15" customHeight="1" x14ac:dyDescent="0.3">
      <c r="A622" s="17" t="s">
        <v>60</v>
      </c>
      <c r="B622" s="17" t="s">
        <v>403</v>
      </c>
      <c r="C622" s="18">
        <v>0.70138888888888884</v>
      </c>
      <c r="D622" s="17" t="s">
        <v>65</v>
      </c>
      <c r="E622" s="17" t="s">
        <v>54</v>
      </c>
      <c r="F622" s="17" t="s">
        <v>401</v>
      </c>
      <c r="G622" s="298"/>
      <c r="H622" s="10"/>
      <c r="I622" s="11"/>
      <c r="J622" s="11"/>
      <c r="K622" s="11"/>
      <c r="L622" s="11"/>
      <c r="M622" s="11"/>
      <c r="N622" s="11"/>
      <c r="O622" s="12"/>
      <c r="P622" s="11"/>
      <c r="Q622" s="13"/>
      <c r="R622" s="14"/>
    </row>
    <row r="623" spans="1:18" ht="15" customHeight="1" x14ac:dyDescent="0.3">
      <c r="A623" s="17" t="s">
        <v>60</v>
      </c>
      <c r="B623" s="17" t="s">
        <v>398</v>
      </c>
      <c r="C623" s="18">
        <v>0.48958333333333331</v>
      </c>
      <c r="D623" s="17" t="s">
        <v>65</v>
      </c>
      <c r="E623" s="17" t="s">
        <v>72</v>
      </c>
      <c r="F623" s="17" t="s">
        <v>545</v>
      </c>
      <c r="G623" s="298"/>
      <c r="H623" s="10"/>
      <c r="I623" s="11"/>
      <c r="J623" s="11"/>
      <c r="K623" s="11"/>
      <c r="L623" s="11"/>
      <c r="M623" s="11"/>
      <c r="N623" s="11"/>
      <c r="O623" s="12"/>
      <c r="P623" s="11"/>
      <c r="Q623" s="13"/>
      <c r="R623" s="14"/>
    </row>
    <row r="624" spans="1:18" ht="15" customHeight="1" thickBot="1" x14ac:dyDescent="0.35">
      <c r="A624" s="39" t="s">
        <v>60</v>
      </c>
      <c r="B624" s="39" t="s">
        <v>393</v>
      </c>
      <c r="C624" s="40">
        <v>0.25347222222222221</v>
      </c>
      <c r="D624" s="39" t="s">
        <v>65</v>
      </c>
      <c r="E624" s="39" t="s">
        <v>54</v>
      </c>
      <c r="F624" s="39" t="s">
        <v>405</v>
      </c>
      <c r="G624" s="299"/>
      <c r="H624" s="41"/>
      <c r="I624" s="42"/>
      <c r="J624" s="42"/>
      <c r="K624" s="42"/>
      <c r="L624" s="42"/>
      <c r="M624" s="42"/>
      <c r="N624" s="42"/>
      <c r="O624" s="43"/>
      <c r="P624" s="42"/>
      <c r="Q624" s="44"/>
      <c r="R624" s="45"/>
    </row>
    <row r="625" spans="1:18" ht="17.399999999999999" customHeight="1" thickBot="1" x14ac:dyDescent="0.35">
      <c r="A625" s="329"/>
      <c r="B625" s="330"/>
      <c r="C625" s="330"/>
      <c r="D625" s="330"/>
      <c r="E625" s="330"/>
      <c r="F625" s="330"/>
      <c r="G625" s="330"/>
      <c r="H625" s="330"/>
      <c r="I625" s="330"/>
      <c r="J625" s="330"/>
      <c r="K625" s="330"/>
      <c r="L625" s="330"/>
      <c r="M625" s="330"/>
      <c r="N625" s="330"/>
      <c r="O625" s="330"/>
      <c r="P625" s="330"/>
      <c r="Q625" s="330"/>
      <c r="R625" s="331"/>
    </row>
    <row r="626" spans="1:18" ht="22.05" customHeight="1" thickTop="1" thickBot="1" x14ac:dyDescent="0.35">
      <c r="A626" s="300" t="s">
        <v>6</v>
      </c>
      <c r="B626" s="295"/>
      <c r="C626" s="295"/>
      <c r="D626" s="295"/>
      <c r="E626" s="295"/>
      <c r="F626" s="296"/>
      <c r="G626" s="31">
        <v>45990</v>
      </c>
      <c r="H626" s="294" t="s">
        <v>7</v>
      </c>
      <c r="I626" s="295"/>
      <c r="J626" s="295"/>
      <c r="K626" s="295"/>
      <c r="L626" s="295"/>
      <c r="M626" s="295"/>
      <c r="N626" s="295"/>
      <c r="O626" s="295"/>
      <c r="P626" s="295"/>
      <c r="Q626" s="295"/>
      <c r="R626" s="296"/>
    </row>
    <row r="627" spans="1:18" ht="24" customHeight="1" x14ac:dyDescent="0.3">
      <c r="A627" s="32" t="s">
        <v>8</v>
      </c>
      <c r="B627" s="32" t="s">
        <v>9</v>
      </c>
      <c r="C627" s="33" t="s">
        <v>10</v>
      </c>
      <c r="D627" s="32" t="s">
        <v>11</v>
      </c>
      <c r="E627" s="32" t="s">
        <v>12</v>
      </c>
      <c r="F627" s="34" t="s">
        <v>13</v>
      </c>
      <c r="G627" s="35" t="s">
        <v>14</v>
      </c>
      <c r="H627" s="32" t="s">
        <v>15</v>
      </c>
      <c r="I627" s="36" t="s">
        <v>16</v>
      </c>
      <c r="J627" s="37" t="s">
        <v>17</v>
      </c>
      <c r="K627" s="38" t="s">
        <v>18</v>
      </c>
      <c r="L627" s="37" t="s">
        <v>19</v>
      </c>
      <c r="M627" s="37" t="s">
        <v>20</v>
      </c>
      <c r="N627" s="37" t="s">
        <v>21</v>
      </c>
      <c r="O627" s="32" t="s">
        <v>22</v>
      </c>
      <c r="P627" s="33" t="s">
        <v>23</v>
      </c>
      <c r="Q627" s="37" t="s">
        <v>24</v>
      </c>
      <c r="R627" s="32" t="s">
        <v>25</v>
      </c>
    </row>
    <row r="628" spans="1:18" ht="15" customHeight="1" x14ac:dyDescent="0.3">
      <c r="A628" s="8" t="s">
        <v>388</v>
      </c>
      <c r="B628" s="8" t="s">
        <v>462</v>
      </c>
      <c r="C628" s="9">
        <v>5.5555555555555552E-2</v>
      </c>
      <c r="D628" s="8" t="s">
        <v>390</v>
      </c>
      <c r="E628" s="8" t="s">
        <v>138</v>
      </c>
      <c r="F628" s="8" t="s">
        <v>527</v>
      </c>
      <c r="G628" s="297"/>
      <c r="H628" s="10"/>
      <c r="I628" s="11"/>
      <c r="J628" s="11"/>
      <c r="K628" s="11"/>
      <c r="L628" s="11"/>
      <c r="M628" s="11"/>
      <c r="N628" s="11"/>
      <c r="O628" s="12"/>
      <c r="P628" s="11"/>
      <c r="Q628" s="13"/>
      <c r="R628" s="14"/>
    </row>
    <row r="629" spans="1:18" ht="15" customHeight="1" x14ac:dyDescent="0.3">
      <c r="A629" s="15" t="s">
        <v>388</v>
      </c>
      <c r="B629" s="15" t="s">
        <v>462</v>
      </c>
      <c r="C629" s="16">
        <v>5.5555555555555552E-2</v>
      </c>
      <c r="D629" s="15" t="s">
        <v>46</v>
      </c>
      <c r="E629" s="15" t="s">
        <v>38</v>
      </c>
      <c r="F629" s="15" t="s">
        <v>528</v>
      </c>
      <c r="G629" s="298"/>
      <c r="H629" s="10"/>
      <c r="I629" s="11"/>
      <c r="J629" s="11"/>
      <c r="K629" s="11"/>
      <c r="L629" s="11"/>
      <c r="M629" s="11"/>
      <c r="N629" s="11"/>
      <c r="O629" s="12"/>
      <c r="P629" s="11"/>
      <c r="Q629" s="13"/>
      <c r="R629" s="14"/>
    </row>
    <row r="630" spans="1:18" ht="15" customHeight="1" x14ac:dyDescent="0.3">
      <c r="A630" s="17" t="s">
        <v>388</v>
      </c>
      <c r="B630" s="17" t="s">
        <v>389</v>
      </c>
      <c r="C630" s="18">
        <v>0.1701388888888889</v>
      </c>
      <c r="D630" s="17" t="s">
        <v>390</v>
      </c>
      <c r="E630" s="17" t="s">
        <v>37</v>
      </c>
      <c r="F630" s="17" t="s">
        <v>546</v>
      </c>
      <c r="G630" s="298"/>
      <c r="H630" s="10"/>
      <c r="I630" s="11"/>
      <c r="J630" s="11"/>
      <c r="K630" s="11"/>
      <c r="L630" s="11"/>
      <c r="M630" s="11"/>
      <c r="N630" s="11"/>
      <c r="O630" s="12"/>
      <c r="P630" s="11"/>
      <c r="Q630" s="13"/>
      <c r="R630" s="14"/>
    </row>
    <row r="631" spans="1:18" ht="15" customHeight="1" x14ac:dyDescent="0.3">
      <c r="A631" s="15" t="s">
        <v>388</v>
      </c>
      <c r="B631" s="15" t="s">
        <v>389</v>
      </c>
      <c r="C631" s="16">
        <v>0.1701388888888889</v>
      </c>
      <c r="D631" s="15" t="s">
        <v>46</v>
      </c>
      <c r="E631" s="15" t="s">
        <v>38</v>
      </c>
      <c r="F631" s="15" t="s">
        <v>547</v>
      </c>
      <c r="G631" s="298"/>
      <c r="H631" s="10"/>
      <c r="I631" s="11"/>
      <c r="J631" s="11"/>
      <c r="K631" s="11"/>
      <c r="L631" s="11"/>
      <c r="M631" s="11"/>
      <c r="N631" s="11"/>
      <c r="O631" s="12"/>
      <c r="P631" s="11"/>
      <c r="Q631" s="13"/>
      <c r="R631" s="14"/>
    </row>
    <row r="632" spans="1:18" ht="15" customHeight="1" x14ac:dyDescent="0.3">
      <c r="A632" s="19" t="s">
        <v>41</v>
      </c>
      <c r="B632" s="19" t="s">
        <v>340</v>
      </c>
      <c r="C632" s="20">
        <v>0.39930555555555558</v>
      </c>
      <c r="D632" s="19" t="s">
        <v>43</v>
      </c>
      <c r="E632" s="19" t="s">
        <v>105</v>
      </c>
      <c r="F632" s="19" t="s">
        <v>478</v>
      </c>
      <c r="G632" s="298"/>
      <c r="H632" s="10"/>
      <c r="I632" s="11"/>
      <c r="J632" s="11"/>
      <c r="K632" s="11"/>
      <c r="L632" s="11"/>
      <c r="M632" s="11"/>
      <c r="N632" s="11"/>
      <c r="O632" s="12"/>
      <c r="P632" s="11"/>
      <c r="Q632" s="13"/>
      <c r="R632" s="14"/>
    </row>
    <row r="633" spans="1:18" ht="15" customHeight="1" x14ac:dyDescent="0.3">
      <c r="A633" s="15" t="s">
        <v>41</v>
      </c>
      <c r="B633" s="15" t="s">
        <v>340</v>
      </c>
      <c r="C633" s="16">
        <v>0.39930555555555558</v>
      </c>
      <c r="D633" s="15" t="s">
        <v>45</v>
      </c>
      <c r="E633" s="15" t="s">
        <v>106</v>
      </c>
      <c r="F633" s="15" t="s">
        <v>532</v>
      </c>
      <c r="G633" s="298"/>
      <c r="H633" s="10"/>
      <c r="I633" s="11"/>
      <c r="J633" s="11"/>
      <c r="K633" s="11"/>
      <c r="L633" s="11"/>
      <c r="M633" s="11"/>
      <c r="N633" s="11"/>
      <c r="O633" s="12"/>
      <c r="P633" s="11"/>
      <c r="Q633" s="13"/>
      <c r="R633" s="14"/>
    </row>
    <row r="634" spans="1:18" ht="15" customHeight="1" x14ac:dyDescent="0.3">
      <c r="A634" s="15" t="s">
        <v>41</v>
      </c>
      <c r="B634" s="15" t="s">
        <v>340</v>
      </c>
      <c r="C634" s="16">
        <v>0.39930555555555558</v>
      </c>
      <c r="D634" s="15" t="s">
        <v>46</v>
      </c>
      <c r="E634" s="15" t="s">
        <v>106</v>
      </c>
      <c r="F634" s="15" t="s">
        <v>120</v>
      </c>
      <c r="G634" s="298"/>
      <c r="H634" s="10"/>
      <c r="I634" s="11"/>
      <c r="J634" s="11"/>
      <c r="K634" s="11"/>
      <c r="L634" s="11"/>
      <c r="M634" s="11"/>
      <c r="N634" s="11"/>
      <c r="O634" s="12"/>
      <c r="P634" s="11"/>
      <c r="Q634" s="13"/>
      <c r="R634" s="14"/>
    </row>
    <row r="635" spans="1:18" ht="15" customHeight="1" x14ac:dyDescent="0.3">
      <c r="A635" s="17" t="s">
        <v>41</v>
      </c>
      <c r="B635" s="17" t="s">
        <v>344</v>
      </c>
      <c r="C635" s="18">
        <v>0.48958333333333331</v>
      </c>
      <c r="D635" s="17" t="s">
        <v>43</v>
      </c>
      <c r="E635" s="17" t="s">
        <v>58</v>
      </c>
      <c r="F635" s="17" t="s">
        <v>47</v>
      </c>
      <c r="G635" s="298"/>
      <c r="H635" s="10"/>
      <c r="I635" s="11"/>
      <c r="J635" s="11"/>
      <c r="K635" s="11"/>
      <c r="L635" s="11"/>
      <c r="M635" s="11"/>
      <c r="N635" s="11"/>
      <c r="O635" s="12"/>
      <c r="P635" s="11"/>
      <c r="Q635" s="13"/>
      <c r="R635" s="14"/>
    </row>
    <row r="636" spans="1:18" ht="15" customHeight="1" x14ac:dyDescent="0.3">
      <c r="A636" s="15" t="s">
        <v>41</v>
      </c>
      <c r="B636" s="15" t="s">
        <v>344</v>
      </c>
      <c r="C636" s="16">
        <v>0.48958333333333331</v>
      </c>
      <c r="D636" s="15" t="s">
        <v>45</v>
      </c>
      <c r="E636" s="15" t="s">
        <v>119</v>
      </c>
      <c r="F636" s="15" t="s">
        <v>146</v>
      </c>
      <c r="G636" s="298"/>
      <c r="H636" s="10"/>
      <c r="I636" s="11"/>
      <c r="J636" s="11"/>
      <c r="K636" s="11"/>
      <c r="L636" s="11"/>
      <c r="M636" s="11"/>
      <c r="N636" s="11"/>
      <c r="O636" s="12"/>
      <c r="P636" s="11"/>
      <c r="Q636" s="13"/>
      <c r="R636" s="14"/>
    </row>
    <row r="637" spans="1:18" ht="15" customHeight="1" x14ac:dyDescent="0.3">
      <c r="A637" s="15" t="s">
        <v>41</v>
      </c>
      <c r="B637" s="15" t="s">
        <v>344</v>
      </c>
      <c r="C637" s="16">
        <v>0.48958333333333331</v>
      </c>
      <c r="D637" s="15" t="s">
        <v>46</v>
      </c>
      <c r="E637" s="15" t="s">
        <v>119</v>
      </c>
      <c r="F637" s="15" t="s">
        <v>120</v>
      </c>
      <c r="G637" s="298"/>
      <c r="H637" s="10"/>
      <c r="I637" s="11"/>
      <c r="J637" s="11"/>
      <c r="K637" s="11"/>
      <c r="L637" s="11"/>
      <c r="M637" s="11"/>
      <c r="N637" s="11"/>
      <c r="O637" s="12"/>
      <c r="P637" s="11"/>
      <c r="Q637" s="13"/>
      <c r="R637" s="14"/>
    </row>
    <row r="638" spans="1:18" ht="15" customHeight="1" x14ac:dyDescent="0.3">
      <c r="A638" s="17" t="s">
        <v>41</v>
      </c>
      <c r="B638" s="17" t="s">
        <v>347</v>
      </c>
      <c r="C638" s="18">
        <v>0.88888888888888884</v>
      </c>
      <c r="D638" s="17" t="s">
        <v>43</v>
      </c>
      <c r="E638" s="17" t="s">
        <v>144</v>
      </c>
      <c r="F638" s="17" t="s">
        <v>47</v>
      </c>
      <c r="G638" s="298"/>
      <c r="H638" s="10"/>
      <c r="I638" s="11"/>
      <c r="J638" s="11"/>
      <c r="K638" s="11"/>
      <c r="L638" s="11"/>
      <c r="M638" s="11"/>
      <c r="N638" s="11"/>
      <c r="O638" s="12"/>
      <c r="P638" s="11"/>
      <c r="Q638" s="13"/>
      <c r="R638" s="14"/>
    </row>
    <row r="639" spans="1:18" ht="15" customHeight="1" x14ac:dyDescent="0.3">
      <c r="A639" s="15" t="s">
        <v>41</v>
      </c>
      <c r="B639" s="15" t="s">
        <v>347</v>
      </c>
      <c r="C639" s="16">
        <v>0.88888888888888884</v>
      </c>
      <c r="D639" s="15" t="s">
        <v>45</v>
      </c>
      <c r="E639" s="15" t="s">
        <v>133</v>
      </c>
      <c r="F639" s="15" t="s">
        <v>146</v>
      </c>
      <c r="G639" s="298"/>
      <c r="H639" s="10"/>
      <c r="I639" s="11"/>
      <c r="J639" s="11"/>
      <c r="K639" s="11"/>
      <c r="L639" s="11"/>
      <c r="M639" s="11"/>
      <c r="N639" s="11"/>
      <c r="O639" s="12"/>
      <c r="P639" s="11"/>
      <c r="Q639" s="13"/>
      <c r="R639" s="14"/>
    </row>
    <row r="640" spans="1:18" ht="15" customHeight="1" x14ac:dyDescent="0.3">
      <c r="A640" s="15" t="s">
        <v>41</v>
      </c>
      <c r="B640" s="15" t="s">
        <v>347</v>
      </c>
      <c r="C640" s="16">
        <v>0.88888888888888884</v>
      </c>
      <c r="D640" s="15" t="s">
        <v>46</v>
      </c>
      <c r="E640" s="15" t="s">
        <v>133</v>
      </c>
      <c r="F640" s="15" t="s">
        <v>120</v>
      </c>
      <c r="G640" s="298"/>
      <c r="H640" s="10"/>
      <c r="I640" s="11"/>
      <c r="J640" s="11"/>
      <c r="K640" s="11"/>
      <c r="L640" s="11"/>
      <c r="M640" s="11"/>
      <c r="N640" s="11"/>
      <c r="O640" s="12"/>
      <c r="P640" s="11"/>
      <c r="Q640" s="13"/>
      <c r="R640" s="14"/>
    </row>
    <row r="641" spans="1:18" ht="15" customHeight="1" x14ac:dyDescent="0.3">
      <c r="A641" s="17" t="s">
        <v>41</v>
      </c>
      <c r="B641" s="17" t="s">
        <v>336</v>
      </c>
      <c r="C641" s="18">
        <v>0.98958333333333337</v>
      </c>
      <c r="D641" s="17" t="s">
        <v>43</v>
      </c>
      <c r="E641" s="17" t="s">
        <v>454</v>
      </c>
      <c r="F641" s="17" t="s">
        <v>47</v>
      </c>
      <c r="G641" s="298"/>
      <c r="H641" s="10"/>
      <c r="I641" s="11"/>
      <c r="J641" s="11"/>
      <c r="K641" s="11"/>
      <c r="L641" s="11"/>
      <c r="M641" s="11"/>
      <c r="N641" s="11"/>
      <c r="O641" s="12"/>
      <c r="P641" s="11"/>
      <c r="Q641" s="13"/>
      <c r="R641" s="14"/>
    </row>
    <row r="642" spans="1:18" ht="15" customHeight="1" x14ac:dyDescent="0.3">
      <c r="A642" s="15" t="s">
        <v>41</v>
      </c>
      <c r="B642" s="15" t="s">
        <v>336</v>
      </c>
      <c r="C642" s="16">
        <v>0.98958333333333337</v>
      </c>
      <c r="D642" s="15" t="s">
        <v>45</v>
      </c>
      <c r="E642" s="15" t="s">
        <v>106</v>
      </c>
      <c r="F642" s="15" t="s">
        <v>146</v>
      </c>
      <c r="G642" s="298"/>
      <c r="H642" s="10"/>
      <c r="I642" s="11"/>
      <c r="J642" s="11"/>
      <c r="K642" s="11"/>
      <c r="L642" s="11"/>
      <c r="M642" s="11"/>
      <c r="N642" s="11"/>
      <c r="O642" s="12"/>
      <c r="P642" s="11"/>
      <c r="Q642" s="13"/>
      <c r="R642" s="14"/>
    </row>
    <row r="643" spans="1:18" ht="15" customHeight="1" x14ac:dyDescent="0.3">
      <c r="A643" s="15" t="s">
        <v>41</v>
      </c>
      <c r="B643" s="15" t="s">
        <v>336</v>
      </c>
      <c r="C643" s="16">
        <v>0.98958333333333337</v>
      </c>
      <c r="D643" s="15" t="s">
        <v>46</v>
      </c>
      <c r="E643" s="15" t="s">
        <v>106</v>
      </c>
      <c r="F643" s="15" t="s">
        <v>529</v>
      </c>
      <c r="G643" s="298"/>
      <c r="H643" s="10"/>
      <c r="I643" s="11"/>
      <c r="J643" s="11"/>
      <c r="K643" s="11"/>
      <c r="L643" s="11"/>
      <c r="M643" s="11"/>
      <c r="N643" s="11"/>
      <c r="O643" s="12"/>
      <c r="P643" s="11"/>
      <c r="Q643" s="13"/>
      <c r="R643" s="14"/>
    </row>
    <row r="644" spans="1:18" ht="15" customHeight="1" x14ac:dyDescent="0.3">
      <c r="A644" s="19" t="s">
        <v>385</v>
      </c>
      <c r="B644" s="19" t="s">
        <v>435</v>
      </c>
      <c r="C644" s="20">
        <v>4.1666666666666657E-2</v>
      </c>
      <c r="D644" s="19" t="s">
        <v>101</v>
      </c>
      <c r="E644" s="19" t="s">
        <v>63</v>
      </c>
      <c r="F644" s="19" t="s">
        <v>548</v>
      </c>
      <c r="G644" s="298"/>
      <c r="H644" s="10"/>
      <c r="I644" s="11"/>
      <c r="J644" s="11"/>
      <c r="K644" s="11"/>
      <c r="L644" s="11"/>
      <c r="M644" s="11"/>
      <c r="N644" s="11"/>
      <c r="O644" s="12"/>
      <c r="P644" s="11"/>
      <c r="Q644" s="13"/>
      <c r="R644" s="14"/>
    </row>
    <row r="645" spans="1:18" ht="15" customHeight="1" x14ac:dyDescent="0.3">
      <c r="A645" s="17" t="s">
        <v>385</v>
      </c>
      <c r="B645" s="17" t="s">
        <v>386</v>
      </c>
      <c r="C645" s="18">
        <v>0.49305555555555558</v>
      </c>
      <c r="D645" s="17" t="s">
        <v>101</v>
      </c>
      <c r="E645" s="17" t="s">
        <v>54</v>
      </c>
      <c r="F645" s="17" t="s">
        <v>549</v>
      </c>
      <c r="G645" s="298"/>
      <c r="H645" s="10"/>
      <c r="I645" s="11"/>
      <c r="J645" s="11"/>
      <c r="K645" s="11"/>
      <c r="L645" s="11"/>
      <c r="M645" s="11"/>
      <c r="N645" s="11"/>
      <c r="O645" s="12"/>
      <c r="P645" s="11"/>
      <c r="Q645" s="13"/>
      <c r="R645" s="14"/>
    </row>
    <row r="646" spans="1:18" ht="15" customHeight="1" x14ac:dyDescent="0.3">
      <c r="A646" s="19" t="s">
        <v>26</v>
      </c>
      <c r="B646" s="19" t="s">
        <v>354</v>
      </c>
      <c r="C646" s="20">
        <v>0.34722222222222232</v>
      </c>
      <c r="D646" s="19" t="s">
        <v>28</v>
      </c>
      <c r="E646" s="19" t="s">
        <v>85</v>
      </c>
      <c r="F646" s="19" t="s">
        <v>47</v>
      </c>
      <c r="G646" s="298"/>
      <c r="H646" s="10"/>
      <c r="I646" s="11"/>
      <c r="J646" s="11"/>
      <c r="K646" s="11"/>
      <c r="L646" s="11"/>
      <c r="M646" s="11"/>
      <c r="N646" s="11"/>
      <c r="O646" s="12"/>
      <c r="P646" s="11"/>
      <c r="Q646" s="13"/>
      <c r="R646" s="14"/>
    </row>
    <row r="647" spans="1:18" ht="15" customHeight="1" x14ac:dyDescent="0.3">
      <c r="A647" s="15" t="s">
        <v>26</v>
      </c>
      <c r="B647" s="15" t="s">
        <v>354</v>
      </c>
      <c r="C647" s="16">
        <v>0.34722222222222232</v>
      </c>
      <c r="D647" s="15" t="s">
        <v>31</v>
      </c>
      <c r="E647" s="15" t="s">
        <v>87</v>
      </c>
      <c r="F647" s="15" t="s">
        <v>532</v>
      </c>
      <c r="G647" s="298"/>
      <c r="H647" s="10"/>
      <c r="I647" s="11"/>
      <c r="J647" s="11"/>
      <c r="K647" s="11"/>
      <c r="L647" s="11"/>
      <c r="M647" s="11"/>
      <c r="N647" s="11"/>
      <c r="O647" s="12"/>
      <c r="P647" s="11"/>
      <c r="Q647" s="13"/>
      <c r="R647" s="14"/>
    </row>
    <row r="648" spans="1:18" ht="15" customHeight="1" x14ac:dyDescent="0.3">
      <c r="A648" s="15" t="s">
        <v>26</v>
      </c>
      <c r="B648" s="15" t="s">
        <v>354</v>
      </c>
      <c r="C648" s="16">
        <v>0.34722222222222232</v>
      </c>
      <c r="D648" s="15" t="s">
        <v>34</v>
      </c>
      <c r="E648" s="15" t="s">
        <v>87</v>
      </c>
      <c r="F648" s="15" t="s">
        <v>533</v>
      </c>
      <c r="G648" s="298"/>
      <c r="H648" s="10"/>
      <c r="I648" s="11"/>
      <c r="J648" s="11"/>
      <c r="K648" s="11"/>
      <c r="L648" s="11"/>
      <c r="M648" s="11"/>
      <c r="N648" s="11"/>
      <c r="O648" s="12"/>
      <c r="P648" s="11"/>
      <c r="Q648" s="13"/>
      <c r="R648" s="14"/>
    </row>
    <row r="649" spans="1:18" ht="15" customHeight="1" x14ac:dyDescent="0.3">
      <c r="A649" s="17" t="s">
        <v>26</v>
      </c>
      <c r="B649" s="17" t="s">
        <v>350</v>
      </c>
      <c r="C649" s="18">
        <v>0.99305555555555547</v>
      </c>
      <c r="D649" s="17" t="s">
        <v>28</v>
      </c>
      <c r="E649" s="17" t="s">
        <v>37</v>
      </c>
      <c r="F649" s="17" t="s">
        <v>532</v>
      </c>
      <c r="G649" s="298"/>
      <c r="H649" s="10"/>
      <c r="I649" s="11"/>
      <c r="J649" s="11"/>
      <c r="K649" s="11"/>
      <c r="L649" s="11"/>
      <c r="M649" s="11"/>
      <c r="N649" s="11"/>
      <c r="O649" s="12"/>
      <c r="P649" s="11"/>
      <c r="Q649" s="13"/>
      <c r="R649" s="14"/>
    </row>
    <row r="650" spans="1:18" ht="15" customHeight="1" x14ac:dyDescent="0.3">
      <c r="A650" s="15" t="s">
        <v>26</v>
      </c>
      <c r="B650" s="15" t="s">
        <v>350</v>
      </c>
      <c r="C650" s="16">
        <v>0.99305555555555547</v>
      </c>
      <c r="D650" s="15" t="s">
        <v>31</v>
      </c>
      <c r="E650" s="15" t="s">
        <v>38</v>
      </c>
      <c r="F650" s="15" t="s">
        <v>534</v>
      </c>
      <c r="G650" s="298"/>
      <c r="H650" s="10"/>
      <c r="I650" s="11"/>
      <c r="J650" s="11"/>
      <c r="K650" s="11"/>
      <c r="L650" s="11"/>
      <c r="M650" s="11"/>
      <c r="N650" s="11"/>
      <c r="O650" s="12"/>
      <c r="P650" s="11"/>
      <c r="Q650" s="13"/>
      <c r="R650" s="14"/>
    </row>
    <row r="651" spans="1:18" ht="15" customHeight="1" x14ac:dyDescent="0.3">
      <c r="A651" s="15" t="s">
        <v>26</v>
      </c>
      <c r="B651" s="15" t="s">
        <v>350</v>
      </c>
      <c r="C651" s="16">
        <v>0.99305555555555547</v>
      </c>
      <c r="D651" s="15" t="s">
        <v>34</v>
      </c>
      <c r="E651" s="15" t="s">
        <v>38</v>
      </c>
      <c r="F651" s="15" t="s">
        <v>535</v>
      </c>
      <c r="G651" s="298"/>
      <c r="H651" s="10"/>
      <c r="I651" s="11"/>
      <c r="J651" s="11"/>
      <c r="K651" s="11"/>
      <c r="L651" s="11"/>
      <c r="M651" s="11"/>
      <c r="N651" s="11"/>
      <c r="O651" s="12"/>
      <c r="P651" s="11"/>
      <c r="Q651" s="13"/>
      <c r="R651" s="14"/>
    </row>
    <row r="652" spans="1:18" ht="15" customHeight="1" x14ac:dyDescent="0.3">
      <c r="A652" s="17" t="s">
        <v>26</v>
      </c>
      <c r="B652" s="17" t="s">
        <v>352</v>
      </c>
      <c r="C652" s="18">
        <v>0.94444444444444453</v>
      </c>
      <c r="D652" s="17" t="s">
        <v>28</v>
      </c>
      <c r="E652" s="17" t="s">
        <v>58</v>
      </c>
      <c r="F652" s="17" t="s">
        <v>532</v>
      </c>
      <c r="G652" s="298"/>
      <c r="H652" s="10"/>
      <c r="I652" s="11"/>
      <c r="J652" s="11"/>
      <c r="K652" s="11"/>
      <c r="L652" s="11"/>
      <c r="M652" s="11"/>
      <c r="N652" s="11"/>
      <c r="O652" s="12"/>
      <c r="P652" s="11"/>
      <c r="Q652" s="13"/>
      <c r="R652" s="14"/>
    </row>
    <row r="653" spans="1:18" ht="15" customHeight="1" x14ac:dyDescent="0.3">
      <c r="A653" s="15" t="s">
        <v>26</v>
      </c>
      <c r="B653" s="15" t="s">
        <v>352</v>
      </c>
      <c r="C653" s="16">
        <v>0.94444444444444453</v>
      </c>
      <c r="D653" s="15" t="s">
        <v>31</v>
      </c>
      <c r="E653" s="15" t="s">
        <v>119</v>
      </c>
      <c r="F653" s="15" t="s">
        <v>534</v>
      </c>
      <c r="G653" s="298"/>
      <c r="H653" s="10"/>
      <c r="I653" s="11"/>
      <c r="J653" s="11"/>
      <c r="K653" s="11"/>
      <c r="L653" s="11"/>
      <c r="M653" s="11"/>
      <c r="N653" s="11"/>
      <c r="O653" s="12"/>
      <c r="P653" s="11"/>
      <c r="Q653" s="13"/>
      <c r="R653" s="14"/>
    </row>
    <row r="654" spans="1:18" ht="15" customHeight="1" x14ac:dyDescent="0.3">
      <c r="A654" s="15" t="s">
        <v>26</v>
      </c>
      <c r="B654" s="15" t="s">
        <v>352</v>
      </c>
      <c r="C654" s="16">
        <v>0.94444444444444453</v>
      </c>
      <c r="D654" s="15" t="s">
        <v>34</v>
      </c>
      <c r="E654" s="15" t="s">
        <v>119</v>
      </c>
      <c r="F654" s="15" t="s">
        <v>535</v>
      </c>
      <c r="G654" s="298"/>
      <c r="H654" s="10"/>
      <c r="I654" s="11"/>
      <c r="J654" s="11"/>
      <c r="K654" s="11"/>
      <c r="L654" s="11"/>
      <c r="M654" s="11"/>
      <c r="N654" s="11"/>
      <c r="O654" s="12"/>
      <c r="P654" s="11"/>
      <c r="Q654" s="13"/>
      <c r="R654" s="14"/>
    </row>
    <row r="655" spans="1:18" ht="15" customHeight="1" x14ac:dyDescent="0.3">
      <c r="A655" s="17" t="s">
        <v>26</v>
      </c>
      <c r="B655" s="17" t="s">
        <v>360</v>
      </c>
      <c r="C655" s="18">
        <v>0.4861111111111111</v>
      </c>
      <c r="D655" s="17" t="s">
        <v>28</v>
      </c>
      <c r="E655" s="17" t="s">
        <v>58</v>
      </c>
      <c r="F655" s="17" t="s">
        <v>532</v>
      </c>
      <c r="G655" s="298"/>
      <c r="H655" s="10"/>
      <c r="I655" s="11"/>
      <c r="J655" s="11"/>
      <c r="K655" s="11"/>
      <c r="L655" s="11"/>
      <c r="M655" s="11"/>
      <c r="N655" s="11"/>
      <c r="O655" s="12"/>
      <c r="P655" s="11"/>
      <c r="Q655" s="13"/>
      <c r="R655" s="14"/>
    </row>
    <row r="656" spans="1:18" ht="15" customHeight="1" x14ac:dyDescent="0.3">
      <c r="A656" s="15" t="s">
        <v>26</v>
      </c>
      <c r="B656" s="15" t="s">
        <v>360</v>
      </c>
      <c r="C656" s="16">
        <v>0.4861111111111111</v>
      </c>
      <c r="D656" s="15" t="s">
        <v>31</v>
      </c>
      <c r="E656" s="15" t="s">
        <v>119</v>
      </c>
      <c r="F656" s="15" t="s">
        <v>534</v>
      </c>
      <c r="G656" s="298"/>
      <c r="H656" s="10"/>
      <c r="I656" s="11"/>
      <c r="J656" s="11"/>
      <c r="K656" s="11"/>
      <c r="L656" s="11"/>
      <c r="M656" s="11"/>
      <c r="N656" s="11"/>
      <c r="O656" s="12"/>
      <c r="P656" s="11"/>
      <c r="Q656" s="13"/>
      <c r="R656" s="14"/>
    </row>
    <row r="657" spans="1:18" ht="15" customHeight="1" x14ac:dyDescent="0.3">
      <c r="A657" s="15" t="s">
        <v>26</v>
      </c>
      <c r="B657" s="15" t="s">
        <v>360</v>
      </c>
      <c r="C657" s="16">
        <v>0.4861111111111111</v>
      </c>
      <c r="D657" s="15" t="s">
        <v>34</v>
      </c>
      <c r="E657" s="15" t="s">
        <v>119</v>
      </c>
      <c r="F657" s="15" t="s">
        <v>535</v>
      </c>
      <c r="G657" s="298"/>
      <c r="H657" s="10"/>
      <c r="I657" s="11"/>
      <c r="J657" s="11"/>
      <c r="K657" s="11"/>
      <c r="L657" s="11"/>
      <c r="M657" s="11"/>
      <c r="N657" s="11"/>
      <c r="O657" s="12"/>
      <c r="P657" s="11"/>
      <c r="Q657" s="13"/>
      <c r="R657" s="14"/>
    </row>
    <row r="658" spans="1:18" ht="15" customHeight="1" x14ac:dyDescent="0.3">
      <c r="A658" s="17" t="s">
        <v>26</v>
      </c>
      <c r="B658" s="17" t="s">
        <v>358</v>
      </c>
      <c r="C658" s="18">
        <v>0.88888888888888884</v>
      </c>
      <c r="D658" s="17" t="s">
        <v>28</v>
      </c>
      <c r="E658" s="17" t="s">
        <v>69</v>
      </c>
      <c r="F658" s="17" t="s">
        <v>532</v>
      </c>
      <c r="G658" s="298"/>
      <c r="H658" s="10"/>
      <c r="I658" s="11"/>
      <c r="J658" s="11"/>
      <c r="K658" s="11"/>
      <c r="L658" s="11"/>
      <c r="M658" s="11"/>
      <c r="N658" s="11"/>
      <c r="O658" s="12"/>
      <c r="P658" s="11"/>
      <c r="Q658" s="13"/>
      <c r="R658" s="14"/>
    </row>
    <row r="659" spans="1:18" ht="15" customHeight="1" x14ac:dyDescent="0.3">
      <c r="A659" s="15" t="s">
        <v>26</v>
      </c>
      <c r="B659" s="15" t="s">
        <v>358</v>
      </c>
      <c r="C659" s="16">
        <v>0.88888888888888884</v>
      </c>
      <c r="D659" s="15" t="s">
        <v>31</v>
      </c>
      <c r="E659" s="15" t="s">
        <v>87</v>
      </c>
      <c r="F659" s="15" t="s">
        <v>534</v>
      </c>
      <c r="G659" s="298"/>
      <c r="H659" s="10"/>
      <c r="I659" s="11"/>
      <c r="J659" s="11"/>
      <c r="K659" s="11"/>
      <c r="L659" s="11"/>
      <c r="M659" s="11"/>
      <c r="N659" s="11"/>
      <c r="O659" s="12"/>
      <c r="P659" s="11"/>
      <c r="Q659" s="13"/>
      <c r="R659" s="14"/>
    </row>
    <row r="660" spans="1:18" ht="15" customHeight="1" x14ac:dyDescent="0.3">
      <c r="A660" s="15" t="s">
        <v>26</v>
      </c>
      <c r="B660" s="15" t="s">
        <v>358</v>
      </c>
      <c r="C660" s="16">
        <v>0.88888888888888884</v>
      </c>
      <c r="D660" s="15" t="s">
        <v>34</v>
      </c>
      <c r="E660" s="15" t="s">
        <v>87</v>
      </c>
      <c r="F660" s="15" t="s">
        <v>535</v>
      </c>
      <c r="G660" s="298"/>
      <c r="H660" s="10"/>
      <c r="I660" s="11"/>
      <c r="J660" s="11"/>
      <c r="K660" s="11"/>
      <c r="L660" s="11"/>
      <c r="M660" s="11"/>
      <c r="N660" s="11"/>
      <c r="O660" s="12"/>
      <c r="P660" s="11"/>
      <c r="Q660" s="13"/>
      <c r="R660" s="14"/>
    </row>
    <row r="661" spans="1:18" ht="15" customHeight="1" x14ac:dyDescent="0.3">
      <c r="A661" s="17" t="s">
        <v>26</v>
      </c>
      <c r="B661" s="17" t="s">
        <v>359</v>
      </c>
      <c r="C661" s="18">
        <v>0.75</v>
      </c>
      <c r="D661" s="17" t="s">
        <v>28</v>
      </c>
      <c r="E661" s="17" t="s">
        <v>37</v>
      </c>
      <c r="F661" s="17" t="s">
        <v>550</v>
      </c>
      <c r="G661" s="298"/>
      <c r="H661" s="10"/>
      <c r="I661" s="11"/>
      <c r="J661" s="11"/>
      <c r="K661" s="11"/>
      <c r="L661" s="11"/>
      <c r="M661" s="11"/>
      <c r="N661" s="11"/>
      <c r="O661" s="12"/>
      <c r="P661" s="11"/>
      <c r="Q661" s="13"/>
      <c r="R661" s="14"/>
    </row>
    <row r="662" spans="1:18" ht="15" customHeight="1" x14ac:dyDescent="0.3">
      <c r="A662" s="15" t="s">
        <v>26</v>
      </c>
      <c r="B662" s="15" t="s">
        <v>359</v>
      </c>
      <c r="C662" s="16">
        <v>0.75</v>
      </c>
      <c r="D662" s="15" t="s">
        <v>31</v>
      </c>
      <c r="E662" s="15" t="s">
        <v>38</v>
      </c>
      <c r="F662" s="15" t="s">
        <v>551</v>
      </c>
      <c r="G662" s="298"/>
      <c r="H662" s="10"/>
      <c r="I662" s="11"/>
      <c r="J662" s="11"/>
      <c r="K662" s="11"/>
      <c r="L662" s="11"/>
      <c r="M662" s="11"/>
      <c r="N662" s="11"/>
      <c r="O662" s="12"/>
      <c r="P662" s="11"/>
      <c r="Q662" s="13"/>
      <c r="R662" s="14"/>
    </row>
    <row r="663" spans="1:18" ht="15" customHeight="1" x14ac:dyDescent="0.3">
      <c r="A663" s="15" t="s">
        <v>26</v>
      </c>
      <c r="B663" s="15" t="s">
        <v>359</v>
      </c>
      <c r="C663" s="16">
        <v>0.75</v>
      </c>
      <c r="D663" s="15" t="s">
        <v>34</v>
      </c>
      <c r="E663" s="15" t="s">
        <v>38</v>
      </c>
      <c r="F663" s="15" t="s">
        <v>552</v>
      </c>
      <c r="G663" s="298"/>
      <c r="H663" s="10"/>
      <c r="I663" s="11"/>
      <c r="J663" s="11"/>
      <c r="K663" s="11"/>
      <c r="L663" s="11"/>
      <c r="M663" s="11"/>
      <c r="N663" s="11"/>
      <c r="O663" s="12"/>
      <c r="P663" s="11"/>
      <c r="Q663" s="13"/>
      <c r="R663" s="14"/>
    </row>
    <row r="664" spans="1:18" ht="15" customHeight="1" x14ac:dyDescent="0.3">
      <c r="A664" s="17" t="s">
        <v>26</v>
      </c>
      <c r="B664" s="17" t="s">
        <v>356</v>
      </c>
      <c r="C664" s="18">
        <v>0.83680555555555547</v>
      </c>
      <c r="D664" s="17" t="s">
        <v>28</v>
      </c>
      <c r="E664" s="17" t="s">
        <v>37</v>
      </c>
      <c r="F664" s="17" t="s">
        <v>550</v>
      </c>
      <c r="G664" s="298"/>
      <c r="H664" s="10"/>
      <c r="I664" s="11"/>
      <c r="J664" s="11"/>
      <c r="K664" s="11"/>
      <c r="L664" s="11"/>
      <c r="M664" s="11"/>
      <c r="N664" s="11"/>
      <c r="O664" s="12"/>
      <c r="P664" s="11"/>
      <c r="Q664" s="13"/>
      <c r="R664" s="14"/>
    </row>
    <row r="665" spans="1:18" ht="15" customHeight="1" x14ac:dyDescent="0.3">
      <c r="A665" s="15" t="s">
        <v>26</v>
      </c>
      <c r="B665" s="15" t="s">
        <v>356</v>
      </c>
      <c r="C665" s="16">
        <v>0.83680555555555547</v>
      </c>
      <c r="D665" s="15" t="s">
        <v>31</v>
      </c>
      <c r="E665" s="15" t="s">
        <v>38</v>
      </c>
      <c r="F665" s="15" t="s">
        <v>551</v>
      </c>
      <c r="G665" s="298"/>
      <c r="H665" s="10"/>
      <c r="I665" s="11"/>
      <c r="J665" s="11"/>
      <c r="K665" s="11"/>
      <c r="L665" s="11"/>
      <c r="M665" s="11"/>
      <c r="N665" s="11"/>
      <c r="O665" s="12"/>
      <c r="P665" s="11"/>
      <c r="Q665" s="13"/>
      <c r="R665" s="14"/>
    </row>
    <row r="666" spans="1:18" ht="15" customHeight="1" x14ac:dyDescent="0.3">
      <c r="A666" s="15" t="s">
        <v>26</v>
      </c>
      <c r="B666" s="15" t="s">
        <v>356</v>
      </c>
      <c r="C666" s="16">
        <v>0.83680555555555547</v>
      </c>
      <c r="D666" s="15" t="s">
        <v>34</v>
      </c>
      <c r="E666" s="15" t="s">
        <v>38</v>
      </c>
      <c r="F666" s="15" t="s">
        <v>552</v>
      </c>
      <c r="G666" s="298"/>
      <c r="H666" s="10"/>
      <c r="I666" s="11"/>
      <c r="J666" s="11"/>
      <c r="K666" s="11"/>
      <c r="L666" s="11"/>
      <c r="M666" s="11"/>
      <c r="N666" s="11"/>
      <c r="O666" s="12"/>
      <c r="P666" s="11"/>
      <c r="Q666" s="13"/>
      <c r="R666" s="14"/>
    </row>
    <row r="667" spans="1:18" ht="15" customHeight="1" x14ac:dyDescent="0.3">
      <c r="A667" s="204" t="s">
        <v>77</v>
      </c>
      <c r="B667" s="204" t="s">
        <v>378</v>
      </c>
      <c r="C667" s="205">
        <v>0.90625</v>
      </c>
      <c r="D667" s="204" t="s">
        <v>101</v>
      </c>
      <c r="E667" s="204" t="s">
        <v>111</v>
      </c>
      <c r="F667" s="204" t="s">
        <v>541</v>
      </c>
      <c r="G667" s="298"/>
      <c r="H667" s="206" t="s">
        <v>380</v>
      </c>
      <c r="I667" s="225">
        <v>0.89439999999999997</v>
      </c>
      <c r="J667" s="208">
        <v>161</v>
      </c>
      <c r="K667" s="209">
        <v>45979</v>
      </c>
      <c r="L667" s="208">
        <v>36</v>
      </c>
      <c r="M667" s="208">
        <v>0</v>
      </c>
      <c r="N667" s="208">
        <v>12</v>
      </c>
      <c r="O667" s="210" t="s">
        <v>250</v>
      </c>
      <c r="P667" s="211">
        <v>0.90625</v>
      </c>
      <c r="Q667" s="208">
        <v>180</v>
      </c>
      <c r="R667" s="212" t="s">
        <v>553</v>
      </c>
    </row>
    <row r="668" spans="1:18" ht="15" customHeight="1" x14ac:dyDescent="0.3">
      <c r="A668" s="198" t="s">
        <v>77</v>
      </c>
      <c r="B668" s="198" t="s">
        <v>371</v>
      </c>
      <c r="C668" s="199">
        <v>4.8611111111111112E-2</v>
      </c>
      <c r="D668" s="198" t="s">
        <v>79</v>
      </c>
      <c r="E668" s="226"/>
      <c r="F668" s="198" t="s">
        <v>80</v>
      </c>
      <c r="G668" s="298"/>
      <c r="H668" s="131" t="s">
        <v>371</v>
      </c>
      <c r="I668" s="132">
        <v>1.0333000000000001</v>
      </c>
      <c r="J668" s="133">
        <v>186</v>
      </c>
      <c r="K668" s="134">
        <v>45974</v>
      </c>
      <c r="L668" s="133">
        <v>1</v>
      </c>
      <c r="M668" s="133">
        <v>0</v>
      </c>
      <c r="N668" s="133">
        <v>0</v>
      </c>
      <c r="O668" s="135" t="s">
        <v>81</v>
      </c>
      <c r="P668" s="136">
        <v>4.8611111111111112E-2</v>
      </c>
      <c r="Q668" s="133">
        <v>180</v>
      </c>
      <c r="R668" s="137" t="s">
        <v>554</v>
      </c>
    </row>
    <row r="669" spans="1:18" ht="15" customHeight="1" x14ac:dyDescent="0.3">
      <c r="A669" s="213" t="s">
        <v>77</v>
      </c>
      <c r="B669" s="213" t="s">
        <v>375</v>
      </c>
      <c r="C669" s="214">
        <v>0.15625</v>
      </c>
      <c r="D669" s="213" t="s">
        <v>79</v>
      </c>
      <c r="E669" s="227"/>
      <c r="F669" s="213" t="s">
        <v>80</v>
      </c>
      <c r="G669" s="298"/>
      <c r="H669" s="57" t="s">
        <v>375</v>
      </c>
      <c r="I669" s="58">
        <v>1.0056</v>
      </c>
      <c r="J669" s="59">
        <v>181</v>
      </c>
      <c r="K669" s="60">
        <v>45952</v>
      </c>
      <c r="L669" s="59">
        <v>0</v>
      </c>
      <c r="M669" s="59">
        <v>0</v>
      </c>
      <c r="N669" s="59">
        <v>0</v>
      </c>
      <c r="O669" s="61" t="s">
        <v>81</v>
      </c>
      <c r="P669" s="62">
        <v>0.15625</v>
      </c>
      <c r="Q669" s="59">
        <v>180</v>
      </c>
      <c r="R669" s="63" t="s">
        <v>555</v>
      </c>
    </row>
    <row r="670" spans="1:18" ht="15" customHeight="1" x14ac:dyDescent="0.3">
      <c r="A670" s="191" t="s">
        <v>77</v>
      </c>
      <c r="B670" s="191" t="s">
        <v>383</v>
      </c>
      <c r="C670" s="192">
        <v>0.50347222222222221</v>
      </c>
      <c r="D670" s="191" t="s">
        <v>79</v>
      </c>
      <c r="E670" s="228"/>
      <c r="F670" s="191" t="s">
        <v>80</v>
      </c>
      <c r="G670" s="298"/>
      <c r="H670" s="147" t="s">
        <v>383</v>
      </c>
      <c r="I670" s="148">
        <v>1</v>
      </c>
      <c r="J670" s="149">
        <v>180</v>
      </c>
      <c r="K670" s="150">
        <v>45973</v>
      </c>
      <c r="L670" s="149">
        <v>6</v>
      </c>
      <c r="M670" s="149">
        <v>0</v>
      </c>
      <c r="N670" s="149">
        <v>0</v>
      </c>
      <c r="O670" s="151" t="s">
        <v>81</v>
      </c>
      <c r="P670" s="152">
        <v>0.50347222222222221</v>
      </c>
      <c r="Q670" s="149">
        <v>180</v>
      </c>
      <c r="R670" s="153" t="s">
        <v>556</v>
      </c>
    </row>
    <row r="671" spans="1:18" ht="15" customHeight="1" x14ac:dyDescent="0.3">
      <c r="A671" s="19" t="s">
        <v>48</v>
      </c>
      <c r="B671" s="19" t="s">
        <v>410</v>
      </c>
      <c r="C671" s="20">
        <v>0.97222222222222221</v>
      </c>
      <c r="D671" s="19" t="s">
        <v>50</v>
      </c>
      <c r="E671" s="19" t="s">
        <v>63</v>
      </c>
      <c r="F671" s="19" t="s">
        <v>407</v>
      </c>
      <c r="G671" s="298"/>
      <c r="H671" s="10"/>
      <c r="I671" s="11"/>
      <c r="J671" s="11"/>
      <c r="K671" s="11"/>
      <c r="L671" s="11"/>
      <c r="M671" s="11"/>
      <c r="N671" s="11"/>
      <c r="O671" s="12"/>
      <c r="P671" s="11"/>
      <c r="Q671" s="13"/>
      <c r="R671" s="14"/>
    </row>
    <row r="672" spans="1:18" ht="15" customHeight="1" x14ac:dyDescent="0.3">
      <c r="A672" s="17" t="s">
        <v>48</v>
      </c>
      <c r="B672" s="17" t="s">
        <v>411</v>
      </c>
      <c r="C672" s="18">
        <v>0.1076388888888889</v>
      </c>
      <c r="D672" s="17" t="s">
        <v>50</v>
      </c>
      <c r="E672" s="17" t="s">
        <v>54</v>
      </c>
      <c r="F672" s="17" t="s">
        <v>557</v>
      </c>
      <c r="G672" s="298"/>
      <c r="H672" s="10"/>
      <c r="I672" s="11"/>
      <c r="J672" s="11"/>
      <c r="K672" s="11"/>
      <c r="L672" s="11"/>
      <c r="M672" s="11"/>
      <c r="N672" s="11"/>
      <c r="O672" s="12"/>
      <c r="P672" s="11"/>
      <c r="Q672" s="13"/>
      <c r="R672" s="14"/>
    </row>
    <row r="673" spans="1:18" ht="15" customHeight="1" x14ac:dyDescent="0.3">
      <c r="A673" s="17" t="s">
        <v>48</v>
      </c>
      <c r="B673" s="17" t="s">
        <v>415</v>
      </c>
      <c r="C673" s="18">
        <v>4.8611111111111112E-2</v>
      </c>
      <c r="D673" s="17" t="s">
        <v>50</v>
      </c>
      <c r="E673" s="17" t="s">
        <v>54</v>
      </c>
      <c r="F673" s="17" t="s">
        <v>557</v>
      </c>
      <c r="G673" s="298"/>
      <c r="H673" s="10"/>
      <c r="I673" s="11"/>
      <c r="J673" s="11"/>
      <c r="K673" s="11"/>
      <c r="L673" s="11"/>
      <c r="M673" s="11"/>
      <c r="N673" s="11"/>
      <c r="O673" s="12"/>
      <c r="P673" s="11"/>
      <c r="Q673" s="13"/>
      <c r="R673" s="14"/>
    </row>
    <row r="674" spans="1:18" ht="15" customHeight="1" x14ac:dyDescent="0.3">
      <c r="A674" s="17" t="s">
        <v>48</v>
      </c>
      <c r="B674" s="17" t="s">
        <v>408</v>
      </c>
      <c r="C674" s="18">
        <v>0.3125</v>
      </c>
      <c r="D674" s="17" t="s">
        <v>50</v>
      </c>
      <c r="E674" s="17" t="s">
        <v>54</v>
      </c>
      <c r="F674" s="17" t="s">
        <v>464</v>
      </c>
      <c r="G674" s="298"/>
      <c r="H674" s="10"/>
      <c r="I674" s="11"/>
      <c r="J674" s="11"/>
      <c r="K674" s="11"/>
      <c r="L674" s="11"/>
      <c r="M674" s="11"/>
      <c r="N674" s="11"/>
      <c r="O674" s="12"/>
      <c r="P674" s="11"/>
      <c r="Q674" s="13"/>
      <c r="R674" s="14"/>
    </row>
    <row r="675" spans="1:18" ht="15" customHeight="1" x14ac:dyDescent="0.3">
      <c r="A675" s="17" t="s">
        <v>48</v>
      </c>
      <c r="B675" s="17" t="s">
        <v>406</v>
      </c>
      <c r="C675" s="18">
        <v>0.78472222222222221</v>
      </c>
      <c r="D675" s="17" t="s">
        <v>50</v>
      </c>
      <c r="E675" s="17" t="s">
        <v>54</v>
      </c>
      <c r="F675" s="17" t="s">
        <v>464</v>
      </c>
      <c r="G675" s="298"/>
      <c r="H675" s="10"/>
      <c r="I675" s="11"/>
      <c r="J675" s="11"/>
      <c r="K675" s="11"/>
      <c r="L675" s="11"/>
      <c r="M675" s="11"/>
      <c r="N675" s="11"/>
      <c r="O675" s="12"/>
      <c r="P675" s="11"/>
      <c r="Q675" s="13"/>
      <c r="R675" s="14"/>
    </row>
    <row r="676" spans="1:18" ht="15" customHeight="1" x14ac:dyDescent="0.3">
      <c r="A676" s="17" t="s">
        <v>48</v>
      </c>
      <c r="B676" s="17" t="s">
        <v>413</v>
      </c>
      <c r="C676" s="18">
        <v>0.83680555555555547</v>
      </c>
      <c r="D676" s="17" t="s">
        <v>50</v>
      </c>
      <c r="E676" s="17" t="s">
        <v>54</v>
      </c>
      <c r="F676" s="17" t="s">
        <v>544</v>
      </c>
      <c r="G676" s="298"/>
      <c r="H676" s="10"/>
      <c r="I676" s="11"/>
      <c r="J676" s="11"/>
      <c r="K676" s="11"/>
      <c r="L676" s="11"/>
      <c r="M676" s="11"/>
      <c r="N676" s="11"/>
      <c r="O676" s="12"/>
      <c r="P676" s="11"/>
      <c r="Q676" s="13"/>
      <c r="R676" s="14"/>
    </row>
    <row r="677" spans="1:18" ht="15" customHeight="1" x14ac:dyDescent="0.3">
      <c r="A677" s="17" t="s">
        <v>48</v>
      </c>
      <c r="B677" s="17" t="s">
        <v>463</v>
      </c>
      <c r="C677" s="18">
        <v>0.34027777777777768</v>
      </c>
      <c r="D677" s="17" t="s">
        <v>50</v>
      </c>
      <c r="E677" s="17" t="s">
        <v>54</v>
      </c>
      <c r="F677" s="17" t="s">
        <v>409</v>
      </c>
      <c r="G677" s="298"/>
      <c r="H677" s="10"/>
      <c r="I677" s="11"/>
      <c r="J677" s="11"/>
      <c r="K677" s="11"/>
      <c r="L677" s="11"/>
      <c r="M677" s="11"/>
      <c r="N677" s="11"/>
      <c r="O677" s="12"/>
      <c r="P677" s="11"/>
      <c r="Q677" s="13"/>
      <c r="R677" s="14"/>
    </row>
    <row r="678" spans="1:18" ht="15" customHeight="1" x14ac:dyDescent="0.3">
      <c r="A678" s="19" t="s">
        <v>60</v>
      </c>
      <c r="B678" s="19" t="s">
        <v>402</v>
      </c>
      <c r="C678" s="20">
        <v>0.11805555555555559</v>
      </c>
      <c r="D678" s="19" t="s">
        <v>65</v>
      </c>
      <c r="E678" s="19" t="s">
        <v>63</v>
      </c>
      <c r="F678" s="19" t="s">
        <v>511</v>
      </c>
      <c r="G678" s="298"/>
      <c r="H678" s="10"/>
      <c r="I678" s="11"/>
      <c r="J678" s="11"/>
      <c r="K678" s="11"/>
      <c r="L678" s="11"/>
      <c r="M678" s="11"/>
      <c r="N678" s="11"/>
      <c r="O678" s="12"/>
      <c r="P678" s="11"/>
      <c r="Q678" s="13"/>
      <c r="R678" s="14"/>
    </row>
    <row r="679" spans="1:18" ht="15" customHeight="1" x14ac:dyDescent="0.3">
      <c r="A679" s="17" t="s">
        <v>60</v>
      </c>
      <c r="B679" s="17" t="s">
        <v>444</v>
      </c>
      <c r="C679" s="18">
        <v>4.1666666666666657E-2</v>
      </c>
      <c r="D679" s="17" t="s">
        <v>65</v>
      </c>
      <c r="E679" s="17" t="s">
        <v>54</v>
      </c>
      <c r="F679" s="17" t="s">
        <v>511</v>
      </c>
      <c r="G679" s="298"/>
      <c r="H679" s="10"/>
      <c r="I679" s="11"/>
      <c r="J679" s="11"/>
      <c r="K679" s="11"/>
      <c r="L679" s="11"/>
      <c r="M679" s="11"/>
      <c r="N679" s="11"/>
      <c r="O679" s="12"/>
      <c r="P679" s="11"/>
      <c r="Q679" s="13"/>
      <c r="R679" s="14"/>
    </row>
    <row r="680" spans="1:18" ht="15" customHeight="1" x14ac:dyDescent="0.3">
      <c r="A680" s="17" t="s">
        <v>60</v>
      </c>
      <c r="B680" s="17" t="s">
        <v>395</v>
      </c>
      <c r="C680" s="18">
        <v>0.98958333333333337</v>
      </c>
      <c r="D680" s="17" t="s">
        <v>65</v>
      </c>
      <c r="E680" s="17" t="s">
        <v>72</v>
      </c>
      <c r="F680" s="17" t="s">
        <v>524</v>
      </c>
      <c r="G680" s="298"/>
      <c r="H680" s="10"/>
      <c r="I680" s="11"/>
      <c r="J680" s="11"/>
      <c r="K680" s="11"/>
      <c r="L680" s="11"/>
      <c r="M680" s="11"/>
      <c r="N680" s="11"/>
      <c r="O680" s="12"/>
      <c r="P680" s="11"/>
      <c r="Q680" s="13"/>
      <c r="R680" s="14"/>
    </row>
    <row r="681" spans="1:18" ht="15" customHeight="1" x14ac:dyDescent="0.3">
      <c r="A681" s="17" t="s">
        <v>60</v>
      </c>
      <c r="B681" s="17" t="s">
        <v>397</v>
      </c>
      <c r="C681" s="18">
        <v>0.39930555555555558</v>
      </c>
      <c r="D681" s="17" t="s">
        <v>65</v>
      </c>
      <c r="E681" s="17" t="s">
        <v>72</v>
      </c>
      <c r="F681" s="17" t="s">
        <v>524</v>
      </c>
      <c r="G681" s="298"/>
      <c r="H681" s="10"/>
      <c r="I681" s="11"/>
      <c r="J681" s="11"/>
      <c r="K681" s="11"/>
      <c r="L681" s="11"/>
      <c r="M681" s="11"/>
      <c r="N681" s="11"/>
      <c r="O681" s="12"/>
      <c r="P681" s="11"/>
      <c r="Q681" s="13"/>
      <c r="R681" s="14"/>
    </row>
    <row r="682" spans="1:18" ht="15" customHeight="1" x14ac:dyDescent="0.3">
      <c r="A682" s="17" t="s">
        <v>60</v>
      </c>
      <c r="B682" s="17" t="s">
        <v>398</v>
      </c>
      <c r="C682" s="18">
        <v>0.48958333333333331</v>
      </c>
      <c r="D682" s="17" t="s">
        <v>65</v>
      </c>
      <c r="E682" s="17" t="s">
        <v>72</v>
      </c>
      <c r="F682" s="17" t="s">
        <v>524</v>
      </c>
      <c r="G682" s="298"/>
      <c r="H682" s="10"/>
      <c r="I682" s="11"/>
      <c r="J682" s="11"/>
      <c r="K682" s="11"/>
      <c r="L682" s="11"/>
      <c r="M682" s="11"/>
      <c r="N682" s="11"/>
      <c r="O682" s="12"/>
      <c r="P682" s="11"/>
      <c r="Q682" s="13"/>
      <c r="R682" s="14"/>
    </row>
    <row r="683" spans="1:18" ht="15" customHeight="1" x14ac:dyDescent="0.3">
      <c r="A683" s="17" t="s">
        <v>60</v>
      </c>
      <c r="B683" s="17" t="s">
        <v>399</v>
      </c>
      <c r="C683" s="18">
        <v>0.88888888888888884</v>
      </c>
      <c r="D683" s="17" t="s">
        <v>65</v>
      </c>
      <c r="E683" s="17" t="s">
        <v>72</v>
      </c>
      <c r="F683" s="17" t="s">
        <v>524</v>
      </c>
      <c r="G683" s="298"/>
      <c r="H683" s="10"/>
      <c r="I683" s="11"/>
      <c r="J683" s="11"/>
      <c r="K683" s="11"/>
      <c r="L683" s="11"/>
      <c r="M683" s="11"/>
      <c r="N683" s="11"/>
      <c r="O683" s="12"/>
      <c r="P683" s="11"/>
      <c r="Q683" s="13"/>
      <c r="R683" s="14"/>
    </row>
    <row r="684" spans="1:18" ht="15" customHeight="1" x14ac:dyDescent="0.3">
      <c r="A684" s="17" t="s">
        <v>60</v>
      </c>
      <c r="B684" s="17" t="s">
        <v>446</v>
      </c>
      <c r="C684" s="18">
        <v>0.48958333333333331</v>
      </c>
      <c r="D684" s="17" t="s">
        <v>65</v>
      </c>
      <c r="E684" s="17" t="s">
        <v>58</v>
      </c>
      <c r="F684" s="17" t="s">
        <v>401</v>
      </c>
      <c r="G684" s="298"/>
      <c r="H684" s="10"/>
      <c r="I684" s="11"/>
      <c r="J684" s="11"/>
      <c r="K684" s="11"/>
      <c r="L684" s="11"/>
      <c r="M684" s="11"/>
      <c r="N684" s="11"/>
      <c r="O684" s="12"/>
      <c r="P684" s="11"/>
      <c r="Q684" s="13"/>
      <c r="R684" s="14"/>
    </row>
    <row r="685" spans="1:18" ht="15" customHeight="1" x14ac:dyDescent="0.3">
      <c r="A685" s="17" t="s">
        <v>60</v>
      </c>
      <c r="B685" s="17" t="s">
        <v>403</v>
      </c>
      <c r="C685" s="18">
        <v>0.70486111111111116</v>
      </c>
      <c r="D685" s="17" t="s">
        <v>65</v>
      </c>
      <c r="E685" s="17" t="s">
        <v>54</v>
      </c>
      <c r="F685" s="17" t="s">
        <v>401</v>
      </c>
      <c r="G685" s="298"/>
      <c r="H685" s="10"/>
      <c r="I685" s="11"/>
      <c r="J685" s="11"/>
      <c r="K685" s="11"/>
      <c r="L685" s="11"/>
      <c r="M685" s="11"/>
      <c r="N685" s="11"/>
      <c r="O685" s="12"/>
      <c r="P685" s="11"/>
      <c r="Q685" s="13"/>
      <c r="R685" s="14"/>
    </row>
    <row r="686" spans="1:18" ht="15" customHeight="1" x14ac:dyDescent="0.3">
      <c r="A686" s="17" t="s">
        <v>60</v>
      </c>
      <c r="B686" s="17" t="s">
        <v>393</v>
      </c>
      <c r="C686" s="18">
        <v>0.25347222222222221</v>
      </c>
      <c r="D686" s="17" t="s">
        <v>65</v>
      </c>
      <c r="E686" s="17" t="s">
        <v>54</v>
      </c>
      <c r="F686" s="17" t="s">
        <v>401</v>
      </c>
      <c r="G686" s="298"/>
      <c r="H686" s="10"/>
      <c r="I686" s="11"/>
      <c r="J686" s="11"/>
      <c r="K686" s="11"/>
      <c r="L686" s="11"/>
      <c r="M686" s="11"/>
      <c r="N686" s="11"/>
      <c r="O686" s="12"/>
      <c r="P686" s="11"/>
      <c r="Q686" s="13"/>
      <c r="R686" s="14"/>
    </row>
    <row r="687" spans="1:18" ht="15" customHeight="1" x14ac:dyDescent="0.3">
      <c r="A687" s="17" t="s">
        <v>60</v>
      </c>
      <c r="B687" s="17" t="s">
        <v>445</v>
      </c>
      <c r="C687" s="18">
        <v>0.94097222222222221</v>
      </c>
      <c r="D687" s="17" t="s">
        <v>65</v>
      </c>
      <c r="E687" s="17" t="s">
        <v>54</v>
      </c>
      <c r="F687" s="17" t="s">
        <v>401</v>
      </c>
      <c r="G687" s="298"/>
      <c r="H687" s="10"/>
      <c r="I687" s="11"/>
      <c r="J687" s="11"/>
      <c r="K687" s="11"/>
      <c r="L687" s="11"/>
      <c r="M687" s="11"/>
      <c r="N687" s="11"/>
      <c r="O687" s="12"/>
      <c r="P687" s="11"/>
      <c r="Q687" s="13"/>
      <c r="R687" s="14"/>
    </row>
    <row r="688" spans="1:18" ht="15" customHeight="1" x14ac:dyDescent="0.3">
      <c r="A688" s="17" t="s">
        <v>60</v>
      </c>
      <c r="B688" s="17" t="s">
        <v>400</v>
      </c>
      <c r="C688" s="18">
        <v>0.82986111111111116</v>
      </c>
      <c r="D688" s="17" t="s">
        <v>65</v>
      </c>
      <c r="E688" s="17" t="s">
        <v>355</v>
      </c>
      <c r="F688" s="17" t="s">
        <v>466</v>
      </c>
      <c r="G688" s="298"/>
      <c r="H688" s="10"/>
      <c r="I688" s="11"/>
      <c r="J688" s="11"/>
      <c r="K688" s="11"/>
      <c r="L688" s="11"/>
      <c r="M688" s="11"/>
      <c r="N688" s="11"/>
      <c r="O688" s="12"/>
      <c r="P688" s="11"/>
      <c r="Q688" s="13"/>
      <c r="R688" s="14"/>
    </row>
    <row r="689" spans="1:18" ht="15" customHeight="1" x14ac:dyDescent="0.3">
      <c r="A689" s="17" t="s">
        <v>60</v>
      </c>
      <c r="B689" s="17" t="s">
        <v>404</v>
      </c>
      <c r="C689" s="18">
        <v>0.72222222222222221</v>
      </c>
      <c r="D689" s="17" t="s">
        <v>65</v>
      </c>
      <c r="E689" s="17" t="s">
        <v>54</v>
      </c>
      <c r="F689" s="17" t="s">
        <v>466</v>
      </c>
      <c r="G689" s="298"/>
      <c r="H689" s="10"/>
      <c r="I689" s="11"/>
      <c r="J689" s="11"/>
      <c r="K689" s="11"/>
      <c r="L689" s="11"/>
      <c r="M689" s="11"/>
      <c r="N689" s="11"/>
      <c r="O689" s="12"/>
      <c r="P689" s="11"/>
      <c r="Q689" s="13"/>
      <c r="R689" s="14"/>
    </row>
    <row r="690" spans="1:18" ht="15" customHeight="1" thickBot="1" x14ac:dyDescent="0.35">
      <c r="A690" s="231" t="s">
        <v>458</v>
      </c>
      <c r="B690" s="231" t="s">
        <v>459</v>
      </c>
      <c r="C690" s="232">
        <v>9.7222222222222224E-2</v>
      </c>
      <c r="D690" s="231" t="s">
        <v>101</v>
      </c>
      <c r="E690" s="231" t="s">
        <v>29</v>
      </c>
      <c r="F690" s="231" t="s">
        <v>558</v>
      </c>
      <c r="G690" s="299"/>
      <c r="H690" s="41"/>
      <c r="I690" s="42"/>
      <c r="J690" s="42"/>
      <c r="K690" s="42"/>
      <c r="L690" s="42"/>
      <c r="M690" s="42"/>
      <c r="N690" s="42"/>
      <c r="O690" s="43"/>
      <c r="P690" s="42"/>
      <c r="Q690" s="44"/>
      <c r="R690" s="45"/>
    </row>
    <row r="691" spans="1:18" ht="17.399999999999999" customHeight="1" thickBot="1" x14ac:dyDescent="0.35">
      <c r="A691" s="329"/>
      <c r="B691" s="330"/>
      <c r="C691" s="330"/>
      <c r="D691" s="330"/>
      <c r="E691" s="330"/>
      <c r="F691" s="330"/>
      <c r="G691" s="330"/>
      <c r="H691" s="330"/>
      <c r="I691" s="330"/>
      <c r="J691" s="330"/>
      <c r="K691" s="330"/>
      <c r="L691" s="330"/>
      <c r="M691" s="330"/>
      <c r="N691" s="330"/>
      <c r="O691" s="330"/>
      <c r="P691" s="330"/>
      <c r="Q691" s="330"/>
      <c r="R691" s="331"/>
    </row>
    <row r="692" spans="1:18" ht="22.05" customHeight="1" thickTop="1" thickBot="1" x14ac:dyDescent="0.35">
      <c r="A692" s="300" t="s">
        <v>6</v>
      </c>
      <c r="B692" s="295"/>
      <c r="C692" s="295"/>
      <c r="D692" s="295"/>
      <c r="E692" s="295"/>
      <c r="F692" s="296"/>
      <c r="G692" s="31">
        <v>45991</v>
      </c>
      <c r="H692" s="294" t="s">
        <v>7</v>
      </c>
      <c r="I692" s="295"/>
      <c r="J692" s="295"/>
      <c r="K692" s="295"/>
      <c r="L692" s="295"/>
      <c r="M692" s="295"/>
      <c r="N692" s="295"/>
      <c r="O692" s="295"/>
      <c r="P692" s="295"/>
      <c r="Q692" s="295"/>
      <c r="R692" s="296"/>
    </row>
    <row r="693" spans="1:18" ht="24" customHeight="1" x14ac:dyDescent="0.3">
      <c r="A693" s="32" t="s">
        <v>8</v>
      </c>
      <c r="B693" s="32" t="s">
        <v>9</v>
      </c>
      <c r="C693" s="33" t="s">
        <v>10</v>
      </c>
      <c r="D693" s="32" t="s">
        <v>11</v>
      </c>
      <c r="E693" s="32" t="s">
        <v>12</v>
      </c>
      <c r="F693" s="34" t="s">
        <v>13</v>
      </c>
      <c r="G693" s="35" t="s">
        <v>14</v>
      </c>
      <c r="H693" s="32" t="s">
        <v>15</v>
      </c>
      <c r="I693" s="36" t="s">
        <v>16</v>
      </c>
      <c r="J693" s="37" t="s">
        <v>17</v>
      </c>
      <c r="K693" s="38" t="s">
        <v>18</v>
      </c>
      <c r="L693" s="37" t="s">
        <v>19</v>
      </c>
      <c r="M693" s="37" t="s">
        <v>20</v>
      </c>
      <c r="N693" s="37" t="s">
        <v>21</v>
      </c>
      <c r="O693" s="32" t="s">
        <v>22</v>
      </c>
      <c r="P693" s="33" t="s">
        <v>23</v>
      </c>
      <c r="Q693" s="37" t="s">
        <v>24</v>
      </c>
      <c r="R693" s="32" t="s">
        <v>25</v>
      </c>
    </row>
    <row r="694" spans="1:18" ht="15" customHeight="1" x14ac:dyDescent="0.3">
      <c r="A694" s="8" t="s">
        <v>388</v>
      </c>
      <c r="B694" s="8" t="s">
        <v>389</v>
      </c>
      <c r="C694" s="9">
        <v>0.22916666666666671</v>
      </c>
      <c r="D694" s="8" t="s">
        <v>390</v>
      </c>
      <c r="E694" s="8" t="s">
        <v>138</v>
      </c>
      <c r="F694" s="8" t="s">
        <v>559</v>
      </c>
      <c r="G694" s="297"/>
      <c r="H694" s="10"/>
      <c r="I694" s="11"/>
      <c r="J694" s="11"/>
      <c r="K694" s="11"/>
      <c r="L694" s="11"/>
      <c r="M694" s="11"/>
      <c r="N694" s="11"/>
      <c r="O694" s="12"/>
      <c r="P694" s="11"/>
      <c r="Q694" s="13"/>
      <c r="R694" s="14"/>
    </row>
    <row r="695" spans="1:18" ht="15" customHeight="1" x14ac:dyDescent="0.3">
      <c r="A695" s="15" t="s">
        <v>388</v>
      </c>
      <c r="B695" s="15" t="s">
        <v>389</v>
      </c>
      <c r="C695" s="16">
        <v>0.22916666666666671</v>
      </c>
      <c r="D695" s="15" t="s">
        <v>46</v>
      </c>
      <c r="E695" s="15" t="s">
        <v>38</v>
      </c>
      <c r="F695" s="15" t="s">
        <v>560</v>
      </c>
      <c r="G695" s="298"/>
      <c r="H695" s="10"/>
      <c r="I695" s="11"/>
      <c r="J695" s="11"/>
      <c r="K695" s="11"/>
      <c r="L695" s="11"/>
      <c r="M695" s="11"/>
      <c r="N695" s="11"/>
      <c r="O695" s="12"/>
      <c r="P695" s="11"/>
      <c r="Q695" s="13"/>
      <c r="R695" s="14"/>
    </row>
    <row r="696" spans="1:18" ht="15" customHeight="1" x14ac:dyDescent="0.3">
      <c r="A696" s="19" t="s">
        <v>41</v>
      </c>
      <c r="B696" s="19" t="s">
        <v>340</v>
      </c>
      <c r="C696" s="20">
        <v>0.39930555555555558</v>
      </c>
      <c r="D696" s="19" t="s">
        <v>43</v>
      </c>
      <c r="E696" s="19" t="s">
        <v>139</v>
      </c>
      <c r="F696" s="19" t="s">
        <v>143</v>
      </c>
      <c r="G696" s="298"/>
      <c r="H696" s="10"/>
      <c r="I696" s="11"/>
      <c r="J696" s="11"/>
      <c r="K696" s="11"/>
      <c r="L696" s="11"/>
      <c r="M696" s="11"/>
      <c r="N696" s="11"/>
      <c r="O696" s="12"/>
      <c r="P696" s="11"/>
      <c r="Q696" s="13"/>
      <c r="R696" s="14"/>
    </row>
    <row r="697" spans="1:18" ht="15" customHeight="1" x14ac:dyDescent="0.3">
      <c r="A697" s="15" t="s">
        <v>41</v>
      </c>
      <c r="B697" s="15" t="s">
        <v>340</v>
      </c>
      <c r="C697" s="16">
        <v>0.39930555555555558</v>
      </c>
      <c r="D697" s="15" t="s">
        <v>45</v>
      </c>
      <c r="E697" s="15" t="s">
        <v>98</v>
      </c>
      <c r="F697" s="15" t="s">
        <v>47</v>
      </c>
      <c r="G697" s="298"/>
      <c r="H697" s="10"/>
      <c r="I697" s="11"/>
      <c r="J697" s="11"/>
      <c r="K697" s="11"/>
      <c r="L697" s="11"/>
      <c r="M697" s="11"/>
      <c r="N697" s="11"/>
      <c r="O697" s="12"/>
      <c r="P697" s="11"/>
      <c r="Q697" s="13"/>
      <c r="R697" s="14"/>
    </row>
    <row r="698" spans="1:18" ht="15" customHeight="1" x14ac:dyDescent="0.3">
      <c r="A698" s="15" t="s">
        <v>41</v>
      </c>
      <c r="B698" s="15" t="s">
        <v>340</v>
      </c>
      <c r="C698" s="16">
        <v>0.39930555555555558</v>
      </c>
      <c r="D698" s="15" t="s">
        <v>46</v>
      </c>
      <c r="E698" s="15" t="s">
        <v>98</v>
      </c>
      <c r="F698" s="15" t="s">
        <v>47</v>
      </c>
      <c r="G698" s="298"/>
      <c r="H698" s="10"/>
      <c r="I698" s="11"/>
      <c r="J698" s="11"/>
      <c r="K698" s="11"/>
      <c r="L698" s="11"/>
      <c r="M698" s="11"/>
      <c r="N698" s="11"/>
      <c r="O698" s="12"/>
      <c r="P698" s="11"/>
      <c r="Q698" s="13"/>
      <c r="R698" s="14"/>
    </row>
    <row r="699" spans="1:18" ht="15" customHeight="1" x14ac:dyDescent="0.3">
      <c r="A699" s="17" t="s">
        <v>41</v>
      </c>
      <c r="B699" s="17" t="s">
        <v>344</v>
      </c>
      <c r="C699" s="18">
        <v>0.48958333333333331</v>
      </c>
      <c r="D699" s="17" t="s">
        <v>43</v>
      </c>
      <c r="E699" s="17" t="s">
        <v>561</v>
      </c>
      <c r="F699" s="17" t="s">
        <v>478</v>
      </c>
      <c r="G699" s="298"/>
      <c r="H699" s="10"/>
      <c r="I699" s="11"/>
      <c r="J699" s="11"/>
      <c r="K699" s="11"/>
      <c r="L699" s="11"/>
      <c r="M699" s="11"/>
      <c r="N699" s="11"/>
      <c r="O699" s="12"/>
      <c r="P699" s="11"/>
      <c r="Q699" s="13"/>
      <c r="R699" s="14"/>
    </row>
    <row r="700" spans="1:18" ht="15" customHeight="1" x14ac:dyDescent="0.3">
      <c r="A700" s="15" t="s">
        <v>41</v>
      </c>
      <c r="B700" s="15" t="s">
        <v>344</v>
      </c>
      <c r="C700" s="16">
        <v>0.48958333333333331</v>
      </c>
      <c r="D700" s="15" t="s">
        <v>46</v>
      </c>
      <c r="E700" s="15" t="s">
        <v>562</v>
      </c>
      <c r="F700" s="15" t="s">
        <v>563</v>
      </c>
      <c r="G700" s="298"/>
      <c r="H700" s="10"/>
      <c r="I700" s="11"/>
      <c r="J700" s="11"/>
      <c r="K700" s="11"/>
      <c r="L700" s="11"/>
      <c r="M700" s="11"/>
      <c r="N700" s="11"/>
      <c r="O700" s="12"/>
      <c r="P700" s="11"/>
      <c r="Q700" s="13"/>
      <c r="R700" s="14"/>
    </row>
    <row r="701" spans="1:18" ht="15" customHeight="1" x14ac:dyDescent="0.3">
      <c r="A701" s="15" t="s">
        <v>41</v>
      </c>
      <c r="B701" s="15" t="s">
        <v>344</v>
      </c>
      <c r="C701" s="16">
        <v>0.48958333333333331</v>
      </c>
      <c r="D701" s="15" t="s">
        <v>45</v>
      </c>
      <c r="E701" s="15" t="s">
        <v>562</v>
      </c>
      <c r="F701" s="15" t="s">
        <v>532</v>
      </c>
      <c r="G701" s="298"/>
      <c r="H701" s="10"/>
      <c r="I701" s="11"/>
      <c r="J701" s="11"/>
      <c r="K701" s="11"/>
      <c r="L701" s="11"/>
      <c r="M701" s="11"/>
      <c r="N701" s="11"/>
      <c r="O701" s="12"/>
      <c r="P701" s="11"/>
      <c r="Q701" s="13"/>
      <c r="R701" s="14"/>
    </row>
    <row r="702" spans="1:18" ht="15" customHeight="1" x14ac:dyDescent="0.3">
      <c r="A702" s="17" t="s">
        <v>41</v>
      </c>
      <c r="B702" s="17" t="s">
        <v>347</v>
      </c>
      <c r="C702" s="18">
        <v>0.88888888888888884</v>
      </c>
      <c r="D702" s="17" t="s">
        <v>43</v>
      </c>
      <c r="E702" s="17" t="s">
        <v>561</v>
      </c>
      <c r="F702" s="17" t="s">
        <v>478</v>
      </c>
      <c r="G702" s="298"/>
      <c r="H702" s="10"/>
      <c r="I702" s="11"/>
      <c r="J702" s="11"/>
      <c r="K702" s="11"/>
      <c r="L702" s="11"/>
      <c r="M702" s="11"/>
      <c r="N702" s="11"/>
      <c r="O702" s="12"/>
      <c r="P702" s="11"/>
      <c r="Q702" s="13"/>
      <c r="R702" s="14"/>
    </row>
    <row r="703" spans="1:18" ht="15" customHeight="1" x14ac:dyDescent="0.3">
      <c r="A703" s="15" t="s">
        <v>41</v>
      </c>
      <c r="B703" s="15" t="s">
        <v>347</v>
      </c>
      <c r="C703" s="16">
        <v>0.88888888888888884</v>
      </c>
      <c r="D703" s="15" t="s">
        <v>45</v>
      </c>
      <c r="E703" s="15" t="s">
        <v>562</v>
      </c>
      <c r="F703" s="15" t="s">
        <v>532</v>
      </c>
      <c r="G703" s="298"/>
      <c r="H703" s="10"/>
      <c r="I703" s="11"/>
      <c r="J703" s="11"/>
      <c r="K703" s="11"/>
      <c r="L703" s="11"/>
      <c r="M703" s="11"/>
      <c r="N703" s="11"/>
      <c r="O703" s="12"/>
      <c r="P703" s="11"/>
      <c r="Q703" s="13"/>
      <c r="R703" s="14"/>
    </row>
    <row r="704" spans="1:18" ht="15" customHeight="1" x14ac:dyDescent="0.3">
      <c r="A704" s="15" t="s">
        <v>41</v>
      </c>
      <c r="B704" s="15" t="s">
        <v>347</v>
      </c>
      <c r="C704" s="16">
        <v>0.88888888888888884</v>
      </c>
      <c r="D704" s="15" t="s">
        <v>46</v>
      </c>
      <c r="E704" s="15" t="s">
        <v>562</v>
      </c>
      <c r="F704" s="15" t="s">
        <v>120</v>
      </c>
      <c r="G704" s="298"/>
      <c r="H704" s="10"/>
      <c r="I704" s="11"/>
      <c r="J704" s="11"/>
      <c r="K704" s="11"/>
      <c r="L704" s="11"/>
      <c r="M704" s="11"/>
      <c r="N704" s="11"/>
      <c r="O704" s="12"/>
      <c r="P704" s="11"/>
      <c r="Q704" s="13"/>
      <c r="R704" s="14"/>
    </row>
    <row r="705" spans="1:18" ht="15" customHeight="1" x14ac:dyDescent="0.3">
      <c r="A705" s="17" t="s">
        <v>41</v>
      </c>
      <c r="B705" s="17" t="s">
        <v>336</v>
      </c>
      <c r="C705" s="18">
        <v>0.98958333333333337</v>
      </c>
      <c r="D705" s="17" t="s">
        <v>43</v>
      </c>
      <c r="E705" s="17" t="s">
        <v>455</v>
      </c>
      <c r="F705" s="17" t="s">
        <v>478</v>
      </c>
      <c r="G705" s="298"/>
      <c r="H705" s="10"/>
      <c r="I705" s="11"/>
      <c r="J705" s="11"/>
      <c r="K705" s="11"/>
      <c r="L705" s="11"/>
      <c r="M705" s="11"/>
      <c r="N705" s="11"/>
      <c r="O705" s="12"/>
      <c r="P705" s="11"/>
      <c r="Q705" s="13"/>
      <c r="R705" s="14"/>
    </row>
    <row r="706" spans="1:18" ht="15" customHeight="1" x14ac:dyDescent="0.3">
      <c r="A706" s="15" t="s">
        <v>41</v>
      </c>
      <c r="B706" s="15" t="s">
        <v>336</v>
      </c>
      <c r="C706" s="16">
        <v>0.98958333333333337</v>
      </c>
      <c r="D706" s="15" t="s">
        <v>46</v>
      </c>
      <c r="E706" s="15" t="s">
        <v>453</v>
      </c>
      <c r="F706" s="15" t="s">
        <v>563</v>
      </c>
      <c r="G706" s="298"/>
      <c r="H706" s="10"/>
      <c r="I706" s="11"/>
      <c r="J706" s="11"/>
      <c r="K706" s="11"/>
      <c r="L706" s="11"/>
      <c r="M706" s="11"/>
      <c r="N706" s="11"/>
      <c r="O706" s="12"/>
      <c r="P706" s="11"/>
      <c r="Q706" s="13"/>
      <c r="R706" s="14"/>
    </row>
    <row r="707" spans="1:18" ht="15" customHeight="1" x14ac:dyDescent="0.3">
      <c r="A707" s="15" t="s">
        <v>41</v>
      </c>
      <c r="B707" s="15" t="s">
        <v>336</v>
      </c>
      <c r="C707" s="16">
        <v>0.98958333333333337</v>
      </c>
      <c r="D707" s="15" t="s">
        <v>45</v>
      </c>
      <c r="E707" s="15" t="s">
        <v>453</v>
      </c>
      <c r="F707" s="15" t="s">
        <v>532</v>
      </c>
      <c r="G707" s="298"/>
      <c r="H707" s="10"/>
      <c r="I707" s="11"/>
      <c r="J707" s="11"/>
      <c r="K707" s="11"/>
      <c r="L707" s="11"/>
      <c r="M707" s="11"/>
      <c r="N707" s="11"/>
      <c r="O707" s="12"/>
      <c r="P707" s="11"/>
      <c r="Q707" s="13"/>
      <c r="R707" s="14"/>
    </row>
    <row r="708" spans="1:18" ht="15" customHeight="1" x14ac:dyDescent="0.3">
      <c r="A708" s="19" t="s">
        <v>385</v>
      </c>
      <c r="B708" s="19" t="s">
        <v>386</v>
      </c>
      <c r="C708" s="20">
        <v>0.49305555555555558</v>
      </c>
      <c r="D708" s="19" t="s">
        <v>101</v>
      </c>
      <c r="E708" s="19" t="s">
        <v>63</v>
      </c>
      <c r="F708" s="19" t="s">
        <v>564</v>
      </c>
      <c r="G708" s="298"/>
      <c r="H708" s="10"/>
      <c r="I708" s="11"/>
      <c r="J708" s="11"/>
      <c r="K708" s="11"/>
      <c r="L708" s="11"/>
      <c r="M708" s="11"/>
      <c r="N708" s="11"/>
      <c r="O708" s="12"/>
      <c r="P708" s="11"/>
      <c r="Q708" s="13"/>
      <c r="R708" s="14"/>
    </row>
    <row r="709" spans="1:18" ht="15" customHeight="1" x14ac:dyDescent="0.3">
      <c r="A709" s="17" t="s">
        <v>385</v>
      </c>
      <c r="B709" s="17" t="s">
        <v>435</v>
      </c>
      <c r="C709" s="18">
        <v>0.2048611111111111</v>
      </c>
      <c r="D709" s="17" t="s">
        <v>101</v>
      </c>
      <c r="E709" s="17" t="s">
        <v>54</v>
      </c>
      <c r="F709" s="17" t="s">
        <v>521</v>
      </c>
      <c r="G709" s="298"/>
      <c r="H709" s="10"/>
      <c r="I709" s="11"/>
      <c r="J709" s="11"/>
      <c r="K709" s="11"/>
      <c r="L709" s="11"/>
      <c r="M709" s="11"/>
      <c r="N709" s="11"/>
      <c r="O709" s="12"/>
      <c r="P709" s="11"/>
      <c r="Q709" s="13"/>
      <c r="R709" s="14"/>
    </row>
    <row r="710" spans="1:18" ht="15" customHeight="1" x14ac:dyDescent="0.3">
      <c r="A710" s="19" t="s">
        <v>26</v>
      </c>
      <c r="B710" s="19" t="s">
        <v>354</v>
      </c>
      <c r="C710" s="20">
        <v>0.34722222222222232</v>
      </c>
      <c r="D710" s="19" t="s">
        <v>28</v>
      </c>
      <c r="E710" s="19" t="s">
        <v>51</v>
      </c>
      <c r="F710" s="19" t="s">
        <v>154</v>
      </c>
      <c r="G710" s="298"/>
      <c r="H710" s="10"/>
      <c r="I710" s="11"/>
      <c r="J710" s="11"/>
      <c r="K710" s="11"/>
      <c r="L710" s="11"/>
      <c r="M710" s="11"/>
      <c r="N710" s="11"/>
      <c r="O710" s="12"/>
      <c r="P710" s="11"/>
      <c r="Q710" s="13"/>
      <c r="R710" s="14"/>
    </row>
    <row r="711" spans="1:18" ht="15" customHeight="1" x14ac:dyDescent="0.3">
      <c r="A711" s="15" t="s">
        <v>26</v>
      </c>
      <c r="B711" s="15" t="s">
        <v>354</v>
      </c>
      <c r="C711" s="16">
        <v>0.34722222222222232</v>
      </c>
      <c r="D711" s="15" t="s">
        <v>31</v>
      </c>
      <c r="E711" s="15" t="s">
        <v>133</v>
      </c>
      <c r="F711" s="15" t="s">
        <v>565</v>
      </c>
      <c r="G711" s="298"/>
      <c r="H711" s="10"/>
      <c r="I711" s="11"/>
      <c r="J711" s="11"/>
      <c r="K711" s="11"/>
      <c r="L711" s="11"/>
      <c r="M711" s="11"/>
      <c r="N711" s="11"/>
      <c r="O711" s="12"/>
      <c r="P711" s="11"/>
      <c r="Q711" s="13"/>
      <c r="R711" s="14"/>
    </row>
    <row r="712" spans="1:18" ht="15" customHeight="1" x14ac:dyDescent="0.3">
      <c r="A712" s="15" t="s">
        <v>26</v>
      </c>
      <c r="B712" s="15" t="s">
        <v>354</v>
      </c>
      <c r="C712" s="16">
        <v>0.34722222222222232</v>
      </c>
      <c r="D712" s="15" t="s">
        <v>34</v>
      </c>
      <c r="E712" s="15" t="s">
        <v>133</v>
      </c>
      <c r="F712" s="15" t="s">
        <v>532</v>
      </c>
      <c r="G712" s="298"/>
      <c r="H712" s="10"/>
      <c r="I712" s="11"/>
      <c r="J712" s="11"/>
      <c r="K712" s="11"/>
      <c r="L712" s="11"/>
      <c r="M712" s="11"/>
      <c r="N712" s="11"/>
      <c r="O712" s="12"/>
      <c r="P712" s="11"/>
      <c r="Q712" s="13"/>
      <c r="R712" s="14"/>
    </row>
    <row r="713" spans="1:18" ht="15" customHeight="1" x14ac:dyDescent="0.3">
      <c r="A713" s="17" t="s">
        <v>26</v>
      </c>
      <c r="B713" s="17" t="s">
        <v>350</v>
      </c>
      <c r="C713" s="18">
        <v>0.99305555555555547</v>
      </c>
      <c r="D713" s="17" t="s">
        <v>28</v>
      </c>
      <c r="E713" s="17" t="s">
        <v>69</v>
      </c>
      <c r="F713" s="17" t="s">
        <v>154</v>
      </c>
      <c r="G713" s="298"/>
      <c r="H713" s="10"/>
      <c r="I713" s="11"/>
      <c r="J713" s="11"/>
      <c r="K713" s="11"/>
      <c r="L713" s="11"/>
      <c r="M713" s="11"/>
      <c r="N713" s="11"/>
      <c r="O713" s="12"/>
      <c r="P713" s="11"/>
      <c r="Q713" s="13"/>
      <c r="R713" s="14"/>
    </row>
    <row r="714" spans="1:18" ht="15" customHeight="1" x14ac:dyDescent="0.3">
      <c r="A714" s="15" t="s">
        <v>26</v>
      </c>
      <c r="B714" s="15" t="s">
        <v>350</v>
      </c>
      <c r="C714" s="16">
        <v>0.99305555555555547</v>
      </c>
      <c r="D714" s="15" t="s">
        <v>31</v>
      </c>
      <c r="E714" s="15" t="s">
        <v>87</v>
      </c>
      <c r="F714" s="15" t="s">
        <v>565</v>
      </c>
      <c r="G714" s="298"/>
      <c r="H714" s="10"/>
      <c r="I714" s="11"/>
      <c r="J714" s="11"/>
      <c r="K714" s="11"/>
      <c r="L714" s="11"/>
      <c r="M714" s="11"/>
      <c r="N714" s="11"/>
      <c r="O714" s="12"/>
      <c r="P714" s="11"/>
      <c r="Q714" s="13"/>
      <c r="R714" s="14"/>
    </row>
    <row r="715" spans="1:18" ht="15" customHeight="1" x14ac:dyDescent="0.3">
      <c r="A715" s="15" t="s">
        <v>26</v>
      </c>
      <c r="B715" s="15" t="s">
        <v>350</v>
      </c>
      <c r="C715" s="16">
        <v>0.99305555555555547</v>
      </c>
      <c r="D715" s="15" t="s">
        <v>34</v>
      </c>
      <c r="E715" s="15" t="s">
        <v>87</v>
      </c>
      <c r="F715" s="15" t="s">
        <v>532</v>
      </c>
      <c r="G715" s="298"/>
      <c r="H715" s="10"/>
      <c r="I715" s="11"/>
      <c r="J715" s="11"/>
      <c r="K715" s="11"/>
      <c r="L715" s="11"/>
      <c r="M715" s="11"/>
      <c r="N715" s="11"/>
      <c r="O715" s="12"/>
      <c r="P715" s="11"/>
      <c r="Q715" s="13"/>
      <c r="R715" s="14"/>
    </row>
    <row r="716" spans="1:18" ht="15" customHeight="1" x14ac:dyDescent="0.3">
      <c r="A716" s="17" t="s">
        <v>26</v>
      </c>
      <c r="B716" s="17" t="s">
        <v>357</v>
      </c>
      <c r="C716" s="18">
        <v>0.3923611111111111</v>
      </c>
      <c r="D716" s="17" t="s">
        <v>28</v>
      </c>
      <c r="E716" s="17" t="s">
        <v>72</v>
      </c>
      <c r="F716" s="17" t="s">
        <v>154</v>
      </c>
      <c r="G716" s="298"/>
      <c r="H716" s="10"/>
      <c r="I716" s="11"/>
      <c r="J716" s="11"/>
      <c r="K716" s="11"/>
      <c r="L716" s="11"/>
      <c r="M716" s="11"/>
      <c r="N716" s="11"/>
      <c r="O716" s="12"/>
      <c r="P716" s="11"/>
      <c r="Q716" s="13"/>
      <c r="R716" s="14"/>
    </row>
    <row r="717" spans="1:18" ht="15" customHeight="1" x14ac:dyDescent="0.3">
      <c r="A717" s="15" t="s">
        <v>26</v>
      </c>
      <c r="B717" s="15" t="s">
        <v>357</v>
      </c>
      <c r="C717" s="16">
        <v>0.3923611111111111</v>
      </c>
      <c r="D717" s="15" t="s">
        <v>31</v>
      </c>
      <c r="E717" s="15" t="s">
        <v>84</v>
      </c>
      <c r="F717" s="15" t="s">
        <v>565</v>
      </c>
      <c r="G717" s="298"/>
      <c r="H717" s="10"/>
      <c r="I717" s="11"/>
      <c r="J717" s="11"/>
      <c r="K717" s="11"/>
      <c r="L717" s="11"/>
      <c r="M717" s="11"/>
      <c r="N717" s="11"/>
      <c r="O717" s="12"/>
      <c r="P717" s="11"/>
      <c r="Q717" s="13"/>
      <c r="R717" s="14"/>
    </row>
    <row r="718" spans="1:18" ht="15" customHeight="1" x14ac:dyDescent="0.3">
      <c r="A718" s="15" t="s">
        <v>26</v>
      </c>
      <c r="B718" s="15" t="s">
        <v>357</v>
      </c>
      <c r="C718" s="16">
        <v>0.3923611111111111</v>
      </c>
      <c r="D718" s="15" t="s">
        <v>34</v>
      </c>
      <c r="E718" s="15" t="s">
        <v>84</v>
      </c>
      <c r="F718" s="15" t="s">
        <v>532</v>
      </c>
      <c r="G718" s="298"/>
      <c r="H718" s="10"/>
      <c r="I718" s="11"/>
      <c r="J718" s="11"/>
      <c r="K718" s="11"/>
      <c r="L718" s="11"/>
      <c r="M718" s="11"/>
      <c r="N718" s="11"/>
      <c r="O718" s="12"/>
      <c r="P718" s="11"/>
      <c r="Q718" s="13"/>
      <c r="R718" s="14"/>
    </row>
    <row r="719" spans="1:18" ht="15" customHeight="1" x14ac:dyDescent="0.3">
      <c r="A719" s="17" t="s">
        <v>26</v>
      </c>
      <c r="B719" s="17" t="s">
        <v>359</v>
      </c>
      <c r="C719" s="18">
        <v>0.73611111111111116</v>
      </c>
      <c r="D719" s="17" t="s">
        <v>28</v>
      </c>
      <c r="E719" s="17" t="s">
        <v>353</v>
      </c>
      <c r="F719" s="17" t="s">
        <v>47</v>
      </c>
      <c r="G719" s="298"/>
      <c r="H719" s="10"/>
      <c r="I719" s="11"/>
      <c r="J719" s="11"/>
      <c r="K719" s="11"/>
      <c r="L719" s="11"/>
      <c r="M719" s="11"/>
      <c r="N719" s="11"/>
      <c r="O719" s="12"/>
      <c r="P719" s="11"/>
      <c r="Q719" s="13"/>
      <c r="R719" s="14"/>
    </row>
    <row r="720" spans="1:18" ht="15" customHeight="1" x14ac:dyDescent="0.3">
      <c r="A720" s="15" t="s">
        <v>26</v>
      </c>
      <c r="B720" s="15" t="s">
        <v>359</v>
      </c>
      <c r="C720" s="16">
        <v>0.73611111111111116</v>
      </c>
      <c r="D720" s="15" t="s">
        <v>31</v>
      </c>
      <c r="E720" s="15" t="s">
        <v>97</v>
      </c>
      <c r="F720" s="15" t="s">
        <v>532</v>
      </c>
      <c r="G720" s="298"/>
      <c r="H720" s="10"/>
      <c r="I720" s="11"/>
      <c r="J720" s="11"/>
      <c r="K720" s="11"/>
      <c r="L720" s="11"/>
      <c r="M720" s="11"/>
      <c r="N720" s="11"/>
      <c r="O720" s="12"/>
      <c r="P720" s="11"/>
      <c r="Q720" s="13"/>
      <c r="R720" s="14"/>
    </row>
    <row r="721" spans="1:18" ht="15" customHeight="1" x14ac:dyDescent="0.3">
      <c r="A721" s="15" t="s">
        <v>26</v>
      </c>
      <c r="B721" s="15" t="s">
        <v>359</v>
      </c>
      <c r="C721" s="16">
        <v>0.73611111111111116</v>
      </c>
      <c r="D721" s="15" t="s">
        <v>34</v>
      </c>
      <c r="E721" s="15" t="s">
        <v>97</v>
      </c>
      <c r="F721" s="15" t="s">
        <v>533</v>
      </c>
      <c r="G721" s="298"/>
      <c r="H721" s="10"/>
      <c r="I721" s="11"/>
      <c r="J721" s="11"/>
      <c r="K721" s="11"/>
      <c r="L721" s="11"/>
      <c r="M721" s="11"/>
      <c r="N721" s="11"/>
      <c r="O721" s="12"/>
      <c r="P721" s="11"/>
      <c r="Q721" s="13"/>
      <c r="R721" s="14"/>
    </row>
    <row r="722" spans="1:18" ht="15" customHeight="1" x14ac:dyDescent="0.3">
      <c r="A722" s="17" t="s">
        <v>26</v>
      </c>
      <c r="B722" s="17" t="s">
        <v>356</v>
      </c>
      <c r="C722" s="18">
        <v>0.83680555555555547</v>
      </c>
      <c r="D722" s="17" t="s">
        <v>28</v>
      </c>
      <c r="E722" s="17" t="s">
        <v>121</v>
      </c>
      <c r="F722" s="17" t="s">
        <v>47</v>
      </c>
      <c r="G722" s="298"/>
      <c r="H722" s="10"/>
      <c r="I722" s="11"/>
      <c r="J722" s="11"/>
      <c r="K722" s="11"/>
      <c r="L722" s="11"/>
      <c r="M722" s="11"/>
      <c r="N722" s="11"/>
      <c r="O722" s="12"/>
      <c r="P722" s="11"/>
      <c r="Q722" s="13"/>
      <c r="R722" s="14"/>
    </row>
    <row r="723" spans="1:18" ht="15" customHeight="1" x14ac:dyDescent="0.3">
      <c r="A723" s="15" t="s">
        <v>26</v>
      </c>
      <c r="B723" s="15" t="s">
        <v>356</v>
      </c>
      <c r="C723" s="16">
        <v>0.83680555555555547</v>
      </c>
      <c r="D723" s="15" t="s">
        <v>31</v>
      </c>
      <c r="E723" s="15" t="s">
        <v>32</v>
      </c>
      <c r="F723" s="15" t="s">
        <v>532</v>
      </c>
      <c r="G723" s="298"/>
      <c r="H723" s="10"/>
      <c r="I723" s="11"/>
      <c r="J723" s="11"/>
      <c r="K723" s="11"/>
      <c r="L723" s="11"/>
      <c r="M723" s="11"/>
      <c r="N723" s="11"/>
      <c r="O723" s="12"/>
      <c r="P723" s="11"/>
      <c r="Q723" s="13"/>
      <c r="R723" s="14"/>
    </row>
    <row r="724" spans="1:18" ht="15" customHeight="1" x14ac:dyDescent="0.3">
      <c r="A724" s="15" t="s">
        <v>26</v>
      </c>
      <c r="B724" s="15" t="s">
        <v>356</v>
      </c>
      <c r="C724" s="16">
        <v>0.83680555555555547</v>
      </c>
      <c r="D724" s="15" t="s">
        <v>34</v>
      </c>
      <c r="E724" s="15" t="s">
        <v>32</v>
      </c>
      <c r="F724" s="15" t="s">
        <v>533</v>
      </c>
      <c r="G724" s="298"/>
      <c r="H724" s="10"/>
      <c r="I724" s="11"/>
      <c r="J724" s="11"/>
      <c r="K724" s="11"/>
      <c r="L724" s="11"/>
      <c r="M724" s="11"/>
      <c r="N724" s="11"/>
      <c r="O724" s="12"/>
      <c r="P724" s="11"/>
      <c r="Q724" s="13"/>
      <c r="R724" s="14"/>
    </row>
    <row r="725" spans="1:18" ht="15" customHeight="1" x14ac:dyDescent="0.3">
      <c r="A725" s="17" t="s">
        <v>26</v>
      </c>
      <c r="B725" s="17" t="s">
        <v>352</v>
      </c>
      <c r="C725" s="18">
        <v>0.94444444444444453</v>
      </c>
      <c r="D725" s="17" t="s">
        <v>28</v>
      </c>
      <c r="E725" s="17" t="s">
        <v>37</v>
      </c>
      <c r="F725" s="17" t="s">
        <v>47</v>
      </c>
      <c r="G725" s="298"/>
      <c r="H725" s="10"/>
      <c r="I725" s="11"/>
      <c r="J725" s="11"/>
      <c r="K725" s="11"/>
      <c r="L725" s="11"/>
      <c r="M725" s="11"/>
      <c r="N725" s="11"/>
      <c r="O725" s="12"/>
      <c r="P725" s="11"/>
      <c r="Q725" s="13"/>
      <c r="R725" s="14"/>
    </row>
    <row r="726" spans="1:18" ht="15" customHeight="1" x14ac:dyDescent="0.3">
      <c r="A726" s="15" t="s">
        <v>26</v>
      </c>
      <c r="B726" s="15" t="s">
        <v>352</v>
      </c>
      <c r="C726" s="16">
        <v>0.94444444444444453</v>
      </c>
      <c r="D726" s="15" t="s">
        <v>31</v>
      </c>
      <c r="E726" s="15" t="s">
        <v>38</v>
      </c>
      <c r="F726" s="15" t="s">
        <v>532</v>
      </c>
      <c r="G726" s="298"/>
      <c r="H726" s="10"/>
      <c r="I726" s="11"/>
      <c r="J726" s="11"/>
      <c r="K726" s="11"/>
      <c r="L726" s="11"/>
      <c r="M726" s="11"/>
      <c r="N726" s="11"/>
      <c r="O726" s="12"/>
      <c r="P726" s="11"/>
      <c r="Q726" s="13"/>
      <c r="R726" s="14"/>
    </row>
    <row r="727" spans="1:18" ht="15" customHeight="1" x14ac:dyDescent="0.3">
      <c r="A727" s="15" t="s">
        <v>26</v>
      </c>
      <c r="B727" s="15" t="s">
        <v>352</v>
      </c>
      <c r="C727" s="16">
        <v>0.94444444444444453</v>
      </c>
      <c r="D727" s="15" t="s">
        <v>34</v>
      </c>
      <c r="E727" s="15" t="s">
        <v>38</v>
      </c>
      <c r="F727" s="15" t="s">
        <v>533</v>
      </c>
      <c r="G727" s="298"/>
      <c r="H727" s="10"/>
      <c r="I727" s="11"/>
      <c r="J727" s="11"/>
      <c r="K727" s="11"/>
      <c r="L727" s="11"/>
      <c r="M727" s="11"/>
      <c r="N727" s="11"/>
      <c r="O727" s="12"/>
      <c r="P727" s="11"/>
      <c r="Q727" s="13"/>
      <c r="R727" s="14"/>
    </row>
    <row r="728" spans="1:18" ht="15" customHeight="1" x14ac:dyDescent="0.3">
      <c r="A728" s="17" t="s">
        <v>26</v>
      </c>
      <c r="B728" s="17" t="s">
        <v>360</v>
      </c>
      <c r="C728" s="18">
        <v>0.4861111111111111</v>
      </c>
      <c r="D728" s="17" t="s">
        <v>28</v>
      </c>
      <c r="E728" s="17" t="s">
        <v>37</v>
      </c>
      <c r="F728" s="17" t="s">
        <v>47</v>
      </c>
      <c r="G728" s="298"/>
      <c r="H728" s="10"/>
      <c r="I728" s="11"/>
      <c r="J728" s="11"/>
      <c r="K728" s="11"/>
      <c r="L728" s="11"/>
      <c r="M728" s="11"/>
      <c r="N728" s="11"/>
      <c r="O728" s="12"/>
      <c r="P728" s="11"/>
      <c r="Q728" s="13"/>
      <c r="R728" s="14"/>
    </row>
    <row r="729" spans="1:18" ht="15" customHeight="1" x14ac:dyDescent="0.3">
      <c r="A729" s="15" t="s">
        <v>26</v>
      </c>
      <c r="B729" s="15" t="s">
        <v>360</v>
      </c>
      <c r="C729" s="16">
        <v>0.4861111111111111</v>
      </c>
      <c r="D729" s="15" t="s">
        <v>31</v>
      </c>
      <c r="E729" s="15" t="s">
        <v>38</v>
      </c>
      <c r="F729" s="15" t="s">
        <v>532</v>
      </c>
      <c r="G729" s="298"/>
      <c r="H729" s="10"/>
      <c r="I729" s="11"/>
      <c r="J729" s="11"/>
      <c r="K729" s="11"/>
      <c r="L729" s="11"/>
      <c r="M729" s="11"/>
      <c r="N729" s="11"/>
      <c r="O729" s="12"/>
      <c r="P729" s="11"/>
      <c r="Q729" s="13"/>
      <c r="R729" s="14"/>
    </row>
    <row r="730" spans="1:18" ht="15" customHeight="1" x14ac:dyDescent="0.3">
      <c r="A730" s="15" t="s">
        <v>26</v>
      </c>
      <c r="B730" s="15" t="s">
        <v>360</v>
      </c>
      <c r="C730" s="16">
        <v>0.4861111111111111</v>
      </c>
      <c r="D730" s="15" t="s">
        <v>34</v>
      </c>
      <c r="E730" s="15" t="s">
        <v>38</v>
      </c>
      <c r="F730" s="15" t="s">
        <v>533</v>
      </c>
      <c r="G730" s="298"/>
      <c r="H730" s="10"/>
      <c r="I730" s="11"/>
      <c r="J730" s="11"/>
      <c r="K730" s="11"/>
      <c r="L730" s="11"/>
      <c r="M730" s="11"/>
      <c r="N730" s="11"/>
      <c r="O730" s="12"/>
      <c r="P730" s="11"/>
      <c r="Q730" s="13"/>
      <c r="R730" s="14"/>
    </row>
    <row r="731" spans="1:18" ht="15" customHeight="1" x14ac:dyDescent="0.3">
      <c r="A731" s="17" t="s">
        <v>26</v>
      </c>
      <c r="B731" s="17" t="s">
        <v>358</v>
      </c>
      <c r="C731" s="18">
        <v>0.88888888888888884</v>
      </c>
      <c r="D731" s="17" t="s">
        <v>28</v>
      </c>
      <c r="E731" s="17" t="s">
        <v>37</v>
      </c>
      <c r="F731" s="17" t="s">
        <v>47</v>
      </c>
      <c r="G731" s="298"/>
      <c r="H731" s="10"/>
      <c r="I731" s="11"/>
      <c r="J731" s="11"/>
      <c r="K731" s="11"/>
      <c r="L731" s="11"/>
      <c r="M731" s="11"/>
      <c r="N731" s="11"/>
      <c r="O731" s="12"/>
      <c r="P731" s="11"/>
      <c r="Q731" s="13"/>
      <c r="R731" s="14"/>
    </row>
    <row r="732" spans="1:18" ht="15" customHeight="1" x14ac:dyDescent="0.3">
      <c r="A732" s="15" t="s">
        <v>26</v>
      </c>
      <c r="B732" s="15" t="s">
        <v>358</v>
      </c>
      <c r="C732" s="16">
        <v>0.88888888888888884</v>
      </c>
      <c r="D732" s="15" t="s">
        <v>31</v>
      </c>
      <c r="E732" s="15" t="s">
        <v>38</v>
      </c>
      <c r="F732" s="15" t="s">
        <v>532</v>
      </c>
      <c r="G732" s="298"/>
      <c r="H732" s="10"/>
      <c r="I732" s="11"/>
      <c r="J732" s="11"/>
      <c r="K732" s="11"/>
      <c r="L732" s="11"/>
      <c r="M732" s="11"/>
      <c r="N732" s="11"/>
      <c r="O732" s="12"/>
      <c r="P732" s="11"/>
      <c r="Q732" s="13"/>
      <c r="R732" s="14"/>
    </row>
    <row r="733" spans="1:18" ht="15" customHeight="1" x14ac:dyDescent="0.3">
      <c r="A733" s="15" t="s">
        <v>26</v>
      </c>
      <c r="B733" s="15" t="s">
        <v>358</v>
      </c>
      <c r="C733" s="16">
        <v>0.88888888888888884</v>
      </c>
      <c r="D733" s="15" t="s">
        <v>34</v>
      </c>
      <c r="E733" s="15" t="s">
        <v>38</v>
      </c>
      <c r="F733" s="15" t="s">
        <v>533</v>
      </c>
      <c r="G733" s="298"/>
      <c r="H733" s="10"/>
      <c r="I733" s="11"/>
      <c r="J733" s="11"/>
      <c r="K733" s="11"/>
      <c r="L733" s="11"/>
      <c r="M733" s="11"/>
      <c r="N733" s="11"/>
      <c r="O733" s="12"/>
      <c r="P733" s="11"/>
      <c r="Q733" s="13"/>
      <c r="R733" s="14"/>
    </row>
    <row r="734" spans="1:18" ht="15" customHeight="1" x14ac:dyDescent="0.3">
      <c r="A734" s="204" t="s">
        <v>77</v>
      </c>
      <c r="B734" s="204" t="s">
        <v>419</v>
      </c>
      <c r="C734" s="205">
        <v>0.33333333333333331</v>
      </c>
      <c r="D734" s="204" t="s">
        <v>101</v>
      </c>
      <c r="E734" s="204" t="s">
        <v>85</v>
      </c>
      <c r="F734" s="204" t="s">
        <v>379</v>
      </c>
      <c r="G734" s="298"/>
      <c r="H734" s="206" t="s">
        <v>421</v>
      </c>
      <c r="I734" s="225">
        <v>1</v>
      </c>
      <c r="J734" s="208">
        <v>180</v>
      </c>
      <c r="K734" s="209">
        <v>45979</v>
      </c>
      <c r="L734" s="208">
        <v>5</v>
      </c>
      <c r="M734" s="208">
        <v>0</v>
      </c>
      <c r="N734" s="208">
        <v>2</v>
      </c>
      <c r="O734" s="210" t="s">
        <v>81</v>
      </c>
      <c r="P734" s="211">
        <v>0.33333333333333331</v>
      </c>
      <c r="Q734" s="208">
        <v>180</v>
      </c>
      <c r="R734" s="212" t="s">
        <v>566</v>
      </c>
    </row>
    <row r="735" spans="1:18" ht="15" customHeight="1" x14ac:dyDescent="0.3">
      <c r="A735" s="191" t="s">
        <v>77</v>
      </c>
      <c r="B735" s="191" t="s">
        <v>424</v>
      </c>
      <c r="C735" s="192">
        <v>0.4548611111111111</v>
      </c>
      <c r="D735" s="191" t="s">
        <v>101</v>
      </c>
      <c r="E735" s="191" t="s">
        <v>355</v>
      </c>
      <c r="F735" s="191" t="s">
        <v>567</v>
      </c>
      <c r="G735" s="298"/>
      <c r="H735" s="147" t="s">
        <v>383</v>
      </c>
      <c r="I735" s="148">
        <v>0.92779999999999996</v>
      </c>
      <c r="J735" s="149">
        <v>167</v>
      </c>
      <c r="K735" s="150">
        <v>45980</v>
      </c>
      <c r="L735" s="149">
        <v>22</v>
      </c>
      <c r="M735" s="149">
        <v>2</v>
      </c>
      <c r="N735" s="149">
        <v>8</v>
      </c>
      <c r="O735" s="151" t="s">
        <v>568</v>
      </c>
      <c r="P735" s="152">
        <v>0.4548611111111111</v>
      </c>
      <c r="Q735" s="149">
        <v>180</v>
      </c>
      <c r="R735" s="153" t="s">
        <v>569</v>
      </c>
    </row>
    <row r="736" spans="1:18" ht="15" customHeight="1" x14ac:dyDescent="0.3">
      <c r="A736" s="193" t="s">
        <v>77</v>
      </c>
      <c r="B736" s="193" t="s">
        <v>365</v>
      </c>
      <c r="C736" s="194">
        <v>0.15625</v>
      </c>
      <c r="D736" s="193" t="s">
        <v>101</v>
      </c>
      <c r="E736" s="193" t="s">
        <v>72</v>
      </c>
      <c r="F736" s="193" t="s">
        <v>517</v>
      </c>
      <c r="G736" s="298"/>
      <c r="H736" s="167" t="s">
        <v>367</v>
      </c>
      <c r="I736" s="168">
        <v>0.95</v>
      </c>
      <c r="J736" s="169">
        <v>171</v>
      </c>
      <c r="K736" s="170">
        <v>45979</v>
      </c>
      <c r="L736" s="169">
        <v>12</v>
      </c>
      <c r="M736" s="169">
        <v>0</v>
      </c>
      <c r="N736" s="169">
        <v>1</v>
      </c>
      <c r="O736" s="171" t="s">
        <v>570</v>
      </c>
      <c r="P736" s="172">
        <v>0.15625</v>
      </c>
      <c r="Q736" s="169">
        <v>180</v>
      </c>
      <c r="R736" s="173" t="s">
        <v>571</v>
      </c>
    </row>
    <row r="737" spans="1:18" ht="15" customHeight="1" x14ac:dyDescent="0.3">
      <c r="A737" s="198" t="s">
        <v>77</v>
      </c>
      <c r="B737" s="198" t="s">
        <v>361</v>
      </c>
      <c r="C737" s="199">
        <v>0.82986111111111116</v>
      </c>
      <c r="D737" s="198" t="s">
        <v>101</v>
      </c>
      <c r="E737" s="198" t="s">
        <v>144</v>
      </c>
      <c r="F737" s="198" t="s">
        <v>517</v>
      </c>
      <c r="G737" s="298"/>
      <c r="H737" s="131" t="s">
        <v>363</v>
      </c>
      <c r="I737" s="132">
        <v>0.92220000000000002</v>
      </c>
      <c r="J737" s="133">
        <v>166</v>
      </c>
      <c r="K737" s="134">
        <v>45980</v>
      </c>
      <c r="L737" s="133">
        <v>4</v>
      </c>
      <c r="M737" s="133">
        <v>1</v>
      </c>
      <c r="N737" s="133">
        <v>0</v>
      </c>
      <c r="O737" s="135" t="s">
        <v>572</v>
      </c>
      <c r="P737" s="136">
        <v>0.82986111111111116</v>
      </c>
      <c r="Q737" s="133">
        <v>180</v>
      </c>
      <c r="R737" s="137" t="s">
        <v>573</v>
      </c>
    </row>
    <row r="738" spans="1:18" ht="15" customHeight="1" x14ac:dyDescent="0.3">
      <c r="A738" s="193" t="s">
        <v>77</v>
      </c>
      <c r="B738" s="193" t="s">
        <v>375</v>
      </c>
      <c r="C738" s="194">
        <v>0.1423611111111111</v>
      </c>
      <c r="D738" s="193" t="s">
        <v>79</v>
      </c>
      <c r="E738" s="230"/>
      <c r="F738" s="193" t="s">
        <v>80</v>
      </c>
      <c r="G738" s="298"/>
      <c r="H738" s="167" t="s">
        <v>375</v>
      </c>
      <c r="I738" s="168">
        <v>1</v>
      </c>
      <c r="J738" s="169">
        <v>180</v>
      </c>
      <c r="K738" s="170">
        <v>45966</v>
      </c>
      <c r="L738" s="169">
        <v>0</v>
      </c>
      <c r="M738" s="169">
        <v>0</v>
      </c>
      <c r="N738" s="169">
        <v>0</v>
      </c>
      <c r="O738" s="171" t="s">
        <v>81</v>
      </c>
      <c r="P738" s="172">
        <v>0.1423611111111111</v>
      </c>
      <c r="Q738" s="169">
        <v>180</v>
      </c>
      <c r="R738" s="173" t="s">
        <v>574</v>
      </c>
    </row>
    <row r="739" spans="1:18" ht="15" customHeight="1" x14ac:dyDescent="0.3">
      <c r="A739" s="19" t="s">
        <v>458</v>
      </c>
      <c r="B739" s="19" t="s">
        <v>459</v>
      </c>
      <c r="C739" s="20">
        <v>0.10069444444444441</v>
      </c>
      <c r="D739" s="19" t="s">
        <v>101</v>
      </c>
      <c r="E739" s="19" t="s">
        <v>111</v>
      </c>
      <c r="F739" s="19" t="s">
        <v>145</v>
      </c>
      <c r="G739" s="298"/>
      <c r="H739" s="10"/>
      <c r="I739" s="11"/>
      <c r="J739" s="11"/>
      <c r="K739" s="11"/>
      <c r="L739" s="11"/>
      <c r="M739" s="11"/>
      <c r="N739" s="11"/>
      <c r="O739" s="12"/>
      <c r="P739" s="11"/>
      <c r="Q739" s="13"/>
      <c r="R739" s="14"/>
    </row>
    <row r="740" spans="1:18" ht="15" customHeight="1" x14ac:dyDescent="0.3">
      <c r="A740" s="17" t="s">
        <v>458</v>
      </c>
      <c r="B740" s="17" t="s">
        <v>467</v>
      </c>
      <c r="C740" s="18">
        <v>0.1736111111111111</v>
      </c>
      <c r="D740" s="17" t="s">
        <v>101</v>
      </c>
      <c r="E740" s="17" t="s">
        <v>121</v>
      </c>
      <c r="F740" s="17" t="s">
        <v>523</v>
      </c>
      <c r="G740" s="298"/>
      <c r="H740" s="10"/>
      <c r="I740" s="11"/>
      <c r="J740" s="11"/>
      <c r="K740" s="11"/>
      <c r="L740" s="11"/>
      <c r="M740" s="11"/>
      <c r="N740" s="11"/>
      <c r="O740" s="12"/>
      <c r="P740" s="11"/>
      <c r="Q740" s="13"/>
      <c r="R740" s="14"/>
    </row>
    <row r="741" spans="1:18" ht="15" customHeight="1" x14ac:dyDescent="0.3">
      <c r="A741" s="19" t="s">
        <v>60</v>
      </c>
      <c r="B741" s="19" t="s">
        <v>400</v>
      </c>
      <c r="C741" s="20">
        <v>0.82986111111111116</v>
      </c>
      <c r="D741" s="19" t="s">
        <v>65</v>
      </c>
      <c r="E741" s="19" t="s">
        <v>51</v>
      </c>
      <c r="F741" s="19" t="s">
        <v>490</v>
      </c>
      <c r="G741" s="298"/>
      <c r="H741" s="10"/>
      <c r="I741" s="11"/>
      <c r="J741" s="11"/>
      <c r="K741" s="11"/>
      <c r="L741" s="11"/>
      <c r="M741" s="11"/>
      <c r="N741" s="11"/>
      <c r="O741" s="12"/>
      <c r="P741" s="11"/>
      <c r="Q741" s="13"/>
      <c r="R741" s="14"/>
    </row>
    <row r="742" spans="1:18" ht="15" customHeight="1" x14ac:dyDescent="0.3">
      <c r="A742" s="17" t="s">
        <v>60</v>
      </c>
      <c r="B742" s="17" t="s">
        <v>404</v>
      </c>
      <c r="C742" s="18">
        <v>0.72222222222222221</v>
      </c>
      <c r="D742" s="17" t="s">
        <v>65</v>
      </c>
      <c r="E742" s="17" t="s">
        <v>54</v>
      </c>
      <c r="F742" s="17" t="s">
        <v>511</v>
      </c>
      <c r="G742" s="298"/>
      <c r="H742" s="10"/>
      <c r="I742" s="11"/>
      <c r="J742" s="11"/>
      <c r="K742" s="11"/>
      <c r="L742" s="11"/>
      <c r="M742" s="11"/>
      <c r="N742" s="11"/>
      <c r="O742" s="12"/>
      <c r="P742" s="11"/>
      <c r="Q742" s="13"/>
      <c r="R742" s="14"/>
    </row>
    <row r="743" spans="1:18" ht="15" customHeight="1" x14ac:dyDescent="0.3">
      <c r="A743" s="17" t="s">
        <v>60</v>
      </c>
      <c r="B743" s="17" t="s">
        <v>402</v>
      </c>
      <c r="C743" s="18">
        <v>0.11805555555555559</v>
      </c>
      <c r="D743" s="17" t="s">
        <v>65</v>
      </c>
      <c r="E743" s="17" t="s">
        <v>54</v>
      </c>
      <c r="F743" s="17" t="s">
        <v>511</v>
      </c>
      <c r="G743" s="298"/>
      <c r="H743" s="10"/>
      <c r="I743" s="11"/>
      <c r="J743" s="11"/>
      <c r="K743" s="11"/>
      <c r="L743" s="11"/>
      <c r="M743" s="11"/>
      <c r="N743" s="11"/>
      <c r="O743" s="12"/>
      <c r="P743" s="11"/>
      <c r="Q743" s="13"/>
      <c r="R743" s="14"/>
    </row>
    <row r="744" spans="1:18" ht="15" customHeight="1" x14ac:dyDescent="0.3">
      <c r="A744" s="17" t="s">
        <v>60</v>
      </c>
      <c r="B744" s="17" t="s">
        <v>445</v>
      </c>
      <c r="C744" s="18">
        <v>0.94097222222222221</v>
      </c>
      <c r="D744" s="17" t="s">
        <v>65</v>
      </c>
      <c r="E744" s="17" t="s">
        <v>54</v>
      </c>
      <c r="F744" s="17" t="s">
        <v>511</v>
      </c>
      <c r="G744" s="298"/>
      <c r="H744" s="10"/>
      <c r="I744" s="11"/>
      <c r="J744" s="11"/>
      <c r="K744" s="11"/>
      <c r="L744" s="11"/>
      <c r="M744" s="11"/>
      <c r="N744" s="11"/>
      <c r="O744" s="12"/>
      <c r="P744" s="11"/>
      <c r="Q744" s="13"/>
      <c r="R744" s="14"/>
    </row>
    <row r="745" spans="1:18" ht="15" customHeight="1" x14ac:dyDescent="0.3">
      <c r="A745" s="17" t="s">
        <v>60</v>
      </c>
      <c r="B745" s="17" t="s">
        <v>397</v>
      </c>
      <c r="C745" s="18">
        <v>0.39930555555555558</v>
      </c>
      <c r="D745" s="17" t="s">
        <v>65</v>
      </c>
      <c r="E745" s="17" t="s">
        <v>72</v>
      </c>
      <c r="F745" s="17" t="s">
        <v>512</v>
      </c>
      <c r="G745" s="298"/>
      <c r="H745" s="10"/>
      <c r="I745" s="11"/>
      <c r="J745" s="11"/>
      <c r="K745" s="11"/>
      <c r="L745" s="11"/>
      <c r="M745" s="11"/>
      <c r="N745" s="11"/>
      <c r="O745" s="12"/>
      <c r="P745" s="11"/>
      <c r="Q745" s="13"/>
      <c r="R745" s="14"/>
    </row>
    <row r="746" spans="1:18" ht="15" customHeight="1" x14ac:dyDescent="0.3">
      <c r="A746" s="17" t="s">
        <v>60</v>
      </c>
      <c r="B746" s="17" t="s">
        <v>395</v>
      </c>
      <c r="C746" s="18">
        <v>0.98958333333333337</v>
      </c>
      <c r="D746" s="17" t="s">
        <v>65</v>
      </c>
      <c r="E746" s="17" t="s">
        <v>72</v>
      </c>
      <c r="F746" s="17" t="s">
        <v>524</v>
      </c>
      <c r="G746" s="298"/>
      <c r="H746" s="10"/>
      <c r="I746" s="11"/>
      <c r="J746" s="11"/>
      <c r="K746" s="11"/>
      <c r="L746" s="11"/>
      <c r="M746" s="11"/>
      <c r="N746" s="11"/>
      <c r="O746" s="12"/>
      <c r="P746" s="11"/>
      <c r="Q746" s="13"/>
      <c r="R746" s="14"/>
    </row>
    <row r="747" spans="1:18" ht="15" customHeight="1" x14ac:dyDescent="0.3">
      <c r="A747" s="17" t="s">
        <v>60</v>
      </c>
      <c r="B747" s="17" t="s">
        <v>398</v>
      </c>
      <c r="C747" s="18">
        <v>0.48958333333333331</v>
      </c>
      <c r="D747" s="17" t="s">
        <v>65</v>
      </c>
      <c r="E747" s="17" t="s">
        <v>72</v>
      </c>
      <c r="F747" s="17" t="s">
        <v>524</v>
      </c>
      <c r="G747" s="298"/>
      <c r="H747" s="10"/>
      <c r="I747" s="11"/>
      <c r="J747" s="11"/>
      <c r="K747" s="11"/>
      <c r="L747" s="11"/>
      <c r="M747" s="11"/>
      <c r="N747" s="11"/>
      <c r="O747" s="12"/>
      <c r="P747" s="11"/>
      <c r="Q747" s="13"/>
      <c r="R747" s="14"/>
    </row>
    <row r="748" spans="1:18" ht="15" customHeight="1" x14ac:dyDescent="0.3">
      <c r="A748" s="17" t="s">
        <v>60</v>
      </c>
      <c r="B748" s="17" t="s">
        <v>399</v>
      </c>
      <c r="C748" s="18">
        <v>0.88888888888888884</v>
      </c>
      <c r="D748" s="17" t="s">
        <v>65</v>
      </c>
      <c r="E748" s="17" t="s">
        <v>72</v>
      </c>
      <c r="F748" s="17" t="s">
        <v>524</v>
      </c>
      <c r="G748" s="298"/>
      <c r="H748" s="10"/>
      <c r="I748" s="11"/>
      <c r="J748" s="11"/>
      <c r="K748" s="11"/>
      <c r="L748" s="11"/>
      <c r="M748" s="11"/>
      <c r="N748" s="11"/>
      <c r="O748" s="12"/>
      <c r="P748" s="11"/>
      <c r="Q748" s="13"/>
      <c r="R748" s="14"/>
    </row>
    <row r="749" spans="1:18" ht="15" customHeight="1" x14ac:dyDescent="0.3">
      <c r="A749" s="17" t="s">
        <v>60</v>
      </c>
      <c r="B749" s="17" t="s">
        <v>446</v>
      </c>
      <c r="C749" s="18">
        <v>0.48958333333333331</v>
      </c>
      <c r="D749" s="17" t="s">
        <v>65</v>
      </c>
      <c r="E749" s="17" t="s">
        <v>54</v>
      </c>
      <c r="F749" s="17" t="s">
        <v>401</v>
      </c>
      <c r="G749" s="298"/>
      <c r="H749" s="10"/>
      <c r="I749" s="11"/>
      <c r="J749" s="11"/>
      <c r="K749" s="11"/>
      <c r="L749" s="11"/>
      <c r="M749" s="11"/>
      <c r="N749" s="11"/>
      <c r="O749" s="12"/>
      <c r="P749" s="11"/>
      <c r="Q749" s="13"/>
      <c r="R749" s="14"/>
    </row>
    <row r="750" spans="1:18" ht="15" customHeight="1" x14ac:dyDescent="0.3">
      <c r="A750" s="17" t="s">
        <v>60</v>
      </c>
      <c r="B750" s="17" t="s">
        <v>403</v>
      </c>
      <c r="C750" s="18">
        <v>0.70138888888888884</v>
      </c>
      <c r="D750" s="17" t="s">
        <v>65</v>
      </c>
      <c r="E750" s="17" t="s">
        <v>353</v>
      </c>
      <c r="F750" s="17" t="s">
        <v>401</v>
      </c>
      <c r="G750" s="298"/>
      <c r="H750" s="10"/>
      <c r="I750" s="11"/>
      <c r="J750" s="11"/>
      <c r="K750" s="11"/>
      <c r="L750" s="11"/>
      <c r="M750" s="11"/>
      <c r="N750" s="11"/>
      <c r="O750" s="12"/>
      <c r="P750" s="11"/>
      <c r="Q750" s="13"/>
      <c r="R750" s="14"/>
    </row>
    <row r="751" spans="1:18" ht="15" customHeight="1" x14ac:dyDescent="0.3">
      <c r="A751" s="17" t="s">
        <v>60</v>
      </c>
      <c r="B751" s="17" t="s">
        <v>393</v>
      </c>
      <c r="C751" s="18">
        <v>0.25347222222222221</v>
      </c>
      <c r="D751" s="17" t="s">
        <v>65</v>
      </c>
      <c r="E751" s="17" t="s">
        <v>54</v>
      </c>
      <c r="F751" s="17" t="s">
        <v>401</v>
      </c>
      <c r="G751" s="298"/>
      <c r="H751" s="10"/>
      <c r="I751" s="11"/>
      <c r="J751" s="11"/>
      <c r="K751" s="11"/>
      <c r="L751" s="11"/>
      <c r="M751" s="11"/>
      <c r="N751" s="11"/>
      <c r="O751" s="12"/>
      <c r="P751" s="11"/>
      <c r="Q751" s="13"/>
      <c r="R751" s="14"/>
    </row>
    <row r="752" spans="1:18" ht="15" customHeight="1" x14ac:dyDescent="0.3">
      <c r="A752" s="17" t="s">
        <v>60</v>
      </c>
      <c r="B752" s="17" t="s">
        <v>444</v>
      </c>
      <c r="C752" s="18">
        <v>4.1666666666666657E-2</v>
      </c>
      <c r="D752" s="17" t="s">
        <v>65</v>
      </c>
      <c r="E752" s="17" t="s">
        <v>58</v>
      </c>
      <c r="F752" s="17" t="s">
        <v>405</v>
      </c>
      <c r="G752" s="298"/>
      <c r="H752" s="10"/>
      <c r="I752" s="11"/>
      <c r="J752" s="11"/>
      <c r="K752" s="11"/>
      <c r="L752" s="11"/>
      <c r="M752" s="11"/>
      <c r="N752" s="11"/>
      <c r="O752" s="12"/>
      <c r="P752" s="11"/>
      <c r="Q752" s="13"/>
      <c r="R752" s="14"/>
    </row>
    <row r="753" spans="1:18" ht="15" customHeight="1" x14ac:dyDescent="0.3">
      <c r="A753" s="19" t="s">
        <v>48</v>
      </c>
      <c r="B753" s="19" t="s">
        <v>411</v>
      </c>
      <c r="C753" s="20">
        <v>0.1041666666666667</v>
      </c>
      <c r="D753" s="19" t="s">
        <v>50</v>
      </c>
      <c r="E753" s="19" t="s">
        <v>63</v>
      </c>
      <c r="F753" s="19" t="s">
        <v>476</v>
      </c>
      <c r="G753" s="298"/>
      <c r="H753" s="10"/>
      <c r="I753" s="11"/>
      <c r="J753" s="11"/>
      <c r="K753" s="11"/>
      <c r="L753" s="11"/>
      <c r="M753" s="11"/>
      <c r="N753" s="11"/>
      <c r="O753" s="12"/>
      <c r="P753" s="11"/>
      <c r="Q753" s="13"/>
      <c r="R753" s="14"/>
    </row>
    <row r="754" spans="1:18" ht="15" customHeight="1" x14ac:dyDescent="0.3">
      <c r="A754" s="17" t="s">
        <v>48</v>
      </c>
      <c r="B754" s="17" t="s">
        <v>406</v>
      </c>
      <c r="C754" s="18">
        <v>0.78472222222222221</v>
      </c>
      <c r="D754" s="17" t="s">
        <v>50</v>
      </c>
      <c r="E754" s="17" t="s">
        <v>54</v>
      </c>
      <c r="F754" s="17" t="s">
        <v>476</v>
      </c>
      <c r="G754" s="298"/>
      <c r="H754" s="10"/>
      <c r="I754" s="11"/>
      <c r="J754" s="11"/>
      <c r="K754" s="11"/>
      <c r="L754" s="11"/>
      <c r="M754" s="11"/>
      <c r="N754" s="11"/>
      <c r="O754" s="12"/>
      <c r="P754" s="11"/>
      <c r="Q754" s="13"/>
      <c r="R754" s="14"/>
    </row>
    <row r="755" spans="1:18" ht="15" customHeight="1" x14ac:dyDescent="0.3">
      <c r="A755" s="17" t="s">
        <v>48</v>
      </c>
      <c r="B755" s="17" t="s">
        <v>415</v>
      </c>
      <c r="C755" s="18">
        <v>4.8611111111111112E-2</v>
      </c>
      <c r="D755" s="17" t="s">
        <v>50</v>
      </c>
      <c r="E755" s="17" t="s">
        <v>54</v>
      </c>
      <c r="F755" s="17" t="s">
        <v>476</v>
      </c>
      <c r="G755" s="298"/>
      <c r="H755" s="10"/>
      <c r="I755" s="11"/>
      <c r="J755" s="11"/>
      <c r="K755" s="11"/>
      <c r="L755" s="11"/>
      <c r="M755" s="11"/>
      <c r="N755" s="11"/>
      <c r="O755" s="12"/>
      <c r="P755" s="11"/>
      <c r="Q755" s="13"/>
      <c r="R755" s="14"/>
    </row>
    <row r="756" spans="1:18" ht="15" customHeight="1" x14ac:dyDescent="0.3">
      <c r="A756" s="17" t="s">
        <v>48</v>
      </c>
      <c r="B756" s="17" t="s">
        <v>410</v>
      </c>
      <c r="C756" s="18">
        <v>0.97222222222222221</v>
      </c>
      <c r="D756" s="17" t="s">
        <v>50</v>
      </c>
      <c r="E756" s="17" t="s">
        <v>355</v>
      </c>
      <c r="F756" s="17" t="s">
        <v>409</v>
      </c>
      <c r="G756" s="298"/>
      <c r="H756" s="10"/>
      <c r="I756" s="11"/>
      <c r="J756" s="11"/>
      <c r="K756" s="11"/>
      <c r="L756" s="11"/>
      <c r="M756" s="11"/>
      <c r="N756" s="11"/>
      <c r="O756" s="12"/>
      <c r="P756" s="11"/>
      <c r="Q756" s="13"/>
      <c r="R756" s="14"/>
    </row>
    <row r="757" spans="1:18" ht="15" customHeight="1" x14ac:dyDescent="0.3">
      <c r="A757" s="39" t="s">
        <v>48</v>
      </c>
      <c r="B757" s="39" t="s">
        <v>412</v>
      </c>
      <c r="C757" s="40">
        <v>0.60069444444444442</v>
      </c>
      <c r="D757" s="39" t="s">
        <v>50</v>
      </c>
      <c r="E757" s="39" t="s">
        <v>54</v>
      </c>
      <c r="F757" s="39" t="s">
        <v>409</v>
      </c>
      <c r="G757" s="299"/>
      <c r="H757" s="41"/>
      <c r="I757" s="42"/>
      <c r="J757" s="42"/>
      <c r="K757" s="42"/>
      <c r="L757" s="42"/>
      <c r="M757" s="42"/>
      <c r="N757" s="42"/>
      <c r="O757" s="43"/>
      <c r="P757" s="42"/>
      <c r="Q757" s="44"/>
      <c r="R757" s="45"/>
    </row>
  </sheetData>
  <mergeCells count="50">
    <mergeCell ref="A87:F87"/>
    <mergeCell ref="G694:G757"/>
    <mergeCell ref="A229:R229"/>
    <mergeCell ref="A692:F692"/>
    <mergeCell ref="A437:F437"/>
    <mergeCell ref="H304:R304"/>
    <mergeCell ref="A304:F304"/>
    <mergeCell ref="G502:G560"/>
    <mergeCell ref="A691:R691"/>
    <mergeCell ref="G306:G372"/>
    <mergeCell ref="G2:J2"/>
    <mergeCell ref="A4:F4"/>
    <mergeCell ref="H562:R562"/>
    <mergeCell ref="A303:R303"/>
    <mergeCell ref="N1:R1"/>
    <mergeCell ref="H437:R437"/>
    <mergeCell ref="A152:F152"/>
    <mergeCell ref="A373:R373"/>
    <mergeCell ref="H374:R374"/>
    <mergeCell ref="A230:F230"/>
    <mergeCell ref="G232:G302"/>
    <mergeCell ref="A436:R436"/>
    <mergeCell ref="K2:R2"/>
    <mergeCell ref="A500:F500"/>
    <mergeCell ref="H87:R87"/>
    <mergeCell ref="G6:G85"/>
    <mergeCell ref="A374:F374"/>
    <mergeCell ref="G439:G498"/>
    <mergeCell ref="H692:R692"/>
    <mergeCell ref="G154:G228"/>
    <mergeCell ref="A151:R151"/>
    <mergeCell ref="G628:G690"/>
    <mergeCell ref="H626:R626"/>
    <mergeCell ref="G564:G624"/>
    <mergeCell ref="G376:G435"/>
    <mergeCell ref="A561:R561"/>
    <mergeCell ref="A625:R625"/>
    <mergeCell ref="A626:F626"/>
    <mergeCell ref="H1:L1"/>
    <mergeCell ref="A1:E1"/>
    <mergeCell ref="H230:R230"/>
    <mergeCell ref="H4:R4"/>
    <mergeCell ref="G89:G150"/>
    <mergeCell ref="H500:R500"/>
    <mergeCell ref="A2:F2"/>
    <mergeCell ref="A3:R3"/>
    <mergeCell ref="A86:R86"/>
    <mergeCell ref="H152:R152"/>
    <mergeCell ref="A562:F562"/>
    <mergeCell ref="A499:R499"/>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56"/>
  <sheetViews>
    <sheetView workbookViewId="0"/>
  </sheetViews>
  <sheetFormatPr defaultRowHeight="15.6" outlineLevelCol="1" x14ac:dyDescent="0.3"/>
  <cols>
    <col min="1" max="1" width="11.5546875" style="316" bestFit="1" customWidth="1"/>
    <col min="2" max="2" width="10.44140625" style="316" bestFit="1" customWidth="1"/>
    <col min="3" max="3" width="6.77734375" style="316" bestFit="1" customWidth="1"/>
    <col min="4" max="4" width="5.5546875" style="316" bestFit="1" customWidth="1"/>
    <col min="5" max="5" width="7.5546875" style="316" bestFit="1" customWidth="1"/>
    <col min="6" max="6" width="4.21875" style="316" bestFit="1" customWidth="1"/>
    <col min="7" max="7" width="10" style="316" bestFit="1" customWidth="1"/>
    <col min="8" max="10" width="8.5546875" style="316" bestFit="1" customWidth="1"/>
    <col min="11" max="11" width="10.5546875" style="316" bestFit="1" customWidth="1"/>
    <col min="12" max="12" width="9.109375" style="316" bestFit="1" customWidth="1"/>
    <col min="13" max="13" width="7.6640625" style="316" bestFit="1" customWidth="1" outlineLevel="1"/>
    <col min="14" max="14" width="7" style="316" bestFit="1" customWidth="1" outlineLevel="1"/>
    <col min="15" max="15" width="8.5546875" style="316" bestFit="1" customWidth="1" outlineLevel="1"/>
    <col min="16" max="16" width="13.6640625" style="316" bestFit="1" customWidth="1"/>
    <col min="17" max="21" width="3.88671875" style="316" bestFit="1" customWidth="1"/>
    <col min="22" max="22" width="4.21875" style="316" bestFit="1" customWidth="1"/>
    <col min="23" max="23" width="4.33203125" style="316" bestFit="1" customWidth="1"/>
    <col min="24" max="24" width="4.1093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1" width="4.5546875" style="316" bestFit="1" customWidth="1"/>
    <col min="32" max="32" width="3.88671875" style="316" bestFit="1" customWidth="1"/>
    <col min="33" max="33" width="4.21875" style="316" bestFit="1" customWidth="1"/>
    <col min="34" max="34" width="3.88671875" style="316" bestFit="1" customWidth="1"/>
    <col min="35" max="35" width="5.21875" style="316" bestFit="1" customWidth="1"/>
    <col min="36" max="36" width="5.4414062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371</v>
      </c>
      <c r="D2" s="320" t="s">
        <v>240</v>
      </c>
      <c r="E2" s="319" t="s">
        <v>335</v>
      </c>
      <c r="F2" s="319" t="s">
        <v>189</v>
      </c>
      <c r="G2" s="321">
        <v>0.9385</v>
      </c>
      <c r="H2" s="322">
        <v>179</v>
      </c>
      <c r="I2" s="322">
        <v>168</v>
      </c>
      <c r="J2" s="322">
        <v>74</v>
      </c>
      <c r="K2" s="319" t="s">
        <v>190</v>
      </c>
      <c r="L2" s="323">
        <v>45980</v>
      </c>
      <c r="M2" s="322">
        <v>1</v>
      </c>
      <c r="N2" s="322">
        <v>2</v>
      </c>
      <c r="O2" s="322">
        <v>84</v>
      </c>
      <c r="P2" s="319" t="s">
        <v>372</v>
      </c>
      <c r="Q2" s="315"/>
      <c r="R2" s="315"/>
      <c r="S2" s="315"/>
      <c r="T2" s="315"/>
      <c r="U2" s="315"/>
      <c r="V2" s="315"/>
      <c r="W2" s="315"/>
      <c r="X2" s="315"/>
      <c r="Y2" s="315"/>
      <c r="Z2" s="322" t="s">
        <v>368</v>
      </c>
      <c r="AA2" s="322" t="s">
        <v>575</v>
      </c>
      <c r="AB2" s="322" t="s">
        <v>576</v>
      </c>
      <c r="AC2" s="322" t="s">
        <v>577</v>
      </c>
      <c r="AD2" s="322" t="s">
        <v>315</v>
      </c>
      <c r="AE2" s="322" t="s">
        <v>195</v>
      </c>
      <c r="AF2" s="322" t="s">
        <v>578</v>
      </c>
      <c r="AG2" s="322" t="s">
        <v>579</v>
      </c>
      <c r="AH2" s="315"/>
      <c r="AI2" s="322" t="s">
        <v>580</v>
      </c>
      <c r="AJ2" s="315"/>
    </row>
    <row r="3" spans="1:36" x14ac:dyDescent="0.3">
      <c r="A3" s="317" t="s">
        <v>187</v>
      </c>
      <c r="B3" s="318">
        <v>45981</v>
      </c>
      <c r="C3" s="319" t="s">
        <v>375</v>
      </c>
      <c r="D3" s="320" t="s">
        <v>581</v>
      </c>
      <c r="E3" s="319" t="s">
        <v>335</v>
      </c>
      <c r="F3" s="319" t="s">
        <v>189</v>
      </c>
      <c r="G3" s="321">
        <v>0.84440000000000004</v>
      </c>
      <c r="H3" s="322">
        <v>180</v>
      </c>
      <c r="I3" s="322">
        <v>152</v>
      </c>
      <c r="J3" s="322">
        <v>46</v>
      </c>
      <c r="K3" s="319" t="s">
        <v>190</v>
      </c>
      <c r="L3" s="323">
        <v>45980</v>
      </c>
      <c r="M3" s="322">
        <v>1</v>
      </c>
      <c r="N3" s="322">
        <v>3</v>
      </c>
      <c r="O3" s="322">
        <v>93</v>
      </c>
      <c r="P3" s="319" t="s">
        <v>376</v>
      </c>
      <c r="Q3" s="315"/>
      <c r="R3" s="315"/>
      <c r="S3" s="315"/>
      <c r="T3" s="315"/>
      <c r="U3" s="315"/>
      <c r="V3" s="315"/>
      <c r="W3" s="315"/>
      <c r="X3" s="315"/>
      <c r="Y3" s="322" t="s">
        <v>209</v>
      </c>
      <c r="Z3" s="322" t="s">
        <v>486</v>
      </c>
      <c r="AA3" s="322" t="s">
        <v>575</v>
      </c>
      <c r="AB3" s="322" t="s">
        <v>576</v>
      </c>
      <c r="AC3" s="322" t="s">
        <v>577</v>
      </c>
      <c r="AD3" s="322" t="s">
        <v>315</v>
      </c>
      <c r="AE3" s="322" t="s">
        <v>195</v>
      </c>
      <c r="AF3" s="322" t="s">
        <v>582</v>
      </c>
      <c r="AG3" s="315"/>
      <c r="AH3" s="315"/>
      <c r="AI3" s="322" t="s">
        <v>583</v>
      </c>
      <c r="AJ3" s="315"/>
    </row>
    <row r="4" spans="1:36" x14ac:dyDescent="0.3">
      <c r="A4" s="317" t="s">
        <v>187</v>
      </c>
      <c r="B4" s="318">
        <v>45981</v>
      </c>
      <c r="C4" s="319" t="s">
        <v>367</v>
      </c>
      <c r="D4" s="320" t="s">
        <v>584</v>
      </c>
      <c r="E4" s="319" t="s">
        <v>335</v>
      </c>
      <c r="F4" s="319" t="s">
        <v>189</v>
      </c>
      <c r="G4" s="321">
        <v>0.91110000000000002</v>
      </c>
      <c r="H4" s="322">
        <v>180</v>
      </c>
      <c r="I4" s="322">
        <v>164</v>
      </c>
      <c r="J4" s="322">
        <v>92</v>
      </c>
      <c r="K4" s="319" t="s">
        <v>190</v>
      </c>
      <c r="L4" s="323">
        <v>45979</v>
      </c>
      <c r="M4" s="322">
        <v>0</v>
      </c>
      <c r="N4" s="322">
        <v>2</v>
      </c>
      <c r="O4" s="322">
        <v>49</v>
      </c>
      <c r="P4" s="319" t="s">
        <v>368</v>
      </c>
      <c r="Q4" s="315"/>
      <c r="R4" s="315"/>
      <c r="S4" s="315"/>
      <c r="T4" s="315"/>
      <c r="U4" s="315"/>
      <c r="V4" s="315"/>
      <c r="W4" s="315"/>
      <c r="X4" s="322" t="s">
        <v>224</v>
      </c>
      <c r="Y4" s="315"/>
      <c r="Z4" s="322" t="s">
        <v>585</v>
      </c>
      <c r="AA4" s="322" t="s">
        <v>586</v>
      </c>
      <c r="AB4" s="322" t="s">
        <v>587</v>
      </c>
      <c r="AC4" s="322" t="s">
        <v>193</v>
      </c>
      <c r="AD4" s="322" t="s">
        <v>216</v>
      </c>
      <c r="AE4" s="322" t="s">
        <v>588</v>
      </c>
      <c r="AF4" s="322" t="s">
        <v>196</v>
      </c>
      <c r="AG4" s="315"/>
      <c r="AH4" s="315"/>
      <c r="AI4" s="322" t="s">
        <v>589</v>
      </c>
      <c r="AJ4" s="322" t="s">
        <v>212</v>
      </c>
    </row>
    <row r="5" spans="1:36" x14ac:dyDescent="0.3">
      <c r="A5" s="317" t="s">
        <v>187</v>
      </c>
      <c r="B5" s="318">
        <v>45981</v>
      </c>
      <c r="C5" s="319" t="s">
        <v>383</v>
      </c>
      <c r="D5" s="320" t="s">
        <v>590</v>
      </c>
      <c r="E5" s="319" t="s">
        <v>335</v>
      </c>
      <c r="F5" s="319" t="s">
        <v>189</v>
      </c>
      <c r="G5" s="321">
        <v>1.0111000000000001</v>
      </c>
      <c r="H5" s="322">
        <v>180</v>
      </c>
      <c r="I5" s="322">
        <v>182</v>
      </c>
      <c r="J5" s="322">
        <v>140</v>
      </c>
      <c r="K5" s="319" t="s">
        <v>190</v>
      </c>
      <c r="L5" s="323">
        <v>45972</v>
      </c>
      <c r="M5" s="322">
        <v>0</v>
      </c>
      <c r="N5" s="322">
        <v>0</v>
      </c>
      <c r="O5" s="322">
        <v>0</v>
      </c>
      <c r="P5" s="319" t="s">
        <v>81</v>
      </c>
      <c r="Q5" s="315"/>
      <c r="R5" s="315"/>
      <c r="S5" s="315"/>
      <c r="T5" s="315"/>
      <c r="U5" s="315"/>
      <c r="V5" s="315"/>
      <c r="W5" s="315"/>
      <c r="X5" s="315"/>
      <c r="Y5" s="315"/>
      <c r="Z5" s="322" t="s">
        <v>591</v>
      </c>
      <c r="AA5" s="315"/>
      <c r="AB5" s="315"/>
      <c r="AC5" s="322" t="s">
        <v>280</v>
      </c>
      <c r="AD5" s="315"/>
      <c r="AE5" s="322" t="s">
        <v>332</v>
      </c>
      <c r="AF5" s="322" t="s">
        <v>592</v>
      </c>
      <c r="AG5" s="315"/>
      <c r="AH5" s="315"/>
      <c r="AI5" s="322" t="s">
        <v>593</v>
      </c>
      <c r="AJ5" s="322" t="s">
        <v>594</v>
      </c>
    </row>
    <row r="6" spans="1:36" x14ac:dyDescent="0.3">
      <c r="A6" s="317" t="s">
        <v>187</v>
      </c>
      <c r="B6" s="318">
        <v>45981</v>
      </c>
      <c r="C6" s="319" t="s">
        <v>363</v>
      </c>
      <c r="D6" s="320" t="s">
        <v>595</v>
      </c>
      <c r="E6" s="319" t="s">
        <v>335</v>
      </c>
      <c r="F6" s="319" t="s">
        <v>189</v>
      </c>
      <c r="G6" s="321">
        <v>0.97219999999999995</v>
      </c>
      <c r="H6" s="322">
        <v>180</v>
      </c>
      <c r="I6" s="322">
        <v>175</v>
      </c>
      <c r="J6" s="322">
        <v>133</v>
      </c>
      <c r="K6" s="319" t="s">
        <v>190</v>
      </c>
      <c r="L6" s="323">
        <v>45974</v>
      </c>
      <c r="M6" s="322">
        <v>0</v>
      </c>
      <c r="N6" s="322">
        <v>0</v>
      </c>
      <c r="O6" s="322">
        <v>52</v>
      </c>
      <c r="P6" s="319" t="s">
        <v>319</v>
      </c>
      <c r="Q6" s="315"/>
      <c r="R6" s="315"/>
      <c r="S6" s="315"/>
      <c r="T6" s="315"/>
      <c r="U6" s="315"/>
      <c r="V6" s="315"/>
      <c r="W6" s="315"/>
      <c r="X6" s="315"/>
      <c r="Y6" s="315"/>
      <c r="Z6" s="322" t="s">
        <v>312</v>
      </c>
      <c r="AA6" s="315"/>
      <c r="AB6" s="322" t="s">
        <v>596</v>
      </c>
      <c r="AC6" s="322" t="s">
        <v>597</v>
      </c>
      <c r="AD6" s="322" t="s">
        <v>216</v>
      </c>
      <c r="AE6" s="322" t="s">
        <v>598</v>
      </c>
      <c r="AF6" s="322" t="s">
        <v>599</v>
      </c>
      <c r="AG6" s="315"/>
      <c r="AH6" s="315"/>
      <c r="AI6" s="322" t="s">
        <v>229</v>
      </c>
      <c r="AJ6" s="315"/>
    </row>
    <row r="7" spans="1:36" x14ac:dyDescent="0.3">
      <c r="A7" s="317" t="s">
        <v>187</v>
      </c>
      <c r="B7" s="318">
        <v>45981</v>
      </c>
      <c r="C7" s="319" t="s">
        <v>380</v>
      </c>
      <c r="D7" s="320" t="s">
        <v>600</v>
      </c>
      <c r="E7" s="319" t="s">
        <v>335</v>
      </c>
      <c r="F7" s="319" t="s">
        <v>189</v>
      </c>
      <c r="G7" s="321">
        <v>0.82220000000000004</v>
      </c>
      <c r="H7" s="322">
        <v>180</v>
      </c>
      <c r="I7" s="322">
        <v>148</v>
      </c>
      <c r="J7" s="322">
        <v>30</v>
      </c>
      <c r="K7" s="319" t="s">
        <v>190</v>
      </c>
      <c r="L7" s="323">
        <v>45980</v>
      </c>
      <c r="M7" s="322">
        <v>1</v>
      </c>
      <c r="N7" s="322">
        <v>9</v>
      </c>
      <c r="O7" s="322">
        <v>50</v>
      </c>
      <c r="P7" s="319" t="s">
        <v>381</v>
      </c>
      <c r="Q7" s="315"/>
      <c r="R7" s="315"/>
      <c r="S7" s="315"/>
      <c r="T7" s="315"/>
      <c r="U7" s="315"/>
      <c r="V7" s="315"/>
      <c r="W7" s="315"/>
      <c r="X7" s="315"/>
      <c r="Y7" s="315"/>
      <c r="Z7" s="322" t="s">
        <v>601</v>
      </c>
      <c r="AA7" s="322" t="s">
        <v>602</v>
      </c>
      <c r="AB7" s="322" t="s">
        <v>576</v>
      </c>
      <c r="AC7" s="322" t="s">
        <v>577</v>
      </c>
      <c r="AD7" s="322" t="s">
        <v>315</v>
      </c>
      <c r="AE7" s="322" t="s">
        <v>195</v>
      </c>
      <c r="AF7" s="322" t="s">
        <v>603</v>
      </c>
      <c r="AG7" s="322" t="s">
        <v>604</v>
      </c>
      <c r="AH7" s="315"/>
      <c r="AI7" s="315"/>
      <c r="AJ7" s="322" t="s">
        <v>605</v>
      </c>
    </row>
    <row r="8" spans="1:36" x14ac:dyDescent="0.3">
      <c r="A8" s="317" t="s">
        <v>606</v>
      </c>
      <c r="B8" s="318">
        <v>45982</v>
      </c>
      <c r="C8" s="319" t="s">
        <v>375</v>
      </c>
      <c r="D8" s="320" t="s">
        <v>607</v>
      </c>
      <c r="E8" s="319" t="s">
        <v>335</v>
      </c>
      <c r="F8" s="319" t="s">
        <v>189</v>
      </c>
      <c r="G8" s="321">
        <v>0.62219999999999998</v>
      </c>
      <c r="H8" s="322">
        <v>180</v>
      </c>
      <c r="I8" s="322">
        <v>112</v>
      </c>
      <c r="J8" s="322">
        <v>0</v>
      </c>
      <c r="K8" s="319" t="s">
        <v>190</v>
      </c>
      <c r="L8" s="323">
        <v>45979</v>
      </c>
      <c r="M8" s="322">
        <v>0</v>
      </c>
      <c r="N8" s="322">
        <v>4</v>
      </c>
      <c r="O8" s="322">
        <v>58</v>
      </c>
      <c r="P8" s="319" t="s">
        <v>323</v>
      </c>
      <c r="Q8" s="315"/>
      <c r="R8" s="315"/>
      <c r="S8" s="315"/>
      <c r="T8" s="315"/>
      <c r="U8" s="315"/>
      <c r="V8" s="315"/>
      <c r="W8" s="315"/>
      <c r="X8" s="315"/>
      <c r="Y8" s="315"/>
      <c r="Z8" s="322" t="s">
        <v>372</v>
      </c>
      <c r="AA8" s="322" t="s">
        <v>422</v>
      </c>
      <c r="AB8" s="322" t="s">
        <v>608</v>
      </c>
      <c r="AC8" s="322" t="s">
        <v>193</v>
      </c>
      <c r="AD8" s="322" t="s">
        <v>315</v>
      </c>
      <c r="AE8" s="322" t="s">
        <v>609</v>
      </c>
      <c r="AF8" s="322" t="s">
        <v>610</v>
      </c>
      <c r="AG8" s="315"/>
      <c r="AH8" s="315"/>
      <c r="AI8" s="315"/>
      <c r="AJ8" s="315"/>
    </row>
    <row r="9" spans="1:36" x14ac:dyDescent="0.3">
      <c r="A9" s="317" t="s">
        <v>606</v>
      </c>
      <c r="B9" s="318">
        <v>45982</v>
      </c>
      <c r="C9" s="319" t="s">
        <v>383</v>
      </c>
      <c r="D9" s="320" t="s">
        <v>611</v>
      </c>
      <c r="E9" s="319" t="s">
        <v>335</v>
      </c>
      <c r="F9" s="319" t="s">
        <v>189</v>
      </c>
      <c r="G9" s="321">
        <v>0.81669999999999998</v>
      </c>
      <c r="H9" s="322">
        <v>180</v>
      </c>
      <c r="I9" s="322">
        <v>147</v>
      </c>
      <c r="J9" s="322">
        <v>41</v>
      </c>
      <c r="K9" s="319" t="s">
        <v>190</v>
      </c>
      <c r="L9" s="323">
        <v>45980</v>
      </c>
      <c r="M9" s="322">
        <v>4</v>
      </c>
      <c r="N9" s="322">
        <v>65</v>
      </c>
      <c r="O9" s="322">
        <v>120</v>
      </c>
      <c r="P9" s="319" t="s">
        <v>425</v>
      </c>
      <c r="Q9" s="315"/>
      <c r="R9" s="315"/>
      <c r="S9" s="315"/>
      <c r="T9" s="315"/>
      <c r="U9" s="315"/>
      <c r="V9" s="315"/>
      <c r="W9" s="315"/>
      <c r="X9" s="315"/>
      <c r="Y9" s="315"/>
      <c r="Z9" s="322" t="s">
        <v>283</v>
      </c>
      <c r="AA9" s="322" t="s">
        <v>586</v>
      </c>
      <c r="AB9" s="322" t="s">
        <v>612</v>
      </c>
      <c r="AC9" s="322" t="s">
        <v>613</v>
      </c>
      <c r="AD9" s="322" t="s">
        <v>315</v>
      </c>
      <c r="AE9" s="322" t="s">
        <v>588</v>
      </c>
      <c r="AF9" s="322" t="s">
        <v>196</v>
      </c>
      <c r="AG9" s="315"/>
      <c r="AH9" s="315"/>
      <c r="AI9" s="322" t="s">
        <v>614</v>
      </c>
      <c r="AJ9" s="315"/>
    </row>
    <row r="10" spans="1:36" x14ac:dyDescent="0.3">
      <c r="A10" s="317" t="s">
        <v>606</v>
      </c>
      <c r="B10" s="318">
        <v>45982</v>
      </c>
      <c r="C10" s="319" t="s">
        <v>363</v>
      </c>
      <c r="D10" s="320" t="s">
        <v>615</v>
      </c>
      <c r="E10" s="319" t="s">
        <v>335</v>
      </c>
      <c r="F10" s="319" t="s">
        <v>189</v>
      </c>
      <c r="G10" s="321">
        <v>0.65559999999999996</v>
      </c>
      <c r="H10" s="322">
        <v>180</v>
      </c>
      <c r="I10" s="322">
        <v>118</v>
      </c>
      <c r="J10" s="322">
        <v>50</v>
      </c>
      <c r="K10" s="319" t="s">
        <v>190</v>
      </c>
      <c r="L10" s="323">
        <v>45980</v>
      </c>
      <c r="M10" s="322">
        <v>4</v>
      </c>
      <c r="N10" s="322">
        <v>3</v>
      </c>
      <c r="O10" s="322">
        <v>43</v>
      </c>
      <c r="P10" s="319" t="s">
        <v>312</v>
      </c>
      <c r="Q10" s="315"/>
      <c r="R10" s="315"/>
      <c r="S10" s="315"/>
      <c r="T10" s="315"/>
      <c r="U10" s="315"/>
      <c r="V10" s="315"/>
      <c r="W10" s="315"/>
      <c r="X10" s="315"/>
      <c r="Y10" s="315"/>
      <c r="Z10" s="322" t="s">
        <v>376</v>
      </c>
      <c r="AA10" s="322" t="s">
        <v>586</v>
      </c>
      <c r="AB10" s="322" t="s">
        <v>587</v>
      </c>
      <c r="AC10" s="322" t="s">
        <v>193</v>
      </c>
      <c r="AD10" s="322" t="s">
        <v>216</v>
      </c>
      <c r="AE10" s="322" t="s">
        <v>217</v>
      </c>
      <c r="AF10" s="322" t="s">
        <v>616</v>
      </c>
      <c r="AG10" s="315"/>
      <c r="AH10" s="315"/>
      <c r="AI10" s="322" t="s">
        <v>328</v>
      </c>
      <c r="AJ10" s="315"/>
    </row>
    <row r="11" spans="1:36" x14ac:dyDescent="0.3">
      <c r="A11" s="317" t="s">
        <v>606</v>
      </c>
      <c r="B11" s="318">
        <v>45982</v>
      </c>
      <c r="C11" s="319" t="s">
        <v>428</v>
      </c>
      <c r="D11" s="320" t="s">
        <v>617</v>
      </c>
      <c r="E11" s="319" t="s">
        <v>335</v>
      </c>
      <c r="F11" s="319" t="s">
        <v>189</v>
      </c>
      <c r="G11" s="321">
        <v>0.60560000000000003</v>
      </c>
      <c r="H11" s="322">
        <v>180</v>
      </c>
      <c r="I11" s="322">
        <v>109</v>
      </c>
      <c r="J11" s="322">
        <v>0</v>
      </c>
      <c r="K11" s="319" t="s">
        <v>190</v>
      </c>
      <c r="L11" s="323">
        <v>45980</v>
      </c>
      <c r="M11" s="322">
        <v>1</v>
      </c>
      <c r="N11" s="322">
        <v>4</v>
      </c>
      <c r="O11" s="322">
        <v>52</v>
      </c>
      <c r="P11" s="319" t="s">
        <v>313</v>
      </c>
      <c r="Q11" s="315"/>
      <c r="R11" s="315"/>
      <c r="S11" s="315"/>
      <c r="T11" s="315"/>
      <c r="U11" s="315"/>
      <c r="V11" s="315"/>
      <c r="W11" s="315"/>
      <c r="X11" s="315"/>
      <c r="Y11" s="315"/>
      <c r="Z11" s="315"/>
      <c r="AA11" s="322" t="s">
        <v>586</v>
      </c>
      <c r="AB11" s="322" t="s">
        <v>618</v>
      </c>
      <c r="AC11" s="322" t="s">
        <v>619</v>
      </c>
      <c r="AD11" s="322" t="s">
        <v>194</v>
      </c>
      <c r="AE11" s="322" t="s">
        <v>620</v>
      </c>
      <c r="AF11" s="322" t="s">
        <v>621</v>
      </c>
      <c r="AG11" s="315"/>
      <c r="AH11" s="315"/>
      <c r="AI11" s="315"/>
      <c r="AJ11" s="315"/>
    </row>
    <row r="12" spans="1:36" x14ac:dyDescent="0.3">
      <c r="A12" s="317" t="s">
        <v>606</v>
      </c>
      <c r="B12" s="318">
        <v>45982</v>
      </c>
      <c r="C12" s="319" t="s">
        <v>421</v>
      </c>
      <c r="D12" s="320" t="s">
        <v>622</v>
      </c>
      <c r="E12" s="319" t="s">
        <v>335</v>
      </c>
      <c r="F12" s="319" t="s">
        <v>189</v>
      </c>
      <c r="G12" s="321">
        <v>0.77969999999999995</v>
      </c>
      <c r="H12" s="322">
        <v>177</v>
      </c>
      <c r="I12" s="322">
        <v>138</v>
      </c>
      <c r="J12" s="322">
        <v>0</v>
      </c>
      <c r="K12" s="319" t="s">
        <v>190</v>
      </c>
      <c r="L12" s="323">
        <v>45980</v>
      </c>
      <c r="M12" s="322">
        <v>6</v>
      </c>
      <c r="N12" s="322">
        <v>26</v>
      </c>
      <c r="O12" s="322">
        <v>88</v>
      </c>
      <c r="P12" s="319" t="s">
        <v>422</v>
      </c>
      <c r="Q12" s="315"/>
      <c r="R12" s="315"/>
      <c r="S12" s="315"/>
      <c r="T12" s="315"/>
      <c r="U12" s="315"/>
      <c r="V12" s="315"/>
      <c r="W12" s="315"/>
      <c r="X12" s="315"/>
      <c r="Y12" s="315"/>
      <c r="Z12" s="315"/>
      <c r="AA12" s="322" t="s">
        <v>623</v>
      </c>
      <c r="AB12" s="322" t="s">
        <v>612</v>
      </c>
      <c r="AC12" s="322" t="s">
        <v>624</v>
      </c>
      <c r="AD12" s="322" t="s">
        <v>315</v>
      </c>
      <c r="AE12" s="322" t="s">
        <v>609</v>
      </c>
      <c r="AF12" s="322" t="s">
        <v>625</v>
      </c>
      <c r="AG12" s="315"/>
      <c r="AH12" s="315"/>
      <c r="AI12" s="315"/>
      <c r="AJ12" s="315"/>
    </row>
    <row r="13" spans="1:36" x14ac:dyDescent="0.3">
      <c r="A13" s="317" t="s">
        <v>199</v>
      </c>
      <c r="B13" s="318">
        <v>45983</v>
      </c>
      <c r="C13" s="319" t="s">
        <v>371</v>
      </c>
      <c r="D13" s="320" t="s">
        <v>626</v>
      </c>
      <c r="E13" s="319" t="s">
        <v>335</v>
      </c>
      <c r="F13" s="319" t="s">
        <v>189</v>
      </c>
      <c r="G13" s="321">
        <v>1</v>
      </c>
      <c r="H13" s="322">
        <v>180</v>
      </c>
      <c r="I13" s="322">
        <v>180</v>
      </c>
      <c r="J13" s="322">
        <v>113</v>
      </c>
      <c r="K13" s="319" t="s">
        <v>190</v>
      </c>
      <c r="L13" s="323">
        <v>45980</v>
      </c>
      <c r="M13" s="322">
        <v>1</v>
      </c>
      <c r="N13" s="322">
        <v>10</v>
      </c>
      <c r="O13" s="322">
        <v>37</v>
      </c>
      <c r="P13" s="319" t="s">
        <v>81</v>
      </c>
      <c r="Q13" s="315"/>
      <c r="R13" s="315"/>
      <c r="S13" s="315"/>
      <c r="T13" s="315"/>
      <c r="U13" s="315"/>
      <c r="V13" s="315"/>
      <c r="W13" s="315"/>
      <c r="X13" s="315"/>
      <c r="Y13" s="315"/>
      <c r="Z13" s="322" t="s">
        <v>283</v>
      </c>
      <c r="AA13" s="315"/>
      <c r="AB13" s="322" t="s">
        <v>304</v>
      </c>
      <c r="AC13" s="322" t="s">
        <v>627</v>
      </c>
      <c r="AD13" s="322" t="s">
        <v>315</v>
      </c>
      <c r="AE13" s="322" t="s">
        <v>220</v>
      </c>
      <c r="AF13" s="322" t="s">
        <v>628</v>
      </c>
      <c r="AG13" s="322" t="s">
        <v>629</v>
      </c>
      <c r="AH13" s="315"/>
      <c r="AI13" s="322" t="s">
        <v>630</v>
      </c>
      <c r="AJ13" s="315"/>
    </row>
    <row r="14" spans="1:36" x14ac:dyDescent="0.3">
      <c r="A14" s="317" t="s">
        <v>199</v>
      </c>
      <c r="B14" s="318">
        <v>45983</v>
      </c>
      <c r="C14" s="319" t="s">
        <v>375</v>
      </c>
      <c r="D14" s="320" t="s">
        <v>581</v>
      </c>
      <c r="E14" s="319" t="s">
        <v>335</v>
      </c>
      <c r="F14" s="319" t="s">
        <v>189</v>
      </c>
      <c r="G14" s="321">
        <v>0.98870000000000002</v>
      </c>
      <c r="H14" s="322">
        <v>177</v>
      </c>
      <c r="I14" s="322">
        <v>175</v>
      </c>
      <c r="J14" s="322">
        <v>94</v>
      </c>
      <c r="K14" s="319" t="s">
        <v>190</v>
      </c>
      <c r="L14" s="323">
        <v>45979</v>
      </c>
      <c r="M14" s="322">
        <v>0</v>
      </c>
      <c r="N14" s="322">
        <v>1</v>
      </c>
      <c r="O14" s="322">
        <v>46</v>
      </c>
      <c r="P14" s="319" t="s">
        <v>450</v>
      </c>
      <c r="Q14" s="315"/>
      <c r="R14" s="315"/>
      <c r="S14" s="315"/>
      <c r="T14" s="315"/>
      <c r="U14" s="315"/>
      <c r="V14" s="315"/>
      <c r="W14" s="315"/>
      <c r="X14" s="315"/>
      <c r="Y14" s="315"/>
      <c r="Z14" s="322" t="s">
        <v>283</v>
      </c>
      <c r="AA14" s="322" t="s">
        <v>631</v>
      </c>
      <c r="AB14" s="322" t="s">
        <v>576</v>
      </c>
      <c r="AC14" s="322" t="s">
        <v>577</v>
      </c>
      <c r="AD14" s="322" t="s">
        <v>315</v>
      </c>
      <c r="AE14" s="322" t="s">
        <v>195</v>
      </c>
      <c r="AF14" s="322" t="s">
        <v>632</v>
      </c>
      <c r="AG14" s="315"/>
      <c r="AH14" s="315"/>
      <c r="AI14" s="322" t="s">
        <v>633</v>
      </c>
      <c r="AJ14" s="322" t="s">
        <v>212</v>
      </c>
    </row>
    <row r="15" spans="1:36" x14ac:dyDescent="0.3">
      <c r="A15" s="317" t="s">
        <v>199</v>
      </c>
      <c r="B15" s="318">
        <v>45983</v>
      </c>
      <c r="C15" s="319" t="s">
        <v>383</v>
      </c>
      <c r="D15" s="320" t="s">
        <v>634</v>
      </c>
      <c r="E15" s="319" t="s">
        <v>335</v>
      </c>
      <c r="F15" s="319" t="s">
        <v>189</v>
      </c>
      <c r="G15" s="321">
        <v>0.99439999999999995</v>
      </c>
      <c r="H15" s="322">
        <v>180</v>
      </c>
      <c r="I15" s="322">
        <v>179</v>
      </c>
      <c r="J15" s="322">
        <v>125</v>
      </c>
      <c r="K15" s="319" t="s">
        <v>190</v>
      </c>
      <c r="L15" s="323">
        <v>45977</v>
      </c>
      <c r="M15" s="322">
        <v>0</v>
      </c>
      <c r="N15" s="322">
        <v>0</v>
      </c>
      <c r="O15" s="322">
        <v>23</v>
      </c>
      <c r="P15" s="319" t="s">
        <v>81</v>
      </c>
      <c r="Q15" s="315"/>
      <c r="R15" s="315"/>
      <c r="S15" s="315"/>
      <c r="T15" s="315"/>
      <c r="U15" s="315"/>
      <c r="V15" s="315"/>
      <c r="W15" s="315"/>
      <c r="X15" s="315"/>
      <c r="Y15" s="322" t="s">
        <v>209</v>
      </c>
      <c r="Z15" s="322" t="s">
        <v>283</v>
      </c>
      <c r="AA15" s="315"/>
      <c r="AB15" s="315"/>
      <c r="AC15" s="322" t="s">
        <v>597</v>
      </c>
      <c r="AD15" s="322" t="s">
        <v>315</v>
      </c>
      <c r="AE15" s="322" t="s">
        <v>588</v>
      </c>
      <c r="AF15" s="322" t="s">
        <v>616</v>
      </c>
      <c r="AG15" s="315"/>
      <c r="AH15" s="315"/>
      <c r="AI15" s="322" t="s">
        <v>289</v>
      </c>
      <c r="AJ15" s="322" t="s">
        <v>605</v>
      </c>
    </row>
    <row r="16" spans="1:36" x14ac:dyDescent="0.3">
      <c r="A16" s="317" t="s">
        <v>199</v>
      </c>
      <c r="B16" s="318">
        <v>45983</v>
      </c>
      <c r="C16" s="319" t="s">
        <v>380</v>
      </c>
      <c r="D16" s="320" t="s">
        <v>635</v>
      </c>
      <c r="E16" s="319" t="s">
        <v>335</v>
      </c>
      <c r="F16" s="319" t="s">
        <v>189</v>
      </c>
      <c r="G16" s="321">
        <v>0.86109999999999998</v>
      </c>
      <c r="H16" s="322">
        <v>180</v>
      </c>
      <c r="I16" s="322">
        <v>155</v>
      </c>
      <c r="J16" s="322">
        <v>45</v>
      </c>
      <c r="K16" s="319" t="s">
        <v>190</v>
      </c>
      <c r="L16" s="323">
        <v>45980</v>
      </c>
      <c r="M16" s="322">
        <v>1</v>
      </c>
      <c r="N16" s="322">
        <v>14</v>
      </c>
      <c r="O16" s="322">
        <v>105</v>
      </c>
      <c r="P16" s="319" t="s">
        <v>448</v>
      </c>
      <c r="Q16" s="315"/>
      <c r="R16" s="315"/>
      <c r="S16" s="315"/>
      <c r="T16" s="315"/>
      <c r="U16" s="315"/>
      <c r="V16" s="315"/>
      <c r="W16" s="315"/>
      <c r="X16" s="315"/>
      <c r="Y16" s="315"/>
      <c r="Z16" s="322" t="s">
        <v>283</v>
      </c>
      <c r="AA16" s="322" t="s">
        <v>631</v>
      </c>
      <c r="AB16" s="322" t="s">
        <v>636</v>
      </c>
      <c r="AC16" s="322" t="s">
        <v>577</v>
      </c>
      <c r="AD16" s="322" t="s">
        <v>194</v>
      </c>
      <c r="AE16" s="322" t="s">
        <v>195</v>
      </c>
      <c r="AF16" s="322" t="s">
        <v>625</v>
      </c>
      <c r="AG16" s="315"/>
      <c r="AH16" s="315"/>
      <c r="AI16" s="322" t="s">
        <v>321</v>
      </c>
      <c r="AJ16" s="322" t="s">
        <v>605</v>
      </c>
    </row>
    <row r="17" spans="1:36" x14ac:dyDescent="0.3">
      <c r="A17" s="317" t="s">
        <v>203</v>
      </c>
      <c r="B17" s="318">
        <v>45984</v>
      </c>
      <c r="C17" s="319" t="s">
        <v>375</v>
      </c>
      <c r="D17" s="320" t="s">
        <v>607</v>
      </c>
      <c r="E17" s="319" t="s">
        <v>335</v>
      </c>
      <c r="F17" s="319" t="s">
        <v>189</v>
      </c>
      <c r="G17" s="321">
        <v>0.93330000000000002</v>
      </c>
      <c r="H17" s="322">
        <v>180</v>
      </c>
      <c r="I17" s="322">
        <v>168</v>
      </c>
      <c r="J17" s="322">
        <v>80</v>
      </c>
      <c r="K17" s="319" t="s">
        <v>190</v>
      </c>
      <c r="L17" s="323">
        <v>45980</v>
      </c>
      <c r="M17" s="322">
        <v>2</v>
      </c>
      <c r="N17" s="322">
        <v>9</v>
      </c>
      <c r="O17" s="322">
        <v>56</v>
      </c>
      <c r="P17" s="319" t="s">
        <v>425</v>
      </c>
      <c r="Q17" s="315"/>
      <c r="R17" s="315"/>
      <c r="S17" s="315"/>
      <c r="T17" s="315"/>
      <c r="U17" s="315"/>
      <c r="V17" s="315"/>
      <c r="W17" s="315"/>
      <c r="X17" s="315"/>
      <c r="Y17" s="315"/>
      <c r="Z17" s="322" t="s">
        <v>585</v>
      </c>
      <c r="AA17" s="322" t="s">
        <v>425</v>
      </c>
      <c r="AB17" s="322" t="s">
        <v>587</v>
      </c>
      <c r="AC17" s="322" t="s">
        <v>637</v>
      </c>
      <c r="AD17" s="322" t="s">
        <v>638</v>
      </c>
      <c r="AE17" s="322" t="s">
        <v>639</v>
      </c>
      <c r="AF17" s="322" t="s">
        <v>640</v>
      </c>
      <c r="AG17" s="315"/>
      <c r="AH17" s="315"/>
      <c r="AI17" s="322" t="s">
        <v>641</v>
      </c>
      <c r="AJ17" s="315"/>
    </row>
    <row r="18" spans="1:36" x14ac:dyDescent="0.3">
      <c r="A18" s="317" t="s">
        <v>203</v>
      </c>
      <c r="B18" s="318">
        <v>45984</v>
      </c>
      <c r="C18" s="319" t="s">
        <v>367</v>
      </c>
      <c r="D18" s="320" t="s">
        <v>581</v>
      </c>
      <c r="E18" s="319" t="s">
        <v>335</v>
      </c>
      <c r="F18" s="319" t="s">
        <v>189</v>
      </c>
      <c r="G18" s="321">
        <v>0.99439999999999995</v>
      </c>
      <c r="H18" s="322">
        <v>180</v>
      </c>
      <c r="I18" s="322">
        <v>179</v>
      </c>
      <c r="J18" s="322">
        <v>94</v>
      </c>
      <c r="K18" s="319" t="s">
        <v>190</v>
      </c>
      <c r="L18" s="323">
        <v>45980</v>
      </c>
      <c r="M18" s="322">
        <v>5</v>
      </c>
      <c r="N18" s="322">
        <v>12</v>
      </c>
      <c r="O18" s="322">
        <v>66</v>
      </c>
      <c r="P18" s="319" t="s">
        <v>81</v>
      </c>
      <c r="Q18" s="315"/>
      <c r="R18" s="315"/>
      <c r="S18" s="315"/>
      <c r="T18" s="315"/>
      <c r="U18" s="315"/>
      <c r="V18" s="315"/>
      <c r="W18" s="315"/>
      <c r="X18" s="315"/>
      <c r="Y18" s="315"/>
      <c r="Z18" s="315"/>
      <c r="AA18" s="322" t="s">
        <v>586</v>
      </c>
      <c r="AB18" s="322" t="s">
        <v>642</v>
      </c>
      <c r="AC18" s="322" t="s">
        <v>314</v>
      </c>
      <c r="AD18" s="322" t="s">
        <v>638</v>
      </c>
      <c r="AE18" s="322" t="s">
        <v>588</v>
      </c>
      <c r="AF18" s="322" t="s">
        <v>616</v>
      </c>
      <c r="AG18" s="315"/>
      <c r="AH18" s="315"/>
      <c r="AI18" s="322" t="s">
        <v>633</v>
      </c>
      <c r="AJ18" s="315"/>
    </row>
    <row r="19" spans="1:36" x14ac:dyDescent="0.3">
      <c r="A19" s="317" t="s">
        <v>203</v>
      </c>
      <c r="B19" s="318">
        <v>45984</v>
      </c>
      <c r="C19" s="319" t="s">
        <v>421</v>
      </c>
      <c r="D19" s="320" t="s">
        <v>643</v>
      </c>
      <c r="E19" s="319" t="s">
        <v>335</v>
      </c>
      <c r="F19" s="319" t="s">
        <v>189</v>
      </c>
      <c r="G19" s="321">
        <v>1</v>
      </c>
      <c r="H19" s="322">
        <v>180</v>
      </c>
      <c r="I19" s="322">
        <v>180</v>
      </c>
      <c r="J19" s="322">
        <v>90</v>
      </c>
      <c r="K19" s="319" t="s">
        <v>190</v>
      </c>
      <c r="L19" s="323">
        <v>45980</v>
      </c>
      <c r="M19" s="322">
        <v>2</v>
      </c>
      <c r="N19" s="322">
        <v>43</v>
      </c>
      <c r="O19" s="322">
        <v>58</v>
      </c>
      <c r="P19" s="319" t="s">
        <v>81</v>
      </c>
      <c r="Q19" s="315"/>
      <c r="R19" s="315"/>
      <c r="S19" s="315"/>
      <c r="T19" s="315"/>
      <c r="U19" s="315"/>
      <c r="V19" s="315"/>
      <c r="W19" s="315"/>
      <c r="X19" s="315"/>
      <c r="Y19" s="315"/>
      <c r="Z19" s="322" t="s">
        <v>283</v>
      </c>
      <c r="AA19" s="322" t="s">
        <v>644</v>
      </c>
      <c r="AB19" s="322" t="s">
        <v>645</v>
      </c>
      <c r="AC19" s="322" t="s">
        <v>646</v>
      </c>
      <c r="AD19" s="322" t="s">
        <v>647</v>
      </c>
      <c r="AE19" s="322" t="s">
        <v>648</v>
      </c>
      <c r="AF19" s="322" t="s">
        <v>640</v>
      </c>
      <c r="AG19" s="315"/>
      <c r="AH19" s="315"/>
      <c r="AI19" s="322" t="s">
        <v>223</v>
      </c>
      <c r="AJ19" s="315"/>
    </row>
    <row r="20" spans="1:36" x14ac:dyDescent="0.3">
      <c r="A20" s="317" t="s">
        <v>203</v>
      </c>
      <c r="B20" s="318">
        <v>45984</v>
      </c>
      <c r="C20" s="319" t="s">
        <v>383</v>
      </c>
      <c r="D20" s="320" t="s">
        <v>649</v>
      </c>
      <c r="E20" s="319" t="s">
        <v>335</v>
      </c>
      <c r="F20" s="319" t="s">
        <v>189</v>
      </c>
      <c r="G20" s="321">
        <v>1</v>
      </c>
      <c r="H20" s="322">
        <v>180</v>
      </c>
      <c r="I20" s="322">
        <v>180</v>
      </c>
      <c r="J20" s="322">
        <v>166</v>
      </c>
      <c r="K20" s="319" t="s">
        <v>190</v>
      </c>
      <c r="L20" s="323">
        <v>45977</v>
      </c>
      <c r="M20" s="322">
        <v>0</v>
      </c>
      <c r="N20" s="322">
        <v>0</v>
      </c>
      <c r="O20" s="322">
        <v>3</v>
      </c>
      <c r="P20" s="319" t="s">
        <v>81</v>
      </c>
      <c r="Q20" s="315"/>
      <c r="R20" s="315"/>
      <c r="S20" s="315"/>
      <c r="T20" s="315"/>
      <c r="U20" s="315"/>
      <c r="V20" s="315"/>
      <c r="W20" s="315"/>
      <c r="X20" s="315"/>
      <c r="Y20" s="315"/>
      <c r="Z20" s="315"/>
      <c r="AA20" s="315"/>
      <c r="AB20" s="315"/>
      <c r="AC20" s="322" t="s">
        <v>295</v>
      </c>
      <c r="AD20" s="315"/>
      <c r="AE20" s="322" t="s">
        <v>650</v>
      </c>
      <c r="AF20" s="322" t="s">
        <v>210</v>
      </c>
      <c r="AG20" s="315"/>
      <c r="AH20" s="315"/>
      <c r="AI20" s="322" t="s">
        <v>296</v>
      </c>
      <c r="AJ20" s="315"/>
    </row>
    <row r="21" spans="1:36" x14ac:dyDescent="0.3">
      <c r="A21" s="317" t="s">
        <v>203</v>
      </c>
      <c r="B21" s="318">
        <v>45984</v>
      </c>
      <c r="C21" s="319" t="s">
        <v>363</v>
      </c>
      <c r="D21" s="320" t="s">
        <v>651</v>
      </c>
      <c r="E21" s="319" t="s">
        <v>335</v>
      </c>
      <c r="F21" s="319" t="s">
        <v>189</v>
      </c>
      <c r="G21" s="321">
        <v>0.56669999999999998</v>
      </c>
      <c r="H21" s="322">
        <v>180</v>
      </c>
      <c r="I21" s="322">
        <v>102</v>
      </c>
      <c r="J21" s="322">
        <v>0</v>
      </c>
      <c r="K21" s="319" t="s">
        <v>190</v>
      </c>
      <c r="L21" s="323">
        <v>45980</v>
      </c>
      <c r="M21" s="322">
        <v>5</v>
      </c>
      <c r="N21" s="322">
        <v>8</v>
      </c>
      <c r="O21" s="322">
        <v>60</v>
      </c>
      <c r="P21" s="319" t="s">
        <v>469</v>
      </c>
      <c r="Q21" s="315"/>
      <c r="R21" s="315"/>
      <c r="S21" s="315"/>
      <c r="T21" s="315"/>
      <c r="U21" s="315"/>
      <c r="V21" s="315"/>
      <c r="W21" s="315"/>
      <c r="X21" s="315"/>
      <c r="Y21" s="322" t="s">
        <v>209</v>
      </c>
      <c r="Z21" s="322" t="s">
        <v>494</v>
      </c>
      <c r="AA21" s="322" t="s">
        <v>422</v>
      </c>
      <c r="AB21" s="322" t="s">
        <v>215</v>
      </c>
      <c r="AC21" s="322" t="s">
        <v>652</v>
      </c>
      <c r="AD21" s="322" t="s">
        <v>638</v>
      </c>
      <c r="AE21" s="322" t="s">
        <v>620</v>
      </c>
      <c r="AF21" s="322" t="s">
        <v>616</v>
      </c>
      <c r="AG21" s="315"/>
      <c r="AH21" s="315"/>
      <c r="AI21" s="315"/>
      <c r="AJ21" s="315"/>
    </row>
    <row r="22" spans="1:36" x14ac:dyDescent="0.3">
      <c r="A22" s="317" t="s">
        <v>207</v>
      </c>
      <c r="B22" s="318">
        <v>45985</v>
      </c>
      <c r="C22" s="319" t="s">
        <v>375</v>
      </c>
      <c r="D22" s="320" t="s">
        <v>653</v>
      </c>
      <c r="E22" s="319" t="s">
        <v>335</v>
      </c>
      <c r="F22" s="319" t="s">
        <v>189</v>
      </c>
      <c r="G22" s="321">
        <v>1</v>
      </c>
      <c r="H22" s="322">
        <v>180</v>
      </c>
      <c r="I22" s="322">
        <v>180</v>
      </c>
      <c r="J22" s="322">
        <v>130</v>
      </c>
      <c r="K22" s="319" t="s">
        <v>190</v>
      </c>
      <c r="L22" s="323">
        <v>45978</v>
      </c>
      <c r="M22" s="322">
        <v>0</v>
      </c>
      <c r="N22" s="322">
        <v>0</v>
      </c>
      <c r="O22" s="322">
        <v>16</v>
      </c>
      <c r="P22" s="319" t="s">
        <v>81</v>
      </c>
      <c r="Q22" s="315"/>
      <c r="R22" s="315"/>
      <c r="S22" s="315"/>
      <c r="T22" s="315"/>
      <c r="U22" s="315"/>
      <c r="V22" s="315"/>
      <c r="W22" s="315"/>
      <c r="X22" s="315"/>
      <c r="Y22" s="315"/>
      <c r="Z22" s="322" t="s">
        <v>192</v>
      </c>
      <c r="AA22" s="315"/>
      <c r="AB22" s="315"/>
      <c r="AC22" s="322" t="s">
        <v>646</v>
      </c>
      <c r="AD22" s="322" t="s">
        <v>315</v>
      </c>
      <c r="AE22" s="322" t="s">
        <v>195</v>
      </c>
      <c r="AF22" s="322" t="s">
        <v>640</v>
      </c>
      <c r="AG22" s="315"/>
      <c r="AH22" s="315"/>
      <c r="AI22" s="322" t="s">
        <v>197</v>
      </c>
      <c r="AJ22" s="315"/>
    </row>
    <row r="23" spans="1:36" x14ac:dyDescent="0.3">
      <c r="A23" s="317" t="s">
        <v>207</v>
      </c>
      <c r="B23" s="318">
        <v>45985</v>
      </c>
      <c r="C23" s="319" t="s">
        <v>383</v>
      </c>
      <c r="D23" s="320" t="s">
        <v>615</v>
      </c>
      <c r="E23" s="319" t="s">
        <v>335</v>
      </c>
      <c r="F23" s="319" t="s">
        <v>189</v>
      </c>
      <c r="G23" s="321">
        <v>1.0056</v>
      </c>
      <c r="H23" s="322">
        <v>180</v>
      </c>
      <c r="I23" s="322">
        <v>181</v>
      </c>
      <c r="J23" s="322">
        <v>136</v>
      </c>
      <c r="K23" s="319" t="s">
        <v>190</v>
      </c>
      <c r="L23" s="323">
        <v>45979</v>
      </c>
      <c r="M23" s="322">
        <v>0</v>
      </c>
      <c r="N23" s="322">
        <v>1</v>
      </c>
      <c r="O23" s="322">
        <v>13</v>
      </c>
      <c r="P23" s="319" t="s">
        <v>81</v>
      </c>
      <c r="Q23" s="315"/>
      <c r="R23" s="315"/>
      <c r="S23" s="315"/>
      <c r="T23" s="315"/>
      <c r="U23" s="315"/>
      <c r="V23" s="315"/>
      <c r="W23" s="315"/>
      <c r="X23" s="315"/>
      <c r="Y23" s="315"/>
      <c r="Z23" s="315"/>
      <c r="AA23" s="315"/>
      <c r="AB23" s="315"/>
      <c r="AC23" s="322" t="s">
        <v>654</v>
      </c>
      <c r="AD23" s="322" t="s">
        <v>655</v>
      </c>
      <c r="AE23" s="322" t="s">
        <v>284</v>
      </c>
      <c r="AF23" s="322" t="s">
        <v>656</v>
      </c>
      <c r="AG23" s="315"/>
      <c r="AH23" s="315"/>
      <c r="AI23" s="322" t="s">
        <v>657</v>
      </c>
      <c r="AJ23" s="315"/>
    </row>
    <row r="24" spans="1:36" x14ac:dyDescent="0.3">
      <c r="A24" s="317" t="s">
        <v>207</v>
      </c>
      <c r="B24" s="318">
        <v>45985</v>
      </c>
      <c r="C24" s="319" t="s">
        <v>421</v>
      </c>
      <c r="D24" s="320" t="s">
        <v>311</v>
      </c>
      <c r="E24" s="319" t="s">
        <v>335</v>
      </c>
      <c r="F24" s="319" t="s">
        <v>189</v>
      </c>
      <c r="G24" s="321">
        <v>0.7389</v>
      </c>
      <c r="H24" s="322">
        <v>180</v>
      </c>
      <c r="I24" s="322">
        <v>133</v>
      </c>
      <c r="J24" s="322">
        <v>49</v>
      </c>
      <c r="K24" s="319" t="s">
        <v>190</v>
      </c>
      <c r="L24" s="323">
        <v>45979</v>
      </c>
      <c r="M24" s="322">
        <v>0</v>
      </c>
      <c r="N24" s="322">
        <v>2</v>
      </c>
      <c r="O24" s="322">
        <v>46</v>
      </c>
      <c r="P24" s="319" t="s">
        <v>486</v>
      </c>
      <c r="Q24" s="315"/>
      <c r="R24" s="315"/>
      <c r="S24" s="315"/>
      <c r="T24" s="315"/>
      <c r="U24" s="315"/>
      <c r="V24" s="315"/>
      <c r="W24" s="315"/>
      <c r="X24" s="315"/>
      <c r="Y24" s="315"/>
      <c r="Z24" s="322" t="s">
        <v>376</v>
      </c>
      <c r="AA24" s="322" t="s">
        <v>575</v>
      </c>
      <c r="AB24" s="322" t="s">
        <v>576</v>
      </c>
      <c r="AC24" s="322" t="s">
        <v>577</v>
      </c>
      <c r="AD24" s="322" t="s">
        <v>315</v>
      </c>
      <c r="AE24" s="322" t="s">
        <v>658</v>
      </c>
      <c r="AF24" s="322" t="s">
        <v>640</v>
      </c>
      <c r="AG24" s="315"/>
      <c r="AH24" s="315"/>
      <c r="AI24" s="322" t="s">
        <v>659</v>
      </c>
      <c r="AJ24" s="315"/>
    </row>
    <row r="25" spans="1:36" x14ac:dyDescent="0.3">
      <c r="A25" s="317" t="s">
        <v>213</v>
      </c>
      <c r="B25" s="318">
        <v>45986</v>
      </c>
      <c r="C25" s="319" t="s">
        <v>428</v>
      </c>
      <c r="D25" s="320" t="s">
        <v>660</v>
      </c>
      <c r="E25" s="319" t="s">
        <v>335</v>
      </c>
      <c r="F25" s="319" t="s">
        <v>189</v>
      </c>
      <c r="G25" s="321">
        <v>0.7722</v>
      </c>
      <c r="H25" s="322">
        <v>180</v>
      </c>
      <c r="I25" s="322">
        <v>139</v>
      </c>
      <c r="J25" s="322">
        <v>45</v>
      </c>
      <c r="K25" s="319" t="s">
        <v>190</v>
      </c>
      <c r="L25" s="323">
        <v>45980</v>
      </c>
      <c r="M25" s="322">
        <v>2</v>
      </c>
      <c r="N25" s="322">
        <v>10</v>
      </c>
      <c r="O25" s="322">
        <v>61</v>
      </c>
      <c r="P25" s="319" t="s">
        <v>494</v>
      </c>
      <c r="Q25" s="315"/>
      <c r="R25" s="315"/>
      <c r="S25" s="315"/>
      <c r="T25" s="315"/>
      <c r="U25" s="315"/>
      <c r="V25" s="315"/>
      <c r="W25" s="315"/>
      <c r="X25" s="315"/>
      <c r="Y25" s="315"/>
      <c r="Z25" s="322" t="s">
        <v>283</v>
      </c>
      <c r="AA25" s="322" t="s">
        <v>575</v>
      </c>
      <c r="AB25" s="322" t="s">
        <v>215</v>
      </c>
      <c r="AC25" s="322" t="s">
        <v>661</v>
      </c>
      <c r="AD25" s="322" t="s">
        <v>315</v>
      </c>
      <c r="AE25" s="322" t="s">
        <v>195</v>
      </c>
      <c r="AF25" s="322" t="s">
        <v>640</v>
      </c>
      <c r="AG25" s="315"/>
      <c r="AH25" s="315"/>
      <c r="AI25" s="322" t="s">
        <v>321</v>
      </c>
      <c r="AJ25" s="315"/>
    </row>
    <row r="26" spans="1:36" x14ac:dyDescent="0.3">
      <c r="A26" s="317" t="s">
        <v>213</v>
      </c>
      <c r="B26" s="318">
        <v>45986</v>
      </c>
      <c r="C26" s="319" t="s">
        <v>363</v>
      </c>
      <c r="D26" s="320" t="s">
        <v>188</v>
      </c>
      <c r="E26" s="319" t="s">
        <v>335</v>
      </c>
      <c r="F26" s="319" t="s">
        <v>189</v>
      </c>
      <c r="G26" s="321">
        <v>0.99439999999999995</v>
      </c>
      <c r="H26" s="322">
        <v>180</v>
      </c>
      <c r="I26" s="322">
        <v>179</v>
      </c>
      <c r="J26" s="322">
        <v>137</v>
      </c>
      <c r="K26" s="319" t="s">
        <v>190</v>
      </c>
      <c r="L26" s="323">
        <v>45978</v>
      </c>
      <c r="M26" s="322">
        <v>0</v>
      </c>
      <c r="N26" s="322">
        <v>0</v>
      </c>
      <c r="O26" s="322">
        <v>19</v>
      </c>
      <c r="P26" s="319" t="s">
        <v>81</v>
      </c>
      <c r="Q26" s="315"/>
      <c r="R26" s="315"/>
      <c r="S26" s="315"/>
      <c r="T26" s="315"/>
      <c r="U26" s="315"/>
      <c r="V26" s="315"/>
      <c r="W26" s="315"/>
      <c r="X26" s="315"/>
      <c r="Y26" s="315"/>
      <c r="Z26" s="322" t="s">
        <v>585</v>
      </c>
      <c r="AA26" s="315"/>
      <c r="AB26" s="322" t="s">
        <v>323</v>
      </c>
      <c r="AC26" s="322" t="s">
        <v>597</v>
      </c>
      <c r="AD26" s="322" t="s">
        <v>216</v>
      </c>
      <c r="AE26" s="322" t="s">
        <v>217</v>
      </c>
      <c r="AF26" s="322" t="s">
        <v>599</v>
      </c>
      <c r="AG26" s="315"/>
      <c r="AH26" s="315"/>
      <c r="AI26" s="322" t="s">
        <v>662</v>
      </c>
      <c r="AJ26" s="322" t="s">
        <v>230</v>
      </c>
    </row>
    <row r="27" spans="1:36" x14ac:dyDescent="0.3">
      <c r="A27" s="317" t="s">
        <v>213</v>
      </c>
      <c r="B27" s="318">
        <v>45986</v>
      </c>
      <c r="C27" s="319" t="s">
        <v>383</v>
      </c>
      <c r="D27" s="320" t="s">
        <v>615</v>
      </c>
      <c r="E27" s="319" t="s">
        <v>335</v>
      </c>
      <c r="F27" s="319" t="s">
        <v>189</v>
      </c>
      <c r="G27" s="321">
        <v>1</v>
      </c>
      <c r="H27" s="322">
        <v>180</v>
      </c>
      <c r="I27" s="322">
        <v>180</v>
      </c>
      <c r="J27" s="322">
        <v>95</v>
      </c>
      <c r="K27" s="319" t="s">
        <v>190</v>
      </c>
      <c r="L27" s="323">
        <v>45980</v>
      </c>
      <c r="M27" s="322">
        <v>3</v>
      </c>
      <c r="N27" s="322">
        <v>6</v>
      </c>
      <c r="O27" s="322">
        <v>47</v>
      </c>
      <c r="P27" s="319" t="s">
        <v>81</v>
      </c>
      <c r="Q27" s="315"/>
      <c r="R27" s="315"/>
      <c r="S27" s="315"/>
      <c r="T27" s="315"/>
      <c r="U27" s="315"/>
      <c r="V27" s="315"/>
      <c r="W27" s="315"/>
      <c r="X27" s="315"/>
      <c r="Y27" s="315"/>
      <c r="Z27" s="322" t="s">
        <v>312</v>
      </c>
      <c r="AA27" s="322" t="s">
        <v>575</v>
      </c>
      <c r="AB27" s="322" t="s">
        <v>618</v>
      </c>
      <c r="AC27" s="322" t="s">
        <v>193</v>
      </c>
      <c r="AD27" s="322" t="s">
        <v>315</v>
      </c>
      <c r="AE27" s="322" t="s">
        <v>326</v>
      </c>
      <c r="AF27" s="322" t="s">
        <v>196</v>
      </c>
      <c r="AG27" s="315"/>
      <c r="AH27" s="315"/>
      <c r="AI27" s="322" t="s">
        <v>663</v>
      </c>
      <c r="AJ27" s="315"/>
    </row>
    <row r="28" spans="1:36" x14ac:dyDescent="0.3">
      <c r="A28" s="317" t="s">
        <v>213</v>
      </c>
      <c r="B28" s="318">
        <v>45986</v>
      </c>
      <c r="C28" s="319" t="s">
        <v>421</v>
      </c>
      <c r="D28" s="320" t="s">
        <v>664</v>
      </c>
      <c r="E28" s="319" t="s">
        <v>335</v>
      </c>
      <c r="F28" s="319" t="s">
        <v>189</v>
      </c>
      <c r="G28" s="321">
        <v>0.98329999999999995</v>
      </c>
      <c r="H28" s="322">
        <v>180</v>
      </c>
      <c r="I28" s="322">
        <v>177</v>
      </c>
      <c r="J28" s="322">
        <v>120</v>
      </c>
      <c r="K28" s="319" t="s">
        <v>190</v>
      </c>
      <c r="L28" s="323">
        <v>45973</v>
      </c>
      <c r="M28" s="322">
        <v>0</v>
      </c>
      <c r="N28" s="322">
        <v>0</v>
      </c>
      <c r="O28" s="322">
        <v>3</v>
      </c>
      <c r="P28" s="319" t="s">
        <v>81</v>
      </c>
      <c r="Q28" s="315"/>
      <c r="R28" s="315"/>
      <c r="S28" s="315"/>
      <c r="T28" s="315"/>
      <c r="U28" s="315"/>
      <c r="V28" s="315"/>
      <c r="W28" s="315"/>
      <c r="X28" s="315"/>
      <c r="Y28" s="315"/>
      <c r="Z28" s="322" t="s">
        <v>591</v>
      </c>
      <c r="AA28" s="315"/>
      <c r="AB28" s="315"/>
      <c r="AC28" s="315"/>
      <c r="AD28" s="322" t="s">
        <v>665</v>
      </c>
      <c r="AE28" s="322" t="s">
        <v>326</v>
      </c>
      <c r="AF28" s="322" t="s">
        <v>196</v>
      </c>
      <c r="AG28" s="315"/>
      <c r="AH28" s="315"/>
      <c r="AI28" s="322" t="s">
        <v>666</v>
      </c>
      <c r="AJ28" s="315"/>
    </row>
    <row r="29" spans="1:36" x14ac:dyDescent="0.3">
      <c r="A29" s="317" t="s">
        <v>213</v>
      </c>
      <c r="B29" s="318">
        <v>45986</v>
      </c>
      <c r="C29" s="319" t="s">
        <v>380</v>
      </c>
      <c r="D29" s="320" t="s">
        <v>667</v>
      </c>
      <c r="E29" s="319" t="s">
        <v>335</v>
      </c>
      <c r="F29" s="319" t="s">
        <v>189</v>
      </c>
      <c r="G29" s="321">
        <v>0.99439999999999995</v>
      </c>
      <c r="H29" s="322">
        <v>180</v>
      </c>
      <c r="I29" s="322">
        <v>179</v>
      </c>
      <c r="J29" s="322">
        <v>90</v>
      </c>
      <c r="K29" s="319" t="s">
        <v>190</v>
      </c>
      <c r="L29" s="323">
        <v>45979</v>
      </c>
      <c r="M29" s="322">
        <v>0</v>
      </c>
      <c r="N29" s="322">
        <v>1</v>
      </c>
      <c r="O29" s="322">
        <v>25</v>
      </c>
      <c r="P29" s="319" t="s">
        <v>81</v>
      </c>
      <c r="Q29" s="315"/>
      <c r="R29" s="315"/>
      <c r="S29" s="315"/>
      <c r="T29" s="315"/>
      <c r="U29" s="315"/>
      <c r="V29" s="315"/>
      <c r="W29" s="315"/>
      <c r="X29" s="315"/>
      <c r="Y29" s="315"/>
      <c r="Z29" s="322" t="s">
        <v>372</v>
      </c>
      <c r="AA29" s="322" t="s">
        <v>450</v>
      </c>
      <c r="AB29" s="322" t="s">
        <v>576</v>
      </c>
      <c r="AC29" s="322" t="s">
        <v>577</v>
      </c>
      <c r="AD29" s="322" t="s">
        <v>668</v>
      </c>
      <c r="AE29" s="322" t="s">
        <v>669</v>
      </c>
      <c r="AF29" s="322" t="s">
        <v>656</v>
      </c>
      <c r="AG29" s="315"/>
      <c r="AH29" s="315"/>
      <c r="AI29" s="322" t="s">
        <v>223</v>
      </c>
      <c r="AJ29" s="315"/>
    </row>
    <row r="30" spans="1:36" x14ac:dyDescent="0.3">
      <c r="A30" s="317" t="s">
        <v>213</v>
      </c>
      <c r="B30" s="318">
        <v>45986</v>
      </c>
      <c r="C30" s="319" t="s">
        <v>375</v>
      </c>
      <c r="D30" s="320" t="s">
        <v>670</v>
      </c>
      <c r="E30" s="319" t="s">
        <v>335</v>
      </c>
      <c r="F30" s="319" t="s">
        <v>189</v>
      </c>
      <c r="G30" s="321">
        <v>0.89439999999999997</v>
      </c>
      <c r="H30" s="322">
        <v>180</v>
      </c>
      <c r="I30" s="322">
        <v>161</v>
      </c>
      <c r="J30" s="322">
        <v>60</v>
      </c>
      <c r="K30" s="319" t="s">
        <v>190</v>
      </c>
      <c r="L30" s="323">
        <v>45979</v>
      </c>
      <c r="M30" s="322">
        <v>0</v>
      </c>
      <c r="N30" s="322">
        <v>7</v>
      </c>
      <c r="O30" s="322">
        <v>61</v>
      </c>
      <c r="P30" s="319" t="s">
        <v>496</v>
      </c>
      <c r="Q30" s="315"/>
      <c r="R30" s="315"/>
      <c r="S30" s="315"/>
      <c r="T30" s="315"/>
      <c r="U30" s="315"/>
      <c r="V30" s="315"/>
      <c r="W30" s="315"/>
      <c r="X30" s="315"/>
      <c r="Y30" s="322" t="s">
        <v>671</v>
      </c>
      <c r="Z30" s="322" t="s">
        <v>591</v>
      </c>
      <c r="AA30" s="322" t="s">
        <v>575</v>
      </c>
      <c r="AB30" s="322" t="s">
        <v>576</v>
      </c>
      <c r="AC30" s="322" t="s">
        <v>577</v>
      </c>
      <c r="AD30" s="322" t="s">
        <v>672</v>
      </c>
      <c r="AE30" s="322" t="s">
        <v>195</v>
      </c>
      <c r="AF30" s="322" t="s">
        <v>196</v>
      </c>
      <c r="AG30" s="315"/>
      <c r="AH30" s="315"/>
      <c r="AI30" s="322" t="s">
        <v>673</v>
      </c>
      <c r="AJ30" s="322" t="s">
        <v>605</v>
      </c>
    </row>
    <row r="31" spans="1:36" x14ac:dyDescent="0.3">
      <c r="A31" s="317" t="s">
        <v>290</v>
      </c>
      <c r="B31" s="318">
        <v>45987</v>
      </c>
      <c r="C31" s="319" t="s">
        <v>380</v>
      </c>
      <c r="D31" s="320" t="s">
        <v>674</v>
      </c>
      <c r="E31" s="319" t="s">
        <v>335</v>
      </c>
      <c r="F31" s="319" t="s">
        <v>189</v>
      </c>
      <c r="G31" s="321">
        <v>1</v>
      </c>
      <c r="H31" s="322">
        <v>180</v>
      </c>
      <c r="I31" s="322">
        <v>180</v>
      </c>
      <c r="J31" s="322">
        <v>90</v>
      </c>
      <c r="K31" s="319" t="s">
        <v>190</v>
      </c>
      <c r="L31" s="323">
        <v>45980</v>
      </c>
      <c r="M31" s="322">
        <v>1</v>
      </c>
      <c r="N31" s="322">
        <v>3</v>
      </c>
      <c r="O31" s="322">
        <v>35</v>
      </c>
      <c r="P31" s="319" t="s">
        <v>81</v>
      </c>
      <c r="Q31" s="315"/>
      <c r="R31" s="315"/>
      <c r="S31" s="315"/>
      <c r="T31" s="315"/>
      <c r="U31" s="315"/>
      <c r="V31" s="315"/>
      <c r="W31" s="315"/>
      <c r="X31" s="315"/>
      <c r="Y31" s="315"/>
      <c r="Z31" s="322" t="s">
        <v>585</v>
      </c>
      <c r="AA31" s="322" t="s">
        <v>644</v>
      </c>
      <c r="AB31" s="322" t="s">
        <v>576</v>
      </c>
      <c r="AC31" s="322" t="s">
        <v>675</v>
      </c>
      <c r="AD31" s="322" t="s">
        <v>668</v>
      </c>
      <c r="AE31" s="322" t="s">
        <v>676</v>
      </c>
      <c r="AF31" s="322" t="s">
        <v>677</v>
      </c>
      <c r="AG31" s="315"/>
      <c r="AH31" s="315"/>
      <c r="AI31" s="322" t="s">
        <v>223</v>
      </c>
      <c r="AJ31" s="315"/>
    </row>
    <row r="32" spans="1:36" x14ac:dyDescent="0.3">
      <c r="A32" s="317" t="s">
        <v>290</v>
      </c>
      <c r="B32" s="318">
        <v>45987</v>
      </c>
      <c r="C32" s="319" t="s">
        <v>375</v>
      </c>
      <c r="D32" s="320" t="s">
        <v>678</v>
      </c>
      <c r="E32" s="319" t="s">
        <v>335</v>
      </c>
      <c r="F32" s="319" t="s">
        <v>189</v>
      </c>
      <c r="G32" s="321">
        <v>0.9778</v>
      </c>
      <c r="H32" s="322">
        <v>180</v>
      </c>
      <c r="I32" s="322">
        <v>176</v>
      </c>
      <c r="J32" s="322">
        <v>51</v>
      </c>
      <c r="K32" s="319" t="s">
        <v>190</v>
      </c>
      <c r="L32" s="323">
        <v>45980</v>
      </c>
      <c r="M32" s="322">
        <v>5</v>
      </c>
      <c r="N32" s="322">
        <v>7</v>
      </c>
      <c r="O32" s="322">
        <v>69</v>
      </c>
      <c r="P32" s="319" t="s">
        <v>283</v>
      </c>
      <c r="Q32" s="315"/>
      <c r="R32" s="315"/>
      <c r="S32" s="315"/>
      <c r="T32" s="315"/>
      <c r="U32" s="315"/>
      <c r="V32" s="315"/>
      <c r="W32" s="315"/>
      <c r="X32" s="315"/>
      <c r="Y32" s="315"/>
      <c r="Z32" s="322" t="s">
        <v>279</v>
      </c>
      <c r="AA32" s="322" t="s">
        <v>679</v>
      </c>
      <c r="AB32" s="322" t="s">
        <v>680</v>
      </c>
      <c r="AC32" s="322" t="s">
        <v>324</v>
      </c>
      <c r="AD32" s="322" t="s">
        <v>325</v>
      </c>
      <c r="AE32" s="322" t="s">
        <v>676</v>
      </c>
      <c r="AF32" s="322" t="s">
        <v>677</v>
      </c>
      <c r="AG32" s="315"/>
      <c r="AH32" s="315"/>
      <c r="AI32" s="322" t="s">
        <v>681</v>
      </c>
      <c r="AJ32" s="315"/>
    </row>
    <row r="33" spans="1:36" x14ac:dyDescent="0.3">
      <c r="A33" s="317" t="s">
        <v>290</v>
      </c>
      <c r="B33" s="318">
        <v>45987</v>
      </c>
      <c r="C33" s="319" t="s">
        <v>421</v>
      </c>
      <c r="D33" s="320" t="s">
        <v>682</v>
      </c>
      <c r="E33" s="319" t="s">
        <v>335</v>
      </c>
      <c r="F33" s="319" t="s">
        <v>189</v>
      </c>
      <c r="G33" s="321">
        <v>0.99439999999999995</v>
      </c>
      <c r="H33" s="322">
        <v>180</v>
      </c>
      <c r="I33" s="322">
        <v>179</v>
      </c>
      <c r="J33" s="322">
        <v>90</v>
      </c>
      <c r="K33" s="319" t="s">
        <v>190</v>
      </c>
      <c r="L33" s="323">
        <v>45980</v>
      </c>
      <c r="M33" s="322">
        <v>2</v>
      </c>
      <c r="N33" s="322">
        <v>3</v>
      </c>
      <c r="O33" s="322">
        <v>25</v>
      </c>
      <c r="P33" s="319" t="s">
        <v>81</v>
      </c>
      <c r="Q33" s="315"/>
      <c r="R33" s="315"/>
      <c r="S33" s="315"/>
      <c r="T33" s="315"/>
      <c r="U33" s="315"/>
      <c r="V33" s="315"/>
      <c r="W33" s="315"/>
      <c r="X33" s="315"/>
      <c r="Y33" s="315"/>
      <c r="Z33" s="315"/>
      <c r="AA33" s="315"/>
      <c r="AB33" s="322" t="s">
        <v>683</v>
      </c>
      <c r="AC33" s="322" t="s">
        <v>330</v>
      </c>
      <c r="AD33" s="322" t="s">
        <v>325</v>
      </c>
      <c r="AE33" s="322" t="s">
        <v>676</v>
      </c>
      <c r="AF33" s="322" t="s">
        <v>677</v>
      </c>
      <c r="AG33" s="315"/>
      <c r="AH33" s="315"/>
      <c r="AI33" s="322" t="s">
        <v>223</v>
      </c>
      <c r="AJ33" s="315"/>
    </row>
    <row r="34" spans="1:36" x14ac:dyDescent="0.3">
      <c r="A34" s="317" t="s">
        <v>290</v>
      </c>
      <c r="B34" s="318">
        <v>45987</v>
      </c>
      <c r="C34" s="319" t="s">
        <v>383</v>
      </c>
      <c r="D34" s="320" t="s">
        <v>615</v>
      </c>
      <c r="E34" s="319" t="s">
        <v>335</v>
      </c>
      <c r="F34" s="319" t="s">
        <v>189</v>
      </c>
      <c r="G34" s="321">
        <v>1</v>
      </c>
      <c r="H34" s="322">
        <v>180</v>
      </c>
      <c r="I34" s="322">
        <v>180</v>
      </c>
      <c r="J34" s="322">
        <v>115</v>
      </c>
      <c r="K34" s="319" t="s">
        <v>190</v>
      </c>
      <c r="L34" s="323">
        <v>45980</v>
      </c>
      <c r="M34" s="322">
        <v>2</v>
      </c>
      <c r="N34" s="322">
        <v>1</v>
      </c>
      <c r="O34" s="322">
        <v>25</v>
      </c>
      <c r="P34" s="319" t="s">
        <v>81</v>
      </c>
      <c r="Q34" s="315"/>
      <c r="R34" s="315"/>
      <c r="S34" s="315"/>
      <c r="T34" s="315"/>
      <c r="U34" s="315"/>
      <c r="V34" s="315"/>
      <c r="W34" s="315"/>
      <c r="X34" s="315"/>
      <c r="Y34" s="315"/>
      <c r="Z34" s="322" t="s">
        <v>376</v>
      </c>
      <c r="AA34" s="322" t="s">
        <v>425</v>
      </c>
      <c r="AB34" s="322" t="s">
        <v>576</v>
      </c>
      <c r="AC34" s="322" t="s">
        <v>627</v>
      </c>
      <c r="AD34" s="322" t="s">
        <v>315</v>
      </c>
      <c r="AE34" s="322" t="s">
        <v>195</v>
      </c>
      <c r="AF34" s="322" t="s">
        <v>684</v>
      </c>
      <c r="AG34" s="315"/>
      <c r="AH34" s="315"/>
      <c r="AI34" s="322" t="s">
        <v>685</v>
      </c>
      <c r="AJ34" s="315"/>
    </row>
    <row r="35" spans="1:36" x14ac:dyDescent="0.3">
      <c r="A35" s="317" t="s">
        <v>290</v>
      </c>
      <c r="B35" s="318">
        <v>45987</v>
      </c>
      <c r="C35" s="319" t="s">
        <v>428</v>
      </c>
      <c r="D35" s="320" t="s">
        <v>600</v>
      </c>
      <c r="E35" s="319" t="s">
        <v>335</v>
      </c>
      <c r="F35" s="319" t="s">
        <v>189</v>
      </c>
      <c r="G35" s="321">
        <v>0.59440000000000004</v>
      </c>
      <c r="H35" s="322">
        <v>180</v>
      </c>
      <c r="I35" s="322">
        <v>107</v>
      </c>
      <c r="J35" s="322">
        <v>0</v>
      </c>
      <c r="K35" s="319" t="s">
        <v>190</v>
      </c>
      <c r="L35" s="323">
        <v>45980</v>
      </c>
      <c r="M35" s="322">
        <v>1</v>
      </c>
      <c r="N35" s="322">
        <v>2</v>
      </c>
      <c r="O35" s="322">
        <v>39</v>
      </c>
      <c r="P35" s="319" t="s">
        <v>381</v>
      </c>
      <c r="Q35" s="315"/>
      <c r="R35" s="315"/>
      <c r="S35" s="315"/>
      <c r="T35" s="315"/>
      <c r="U35" s="315"/>
      <c r="V35" s="315"/>
      <c r="W35" s="315"/>
      <c r="X35" s="315"/>
      <c r="Y35" s="322" t="s">
        <v>686</v>
      </c>
      <c r="Z35" s="322" t="s">
        <v>687</v>
      </c>
      <c r="AA35" s="322" t="s">
        <v>679</v>
      </c>
      <c r="AB35" s="322" t="s">
        <v>688</v>
      </c>
      <c r="AC35" s="322" t="s">
        <v>193</v>
      </c>
      <c r="AD35" s="322" t="s">
        <v>194</v>
      </c>
      <c r="AE35" s="322" t="s">
        <v>195</v>
      </c>
      <c r="AF35" s="322" t="s">
        <v>196</v>
      </c>
      <c r="AG35" s="315"/>
      <c r="AH35" s="315"/>
      <c r="AI35" s="315"/>
      <c r="AJ35" s="315"/>
    </row>
    <row r="36" spans="1:36" x14ac:dyDescent="0.3">
      <c r="A36" s="317" t="s">
        <v>187</v>
      </c>
      <c r="B36" s="318">
        <v>45988</v>
      </c>
      <c r="C36" s="319" t="s">
        <v>371</v>
      </c>
      <c r="D36" s="320" t="s">
        <v>240</v>
      </c>
      <c r="E36" s="319" t="s">
        <v>335</v>
      </c>
      <c r="F36" s="319" t="s">
        <v>189</v>
      </c>
      <c r="G36" s="321">
        <v>0.68889999999999996</v>
      </c>
      <c r="H36" s="322">
        <v>180</v>
      </c>
      <c r="I36" s="322">
        <v>124</v>
      </c>
      <c r="J36" s="322">
        <v>0</v>
      </c>
      <c r="K36" s="319" t="s">
        <v>190</v>
      </c>
      <c r="L36" s="323">
        <v>45979</v>
      </c>
      <c r="M36" s="322">
        <v>0</v>
      </c>
      <c r="N36" s="322">
        <v>6</v>
      </c>
      <c r="O36" s="322">
        <v>27</v>
      </c>
      <c r="P36" s="319" t="s">
        <v>496</v>
      </c>
      <c r="Q36" s="315"/>
      <c r="R36" s="315"/>
      <c r="S36" s="315"/>
      <c r="T36" s="315"/>
      <c r="U36" s="315"/>
      <c r="V36" s="315"/>
      <c r="W36" s="315"/>
      <c r="X36" s="315"/>
      <c r="Y36" s="322" t="s">
        <v>515</v>
      </c>
      <c r="Z36" s="322" t="s">
        <v>689</v>
      </c>
      <c r="AA36" s="322" t="s">
        <v>690</v>
      </c>
      <c r="AB36" s="322" t="s">
        <v>691</v>
      </c>
      <c r="AC36" s="322" t="s">
        <v>675</v>
      </c>
      <c r="AD36" s="322" t="s">
        <v>315</v>
      </c>
      <c r="AE36" s="322" t="s">
        <v>195</v>
      </c>
      <c r="AF36" s="322" t="s">
        <v>640</v>
      </c>
      <c r="AG36" s="315"/>
      <c r="AH36" s="315"/>
      <c r="AI36" s="315"/>
      <c r="AJ36" s="315"/>
    </row>
    <row r="37" spans="1:36" x14ac:dyDescent="0.3">
      <c r="A37" s="317" t="s">
        <v>187</v>
      </c>
      <c r="B37" s="318">
        <v>45988</v>
      </c>
      <c r="C37" s="319" t="s">
        <v>375</v>
      </c>
      <c r="D37" s="320" t="s">
        <v>581</v>
      </c>
      <c r="E37" s="319" t="s">
        <v>335</v>
      </c>
      <c r="F37" s="319" t="s">
        <v>189</v>
      </c>
      <c r="G37" s="321">
        <v>0.86109999999999998</v>
      </c>
      <c r="H37" s="322">
        <v>180</v>
      </c>
      <c r="I37" s="322">
        <v>155</v>
      </c>
      <c r="J37" s="322">
        <v>48</v>
      </c>
      <c r="K37" s="319" t="s">
        <v>190</v>
      </c>
      <c r="L37" s="323">
        <v>45980</v>
      </c>
      <c r="M37" s="322">
        <v>2</v>
      </c>
      <c r="N37" s="322">
        <v>5</v>
      </c>
      <c r="O37" s="322">
        <v>15</v>
      </c>
      <c r="P37" s="319" t="s">
        <v>515</v>
      </c>
      <c r="Q37" s="315"/>
      <c r="R37" s="315"/>
      <c r="S37" s="315"/>
      <c r="T37" s="315"/>
      <c r="U37" s="315"/>
      <c r="V37" s="315"/>
      <c r="W37" s="315"/>
      <c r="X37" s="315"/>
      <c r="Y37" s="322" t="s">
        <v>686</v>
      </c>
      <c r="Z37" s="322" t="s">
        <v>689</v>
      </c>
      <c r="AA37" s="322" t="s">
        <v>422</v>
      </c>
      <c r="AB37" s="322" t="s">
        <v>215</v>
      </c>
      <c r="AC37" s="322" t="s">
        <v>692</v>
      </c>
      <c r="AD37" s="322" t="s">
        <v>315</v>
      </c>
      <c r="AE37" s="322" t="s">
        <v>195</v>
      </c>
      <c r="AF37" s="322" t="s">
        <v>640</v>
      </c>
      <c r="AG37" s="315"/>
      <c r="AH37" s="315"/>
      <c r="AI37" s="322" t="s">
        <v>693</v>
      </c>
      <c r="AJ37" s="315"/>
    </row>
    <row r="38" spans="1:36" x14ac:dyDescent="0.3">
      <c r="A38" s="317" t="s">
        <v>187</v>
      </c>
      <c r="B38" s="318">
        <v>45988</v>
      </c>
      <c r="C38" s="319" t="s">
        <v>367</v>
      </c>
      <c r="D38" s="320" t="s">
        <v>584</v>
      </c>
      <c r="E38" s="319" t="s">
        <v>335</v>
      </c>
      <c r="F38" s="319" t="s">
        <v>189</v>
      </c>
      <c r="G38" s="321">
        <v>0.74439999999999995</v>
      </c>
      <c r="H38" s="322">
        <v>180</v>
      </c>
      <c r="I38" s="322">
        <v>134</v>
      </c>
      <c r="J38" s="322">
        <v>45</v>
      </c>
      <c r="K38" s="319" t="s">
        <v>190</v>
      </c>
      <c r="L38" s="323">
        <v>45979</v>
      </c>
      <c r="M38" s="322">
        <v>0</v>
      </c>
      <c r="N38" s="322">
        <v>2</v>
      </c>
      <c r="O38" s="322">
        <v>37</v>
      </c>
      <c r="P38" s="319" t="s">
        <v>209</v>
      </c>
      <c r="Q38" s="315"/>
      <c r="R38" s="315"/>
      <c r="S38" s="315"/>
      <c r="T38" s="315"/>
      <c r="U38" s="315"/>
      <c r="V38" s="315"/>
      <c r="W38" s="315"/>
      <c r="X38" s="315"/>
      <c r="Y38" s="322" t="s">
        <v>381</v>
      </c>
      <c r="Z38" s="322" t="s">
        <v>694</v>
      </c>
      <c r="AA38" s="322" t="s">
        <v>422</v>
      </c>
      <c r="AB38" s="322" t="s">
        <v>691</v>
      </c>
      <c r="AC38" s="322" t="s">
        <v>205</v>
      </c>
      <c r="AD38" s="322" t="s">
        <v>331</v>
      </c>
      <c r="AE38" s="322" t="s">
        <v>598</v>
      </c>
      <c r="AF38" s="322" t="s">
        <v>599</v>
      </c>
      <c r="AG38" s="315"/>
      <c r="AH38" s="315"/>
      <c r="AI38" s="322" t="s">
        <v>321</v>
      </c>
      <c r="AJ38" s="315"/>
    </row>
    <row r="39" spans="1:36" x14ac:dyDescent="0.3">
      <c r="A39" s="317" t="s">
        <v>187</v>
      </c>
      <c r="B39" s="318">
        <v>45988</v>
      </c>
      <c r="C39" s="319" t="s">
        <v>383</v>
      </c>
      <c r="D39" s="320" t="s">
        <v>590</v>
      </c>
      <c r="E39" s="319" t="s">
        <v>335</v>
      </c>
      <c r="F39" s="319" t="s">
        <v>189</v>
      </c>
      <c r="G39" s="321">
        <v>1</v>
      </c>
      <c r="H39" s="322">
        <v>180</v>
      </c>
      <c r="I39" s="322">
        <v>180</v>
      </c>
      <c r="J39" s="322">
        <v>135</v>
      </c>
      <c r="K39" s="319" t="s">
        <v>190</v>
      </c>
      <c r="L39" s="323">
        <v>45960</v>
      </c>
      <c r="M39" s="322">
        <v>0</v>
      </c>
      <c r="N39" s="322">
        <v>0</v>
      </c>
      <c r="O39" s="322">
        <v>0</v>
      </c>
      <c r="P39" s="319" t="s">
        <v>81</v>
      </c>
      <c r="Q39" s="315"/>
      <c r="R39" s="315"/>
      <c r="S39" s="315"/>
      <c r="T39" s="315"/>
      <c r="U39" s="315"/>
      <c r="V39" s="315"/>
      <c r="W39" s="315"/>
      <c r="X39" s="315"/>
      <c r="Y39" s="315"/>
      <c r="Z39" s="315"/>
      <c r="AA39" s="315"/>
      <c r="AB39" s="315"/>
      <c r="AC39" s="322" t="s">
        <v>654</v>
      </c>
      <c r="AD39" s="322" t="s">
        <v>315</v>
      </c>
      <c r="AE39" s="322" t="s">
        <v>195</v>
      </c>
      <c r="AF39" s="322" t="s">
        <v>640</v>
      </c>
      <c r="AG39" s="315"/>
      <c r="AH39" s="315"/>
      <c r="AI39" s="322" t="s">
        <v>229</v>
      </c>
      <c r="AJ39" s="315"/>
    </row>
    <row r="40" spans="1:36" x14ac:dyDescent="0.3">
      <c r="A40" s="317" t="s">
        <v>187</v>
      </c>
      <c r="B40" s="318">
        <v>45988</v>
      </c>
      <c r="C40" s="319" t="s">
        <v>363</v>
      </c>
      <c r="D40" s="320" t="s">
        <v>595</v>
      </c>
      <c r="E40" s="319" t="s">
        <v>335</v>
      </c>
      <c r="F40" s="319" t="s">
        <v>189</v>
      </c>
      <c r="G40" s="321">
        <v>0.99439999999999995</v>
      </c>
      <c r="H40" s="322">
        <v>180</v>
      </c>
      <c r="I40" s="322">
        <v>179</v>
      </c>
      <c r="J40" s="322">
        <v>135</v>
      </c>
      <c r="K40" s="319" t="s">
        <v>190</v>
      </c>
      <c r="L40" s="323">
        <v>45975</v>
      </c>
      <c r="M40" s="322">
        <v>0</v>
      </c>
      <c r="N40" s="322">
        <v>0</v>
      </c>
      <c r="O40" s="322">
        <v>3</v>
      </c>
      <c r="P40" s="319" t="s">
        <v>81</v>
      </c>
      <c r="Q40" s="315"/>
      <c r="R40" s="315"/>
      <c r="S40" s="315"/>
      <c r="T40" s="315"/>
      <c r="U40" s="315"/>
      <c r="V40" s="322" t="s">
        <v>695</v>
      </c>
      <c r="W40" s="315"/>
      <c r="X40" s="322" t="s">
        <v>231</v>
      </c>
      <c r="Y40" s="315"/>
      <c r="Z40" s="322" t="s">
        <v>376</v>
      </c>
      <c r="AA40" s="322" t="s">
        <v>450</v>
      </c>
      <c r="AB40" s="322" t="s">
        <v>645</v>
      </c>
      <c r="AC40" s="322" t="s">
        <v>696</v>
      </c>
      <c r="AD40" s="322" t="s">
        <v>697</v>
      </c>
      <c r="AE40" s="322" t="s">
        <v>332</v>
      </c>
      <c r="AF40" s="322" t="s">
        <v>599</v>
      </c>
      <c r="AG40" s="315"/>
      <c r="AH40" s="315"/>
      <c r="AI40" s="322" t="s">
        <v>229</v>
      </c>
      <c r="AJ40" s="315"/>
    </row>
    <row r="41" spans="1:36" x14ac:dyDescent="0.3">
      <c r="A41" s="317" t="s">
        <v>187</v>
      </c>
      <c r="B41" s="318">
        <v>45988</v>
      </c>
      <c r="C41" s="319" t="s">
        <v>380</v>
      </c>
      <c r="D41" s="320" t="s">
        <v>600</v>
      </c>
      <c r="E41" s="319" t="s">
        <v>335</v>
      </c>
      <c r="F41" s="319" t="s">
        <v>189</v>
      </c>
      <c r="G41" s="321">
        <v>0.82779999999999998</v>
      </c>
      <c r="H41" s="322">
        <v>180</v>
      </c>
      <c r="I41" s="322">
        <v>149</v>
      </c>
      <c r="J41" s="322">
        <v>0</v>
      </c>
      <c r="K41" s="319" t="s">
        <v>190</v>
      </c>
      <c r="L41" s="323">
        <v>45979</v>
      </c>
      <c r="M41" s="322">
        <v>0</v>
      </c>
      <c r="N41" s="322">
        <v>10</v>
      </c>
      <c r="O41" s="322">
        <v>17</v>
      </c>
      <c r="P41" s="319" t="s">
        <v>103</v>
      </c>
      <c r="Q41" s="315"/>
      <c r="R41" s="315"/>
      <c r="S41" s="315"/>
      <c r="T41" s="315"/>
      <c r="U41" s="315"/>
      <c r="V41" s="322" t="s">
        <v>698</v>
      </c>
      <c r="W41" s="322" t="s">
        <v>699</v>
      </c>
      <c r="X41" s="322" t="s">
        <v>700</v>
      </c>
      <c r="Y41" s="322" t="s">
        <v>701</v>
      </c>
      <c r="Z41" s="322" t="s">
        <v>702</v>
      </c>
      <c r="AA41" s="322" t="s">
        <v>575</v>
      </c>
      <c r="AB41" s="322" t="s">
        <v>618</v>
      </c>
      <c r="AC41" s="322" t="s">
        <v>627</v>
      </c>
      <c r="AD41" s="322" t="s">
        <v>703</v>
      </c>
      <c r="AE41" s="322" t="s">
        <v>195</v>
      </c>
      <c r="AF41" s="322" t="s">
        <v>196</v>
      </c>
      <c r="AG41" s="315"/>
      <c r="AH41" s="315"/>
      <c r="AI41" s="315"/>
      <c r="AJ41" s="322" t="s">
        <v>704</v>
      </c>
    </row>
    <row r="42" spans="1:36" x14ac:dyDescent="0.3">
      <c r="A42" s="317" t="s">
        <v>606</v>
      </c>
      <c r="B42" s="318">
        <v>45989</v>
      </c>
      <c r="C42" s="319" t="s">
        <v>375</v>
      </c>
      <c r="D42" s="320" t="s">
        <v>607</v>
      </c>
      <c r="E42" s="319" t="s">
        <v>335</v>
      </c>
      <c r="F42" s="319" t="s">
        <v>189</v>
      </c>
      <c r="G42" s="321">
        <v>0.96109999999999995</v>
      </c>
      <c r="H42" s="322">
        <v>180</v>
      </c>
      <c r="I42" s="322">
        <v>173</v>
      </c>
      <c r="J42" s="322">
        <v>30</v>
      </c>
      <c r="K42" s="319" t="s">
        <v>190</v>
      </c>
      <c r="L42" s="323">
        <v>45979</v>
      </c>
      <c r="M42" s="322">
        <v>0</v>
      </c>
      <c r="N42" s="322">
        <v>3</v>
      </c>
      <c r="O42" s="322">
        <v>27</v>
      </c>
      <c r="P42" s="319" t="s">
        <v>103</v>
      </c>
      <c r="Q42" s="315"/>
      <c r="R42" s="315"/>
      <c r="S42" s="315"/>
      <c r="T42" s="315"/>
      <c r="U42" s="315"/>
      <c r="V42" s="322" t="s">
        <v>705</v>
      </c>
      <c r="W42" s="322" t="s">
        <v>706</v>
      </c>
      <c r="X42" s="322" t="s">
        <v>707</v>
      </c>
      <c r="Y42" s="322" t="s">
        <v>701</v>
      </c>
      <c r="Z42" s="322" t="s">
        <v>708</v>
      </c>
      <c r="AA42" s="322" t="s">
        <v>602</v>
      </c>
      <c r="AB42" s="322" t="s">
        <v>215</v>
      </c>
      <c r="AC42" s="322" t="s">
        <v>577</v>
      </c>
      <c r="AD42" s="322" t="s">
        <v>709</v>
      </c>
      <c r="AE42" s="322" t="s">
        <v>195</v>
      </c>
      <c r="AF42" s="322" t="s">
        <v>196</v>
      </c>
      <c r="AG42" s="315"/>
      <c r="AH42" s="315"/>
      <c r="AI42" s="322" t="s">
        <v>710</v>
      </c>
      <c r="AJ42" s="322" t="s">
        <v>605</v>
      </c>
    </row>
    <row r="43" spans="1:36" x14ac:dyDescent="0.3">
      <c r="A43" s="317" t="s">
        <v>606</v>
      </c>
      <c r="B43" s="318">
        <v>45989</v>
      </c>
      <c r="C43" s="319" t="s">
        <v>383</v>
      </c>
      <c r="D43" s="320" t="s">
        <v>611</v>
      </c>
      <c r="E43" s="319" t="s">
        <v>335</v>
      </c>
      <c r="F43" s="319" t="s">
        <v>189</v>
      </c>
      <c r="G43" s="321">
        <v>0.75</v>
      </c>
      <c r="H43" s="322">
        <v>180</v>
      </c>
      <c r="I43" s="322">
        <v>135</v>
      </c>
      <c r="J43" s="322">
        <v>0</v>
      </c>
      <c r="K43" s="319" t="s">
        <v>190</v>
      </c>
      <c r="L43" s="323">
        <v>45979</v>
      </c>
      <c r="M43" s="322">
        <v>0</v>
      </c>
      <c r="N43" s="322">
        <v>2</v>
      </c>
      <c r="O43" s="322">
        <v>20</v>
      </c>
      <c r="P43" s="319" t="s">
        <v>128</v>
      </c>
      <c r="Q43" s="315"/>
      <c r="R43" s="315"/>
      <c r="S43" s="315"/>
      <c r="T43" s="315"/>
      <c r="U43" s="315"/>
      <c r="V43" s="315"/>
      <c r="W43" s="322" t="s">
        <v>128</v>
      </c>
      <c r="X43" s="322" t="s">
        <v>711</v>
      </c>
      <c r="Y43" s="322" t="s">
        <v>712</v>
      </c>
      <c r="Z43" s="322" t="s">
        <v>591</v>
      </c>
      <c r="AA43" s="322" t="s">
        <v>575</v>
      </c>
      <c r="AB43" s="322" t="s">
        <v>576</v>
      </c>
      <c r="AC43" s="322" t="s">
        <v>577</v>
      </c>
      <c r="AD43" s="322" t="s">
        <v>315</v>
      </c>
      <c r="AE43" s="322" t="s">
        <v>326</v>
      </c>
      <c r="AF43" s="322" t="s">
        <v>196</v>
      </c>
      <c r="AG43" s="315"/>
      <c r="AH43" s="315"/>
      <c r="AI43" s="315"/>
      <c r="AJ43" s="315"/>
    </row>
    <row r="44" spans="1:36" x14ac:dyDescent="0.3">
      <c r="A44" s="317" t="s">
        <v>606</v>
      </c>
      <c r="B44" s="318">
        <v>45989</v>
      </c>
      <c r="C44" s="319" t="s">
        <v>363</v>
      </c>
      <c r="D44" s="320" t="s">
        <v>615</v>
      </c>
      <c r="E44" s="319" t="s">
        <v>335</v>
      </c>
      <c r="F44" s="319" t="s">
        <v>189</v>
      </c>
      <c r="G44" s="321">
        <v>0.87780000000000002</v>
      </c>
      <c r="H44" s="322">
        <v>180</v>
      </c>
      <c r="I44" s="322">
        <v>158</v>
      </c>
      <c r="J44" s="322">
        <v>45</v>
      </c>
      <c r="K44" s="319" t="s">
        <v>190</v>
      </c>
      <c r="L44" s="323">
        <v>45978</v>
      </c>
      <c r="M44" s="322">
        <v>0</v>
      </c>
      <c r="N44" s="322">
        <v>0</v>
      </c>
      <c r="O44" s="322">
        <v>25</v>
      </c>
      <c r="P44" s="319" t="s">
        <v>538</v>
      </c>
      <c r="Q44" s="315"/>
      <c r="R44" s="315"/>
      <c r="S44" s="315"/>
      <c r="T44" s="315"/>
      <c r="U44" s="315"/>
      <c r="V44" s="322" t="s">
        <v>695</v>
      </c>
      <c r="W44" s="322" t="s">
        <v>713</v>
      </c>
      <c r="X44" s="322" t="s">
        <v>714</v>
      </c>
      <c r="Y44" s="322" t="s">
        <v>469</v>
      </c>
      <c r="Z44" s="322" t="s">
        <v>494</v>
      </c>
      <c r="AA44" s="322" t="s">
        <v>422</v>
      </c>
      <c r="AB44" s="322" t="s">
        <v>215</v>
      </c>
      <c r="AC44" s="322" t="s">
        <v>597</v>
      </c>
      <c r="AD44" s="322" t="s">
        <v>715</v>
      </c>
      <c r="AE44" s="322" t="s">
        <v>284</v>
      </c>
      <c r="AF44" s="322" t="s">
        <v>592</v>
      </c>
      <c r="AG44" s="315"/>
      <c r="AH44" s="315"/>
      <c r="AI44" s="322" t="s">
        <v>321</v>
      </c>
      <c r="AJ44" s="315"/>
    </row>
    <row r="45" spans="1:36" x14ac:dyDescent="0.3">
      <c r="A45" s="317" t="s">
        <v>606</v>
      </c>
      <c r="B45" s="318">
        <v>45989</v>
      </c>
      <c r="C45" s="319" t="s">
        <v>428</v>
      </c>
      <c r="D45" s="320" t="s">
        <v>617</v>
      </c>
      <c r="E45" s="319" t="s">
        <v>335</v>
      </c>
      <c r="F45" s="319" t="s">
        <v>189</v>
      </c>
      <c r="G45" s="321">
        <v>0.75560000000000005</v>
      </c>
      <c r="H45" s="322">
        <v>180</v>
      </c>
      <c r="I45" s="322">
        <v>136</v>
      </c>
      <c r="J45" s="322">
        <v>0</v>
      </c>
      <c r="K45" s="319" t="s">
        <v>190</v>
      </c>
      <c r="L45" s="323">
        <v>45979</v>
      </c>
      <c r="M45" s="322">
        <v>0</v>
      </c>
      <c r="N45" s="322">
        <v>1</v>
      </c>
      <c r="O45" s="322">
        <v>19</v>
      </c>
      <c r="P45" s="319" t="s">
        <v>538</v>
      </c>
      <c r="Q45" s="315"/>
      <c r="R45" s="315"/>
      <c r="S45" s="315"/>
      <c r="T45" s="315"/>
      <c r="U45" s="315"/>
      <c r="V45" s="322" t="s">
        <v>716</v>
      </c>
      <c r="W45" s="322" t="s">
        <v>717</v>
      </c>
      <c r="X45" s="322" t="s">
        <v>718</v>
      </c>
      <c r="Y45" s="322" t="s">
        <v>701</v>
      </c>
      <c r="Z45" s="322" t="s">
        <v>591</v>
      </c>
      <c r="AA45" s="322" t="s">
        <v>602</v>
      </c>
      <c r="AB45" s="322" t="s">
        <v>587</v>
      </c>
      <c r="AC45" s="322" t="s">
        <v>719</v>
      </c>
      <c r="AD45" s="322" t="s">
        <v>194</v>
      </c>
      <c r="AE45" s="322" t="s">
        <v>195</v>
      </c>
      <c r="AF45" s="322" t="s">
        <v>196</v>
      </c>
      <c r="AG45" s="315"/>
      <c r="AH45" s="315"/>
      <c r="AI45" s="315"/>
      <c r="AJ45" s="315"/>
    </row>
    <row r="46" spans="1:36" x14ac:dyDescent="0.3">
      <c r="A46" s="317" t="s">
        <v>606</v>
      </c>
      <c r="B46" s="318">
        <v>45989</v>
      </c>
      <c r="C46" s="319" t="s">
        <v>421</v>
      </c>
      <c r="D46" s="320" t="s">
        <v>622</v>
      </c>
      <c r="E46" s="319" t="s">
        <v>335</v>
      </c>
      <c r="F46" s="319" t="s">
        <v>189</v>
      </c>
      <c r="G46" s="321">
        <v>0.99439999999999995</v>
      </c>
      <c r="H46" s="322">
        <v>180</v>
      </c>
      <c r="I46" s="322">
        <v>179</v>
      </c>
      <c r="J46" s="322">
        <v>0</v>
      </c>
      <c r="K46" s="319" t="s">
        <v>190</v>
      </c>
      <c r="L46" s="323">
        <v>45980</v>
      </c>
      <c r="M46" s="322">
        <v>2</v>
      </c>
      <c r="N46" s="322">
        <v>7</v>
      </c>
      <c r="O46" s="322">
        <v>43</v>
      </c>
      <c r="P46" s="319" t="s">
        <v>542</v>
      </c>
      <c r="Q46" s="315"/>
      <c r="R46" s="315"/>
      <c r="S46" s="315"/>
      <c r="T46" s="315"/>
      <c r="U46" s="315"/>
      <c r="V46" s="322" t="s">
        <v>720</v>
      </c>
      <c r="W46" s="322" t="s">
        <v>721</v>
      </c>
      <c r="X46" s="322" t="s">
        <v>722</v>
      </c>
      <c r="Y46" s="322" t="s">
        <v>723</v>
      </c>
      <c r="Z46" s="322" t="s">
        <v>601</v>
      </c>
      <c r="AA46" s="322" t="s">
        <v>724</v>
      </c>
      <c r="AB46" s="322" t="s">
        <v>725</v>
      </c>
      <c r="AC46" s="322" t="s">
        <v>597</v>
      </c>
      <c r="AD46" s="322" t="s">
        <v>315</v>
      </c>
      <c r="AE46" s="322" t="s">
        <v>195</v>
      </c>
      <c r="AF46" s="322" t="s">
        <v>196</v>
      </c>
      <c r="AG46" s="315"/>
      <c r="AH46" s="315"/>
      <c r="AI46" s="315"/>
      <c r="AJ46" s="315"/>
    </row>
    <row r="47" spans="1:36" x14ac:dyDescent="0.3">
      <c r="A47" s="317" t="s">
        <v>199</v>
      </c>
      <c r="B47" s="318">
        <v>45990</v>
      </c>
      <c r="C47" s="319" t="s">
        <v>371</v>
      </c>
      <c r="D47" s="320" t="s">
        <v>626</v>
      </c>
      <c r="E47" s="319" t="s">
        <v>335</v>
      </c>
      <c r="F47" s="319" t="s">
        <v>189</v>
      </c>
      <c r="G47" s="321">
        <v>1.0333000000000001</v>
      </c>
      <c r="H47" s="322">
        <v>180</v>
      </c>
      <c r="I47" s="322">
        <v>186</v>
      </c>
      <c r="J47" s="322">
        <v>45</v>
      </c>
      <c r="K47" s="319" t="s">
        <v>190</v>
      </c>
      <c r="L47" s="323">
        <v>45974</v>
      </c>
      <c r="M47" s="322">
        <v>0</v>
      </c>
      <c r="N47" s="322">
        <v>0</v>
      </c>
      <c r="O47" s="322">
        <v>1</v>
      </c>
      <c r="P47" s="319" t="s">
        <v>81</v>
      </c>
      <c r="Q47" s="315"/>
      <c r="R47" s="315"/>
      <c r="S47" s="315"/>
      <c r="T47" s="315"/>
      <c r="U47" s="315"/>
      <c r="V47" s="315"/>
      <c r="W47" s="322" t="s">
        <v>103</v>
      </c>
      <c r="X47" s="315"/>
      <c r="Y47" s="322" t="s">
        <v>726</v>
      </c>
      <c r="Z47" s="322" t="s">
        <v>727</v>
      </c>
      <c r="AA47" s="322" t="s">
        <v>728</v>
      </c>
      <c r="AB47" s="322" t="s">
        <v>729</v>
      </c>
      <c r="AC47" s="322" t="s">
        <v>597</v>
      </c>
      <c r="AD47" s="322" t="s">
        <v>315</v>
      </c>
      <c r="AE47" s="322" t="s">
        <v>195</v>
      </c>
      <c r="AF47" s="322" t="s">
        <v>196</v>
      </c>
      <c r="AG47" s="315"/>
      <c r="AH47" s="315"/>
      <c r="AI47" s="322" t="s">
        <v>321</v>
      </c>
      <c r="AJ47" s="315"/>
    </row>
    <row r="48" spans="1:36" x14ac:dyDescent="0.3">
      <c r="A48" s="317" t="s">
        <v>199</v>
      </c>
      <c r="B48" s="318">
        <v>45990</v>
      </c>
      <c r="C48" s="319" t="s">
        <v>375</v>
      </c>
      <c r="D48" s="320" t="s">
        <v>581</v>
      </c>
      <c r="E48" s="319" t="s">
        <v>335</v>
      </c>
      <c r="F48" s="319" t="s">
        <v>189</v>
      </c>
      <c r="G48" s="321">
        <v>1.0056</v>
      </c>
      <c r="H48" s="322">
        <v>180</v>
      </c>
      <c r="I48" s="322">
        <v>181</v>
      </c>
      <c r="J48" s="322">
        <v>135</v>
      </c>
      <c r="K48" s="319" t="s">
        <v>190</v>
      </c>
      <c r="L48" s="323">
        <v>45952</v>
      </c>
      <c r="M48" s="322">
        <v>0</v>
      </c>
      <c r="N48" s="322">
        <v>0</v>
      </c>
      <c r="O48" s="322">
        <v>0</v>
      </c>
      <c r="P48" s="319" t="s">
        <v>81</v>
      </c>
      <c r="Q48" s="315"/>
      <c r="R48" s="315"/>
      <c r="S48" s="315"/>
      <c r="T48" s="315"/>
      <c r="U48" s="315"/>
      <c r="V48" s="315"/>
      <c r="W48" s="315"/>
      <c r="X48" s="315"/>
      <c r="Y48" s="322" t="s">
        <v>496</v>
      </c>
      <c r="Z48" s="315"/>
      <c r="AA48" s="315"/>
      <c r="AB48" s="315"/>
      <c r="AC48" s="322" t="s">
        <v>228</v>
      </c>
      <c r="AD48" s="322" t="s">
        <v>194</v>
      </c>
      <c r="AE48" s="322" t="s">
        <v>195</v>
      </c>
      <c r="AF48" s="322" t="s">
        <v>196</v>
      </c>
      <c r="AG48" s="315"/>
      <c r="AH48" s="315"/>
      <c r="AI48" s="322" t="s">
        <v>229</v>
      </c>
      <c r="AJ48" s="322" t="s">
        <v>605</v>
      </c>
    </row>
    <row r="49" spans="1:36" x14ac:dyDescent="0.3">
      <c r="A49" s="317" t="s">
        <v>199</v>
      </c>
      <c r="B49" s="318">
        <v>45990</v>
      </c>
      <c r="C49" s="319" t="s">
        <v>383</v>
      </c>
      <c r="D49" s="320" t="s">
        <v>634</v>
      </c>
      <c r="E49" s="319" t="s">
        <v>335</v>
      </c>
      <c r="F49" s="319" t="s">
        <v>189</v>
      </c>
      <c r="G49" s="321">
        <v>1</v>
      </c>
      <c r="H49" s="322">
        <v>180</v>
      </c>
      <c r="I49" s="322">
        <v>180</v>
      </c>
      <c r="J49" s="322">
        <v>90</v>
      </c>
      <c r="K49" s="319" t="s">
        <v>190</v>
      </c>
      <c r="L49" s="323">
        <v>45973</v>
      </c>
      <c r="M49" s="322">
        <v>0</v>
      </c>
      <c r="N49" s="322">
        <v>0</v>
      </c>
      <c r="O49" s="322">
        <v>6</v>
      </c>
      <c r="P49" s="319" t="s">
        <v>81</v>
      </c>
      <c r="Q49" s="322" t="s">
        <v>730</v>
      </c>
      <c r="R49" s="315"/>
      <c r="S49" s="315"/>
      <c r="T49" s="315"/>
      <c r="U49" s="315"/>
      <c r="V49" s="322" t="s">
        <v>705</v>
      </c>
      <c r="W49" s="322" t="s">
        <v>731</v>
      </c>
      <c r="X49" s="322" t="s">
        <v>732</v>
      </c>
      <c r="Y49" s="322" t="s">
        <v>381</v>
      </c>
      <c r="Z49" s="322" t="s">
        <v>733</v>
      </c>
      <c r="AA49" s="322" t="s">
        <v>679</v>
      </c>
      <c r="AB49" s="322" t="s">
        <v>215</v>
      </c>
      <c r="AC49" s="322" t="s">
        <v>597</v>
      </c>
      <c r="AD49" s="315"/>
      <c r="AE49" s="315"/>
      <c r="AF49" s="315"/>
      <c r="AG49" s="315"/>
      <c r="AH49" s="315"/>
      <c r="AI49" s="322" t="s">
        <v>223</v>
      </c>
      <c r="AJ49" s="315"/>
    </row>
    <row r="50" spans="1:36" x14ac:dyDescent="0.3">
      <c r="A50" s="317" t="s">
        <v>199</v>
      </c>
      <c r="B50" s="318">
        <v>45990</v>
      </c>
      <c r="C50" s="319" t="s">
        <v>380</v>
      </c>
      <c r="D50" s="320" t="s">
        <v>635</v>
      </c>
      <c r="E50" s="319" t="s">
        <v>335</v>
      </c>
      <c r="F50" s="319" t="s">
        <v>189</v>
      </c>
      <c r="G50" s="321">
        <v>0.89439999999999997</v>
      </c>
      <c r="H50" s="322">
        <v>180</v>
      </c>
      <c r="I50" s="322">
        <v>161</v>
      </c>
      <c r="J50" s="322">
        <v>0</v>
      </c>
      <c r="K50" s="319" t="s">
        <v>190</v>
      </c>
      <c r="L50" s="323">
        <v>45979</v>
      </c>
      <c r="M50" s="322">
        <v>0</v>
      </c>
      <c r="N50" s="322">
        <v>12</v>
      </c>
      <c r="O50" s="322">
        <v>36</v>
      </c>
      <c r="P50" s="319" t="s">
        <v>250</v>
      </c>
      <c r="Q50" s="315"/>
      <c r="R50" s="315"/>
      <c r="S50" s="315"/>
      <c r="T50" s="315"/>
      <c r="U50" s="322" t="s">
        <v>734</v>
      </c>
      <c r="V50" s="322" t="s">
        <v>735</v>
      </c>
      <c r="W50" s="322" t="s">
        <v>736</v>
      </c>
      <c r="X50" s="322" t="s">
        <v>737</v>
      </c>
      <c r="Y50" s="322" t="s">
        <v>701</v>
      </c>
      <c r="Z50" s="322" t="s">
        <v>727</v>
      </c>
      <c r="AA50" s="322" t="s">
        <v>575</v>
      </c>
      <c r="AB50" s="322" t="s">
        <v>576</v>
      </c>
      <c r="AC50" s="322" t="s">
        <v>577</v>
      </c>
      <c r="AD50" s="322" t="s">
        <v>315</v>
      </c>
      <c r="AE50" s="322" t="s">
        <v>195</v>
      </c>
      <c r="AF50" s="322" t="s">
        <v>196</v>
      </c>
      <c r="AG50" s="315"/>
      <c r="AH50" s="315"/>
      <c r="AI50" s="315"/>
      <c r="AJ50" s="322" t="s">
        <v>230</v>
      </c>
    </row>
    <row r="51" spans="1:36" x14ac:dyDescent="0.3">
      <c r="A51" s="317" t="s">
        <v>203</v>
      </c>
      <c r="B51" s="318">
        <v>45991</v>
      </c>
      <c r="C51" s="319" t="s">
        <v>375</v>
      </c>
      <c r="D51" s="320" t="s">
        <v>607</v>
      </c>
      <c r="E51" s="319" t="s">
        <v>335</v>
      </c>
      <c r="F51" s="319" t="s">
        <v>189</v>
      </c>
      <c r="G51" s="321">
        <v>1</v>
      </c>
      <c r="H51" s="322">
        <v>180</v>
      </c>
      <c r="I51" s="322">
        <v>180</v>
      </c>
      <c r="J51" s="322">
        <v>90</v>
      </c>
      <c r="K51" s="319" t="s">
        <v>190</v>
      </c>
      <c r="L51" s="323">
        <v>45966</v>
      </c>
      <c r="M51" s="322">
        <v>0</v>
      </c>
      <c r="N51" s="322">
        <v>0</v>
      </c>
      <c r="O51" s="322">
        <v>0</v>
      </c>
      <c r="P51" s="319" t="s">
        <v>81</v>
      </c>
      <c r="Q51" s="315"/>
      <c r="R51" s="315"/>
      <c r="S51" s="315"/>
      <c r="T51" s="315"/>
      <c r="U51" s="315"/>
      <c r="V51" s="315"/>
      <c r="W51" s="315"/>
      <c r="X51" s="315"/>
      <c r="Y51" s="322" t="s">
        <v>227</v>
      </c>
      <c r="Z51" s="322" t="s">
        <v>733</v>
      </c>
      <c r="AA51" s="322" t="s">
        <v>575</v>
      </c>
      <c r="AB51" s="322" t="s">
        <v>576</v>
      </c>
      <c r="AC51" s="322" t="s">
        <v>577</v>
      </c>
      <c r="AD51" s="322" t="s">
        <v>709</v>
      </c>
      <c r="AE51" s="322" t="s">
        <v>195</v>
      </c>
      <c r="AF51" s="322" t="s">
        <v>196</v>
      </c>
      <c r="AG51" s="315"/>
      <c r="AH51" s="315"/>
      <c r="AI51" s="322" t="s">
        <v>223</v>
      </c>
      <c r="AJ51" s="315"/>
    </row>
    <row r="52" spans="1:36" x14ac:dyDescent="0.3">
      <c r="A52" s="317" t="s">
        <v>203</v>
      </c>
      <c r="B52" s="318">
        <v>45991</v>
      </c>
      <c r="C52" s="319" t="s">
        <v>367</v>
      </c>
      <c r="D52" s="320" t="s">
        <v>581</v>
      </c>
      <c r="E52" s="319" t="s">
        <v>335</v>
      </c>
      <c r="F52" s="319" t="s">
        <v>189</v>
      </c>
      <c r="G52" s="321">
        <v>0.95</v>
      </c>
      <c r="H52" s="322">
        <v>180</v>
      </c>
      <c r="I52" s="322">
        <v>171</v>
      </c>
      <c r="J52" s="322">
        <v>90</v>
      </c>
      <c r="K52" s="319" t="s">
        <v>190</v>
      </c>
      <c r="L52" s="323">
        <v>45979</v>
      </c>
      <c r="M52" s="322">
        <v>0</v>
      </c>
      <c r="N52" s="322">
        <v>1</v>
      </c>
      <c r="O52" s="322">
        <v>12</v>
      </c>
      <c r="P52" s="319" t="s">
        <v>570</v>
      </c>
      <c r="Q52" s="315"/>
      <c r="R52" s="315"/>
      <c r="S52" s="315"/>
      <c r="T52" s="315"/>
      <c r="U52" s="315"/>
      <c r="V52" s="315"/>
      <c r="W52" s="322" t="s">
        <v>738</v>
      </c>
      <c r="X52" s="322" t="s">
        <v>739</v>
      </c>
      <c r="Y52" s="322" t="s">
        <v>726</v>
      </c>
      <c r="Z52" s="322" t="s">
        <v>601</v>
      </c>
      <c r="AA52" s="322" t="s">
        <v>422</v>
      </c>
      <c r="AB52" s="322" t="s">
        <v>587</v>
      </c>
      <c r="AC52" s="322" t="s">
        <v>646</v>
      </c>
      <c r="AD52" s="322" t="s">
        <v>331</v>
      </c>
      <c r="AE52" s="322" t="s">
        <v>598</v>
      </c>
      <c r="AF52" s="322" t="s">
        <v>599</v>
      </c>
      <c r="AG52" s="322" t="s">
        <v>282</v>
      </c>
      <c r="AH52" s="315"/>
      <c r="AI52" s="322" t="s">
        <v>321</v>
      </c>
      <c r="AJ52" s="315"/>
    </row>
    <row r="53" spans="1:36" x14ac:dyDescent="0.3">
      <c r="A53" s="317" t="s">
        <v>203</v>
      </c>
      <c r="B53" s="318">
        <v>45991</v>
      </c>
      <c r="C53" s="319" t="s">
        <v>421</v>
      </c>
      <c r="D53" s="320" t="s">
        <v>643</v>
      </c>
      <c r="E53" s="319" t="s">
        <v>335</v>
      </c>
      <c r="F53" s="319" t="s">
        <v>189</v>
      </c>
      <c r="G53" s="321">
        <v>1</v>
      </c>
      <c r="H53" s="322">
        <v>180</v>
      </c>
      <c r="I53" s="322">
        <v>180</v>
      </c>
      <c r="J53" s="322">
        <v>89</v>
      </c>
      <c r="K53" s="319" t="s">
        <v>190</v>
      </c>
      <c r="L53" s="323">
        <v>45979</v>
      </c>
      <c r="M53" s="322">
        <v>0</v>
      </c>
      <c r="N53" s="322">
        <v>2</v>
      </c>
      <c r="O53" s="322">
        <v>5</v>
      </c>
      <c r="P53" s="319" t="s">
        <v>81</v>
      </c>
      <c r="Q53" s="315"/>
      <c r="R53" s="315"/>
      <c r="S53" s="315"/>
      <c r="T53" s="315"/>
      <c r="U53" s="315"/>
      <c r="V53" s="315"/>
      <c r="W53" s="315"/>
      <c r="X53" s="315"/>
      <c r="Y53" s="322" t="s">
        <v>686</v>
      </c>
      <c r="Z53" s="322" t="s">
        <v>486</v>
      </c>
      <c r="AA53" s="322" t="s">
        <v>602</v>
      </c>
      <c r="AB53" s="322" t="s">
        <v>587</v>
      </c>
      <c r="AC53" s="322" t="s">
        <v>577</v>
      </c>
      <c r="AD53" s="322" t="s">
        <v>315</v>
      </c>
      <c r="AE53" s="322" t="s">
        <v>326</v>
      </c>
      <c r="AF53" s="322" t="s">
        <v>196</v>
      </c>
      <c r="AG53" s="315"/>
      <c r="AH53" s="315"/>
      <c r="AI53" s="322" t="s">
        <v>740</v>
      </c>
      <c r="AJ53" s="315"/>
    </row>
    <row r="54" spans="1:36" x14ac:dyDescent="0.3">
      <c r="A54" s="317" t="s">
        <v>203</v>
      </c>
      <c r="B54" s="318">
        <v>45991</v>
      </c>
      <c r="C54" s="319" t="s">
        <v>383</v>
      </c>
      <c r="D54" s="320" t="s">
        <v>649</v>
      </c>
      <c r="E54" s="319" t="s">
        <v>335</v>
      </c>
      <c r="F54" s="319" t="s">
        <v>189</v>
      </c>
      <c r="G54" s="321">
        <v>0.92779999999999996</v>
      </c>
      <c r="H54" s="322">
        <v>180</v>
      </c>
      <c r="I54" s="322">
        <v>167</v>
      </c>
      <c r="J54" s="322">
        <v>90</v>
      </c>
      <c r="K54" s="319" t="s">
        <v>190</v>
      </c>
      <c r="L54" s="323">
        <v>45980</v>
      </c>
      <c r="M54" s="322">
        <v>2</v>
      </c>
      <c r="N54" s="322">
        <v>8</v>
      </c>
      <c r="O54" s="322">
        <v>22</v>
      </c>
      <c r="P54" s="319" t="s">
        <v>568</v>
      </c>
      <c r="Q54" s="315"/>
      <c r="R54" s="315"/>
      <c r="S54" s="315"/>
      <c r="T54" s="315"/>
      <c r="U54" s="315"/>
      <c r="V54" s="315"/>
      <c r="W54" s="315"/>
      <c r="X54" s="322" t="s">
        <v>700</v>
      </c>
      <c r="Y54" s="322" t="s">
        <v>741</v>
      </c>
      <c r="Z54" s="322" t="s">
        <v>733</v>
      </c>
      <c r="AA54" s="322" t="s">
        <v>586</v>
      </c>
      <c r="AB54" s="322" t="s">
        <v>587</v>
      </c>
      <c r="AC54" s="322" t="s">
        <v>742</v>
      </c>
      <c r="AD54" s="315"/>
      <c r="AE54" s="315"/>
      <c r="AF54" s="315"/>
      <c r="AG54" s="315"/>
      <c r="AH54" s="315"/>
      <c r="AI54" s="322" t="s">
        <v>223</v>
      </c>
      <c r="AJ54" s="315"/>
    </row>
    <row r="55" spans="1:36" x14ac:dyDescent="0.3">
      <c r="A55" s="317" t="s">
        <v>203</v>
      </c>
      <c r="B55" s="318">
        <v>45991</v>
      </c>
      <c r="C55" s="319" t="s">
        <v>363</v>
      </c>
      <c r="D55" s="320" t="s">
        <v>651</v>
      </c>
      <c r="E55" s="319" t="s">
        <v>335</v>
      </c>
      <c r="F55" s="319" t="s">
        <v>189</v>
      </c>
      <c r="G55" s="321">
        <v>0.92220000000000002</v>
      </c>
      <c r="H55" s="322">
        <v>180</v>
      </c>
      <c r="I55" s="322">
        <v>166</v>
      </c>
      <c r="J55" s="322">
        <v>90</v>
      </c>
      <c r="K55" s="319" t="s">
        <v>190</v>
      </c>
      <c r="L55" s="323">
        <v>45980</v>
      </c>
      <c r="M55" s="322">
        <v>1</v>
      </c>
      <c r="N55" s="322">
        <v>0</v>
      </c>
      <c r="O55" s="322">
        <v>4</v>
      </c>
      <c r="P55" s="319" t="s">
        <v>572</v>
      </c>
      <c r="Q55" s="315"/>
      <c r="R55" s="315"/>
      <c r="S55" s="315"/>
      <c r="T55" s="315"/>
      <c r="U55" s="315"/>
      <c r="V55" s="315"/>
      <c r="W55" s="322" t="s">
        <v>128</v>
      </c>
      <c r="X55" s="322" t="s">
        <v>743</v>
      </c>
      <c r="Y55" s="322" t="s">
        <v>381</v>
      </c>
      <c r="Z55" s="322" t="s">
        <v>591</v>
      </c>
      <c r="AA55" s="322" t="s">
        <v>744</v>
      </c>
      <c r="AB55" s="322" t="s">
        <v>215</v>
      </c>
      <c r="AC55" s="322" t="s">
        <v>597</v>
      </c>
      <c r="AD55" s="322" t="s">
        <v>331</v>
      </c>
      <c r="AE55" s="322" t="s">
        <v>598</v>
      </c>
      <c r="AF55" s="322" t="s">
        <v>599</v>
      </c>
      <c r="AG55" s="315"/>
      <c r="AH55" s="315"/>
      <c r="AI55" s="322" t="s">
        <v>223</v>
      </c>
      <c r="AJ55" s="315"/>
    </row>
    <row r="56" spans="1:36" ht="21" x14ac:dyDescent="0.3">
      <c r="A56" s="324" t="s">
        <v>1638</v>
      </c>
      <c r="B56" s="325"/>
      <c r="C56" s="324">
        <f>SUBTOTAL(103,CAI_JED_LF_LEGACY[Flt])</f>
        <v>54</v>
      </c>
      <c r="D56" s="324"/>
      <c r="E56" s="324">
        <f>SUBTOTAL(103,CAI_JED_LF_LEGACY[Brd-Off])</f>
        <v>54</v>
      </c>
      <c r="F56" s="324"/>
      <c r="G56" s="326">
        <f>SUBTOTAL(101,CAI_JED_LF_LEGACY[LF%])</f>
        <v>0.89734259259259275</v>
      </c>
      <c r="H56" s="327">
        <f>SUBTOTAL(109,CAI_JED_LF_LEGACY[CAP])</f>
        <v>9713</v>
      </c>
      <c r="I56" s="327">
        <f>SUBTOTAL(109,CAI_JED_LF_LEGACY[BKG(Y)])</f>
        <v>8716</v>
      </c>
      <c r="J56" s="327">
        <f>SUBTOTAL(109,CAI_JED_LF_LEGACY[GRP(Y)])</f>
        <v>3778</v>
      </c>
      <c r="K56" s="324"/>
      <c r="L56" s="325"/>
      <c r="M56" s="327">
        <f>SUBTOTAL(109,CAI_JED_LF_LEGACY[TO-DAY])</f>
        <v>57</v>
      </c>
      <c r="N56" s="327">
        <f>SUBTOTAL(109,CAI_JED_LF_LEGACY[Y-DAY])</f>
        <v>317</v>
      </c>
      <c r="O56" s="327">
        <f>SUBTOTAL(109,CAI_JED_LF_LEGACY[WEEKLY])</f>
        <v>1946</v>
      </c>
      <c r="P56" s="328"/>
      <c r="Q56" s="327">
        <f>SUBTOTAL(109,CAI_JED_LF_LEGACY[Y])</f>
        <v>0</v>
      </c>
      <c r="R56" s="327">
        <f>SUBTOTAL(109,CAI_JED_LF_LEGACY[B])</f>
        <v>0</v>
      </c>
      <c r="S56" s="327">
        <f>SUBTOTAL(109,CAI_JED_LF_LEGACY[M])</f>
        <v>0</v>
      </c>
      <c r="T56" s="327">
        <f>SUBTOTAL(109,CAI_JED_LF_LEGACY[H])</f>
        <v>0</v>
      </c>
      <c r="U56" s="327">
        <f>SUBTOTAL(109,CAI_JED_LF_LEGACY[Q])</f>
        <v>0</v>
      </c>
      <c r="V56" s="327">
        <f>SUBTOTAL(109,CAI_JED_LF_LEGACY[K])</f>
        <v>0</v>
      </c>
      <c r="W56" s="327">
        <f>SUBTOTAL(109,CAI_JED_LF_LEGACY[V])</f>
        <v>0</v>
      </c>
      <c r="X56" s="327">
        <f>SUBTOTAL(109,CAI_JED_LF_LEGACY[L])</f>
        <v>0</v>
      </c>
      <c r="Y56" s="327">
        <f>SUBTOTAL(109,CAI_JED_LF_LEGACY[G])</f>
        <v>0</v>
      </c>
      <c r="Z56" s="327">
        <f>SUBTOTAL(109,CAI_JED_LF_LEGACY[S])</f>
        <v>0</v>
      </c>
      <c r="AA56" s="327">
        <f>SUBTOTAL(109,CAI_JED_LF_LEGACY[W])</f>
        <v>0</v>
      </c>
      <c r="AB56" s="327">
        <f>SUBTOTAL(109,CAI_JED_LF_LEGACY[T])</f>
        <v>0</v>
      </c>
      <c r="AC56" s="327">
        <f>SUBTOTAL(109,CAI_JED_LF_LEGACY[X])</f>
        <v>0</v>
      </c>
      <c r="AD56" s="327">
        <f>SUBTOTAL(109,CAI_JED_LF_LEGACY[U])</f>
        <v>0</v>
      </c>
      <c r="AE56" s="327">
        <f>SUBTOTAL(109,CAI_JED_LF_LEGACY[O])</f>
        <v>0</v>
      </c>
      <c r="AF56" s="327">
        <f>SUBTOTAL(109,CAI_JED_LF_LEGACY[I])</f>
        <v>0</v>
      </c>
      <c r="AG56" s="327">
        <f>SUBTOTAL(109,CAI_JED_LF_LEGACY[E])</f>
        <v>0</v>
      </c>
      <c r="AH56" s="327">
        <f>SUBTOTAL(109,CAI_JED_LF_LEGACY[A])</f>
        <v>0</v>
      </c>
      <c r="AI56" s="327">
        <f>SUBTOTAL(109,CAI_JED_LF_LEGACY[P])</f>
        <v>0</v>
      </c>
      <c r="AJ56" s="327">
        <f>SUBTOTAL(103,CAI_JED_LF_LEGACY[N])</f>
        <v>12</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72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4.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41</v>
      </c>
      <c r="C2" s="105" t="s">
        <v>336</v>
      </c>
      <c r="D2" s="104" t="s">
        <v>335</v>
      </c>
      <c r="E2" s="104" t="s">
        <v>745</v>
      </c>
      <c r="F2" s="104" t="s">
        <v>337</v>
      </c>
      <c r="G2" s="106">
        <v>1</v>
      </c>
      <c r="H2" s="107" t="s">
        <v>338</v>
      </c>
    </row>
    <row r="3" spans="1:8" ht="19.8" customHeight="1" x14ac:dyDescent="0.3">
      <c r="A3" s="103" t="s">
        <v>235</v>
      </c>
      <c r="B3" s="104" t="s">
        <v>41</v>
      </c>
      <c r="C3" s="105" t="s">
        <v>336</v>
      </c>
      <c r="D3" s="104" t="s">
        <v>335</v>
      </c>
      <c r="E3" s="104" t="s">
        <v>745</v>
      </c>
      <c r="F3" s="104" t="s">
        <v>43</v>
      </c>
      <c r="G3" s="106">
        <v>1</v>
      </c>
      <c r="H3" s="107" t="s">
        <v>338</v>
      </c>
    </row>
    <row r="4" spans="1:8" ht="19.8" customHeight="1" x14ac:dyDescent="0.3">
      <c r="A4" s="103" t="s">
        <v>235</v>
      </c>
      <c r="B4" s="104" t="s">
        <v>41</v>
      </c>
      <c r="C4" s="105" t="s">
        <v>340</v>
      </c>
      <c r="D4" s="104" t="s">
        <v>335</v>
      </c>
      <c r="E4" s="104" t="s">
        <v>746</v>
      </c>
      <c r="F4" s="104" t="s">
        <v>337</v>
      </c>
      <c r="G4" s="106">
        <v>38</v>
      </c>
      <c r="H4" s="107" t="s">
        <v>342</v>
      </c>
    </row>
    <row r="5" spans="1:8" ht="19.8" customHeight="1" x14ac:dyDescent="0.3">
      <c r="A5" s="103" t="s">
        <v>235</v>
      </c>
      <c r="B5" s="104" t="s">
        <v>41</v>
      </c>
      <c r="C5" s="105" t="s">
        <v>340</v>
      </c>
      <c r="D5" s="104" t="s">
        <v>335</v>
      </c>
      <c r="E5" s="104" t="s">
        <v>746</v>
      </c>
      <c r="F5" s="104" t="s">
        <v>43</v>
      </c>
      <c r="G5" s="106">
        <v>38</v>
      </c>
      <c r="H5" s="107" t="s">
        <v>342</v>
      </c>
    </row>
    <row r="6" spans="1:8" ht="19.8" customHeight="1" x14ac:dyDescent="0.3">
      <c r="A6" s="103" t="s">
        <v>235</v>
      </c>
      <c r="B6" s="104" t="s">
        <v>41</v>
      </c>
      <c r="C6" s="105" t="s">
        <v>344</v>
      </c>
      <c r="D6" s="104" t="s">
        <v>335</v>
      </c>
      <c r="E6" s="104" t="s">
        <v>747</v>
      </c>
      <c r="F6" s="104" t="s">
        <v>337</v>
      </c>
      <c r="G6" s="106">
        <v>39</v>
      </c>
      <c r="H6" s="107" t="s">
        <v>342</v>
      </c>
    </row>
    <row r="7" spans="1:8" ht="19.8" customHeight="1" x14ac:dyDescent="0.3">
      <c r="A7" s="103" t="s">
        <v>235</v>
      </c>
      <c r="B7" s="104" t="s">
        <v>41</v>
      </c>
      <c r="C7" s="105" t="s">
        <v>344</v>
      </c>
      <c r="D7" s="104" t="s">
        <v>335</v>
      </c>
      <c r="E7" s="104" t="s">
        <v>747</v>
      </c>
      <c r="F7" s="104" t="s">
        <v>43</v>
      </c>
      <c r="G7" s="106">
        <v>39</v>
      </c>
      <c r="H7" s="107" t="s">
        <v>342</v>
      </c>
    </row>
    <row r="8" spans="1:8" ht="19.8" customHeight="1" x14ac:dyDescent="0.3">
      <c r="A8" s="103" t="s">
        <v>235</v>
      </c>
      <c r="B8" s="104" t="s">
        <v>41</v>
      </c>
      <c r="C8" s="105" t="s">
        <v>347</v>
      </c>
      <c r="D8" s="104" t="s">
        <v>335</v>
      </c>
      <c r="E8" s="104" t="s">
        <v>748</v>
      </c>
      <c r="F8" s="104" t="s">
        <v>337</v>
      </c>
      <c r="G8" s="106">
        <v>16</v>
      </c>
      <c r="H8" s="107" t="s">
        <v>342</v>
      </c>
    </row>
    <row r="9" spans="1:8" ht="19.8" customHeight="1" x14ac:dyDescent="0.3">
      <c r="A9" s="103" t="s">
        <v>235</v>
      </c>
      <c r="B9" s="104" t="s">
        <v>41</v>
      </c>
      <c r="C9" s="105" t="s">
        <v>347</v>
      </c>
      <c r="D9" s="104" t="s">
        <v>335</v>
      </c>
      <c r="E9" s="104" t="s">
        <v>748</v>
      </c>
      <c r="F9" s="104" t="s">
        <v>43</v>
      </c>
      <c r="G9" s="106">
        <v>16</v>
      </c>
      <c r="H9" s="107" t="s">
        <v>342</v>
      </c>
    </row>
    <row r="10" spans="1:8" ht="19.8" customHeight="1" x14ac:dyDescent="0.3">
      <c r="A10" s="103" t="s">
        <v>235</v>
      </c>
      <c r="B10" s="104" t="s">
        <v>26</v>
      </c>
      <c r="C10" s="105" t="s">
        <v>350</v>
      </c>
      <c r="D10" s="104" t="s">
        <v>335</v>
      </c>
      <c r="E10" s="104" t="s">
        <v>749</v>
      </c>
      <c r="F10" s="104" t="s">
        <v>351</v>
      </c>
      <c r="G10" s="106">
        <v>9</v>
      </c>
      <c r="H10" s="107" t="s">
        <v>93</v>
      </c>
    </row>
    <row r="11" spans="1:8" ht="19.8" customHeight="1" x14ac:dyDescent="0.3">
      <c r="A11" s="103" t="s">
        <v>235</v>
      </c>
      <c r="B11" s="104" t="s">
        <v>26</v>
      </c>
      <c r="C11" s="105" t="s">
        <v>350</v>
      </c>
      <c r="D11" s="104" t="s">
        <v>335</v>
      </c>
      <c r="E11" s="104" t="s">
        <v>749</v>
      </c>
      <c r="F11" s="104" t="s">
        <v>28</v>
      </c>
      <c r="G11" s="106">
        <v>9</v>
      </c>
      <c r="H11" s="107" t="s">
        <v>93</v>
      </c>
    </row>
    <row r="12" spans="1:8" ht="19.8" customHeight="1" x14ac:dyDescent="0.3">
      <c r="A12" s="103" t="s">
        <v>235</v>
      </c>
      <c r="B12" s="104" t="s">
        <v>26</v>
      </c>
      <c r="C12" s="105" t="s">
        <v>352</v>
      </c>
      <c r="D12" s="104" t="s">
        <v>335</v>
      </c>
      <c r="E12" s="104" t="s">
        <v>750</v>
      </c>
      <c r="F12" s="104" t="s">
        <v>351</v>
      </c>
      <c r="G12" s="106">
        <v>6</v>
      </c>
      <c r="H12" s="107" t="s">
        <v>93</v>
      </c>
    </row>
    <row r="13" spans="1:8" ht="19.8" customHeight="1" x14ac:dyDescent="0.3">
      <c r="A13" s="103" t="s">
        <v>235</v>
      </c>
      <c r="B13" s="104" t="s">
        <v>26</v>
      </c>
      <c r="C13" s="105" t="s">
        <v>352</v>
      </c>
      <c r="D13" s="104" t="s">
        <v>335</v>
      </c>
      <c r="E13" s="104" t="s">
        <v>750</v>
      </c>
      <c r="F13" s="104" t="s">
        <v>28</v>
      </c>
      <c r="G13" s="106">
        <v>6</v>
      </c>
      <c r="H13" s="107" t="s">
        <v>93</v>
      </c>
    </row>
    <row r="14" spans="1:8" ht="19.8" customHeight="1" x14ac:dyDescent="0.3">
      <c r="A14" s="103" t="s">
        <v>235</v>
      </c>
      <c r="B14" s="104" t="s">
        <v>26</v>
      </c>
      <c r="C14" s="105" t="s">
        <v>354</v>
      </c>
      <c r="D14" s="104" t="s">
        <v>335</v>
      </c>
      <c r="E14" s="104" t="s">
        <v>751</v>
      </c>
      <c r="F14" s="104" t="s">
        <v>351</v>
      </c>
      <c r="G14" s="106">
        <v>2</v>
      </c>
      <c r="H14" s="107" t="s">
        <v>44</v>
      </c>
    </row>
    <row r="15" spans="1:8" ht="19.8" customHeight="1" x14ac:dyDescent="0.3">
      <c r="A15" s="103" t="s">
        <v>235</v>
      </c>
      <c r="B15" s="104" t="s">
        <v>26</v>
      </c>
      <c r="C15" s="105" t="s">
        <v>354</v>
      </c>
      <c r="D15" s="104" t="s">
        <v>335</v>
      </c>
      <c r="E15" s="104" t="s">
        <v>751</v>
      </c>
      <c r="F15" s="104" t="s">
        <v>28</v>
      </c>
      <c r="G15" s="106">
        <v>2</v>
      </c>
      <c r="H15" s="107" t="s">
        <v>44</v>
      </c>
    </row>
    <row r="16" spans="1:8" ht="19.8" customHeight="1" x14ac:dyDescent="0.3">
      <c r="A16" s="103" t="s">
        <v>235</v>
      </c>
      <c r="B16" s="104" t="s">
        <v>26</v>
      </c>
      <c r="C16" s="105" t="s">
        <v>356</v>
      </c>
      <c r="D16" s="104" t="s">
        <v>335</v>
      </c>
      <c r="E16" s="104" t="s">
        <v>752</v>
      </c>
      <c r="F16" s="104" t="s">
        <v>351</v>
      </c>
      <c r="G16" s="106">
        <v>1</v>
      </c>
      <c r="H16" s="107" t="s">
        <v>44</v>
      </c>
    </row>
    <row r="17" spans="1:8" ht="19.8" customHeight="1" x14ac:dyDescent="0.3">
      <c r="A17" s="103" t="s">
        <v>235</v>
      </c>
      <c r="B17" s="104" t="s">
        <v>26</v>
      </c>
      <c r="C17" s="105" t="s">
        <v>356</v>
      </c>
      <c r="D17" s="104" t="s">
        <v>335</v>
      </c>
      <c r="E17" s="104" t="s">
        <v>752</v>
      </c>
      <c r="F17" s="104" t="s">
        <v>28</v>
      </c>
      <c r="G17" s="106">
        <v>1</v>
      </c>
      <c r="H17" s="107" t="s">
        <v>44</v>
      </c>
    </row>
    <row r="18" spans="1:8" ht="19.8" customHeight="1" x14ac:dyDescent="0.3">
      <c r="A18" s="103" t="s">
        <v>235</v>
      </c>
      <c r="B18" s="104" t="s">
        <v>26</v>
      </c>
      <c r="C18" s="105" t="s">
        <v>357</v>
      </c>
      <c r="D18" s="104" t="s">
        <v>335</v>
      </c>
      <c r="E18" s="104" t="s">
        <v>753</v>
      </c>
      <c r="F18" s="104" t="s">
        <v>351</v>
      </c>
      <c r="G18" s="106">
        <v>3</v>
      </c>
      <c r="H18" s="107" t="s">
        <v>44</v>
      </c>
    </row>
    <row r="19" spans="1:8" ht="19.8" customHeight="1" x14ac:dyDescent="0.3">
      <c r="A19" s="103" t="s">
        <v>235</v>
      </c>
      <c r="B19" s="104" t="s">
        <v>26</v>
      </c>
      <c r="C19" s="105" t="s">
        <v>357</v>
      </c>
      <c r="D19" s="104" t="s">
        <v>335</v>
      </c>
      <c r="E19" s="104" t="s">
        <v>753</v>
      </c>
      <c r="F19" s="104" t="s">
        <v>28</v>
      </c>
      <c r="G19" s="106">
        <v>3</v>
      </c>
      <c r="H19" s="107" t="s">
        <v>44</v>
      </c>
    </row>
    <row r="20" spans="1:8" ht="19.8" customHeight="1" x14ac:dyDescent="0.3">
      <c r="A20" s="103" t="s">
        <v>235</v>
      </c>
      <c r="B20" s="104" t="s">
        <v>26</v>
      </c>
      <c r="C20" s="105" t="s">
        <v>358</v>
      </c>
      <c r="D20" s="104" t="s">
        <v>335</v>
      </c>
      <c r="E20" s="104" t="s">
        <v>748</v>
      </c>
      <c r="F20" s="104" t="s">
        <v>351</v>
      </c>
      <c r="G20" s="106">
        <v>5</v>
      </c>
      <c r="H20" s="107" t="s">
        <v>44</v>
      </c>
    </row>
    <row r="21" spans="1:8" ht="19.8" customHeight="1" x14ac:dyDescent="0.3">
      <c r="A21" s="103" t="s">
        <v>235</v>
      </c>
      <c r="B21" s="104" t="s">
        <v>26</v>
      </c>
      <c r="C21" s="105" t="s">
        <v>358</v>
      </c>
      <c r="D21" s="104" t="s">
        <v>335</v>
      </c>
      <c r="E21" s="104" t="s">
        <v>748</v>
      </c>
      <c r="F21" s="104" t="s">
        <v>28</v>
      </c>
      <c r="G21" s="106">
        <v>5</v>
      </c>
      <c r="H21" s="107" t="s">
        <v>44</v>
      </c>
    </row>
    <row r="22" spans="1:8" ht="19.8" customHeight="1" x14ac:dyDescent="0.3">
      <c r="A22" s="174" t="s">
        <v>235</v>
      </c>
      <c r="B22" s="121" t="s">
        <v>77</v>
      </c>
      <c r="C22" s="122" t="s">
        <v>361</v>
      </c>
      <c r="D22" s="121" t="s">
        <v>335</v>
      </c>
      <c r="E22" s="121" t="s">
        <v>595</v>
      </c>
      <c r="F22" s="121" t="s">
        <v>101</v>
      </c>
      <c r="G22" s="124">
        <v>2</v>
      </c>
      <c r="H22" s="125" t="s">
        <v>362</v>
      </c>
    </row>
    <row r="23" spans="1:8" ht="19.8" customHeight="1" x14ac:dyDescent="0.3">
      <c r="A23" s="112">
        <v>45981</v>
      </c>
      <c r="B23" s="104" t="s">
        <v>41</v>
      </c>
      <c r="C23" s="105" t="s">
        <v>336</v>
      </c>
      <c r="D23" s="104" t="s">
        <v>335</v>
      </c>
      <c r="E23" s="113">
        <v>1.989583333333333</v>
      </c>
      <c r="F23" s="104" t="s">
        <v>45</v>
      </c>
      <c r="G23" s="106">
        <v>1</v>
      </c>
      <c r="H23" s="107" t="s">
        <v>339</v>
      </c>
    </row>
    <row r="24" spans="1:8" ht="19.8" customHeight="1" x14ac:dyDescent="0.3">
      <c r="A24" s="112">
        <v>45981</v>
      </c>
      <c r="B24" s="104" t="s">
        <v>26</v>
      </c>
      <c r="C24" s="105" t="s">
        <v>350</v>
      </c>
      <c r="D24" s="104" t="s">
        <v>335</v>
      </c>
      <c r="E24" s="113">
        <v>1.993055555555556</v>
      </c>
      <c r="F24" s="104" t="s">
        <v>31</v>
      </c>
      <c r="G24" s="106">
        <v>9</v>
      </c>
      <c r="H24" s="107" t="s">
        <v>339</v>
      </c>
    </row>
    <row r="25" spans="1:8" ht="19.8" customHeight="1" x14ac:dyDescent="0.3">
      <c r="A25" s="112">
        <v>45981</v>
      </c>
      <c r="B25" s="104" t="s">
        <v>26</v>
      </c>
      <c r="C25" s="105" t="s">
        <v>359</v>
      </c>
      <c r="D25" s="104" t="s">
        <v>335</v>
      </c>
      <c r="E25" s="113">
        <v>1.75</v>
      </c>
      <c r="F25" s="104" t="s">
        <v>351</v>
      </c>
      <c r="G25" s="106">
        <v>8</v>
      </c>
      <c r="H25" s="107" t="s">
        <v>339</v>
      </c>
    </row>
    <row r="26" spans="1:8" ht="19.8" customHeight="1" x14ac:dyDescent="0.3">
      <c r="A26" s="112">
        <v>45981</v>
      </c>
      <c r="B26" s="104" t="s">
        <v>26</v>
      </c>
      <c r="C26" s="105" t="s">
        <v>359</v>
      </c>
      <c r="D26" s="104" t="s">
        <v>335</v>
      </c>
      <c r="E26" s="113">
        <v>1.75</v>
      </c>
      <c r="F26" s="104" t="s">
        <v>28</v>
      </c>
      <c r="G26" s="106">
        <v>8</v>
      </c>
      <c r="H26" s="107" t="s">
        <v>339</v>
      </c>
    </row>
    <row r="27" spans="1:8" ht="19.8" customHeight="1" x14ac:dyDescent="0.3">
      <c r="A27" s="112">
        <v>45981</v>
      </c>
      <c r="B27" s="104" t="s">
        <v>26</v>
      </c>
      <c r="C27" s="105" t="s">
        <v>352</v>
      </c>
      <c r="D27" s="104" t="s">
        <v>335</v>
      </c>
      <c r="E27" s="113">
        <v>1.944444444444444</v>
      </c>
      <c r="F27" s="104" t="s">
        <v>31</v>
      </c>
      <c r="G27" s="106">
        <v>6</v>
      </c>
      <c r="H27" s="107" t="s">
        <v>339</v>
      </c>
    </row>
    <row r="28" spans="1:8" ht="19.8" customHeight="1" x14ac:dyDescent="0.3">
      <c r="A28" s="112">
        <v>45981</v>
      </c>
      <c r="B28" s="104" t="s">
        <v>26</v>
      </c>
      <c r="C28" s="105" t="s">
        <v>360</v>
      </c>
      <c r="D28" s="104" t="s">
        <v>335</v>
      </c>
      <c r="E28" s="113">
        <v>1.4861111111111109</v>
      </c>
      <c r="F28" s="104" t="s">
        <v>351</v>
      </c>
      <c r="G28" s="106">
        <v>3</v>
      </c>
      <c r="H28" s="107" t="s">
        <v>339</v>
      </c>
    </row>
    <row r="29" spans="1:8" ht="19.8" customHeight="1" x14ac:dyDescent="0.3">
      <c r="A29" s="112">
        <v>45981</v>
      </c>
      <c r="B29" s="104" t="s">
        <v>26</v>
      </c>
      <c r="C29" s="105" t="s">
        <v>360</v>
      </c>
      <c r="D29" s="104" t="s">
        <v>335</v>
      </c>
      <c r="E29" s="113">
        <v>1.4861111111111109</v>
      </c>
      <c r="F29" s="104" t="s">
        <v>28</v>
      </c>
      <c r="G29" s="106">
        <v>3</v>
      </c>
      <c r="H29" s="107" t="s">
        <v>339</v>
      </c>
    </row>
    <row r="30" spans="1:8" ht="19.8" customHeight="1" x14ac:dyDescent="0.3">
      <c r="A30" s="112">
        <v>45981</v>
      </c>
      <c r="B30" s="104" t="s">
        <v>385</v>
      </c>
      <c r="C30" s="105" t="s">
        <v>386</v>
      </c>
      <c r="D30" s="104" t="s">
        <v>335</v>
      </c>
      <c r="E30" s="113">
        <v>1.493055555555556</v>
      </c>
      <c r="F30" s="104" t="s">
        <v>101</v>
      </c>
      <c r="G30" s="106">
        <v>6</v>
      </c>
      <c r="H30" s="107" t="s">
        <v>387</v>
      </c>
    </row>
    <row r="31" spans="1:8" ht="19.8" customHeight="1" x14ac:dyDescent="0.3">
      <c r="A31" s="112">
        <v>45981</v>
      </c>
      <c r="B31" s="104" t="s">
        <v>41</v>
      </c>
      <c r="C31" s="105" t="s">
        <v>340</v>
      </c>
      <c r="D31" s="104" t="s">
        <v>335</v>
      </c>
      <c r="E31" s="113">
        <v>1.399305555555556</v>
      </c>
      <c r="F31" s="104" t="s">
        <v>45</v>
      </c>
      <c r="G31" s="106">
        <v>38</v>
      </c>
      <c r="H31" s="107" t="s">
        <v>153</v>
      </c>
    </row>
    <row r="32" spans="1:8" ht="19.8" customHeight="1" x14ac:dyDescent="0.3">
      <c r="A32" s="112">
        <v>45981</v>
      </c>
      <c r="B32" s="104" t="s">
        <v>41</v>
      </c>
      <c r="C32" s="105" t="s">
        <v>344</v>
      </c>
      <c r="D32" s="104" t="s">
        <v>335</v>
      </c>
      <c r="E32" s="113">
        <v>1.489583333333333</v>
      </c>
      <c r="F32" s="104" t="s">
        <v>45</v>
      </c>
      <c r="G32" s="106">
        <v>39</v>
      </c>
      <c r="H32" s="107" t="s">
        <v>153</v>
      </c>
    </row>
    <row r="33" spans="1:8" ht="19.8" customHeight="1" x14ac:dyDescent="0.3">
      <c r="A33" s="112">
        <v>45981</v>
      </c>
      <c r="B33" s="104" t="s">
        <v>41</v>
      </c>
      <c r="C33" s="105" t="s">
        <v>347</v>
      </c>
      <c r="D33" s="104" t="s">
        <v>335</v>
      </c>
      <c r="E33" s="113">
        <v>1.8888888888888891</v>
      </c>
      <c r="F33" s="104" t="s">
        <v>45</v>
      </c>
      <c r="G33" s="106">
        <v>16</v>
      </c>
      <c r="H33" s="107" t="s">
        <v>153</v>
      </c>
    </row>
    <row r="34" spans="1:8" ht="19.8" customHeight="1" x14ac:dyDescent="0.3">
      <c r="A34" s="112">
        <v>45981</v>
      </c>
      <c r="B34" s="104" t="s">
        <v>26</v>
      </c>
      <c r="C34" s="105" t="s">
        <v>354</v>
      </c>
      <c r="D34" s="104" t="s">
        <v>335</v>
      </c>
      <c r="E34" s="113">
        <v>1.3472222222222221</v>
      </c>
      <c r="F34" s="104" t="s">
        <v>31</v>
      </c>
      <c r="G34" s="106">
        <v>2</v>
      </c>
      <c r="H34" s="107" t="s">
        <v>95</v>
      </c>
    </row>
    <row r="35" spans="1:8" ht="19.8" customHeight="1" x14ac:dyDescent="0.3">
      <c r="A35" s="112">
        <v>45981</v>
      </c>
      <c r="B35" s="104" t="s">
        <v>26</v>
      </c>
      <c r="C35" s="105" t="s">
        <v>356</v>
      </c>
      <c r="D35" s="104" t="s">
        <v>335</v>
      </c>
      <c r="E35" s="113">
        <v>1.836805555555556</v>
      </c>
      <c r="F35" s="104" t="s">
        <v>31</v>
      </c>
      <c r="G35" s="106">
        <v>1</v>
      </c>
      <c r="H35" s="107" t="s">
        <v>95</v>
      </c>
    </row>
    <row r="36" spans="1:8" ht="19.8" customHeight="1" x14ac:dyDescent="0.3">
      <c r="A36" s="112">
        <v>45981</v>
      </c>
      <c r="B36" s="104" t="s">
        <v>26</v>
      </c>
      <c r="C36" s="105" t="s">
        <v>357</v>
      </c>
      <c r="D36" s="104" t="s">
        <v>335</v>
      </c>
      <c r="E36" s="113">
        <v>1.3923611111111109</v>
      </c>
      <c r="F36" s="104" t="s">
        <v>31</v>
      </c>
      <c r="G36" s="106">
        <v>3</v>
      </c>
      <c r="H36" s="107" t="s">
        <v>95</v>
      </c>
    </row>
    <row r="37" spans="1:8" ht="19.8" customHeight="1" x14ac:dyDescent="0.3">
      <c r="A37" s="112">
        <v>45981</v>
      </c>
      <c r="B37" s="104" t="s">
        <v>26</v>
      </c>
      <c r="C37" s="105" t="s">
        <v>358</v>
      </c>
      <c r="D37" s="104" t="s">
        <v>335</v>
      </c>
      <c r="E37" s="113">
        <v>1.8888888888888891</v>
      </c>
      <c r="F37" s="104" t="s">
        <v>31</v>
      </c>
      <c r="G37" s="106">
        <v>5</v>
      </c>
      <c r="H37" s="107" t="s">
        <v>95</v>
      </c>
    </row>
    <row r="38" spans="1:8" ht="19.8" customHeight="1" x14ac:dyDescent="0.3">
      <c r="A38" s="120">
        <v>45981</v>
      </c>
      <c r="B38" s="121" t="s">
        <v>77</v>
      </c>
      <c r="C38" s="122" t="s">
        <v>365</v>
      </c>
      <c r="D38" s="121" t="s">
        <v>335</v>
      </c>
      <c r="E38" s="123">
        <v>1.1875</v>
      </c>
      <c r="F38" s="121" t="s">
        <v>101</v>
      </c>
      <c r="G38" s="124">
        <v>6</v>
      </c>
      <c r="H38" s="125" t="s">
        <v>366</v>
      </c>
    </row>
    <row r="39" spans="1:8" ht="19.8" customHeight="1" x14ac:dyDescent="0.3">
      <c r="A39" s="120">
        <v>45981</v>
      </c>
      <c r="B39" s="121" t="s">
        <v>77</v>
      </c>
      <c r="C39" s="122" t="s">
        <v>370</v>
      </c>
      <c r="D39" s="121" t="s">
        <v>335</v>
      </c>
      <c r="E39" s="123">
        <v>1.0659722222222221</v>
      </c>
      <c r="F39" s="121" t="s">
        <v>101</v>
      </c>
      <c r="G39" s="124">
        <v>5</v>
      </c>
      <c r="H39" s="125" t="s">
        <v>366</v>
      </c>
    </row>
    <row r="40" spans="1:8" ht="19.8" customHeight="1" x14ac:dyDescent="0.3">
      <c r="A40" s="120">
        <v>45981</v>
      </c>
      <c r="B40" s="121" t="s">
        <v>77</v>
      </c>
      <c r="C40" s="122" t="s">
        <v>374</v>
      </c>
      <c r="D40" s="121" t="s">
        <v>335</v>
      </c>
      <c r="E40" s="123">
        <v>1.15625</v>
      </c>
      <c r="F40" s="121" t="s">
        <v>101</v>
      </c>
      <c r="G40" s="124">
        <v>3</v>
      </c>
      <c r="H40" s="125" t="s">
        <v>366</v>
      </c>
    </row>
    <row r="41" spans="1:8" ht="19.8" customHeight="1" x14ac:dyDescent="0.3">
      <c r="A41" s="112">
        <v>45981</v>
      </c>
      <c r="B41" s="104" t="s">
        <v>26</v>
      </c>
      <c r="C41" s="105" t="s">
        <v>350</v>
      </c>
      <c r="D41" s="104" t="s">
        <v>335</v>
      </c>
      <c r="E41" s="113">
        <v>1.993055555555556</v>
      </c>
      <c r="F41" s="104" t="s">
        <v>34</v>
      </c>
      <c r="G41" s="106">
        <v>9</v>
      </c>
      <c r="H41" s="107" t="s">
        <v>122</v>
      </c>
    </row>
    <row r="42" spans="1:8" ht="19.8" customHeight="1" x14ac:dyDescent="0.3">
      <c r="A42" s="112">
        <v>45981</v>
      </c>
      <c r="B42" s="104" t="s">
        <v>26</v>
      </c>
      <c r="C42" s="105" t="s">
        <v>352</v>
      </c>
      <c r="D42" s="104" t="s">
        <v>335</v>
      </c>
      <c r="E42" s="113">
        <v>1.944444444444444</v>
      </c>
      <c r="F42" s="104" t="s">
        <v>34</v>
      </c>
      <c r="G42" s="106">
        <v>6</v>
      </c>
      <c r="H42" s="107" t="s">
        <v>122</v>
      </c>
    </row>
    <row r="43" spans="1:8" ht="19.8" customHeight="1" x14ac:dyDescent="0.3">
      <c r="A43" s="112">
        <v>45981</v>
      </c>
      <c r="B43" s="104" t="s">
        <v>26</v>
      </c>
      <c r="C43" s="105" t="s">
        <v>359</v>
      </c>
      <c r="D43" s="104" t="s">
        <v>335</v>
      </c>
      <c r="E43" s="113">
        <v>1.75</v>
      </c>
      <c r="F43" s="104" t="s">
        <v>31</v>
      </c>
      <c r="G43" s="106">
        <v>8</v>
      </c>
      <c r="H43" s="107" t="s">
        <v>35</v>
      </c>
    </row>
    <row r="44" spans="1:8" ht="19.8" customHeight="1" x14ac:dyDescent="0.3">
      <c r="A44" s="112">
        <v>45981</v>
      </c>
      <c r="B44" s="104" t="s">
        <v>26</v>
      </c>
      <c r="C44" s="105" t="s">
        <v>360</v>
      </c>
      <c r="D44" s="104" t="s">
        <v>335</v>
      </c>
      <c r="E44" s="113">
        <v>1.4861111111111109</v>
      </c>
      <c r="F44" s="104" t="s">
        <v>31</v>
      </c>
      <c r="G44" s="106">
        <v>3</v>
      </c>
      <c r="H44" s="107" t="s">
        <v>35</v>
      </c>
    </row>
    <row r="45" spans="1:8" ht="19.8" customHeight="1" x14ac:dyDescent="0.3">
      <c r="A45" s="120">
        <v>45981</v>
      </c>
      <c r="B45" s="121" t="s">
        <v>77</v>
      </c>
      <c r="C45" s="122" t="s">
        <v>378</v>
      </c>
      <c r="D45" s="121" t="s">
        <v>335</v>
      </c>
      <c r="E45" s="123">
        <v>1.9375</v>
      </c>
      <c r="F45" s="121" t="s">
        <v>101</v>
      </c>
      <c r="G45" s="124">
        <v>9</v>
      </c>
      <c r="H45" s="125" t="s">
        <v>379</v>
      </c>
    </row>
    <row r="46" spans="1:8" ht="19.8" customHeight="1" x14ac:dyDescent="0.3">
      <c r="A46" s="112">
        <v>45981</v>
      </c>
      <c r="B46" s="104" t="s">
        <v>26</v>
      </c>
      <c r="C46" s="105" t="s">
        <v>354</v>
      </c>
      <c r="D46" s="104" t="s">
        <v>335</v>
      </c>
      <c r="E46" s="113">
        <v>1.3472222222222221</v>
      </c>
      <c r="F46" s="104" t="s">
        <v>34</v>
      </c>
      <c r="G46" s="106">
        <v>2</v>
      </c>
      <c r="H46" s="107" t="s">
        <v>149</v>
      </c>
    </row>
    <row r="47" spans="1:8" ht="19.8" customHeight="1" x14ac:dyDescent="0.3">
      <c r="A47" s="112">
        <v>45981</v>
      </c>
      <c r="B47" s="104" t="s">
        <v>26</v>
      </c>
      <c r="C47" s="105" t="s">
        <v>356</v>
      </c>
      <c r="D47" s="104" t="s">
        <v>335</v>
      </c>
      <c r="E47" s="113">
        <v>1.836805555555556</v>
      </c>
      <c r="F47" s="104" t="s">
        <v>34</v>
      </c>
      <c r="G47" s="106">
        <v>1</v>
      </c>
      <c r="H47" s="107" t="s">
        <v>149</v>
      </c>
    </row>
    <row r="48" spans="1:8" ht="19.8" customHeight="1" x14ac:dyDescent="0.3">
      <c r="A48" s="112">
        <v>45981</v>
      </c>
      <c r="B48" s="104" t="s">
        <v>26</v>
      </c>
      <c r="C48" s="105" t="s">
        <v>357</v>
      </c>
      <c r="D48" s="104" t="s">
        <v>335</v>
      </c>
      <c r="E48" s="113">
        <v>1.3923611111111109</v>
      </c>
      <c r="F48" s="104" t="s">
        <v>34</v>
      </c>
      <c r="G48" s="106">
        <v>3</v>
      </c>
      <c r="H48" s="107" t="s">
        <v>149</v>
      </c>
    </row>
    <row r="49" spans="1:8" ht="19.8" customHeight="1" x14ac:dyDescent="0.3">
      <c r="A49" s="112">
        <v>45981</v>
      </c>
      <c r="B49" s="104" t="s">
        <v>26</v>
      </c>
      <c r="C49" s="105" t="s">
        <v>358</v>
      </c>
      <c r="D49" s="104" t="s">
        <v>335</v>
      </c>
      <c r="E49" s="113">
        <v>1.8888888888888891</v>
      </c>
      <c r="F49" s="104" t="s">
        <v>34</v>
      </c>
      <c r="G49" s="106">
        <v>5</v>
      </c>
      <c r="H49" s="107" t="s">
        <v>149</v>
      </c>
    </row>
    <row r="50" spans="1:8" ht="19.8" customHeight="1" x14ac:dyDescent="0.3">
      <c r="A50" s="112">
        <v>45981</v>
      </c>
      <c r="B50" s="104" t="s">
        <v>388</v>
      </c>
      <c r="C50" s="105" t="s">
        <v>389</v>
      </c>
      <c r="D50" s="104" t="s">
        <v>335</v>
      </c>
      <c r="E50" s="113">
        <v>1.1701388888888891</v>
      </c>
      <c r="F50" s="104" t="s">
        <v>390</v>
      </c>
      <c r="G50" s="106">
        <v>5</v>
      </c>
      <c r="H50" s="107" t="s">
        <v>391</v>
      </c>
    </row>
    <row r="51" spans="1:8" ht="19.8" customHeight="1" x14ac:dyDescent="0.3">
      <c r="A51" s="112">
        <v>45981</v>
      </c>
      <c r="B51" s="104" t="s">
        <v>26</v>
      </c>
      <c r="C51" s="105" t="s">
        <v>359</v>
      </c>
      <c r="D51" s="104" t="s">
        <v>335</v>
      </c>
      <c r="E51" s="113">
        <v>1.75</v>
      </c>
      <c r="F51" s="104" t="s">
        <v>34</v>
      </c>
      <c r="G51" s="106">
        <v>8</v>
      </c>
      <c r="H51" s="107" t="s">
        <v>123</v>
      </c>
    </row>
    <row r="52" spans="1:8" ht="19.8" customHeight="1" x14ac:dyDescent="0.3">
      <c r="A52" s="112">
        <v>45981</v>
      </c>
      <c r="B52" s="104" t="s">
        <v>26</v>
      </c>
      <c r="C52" s="105" t="s">
        <v>360</v>
      </c>
      <c r="D52" s="104" t="s">
        <v>335</v>
      </c>
      <c r="E52" s="113">
        <v>1.4861111111111109</v>
      </c>
      <c r="F52" s="104" t="s">
        <v>34</v>
      </c>
      <c r="G52" s="106">
        <v>3</v>
      </c>
      <c r="H52" s="107" t="s">
        <v>123</v>
      </c>
    </row>
    <row r="53" spans="1:8" ht="19.8" customHeight="1" x14ac:dyDescent="0.3">
      <c r="A53" s="112">
        <v>45981</v>
      </c>
      <c r="B53" s="104" t="s">
        <v>41</v>
      </c>
      <c r="C53" s="105" t="s">
        <v>340</v>
      </c>
      <c r="D53" s="104" t="s">
        <v>335</v>
      </c>
      <c r="E53" s="113">
        <v>1.399305555555556</v>
      </c>
      <c r="F53" s="104" t="s">
        <v>46</v>
      </c>
      <c r="G53" s="106">
        <v>38</v>
      </c>
      <c r="H53" s="107" t="s">
        <v>47</v>
      </c>
    </row>
    <row r="54" spans="1:8" ht="19.8" customHeight="1" x14ac:dyDescent="0.3">
      <c r="A54" s="112">
        <v>45981</v>
      </c>
      <c r="B54" s="104" t="s">
        <v>41</v>
      </c>
      <c r="C54" s="105" t="s">
        <v>347</v>
      </c>
      <c r="D54" s="104" t="s">
        <v>335</v>
      </c>
      <c r="E54" s="113">
        <v>1.8888888888888891</v>
      </c>
      <c r="F54" s="104" t="s">
        <v>46</v>
      </c>
      <c r="G54" s="106">
        <v>16</v>
      </c>
      <c r="H54" s="107" t="s">
        <v>47</v>
      </c>
    </row>
    <row r="55" spans="1:8" ht="19.8" customHeight="1" x14ac:dyDescent="0.3">
      <c r="A55" s="112">
        <v>45981</v>
      </c>
      <c r="B55" s="104" t="s">
        <v>41</v>
      </c>
      <c r="C55" s="105" t="s">
        <v>336</v>
      </c>
      <c r="D55" s="104" t="s">
        <v>335</v>
      </c>
      <c r="E55" s="113">
        <v>1.989583333333333</v>
      </c>
      <c r="F55" s="104" t="s">
        <v>46</v>
      </c>
      <c r="G55" s="106">
        <v>1</v>
      </c>
      <c r="H55" s="107" t="s">
        <v>47</v>
      </c>
    </row>
    <row r="56" spans="1:8" ht="19.8" customHeight="1" x14ac:dyDescent="0.3">
      <c r="A56" s="112">
        <v>45981</v>
      </c>
      <c r="B56" s="104" t="s">
        <v>388</v>
      </c>
      <c r="C56" s="105" t="s">
        <v>389</v>
      </c>
      <c r="D56" s="104" t="s">
        <v>335</v>
      </c>
      <c r="E56" s="113">
        <v>1.1701388888888891</v>
      </c>
      <c r="F56" s="104" t="s">
        <v>46</v>
      </c>
      <c r="G56" s="106">
        <v>5</v>
      </c>
      <c r="H56" s="107" t="s">
        <v>392</v>
      </c>
    </row>
    <row r="57" spans="1:8" ht="19.8" customHeight="1" x14ac:dyDescent="0.3">
      <c r="A57" s="112">
        <v>45981</v>
      </c>
      <c r="B57" s="104" t="s">
        <v>60</v>
      </c>
      <c r="C57" s="105" t="s">
        <v>393</v>
      </c>
      <c r="D57" s="104" t="s">
        <v>335</v>
      </c>
      <c r="E57" s="113">
        <v>1.2534722222222221</v>
      </c>
      <c r="F57" s="104" t="s">
        <v>50</v>
      </c>
      <c r="G57" s="106">
        <v>3</v>
      </c>
      <c r="H57" s="107" t="s">
        <v>394</v>
      </c>
    </row>
    <row r="58" spans="1:8" ht="19.8" customHeight="1" x14ac:dyDescent="0.3">
      <c r="A58" s="112">
        <v>45981</v>
      </c>
      <c r="B58" s="104" t="s">
        <v>60</v>
      </c>
      <c r="C58" s="105" t="s">
        <v>393</v>
      </c>
      <c r="D58" s="104" t="s">
        <v>335</v>
      </c>
      <c r="E58" s="113">
        <v>1.2534722222222221</v>
      </c>
      <c r="F58" s="104" t="s">
        <v>65</v>
      </c>
      <c r="G58" s="106">
        <v>3</v>
      </c>
      <c r="H58" s="107" t="s">
        <v>394</v>
      </c>
    </row>
    <row r="59" spans="1:8" ht="19.8" customHeight="1" x14ac:dyDescent="0.3">
      <c r="A59" s="112">
        <v>45981</v>
      </c>
      <c r="B59" s="104" t="s">
        <v>48</v>
      </c>
      <c r="C59" s="105" t="s">
        <v>406</v>
      </c>
      <c r="D59" s="104" t="s">
        <v>335</v>
      </c>
      <c r="E59" s="113">
        <v>1.7847222222222221</v>
      </c>
      <c r="F59" s="104" t="s">
        <v>50</v>
      </c>
      <c r="G59" s="106">
        <v>9</v>
      </c>
      <c r="H59" s="107" t="s">
        <v>407</v>
      </c>
    </row>
    <row r="60" spans="1:8" ht="19.8" customHeight="1" x14ac:dyDescent="0.3">
      <c r="A60" s="112">
        <v>45981</v>
      </c>
      <c r="B60" s="104" t="s">
        <v>60</v>
      </c>
      <c r="C60" s="105" t="s">
        <v>395</v>
      </c>
      <c r="D60" s="104" t="s">
        <v>335</v>
      </c>
      <c r="E60" s="113">
        <v>1.989583333333333</v>
      </c>
      <c r="F60" s="104" t="s">
        <v>50</v>
      </c>
      <c r="G60" s="106">
        <v>4</v>
      </c>
      <c r="H60" s="107" t="s">
        <v>396</v>
      </c>
    </row>
    <row r="61" spans="1:8" ht="19.8" customHeight="1" x14ac:dyDescent="0.3">
      <c r="A61" s="112">
        <v>45981</v>
      </c>
      <c r="B61" s="104" t="s">
        <v>60</v>
      </c>
      <c r="C61" s="105" t="s">
        <v>395</v>
      </c>
      <c r="D61" s="104" t="s">
        <v>335</v>
      </c>
      <c r="E61" s="113">
        <v>1.989583333333333</v>
      </c>
      <c r="F61" s="104" t="s">
        <v>65</v>
      </c>
      <c r="G61" s="106">
        <v>4</v>
      </c>
      <c r="H61" s="107" t="s">
        <v>396</v>
      </c>
    </row>
    <row r="62" spans="1:8" ht="19.8" customHeight="1" x14ac:dyDescent="0.3">
      <c r="A62" s="112">
        <v>45981</v>
      </c>
      <c r="B62" s="104" t="s">
        <v>60</v>
      </c>
      <c r="C62" s="105" t="s">
        <v>397</v>
      </c>
      <c r="D62" s="104" t="s">
        <v>335</v>
      </c>
      <c r="E62" s="113">
        <v>1.399305555555556</v>
      </c>
      <c r="F62" s="104" t="s">
        <v>50</v>
      </c>
      <c r="G62" s="106">
        <v>4</v>
      </c>
      <c r="H62" s="107" t="s">
        <v>396</v>
      </c>
    </row>
    <row r="63" spans="1:8" ht="19.8" customHeight="1" x14ac:dyDescent="0.3">
      <c r="A63" s="112">
        <v>45981</v>
      </c>
      <c r="B63" s="104" t="s">
        <v>60</v>
      </c>
      <c r="C63" s="105" t="s">
        <v>397</v>
      </c>
      <c r="D63" s="104" t="s">
        <v>335</v>
      </c>
      <c r="E63" s="113">
        <v>1.399305555555556</v>
      </c>
      <c r="F63" s="104" t="s">
        <v>65</v>
      </c>
      <c r="G63" s="106">
        <v>4</v>
      </c>
      <c r="H63" s="107" t="s">
        <v>396</v>
      </c>
    </row>
    <row r="64" spans="1:8" ht="19.8" customHeight="1" x14ac:dyDescent="0.3">
      <c r="A64" s="112">
        <v>45981</v>
      </c>
      <c r="B64" s="104" t="s">
        <v>60</v>
      </c>
      <c r="C64" s="105" t="s">
        <v>398</v>
      </c>
      <c r="D64" s="104" t="s">
        <v>335</v>
      </c>
      <c r="E64" s="113">
        <v>1.489583333333333</v>
      </c>
      <c r="F64" s="104" t="s">
        <v>65</v>
      </c>
      <c r="G64" s="106">
        <v>4</v>
      </c>
      <c r="H64" s="107" t="s">
        <v>396</v>
      </c>
    </row>
    <row r="65" spans="1:8" ht="19.8" customHeight="1" x14ac:dyDescent="0.3">
      <c r="A65" s="112">
        <v>45981</v>
      </c>
      <c r="B65" s="104" t="s">
        <v>60</v>
      </c>
      <c r="C65" s="105" t="s">
        <v>399</v>
      </c>
      <c r="D65" s="104" t="s">
        <v>335</v>
      </c>
      <c r="E65" s="113">
        <v>1.8888888888888891</v>
      </c>
      <c r="F65" s="104" t="s">
        <v>50</v>
      </c>
      <c r="G65" s="106">
        <v>4</v>
      </c>
      <c r="H65" s="107" t="s">
        <v>396</v>
      </c>
    </row>
    <row r="66" spans="1:8" ht="19.8" customHeight="1" x14ac:dyDescent="0.3">
      <c r="A66" s="112">
        <v>45981</v>
      </c>
      <c r="B66" s="104" t="s">
        <v>60</v>
      </c>
      <c r="C66" s="105" t="s">
        <v>399</v>
      </c>
      <c r="D66" s="104" t="s">
        <v>335</v>
      </c>
      <c r="E66" s="113">
        <v>1.8888888888888891</v>
      </c>
      <c r="F66" s="104" t="s">
        <v>65</v>
      </c>
      <c r="G66" s="106">
        <v>4</v>
      </c>
      <c r="H66" s="107" t="s">
        <v>396</v>
      </c>
    </row>
    <row r="67" spans="1:8" ht="19.8" customHeight="1" x14ac:dyDescent="0.3">
      <c r="A67" s="112">
        <v>45981</v>
      </c>
      <c r="B67" s="104" t="s">
        <v>41</v>
      </c>
      <c r="C67" s="105" t="s">
        <v>344</v>
      </c>
      <c r="D67" s="104" t="s">
        <v>335</v>
      </c>
      <c r="E67" s="113">
        <v>1.489583333333333</v>
      </c>
      <c r="F67" s="104" t="s">
        <v>46</v>
      </c>
      <c r="G67" s="106">
        <v>39</v>
      </c>
      <c r="H67" s="107" t="s">
        <v>120</v>
      </c>
    </row>
    <row r="68" spans="1:8" ht="19.8" customHeight="1" x14ac:dyDescent="0.3">
      <c r="A68" s="112">
        <v>45981</v>
      </c>
      <c r="B68" s="104" t="s">
        <v>60</v>
      </c>
      <c r="C68" s="105" t="s">
        <v>400</v>
      </c>
      <c r="D68" s="104" t="s">
        <v>335</v>
      </c>
      <c r="E68" s="113">
        <v>1.8298611111111109</v>
      </c>
      <c r="F68" s="104" t="s">
        <v>50</v>
      </c>
      <c r="G68" s="106">
        <v>4</v>
      </c>
      <c r="H68" s="107" t="s">
        <v>401</v>
      </c>
    </row>
    <row r="69" spans="1:8" ht="19.8" customHeight="1" x14ac:dyDescent="0.3">
      <c r="A69" s="112">
        <v>45981</v>
      </c>
      <c r="B69" s="104" t="s">
        <v>60</v>
      </c>
      <c r="C69" s="105" t="s">
        <v>400</v>
      </c>
      <c r="D69" s="104" t="s">
        <v>335</v>
      </c>
      <c r="E69" s="113">
        <v>1.8298611111111109</v>
      </c>
      <c r="F69" s="104" t="s">
        <v>65</v>
      </c>
      <c r="G69" s="106">
        <v>4</v>
      </c>
      <c r="H69" s="107" t="s">
        <v>401</v>
      </c>
    </row>
    <row r="70" spans="1:8" ht="19.8" customHeight="1" x14ac:dyDescent="0.3">
      <c r="A70" s="112">
        <v>45981</v>
      </c>
      <c r="B70" s="104" t="s">
        <v>60</v>
      </c>
      <c r="C70" s="105" t="s">
        <v>402</v>
      </c>
      <c r="D70" s="104" t="s">
        <v>335</v>
      </c>
      <c r="E70" s="113">
        <v>1.118055555555556</v>
      </c>
      <c r="F70" s="104" t="s">
        <v>50</v>
      </c>
      <c r="G70" s="106">
        <v>1</v>
      </c>
      <c r="H70" s="107" t="s">
        <v>401</v>
      </c>
    </row>
    <row r="71" spans="1:8" ht="19.8" customHeight="1" x14ac:dyDescent="0.3">
      <c r="A71" s="112">
        <v>45981</v>
      </c>
      <c r="B71" s="104" t="s">
        <v>60</v>
      </c>
      <c r="C71" s="105" t="s">
        <v>402</v>
      </c>
      <c r="D71" s="104" t="s">
        <v>335</v>
      </c>
      <c r="E71" s="113">
        <v>1.118055555555556</v>
      </c>
      <c r="F71" s="104" t="s">
        <v>65</v>
      </c>
      <c r="G71" s="106">
        <v>1</v>
      </c>
      <c r="H71" s="107" t="s">
        <v>401</v>
      </c>
    </row>
    <row r="72" spans="1:8" ht="19.8" customHeight="1" x14ac:dyDescent="0.3">
      <c r="A72" s="112">
        <v>45981</v>
      </c>
      <c r="B72" s="104" t="s">
        <v>60</v>
      </c>
      <c r="C72" s="105" t="s">
        <v>403</v>
      </c>
      <c r="D72" s="104" t="s">
        <v>335</v>
      </c>
      <c r="E72" s="113">
        <v>1.7048611111111109</v>
      </c>
      <c r="F72" s="104" t="s">
        <v>65</v>
      </c>
      <c r="G72" s="106">
        <v>7</v>
      </c>
      <c r="H72" s="107" t="s">
        <v>401</v>
      </c>
    </row>
    <row r="73" spans="1:8" ht="19.8" customHeight="1" x14ac:dyDescent="0.3">
      <c r="A73" s="112">
        <v>45981</v>
      </c>
      <c r="B73" s="104" t="s">
        <v>48</v>
      </c>
      <c r="C73" s="105" t="s">
        <v>408</v>
      </c>
      <c r="D73" s="104" t="s">
        <v>335</v>
      </c>
      <c r="E73" s="113">
        <v>1.3125</v>
      </c>
      <c r="F73" s="104" t="s">
        <v>50</v>
      </c>
      <c r="G73" s="106">
        <v>9</v>
      </c>
      <c r="H73" s="107" t="s">
        <v>409</v>
      </c>
    </row>
    <row r="74" spans="1:8" ht="19.8" customHeight="1" x14ac:dyDescent="0.3">
      <c r="A74" s="112">
        <v>45981</v>
      </c>
      <c r="B74" s="104" t="s">
        <v>48</v>
      </c>
      <c r="C74" s="105" t="s">
        <v>410</v>
      </c>
      <c r="D74" s="104" t="s">
        <v>335</v>
      </c>
      <c r="E74" s="113">
        <v>1.9722222222222221</v>
      </c>
      <c r="F74" s="104" t="s">
        <v>50</v>
      </c>
      <c r="G74" s="106">
        <v>8</v>
      </c>
      <c r="H74" s="107" t="s">
        <v>409</v>
      </c>
    </row>
    <row r="75" spans="1:8" ht="19.8" customHeight="1" x14ac:dyDescent="0.3">
      <c r="A75" s="112">
        <v>45981</v>
      </c>
      <c r="B75" s="104" t="s">
        <v>48</v>
      </c>
      <c r="C75" s="105" t="s">
        <v>411</v>
      </c>
      <c r="D75" s="104" t="s">
        <v>335</v>
      </c>
      <c r="E75" s="113">
        <v>1.104166666666667</v>
      </c>
      <c r="F75" s="104" t="s">
        <v>50</v>
      </c>
      <c r="G75" s="106">
        <v>9</v>
      </c>
      <c r="H75" s="107" t="s">
        <v>409</v>
      </c>
    </row>
    <row r="76" spans="1:8" ht="19.8" customHeight="1" x14ac:dyDescent="0.3">
      <c r="A76" s="112">
        <v>45981</v>
      </c>
      <c r="B76" s="104" t="s">
        <v>48</v>
      </c>
      <c r="C76" s="105" t="s">
        <v>412</v>
      </c>
      <c r="D76" s="104" t="s">
        <v>335</v>
      </c>
      <c r="E76" s="113">
        <v>1.600694444444444</v>
      </c>
      <c r="F76" s="104" t="s">
        <v>50</v>
      </c>
      <c r="G76" s="106">
        <v>9</v>
      </c>
      <c r="H76" s="107" t="s">
        <v>409</v>
      </c>
    </row>
    <row r="77" spans="1:8" ht="19.8" customHeight="1" x14ac:dyDescent="0.3">
      <c r="A77" s="112">
        <v>45981</v>
      </c>
      <c r="B77" s="104" t="s">
        <v>48</v>
      </c>
      <c r="C77" s="105" t="s">
        <v>413</v>
      </c>
      <c r="D77" s="104" t="s">
        <v>335</v>
      </c>
      <c r="E77" s="113">
        <v>1.836805555555556</v>
      </c>
      <c r="F77" s="104" t="s">
        <v>50</v>
      </c>
      <c r="G77" s="106">
        <v>9</v>
      </c>
      <c r="H77" s="107" t="s">
        <v>414</v>
      </c>
    </row>
    <row r="78" spans="1:8" ht="19.8" customHeight="1" x14ac:dyDescent="0.3">
      <c r="A78" s="112">
        <v>45981</v>
      </c>
      <c r="B78" s="104" t="s">
        <v>48</v>
      </c>
      <c r="C78" s="105" t="s">
        <v>415</v>
      </c>
      <c r="D78" s="104" t="s">
        <v>335</v>
      </c>
      <c r="E78" s="113">
        <v>1.0486111111111109</v>
      </c>
      <c r="F78" s="104" t="s">
        <v>50</v>
      </c>
      <c r="G78" s="106">
        <v>9</v>
      </c>
      <c r="H78" s="107" t="s">
        <v>414</v>
      </c>
    </row>
    <row r="79" spans="1:8" ht="19.8" customHeight="1" x14ac:dyDescent="0.3">
      <c r="A79" s="112">
        <v>45981</v>
      </c>
      <c r="B79" s="104" t="s">
        <v>60</v>
      </c>
      <c r="C79" s="105" t="s">
        <v>404</v>
      </c>
      <c r="D79" s="104" t="s">
        <v>335</v>
      </c>
      <c r="E79" s="113">
        <v>1.7222222222222221</v>
      </c>
      <c r="F79" s="104" t="s">
        <v>50</v>
      </c>
      <c r="G79" s="106">
        <v>1</v>
      </c>
      <c r="H79" s="107" t="s">
        <v>405</v>
      </c>
    </row>
    <row r="80" spans="1:8" ht="19.8" customHeight="1" x14ac:dyDescent="0.3">
      <c r="A80" s="112">
        <v>45981</v>
      </c>
      <c r="B80" s="104" t="s">
        <v>60</v>
      </c>
      <c r="C80" s="105" t="s">
        <v>404</v>
      </c>
      <c r="D80" s="104" t="s">
        <v>335</v>
      </c>
      <c r="E80" s="113">
        <v>1.7222222222222221</v>
      </c>
      <c r="F80" s="104" t="s">
        <v>65</v>
      </c>
      <c r="G80" s="106">
        <v>1</v>
      </c>
      <c r="H80" s="107" t="s">
        <v>405</v>
      </c>
    </row>
    <row r="81" spans="1:8" ht="19.8" customHeight="1" x14ac:dyDescent="0.3">
      <c r="A81" s="126">
        <v>45981</v>
      </c>
      <c r="B81" s="109" t="s">
        <v>77</v>
      </c>
      <c r="C81" s="110" t="s">
        <v>383</v>
      </c>
      <c r="D81" s="109" t="s">
        <v>335</v>
      </c>
      <c r="E81" s="127">
        <v>1.40625</v>
      </c>
      <c r="F81" s="109" t="s">
        <v>79</v>
      </c>
      <c r="G81" s="109"/>
      <c r="H81" s="111" t="s">
        <v>80</v>
      </c>
    </row>
    <row r="82" spans="1:8" ht="19.8" customHeight="1" x14ac:dyDescent="0.3">
      <c r="A82" s="120">
        <v>45982</v>
      </c>
      <c r="B82" s="121" t="s">
        <v>77</v>
      </c>
      <c r="C82" s="122" t="s">
        <v>361</v>
      </c>
      <c r="D82" s="121" t="s">
        <v>335</v>
      </c>
      <c r="E82" s="123">
        <v>1.4375</v>
      </c>
      <c r="F82" s="121" t="s">
        <v>101</v>
      </c>
      <c r="G82" s="124">
        <v>1</v>
      </c>
      <c r="H82" s="125" t="s">
        <v>416</v>
      </c>
    </row>
    <row r="83" spans="1:8" ht="19.8" customHeight="1" x14ac:dyDescent="0.3">
      <c r="A83" s="112">
        <v>45982</v>
      </c>
      <c r="B83" s="104" t="s">
        <v>26</v>
      </c>
      <c r="C83" s="105" t="s">
        <v>358</v>
      </c>
      <c r="D83" s="104" t="s">
        <v>335</v>
      </c>
      <c r="E83" s="113">
        <v>1.8888888888888891</v>
      </c>
      <c r="F83" s="104" t="s">
        <v>28</v>
      </c>
      <c r="G83" s="106">
        <v>4</v>
      </c>
      <c r="H83" s="107" t="s">
        <v>93</v>
      </c>
    </row>
    <row r="84" spans="1:8" ht="19.8" customHeight="1" x14ac:dyDescent="0.3">
      <c r="A84" s="112">
        <v>45982</v>
      </c>
      <c r="B84" s="104" t="s">
        <v>41</v>
      </c>
      <c r="C84" s="105" t="s">
        <v>340</v>
      </c>
      <c r="D84" s="104" t="s">
        <v>335</v>
      </c>
      <c r="E84" s="113">
        <v>1.399305555555556</v>
      </c>
      <c r="F84" s="104" t="s">
        <v>43</v>
      </c>
      <c r="G84" s="106">
        <v>16</v>
      </c>
      <c r="H84" s="107" t="s">
        <v>431</v>
      </c>
    </row>
    <row r="85" spans="1:8" ht="19.8" customHeight="1" x14ac:dyDescent="0.3">
      <c r="A85" s="112">
        <v>45982</v>
      </c>
      <c r="B85" s="104" t="s">
        <v>41</v>
      </c>
      <c r="C85" s="105" t="s">
        <v>344</v>
      </c>
      <c r="D85" s="104" t="s">
        <v>335</v>
      </c>
      <c r="E85" s="113">
        <v>1.489583333333333</v>
      </c>
      <c r="F85" s="104" t="s">
        <v>43</v>
      </c>
      <c r="G85" s="106">
        <v>14</v>
      </c>
      <c r="H85" s="107" t="s">
        <v>431</v>
      </c>
    </row>
    <row r="86" spans="1:8" ht="19.8" customHeight="1" x14ac:dyDescent="0.3">
      <c r="A86" s="112">
        <v>45982</v>
      </c>
      <c r="B86" s="104" t="s">
        <v>41</v>
      </c>
      <c r="C86" s="105" t="s">
        <v>347</v>
      </c>
      <c r="D86" s="104" t="s">
        <v>335</v>
      </c>
      <c r="E86" s="113">
        <v>1.8888888888888891</v>
      </c>
      <c r="F86" s="104" t="s">
        <v>43</v>
      </c>
      <c r="G86" s="106">
        <v>16</v>
      </c>
      <c r="H86" s="107" t="s">
        <v>431</v>
      </c>
    </row>
    <row r="87" spans="1:8" ht="19.8" customHeight="1" x14ac:dyDescent="0.3">
      <c r="A87" s="112">
        <v>45982</v>
      </c>
      <c r="B87" s="104" t="s">
        <v>41</v>
      </c>
      <c r="C87" s="105" t="s">
        <v>336</v>
      </c>
      <c r="D87" s="104" t="s">
        <v>335</v>
      </c>
      <c r="E87" s="113">
        <v>1.989583333333333</v>
      </c>
      <c r="F87" s="104" t="s">
        <v>43</v>
      </c>
      <c r="G87" s="106">
        <v>14</v>
      </c>
      <c r="H87" s="107" t="s">
        <v>431</v>
      </c>
    </row>
    <row r="88" spans="1:8" ht="19.8" customHeight="1" x14ac:dyDescent="0.3">
      <c r="A88" s="112">
        <v>45982</v>
      </c>
      <c r="B88" s="104" t="s">
        <v>385</v>
      </c>
      <c r="C88" s="105" t="s">
        <v>386</v>
      </c>
      <c r="D88" s="104" t="s">
        <v>335</v>
      </c>
      <c r="E88" s="113">
        <v>1.541666666666667</v>
      </c>
      <c r="F88" s="104" t="s">
        <v>101</v>
      </c>
      <c r="G88" s="106">
        <v>6</v>
      </c>
      <c r="H88" s="107" t="s">
        <v>434</v>
      </c>
    </row>
    <row r="89" spans="1:8" ht="19.8" customHeight="1" x14ac:dyDescent="0.3">
      <c r="A89" s="112">
        <v>45982</v>
      </c>
      <c r="B89" s="104" t="s">
        <v>385</v>
      </c>
      <c r="C89" s="105" t="s">
        <v>435</v>
      </c>
      <c r="D89" s="104" t="s">
        <v>335</v>
      </c>
      <c r="E89" s="113">
        <v>1.239583333333333</v>
      </c>
      <c r="F89" s="104" t="s">
        <v>101</v>
      </c>
      <c r="G89" s="106">
        <v>9</v>
      </c>
      <c r="H89" s="107" t="s">
        <v>434</v>
      </c>
    </row>
    <row r="90" spans="1:8" ht="19.8" customHeight="1" x14ac:dyDescent="0.3">
      <c r="A90" s="112">
        <v>45982</v>
      </c>
      <c r="B90" s="104" t="s">
        <v>26</v>
      </c>
      <c r="C90" s="105" t="s">
        <v>354</v>
      </c>
      <c r="D90" s="104" t="s">
        <v>335</v>
      </c>
      <c r="E90" s="113">
        <v>1.3472222222222221</v>
      </c>
      <c r="F90" s="104" t="s">
        <v>28</v>
      </c>
      <c r="G90" s="106">
        <v>7</v>
      </c>
      <c r="H90" s="107" t="s">
        <v>44</v>
      </c>
    </row>
    <row r="91" spans="1:8" ht="19.8" customHeight="1" x14ac:dyDescent="0.3">
      <c r="A91" s="112">
        <v>45982</v>
      </c>
      <c r="B91" s="104" t="s">
        <v>26</v>
      </c>
      <c r="C91" s="105" t="s">
        <v>350</v>
      </c>
      <c r="D91" s="104" t="s">
        <v>335</v>
      </c>
      <c r="E91" s="113">
        <v>1.993055555555556</v>
      </c>
      <c r="F91" s="104" t="s">
        <v>28</v>
      </c>
      <c r="G91" s="106">
        <v>4</v>
      </c>
      <c r="H91" s="107" t="s">
        <v>44</v>
      </c>
    </row>
    <row r="92" spans="1:8" ht="19.8" customHeight="1" x14ac:dyDescent="0.3">
      <c r="A92" s="112">
        <v>45982</v>
      </c>
      <c r="B92" s="104" t="s">
        <v>26</v>
      </c>
      <c r="C92" s="105" t="s">
        <v>359</v>
      </c>
      <c r="D92" s="104" t="s">
        <v>335</v>
      </c>
      <c r="E92" s="113">
        <v>1.7361111111111109</v>
      </c>
      <c r="F92" s="104" t="s">
        <v>28</v>
      </c>
      <c r="G92" s="106">
        <v>3</v>
      </c>
      <c r="H92" s="107" t="s">
        <v>44</v>
      </c>
    </row>
    <row r="93" spans="1:8" ht="19.8" customHeight="1" x14ac:dyDescent="0.3">
      <c r="A93" s="112">
        <v>45982</v>
      </c>
      <c r="B93" s="104" t="s">
        <v>26</v>
      </c>
      <c r="C93" s="105" t="s">
        <v>356</v>
      </c>
      <c r="D93" s="104" t="s">
        <v>335</v>
      </c>
      <c r="E93" s="113">
        <v>1.836805555555556</v>
      </c>
      <c r="F93" s="104" t="s">
        <v>28</v>
      </c>
      <c r="G93" s="106">
        <v>6</v>
      </c>
      <c r="H93" s="107" t="s">
        <v>44</v>
      </c>
    </row>
    <row r="94" spans="1:8" ht="19.8" customHeight="1" x14ac:dyDescent="0.3">
      <c r="A94" s="112">
        <v>45982</v>
      </c>
      <c r="B94" s="104" t="s">
        <v>26</v>
      </c>
      <c r="C94" s="105" t="s">
        <v>352</v>
      </c>
      <c r="D94" s="104" t="s">
        <v>335</v>
      </c>
      <c r="E94" s="113">
        <v>1.944444444444444</v>
      </c>
      <c r="F94" s="104" t="s">
        <v>28</v>
      </c>
      <c r="G94" s="106">
        <v>9</v>
      </c>
      <c r="H94" s="107" t="s">
        <v>44</v>
      </c>
    </row>
    <row r="95" spans="1:8" ht="19.8" customHeight="1" x14ac:dyDescent="0.3">
      <c r="A95" s="112">
        <v>45982</v>
      </c>
      <c r="B95" s="104" t="s">
        <v>26</v>
      </c>
      <c r="C95" s="105" t="s">
        <v>360</v>
      </c>
      <c r="D95" s="104" t="s">
        <v>335</v>
      </c>
      <c r="E95" s="113">
        <v>1.4861111111111109</v>
      </c>
      <c r="F95" s="104" t="s">
        <v>28</v>
      </c>
      <c r="G95" s="106">
        <v>9</v>
      </c>
      <c r="H95" s="107" t="s">
        <v>44</v>
      </c>
    </row>
    <row r="96" spans="1:8" ht="19.8" customHeight="1" x14ac:dyDescent="0.3">
      <c r="A96" s="120">
        <v>45982</v>
      </c>
      <c r="B96" s="121" t="s">
        <v>77</v>
      </c>
      <c r="C96" s="122" t="s">
        <v>374</v>
      </c>
      <c r="D96" s="121" t="s">
        <v>335</v>
      </c>
      <c r="E96" s="123">
        <v>1.1423611111111109</v>
      </c>
      <c r="F96" s="121" t="s">
        <v>101</v>
      </c>
      <c r="G96" s="124">
        <v>1</v>
      </c>
      <c r="H96" s="125" t="s">
        <v>362</v>
      </c>
    </row>
    <row r="97" spans="1:8" ht="19.8" customHeight="1" x14ac:dyDescent="0.3">
      <c r="A97" s="112">
        <v>45982</v>
      </c>
      <c r="B97" s="104" t="s">
        <v>26</v>
      </c>
      <c r="C97" s="105" t="s">
        <v>358</v>
      </c>
      <c r="D97" s="104" t="s">
        <v>335</v>
      </c>
      <c r="E97" s="113">
        <v>1.8888888888888891</v>
      </c>
      <c r="F97" s="104" t="s">
        <v>31</v>
      </c>
      <c r="G97" s="106">
        <v>4</v>
      </c>
      <c r="H97" s="107" t="s">
        <v>339</v>
      </c>
    </row>
    <row r="98" spans="1:8" ht="19.8" customHeight="1" x14ac:dyDescent="0.3">
      <c r="A98" s="120">
        <v>45982</v>
      </c>
      <c r="B98" s="121" t="s">
        <v>77</v>
      </c>
      <c r="C98" s="122" t="s">
        <v>419</v>
      </c>
      <c r="D98" s="121" t="s">
        <v>335</v>
      </c>
      <c r="E98" s="123">
        <v>1.760416666666667</v>
      </c>
      <c r="F98" s="121" t="s">
        <v>101</v>
      </c>
      <c r="G98" s="124">
        <v>9</v>
      </c>
      <c r="H98" s="125" t="s">
        <v>420</v>
      </c>
    </row>
    <row r="99" spans="1:8" ht="19.8" customHeight="1" x14ac:dyDescent="0.3">
      <c r="A99" s="120">
        <v>45982</v>
      </c>
      <c r="B99" s="121" t="s">
        <v>77</v>
      </c>
      <c r="C99" s="122" t="s">
        <v>424</v>
      </c>
      <c r="D99" s="121" t="s">
        <v>335</v>
      </c>
      <c r="E99" s="123">
        <v>1.28125</v>
      </c>
      <c r="F99" s="121" t="s">
        <v>101</v>
      </c>
      <c r="G99" s="124">
        <v>5</v>
      </c>
      <c r="H99" s="125" t="s">
        <v>420</v>
      </c>
    </row>
    <row r="100" spans="1:8" ht="19.8" customHeight="1" x14ac:dyDescent="0.3">
      <c r="A100" s="112">
        <v>45982</v>
      </c>
      <c r="B100" s="104" t="s">
        <v>26</v>
      </c>
      <c r="C100" s="105" t="s">
        <v>354</v>
      </c>
      <c r="D100" s="104" t="s">
        <v>335</v>
      </c>
      <c r="E100" s="113">
        <v>1.3472222222222221</v>
      </c>
      <c r="F100" s="104" t="s">
        <v>31</v>
      </c>
      <c r="G100" s="106">
        <v>7</v>
      </c>
      <c r="H100" s="107" t="s">
        <v>95</v>
      </c>
    </row>
    <row r="101" spans="1:8" ht="19.8" customHeight="1" x14ac:dyDescent="0.3">
      <c r="A101" s="112">
        <v>45982</v>
      </c>
      <c r="B101" s="104" t="s">
        <v>26</v>
      </c>
      <c r="C101" s="105" t="s">
        <v>350</v>
      </c>
      <c r="D101" s="104" t="s">
        <v>335</v>
      </c>
      <c r="E101" s="113">
        <v>1.993055555555556</v>
      </c>
      <c r="F101" s="104" t="s">
        <v>31</v>
      </c>
      <c r="G101" s="106">
        <v>4</v>
      </c>
      <c r="H101" s="107" t="s">
        <v>95</v>
      </c>
    </row>
    <row r="102" spans="1:8" ht="19.8" customHeight="1" x14ac:dyDescent="0.3">
      <c r="A102" s="112">
        <v>45982</v>
      </c>
      <c r="B102" s="104" t="s">
        <v>26</v>
      </c>
      <c r="C102" s="105" t="s">
        <v>359</v>
      </c>
      <c r="D102" s="104" t="s">
        <v>335</v>
      </c>
      <c r="E102" s="113">
        <v>1.7361111111111109</v>
      </c>
      <c r="F102" s="104" t="s">
        <v>31</v>
      </c>
      <c r="G102" s="106">
        <v>3</v>
      </c>
      <c r="H102" s="107" t="s">
        <v>95</v>
      </c>
    </row>
    <row r="103" spans="1:8" ht="19.8" customHeight="1" x14ac:dyDescent="0.3">
      <c r="A103" s="112">
        <v>45982</v>
      </c>
      <c r="B103" s="104" t="s">
        <v>26</v>
      </c>
      <c r="C103" s="105" t="s">
        <v>356</v>
      </c>
      <c r="D103" s="104" t="s">
        <v>335</v>
      </c>
      <c r="E103" s="113">
        <v>1.836805555555556</v>
      </c>
      <c r="F103" s="104" t="s">
        <v>31</v>
      </c>
      <c r="G103" s="106">
        <v>6</v>
      </c>
      <c r="H103" s="107" t="s">
        <v>95</v>
      </c>
    </row>
    <row r="104" spans="1:8" ht="19.8" customHeight="1" x14ac:dyDescent="0.3">
      <c r="A104" s="112">
        <v>45982</v>
      </c>
      <c r="B104" s="104" t="s">
        <v>26</v>
      </c>
      <c r="C104" s="105" t="s">
        <v>352</v>
      </c>
      <c r="D104" s="104" t="s">
        <v>335</v>
      </c>
      <c r="E104" s="113">
        <v>1.944444444444444</v>
      </c>
      <c r="F104" s="104" t="s">
        <v>31</v>
      </c>
      <c r="G104" s="106">
        <v>9</v>
      </c>
      <c r="H104" s="107" t="s">
        <v>95</v>
      </c>
    </row>
    <row r="105" spans="1:8" ht="19.8" customHeight="1" x14ac:dyDescent="0.3">
      <c r="A105" s="112">
        <v>45982</v>
      </c>
      <c r="B105" s="104" t="s">
        <v>26</v>
      </c>
      <c r="C105" s="105" t="s">
        <v>360</v>
      </c>
      <c r="D105" s="104" t="s">
        <v>335</v>
      </c>
      <c r="E105" s="113">
        <v>1.4861111111111109</v>
      </c>
      <c r="F105" s="104" t="s">
        <v>31</v>
      </c>
      <c r="G105" s="106">
        <v>9</v>
      </c>
      <c r="H105" s="107" t="s">
        <v>95</v>
      </c>
    </row>
    <row r="106" spans="1:8" ht="19.8" customHeight="1" x14ac:dyDescent="0.3">
      <c r="A106" s="112">
        <v>45982</v>
      </c>
      <c r="B106" s="104" t="s">
        <v>41</v>
      </c>
      <c r="C106" s="105" t="s">
        <v>340</v>
      </c>
      <c r="D106" s="104" t="s">
        <v>335</v>
      </c>
      <c r="E106" s="113">
        <v>1.399305555555556</v>
      </c>
      <c r="F106" s="104" t="s">
        <v>45</v>
      </c>
      <c r="G106" s="106">
        <v>16</v>
      </c>
      <c r="H106" s="107" t="s">
        <v>143</v>
      </c>
    </row>
    <row r="107" spans="1:8" ht="19.8" customHeight="1" x14ac:dyDescent="0.3">
      <c r="A107" s="112">
        <v>45982</v>
      </c>
      <c r="B107" s="104" t="s">
        <v>41</v>
      </c>
      <c r="C107" s="105" t="s">
        <v>344</v>
      </c>
      <c r="D107" s="104" t="s">
        <v>335</v>
      </c>
      <c r="E107" s="113">
        <v>1.489583333333333</v>
      </c>
      <c r="F107" s="104" t="s">
        <v>45</v>
      </c>
      <c r="G107" s="106">
        <v>14</v>
      </c>
      <c r="H107" s="107" t="s">
        <v>143</v>
      </c>
    </row>
    <row r="108" spans="1:8" ht="19.8" customHeight="1" x14ac:dyDescent="0.3">
      <c r="A108" s="112">
        <v>45982</v>
      </c>
      <c r="B108" s="104" t="s">
        <v>41</v>
      </c>
      <c r="C108" s="105" t="s">
        <v>347</v>
      </c>
      <c r="D108" s="104" t="s">
        <v>335</v>
      </c>
      <c r="E108" s="113">
        <v>1.8888888888888891</v>
      </c>
      <c r="F108" s="104" t="s">
        <v>45</v>
      </c>
      <c r="G108" s="106">
        <v>16</v>
      </c>
      <c r="H108" s="107" t="s">
        <v>143</v>
      </c>
    </row>
    <row r="109" spans="1:8" ht="19.8" customHeight="1" x14ac:dyDescent="0.3">
      <c r="A109" s="112">
        <v>45982</v>
      </c>
      <c r="B109" s="104" t="s">
        <v>41</v>
      </c>
      <c r="C109" s="105" t="s">
        <v>336</v>
      </c>
      <c r="D109" s="104" t="s">
        <v>335</v>
      </c>
      <c r="E109" s="113">
        <v>1.989583333333333</v>
      </c>
      <c r="F109" s="104" t="s">
        <v>45</v>
      </c>
      <c r="G109" s="106">
        <v>14</v>
      </c>
      <c r="H109" s="107" t="s">
        <v>143</v>
      </c>
    </row>
    <row r="110" spans="1:8" ht="19.8" customHeight="1" x14ac:dyDescent="0.3">
      <c r="A110" s="120">
        <v>45982</v>
      </c>
      <c r="B110" s="121" t="s">
        <v>77</v>
      </c>
      <c r="C110" s="122" t="s">
        <v>427</v>
      </c>
      <c r="D110" s="121" t="s">
        <v>335</v>
      </c>
      <c r="E110" s="123">
        <v>1.5590277777777779</v>
      </c>
      <c r="F110" s="121" t="s">
        <v>101</v>
      </c>
      <c r="G110" s="124">
        <v>9</v>
      </c>
      <c r="H110" s="125" t="s">
        <v>366</v>
      </c>
    </row>
    <row r="111" spans="1:8" ht="19.8" customHeight="1" x14ac:dyDescent="0.3">
      <c r="A111" s="112">
        <v>45982</v>
      </c>
      <c r="B111" s="104" t="s">
        <v>388</v>
      </c>
      <c r="C111" s="105" t="s">
        <v>389</v>
      </c>
      <c r="D111" s="104" t="s">
        <v>335</v>
      </c>
      <c r="E111" s="113">
        <v>1.225694444444444</v>
      </c>
      <c r="F111" s="104" t="s">
        <v>390</v>
      </c>
      <c r="G111" s="106">
        <v>7</v>
      </c>
      <c r="H111" s="107" t="s">
        <v>436</v>
      </c>
    </row>
    <row r="112" spans="1:8" ht="19.8" customHeight="1" x14ac:dyDescent="0.3">
      <c r="A112" s="112">
        <v>45982</v>
      </c>
      <c r="B112" s="104" t="s">
        <v>26</v>
      </c>
      <c r="C112" s="105" t="s">
        <v>358</v>
      </c>
      <c r="D112" s="104" t="s">
        <v>335</v>
      </c>
      <c r="E112" s="113">
        <v>1.8888888888888891</v>
      </c>
      <c r="F112" s="104" t="s">
        <v>34</v>
      </c>
      <c r="G112" s="106">
        <v>4</v>
      </c>
      <c r="H112" s="107" t="s">
        <v>122</v>
      </c>
    </row>
    <row r="113" spans="1:8" ht="19.8" customHeight="1" x14ac:dyDescent="0.3">
      <c r="A113" s="112">
        <v>45982</v>
      </c>
      <c r="B113" s="104" t="s">
        <v>388</v>
      </c>
      <c r="C113" s="105" t="s">
        <v>438</v>
      </c>
      <c r="D113" s="104" t="s">
        <v>335</v>
      </c>
      <c r="E113" s="113">
        <v>1.8090277777777779</v>
      </c>
      <c r="F113" s="104" t="s">
        <v>390</v>
      </c>
      <c r="G113" s="106">
        <v>3</v>
      </c>
      <c r="H113" s="107" t="s">
        <v>439</v>
      </c>
    </row>
    <row r="114" spans="1:8" ht="19.8" customHeight="1" x14ac:dyDescent="0.3">
      <c r="A114" s="112">
        <v>45982</v>
      </c>
      <c r="B114" s="104" t="s">
        <v>26</v>
      </c>
      <c r="C114" s="105" t="s">
        <v>354</v>
      </c>
      <c r="D114" s="104" t="s">
        <v>335</v>
      </c>
      <c r="E114" s="113">
        <v>1.3472222222222221</v>
      </c>
      <c r="F114" s="104" t="s">
        <v>34</v>
      </c>
      <c r="G114" s="106">
        <v>7</v>
      </c>
      <c r="H114" s="107" t="s">
        <v>149</v>
      </c>
    </row>
    <row r="115" spans="1:8" ht="19.8" customHeight="1" x14ac:dyDescent="0.3">
      <c r="A115" s="112">
        <v>45982</v>
      </c>
      <c r="B115" s="104" t="s">
        <v>26</v>
      </c>
      <c r="C115" s="105" t="s">
        <v>350</v>
      </c>
      <c r="D115" s="104" t="s">
        <v>335</v>
      </c>
      <c r="E115" s="113">
        <v>1.993055555555556</v>
      </c>
      <c r="F115" s="104" t="s">
        <v>34</v>
      </c>
      <c r="G115" s="106">
        <v>4</v>
      </c>
      <c r="H115" s="107" t="s">
        <v>149</v>
      </c>
    </row>
    <row r="116" spans="1:8" ht="19.8" customHeight="1" x14ac:dyDescent="0.3">
      <c r="A116" s="112">
        <v>45982</v>
      </c>
      <c r="B116" s="104" t="s">
        <v>26</v>
      </c>
      <c r="C116" s="105" t="s">
        <v>359</v>
      </c>
      <c r="D116" s="104" t="s">
        <v>335</v>
      </c>
      <c r="E116" s="113">
        <v>1.7361111111111109</v>
      </c>
      <c r="F116" s="104" t="s">
        <v>34</v>
      </c>
      <c r="G116" s="106">
        <v>3</v>
      </c>
      <c r="H116" s="107" t="s">
        <v>149</v>
      </c>
    </row>
    <row r="117" spans="1:8" ht="19.8" customHeight="1" x14ac:dyDescent="0.3">
      <c r="A117" s="112">
        <v>45982</v>
      </c>
      <c r="B117" s="104" t="s">
        <v>26</v>
      </c>
      <c r="C117" s="105" t="s">
        <v>356</v>
      </c>
      <c r="D117" s="104" t="s">
        <v>335</v>
      </c>
      <c r="E117" s="113">
        <v>1.836805555555556</v>
      </c>
      <c r="F117" s="104" t="s">
        <v>34</v>
      </c>
      <c r="G117" s="106">
        <v>6</v>
      </c>
      <c r="H117" s="107" t="s">
        <v>149</v>
      </c>
    </row>
    <row r="118" spans="1:8" ht="19.8" customHeight="1" x14ac:dyDescent="0.3">
      <c r="A118" s="112">
        <v>45982</v>
      </c>
      <c r="B118" s="104" t="s">
        <v>26</v>
      </c>
      <c r="C118" s="105" t="s">
        <v>352</v>
      </c>
      <c r="D118" s="104" t="s">
        <v>335</v>
      </c>
      <c r="E118" s="113">
        <v>1.944444444444444</v>
      </c>
      <c r="F118" s="104" t="s">
        <v>34</v>
      </c>
      <c r="G118" s="106">
        <v>9</v>
      </c>
      <c r="H118" s="107" t="s">
        <v>149</v>
      </c>
    </row>
    <row r="119" spans="1:8" ht="19.8" customHeight="1" x14ac:dyDescent="0.3">
      <c r="A119" s="112">
        <v>45982</v>
      </c>
      <c r="B119" s="104" t="s">
        <v>26</v>
      </c>
      <c r="C119" s="105" t="s">
        <v>360</v>
      </c>
      <c r="D119" s="104" t="s">
        <v>335</v>
      </c>
      <c r="E119" s="113">
        <v>1.4861111111111109</v>
      </c>
      <c r="F119" s="104" t="s">
        <v>34</v>
      </c>
      <c r="G119" s="106">
        <v>9</v>
      </c>
      <c r="H119" s="107" t="s">
        <v>149</v>
      </c>
    </row>
    <row r="120" spans="1:8" ht="19.8" customHeight="1" x14ac:dyDescent="0.3">
      <c r="A120" s="112">
        <v>45982</v>
      </c>
      <c r="B120" s="104" t="s">
        <v>41</v>
      </c>
      <c r="C120" s="105" t="s">
        <v>340</v>
      </c>
      <c r="D120" s="104" t="s">
        <v>335</v>
      </c>
      <c r="E120" s="113">
        <v>1.399305555555556</v>
      </c>
      <c r="F120" s="104" t="s">
        <v>46</v>
      </c>
      <c r="G120" s="106">
        <v>16</v>
      </c>
      <c r="H120" s="107" t="s">
        <v>47</v>
      </c>
    </row>
    <row r="121" spans="1:8" ht="19.8" customHeight="1" x14ac:dyDescent="0.3">
      <c r="A121" s="112">
        <v>45982</v>
      </c>
      <c r="B121" s="104" t="s">
        <v>41</v>
      </c>
      <c r="C121" s="105" t="s">
        <v>344</v>
      </c>
      <c r="D121" s="104" t="s">
        <v>335</v>
      </c>
      <c r="E121" s="113">
        <v>1.489583333333333</v>
      </c>
      <c r="F121" s="104" t="s">
        <v>46</v>
      </c>
      <c r="G121" s="106">
        <v>14</v>
      </c>
      <c r="H121" s="107" t="s">
        <v>47</v>
      </c>
    </row>
    <row r="122" spans="1:8" ht="19.8" customHeight="1" x14ac:dyDescent="0.3">
      <c r="A122" s="112">
        <v>45982</v>
      </c>
      <c r="B122" s="104" t="s">
        <v>41</v>
      </c>
      <c r="C122" s="105" t="s">
        <v>347</v>
      </c>
      <c r="D122" s="104" t="s">
        <v>335</v>
      </c>
      <c r="E122" s="113">
        <v>1.8888888888888891</v>
      </c>
      <c r="F122" s="104" t="s">
        <v>46</v>
      </c>
      <c r="G122" s="106">
        <v>16</v>
      </c>
      <c r="H122" s="107" t="s">
        <v>47</v>
      </c>
    </row>
    <row r="123" spans="1:8" ht="19.8" customHeight="1" x14ac:dyDescent="0.3">
      <c r="A123" s="112">
        <v>45982</v>
      </c>
      <c r="B123" s="104" t="s">
        <v>41</v>
      </c>
      <c r="C123" s="105" t="s">
        <v>336</v>
      </c>
      <c r="D123" s="104" t="s">
        <v>335</v>
      </c>
      <c r="E123" s="113">
        <v>1.989583333333333</v>
      </c>
      <c r="F123" s="104" t="s">
        <v>46</v>
      </c>
      <c r="G123" s="106">
        <v>14</v>
      </c>
      <c r="H123" s="107" t="s">
        <v>47</v>
      </c>
    </row>
    <row r="124" spans="1:8" ht="19.8" customHeight="1" x14ac:dyDescent="0.3">
      <c r="A124" s="112">
        <v>45982</v>
      </c>
      <c r="B124" s="104" t="s">
        <v>48</v>
      </c>
      <c r="C124" s="105" t="s">
        <v>411</v>
      </c>
      <c r="D124" s="104" t="s">
        <v>335</v>
      </c>
      <c r="E124" s="113">
        <v>1.104166666666667</v>
      </c>
      <c r="F124" s="104" t="s">
        <v>50</v>
      </c>
      <c r="G124" s="106">
        <v>9</v>
      </c>
      <c r="H124" s="107" t="s">
        <v>441</v>
      </c>
    </row>
    <row r="125" spans="1:8" ht="19.8" customHeight="1" x14ac:dyDescent="0.3">
      <c r="A125" s="112">
        <v>45982</v>
      </c>
      <c r="B125" s="104" t="s">
        <v>48</v>
      </c>
      <c r="C125" s="105" t="s">
        <v>406</v>
      </c>
      <c r="D125" s="104" t="s">
        <v>335</v>
      </c>
      <c r="E125" s="113">
        <v>1.791666666666667</v>
      </c>
      <c r="F125" s="104" t="s">
        <v>50</v>
      </c>
      <c r="G125" s="106">
        <v>9</v>
      </c>
      <c r="H125" s="107" t="s">
        <v>441</v>
      </c>
    </row>
    <row r="126" spans="1:8" ht="19.8" customHeight="1" x14ac:dyDescent="0.3">
      <c r="A126" s="112">
        <v>45982</v>
      </c>
      <c r="B126" s="104" t="s">
        <v>48</v>
      </c>
      <c r="C126" s="105" t="s">
        <v>413</v>
      </c>
      <c r="D126" s="104" t="s">
        <v>335</v>
      </c>
      <c r="E126" s="113">
        <v>1.836805555555556</v>
      </c>
      <c r="F126" s="104" t="s">
        <v>50</v>
      </c>
      <c r="G126" s="106">
        <v>9</v>
      </c>
      <c r="H126" s="107" t="s">
        <v>442</v>
      </c>
    </row>
    <row r="127" spans="1:8" ht="19.8" customHeight="1" x14ac:dyDescent="0.3">
      <c r="A127" s="112">
        <v>45982</v>
      </c>
      <c r="B127" s="104" t="s">
        <v>48</v>
      </c>
      <c r="C127" s="105" t="s">
        <v>415</v>
      </c>
      <c r="D127" s="104" t="s">
        <v>335</v>
      </c>
      <c r="E127" s="113">
        <v>1.0486111111111109</v>
      </c>
      <c r="F127" s="104" t="s">
        <v>50</v>
      </c>
      <c r="G127" s="106">
        <v>9</v>
      </c>
      <c r="H127" s="107" t="s">
        <v>442</v>
      </c>
    </row>
    <row r="128" spans="1:8" ht="19.8" customHeight="1" x14ac:dyDescent="0.3">
      <c r="A128" s="112">
        <v>45982</v>
      </c>
      <c r="B128" s="104" t="s">
        <v>48</v>
      </c>
      <c r="C128" s="105" t="s">
        <v>408</v>
      </c>
      <c r="D128" s="104" t="s">
        <v>335</v>
      </c>
      <c r="E128" s="113">
        <v>1.333333333333333</v>
      </c>
      <c r="F128" s="104" t="s">
        <v>50</v>
      </c>
      <c r="G128" s="106">
        <v>9</v>
      </c>
      <c r="H128" s="107" t="s">
        <v>443</v>
      </c>
    </row>
    <row r="129" spans="1:8" ht="19.8" customHeight="1" x14ac:dyDescent="0.3">
      <c r="A129" s="112">
        <v>45982</v>
      </c>
      <c r="B129" s="104" t="s">
        <v>48</v>
      </c>
      <c r="C129" s="105" t="s">
        <v>412</v>
      </c>
      <c r="D129" s="104" t="s">
        <v>335</v>
      </c>
      <c r="E129" s="113">
        <v>1.618055555555556</v>
      </c>
      <c r="F129" s="104" t="s">
        <v>50</v>
      </c>
      <c r="G129" s="106">
        <v>9</v>
      </c>
      <c r="H129" s="107" t="s">
        <v>443</v>
      </c>
    </row>
    <row r="130" spans="1:8" ht="19.8" customHeight="1" x14ac:dyDescent="0.3">
      <c r="A130" s="112">
        <v>45982</v>
      </c>
      <c r="B130" s="104" t="s">
        <v>388</v>
      </c>
      <c r="C130" s="105" t="s">
        <v>389</v>
      </c>
      <c r="D130" s="104" t="s">
        <v>335</v>
      </c>
      <c r="E130" s="113">
        <v>1.225694444444444</v>
      </c>
      <c r="F130" s="104" t="s">
        <v>46</v>
      </c>
      <c r="G130" s="106">
        <v>7</v>
      </c>
      <c r="H130" s="107" t="s">
        <v>437</v>
      </c>
    </row>
    <row r="131" spans="1:8" ht="19.8" customHeight="1" x14ac:dyDescent="0.3">
      <c r="A131" s="112">
        <v>45982</v>
      </c>
      <c r="B131" s="104" t="s">
        <v>388</v>
      </c>
      <c r="C131" s="105" t="s">
        <v>438</v>
      </c>
      <c r="D131" s="104" t="s">
        <v>335</v>
      </c>
      <c r="E131" s="113">
        <v>1.8090277777777779</v>
      </c>
      <c r="F131" s="104" t="s">
        <v>46</v>
      </c>
      <c r="G131" s="106">
        <v>3</v>
      </c>
      <c r="H131" s="107" t="s">
        <v>440</v>
      </c>
    </row>
    <row r="132" spans="1:8" ht="19.8" customHeight="1" x14ac:dyDescent="0.3">
      <c r="A132" s="112">
        <v>45982</v>
      </c>
      <c r="B132" s="104" t="s">
        <v>60</v>
      </c>
      <c r="C132" s="105" t="s">
        <v>400</v>
      </c>
      <c r="D132" s="104" t="s">
        <v>335</v>
      </c>
      <c r="E132" s="113">
        <v>1.8298611111111109</v>
      </c>
      <c r="F132" s="104" t="s">
        <v>65</v>
      </c>
      <c r="G132" s="106">
        <v>9</v>
      </c>
      <c r="H132" s="107" t="s">
        <v>394</v>
      </c>
    </row>
    <row r="133" spans="1:8" ht="19.8" customHeight="1" x14ac:dyDescent="0.3">
      <c r="A133" s="112">
        <v>45982</v>
      </c>
      <c r="B133" s="104" t="s">
        <v>60</v>
      </c>
      <c r="C133" s="105" t="s">
        <v>404</v>
      </c>
      <c r="D133" s="104" t="s">
        <v>335</v>
      </c>
      <c r="E133" s="113">
        <v>1.7222222222222221</v>
      </c>
      <c r="F133" s="104" t="s">
        <v>65</v>
      </c>
      <c r="G133" s="106">
        <v>3</v>
      </c>
      <c r="H133" s="107" t="s">
        <v>394</v>
      </c>
    </row>
    <row r="134" spans="1:8" ht="19.8" customHeight="1" x14ac:dyDescent="0.3">
      <c r="A134" s="112">
        <v>45982</v>
      </c>
      <c r="B134" s="104" t="s">
        <v>60</v>
      </c>
      <c r="C134" s="105" t="s">
        <v>402</v>
      </c>
      <c r="D134" s="104" t="s">
        <v>335</v>
      </c>
      <c r="E134" s="113">
        <v>1.118055555555556</v>
      </c>
      <c r="F134" s="104" t="s">
        <v>65</v>
      </c>
      <c r="G134" s="106">
        <v>9</v>
      </c>
      <c r="H134" s="107" t="s">
        <v>394</v>
      </c>
    </row>
    <row r="135" spans="1:8" ht="19.8" customHeight="1" x14ac:dyDescent="0.3">
      <c r="A135" s="112">
        <v>45982</v>
      </c>
      <c r="B135" s="104" t="s">
        <v>60</v>
      </c>
      <c r="C135" s="105" t="s">
        <v>403</v>
      </c>
      <c r="D135" s="104" t="s">
        <v>335</v>
      </c>
      <c r="E135" s="113">
        <v>1.7013888888888891</v>
      </c>
      <c r="F135" s="104" t="s">
        <v>65</v>
      </c>
      <c r="G135" s="106">
        <v>5</v>
      </c>
      <c r="H135" s="107" t="s">
        <v>394</v>
      </c>
    </row>
    <row r="136" spans="1:8" ht="19.8" customHeight="1" x14ac:dyDescent="0.3">
      <c r="A136" s="112">
        <v>45982</v>
      </c>
      <c r="B136" s="104" t="s">
        <v>60</v>
      </c>
      <c r="C136" s="105" t="s">
        <v>393</v>
      </c>
      <c r="D136" s="104" t="s">
        <v>335</v>
      </c>
      <c r="E136" s="113">
        <v>1.2534722222222221</v>
      </c>
      <c r="F136" s="104" t="s">
        <v>65</v>
      </c>
      <c r="G136" s="106">
        <v>9</v>
      </c>
      <c r="H136" s="107" t="s">
        <v>394</v>
      </c>
    </row>
    <row r="137" spans="1:8" ht="19.8" customHeight="1" x14ac:dyDescent="0.3">
      <c r="A137" s="112">
        <v>45982</v>
      </c>
      <c r="B137" s="104" t="s">
        <v>60</v>
      </c>
      <c r="C137" s="105" t="s">
        <v>444</v>
      </c>
      <c r="D137" s="104" t="s">
        <v>335</v>
      </c>
      <c r="E137" s="113">
        <v>1.041666666666667</v>
      </c>
      <c r="F137" s="104" t="s">
        <v>65</v>
      </c>
      <c r="G137" s="106">
        <v>9</v>
      </c>
      <c r="H137" s="107" t="s">
        <v>394</v>
      </c>
    </row>
    <row r="138" spans="1:8" ht="19.8" customHeight="1" x14ac:dyDescent="0.3">
      <c r="A138" s="112">
        <v>45982</v>
      </c>
      <c r="B138" s="104" t="s">
        <v>60</v>
      </c>
      <c r="C138" s="105" t="s">
        <v>445</v>
      </c>
      <c r="D138" s="104" t="s">
        <v>335</v>
      </c>
      <c r="E138" s="113">
        <v>1.9409722222222221</v>
      </c>
      <c r="F138" s="104" t="s">
        <v>65</v>
      </c>
      <c r="G138" s="106">
        <v>9</v>
      </c>
      <c r="H138" s="107" t="s">
        <v>394</v>
      </c>
    </row>
    <row r="139" spans="1:8" ht="19.8" customHeight="1" x14ac:dyDescent="0.3">
      <c r="A139" s="112">
        <v>45982</v>
      </c>
      <c r="B139" s="104" t="s">
        <v>60</v>
      </c>
      <c r="C139" s="105" t="s">
        <v>395</v>
      </c>
      <c r="D139" s="104" t="s">
        <v>335</v>
      </c>
      <c r="E139" s="113">
        <v>1.989583333333333</v>
      </c>
      <c r="F139" s="104" t="s">
        <v>65</v>
      </c>
      <c r="G139" s="106">
        <v>4</v>
      </c>
      <c r="H139" s="107" t="s">
        <v>396</v>
      </c>
    </row>
    <row r="140" spans="1:8" ht="19.8" customHeight="1" x14ac:dyDescent="0.3">
      <c r="A140" s="112">
        <v>45982</v>
      </c>
      <c r="B140" s="104" t="s">
        <v>60</v>
      </c>
      <c r="C140" s="105" t="s">
        <v>397</v>
      </c>
      <c r="D140" s="104" t="s">
        <v>335</v>
      </c>
      <c r="E140" s="113">
        <v>1.399305555555556</v>
      </c>
      <c r="F140" s="104" t="s">
        <v>65</v>
      </c>
      <c r="G140" s="106">
        <v>4</v>
      </c>
      <c r="H140" s="107" t="s">
        <v>396</v>
      </c>
    </row>
    <row r="141" spans="1:8" ht="19.8" customHeight="1" x14ac:dyDescent="0.3">
      <c r="A141" s="112">
        <v>45982</v>
      </c>
      <c r="B141" s="104" t="s">
        <v>60</v>
      </c>
      <c r="C141" s="105" t="s">
        <v>398</v>
      </c>
      <c r="D141" s="104" t="s">
        <v>335</v>
      </c>
      <c r="E141" s="113">
        <v>1.489583333333333</v>
      </c>
      <c r="F141" s="104" t="s">
        <v>65</v>
      </c>
      <c r="G141" s="106">
        <v>4</v>
      </c>
      <c r="H141" s="107" t="s">
        <v>396</v>
      </c>
    </row>
    <row r="142" spans="1:8" ht="19.8" customHeight="1" x14ac:dyDescent="0.3">
      <c r="A142" s="112">
        <v>45982</v>
      </c>
      <c r="B142" s="104" t="s">
        <v>60</v>
      </c>
      <c r="C142" s="105" t="s">
        <v>399</v>
      </c>
      <c r="D142" s="104" t="s">
        <v>335</v>
      </c>
      <c r="E142" s="113">
        <v>1.8888888888888891</v>
      </c>
      <c r="F142" s="104" t="s">
        <v>65</v>
      </c>
      <c r="G142" s="106">
        <v>4</v>
      </c>
      <c r="H142" s="107" t="s">
        <v>396</v>
      </c>
    </row>
    <row r="143" spans="1:8" ht="19.8" customHeight="1" x14ac:dyDescent="0.3">
      <c r="A143" s="114">
        <v>45982</v>
      </c>
      <c r="B143" s="115" t="s">
        <v>60</v>
      </c>
      <c r="C143" s="116" t="s">
        <v>446</v>
      </c>
      <c r="D143" s="115" t="s">
        <v>335</v>
      </c>
      <c r="E143" s="117">
        <v>1.489583333333333</v>
      </c>
      <c r="F143" s="115" t="s">
        <v>65</v>
      </c>
      <c r="G143" s="118">
        <v>6</v>
      </c>
      <c r="H143" s="119" t="s">
        <v>405</v>
      </c>
    </row>
    <row r="144" spans="1:8" ht="19.8" customHeight="1" x14ac:dyDescent="0.3">
      <c r="A144" s="120">
        <v>45983</v>
      </c>
      <c r="B144" s="121" t="s">
        <v>77</v>
      </c>
      <c r="C144" s="122" t="s">
        <v>370</v>
      </c>
      <c r="D144" s="121" t="s">
        <v>335</v>
      </c>
      <c r="E144" s="123">
        <v>1.0486111111111109</v>
      </c>
      <c r="F144" s="121" t="s">
        <v>101</v>
      </c>
      <c r="G144" s="124">
        <v>1</v>
      </c>
      <c r="H144" s="125" t="s">
        <v>93</v>
      </c>
    </row>
    <row r="145" spans="1:8" ht="19.8" customHeight="1" x14ac:dyDescent="0.3">
      <c r="A145" s="112">
        <v>45983</v>
      </c>
      <c r="B145" s="104" t="s">
        <v>41</v>
      </c>
      <c r="C145" s="105" t="s">
        <v>340</v>
      </c>
      <c r="D145" s="104" t="s">
        <v>335</v>
      </c>
      <c r="E145" s="113">
        <v>1.399305555555556</v>
      </c>
      <c r="F145" s="104" t="s">
        <v>337</v>
      </c>
      <c r="G145" s="106">
        <v>9</v>
      </c>
      <c r="H145" s="107" t="s">
        <v>431</v>
      </c>
    </row>
    <row r="146" spans="1:8" ht="19.8" customHeight="1" x14ac:dyDescent="0.3">
      <c r="A146" s="112">
        <v>45983</v>
      </c>
      <c r="B146" s="104" t="s">
        <v>41</v>
      </c>
      <c r="C146" s="105" t="s">
        <v>340</v>
      </c>
      <c r="D146" s="104" t="s">
        <v>335</v>
      </c>
      <c r="E146" s="113">
        <v>1.399305555555556</v>
      </c>
      <c r="F146" s="104" t="s">
        <v>43</v>
      </c>
      <c r="G146" s="106">
        <v>11</v>
      </c>
      <c r="H146" s="107" t="s">
        <v>431</v>
      </c>
    </row>
    <row r="147" spans="1:8" ht="19.8" customHeight="1" x14ac:dyDescent="0.3">
      <c r="A147" s="112">
        <v>45983</v>
      </c>
      <c r="B147" s="104" t="s">
        <v>41</v>
      </c>
      <c r="C147" s="105" t="s">
        <v>344</v>
      </c>
      <c r="D147" s="104" t="s">
        <v>335</v>
      </c>
      <c r="E147" s="113">
        <v>1.489583333333333</v>
      </c>
      <c r="F147" s="104" t="s">
        <v>337</v>
      </c>
      <c r="G147" s="106">
        <v>10</v>
      </c>
      <c r="H147" s="107" t="s">
        <v>431</v>
      </c>
    </row>
    <row r="148" spans="1:8" ht="19.8" customHeight="1" x14ac:dyDescent="0.3">
      <c r="A148" s="112">
        <v>45983</v>
      </c>
      <c r="B148" s="104" t="s">
        <v>41</v>
      </c>
      <c r="C148" s="105" t="s">
        <v>344</v>
      </c>
      <c r="D148" s="104" t="s">
        <v>335</v>
      </c>
      <c r="E148" s="113">
        <v>1.489583333333333</v>
      </c>
      <c r="F148" s="104" t="s">
        <v>43</v>
      </c>
      <c r="G148" s="106">
        <v>8</v>
      </c>
      <c r="H148" s="107" t="s">
        <v>431</v>
      </c>
    </row>
    <row r="149" spans="1:8" ht="19.8" customHeight="1" x14ac:dyDescent="0.3">
      <c r="A149" s="112">
        <v>45983</v>
      </c>
      <c r="B149" s="104" t="s">
        <v>41</v>
      </c>
      <c r="C149" s="105" t="s">
        <v>347</v>
      </c>
      <c r="D149" s="104" t="s">
        <v>335</v>
      </c>
      <c r="E149" s="113">
        <v>1.8888888888888891</v>
      </c>
      <c r="F149" s="104" t="s">
        <v>337</v>
      </c>
      <c r="G149" s="106">
        <v>7</v>
      </c>
      <c r="H149" s="107" t="s">
        <v>431</v>
      </c>
    </row>
    <row r="150" spans="1:8" ht="19.8" customHeight="1" x14ac:dyDescent="0.3">
      <c r="A150" s="112">
        <v>45983</v>
      </c>
      <c r="B150" s="104" t="s">
        <v>41</v>
      </c>
      <c r="C150" s="105" t="s">
        <v>347</v>
      </c>
      <c r="D150" s="104" t="s">
        <v>335</v>
      </c>
      <c r="E150" s="113">
        <v>1.8888888888888891</v>
      </c>
      <c r="F150" s="104" t="s">
        <v>43</v>
      </c>
      <c r="G150" s="106">
        <v>6</v>
      </c>
      <c r="H150" s="107" t="s">
        <v>431</v>
      </c>
    </row>
    <row r="151" spans="1:8" ht="19.8" customHeight="1" x14ac:dyDescent="0.3">
      <c r="A151" s="112">
        <v>45983</v>
      </c>
      <c r="B151" s="104" t="s">
        <v>41</v>
      </c>
      <c r="C151" s="105" t="s">
        <v>336</v>
      </c>
      <c r="D151" s="104" t="s">
        <v>335</v>
      </c>
      <c r="E151" s="113">
        <v>1.989583333333333</v>
      </c>
      <c r="F151" s="104" t="s">
        <v>337</v>
      </c>
      <c r="G151" s="106">
        <v>11</v>
      </c>
      <c r="H151" s="107" t="s">
        <v>431</v>
      </c>
    </row>
    <row r="152" spans="1:8" ht="19.8" customHeight="1" x14ac:dyDescent="0.3">
      <c r="A152" s="112">
        <v>45983</v>
      </c>
      <c r="B152" s="104" t="s">
        <v>41</v>
      </c>
      <c r="C152" s="105" t="s">
        <v>336</v>
      </c>
      <c r="D152" s="104" t="s">
        <v>335</v>
      </c>
      <c r="E152" s="113">
        <v>1.989583333333333</v>
      </c>
      <c r="F152" s="104" t="s">
        <v>43</v>
      </c>
      <c r="G152" s="106">
        <v>11</v>
      </c>
      <c r="H152" s="107" t="s">
        <v>431</v>
      </c>
    </row>
    <row r="153" spans="1:8" ht="19.8" customHeight="1" x14ac:dyDescent="0.3">
      <c r="A153" s="112">
        <v>45983</v>
      </c>
      <c r="B153" s="104" t="s">
        <v>26</v>
      </c>
      <c r="C153" s="105" t="s">
        <v>358</v>
      </c>
      <c r="D153" s="104" t="s">
        <v>335</v>
      </c>
      <c r="E153" s="113">
        <v>1.8888888888888891</v>
      </c>
      <c r="F153" s="104" t="s">
        <v>351</v>
      </c>
      <c r="G153" s="106">
        <v>2</v>
      </c>
      <c r="H153" s="107" t="s">
        <v>44</v>
      </c>
    </row>
    <row r="154" spans="1:8" ht="19.8" customHeight="1" x14ac:dyDescent="0.3">
      <c r="A154" s="112">
        <v>45983</v>
      </c>
      <c r="B154" s="104" t="s">
        <v>458</v>
      </c>
      <c r="C154" s="105" t="s">
        <v>459</v>
      </c>
      <c r="D154" s="104" t="s">
        <v>335</v>
      </c>
      <c r="E154" s="113">
        <v>1.0972222222222221</v>
      </c>
      <c r="F154" s="104" t="s">
        <v>101</v>
      </c>
      <c r="G154" s="106">
        <v>9</v>
      </c>
      <c r="H154" s="107" t="s">
        <v>460</v>
      </c>
    </row>
    <row r="155" spans="1:8" ht="19.8" customHeight="1" x14ac:dyDescent="0.3">
      <c r="A155" s="112">
        <v>45983</v>
      </c>
      <c r="B155" s="104" t="s">
        <v>26</v>
      </c>
      <c r="C155" s="105" t="s">
        <v>354</v>
      </c>
      <c r="D155" s="104" t="s">
        <v>335</v>
      </c>
      <c r="E155" s="113">
        <v>1.3472222222222221</v>
      </c>
      <c r="F155" s="104" t="s">
        <v>351</v>
      </c>
      <c r="G155" s="106">
        <v>1</v>
      </c>
      <c r="H155" s="107" t="s">
        <v>339</v>
      </c>
    </row>
    <row r="156" spans="1:8" ht="19.8" customHeight="1" x14ac:dyDescent="0.3">
      <c r="A156" s="112">
        <v>45983</v>
      </c>
      <c r="B156" s="104" t="s">
        <v>26</v>
      </c>
      <c r="C156" s="105" t="s">
        <v>354</v>
      </c>
      <c r="D156" s="104" t="s">
        <v>335</v>
      </c>
      <c r="E156" s="113">
        <v>1.3472222222222221</v>
      </c>
      <c r="F156" s="104" t="s">
        <v>28</v>
      </c>
      <c r="G156" s="106">
        <v>1</v>
      </c>
      <c r="H156" s="107" t="s">
        <v>339</v>
      </c>
    </row>
    <row r="157" spans="1:8" ht="19.8" customHeight="1" x14ac:dyDescent="0.3">
      <c r="A157" s="112">
        <v>45983</v>
      </c>
      <c r="B157" s="104" t="s">
        <v>26</v>
      </c>
      <c r="C157" s="105" t="s">
        <v>350</v>
      </c>
      <c r="D157" s="104" t="s">
        <v>335</v>
      </c>
      <c r="E157" s="113">
        <v>1.993055555555556</v>
      </c>
      <c r="F157" s="104" t="s">
        <v>351</v>
      </c>
      <c r="G157" s="106">
        <v>1</v>
      </c>
      <c r="H157" s="107" t="s">
        <v>339</v>
      </c>
    </row>
    <row r="158" spans="1:8" ht="19.8" customHeight="1" x14ac:dyDescent="0.3">
      <c r="A158" s="112">
        <v>45983</v>
      </c>
      <c r="B158" s="104" t="s">
        <v>26</v>
      </c>
      <c r="C158" s="105" t="s">
        <v>350</v>
      </c>
      <c r="D158" s="104" t="s">
        <v>335</v>
      </c>
      <c r="E158" s="113">
        <v>1.993055555555556</v>
      </c>
      <c r="F158" s="104" t="s">
        <v>28</v>
      </c>
      <c r="G158" s="106">
        <v>1</v>
      </c>
      <c r="H158" s="107" t="s">
        <v>339</v>
      </c>
    </row>
    <row r="159" spans="1:8" ht="19.8" customHeight="1" x14ac:dyDescent="0.3">
      <c r="A159" s="112">
        <v>45983</v>
      </c>
      <c r="B159" s="104" t="s">
        <v>26</v>
      </c>
      <c r="C159" s="105" t="s">
        <v>359</v>
      </c>
      <c r="D159" s="104" t="s">
        <v>335</v>
      </c>
      <c r="E159" s="113">
        <v>1.75</v>
      </c>
      <c r="F159" s="104" t="s">
        <v>351</v>
      </c>
      <c r="G159" s="106">
        <v>2</v>
      </c>
      <c r="H159" s="107" t="s">
        <v>339</v>
      </c>
    </row>
    <row r="160" spans="1:8" ht="19.8" customHeight="1" x14ac:dyDescent="0.3">
      <c r="A160" s="112">
        <v>45983</v>
      </c>
      <c r="B160" s="104" t="s">
        <v>26</v>
      </c>
      <c r="C160" s="105" t="s">
        <v>359</v>
      </c>
      <c r="D160" s="104" t="s">
        <v>335</v>
      </c>
      <c r="E160" s="113">
        <v>1.75</v>
      </c>
      <c r="F160" s="104" t="s">
        <v>28</v>
      </c>
      <c r="G160" s="106">
        <v>5</v>
      </c>
      <c r="H160" s="107" t="s">
        <v>339</v>
      </c>
    </row>
    <row r="161" spans="1:8" ht="19.8" customHeight="1" x14ac:dyDescent="0.3">
      <c r="A161" s="112">
        <v>45983</v>
      </c>
      <c r="B161" s="104" t="s">
        <v>26</v>
      </c>
      <c r="C161" s="105" t="s">
        <v>352</v>
      </c>
      <c r="D161" s="104" t="s">
        <v>335</v>
      </c>
      <c r="E161" s="113">
        <v>1.944444444444444</v>
      </c>
      <c r="F161" s="104" t="s">
        <v>351</v>
      </c>
      <c r="G161" s="106">
        <v>9</v>
      </c>
      <c r="H161" s="107" t="s">
        <v>339</v>
      </c>
    </row>
    <row r="162" spans="1:8" ht="19.8" customHeight="1" x14ac:dyDescent="0.3">
      <c r="A162" s="112">
        <v>45983</v>
      </c>
      <c r="B162" s="104" t="s">
        <v>26</v>
      </c>
      <c r="C162" s="105" t="s">
        <v>352</v>
      </c>
      <c r="D162" s="104" t="s">
        <v>335</v>
      </c>
      <c r="E162" s="113">
        <v>1.944444444444444</v>
      </c>
      <c r="F162" s="104" t="s">
        <v>28</v>
      </c>
      <c r="G162" s="106">
        <v>9</v>
      </c>
      <c r="H162" s="107" t="s">
        <v>339</v>
      </c>
    </row>
    <row r="163" spans="1:8" ht="19.8" customHeight="1" x14ac:dyDescent="0.3">
      <c r="A163" s="112">
        <v>45983</v>
      </c>
      <c r="B163" s="104" t="s">
        <v>26</v>
      </c>
      <c r="C163" s="105" t="s">
        <v>360</v>
      </c>
      <c r="D163" s="104" t="s">
        <v>335</v>
      </c>
      <c r="E163" s="113">
        <v>1.4861111111111109</v>
      </c>
      <c r="F163" s="104" t="s">
        <v>351</v>
      </c>
      <c r="G163" s="106">
        <v>4</v>
      </c>
      <c r="H163" s="107" t="s">
        <v>339</v>
      </c>
    </row>
    <row r="164" spans="1:8" ht="19.8" customHeight="1" x14ac:dyDescent="0.3">
      <c r="A164" s="112">
        <v>45983</v>
      </c>
      <c r="B164" s="104" t="s">
        <v>26</v>
      </c>
      <c r="C164" s="105" t="s">
        <v>360</v>
      </c>
      <c r="D164" s="104" t="s">
        <v>335</v>
      </c>
      <c r="E164" s="113">
        <v>1.4861111111111109</v>
      </c>
      <c r="F164" s="104" t="s">
        <v>28</v>
      </c>
      <c r="G164" s="106">
        <v>4</v>
      </c>
      <c r="H164" s="107" t="s">
        <v>339</v>
      </c>
    </row>
    <row r="165" spans="1:8" ht="19.8" customHeight="1" x14ac:dyDescent="0.3">
      <c r="A165" s="112">
        <v>45983</v>
      </c>
      <c r="B165" s="104" t="s">
        <v>26</v>
      </c>
      <c r="C165" s="105" t="s">
        <v>358</v>
      </c>
      <c r="D165" s="104" t="s">
        <v>335</v>
      </c>
      <c r="E165" s="113">
        <v>1.8888888888888891</v>
      </c>
      <c r="F165" s="104" t="s">
        <v>28</v>
      </c>
      <c r="G165" s="106">
        <v>9</v>
      </c>
      <c r="H165" s="107" t="s">
        <v>339</v>
      </c>
    </row>
    <row r="166" spans="1:8" ht="19.8" customHeight="1" x14ac:dyDescent="0.3">
      <c r="A166" s="112">
        <v>45983</v>
      </c>
      <c r="B166" s="104" t="s">
        <v>385</v>
      </c>
      <c r="C166" s="105" t="s">
        <v>386</v>
      </c>
      <c r="D166" s="104" t="s">
        <v>335</v>
      </c>
      <c r="E166" s="113">
        <v>1.493055555555556</v>
      </c>
      <c r="F166" s="104" t="s">
        <v>101</v>
      </c>
      <c r="G166" s="106">
        <v>8</v>
      </c>
      <c r="H166" s="107" t="s">
        <v>387</v>
      </c>
    </row>
    <row r="167" spans="1:8" ht="19.8" customHeight="1" x14ac:dyDescent="0.3">
      <c r="A167" s="120">
        <v>45983</v>
      </c>
      <c r="B167" s="121" t="s">
        <v>77</v>
      </c>
      <c r="C167" s="122" t="s">
        <v>378</v>
      </c>
      <c r="D167" s="121" t="s">
        <v>335</v>
      </c>
      <c r="E167" s="123">
        <v>1.90625</v>
      </c>
      <c r="F167" s="121" t="s">
        <v>101</v>
      </c>
      <c r="G167" s="124">
        <v>4</v>
      </c>
      <c r="H167" s="125" t="s">
        <v>420</v>
      </c>
    </row>
    <row r="168" spans="1:8" ht="19.8" customHeight="1" x14ac:dyDescent="0.3">
      <c r="A168" s="120">
        <v>45983</v>
      </c>
      <c r="B168" s="121" t="s">
        <v>77</v>
      </c>
      <c r="C168" s="122" t="s">
        <v>374</v>
      </c>
      <c r="D168" s="121" t="s">
        <v>335</v>
      </c>
      <c r="E168" s="123">
        <v>1.15625</v>
      </c>
      <c r="F168" s="121" t="s">
        <v>101</v>
      </c>
      <c r="G168" s="124">
        <v>2</v>
      </c>
      <c r="H168" s="125" t="s">
        <v>420</v>
      </c>
    </row>
    <row r="169" spans="1:8" ht="19.8" customHeight="1" x14ac:dyDescent="0.3">
      <c r="A169" s="112">
        <v>45983</v>
      </c>
      <c r="B169" s="104" t="s">
        <v>41</v>
      </c>
      <c r="C169" s="105" t="s">
        <v>340</v>
      </c>
      <c r="D169" s="104" t="s">
        <v>335</v>
      </c>
      <c r="E169" s="113">
        <v>1.399305555555556</v>
      </c>
      <c r="F169" s="104" t="s">
        <v>45</v>
      </c>
      <c r="G169" s="106">
        <v>11</v>
      </c>
      <c r="H169" s="107" t="s">
        <v>143</v>
      </c>
    </row>
    <row r="170" spans="1:8" ht="19.8" customHeight="1" x14ac:dyDescent="0.3">
      <c r="A170" s="112">
        <v>45983</v>
      </c>
      <c r="B170" s="104" t="s">
        <v>41</v>
      </c>
      <c r="C170" s="105" t="s">
        <v>344</v>
      </c>
      <c r="D170" s="104" t="s">
        <v>335</v>
      </c>
      <c r="E170" s="113">
        <v>1.489583333333333</v>
      </c>
      <c r="F170" s="104" t="s">
        <v>45</v>
      </c>
      <c r="G170" s="106">
        <v>8</v>
      </c>
      <c r="H170" s="107" t="s">
        <v>143</v>
      </c>
    </row>
    <row r="171" spans="1:8" ht="19.8" customHeight="1" x14ac:dyDescent="0.3">
      <c r="A171" s="112">
        <v>45983</v>
      </c>
      <c r="B171" s="104" t="s">
        <v>41</v>
      </c>
      <c r="C171" s="105" t="s">
        <v>347</v>
      </c>
      <c r="D171" s="104" t="s">
        <v>335</v>
      </c>
      <c r="E171" s="113">
        <v>1.8888888888888891</v>
      </c>
      <c r="F171" s="104" t="s">
        <v>45</v>
      </c>
      <c r="G171" s="106">
        <v>6</v>
      </c>
      <c r="H171" s="107" t="s">
        <v>143</v>
      </c>
    </row>
    <row r="172" spans="1:8" ht="19.8" customHeight="1" x14ac:dyDescent="0.3">
      <c r="A172" s="112">
        <v>45983</v>
      </c>
      <c r="B172" s="104" t="s">
        <v>41</v>
      </c>
      <c r="C172" s="105" t="s">
        <v>336</v>
      </c>
      <c r="D172" s="104" t="s">
        <v>335</v>
      </c>
      <c r="E172" s="113">
        <v>1.989583333333333</v>
      </c>
      <c r="F172" s="104" t="s">
        <v>45</v>
      </c>
      <c r="G172" s="106">
        <v>11</v>
      </c>
      <c r="H172" s="107" t="s">
        <v>143</v>
      </c>
    </row>
    <row r="173" spans="1:8" ht="19.8" customHeight="1" x14ac:dyDescent="0.3">
      <c r="A173" s="112">
        <v>45983</v>
      </c>
      <c r="B173" s="104" t="s">
        <v>26</v>
      </c>
      <c r="C173" s="105" t="s">
        <v>356</v>
      </c>
      <c r="D173" s="104" t="s">
        <v>335</v>
      </c>
      <c r="E173" s="113">
        <v>1.836805555555556</v>
      </c>
      <c r="F173" s="104" t="s">
        <v>351</v>
      </c>
      <c r="G173" s="106">
        <v>9</v>
      </c>
      <c r="H173" s="107" t="s">
        <v>456</v>
      </c>
    </row>
    <row r="174" spans="1:8" ht="19.8" customHeight="1" x14ac:dyDescent="0.3">
      <c r="A174" s="112">
        <v>45983</v>
      </c>
      <c r="B174" s="104" t="s">
        <v>26</v>
      </c>
      <c r="C174" s="105" t="s">
        <v>356</v>
      </c>
      <c r="D174" s="104" t="s">
        <v>335</v>
      </c>
      <c r="E174" s="113">
        <v>1.836805555555556</v>
      </c>
      <c r="F174" s="104" t="s">
        <v>28</v>
      </c>
      <c r="G174" s="106">
        <v>9</v>
      </c>
      <c r="H174" s="107" t="s">
        <v>456</v>
      </c>
    </row>
    <row r="175" spans="1:8" ht="19.8" customHeight="1" x14ac:dyDescent="0.3">
      <c r="A175" s="112">
        <v>45983</v>
      </c>
      <c r="B175" s="104" t="s">
        <v>388</v>
      </c>
      <c r="C175" s="105" t="s">
        <v>389</v>
      </c>
      <c r="D175" s="104" t="s">
        <v>335</v>
      </c>
      <c r="E175" s="113">
        <v>1.1284722222222221</v>
      </c>
      <c r="F175" s="104" t="s">
        <v>461</v>
      </c>
      <c r="G175" s="106">
        <v>4</v>
      </c>
      <c r="H175" s="107" t="s">
        <v>436</v>
      </c>
    </row>
    <row r="176" spans="1:8" ht="19.8" customHeight="1" x14ac:dyDescent="0.3">
      <c r="A176" s="112">
        <v>45983</v>
      </c>
      <c r="B176" s="104" t="s">
        <v>388</v>
      </c>
      <c r="C176" s="105" t="s">
        <v>462</v>
      </c>
      <c r="D176" s="104" t="s">
        <v>335</v>
      </c>
      <c r="E176" s="113">
        <v>1.055555555555556</v>
      </c>
      <c r="F176" s="104" t="s">
        <v>461</v>
      </c>
      <c r="G176" s="106">
        <v>6</v>
      </c>
      <c r="H176" s="107" t="s">
        <v>436</v>
      </c>
    </row>
    <row r="177" spans="1:8" ht="19.8" customHeight="1" x14ac:dyDescent="0.3">
      <c r="A177" s="112">
        <v>45983</v>
      </c>
      <c r="B177" s="104" t="s">
        <v>388</v>
      </c>
      <c r="C177" s="105" t="s">
        <v>389</v>
      </c>
      <c r="D177" s="104" t="s">
        <v>335</v>
      </c>
      <c r="E177" s="113">
        <v>1.1284722222222221</v>
      </c>
      <c r="F177" s="104" t="s">
        <v>390</v>
      </c>
      <c r="G177" s="106">
        <v>4</v>
      </c>
      <c r="H177" s="107" t="s">
        <v>436</v>
      </c>
    </row>
    <row r="178" spans="1:8" ht="19.8" customHeight="1" x14ac:dyDescent="0.3">
      <c r="A178" s="112">
        <v>45983</v>
      </c>
      <c r="B178" s="104" t="s">
        <v>388</v>
      </c>
      <c r="C178" s="105" t="s">
        <v>462</v>
      </c>
      <c r="D178" s="104" t="s">
        <v>335</v>
      </c>
      <c r="E178" s="113">
        <v>1.055555555555556</v>
      </c>
      <c r="F178" s="104" t="s">
        <v>390</v>
      </c>
      <c r="G178" s="106">
        <v>7</v>
      </c>
      <c r="H178" s="107" t="s">
        <v>436</v>
      </c>
    </row>
    <row r="179" spans="1:8" ht="19.8" customHeight="1" x14ac:dyDescent="0.3">
      <c r="A179" s="112">
        <v>45983</v>
      </c>
      <c r="B179" s="104" t="s">
        <v>26</v>
      </c>
      <c r="C179" s="105" t="s">
        <v>354</v>
      </c>
      <c r="D179" s="104" t="s">
        <v>335</v>
      </c>
      <c r="E179" s="113">
        <v>1.3472222222222221</v>
      </c>
      <c r="F179" s="104" t="s">
        <v>31</v>
      </c>
      <c r="G179" s="106">
        <v>1</v>
      </c>
      <c r="H179" s="107" t="s">
        <v>35</v>
      </c>
    </row>
    <row r="180" spans="1:8" ht="19.8" customHeight="1" x14ac:dyDescent="0.3">
      <c r="A180" s="112">
        <v>45983</v>
      </c>
      <c r="B180" s="104" t="s">
        <v>26</v>
      </c>
      <c r="C180" s="105" t="s">
        <v>350</v>
      </c>
      <c r="D180" s="104" t="s">
        <v>335</v>
      </c>
      <c r="E180" s="113">
        <v>1.993055555555556</v>
      </c>
      <c r="F180" s="104" t="s">
        <v>31</v>
      </c>
      <c r="G180" s="106">
        <v>1</v>
      </c>
      <c r="H180" s="107" t="s">
        <v>35</v>
      </c>
    </row>
    <row r="181" spans="1:8" ht="19.8" customHeight="1" x14ac:dyDescent="0.3">
      <c r="A181" s="112">
        <v>45983</v>
      </c>
      <c r="B181" s="104" t="s">
        <v>26</v>
      </c>
      <c r="C181" s="105" t="s">
        <v>359</v>
      </c>
      <c r="D181" s="104" t="s">
        <v>335</v>
      </c>
      <c r="E181" s="113">
        <v>1.75</v>
      </c>
      <c r="F181" s="104" t="s">
        <v>31</v>
      </c>
      <c r="G181" s="106">
        <v>5</v>
      </c>
      <c r="H181" s="107" t="s">
        <v>35</v>
      </c>
    </row>
    <row r="182" spans="1:8" ht="19.8" customHeight="1" x14ac:dyDescent="0.3">
      <c r="A182" s="112">
        <v>45983</v>
      </c>
      <c r="B182" s="104" t="s">
        <v>26</v>
      </c>
      <c r="C182" s="105" t="s">
        <v>352</v>
      </c>
      <c r="D182" s="104" t="s">
        <v>335</v>
      </c>
      <c r="E182" s="113">
        <v>1.944444444444444</v>
      </c>
      <c r="F182" s="104" t="s">
        <v>31</v>
      </c>
      <c r="G182" s="106">
        <v>9</v>
      </c>
      <c r="H182" s="107" t="s">
        <v>35</v>
      </c>
    </row>
    <row r="183" spans="1:8" ht="19.8" customHeight="1" x14ac:dyDescent="0.3">
      <c r="A183" s="112">
        <v>45983</v>
      </c>
      <c r="B183" s="104" t="s">
        <v>26</v>
      </c>
      <c r="C183" s="105" t="s">
        <v>360</v>
      </c>
      <c r="D183" s="104" t="s">
        <v>335</v>
      </c>
      <c r="E183" s="113">
        <v>1.4861111111111109</v>
      </c>
      <c r="F183" s="104" t="s">
        <v>31</v>
      </c>
      <c r="G183" s="106">
        <v>4</v>
      </c>
      <c r="H183" s="107" t="s">
        <v>35</v>
      </c>
    </row>
    <row r="184" spans="1:8" ht="19.8" customHeight="1" x14ac:dyDescent="0.3">
      <c r="A184" s="112">
        <v>45983</v>
      </c>
      <c r="B184" s="104" t="s">
        <v>26</v>
      </c>
      <c r="C184" s="105" t="s">
        <v>358</v>
      </c>
      <c r="D184" s="104" t="s">
        <v>335</v>
      </c>
      <c r="E184" s="113">
        <v>1.8888888888888891</v>
      </c>
      <c r="F184" s="104" t="s">
        <v>31</v>
      </c>
      <c r="G184" s="106">
        <v>9</v>
      </c>
      <c r="H184" s="107" t="s">
        <v>35</v>
      </c>
    </row>
    <row r="185" spans="1:8" ht="19.8" customHeight="1" x14ac:dyDescent="0.3">
      <c r="A185" s="112">
        <v>45983</v>
      </c>
      <c r="B185" s="104" t="s">
        <v>26</v>
      </c>
      <c r="C185" s="105" t="s">
        <v>356</v>
      </c>
      <c r="D185" s="104" t="s">
        <v>335</v>
      </c>
      <c r="E185" s="113">
        <v>1.836805555555556</v>
      </c>
      <c r="F185" s="104" t="s">
        <v>31</v>
      </c>
      <c r="G185" s="106">
        <v>9</v>
      </c>
      <c r="H185" s="107" t="s">
        <v>145</v>
      </c>
    </row>
    <row r="186" spans="1:8" ht="19.8" customHeight="1" x14ac:dyDescent="0.3">
      <c r="A186" s="112">
        <v>45983</v>
      </c>
      <c r="B186" s="104" t="s">
        <v>26</v>
      </c>
      <c r="C186" s="105" t="s">
        <v>354</v>
      </c>
      <c r="D186" s="104" t="s">
        <v>335</v>
      </c>
      <c r="E186" s="113">
        <v>1.3472222222222221</v>
      </c>
      <c r="F186" s="104" t="s">
        <v>34</v>
      </c>
      <c r="G186" s="106">
        <v>1</v>
      </c>
      <c r="H186" s="107" t="s">
        <v>123</v>
      </c>
    </row>
    <row r="187" spans="1:8" ht="19.8" customHeight="1" x14ac:dyDescent="0.3">
      <c r="A187" s="112">
        <v>45983</v>
      </c>
      <c r="B187" s="104" t="s">
        <v>26</v>
      </c>
      <c r="C187" s="105" t="s">
        <v>350</v>
      </c>
      <c r="D187" s="104" t="s">
        <v>335</v>
      </c>
      <c r="E187" s="113">
        <v>1.993055555555556</v>
      </c>
      <c r="F187" s="104" t="s">
        <v>34</v>
      </c>
      <c r="G187" s="106">
        <v>1</v>
      </c>
      <c r="H187" s="107" t="s">
        <v>123</v>
      </c>
    </row>
    <row r="188" spans="1:8" ht="19.8" customHeight="1" x14ac:dyDescent="0.3">
      <c r="A188" s="112">
        <v>45983</v>
      </c>
      <c r="B188" s="104" t="s">
        <v>26</v>
      </c>
      <c r="C188" s="105" t="s">
        <v>359</v>
      </c>
      <c r="D188" s="104" t="s">
        <v>335</v>
      </c>
      <c r="E188" s="113">
        <v>1.75</v>
      </c>
      <c r="F188" s="104" t="s">
        <v>34</v>
      </c>
      <c r="G188" s="106">
        <v>5</v>
      </c>
      <c r="H188" s="107" t="s">
        <v>123</v>
      </c>
    </row>
    <row r="189" spans="1:8" ht="19.8" customHeight="1" x14ac:dyDescent="0.3">
      <c r="A189" s="112">
        <v>45983</v>
      </c>
      <c r="B189" s="104" t="s">
        <v>26</v>
      </c>
      <c r="C189" s="105" t="s">
        <v>352</v>
      </c>
      <c r="D189" s="104" t="s">
        <v>335</v>
      </c>
      <c r="E189" s="113">
        <v>1.944444444444444</v>
      </c>
      <c r="F189" s="104" t="s">
        <v>34</v>
      </c>
      <c r="G189" s="106">
        <v>9</v>
      </c>
      <c r="H189" s="107" t="s">
        <v>123</v>
      </c>
    </row>
    <row r="190" spans="1:8" ht="19.8" customHeight="1" x14ac:dyDescent="0.3">
      <c r="A190" s="112">
        <v>45983</v>
      </c>
      <c r="B190" s="104" t="s">
        <v>26</v>
      </c>
      <c r="C190" s="105" t="s">
        <v>360</v>
      </c>
      <c r="D190" s="104" t="s">
        <v>335</v>
      </c>
      <c r="E190" s="113">
        <v>1.4861111111111109</v>
      </c>
      <c r="F190" s="104" t="s">
        <v>34</v>
      </c>
      <c r="G190" s="106">
        <v>4</v>
      </c>
      <c r="H190" s="107" t="s">
        <v>123</v>
      </c>
    </row>
    <row r="191" spans="1:8" ht="19.8" customHeight="1" x14ac:dyDescent="0.3">
      <c r="A191" s="112">
        <v>45983</v>
      </c>
      <c r="B191" s="104" t="s">
        <v>26</v>
      </c>
      <c r="C191" s="105" t="s">
        <v>358</v>
      </c>
      <c r="D191" s="104" t="s">
        <v>335</v>
      </c>
      <c r="E191" s="113">
        <v>1.8888888888888891</v>
      </c>
      <c r="F191" s="104" t="s">
        <v>34</v>
      </c>
      <c r="G191" s="106">
        <v>9</v>
      </c>
      <c r="H191" s="107" t="s">
        <v>123</v>
      </c>
    </row>
    <row r="192" spans="1:8" ht="19.8" customHeight="1" x14ac:dyDescent="0.3">
      <c r="A192" s="112">
        <v>45983</v>
      </c>
      <c r="B192" s="104" t="s">
        <v>41</v>
      </c>
      <c r="C192" s="105" t="s">
        <v>340</v>
      </c>
      <c r="D192" s="104" t="s">
        <v>335</v>
      </c>
      <c r="E192" s="113">
        <v>1.399305555555556</v>
      </c>
      <c r="F192" s="104" t="s">
        <v>46</v>
      </c>
      <c r="G192" s="106">
        <v>11</v>
      </c>
      <c r="H192" s="107" t="s">
        <v>47</v>
      </c>
    </row>
    <row r="193" spans="1:8" ht="19.8" customHeight="1" x14ac:dyDescent="0.3">
      <c r="A193" s="112">
        <v>45983</v>
      </c>
      <c r="B193" s="104" t="s">
        <v>41</v>
      </c>
      <c r="C193" s="105" t="s">
        <v>344</v>
      </c>
      <c r="D193" s="104" t="s">
        <v>335</v>
      </c>
      <c r="E193" s="113">
        <v>1.489583333333333</v>
      </c>
      <c r="F193" s="104" t="s">
        <v>46</v>
      </c>
      <c r="G193" s="106">
        <v>8</v>
      </c>
      <c r="H193" s="107" t="s">
        <v>47</v>
      </c>
    </row>
    <row r="194" spans="1:8" ht="19.8" customHeight="1" x14ac:dyDescent="0.3">
      <c r="A194" s="112">
        <v>45983</v>
      </c>
      <c r="B194" s="104" t="s">
        <v>41</v>
      </c>
      <c r="C194" s="105" t="s">
        <v>336</v>
      </c>
      <c r="D194" s="104" t="s">
        <v>335</v>
      </c>
      <c r="E194" s="113">
        <v>1.989583333333333</v>
      </c>
      <c r="F194" s="104" t="s">
        <v>46</v>
      </c>
      <c r="G194" s="106">
        <v>11</v>
      </c>
      <c r="H194" s="107" t="s">
        <v>47</v>
      </c>
    </row>
    <row r="195" spans="1:8" ht="19.8" customHeight="1" x14ac:dyDescent="0.3">
      <c r="A195" s="112">
        <v>45983</v>
      </c>
      <c r="B195" s="104" t="s">
        <v>48</v>
      </c>
      <c r="C195" s="105" t="s">
        <v>463</v>
      </c>
      <c r="D195" s="104" t="s">
        <v>335</v>
      </c>
      <c r="E195" s="113">
        <v>1.368055555555556</v>
      </c>
      <c r="F195" s="104" t="s">
        <v>50</v>
      </c>
      <c r="G195" s="106">
        <v>9</v>
      </c>
      <c r="H195" s="107" t="s">
        <v>441</v>
      </c>
    </row>
    <row r="196" spans="1:8" ht="19.8" customHeight="1" x14ac:dyDescent="0.3">
      <c r="A196" s="112">
        <v>45983</v>
      </c>
      <c r="B196" s="104" t="s">
        <v>48</v>
      </c>
      <c r="C196" s="105" t="s">
        <v>406</v>
      </c>
      <c r="D196" s="104" t="s">
        <v>335</v>
      </c>
      <c r="E196" s="113">
        <v>1.7847222222222221</v>
      </c>
      <c r="F196" s="104" t="s">
        <v>50</v>
      </c>
      <c r="G196" s="106">
        <v>9</v>
      </c>
      <c r="H196" s="107" t="s">
        <v>441</v>
      </c>
    </row>
    <row r="197" spans="1:8" ht="19.8" customHeight="1" x14ac:dyDescent="0.3">
      <c r="A197" s="112">
        <v>45983</v>
      </c>
      <c r="B197" s="104" t="s">
        <v>48</v>
      </c>
      <c r="C197" s="105" t="s">
        <v>415</v>
      </c>
      <c r="D197" s="104" t="s">
        <v>335</v>
      </c>
      <c r="E197" s="113">
        <v>1.0486111111111109</v>
      </c>
      <c r="F197" s="104" t="s">
        <v>50</v>
      </c>
      <c r="G197" s="106">
        <v>9</v>
      </c>
      <c r="H197" s="107" t="s">
        <v>441</v>
      </c>
    </row>
    <row r="198" spans="1:8" ht="19.8" customHeight="1" x14ac:dyDescent="0.3">
      <c r="A198" s="112">
        <v>45983</v>
      </c>
      <c r="B198" s="104" t="s">
        <v>48</v>
      </c>
      <c r="C198" s="105" t="s">
        <v>413</v>
      </c>
      <c r="D198" s="104" t="s">
        <v>335</v>
      </c>
      <c r="E198" s="113">
        <v>1.836805555555556</v>
      </c>
      <c r="F198" s="104" t="s">
        <v>50</v>
      </c>
      <c r="G198" s="106">
        <v>9</v>
      </c>
      <c r="H198" s="107" t="s">
        <v>442</v>
      </c>
    </row>
    <row r="199" spans="1:8" ht="19.8" customHeight="1" x14ac:dyDescent="0.3">
      <c r="A199" s="112">
        <v>45983</v>
      </c>
      <c r="B199" s="104" t="s">
        <v>26</v>
      </c>
      <c r="C199" s="105" t="s">
        <v>356</v>
      </c>
      <c r="D199" s="104" t="s">
        <v>335</v>
      </c>
      <c r="E199" s="113">
        <v>1.836805555555556</v>
      </c>
      <c r="F199" s="104" t="s">
        <v>34</v>
      </c>
      <c r="G199" s="106">
        <v>9</v>
      </c>
      <c r="H199" s="107" t="s">
        <v>457</v>
      </c>
    </row>
    <row r="200" spans="1:8" ht="19.8" customHeight="1" x14ac:dyDescent="0.3">
      <c r="A200" s="112">
        <v>45983</v>
      </c>
      <c r="B200" s="104" t="s">
        <v>48</v>
      </c>
      <c r="C200" s="105" t="s">
        <v>412</v>
      </c>
      <c r="D200" s="104" t="s">
        <v>335</v>
      </c>
      <c r="E200" s="113">
        <v>1.5972222222222221</v>
      </c>
      <c r="F200" s="104" t="s">
        <v>50</v>
      </c>
      <c r="G200" s="106">
        <v>9</v>
      </c>
      <c r="H200" s="107" t="s">
        <v>443</v>
      </c>
    </row>
    <row r="201" spans="1:8" ht="19.8" customHeight="1" x14ac:dyDescent="0.3">
      <c r="A201" s="112">
        <v>45983</v>
      </c>
      <c r="B201" s="104" t="s">
        <v>388</v>
      </c>
      <c r="C201" s="105" t="s">
        <v>389</v>
      </c>
      <c r="D201" s="104" t="s">
        <v>335</v>
      </c>
      <c r="E201" s="113">
        <v>1.1284722222222221</v>
      </c>
      <c r="F201" s="104" t="s">
        <v>46</v>
      </c>
      <c r="G201" s="106">
        <v>4</v>
      </c>
      <c r="H201" s="107" t="s">
        <v>437</v>
      </c>
    </row>
    <row r="202" spans="1:8" ht="19.8" customHeight="1" x14ac:dyDescent="0.3">
      <c r="A202" s="112">
        <v>45983</v>
      </c>
      <c r="B202" s="104" t="s">
        <v>388</v>
      </c>
      <c r="C202" s="105" t="s">
        <v>462</v>
      </c>
      <c r="D202" s="104" t="s">
        <v>335</v>
      </c>
      <c r="E202" s="113">
        <v>1.055555555555556</v>
      </c>
      <c r="F202" s="104" t="s">
        <v>46</v>
      </c>
      <c r="G202" s="106">
        <v>7</v>
      </c>
      <c r="H202" s="107" t="s">
        <v>437</v>
      </c>
    </row>
    <row r="203" spans="1:8" ht="19.8" customHeight="1" x14ac:dyDescent="0.3">
      <c r="A203" s="112">
        <v>45983</v>
      </c>
      <c r="B203" s="104" t="s">
        <v>60</v>
      </c>
      <c r="C203" s="105" t="s">
        <v>446</v>
      </c>
      <c r="D203" s="104" t="s">
        <v>335</v>
      </c>
      <c r="E203" s="113">
        <v>1.489583333333333</v>
      </c>
      <c r="F203" s="104" t="s">
        <v>65</v>
      </c>
      <c r="G203" s="106">
        <v>2</v>
      </c>
      <c r="H203" s="107" t="s">
        <v>394</v>
      </c>
    </row>
    <row r="204" spans="1:8" ht="19.8" customHeight="1" x14ac:dyDescent="0.3">
      <c r="A204" s="112">
        <v>45983</v>
      </c>
      <c r="B204" s="104" t="s">
        <v>60</v>
      </c>
      <c r="C204" s="105" t="s">
        <v>403</v>
      </c>
      <c r="D204" s="104" t="s">
        <v>335</v>
      </c>
      <c r="E204" s="113">
        <v>1.7048611111111109</v>
      </c>
      <c r="F204" s="104" t="s">
        <v>65</v>
      </c>
      <c r="G204" s="106">
        <v>1</v>
      </c>
      <c r="H204" s="107" t="s">
        <v>394</v>
      </c>
    </row>
    <row r="205" spans="1:8" ht="19.8" customHeight="1" x14ac:dyDescent="0.3">
      <c r="A205" s="112">
        <v>45983</v>
      </c>
      <c r="B205" s="104" t="s">
        <v>60</v>
      </c>
      <c r="C205" s="105" t="s">
        <v>393</v>
      </c>
      <c r="D205" s="104" t="s">
        <v>335</v>
      </c>
      <c r="E205" s="113">
        <v>1.2534722222222221</v>
      </c>
      <c r="F205" s="104" t="s">
        <v>65</v>
      </c>
      <c r="G205" s="106">
        <v>9</v>
      </c>
      <c r="H205" s="107" t="s">
        <v>394</v>
      </c>
    </row>
    <row r="206" spans="1:8" ht="19.8" customHeight="1" x14ac:dyDescent="0.3">
      <c r="A206" s="112">
        <v>45983</v>
      </c>
      <c r="B206" s="104" t="s">
        <v>60</v>
      </c>
      <c r="C206" s="105" t="s">
        <v>445</v>
      </c>
      <c r="D206" s="104" t="s">
        <v>335</v>
      </c>
      <c r="E206" s="113">
        <v>1.9409722222222221</v>
      </c>
      <c r="F206" s="104" t="s">
        <v>65</v>
      </c>
      <c r="G206" s="106">
        <v>8</v>
      </c>
      <c r="H206" s="107" t="s">
        <v>394</v>
      </c>
    </row>
    <row r="207" spans="1:8" ht="19.8" customHeight="1" x14ac:dyDescent="0.3">
      <c r="A207" s="112">
        <v>45983</v>
      </c>
      <c r="B207" s="104" t="s">
        <v>48</v>
      </c>
      <c r="C207" s="105" t="s">
        <v>411</v>
      </c>
      <c r="D207" s="104" t="s">
        <v>335</v>
      </c>
      <c r="E207" s="113">
        <v>1.104166666666667</v>
      </c>
      <c r="F207" s="104" t="s">
        <v>50</v>
      </c>
      <c r="G207" s="106">
        <v>9</v>
      </c>
      <c r="H207" s="107" t="s">
        <v>407</v>
      </c>
    </row>
    <row r="208" spans="1:8" ht="19.8" customHeight="1" x14ac:dyDescent="0.3">
      <c r="A208" s="112">
        <v>45983</v>
      </c>
      <c r="B208" s="104" t="s">
        <v>60</v>
      </c>
      <c r="C208" s="105" t="s">
        <v>395</v>
      </c>
      <c r="D208" s="104" t="s">
        <v>335</v>
      </c>
      <c r="E208" s="113">
        <v>1.989583333333333</v>
      </c>
      <c r="F208" s="104" t="s">
        <v>65</v>
      </c>
      <c r="G208" s="106">
        <v>4</v>
      </c>
      <c r="H208" s="107" t="s">
        <v>396</v>
      </c>
    </row>
    <row r="209" spans="1:8" ht="19.8" customHeight="1" x14ac:dyDescent="0.3">
      <c r="A209" s="112">
        <v>45983</v>
      </c>
      <c r="B209" s="104" t="s">
        <v>60</v>
      </c>
      <c r="C209" s="105" t="s">
        <v>397</v>
      </c>
      <c r="D209" s="104" t="s">
        <v>335</v>
      </c>
      <c r="E209" s="113">
        <v>1.399305555555556</v>
      </c>
      <c r="F209" s="104" t="s">
        <v>65</v>
      </c>
      <c r="G209" s="106">
        <v>4</v>
      </c>
      <c r="H209" s="107" t="s">
        <v>396</v>
      </c>
    </row>
    <row r="210" spans="1:8" ht="19.8" customHeight="1" x14ac:dyDescent="0.3">
      <c r="A210" s="112">
        <v>45983</v>
      </c>
      <c r="B210" s="104" t="s">
        <v>60</v>
      </c>
      <c r="C210" s="105" t="s">
        <v>398</v>
      </c>
      <c r="D210" s="104" t="s">
        <v>335</v>
      </c>
      <c r="E210" s="113">
        <v>1.489583333333333</v>
      </c>
      <c r="F210" s="104" t="s">
        <v>65</v>
      </c>
      <c r="G210" s="106">
        <v>4</v>
      </c>
      <c r="H210" s="107" t="s">
        <v>396</v>
      </c>
    </row>
    <row r="211" spans="1:8" ht="19.8" customHeight="1" x14ac:dyDescent="0.3">
      <c r="A211" s="112">
        <v>45983</v>
      </c>
      <c r="B211" s="104" t="s">
        <v>60</v>
      </c>
      <c r="C211" s="105" t="s">
        <v>399</v>
      </c>
      <c r="D211" s="104" t="s">
        <v>335</v>
      </c>
      <c r="E211" s="113">
        <v>1.8888888888888891</v>
      </c>
      <c r="F211" s="104" t="s">
        <v>65</v>
      </c>
      <c r="G211" s="106">
        <v>4</v>
      </c>
      <c r="H211" s="107" t="s">
        <v>396</v>
      </c>
    </row>
    <row r="212" spans="1:8" ht="19.8" customHeight="1" x14ac:dyDescent="0.3">
      <c r="A212" s="112">
        <v>45983</v>
      </c>
      <c r="B212" s="104" t="s">
        <v>41</v>
      </c>
      <c r="C212" s="105" t="s">
        <v>347</v>
      </c>
      <c r="D212" s="104" t="s">
        <v>335</v>
      </c>
      <c r="E212" s="113">
        <v>1.8888888888888891</v>
      </c>
      <c r="F212" s="104" t="s">
        <v>46</v>
      </c>
      <c r="G212" s="106">
        <v>6</v>
      </c>
      <c r="H212" s="107" t="s">
        <v>120</v>
      </c>
    </row>
    <row r="213" spans="1:8" ht="19.8" customHeight="1" x14ac:dyDescent="0.3">
      <c r="A213" s="112">
        <v>45983</v>
      </c>
      <c r="B213" s="104" t="s">
        <v>60</v>
      </c>
      <c r="C213" s="105" t="s">
        <v>400</v>
      </c>
      <c r="D213" s="104" t="s">
        <v>335</v>
      </c>
      <c r="E213" s="113">
        <v>1.8298611111111109</v>
      </c>
      <c r="F213" s="104" t="s">
        <v>65</v>
      </c>
      <c r="G213" s="106">
        <v>9</v>
      </c>
      <c r="H213" s="107" t="s">
        <v>465</v>
      </c>
    </row>
    <row r="214" spans="1:8" ht="19.8" customHeight="1" x14ac:dyDescent="0.3">
      <c r="A214" s="112">
        <v>45983</v>
      </c>
      <c r="B214" s="104" t="s">
        <v>48</v>
      </c>
      <c r="C214" s="105" t="s">
        <v>410</v>
      </c>
      <c r="D214" s="104" t="s">
        <v>335</v>
      </c>
      <c r="E214" s="113">
        <v>1.9722222222222221</v>
      </c>
      <c r="F214" s="104" t="s">
        <v>50</v>
      </c>
      <c r="G214" s="106">
        <v>9</v>
      </c>
      <c r="H214" s="107" t="s">
        <v>464</v>
      </c>
    </row>
    <row r="215" spans="1:8" ht="19.8" customHeight="1" x14ac:dyDescent="0.3">
      <c r="A215" s="112">
        <v>45983</v>
      </c>
      <c r="B215" s="104" t="s">
        <v>60</v>
      </c>
      <c r="C215" s="105" t="s">
        <v>402</v>
      </c>
      <c r="D215" s="104" t="s">
        <v>335</v>
      </c>
      <c r="E215" s="113">
        <v>1.118055555555556</v>
      </c>
      <c r="F215" s="104" t="s">
        <v>65</v>
      </c>
      <c r="G215" s="106">
        <v>1</v>
      </c>
      <c r="H215" s="107" t="s">
        <v>401</v>
      </c>
    </row>
    <row r="216" spans="1:8" ht="19.8" customHeight="1" x14ac:dyDescent="0.3">
      <c r="A216" s="112">
        <v>45983</v>
      </c>
      <c r="B216" s="104" t="s">
        <v>48</v>
      </c>
      <c r="C216" s="105" t="s">
        <v>408</v>
      </c>
      <c r="D216" s="104" t="s">
        <v>335</v>
      </c>
      <c r="E216" s="113">
        <v>1.3125</v>
      </c>
      <c r="F216" s="104" t="s">
        <v>50</v>
      </c>
      <c r="G216" s="106">
        <v>6</v>
      </c>
      <c r="H216" s="107" t="s">
        <v>409</v>
      </c>
    </row>
    <row r="217" spans="1:8" ht="19.8" customHeight="1" x14ac:dyDescent="0.3">
      <c r="A217" s="112">
        <v>45983</v>
      </c>
      <c r="B217" s="104" t="s">
        <v>60</v>
      </c>
      <c r="C217" s="105" t="s">
        <v>404</v>
      </c>
      <c r="D217" s="104" t="s">
        <v>335</v>
      </c>
      <c r="E217" s="113">
        <v>1.7222222222222221</v>
      </c>
      <c r="F217" s="104" t="s">
        <v>65</v>
      </c>
      <c r="G217" s="106">
        <v>2</v>
      </c>
      <c r="H217" s="107" t="s">
        <v>466</v>
      </c>
    </row>
    <row r="218" spans="1:8" ht="19.8" customHeight="1" x14ac:dyDescent="0.3">
      <c r="A218" s="126">
        <v>45983</v>
      </c>
      <c r="B218" s="109" t="s">
        <v>77</v>
      </c>
      <c r="C218" s="110" t="s">
        <v>383</v>
      </c>
      <c r="D218" s="109" t="s">
        <v>335</v>
      </c>
      <c r="E218" s="127">
        <v>1.5034722222222221</v>
      </c>
      <c r="F218" s="109" t="s">
        <v>79</v>
      </c>
      <c r="G218" s="109"/>
      <c r="H218" s="111" t="s">
        <v>80</v>
      </c>
    </row>
    <row r="219" spans="1:8" ht="19.8" customHeight="1" x14ac:dyDescent="0.3">
      <c r="A219" s="112">
        <v>45984</v>
      </c>
      <c r="B219" s="104" t="s">
        <v>41</v>
      </c>
      <c r="C219" s="105" t="s">
        <v>340</v>
      </c>
      <c r="D219" s="104" t="s">
        <v>335</v>
      </c>
      <c r="E219" s="113">
        <v>1.399305555555556</v>
      </c>
      <c r="F219" s="104" t="s">
        <v>43</v>
      </c>
      <c r="G219" s="106">
        <v>4</v>
      </c>
      <c r="H219" s="107" t="s">
        <v>342</v>
      </c>
    </row>
    <row r="220" spans="1:8" ht="19.8" customHeight="1" x14ac:dyDescent="0.3">
      <c r="A220" s="112">
        <v>45984</v>
      </c>
      <c r="B220" s="104" t="s">
        <v>41</v>
      </c>
      <c r="C220" s="105" t="s">
        <v>344</v>
      </c>
      <c r="D220" s="104" t="s">
        <v>335</v>
      </c>
      <c r="E220" s="113">
        <v>1.489583333333333</v>
      </c>
      <c r="F220" s="104" t="s">
        <v>337</v>
      </c>
      <c r="G220" s="106">
        <v>10</v>
      </c>
      <c r="H220" s="107" t="s">
        <v>342</v>
      </c>
    </row>
    <row r="221" spans="1:8" ht="19.8" customHeight="1" x14ac:dyDescent="0.3">
      <c r="A221" s="112">
        <v>45984</v>
      </c>
      <c r="B221" s="104" t="s">
        <v>41</v>
      </c>
      <c r="C221" s="105" t="s">
        <v>344</v>
      </c>
      <c r="D221" s="104" t="s">
        <v>335</v>
      </c>
      <c r="E221" s="113">
        <v>1.489583333333333</v>
      </c>
      <c r="F221" s="104" t="s">
        <v>43</v>
      </c>
      <c r="G221" s="106">
        <v>10</v>
      </c>
      <c r="H221" s="107" t="s">
        <v>342</v>
      </c>
    </row>
    <row r="222" spans="1:8" ht="19.8" customHeight="1" x14ac:dyDescent="0.3">
      <c r="A222" s="112">
        <v>45984</v>
      </c>
      <c r="B222" s="104" t="s">
        <v>26</v>
      </c>
      <c r="C222" s="105" t="s">
        <v>354</v>
      </c>
      <c r="D222" s="104" t="s">
        <v>335</v>
      </c>
      <c r="E222" s="113">
        <v>1.3472222222222221</v>
      </c>
      <c r="F222" s="104" t="s">
        <v>28</v>
      </c>
      <c r="G222" s="106">
        <v>3</v>
      </c>
      <c r="H222" s="107" t="s">
        <v>93</v>
      </c>
    </row>
    <row r="223" spans="1:8" ht="19.8" customHeight="1" x14ac:dyDescent="0.3">
      <c r="A223" s="112">
        <v>45984</v>
      </c>
      <c r="B223" s="104" t="s">
        <v>26</v>
      </c>
      <c r="C223" s="105" t="s">
        <v>350</v>
      </c>
      <c r="D223" s="104" t="s">
        <v>335</v>
      </c>
      <c r="E223" s="113">
        <v>1.993055555555556</v>
      </c>
      <c r="F223" s="104" t="s">
        <v>28</v>
      </c>
      <c r="G223" s="106">
        <v>3</v>
      </c>
      <c r="H223" s="107" t="s">
        <v>93</v>
      </c>
    </row>
    <row r="224" spans="1:8" ht="19.8" customHeight="1" x14ac:dyDescent="0.3">
      <c r="A224" s="112">
        <v>45984</v>
      </c>
      <c r="B224" s="104" t="s">
        <v>26</v>
      </c>
      <c r="C224" s="105" t="s">
        <v>352</v>
      </c>
      <c r="D224" s="104" t="s">
        <v>335</v>
      </c>
      <c r="E224" s="113">
        <v>1.944444444444444</v>
      </c>
      <c r="F224" s="104" t="s">
        <v>351</v>
      </c>
      <c r="G224" s="106">
        <v>8</v>
      </c>
      <c r="H224" s="107" t="s">
        <v>93</v>
      </c>
    </row>
    <row r="225" spans="1:8" ht="19.8" customHeight="1" x14ac:dyDescent="0.3">
      <c r="A225" s="112">
        <v>45984</v>
      </c>
      <c r="B225" s="104" t="s">
        <v>26</v>
      </c>
      <c r="C225" s="105" t="s">
        <v>352</v>
      </c>
      <c r="D225" s="104" t="s">
        <v>335</v>
      </c>
      <c r="E225" s="113">
        <v>1.944444444444444</v>
      </c>
      <c r="F225" s="104" t="s">
        <v>28</v>
      </c>
      <c r="G225" s="106">
        <v>8</v>
      </c>
      <c r="H225" s="107" t="s">
        <v>93</v>
      </c>
    </row>
    <row r="226" spans="1:8" ht="19.8" customHeight="1" x14ac:dyDescent="0.3">
      <c r="A226" s="112">
        <v>45984</v>
      </c>
      <c r="B226" s="104" t="s">
        <v>26</v>
      </c>
      <c r="C226" s="105" t="s">
        <v>360</v>
      </c>
      <c r="D226" s="104" t="s">
        <v>335</v>
      </c>
      <c r="E226" s="113">
        <v>1.4861111111111109</v>
      </c>
      <c r="F226" s="104" t="s">
        <v>351</v>
      </c>
      <c r="G226" s="106">
        <v>1</v>
      </c>
      <c r="H226" s="107" t="s">
        <v>93</v>
      </c>
    </row>
    <row r="227" spans="1:8" ht="19.8" customHeight="1" x14ac:dyDescent="0.3">
      <c r="A227" s="112">
        <v>45984</v>
      </c>
      <c r="B227" s="104" t="s">
        <v>26</v>
      </c>
      <c r="C227" s="105" t="s">
        <v>360</v>
      </c>
      <c r="D227" s="104" t="s">
        <v>335</v>
      </c>
      <c r="E227" s="113">
        <v>1.4861111111111109</v>
      </c>
      <c r="F227" s="104" t="s">
        <v>28</v>
      </c>
      <c r="G227" s="106">
        <v>1</v>
      </c>
      <c r="H227" s="107" t="s">
        <v>93</v>
      </c>
    </row>
    <row r="228" spans="1:8" ht="19.8" customHeight="1" x14ac:dyDescent="0.3">
      <c r="A228" s="112">
        <v>45984</v>
      </c>
      <c r="B228" s="104" t="s">
        <v>26</v>
      </c>
      <c r="C228" s="105" t="s">
        <v>358</v>
      </c>
      <c r="D228" s="104" t="s">
        <v>335</v>
      </c>
      <c r="E228" s="113">
        <v>1.8888888888888891</v>
      </c>
      <c r="F228" s="104" t="s">
        <v>351</v>
      </c>
      <c r="G228" s="106">
        <v>1</v>
      </c>
      <c r="H228" s="107" t="s">
        <v>93</v>
      </c>
    </row>
    <row r="229" spans="1:8" ht="19.8" customHeight="1" x14ac:dyDescent="0.3">
      <c r="A229" s="112">
        <v>45984</v>
      </c>
      <c r="B229" s="104" t="s">
        <v>26</v>
      </c>
      <c r="C229" s="105" t="s">
        <v>358</v>
      </c>
      <c r="D229" s="104" t="s">
        <v>335</v>
      </c>
      <c r="E229" s="113">
        <v>1.8888888888888891</v>
      </c>
      <c r="F229" s="104" t="s">
        <v>28</v>
      </c>
      <c r="G229" s="106">
        <v>1</v>
      </c>
      <c r="H229" s="107" t="s">
        <v>93</v>
      </c>
    </row>
    <row r="230" spans="1:8" ht="19.8" customHeight="1" x14ac:dyDescent="0.3">
      <c r="A230" s="112">
        <v>45984</v>
      </c>
      <c r="B230" s="104" t="s">
        <v>41</v>
      </c>
      <c r="C230" s="105" t="s">
        <v>347</v>
      </c>
      <c r="D230" s="104" t="s">
        <v>335</v>
      </c>
      <c r="E230" s="113">
        <v>1.8888888888888891</v>
      </c>
      <c r="F230" s="104" t="s">
        <v>337</v>
      </c>
      <c r="G230" s="106">
        <v>10</v>
      </c>
      <c r="H230" s="107" t="s">
        <v>431</v>
      </c>
    </row>
    <row r="231" spans="1:8" ht="19.8" customHeight="1" x14ac:dyDescent="0.3">
      <c r="A231" s="112">
        <v>45984</v>
      </c>
      <c r="B231" s="104" t="s">
        <v>41</v>
      </c>
      <c r="C231" s="105" t="s">
        <v>347</v>
      </c>
      <c r="D231" s="104" t="s">
        <v>335</v>
      </c>
      <c r="E231" s="113">
        <v>1.8888888888888891</v>
      </c>
      <c r="F231" s="104" t="s">
        <v>43</v>
      </c>
      <c r="G231" s="106">
        <v>10</v>
      </c>
      <c r="H231" s="107" t="s">
        <v>431</v>
      </c>
    </row>
    <row r="232" spans="1:8" ht="19.8" customHeight="1" x14ac:dyDescent="0.3">
      <c r="A232" s="112">
        <v>45984</v>
      </c>
      <c r="B232" s="104" t="s">
        <v>41</v>
      </c>
      <c r="C232" s="105" t="s">
        <v>336</v>
      </c>
      <c r="D232" s="104" t="s">
        <v>335</v>
      </c>
      <c r="E232" s="113">
        <v>1.989583333333333</v>
      </c>
      <c r="F232" s="104" t="s">
        <v>337</v>
      </c>
      <c r="G232" s="106">
        <v>7</v>
      </c>
      <c r="H232" s="107" t="s">
        <v>431</v>
      </c>
    </row>
    <row r="233" spans="1:8" ht="19.8" customHeight="1" x14ac:dyDescent="0.3">
      <c r="A233" s="112">
        <v>45984</v>
      </c>
      <c r="B233" s="104" t="s">
        <v>41</v>
      </c>
      <c r="C233" s="105" t="s">
        <v>336</v>
      </c>
      <c r="D233" s="104" t="s">
        <v>335</v>
      </c>
      <c r="E233" s="113">
        <v>1.989583333333333</v>
      </c>
      <c r="F233" s="104" t="s">
        <v>43</v>
      </c>
      <c r="G233" s="106">
        <v>7</v>
      </c>
      <c r="H233" s="107" t="s">
        <v>431</v>
      </c>
    </row>
    <row r="234" spans="1:8" ht="19.8" customHeight="1" x14ac:dyDescent="0.3">
      <c r="A234" s="112">
        <v>45984</v>
      </c>
      <c r="B234" s="104" t="s">
        <v>385</v>
      </c>
      <c r="C234" s="105" t="s">
        <v>386</v>
      </c>
      <c r="D234" s="104" t="s">
        <v>335</v>
      </c>
      <c r="E234" s="113">
        <v>1.493055555555556</v>
      </c>
      <c r="F234" s="104" t="s">
        <v>101</v>
      </c>
      <c r="G234" s="106">
        <v>7</v>
      </c>
      <c r="H234" s="107" t="s">
        <v>434</v>
      </c>
    </row>
    <row r="235" spans="1:8" ht="19.8" customHeight="1" x14ac:dyDescent="0.3">
      <c r="A235" s="112">
        <v>45984</v>
      </c>
      <c r="B235" s="104" t="s">
        <v>385</v>
      </c>
      <c r="C235" s="105" t="s">
        <v>435</v>
      </c>
      <c r="D235" s="104" t="s">
        <v>335</v>
      </c>
      <c r="E235" s="113">
        <v>1.2048611111111109</v>
      </c>
      <c r="F235" s="104" t="s">
        <v>101</v>
      </c>
      <c r="G235" s="106">
        <v>3</v>
      </c>
      <c r="H235" s="107" t="s">
        <v>434</v>
      </c>
    </row>
    <row r="236" spans="1:8" ht="19.8" customHeight="1" x14ac:dyDescent="0.3">
      <c r="A236" s="112">
        <v>45984</v>
      </c>
      <c r="B236" s="104" t="s">
        <v>26</v>
      </c>
      <c r="C236" s="105" t="s">
        <v>357</v>
      </c>
      <c r="D236" s="104" t="s">
        <v>335</v>
      </c>
      <c r="E236" s="113">
        <v>1.3923611111111109</v>
      </c>
      <c r="F236" s="104" t="s">
        <v>351</v>
      </c>
      <c r="G236" s="106">
        <v>8</v>
      </c>
      <c r="H236" s="107" t="s">
        <v>44</v>
      </c>
    </row>
    <row r="237" spans="1:8" ht="19.8" customHeight="1" x14ac:dyDescent="0.3">
      <c r="A237" s="112">
        <v>45984</v>
      </c>
      <c r="B237" s="104" t="s">
        <v>26</v>
      </c>
      <c r="C237" s="105" t="s">
        <v>357</v>
      </c>
      <c r="D237" s="104" t="s">
        <v>335</v>
      </c>
      <c r="E237" s="113">
        <v>1.3923611111111109</v>
      </c>
      <c r="F237" s="104" t="s">
        <v>28</v>
      </c>
      <c r="G237" s="106">
        <v>8</v>
      </c>
      <c r="H237" s="107" t="s">
        <v>44</v>
      </c>
    </row>
    <row r="238" spans="1:8" ht="19.8" customHeight="1" x14ac:dyDescent="0.3">
      <c r="A238" s="112">
        <v>45984</v>
      </c>
      <c r="B238" s="104" t="s">
        <v>458</v>
      </c>
      <c r="C238" s="105" t="s">
        <v>467</v>
      </c>
      <c r="D238" s="104" t="s">
        <v>335</v>
      </c>
      <c r="E238" s="113">
        <v>1.1736111111111109</v>
      </c>
      <c r="F238" s="104" t="s">
        <v>101</v>
      </c>
      <c r="G238" s="106">
        <v>8</v>
      </c>
      <c r="H238" s="107" t="s">
        <v>460</v>
      </c>
    </row>
    <row r="239" spans="1:8" ht="19.8" customHeight="1" x14ac:dyDescent="0.3">
      <c r="A239" s="112">
        <v>45984</v>
      </c>
      <c r="B239" s="104" t="s">
        <v>26</v>
      </c>
      <c r="C239" s="105" t="s">
        <v>354</v>
      </c>
      <c r="D239" s="104" t="s">
        <v>335</v>
      </c>
      <c r="E239" s="113">
        <v>1.3472222222222221</v>
      </c>
      <c r="F239" s="104" t="s">
        <v>31</v>
      </c>
      <c r="G239" s="106">
        <v>3</v>
      </c>
      <c r="H239" s="107" t="s">
        <v>339</v>
      </c>
    </row>
    <row r="240" spans="1:8" ht="19.8" customHeight="1" x14ac:dyDescent="0.3">
      <c r="A240" s="112">
        <v>45984</v>
      </c>
      <c r="B240" s="104" t="s">
        <v>26</v>
      </c>
      <c r="C240" s="105" t="s">
        <v>350</v>
      </c>
      <c r="D240" s="104" t="s">
        <v>335</v>
      </c>
      <c r="E240" s="113">
        <v>1.993055555555556</v>
      </c>
      <c r="F240" s="104" t="s">
        <v>31</v>
      </c>
      <c r="G240" s="106">
        <v>3</v>
      </c>
      <c r="H240" s="107" t="s">
        <v>339</v>
      </c>
    </row>
    <row r="241" spans="1:8" ht="19.8" customHeight="1" x14ac:dyDescent="0.3">
      <c r="A241" s="112">
        <v>45984</v>
      </c>
      <c r="B241" s="104" t="s">
        <v>26</v>
      </c>
      <c r="C241" s="105" t="s">
        <v>359</v>
      </c>
      <c r="D241" s="104" t="s">
        <v>335</v>
      </c>
      <c r="E241" s="113">
        <v>1.7361111111111109</v>
      </c>
      <c r="F241" s="104" t="s">
        <v>351</v>
      </c>
      <c r="G241" s="106">
        <v>4</v>
      </c>
      <c r="H241" s="107" t="s">
        <v>339</v>
      </c>
    </row>
    <row r="242" spans="1:8" ht="19.8" customHeight="1" x14ac:dyDescent="0.3">
      <c r="A242" s="112">
        <v>45984</v>
      </c>
      <c r="B242" s="104" t="s">
        <v>26</v>
      </c>
      <c r="C242" s="105" t="s">
        <v>359</v>
      </c>
      <c r="D242" s="104" t="s">
        <v>335</v>
      </c>
      <c r="E242" s="113">
        <v>1.7361111111111109</v>
      </c>
      <c r="F242" s="104" t="s">
        <v>28</v>
      </c>
      <c r="G242" s="106">
        <v>4</v>
      </c>
      <c r="H242" s="107" t="s">
        <v>339</v>
      </c>
    </row>
    <row r="243" spans="1:8" ht="19.8" customHeight="1" x14ac:dyDescent="0.3">
      <c r="A243" s="112">
        <v>45984</v>
      </c>
      <c r="B243" s="104" t="s">
        <v>26</v>
      </c>
      <c r="C243" s="105" t="s">
        <v>356</v>
      </c>
      <c r="D243" s="104" t="s">
        <v>335</v>
      </c>
      <c r="E243" s="113">
        <v>1.836805555555556</v>
      </c>
      <c r="F243" s="104" t="s">
        <v>351</v>
      </c>
      <c r="G243" s="106">
        <v>9</v>
      </c>
      <c r="H243" s="107" t="s">
        <v>339</v>
      </c>
    </row>
    <row r="244" spans="1:8" ht="19.8" customHeight="1" x14ac:dyDescent="0.3">
      <c r="A244" s="112">
        <v>45984</v>
      </c>
      <c r="B244" s="104" t="s">
        <v>26</v>
      </c>
      <c r="C244" s="105" t="s">
        <v>356</v>
      </c>
      <c r="D244" s="104" t="s">
        <v>335</v>
      </c>
      <c r="E244" s="113">
        <v>1.836805555555556</v>
      </c>
      <c r="F244" s="104" t="s">
        <v>28</v>
      </c>
      <c r="G244" s="106">
        <v>9</v>
      </c>
      <c r="H244" s="107" t="s">
        <v>339</v>
      </c>
    </row>
    <row r="245" spans="1:8" ht="19.8" customHeight="1" x14ac:dyDescent="0.3">
      <c r="A245" s="112">
        <v>45984</v>
      </c>
      <c r="B245" s="104" t="s">
        <v>26</v>
      </c>
      <c r="C245" s="105" t="s">
        <v>352</v>
      </c>
      <c r="D245" s="104" t="s">
        <v>335</v>
      </c>
      <c r="E245" s="113">
        <v>1.944444444444444</v>
      </c>
      <c r="F245" s="104" t="s">
        <v>31</v>
      </c>
      <c r="G245" s="106">
        <v>8</v>
      </c>
      <c r="H245" s="107" t="s">
        <v>339</v>
      </c>
    </row>
    <row r="246" spans="1:8" ht="19.8" customHeight="1" x14ac:dyDescent="0.3">
      <c r="A246" s="112">
        <v>45984</v>
      </c>
      <c r="B246" s="104" t="s">
        <v>26</v>
      </c>
      <c r="C246" s="105" t="s">
        <v>360</v>
      </c>
      <c r="D246" s="104" t="s">
        <v>335</v>
      </c>
      <c r="E246" s="113">
        <v>1.4861111111111109</v>
      </c>
      <c r="F246" s="104" t="s">
        <v>31</v>
      </c>
      <c r="G246" s="106">
        <v>1</v>
      </c>
      <c r="H246" s="107" t="s">
        <v>339</v>
      </c>
    </row>
    <row r="247" spans="1:8" ht="19.8" customHeight="1" x14ac:dyDescent="0.3">
      <c r="A247" s="112">
        <v>45984</v>
      </c>
      <c r="B247" s="104" t="s">
        <v>26</v>
      </c>
      <c r="C247" s="105" t="s">
        <v>358</v>
      </c>
      <c r="D247" s="104" t="s">
        <v>335</v>
      </c>
      <c r="E247" s="113">
        <v>1.8888888888888891</v>
      </c>
      <c r="F247" s="104" t="s">
        <v>31</v>
      </c>
      <c r="G247" s="106">
        <v>1</v>
      </c>
      <c r="H247" s="107" t="s">
        <v>339</v>
      </c>
    </row>
    <row r="248" spans="1:8" ht="19.8" customHeight="1" x14ac:dyDescent="0.3">
      <c r="A248" s="120">
        <v>45984</v>
      </c>
      <c r="B248" s="121" t="s">
        <v>77</v>
      </c>
      <c r="C248" s="122" t="s">
        <v>374</v>
      </c>
      <c r="D248" s="121" t="s">
        <v>335</v>
      </c>
      <c r="E248" s="123">
        <v>1.1423611111111109</v>
      </c>
      <c r="F248" s="121" t="s">
        <v>101</v>
      </c>
      <c r="G248" s="124">
        <v>5</v>
      </c>
      <c r="H248" s="125" t="s">
        <v>420</v>
      </c>
    </row>
    <row r="249" spans="1:8" ht="19.8" customHeight="1" x14ac:dyDescent="0.3">
      <c r="A249" s="112">
        <v>45984</v>
      </c>
      <c r="B249" s="104" t="s">
        <v>41</v>
      </c>
      <c r="C249" s="105" t="s">
        <v>340</v>
      </c>
      <c r="D249" s="104" t="s">
        <v>335</v>
      </c>
      <c r="E249" s="113">
        <v>1.399305555555556</v>
      </c>
      <c r="F249" s="104" t="s">
        <v>45</v>
      </c>
      <c r="G249" s="106">
        <v>4</v>
      </c>
      <c r="H249" s="107" t="s">
        <v>153</v>
      </c>
    </row>
    <row r="250" spans="1:8" ht="19.8" customHeight="1" x14ac:dyDescent="0.3">
      <c r="A250" s="112">
        <v>45984</v>
      </c>
      <c r="B250" s="104" t="s">
        <v>41</v>
      </c>
      <c r="C250" s="105" t="s">
        <v>344</v>
      </c>
      <c r="D250" s="104" t="s">
        <v>335</v>
      </c>
      <c r="E250" s="113">
        <v>1.489583333333333</v>
      </c>
      <c r="F250" s="104" t="s">
        <v>45</v>
      </c>
      <c r="G250" s="106">
        <v>10</v>
      </c>
      <c r="H250" s="107" t="s">
        <v>153</v>
      </c>
    </row>
    <row r="251" spans="1:8" ht="19.8" customHeight="1" x14ac:dyDescent="0.3">
      <c r="A251" s="112">
        <v>45984</v>
      </c>
      <c r="B251" s="104" t="s">
        <v>388</v>
      </c>
      <c r="C251" s="105" t="s">
        <v>389</v>
      </c>
      <c r="D251" s="104" t="s">
        <v>335</v>
      </c>
      <c r="E251" s="113">
        <v>1.229166666666667</v>
      </c>
      <c r="F251" s="104" t="s">
        <v>390</v>
      </c>
      <c r="G251" s="106">
        <v>4</v>
      </c>
      <c r="H251" s="107" t="s">
        <v>474</v>
      </c>
    </row>
    <row r="252" spans="1:8" ht="19.8" customHeight="1" x14ac:dyDescent="0.3">
      <c r="A252" s="112">
        <v>45984</v>
      </c>
      <c r="B252" s="104" t="s">
        <v>26</v>
      </c>
      <c r="C252" s="105" t="s">
        <v>357</v>
      </c>
      <c r="D252" s="104" t="s">
        <v>335</v>
      </c>
      <c r="E252" s="113">
        <v>1.3923611111111109</v>
      </c>
      <c r="F252" s="104" t="s">
        <v>31</v>
      </c>
      <c r="G252" s="106">
        <v>8</v>
      </c>
      <c r="H252" s="107" t="s">
        <v>95</v>
      </c>
    </row>
    <row r="253" spans="1:8" ht="19.8" customHeight="1" x14ac:dyDescent="0.3">
      <c r="A253" s="112">
        <v>45984</v>
      </c>
      <c r="B253" s="104" t="s">
        <v>41</v>
      </c>
      <c r="C253" s="105" t="s">
        <v>347</v>
      </c>
      <c r="D253" s="104" t="s">
        <v>335</v>
      </c>
      <c r="E253" s="113">
        <v>1.8888888888888891</v>
      </c>
      <c r="F253" s="104" t="s">
        <v>45</v>
      </c>
      <c r="G253" s="106">
        <v>10</v>
      </c>
      <c r="H253" s="107" t="s">
        <v>143</v>
      </c>
    </row>
    <row r="254" spans="1:8" ht="19.8" customHeight="1" x14ac:dyDescent="0.3">
      <c r="A254" s="112">
        <v>45984</v>
      </c>
      <c r="B254" s="104" t="s">
        <v>41</v>
      </c>
      <c r="C254" s="105" t="s">
        <v>336</v>
      </c>
      <c r="D254" s="104" t="s">
        <v>335</v>
      </c>
      <c r="E254" s="113">
        <v>1.989583333333333</v>
      </c>
      <c r="F254" s="104" t="s">
        <v>45</v>
      </c>
      <c r="G254" s="106">
        <v>7</v>
      </c>
      <c r="H254" s="107" t="s">
        <v>143</v>
      </c>
    </row>
    <row r="255" spans="1:8" ht="19.8" customHeight="1" x14ac:dyDescent="0.3">
      <c r="A255" s="112">
        <v>45984</v>
      </c>
      <c r="B255" s="104" t="s">
        <v>26</v>
      </c>
      <c r="C255" s="105" t="s">
        <v>354</v>
      </c>
      <c r="D255" s="104" t="s">
        <v>335</v>
      </c>
      <c r="E255" s="113">
        <v>1.3472222222222221</v>
      </c>
      <c r="F255" s="104" t="s">
        <v>34</v>
      </c>
      <c r="G255" s="106">
        <v>3</v>
      </c>
      <c r="H255" s="107" t="s">
        <v>122</v>
      </c>
    </row>
    <row r="256" spans="1:8" ht="19.8" customHeight="1" x14ac:dyDescent="0.3">
      <c r="A256" s="112">
        <v>45984</v>
      </c>
      <c r="B256" s="104" t="s">
        <v>26</v>
      </c>
      <c r="C256" s="105" t="s">
        <v>350</v>
      </c>
      <c r="D256" s="104" t="s">
        <v>335</v>
      </c>
      <c r="E256" s="113">
        <v>1.993055555555556</v>
      </c>
      <c r="F256" s="104" t="s">
        <v>34</v>
      </c>
      <c r="G256" s="106">
        <v>3</v>
      </c>
      <c r="H256" s="107" t="s">
        <v>122</v>
      </c>
    </row>
    <row r="257" spans="1:8" ht="19.8" customHeight="1" x14ac:dyDescent="0.3">
      <c r="A257" s="112">
        <v>45984</v>
      </c>
      <c r="B257" s="104" t="s">
        <v>26</v>
      </c>
      <c r="C257" s="105" t="s">
        <v>352</v>
      </c>
      <c r="D257" s="104" t="s">
        <v>335</v>
      </c>
      <c r="E257" s="113">
        <v>1.944444444444444</v>
      </c>
      <c r="F257" s="104" t="s">
        <v>34</v>
      </c>
      <c r="G257" s="106">
        <v>8</v>
      </c>
      <c r="H257" s="107" t="s">
        <v>122</v>
      </c>
    </row>
    <row r="258" spans="1:8" ht="19.8" customHeight="1" x14ac:dyDescent="0.3">
      <c r="A258" s="112">
        <v>45984</v>
      </c>
      <c r="B258" s="104" t="s">
        <v>26</v>
      </c>
      <c r="C258" s="105" t="s">
        <v>360</v>
      </c>
      <c r="D258" s="104" t="s">
        <v>335</v>
      </c>
      <c r="E258" s="113">
        <v>1.4861111111111109</v>
      </c>
      <c r="F258" s="104" t="s">
        <v>34</v>
      </c>
      <c r="G258" s="106">
        <v>1</v>
      </c>
      <c r="H258" s="107" t="s">
        <v>122</v>
      </c>
    </row>
    <row r="259" spans="1:8" ht="19.8" customHeight="1" x14ac:dyDescent="0.3">
      <c r="A259" s="112">
        <v>45984</v>
      </c>
      <c r="B259" s="104" t="s">
        <v>26</v>
      </c>
      <c r="C259" s="105" t="s">
        <v>358</v>
      </c>
      <c r="D259" s="104" t="s">
        <v>335</v>
      </c>
      <c r="E259" s="113">
        <v>1.8888888888888891</v>
      </c>
      <c r="F259" s="104" t="s">
        <v>34</v>
      </c>
      <c r="G259" s="106">
        <v>1</v>
      </c>
      <c r="H259" s="107" t="s">
        <v>122</v>
      </c>
    </row>
    <row r="260" spans="1:8" ht="19.8" customHeight="1" x14ac:dyDescent="0.3">
      <c r="A260" s="112">
        <v>45984</v>
      </c>
      <c r="B260" s="104" t="s">
        <v>26</v>
      </c>
      <c r="C260" s="105" t="s">
        <v>359</v>
      </c>
      <c r="D260" s="104" t="s">
        <v>335</v>
      </c>
      <c r="E260" s="113">
        <v>1.7361111111111109</v>
      </c>
      <c r="F260" s="104" t="s">
        <v>31</v>
      </c>
      <c r="G260" s="106">
        <v>4</v>
      </c>
      <c r="H260" s="107" t="s">
        <v>35</v>
      </c>
    </row>
    <row r="261" spans="1:8" ht="19.8" customHeight="1" x14ac:dyDescent="0.3">
      <c r="A261" s="112">
        <v>45984</v>
      </c>
      <c r="B261" s="104" t="s">
        <v>26</v>
      </c>
      <c r="C261" s="105" t="s">
        <v>356</v>
      </c>
      <c r="D261" s="104" t="s">
        <v>335</v>
      </c>
      <c r="E261" s="113">
        <v>1.836805555555556</v>
      </c>
      <c r="F261" s="104" t="s">
        <v>31</v>
      </c>
      <c r="G261" s="106">
        <v>9</v>
      </c>
      <c r="H261" s="107" t="s">
        <v>35</v>
      </c>
    </row>
    <row r="262" spans="1:8" ht="19.8" customHeight="1" x14ac:dyDescent="0.3">
      <c r="A262" s="120">
        <v>45984</v>
      </c>
      <c r="B262" s="121" t="s">
        <v>77</v>
      </c>
      <c r="C262" s="122" t="s">
        <v>361</v>
      </c>
      <c r="D262" s="121" t="s">
        <v>335</v>
      </c>
      <c r="E262" s="123">
        <v>1.8298611111111109</v>
      </c>
      <c r="F262" s="121" t="s">
        <v>101</v>
      </c>
      <c r="G262" s="124">
        <v>8</v>
      </c>
      <c r="H262" s="125" t="s">
        <v>379</v>
      </c>
    </row>
    <row r="263" spans="1:8" ht="19.8" customHeight="1" x14ac:dyDescent="0.3">
      <c r="A263" s="112">
        <v>45984</v>
      </c>
      <c r="B263" s="104" t="s">
        <v>26</v>
      </c>
      <c r="C263" s="105" t="s">
        <v>357</v>
      </c>
      <c r="D263" s="104" t="s">
        <v>335</v>
      </c>
      <c r="E263" s="113">
        <v>1.3923611111111109</v>
      </c>
      <c r="F263" s="104" t="s">
        <v>34</v>
      </c>
      <c r="G263" s="106">
        <v>8</v>
      </c>
      <c r="H263" s="107" t="s">
        <v>149</v>
      </c>
    </row>
    <row r="264" spans="1:8" ht="19.8" customHeight="1" x14ac:dyDescent="0.3">
      <c r="A264" s="112">
        <v>45984</v>
      </c>
      <c r="B264" s="104" t="s">
        <v>26</v>
      </c>
      <c r="C264" s="105" t="s">
        <v>359</v>
      </c>
      <c r="D264" s="104" t="s">
        <v>335</v>
      </c>
      <c r="E264" s="113">
        <v>1.7361111111111109</v>
      </c>
      <c r="F264" s="104" t="s">
        <v>34</v>
      </c>
      <c r="G264" s="106">
        <v>4</v>
      </c>
      <c r="H264" s="107" t="s">
        <v>123</v>
      </c>
    </row>
    <row r="265" spans="1:8" ht="19.8" customHeight="1" x14ac:dyDescent="0.3">
      <c r="A265" s="112">
        <v>45984</v>
      </c>
      <c r="B265" s="104" t="s">
        <v>26</v>
      </c>
      <c r="C265" s="105" t="s">
        <v>356</v>
      </c>
      <c r="D265" s="104" t="s">
        <v>335</v>
      </c>
      <c r="E265" s="113">
        <v>1.836805555555556</v>
      </c>
      <c r="F265" s="104" t="s">
        <v>34</v>
      </c>
      <c r="G265" s="106">
        <v>9</v>
      </c>
      <c r="H265" s="107" t="s">
        <v>123</v>
      </c>
    </row>
    <row r="266" spans="1:8" ht="19.8" customHeight="1" x14ac:dyDescent="0.3">
      <c r="A266" s="112">
        <v>45984</v>
      </c>
      <c r="B266" s="104" t="s">
        <v>41</v>
      </c>
      <c r="C266" s="105" t="s">
        <v>340</v>
      </c>
      <c r="D266" s="104" t="s">
        <v>335</v>
      </c>
      <c r="E266" s="113">
        <v>1.399305555555556</v>
      </c>
      <c r="F266" s="104" t="s">
        <v>46</v>
      </c>
      <c r="G266" s="106">
        <v>4</v>
      </c>
      <c r="H266" s="107" t="s">
        <v>47</v>
      </c>
    </row>
    <row r="267" spans="1:8" ht="19.8" customHeight="1" x14ac:dyDescent="0.3">
      <c r="A267" s="112">
        <v>45984</v>
      </c>
      <c r="B267" s="104" t="s">
        <v>41</v>
      </c>
      <c r="C267" s="105" t="s">
        <v>336</v>
      </c>
      <c r="D267" s="104" t="s">
        <v>335</v>
      </c>
      <c r="E267" s="113">
        <v>1.989583333333333</v>
      </c>
      <c r="F267" s="104" t="s">
        <v>46</v>
      </c>
      <c r="G267" s="106">
        <v>7</v>
      </c>
      <c r="H267" s="107" t="s">
        <v>47</v>
      </c>
    </row>
    <row r="268" spans="1:8" ht="19.8" customHeight="1" x14ac:dyDescent="0.3">
      <c r="A268" s="112">
        <v>45984</v>
      </c>
      <c r="B268" s="104" t="s">
        <v>388</v>
      </c>
      <c r="C268" s="105" t="s">
        <v>389</v>
      </c>
      <c r="D268" s="104" t="s">
        <v>335</v>
      </c>
      <c r="E268" s="113">
        <v>1.229166666666667</v>
      </c>
      <c r="F268" s="104" t="s">
        <v>46</v>
      </c>
      <c r="G268" s="106">
        <v>4</v>
      </c>
      <c r="H268" s="107" t="s">
        <v>475</v>
      </c>
    </row>
    <row r="269" spans="1:8" ht="19.8" customHeight="1" x14ac:dyDescent="0.3">
      <c r="A269" s="112">
        <v>45984</v>
      </c>
      <c r="B269" s="104" t="s">
        <v>48</v>
      </c>
      <c r="C269" s="105" t="s">
        <v>413</v>
      </c>
      <c r="D269" s="104" t="s">
        <v>335</v>
      </c>
      <c r="E269" s="113">
        <v>1.836805555555556</v>
      </c>
      <c r="F269" s="104" t="s">
        <v>50</v>
      </c>
      <c r="G269" s="106">
        <v>9</v>
      </c>
      <c r="H269" s="107" t="s">
        <v>476</v>
      </c>
    </row>
    <row r="270" spans="1:8" ht="19.8" customHeight="1" x14ac:dyDescent="0.3">
      <c r="A270" s="112">
        <v>45984</v>
      </c>
      <c r="B270" s="104" t="s">
        <v>48</v>
      </c>
      <c r="C270" s="105" t="s">
        <v>410</v>
      </c>
      <c r="D270" s="104" t="s">
        <v>335</v>
      </c>
      <c r="E270" s="113">
        <v>1.9722222222222221</v>
      </c>
      <c r="F270" s="104" t="s">
        <v>50</v>
      </c>
      <c r="G270" s="106">
        <v>9</v>
      </c>
      <c r="H270" s="107" t="s">
        <v>476</v>
      </c>
    </row>
    <row r="271" spans="1:8" ht="19.8" customHeight="1" x14ac:dyDescent="0.3">
      <c r="A271" s="112">
        <v>45984</v>
      </c>
      <c r="B271" s="104" t="s">
        <v>60</v>
      </c>
      <c r="C271" s="105" t="s">
        <v>395</v>
      </c>
      <c r="D271" s="104" t="s">
        <v>335</v>
      </c>
      <c r="E271" s="113">
        <v>1.989583333333333</v>
      </c>
      <c r="F271" s="104" t="s">
        <v>65</v>
      </c>
      <c r="G271" s="106">
        <v>4</v>
      </c>
      <c r="H271" s="107" t="s">
        <v>396</v>
      </c>
    </row>
    <row r="272" spans="1:8" ht="19.8" customHeight="1" x14ac:dyDescent="0.3">
      <c r="A272" s="112">
        <v>45984</v>
      </c>
      <c r="B272" s="104" t="s">
        <v>60</v>
      </c>
      <c r="C272" s="105" t="s">
        <v>397</v>
      </c>
      <c r="D272" s="104" t="s">
        <v>335</v>
      </c>
      <c r="E272" s="113">
        <v>1.399305555555556</v>
      </c>
      <c r="F272" s="104" t="s">
        <v>65</v>
      </c>
      <c r="G272" s="106">
        <v>4</v>
      </c>
      <c r="H272" s="107" t="s">
        <v>396</v>
      </c>
    </row>
    <row r="273" spans="1:8" ht="19.8" customHeight="1" x14ac:dyDescent="0.3">
      <c r="A273" s="112">
        <v>45984</v>
      </c>
      <c r="B273" s="104" t="s">
        <v>60</v>
      </c>
      <c r="C273" s="105" t="s">
        <v>398</v>
      </c>
      <c r="D273" s="104" t="s">
        <v>335</v>
      </c>
      <c r="E273" s="113">
        <v>1.489583333333333</v>
      </c>
      <c r="F273" s="104" t="s">
        <v>65</v>
      </c>
      <c r="G273" s="106">
        <v>4</v>
      </c>
      <c r="H273" s="107" t="s">
        <v>396</v>
      </c>
    </row>
    <row r="274" spans="1:8" ht="19.8" customHeight="1" x14ac:dyDescent="0.3">
      <c r="A274" s="112">
        <v>45984</v>
      </c>
      <c r="B274" s="104" t="s">
        <v>60</v>
      </c>
      <c r="C274" s="105" t="s">
        <v>399</v>
      </c>
      <c r="D274" s="104" t="s">
        <v>335</v>
      </c>
      <c r="E274" s="113">
        <v>1.8888888888888891</v>
      </c>
      <c r="F274" s="104" t="s">
        <v>65</v>
      </c>
      <c r="G274" s="106">
        <v>4</v>
      </c>
      <c r="H274" s="107" t="s">
        <v>396</v>
      </c>
    </row>
    <row r="275" spans="1:8" ht="19.8" customHeight="1" x14ac:dyDescent="0.3">
      <c r="A275" s="112">
        <v>45984</v>
      </c>
      <c r="B275" s="104" t="s">
        <v>41</v>
      </c>
      <c r="C275" s="105" t="s">
        <v>344</v>
      </c>
      <c r="D275" s="104" t="s">
        <v>335</v>
      </c>
      <c r="E275" s="113">
        <v>1.489583333333333</v>
      </c>
      <c r="F275" s="104" t="s">
        <v>46</v>
      </c>
      <c r="G275" s="106">
        <v>10</v>
      </c>
      <c r="H275" s="107" t="s">
        <v>120</v>
      </c>
    </row>
    <row r="276" spans="1:8" ht="19.8" customHeight="1" x14ac:dyDescent="0.3">
      <c r="A276" s="112">
        <v>45984</v>
      </c>
      <c r="B276" s="104" t="s">
        <v>41</v>
      </c>
      <c r="C276" s="105" t="s">
        <v>347</v>
      </c>
      <c r="D276" s="104" t="s">
        <v>335</v>
      </c>
      <c r="E276" s="113">
        <v>1.8888888888888891</v>
      </c>
      <c r="F276" s="104" t="s">
        <v>46</v>
      </c>
      <c r="G276" s="106">
        <v>10</v>
      </c>
      <c r="H276" s="107" t="s">
        <v>120</v>
      </c>
    </row>
    <row r="277" spans="1:8" ht="19.8" customHeight="1" x14ac:dyDescent="0.3">
      <c r="A277" s="112">
        <v>45984</v>
      </c>
      <c r="B277" s="104" t="s">
        <v>48</v>
      </c>
      <c r="C277" s="105" t="s">
        <v>406</v>
      </c>
      <c r="D277" s="104" t="s">
        <v>335</v>
      </c>
      <c r="E277" s="113">
        <v>1.802083333333333</v>
      </c>
      <c r="F277" s="104" t="s">
        <v>50</v>
      </c>
      <c r="G277" s="106">
        <v>9</v>
      </c>
      <c r="H277" s="107" t="s">
        <v>464</v>
      </c>
    </row>
    <row r="278" spans="1:8" ht="19.8" customHeight="1" x14ac:dyDescent="0.3">
      <c r="A278" s="112">
        <v>45984</v>
      </c>
      <c r="B278" s="104" t="s">
        <v>48</v>
      </c>
      <c r="C278" s="105" t="s">
        <v>412</v>
      </c>
      <c r="D278" s="104" t="s">
        <v>335</v>
      </c>
      <c r="E278" s="113">
        <v>1.600694444444444</v>
      </c>
      <c r="F278" s="104" t="s">
        <v>50</v>
      </c>
      <c r="G278" s="106">
        <v>9</v>
      </c>
      <c r="H278" s="107" t="s">
        <v>464</v>
      </c>
    </row>
    <row r="279" spans="1:8" ht="19.8" customHeight="1" x14ac:dyDescent="0.3">
      <c r="A279" s="112">
        <v>45984</v>
      </c>
      <c r="B279" s="104" t="s">
        <v>60</v>
      </c>
      <c r="C279" s="105" t="s">
        <v>400</v>
      </c>
      <c r="D279" s="104" t="s">
        <v>335</v>
      </c>
      <c r="E279" s="113">
        <v>1.8298611111111109</v>
      </c>
      <c r="F279" s="104" t="s">
        <v>65</v>
      </c>
      <c r="G279" s="106">
        <v>9</v>
      </c>
      <c r="H279" s="107" t="s">
        <v>401</v>
      </c>
    </row>
    <row r="280" spans="1:8" ht="19.8" customHeight="1" x14ac:dyDescent="0.3">
      <c r="A280" s="112">
        <v>45984</v>
      </c>
      <c r="B280" s="104" t="s">
        <v>60</v>
      </c>
      <c r="C280" s="105" t="s">
        <v>404</v>
      </c>
      <c r="D280" s="104" t="s">
        <v>335</v>
      </c>
      <c r="E280" s="113">
        <v>1.7222222222222221</v>
      </c>
      <c r="F280" s="104" t="s">
        <v>65</v>
      </c>
      <c r="G280" s="106">
        <v>8</v>
      </c>
      <c r="H280" s="107" t="s">
        <v>401</v>
      </c>
    </row>
    <row r="281" spans="1:8" ht="19.8" customHeight="1" x14ac:dyDescent="0.3">
      <c r="A281" s="112">
        <v>45984</v>
      </c>
      <c r="B281" s="104" t="s">
        <v>60</v>
      </c>
      <c r="C281" s="105" t="s">
        <v>402</v>
      </c>
      <c r="D281" s="104" t="s">
        <v>335</v>
      </c>
      <c r="E281" s="113">
        <v>1.118055555555556</v>
      </c>
      <c r="F281" s="104" t="s">
        <v>65</v>
      </c>
      <c r="G281" s="106">
        <v>7</v>
      </c>
      <c r="H281" s="107" t="s">
        <v>401</v>
      </c>
    </row>
    <row r="282" spans="1:8" ht="19.8" customHeight="1" x14ac:dyDescent="0.3">
      <c r="A282" s="112">
        <v>45984</v>
      </c>
      <c r="B282" s="104" t="s">
        <v>60</v>
      </c>
      <c r="C282" s="105" t="s">
        <v>393</v>
      </c>
      <c r="D282" s="104" t="s">
        <v>335</v>
      </c>
      <c r="E282" s="113">
        <v>1.2534722222222221</v>
      </c>
      <c r="F282" s="104" t="s">
        <v>65</v>
      </c>
      <c r="G282" s="106">
        <v>2</v>
      </c>
      <c r="H282" s="107" t="s">
        <v>401</v>
      </c>
    </row>
    <row r="283" spans="1:8" ht="19.8" customHeight="1" x14ac:dyDescent="0.3">
      <c r="A283" s="112">
        <v>45984</v>
      </c>
      <c r="B283" s="104" t="s">
        <v>48</v>
      </c>
      <c r="C283" s="105" t="s">
        <v>411</v>
      </c>
      <c r="D283" s="104" t="s">
        <v>335</v>
      </c>
      <c r="E283" s="113">
        <v>1.0902777777777779</v>
      </c>
      <c r="F283" s="104" t="s">
        <v>50</v>
      </c>
      <c r="G283" s="106">
        <v>7</v>
      </c>
      <c r="H283" s="107" t="s">
        <v>409</v>
      </c>
    </row>
    <row r="284" spans="1:8" ht="19.8" customHeight="1" x14ac:dyDescent="0.3">
      <c r="A284" s="112">
        <v>45984</v>
      </c>
      <c r="B284" s="104" t="s">
        <v>60</v>
      </c>
      <c r="C284" s="105" t="s">
        <v>446</v>
      </c>
      <c r="D284" s="104" t="s">
        <v>335</v>
      </c>
      <c r="E284" s="113">
        <v>1.489583333333333</v>
      </c>
      <c r="F284" s="104" t="s">
        <v>65</v>
      </c>
      <c r="G284" s="106">
        <v>1</v>
      </c>
      <c r="H284" s="107" t="s">
        <v>405</v>
      </c>
    </row>
    <row r="285" spans="1:8" ht="19.8" customHeight="1" x14ac:dyDescent="0.3">
      <c r="A285" s="112">
        <v>45984</v>
      </c>
      <c r="B285" s="104" t="s">
        <v>60</v>
      </c>
      <c r="C285" s="105" t="s">
        <v>403</v>
      </c>
      <c r="D285" s="104" t="s">
        <v>335</v>
      </c>
      <c r="E285" s="113">
        <v>1.7013888888888891</v>
      </c>
      <c r="F285" s="104" t="s">
        <v>65</v>
      </c>
      <c r="G285" s="106">
        <v>3</v>
      </c>
      <c r="H285" s="107" t="s">
        <v>405</v>
      </c>
    </row>
    <row r="286" spans="1:8" ht="19.8" customHeight="1" x14ac:dyDescent="0.3">
      <c r="A286" s="112">
        <v>45984</v>
      </c>
      <c r="B286" s="104" t="s">
        <v>60</v>
      </c>
      <c r="C286" s="105" t="s">
        <v>445</v>
      </c>
      <c r="D286" s="104" t="s">
        <v>335</v>
      </c>
      <c r="E286" s="113">
        <v>1.9409722222222221</v>
      </c>
      <c r="F286" s="104" t="s">
        <v>65</v>
      </c>
      <c r="G286" s="106">
        <v>1</v>
      </c>
      <c r="H286" s="107" t="s">
        <v>405</v>
      </c>
    </row>
    <row r="287" spans="1:8" ht="19.8" customHeight="1" x14ac:dyDescent="0.3">
      <c r="A287" s="120">
        <v>45984</v>
      </c>
      <c r="B287" s="121" t="s">
        <v>77</v>
      </c>
      <c r="C287" s="122" t="s">
        <v>367</v>
      </c>
      <c r="D287" s="121" t="s">
        <v>335</v>
      </c>
      <c r="E287" s="123">
        <v>1.15625</v>
      </c>
      <c r="F287" s="121" t="s">
        <v>79</v>
      </c>
      <c r="G287" s="121"/>
      <c r="H287" s="125" t="s">
        <v>80</v>
      </c>
    </row>
    <row r="288" spans="1:8" ht="19.8" customHeight="1" x14ac:dyDescent="0.3">
      <c r="A288" s="120">
        <v>45984</v>
      </c>
      <c r="B288" s="121" t="s">
        <v>77</v>
      </c>
      <c r="C288" s="122" t="s">
        <v>421</v>
      </c>
      <c r="D288" s="121" t="s">
        <v>335</v>
      </c>
      <c r="E288" s="123">
        <v>1.333333333333333</v>
      </c>
      <c r="F288" s="121" t="s">
        <v>79</v>
      </c>
      <c r="G288" s="121"/>
      <c r="H288" s="125" t="s">
        <v>80</v>
      </c>
    </row>
    <row r="289" spans="1:8" ht="19.8" customHeight="1" x14ac:dyDescent="0.3">
      <c r="A289" s="126">
        <v>45984</v>
      </c>
      <c r="B289" s="109" t="s">
        <v>77</v>
      </c>
      <c r="C289" s="110" t="s">
        <v>383</v>
      </c>
      <c r="D289" s="109" t="s">
        <v>335</v>
      </c>
      <c r="E289" s="127">
        <v>1.4548611111111109</v>
      </c>
      <c r="F289" s="109" t="s">
        <v>79</v>
      </c>
      <c r="G289" s="109"/>
      <c r="H289" s="111" t="s">
        <v>80</v>
      </c>
    </row>
    <row r="290" spans="1:8" ht="19.8" customHeight="1" x14ac:dyDescent="0.3">
      <c r="A290" s="112">
        <v>45985</v>
      </c>
      <c r="B290" s="104" t="s">
        <v>41</v>
      </c>
      <c r="C290" s="105" t="s">
        <v>340</v>
      </c>
      <c r="D290" s="104" t="s">
        <v>335</v>
      </c>
      <c r="E290" s="113">
        <v>1.399305555555556</v>
      </c>
      <c r="F290" s="104" t="s">
        <v>43</v>
      </c>
      <c r="G290" s="106">
        <v>6</v>
      </c>
      <c r="H290" s="107" t="s">
        <v>431</v>
      </c>
    </row>
    <row r="291" spans="1:8" ht="19.8" customHeight="1" x14ac:dyDescent="0.3">
      <c r="A291" s="112">
        <v>45985</v>
      </c>
      <c r="B291" s="104" t="s">
        <v>41</v>
      </c>
      <c r="C291" s="105" t="s">
        <v>344</v>
      </c>
      <c r="D291" s="104" t="s">
        <v>335</v>
      </c>
      <c r="E291" s="113">
        <v>1.489583333333333</v>
      </c>
      <c r="F291" s="104" t="s">
        <v>43</v>
      </c>
      <c r="G291" s="106">
        <v>4</v>
      </c>
      <c r="H291" s="107" t="s">
        <v>431</v>
      </c>
    </row>
    <row r="292" spans="1:8" ht="19.8" customHeight="1" x14ac:dyDescent="0.3">
      <c r="A292" s="112">
        <v>45985</v>
      </c>
      <c r="B292" s="104" t="s">
        <v>41</v>
      </c>
      <c r="C292" s="105" t="s">
        <v>347</v>
      </c>
      <c r="D292" s="104" t="s">
        <v>335</v>
      </c>
      <c r="E292" s="113">
        <v>1.8888888888888891</v>
      </c>
      <c r="F292" s="104" t="s">
        <v>43</v>
      </c>
      <c r="G292" s="106">
        <v>3</v>
      </c>
      <c r="H292" s="107" t="s">
        <v>431</v>
      </c>
    </row>
    <row r="293" spans="1:8" ht="19.8" customHeight="1" x14ac:dyDescent="0.3">
      <c r="A293" s="112">
        <v>45985</v>
      </c>
      <c r="B293" s="104" t="s">
        <v>41</v>
      </c>
      <c r="C293" s="105" t="s">
        <v>336</v>
      </c>
      <c r="D293" s="104" t="s">
        <v>335</v>
      </c>
      <c r="E293" s="113">
        <v>1.989583333333333</v>
      </c>
      <c r="F293" s="104" t="s">
        <v>43</v>
      </c>
      <c r="G293" s="106">
        <v>9</v>
      </c>
      <c r="H293" s="107" t="s">
        <v>431</v>
      </c>
    </row>
    <row r="294" spans="1:8" ht="19.8" customHeight="1" x14ac:dyDescent="0.3">
      <c r="A294" s="112">
        <v>45985</v>
      </c>
      <c r="B294" s="104" t="s">
        <v>385</v>
      </c>
      <c r="C294" s="105" t="s">
        <v>435</v>
      </c>
      <c r="D294" s="104" t="s">
        <v>335</v>
      </c>
      <c r="E294" s="113">
        <v>1.135416666666667</v>
      </c>
      <c r="F294" s="104" t="s">
        <v>101</v>
      </c>
      <c r="G294" s="106">
        <v>9</v>
      </c>
      <c r="H294" s="107" t="s">
        <v>434</v>
      </c>
    </row>
    <row r="295" spans="1:8" ht="19.8" customHeight="1" x14ac:dyDescent="0.3">
      <c r="A295" s="112">
        <v>45985</v>
      </c>
      <c r="B295" s="104" t="s">
        <v>385</v>
      </c>
      <c r="C295" s="105" t="s">
        <v>477</v>
      </c>
      <c r="D295" s="104" t="s">
        <v>335</v>
      </c>
      <c r="E295" s="113">
        <v>1.868055555555556</v>
      </c>
      <c r="F295" s="104" t="s">
        <v>101</v>
      </c>
      <c r="G295" s="106">
        <v>5</v>
      </c>
      <c r="H295" s="107" t="s">
        <v>434</v>
      </c>
    </row>
    <row r="296" spans="1:8" ht="19.8" customHeight="1" x14ac:dyDescent="0.3">
      <c r="A296" s="112">
        <v>45985</v>
      </c>
      <c r="B296" s="104" t="s">
        <v>26</v>
      </c>
      <c r="C296" s="105" t="s">
        <v>350</v>
      </c>
      <c r="D296" s="104" t="s">
        <v>335</v>
      </c>
      <c r="E296" s="113">
        <v>1.993055555555556</v>
      </c>
      <c r="F296" s="104" t="s">
        <v>28</v>
      </c>
      <c r="G296" s="106">
        <v>3</v>
      </c>
      <c r="H296" s="107" t="s">
        <v>44</v>
      </c>
    </row>
    <row r="297" spans="1:8" ht="19.8" customHeight="1" x14ac:dyDescent="0.3">
      <c r="A297" s="112">
        <v>45985</v>
      </c>
      <c r="B297" s="104" t="s">
        <v>26</v>
      </c>
      <c r="C297" s="105" t="s">
        <v>360</v>
      </c>
      <c r="D297" s="104" t="s">
        <v>335</v>
      </c>
      <c r="E297" s="113">
        <v>1.4861111111111109</v>
      </c>
      <c r="F297" s="104" t="s">
        <v>28</v>
      </c>
      <c r="G297" s="106">
        <v>1</v>
      </c>
      <c r="H297" s="107" t="s">
        <v>44</v>
      </c>
    </row>
    <row r="298" spans="1:8" ht="19.8" customHeight="1" x14ac:dyDescent="0.3">
      <c r="A298" s="112">
        <v>45985</v>
      </c>
      <c r="B298" s="104" t="s">
        <v>26</v>
      </c>
      <c r="C298" s="105" t="s">
        <v>359</v>
      </c>
      <c r="D298" s="104" t="s">
        <v>335</v>
      </c>
      <c r="E298" s="113">
        <v>1.7361111111111109</v>
      </c>
      <c r="F298" s="104" t="s">
        <v>28</v>
      </c>
      <c r="G298" s="106">
        <v>3</v>
      </c>
      <c r="H298" s="107" t="s">
        <v>339</v>
      </c>
    </row>
    <row r="299" spans="1:8" ht="19.8" customHeight="1" x14ac:dyDescent="0.3">
      <c r="A299" s="112">
        <v>45985</v>
      </c>
      <c r="B299" s="104" t="s">
        <v>26</v>
      </c>
      <c r="C299" s="105" t="s">
        <v>356</v>
      </c>
      <c r="D299" s="104" t="s">
        <v>335</v>
      </c>
      <c r="E299" s="113">
        <v>1.836805555555556</v>
      </c>
      <c r="F299" s="104" t="s">
        <v>28</v>
      </c>
      <c r="G299" s="106">
        <v>8</v>
      </c>
      <c r="H299" s="107" t="s">
        <v>339</v>
      </c>
    </row>
    <row r="300" spans="1:8" ht="19.8" customHeight="1" x14ac:dyDescent="0.3">
      <c r="A300" s="112">
        <v>45985</v>
      </c>
      <c r="B300" s="104" t="s">
        <v>26</v>
      </c>
      <c r="C300" s="105" t="s">
        <v>352</v>
      </c>
      <c r="D300" s="104" t="s">
        <v>335</v>
      </c>
      <c r="E300" s="113">
        <v>1.944444444444444</v>
      </c>
      <c r="F300" s="104" t="s">
        <v>28</v>
      </c>
      <c r="G300" s="106">
        <v>6</v>
      </c>
      <c r="H300" s="107" t="s">
        <v>339</v>
      </c>
    </row>
    <row r="301" spans="1:8" ht="19.8" customHeight="1" x14ac:dyDescent="0.3">
      <c r="A301" s="112">
        <v>45985</v>
      </c>
      <c r="B301" s="104" t="s">
        <v>26</v>
      </c>
      <c r="C301" s="105" t="s">
        <v>357</v>
      </c>
      <c r="D301" s="104" t="s">
        <v>335</v>
      </c>
      <c r="E301" s="113">
        <v>1.5590277777777779</v>
      </c>
      <c r="F301" s="104" t="s">
        <v>28</v>
      </c>
      <c r="G301" s="106">
        <v>1</v>
      </c>
      <c r="H301" s="107" t="s">
        <v>339</v>
      </c>
    </row>
    <row r="302" spans="1:8" ht="19.8" customHeight="1" x14ac:dyDescent="0.3">
      <c r="A302" s="112">
        <v>45985</v>
      </c>
      <c r="B302" s="104" t="s">
        <v>26</v>
      </c>
      <c r="C302" s="105" t="s">
        <v>358</v>
      </c>
      <c r="D302" s="104" t="s">
        <v>335</v>
      </c>
      <c r="E302" s="113">
        <v>1.8888888888888891</v>
      </c>
      <c r="F302" s="104" t="s">
        <v>28</v>
      </c>
      <c r="G302" s="106">
        <v>8</v>
      </c>
      <c r="H302" s="107" t="s">
        <v>339</v>
      </c>
    </row>
    <row r="303" spans="1:8" ht="19.8" customHeight="1" x14ac:dyDescent="0.3">
      <c r="A303" s="112">
        <v>45985</v>
      </c>
      <c r="B303" s="104" t="s">
        <v>385</v>
      </c>
      <c r="C303" s="105" t="s">
        <v>386</v>
      </c>
      <c r="D303" s="104" t="s">
        <v>335</v>
      </c>
      <c r="E303" s="113">
        <v>1.493055555555556</v>
      </c>
      <c r="F303" s="104" t="s">
        <v>101</v>
      </c>
      <c r="G303" s="106">
        <v>9</v>
      </c>
      <c r="H303" s="107" t="s">
        <v>387</v>
      </c>
    </row>
    <row r="304" spans="1:8" ht="19.8" customHeight="1" x14ac:dyDescent="0.3">
      <c r="A304" s="112">
        <v>45985</v>
      </c>
      <c r="B304" s="104" t="s">
        <v>458</v>
      </c>
      <c r="C304" s="105" t="s">
        <v>480</v>
      </c>
      <c r="D304" s="104" t="s">
        <v>335</v>
      </c>
      <c r="E304" s="113">
        <v>1.0347222222222221</v>
      </c>
      <c r="F304" s="104" t="s">
        <v>101</v>
      </c>
      <c r="G304" s="106">
        <v>5</v>
      </c>
      <c r="H304" s="107" t="s">
        <v>481</v>
      </c>
    </row>
    <row r="305" spans="1:8" ht="19.8" customHeight="1" x14ac:dyDescent="0.3">
      <c r="A305" s="112">
        <v>45985</v>
      </c>
      <c r="B305" s="104" t="s">
        <v>26</v>
      </c>
      <c r="C305" s="105" t="s">
        <v>350</v>
      </c>
      <c r="D305" s="104" t="s">
        <v>335</v>
      </c>
      <c r="E305" s="113">
        <v>1.993055555555556</v>
      </c>
      <c r="F305" s="104" t="s">
        <v>31</v>
      </c>
      <c r="G305" s="106">
        <v>3</v>
      </c>
      <c r="H305" s="107" t="s">
        <v>95</v>
      </c>
    </row>
    <row r="306" spans="1:8" ht="19.8" customHeight="1" x14ac:dyDescent="0.3">
      <c r="A306" s="112">
        <v>45985</v>
      </c>
      <c r="B306" s="104" t="s">
        <v>26</v>
      </c>
      <c r="C306" s="105" t="s">
        <v>360</v>
      </c>
      <c r="D306" s="104" t="s">
        <v>335</v>
      </c>
      <c r="E306" s="113">
        <v>1.4861111111111109</v>
      </c>
      <c r="F306" s="104" t="s">
        <v>31</v>
      </c>
      <c r="G306" s="106">
        <v>1</v>
      </c>
      <c r="H306" s="107" t="s">
        <v>95</v>
      </c>
    </row>
    <row r="307" spans="1:8" ht="19.8" customHeight="1" x14ac:dyDescent="0.3">
      <c r="A307" s="112">
        <v>45985</v>
      </c>
      <c r="B307" s="104" t="s">
        <v>388</v>
      </c>
      <c r="C307" s="105" t="s">
        <v>462</v>
      </c>
      <c r="D307" s="104" t="s">
        <v>335</v>
      </c>
      <c r="E307" s="113">
        <v>1.0138888888888891</v>
      </c>
      <c r="F307" s="104" t="s">
        <v>390</v>
      </c>
      <c r="G307" s="106">
        <v>9</v>
      </c>
      <c r="H307" s="107" t="s">
        <v>482</v>
      </c>
    </row>
    <row r="308" spans="1:8" ht="19.8" customHeight="1" x14ac:dyDescent="0.3">
      <c r="A308" s="112">
        <v>45985</v>
      </c>
      <c r="B308" s="104" t="s">
        <v>41</v>
      </c>
      <c r="C308" s="105" t="s">
        <v>340</v>
      </c>
      <c r="D308" s="104" t="s">
        <v>335</v>
      </c>
      <c r="E308" s="113">
        <v>1.399305555555556</v>
      </c>
      <c r="F308" s="104" t="s">
        <v>45</v>
      </c>
      <c r="G308" s="106">
        <v>6</v>
      </c>
      <c r="H308" s="107" t="s">
        <v>143</v>
      </c>
    </row>
    <row r="309" spans="1:8" ht="19.8" customHeight="1" x14ac:dyDescent="0.3">
      <c r="A309" s="112">
        <v>45985</v>
      </c>
      <c r="B309" s="104" t="s">
        <v>41</v>
      </c>
      <c r="C309" s="105" t="s">
        <v>344</v>
      </c>
      <c r="D309" s="104" t="s">
        <v>335</v>
      </c>
      <c r="E309" s="113">
        <v>1.489583333333333</v>
      </c>
      <c r="F309" s="104" t="s">
        <v>45</v>
      </c>
      <c r="G309" s="106">
        <v>4</v>
      </c>
      <c r="H309" s="107" t="s">
        <v>143</v>
      </c>
    </row>
    <row r="310" spans="1:8" ht="19.8" customHeight="1" x14ac:dyDescent="0.3">
      <c r="A310" s="112">
        <v>45985</v>
      </c>
      <c r="B310" s="104" t="s">
        <v>41</v>
      </c>
      <c r="C310" s="105" t="s">
        <v>347</v>
      </c>
      <c r="D310" s="104" t="s">
        <v>335</v>
      </c>
      <c r="E310" s="113">
        <v>1.8888888888888891</v>
      </c>
      <c r="F310" s="104" t="s">
        <v>45</v>
      </c>
      <c r="G310" s="106">
        <v>3</v>
      </c>
      <c r="H310" s="107" t="s">
        <v>143</v>
      </c>
    </row>
    <row r="311" spans="1:8" ht="19.8" customHeight="1" x14ac:dyDescent="0.3">
      <c r="A311" s="112">
        <v>45985</v>
      </c>
      <c r="B311" s="104" t="s">
        <v>41</v>
      </c>
      <c r="C311" s="105" t="s">
        <v>336</v>
      </c>
      <c r="D311" s="104" t="s">
        <v>335</v>
      </c>
      <c r="E311" s="113">
        <v>1.989583333333333</v>
      </c>
      <c r="F311" s="104" t="s">
        <v>45</v>
      </c>
      <c r="G311" s="106">
        <v>9</v>
      </c>
      <c r="H311" s="107" t="s">
        <v>143</v>
      </c>
    </row>
    <row r="312" spans="1:8" ht="19.8" customHeight="1" x14ac:dyDescent="0.3">
      <c r="A312" s="112">
        <v>45985</v>
      </c>
      <c r="B312" s="104" t="s">
        <v>388</v>
      </c>
      <c r="C312" s="105" t="s">
        <v>389</v>
      </c>
      <c r="D312" s="104" t="s">
        <v>335</v>
      </c>
      <c r="E312" s="113">
        <v>1.225694444444444</v>
      </c>
      <c r="F312" s="104" t="s">
        <v>390</v>
      </c>
      <c r="G312" s="106">
        <v>2</v>
      </c>
      <c r="H312" s="107" t="s">
        <v>484</v>
      </c>
    </row>
    <row r="313" spans="1:8" ht="19.8" customHeight="1" x14ac:dyDescent="0.3">
      <c r="A313" s="120">
        <v>45985</v>
      </c>
      <c r="B313" s="121" t="s">
        <v>77</v>
      </c>
      <c r="C313" s="122" t="s">
        <v>419</v>
      </c>
      <c r="D313" s="121" t="s">
        <v>335</v>
      </c>
      <c r="E313" s="123">
        <v>1.802083333333333</v>
      </c>
      <c r="F313" s="121" t="s">
        <v>101</v>
      </c>
      <c r="G313" s="124">
        <v>8</v>
      </c>
      <c r="H313" s="125" t="s">
        <v>366</v>
      </c>
    </row>
    <row r="314" spans="1:8" ht="19.8" customHeight="1" x14ac:dyDescent="0.3">
      <c r="A314" s="112">
        <v>45985</v>
      </c>
      <c r="B314" s="104" t="s">
        <v>26</v>
      </c>
      <c r="C314" s="105" t="s">
        <v>359</v>
      </c>
      <c r="D314" s="104" t="s">
        <v>335</v>
      </c>
      <c r="E314" s="113">
        <v>1.7361111111111109</v>
      </c>
      <c r="F314" s="104" t="s">
        <v>31</v>
      </c>
      <c r="G314" s="106">
        <v>3</v>
      </c>
      <c r="H314" s="107" t="s">
        <v>35</v>
      </c>
    </row>
    <row r="315" spans="1:8" ht="19.8" customHeight="1" x14ac:dyDescent="0.3">
      <c r="A315" s="112">
        <v>45985</v>
      </c>
      <c r="B315" s="104" t="s">
        <v>26</v>
      </c>
      <c r="C315" s="105" t="s">
        <v>356</v>
      </c>
      <c r="D315" s="104" t="s">
        <v>335</v>
      </c>
      <c r="E315" s="113">
        <v>1.836805555555556</v>
      </c>
      <c r="F315" s="104" t="s">
        <v>31</v>
      </c>
      <c r="G315" s="106">
        <v>8</v>
      </c>
      <c r="H315" s="107" t="s">
        <v>35</v>
      </c>
    </row>
    <row r="316" spans="1:8" ht="19.8" customHeight="1" x14ac:dyDescent="0.3">
      <c r="A316" s="112">
        <v>45985</v>
      </c>
      <c r="B316" s="104" t="s">
        <v>26</v>
      </c>
      <c r="C316" s="105" t="s">
        <v>352</v>
      </c>
      <c r="D316" s="104" t="s">
        <v>335</v>
      </c>
      <c r="E316" s="113">
        <v>1.944444444444444</v>
      </c>
      <c r="F316" s="104" t="s">
        <v>31</v>
      </c>
      <c r="G316" s="106">
        <v>6</v>
      </c>
      <c r="H316" s="107" t="s">
        <v>35</v>
      </c>
    </row>
    <row r="317" spans="1:8" ht="19.8" customHeight="1" x14ac:dyDescent="0.3">
      <c r="A317" s="112">
        <v>45985</v>
      </c>
      <c r="B317" s="104" t="s">
        <v>26</v>
      </c>
      <c r="C317" s="105" t="s">
        <v>357</v>
      </c>
      <c r="D317" s="104" t="s">
        <v>335</v>
      </c>
      <c r="E317" s="113">
        <v>1.5590277777777779</v>
      </c>
      <c r="F317" s="104" t="s">
        <v>31</v>
      </c>
      <c r="G317" s="106">
        <v>1</v>
      </c>
      <c r="H317" s="107" t="s">
        <v>35</v>
      </c>
    </row>
    <row r="318" spans="1:8" ht="19.8" customHeight="1" x14ac:dyDescent="0.3">
      <c r="A318" s="112">
        <v>45985</v>
      </c>
      <c r="B318" s="104" t="s">
        <v>26</v>
      </c>
      <c r="C318" s="105" t="s">
        <v>358</v>
      </c>
      <c r="D318" s="104" t="s">
        <v>335</v>
      </c>
      <c r="E318" s="113">
        <v>1.8888888888888891</v>
      </c>
      <c r="F318" s="104" t="s">
        <v>31</v>
      </c>
      <c r="G318" s="106">
        <v>8</v>
      </c>
      <c r="H318" s="107" t="s">
        <v>35</v>
      </c>
    </row>
    <row r="319" spans="1:8" ht="19.8" customHeight="1" x14ac:dyDescent="0.3">
      <c r="A319" s="112">
        <v>45985</v>
      </c>
      <c r="B319" s="104" t="s">
        <v>26</v>
      </c>
      <c r="C319" s="105" t="s">
        <v>350</v>
      </c>
      <c r="D319" s="104" t="s">
        <v>335</v>
      </c>
      <c r="E319" s="113">
        <v>1.993055555555556</v>
      </c>
      <c r="F319" s="104" t="s">
        <v>34</v>
      </c>
      <c r="G319" s="106">
        <v>3</v>
      </c>
      <c r="H319" s="107" t="s">
        <v>149</v>
      </c>
    </row>
    <row r="320" spans="1:8" ht="19.8" customHeight="1" x14ac:dyDescent="0.3">
      <c r="A320" s="112">
        <v>45985</v>
      </c>
      <c r="B320" s="104" t="s">
        <v>26</v>
      </c>
      <c r="C320" s="105" t="s">
        <v>360</v>
      </c>
      <c r="D320" s="104" t="s">
        <v>335</v>
      </c>
      <c r="E320" s="113">
        <v>1.4861111111111109</v>
      </c>
      <c r="F320" s="104" t="s">
        <v>34</v>
      </c>
      <c r="G320" s="106">
        <v>1</v>
      </c>
      <c r="H320" s="107" t="s">
        <v>149</v>
      </c>
    </row>
    <row r="321" spans="1:8" ht="19.8" customHeight="1" x14ac:dyDescent="0.3">
      <c r="A321" s="112">
        <v>45985</v>
      </c>
      <c r="B321" s="104" t="s">
        <v>26</v>
      </c>
      <c r="C321" s="105" t="s">
        <v>354</v>
      </c>
      <c r="D321" s="104" t="s">
        <v>335</v>
      </c>
      <c r="E321" s="113">
        <v>1.3472222222222221</v>
      </c>
      <c r="F321" s="104" t="s">
        <v>28</v>
      </c>
      <c r="G321" s="106">
        <v>2</v>
      </c>
      <c r="H321" s="107" t="s">
        <v>478</v>
      </c>
    </row>
    <row r="322" spans="1:8" ht="19.8" customHeight="1" x14ac:dyDescent="0.3">
      <c r="A322" s="112">
        <v>45985</v>
      </c>
      <c r="B322" s="104" t="s">
        <v>388</v>
      </c>
      <c r="C322" s="105" t="s">
        <v>462</v>
      </c>
      <c r="D322" s="104" t="s">
        <v>335</v>
      </c>
      <c r="E322" s="113">
        <v>1.0138888888888891</v>
      </c>
      <c r="F322" s="104" t="s">
        <v>46</v>
      </c>
      <c r="G322" s="106">
        <v>9</v>
      </c>
      <c r="H322" s="107" t="s">
        <v>483</v>
      </c>
    </row>
    <row r="323" spans="1:8" ht="19.8" customHeight="1" x14ac:dyDescent="0.3">
      <c r="A323" s="112">
        <v>45985</v>
      </c>
      <c r="B323" s="104" t="s">
        <v>26</v>
      </c>
      <c r="C323" s="105" t="s">
        <v>359</v>
      </c>
      <c r="D323" s="104" t="s">
        <v>335</v>
      </c>
      <c r="E323" s="113">
        <v>1.7361111111111109</v>
      </c>
      <c r="F323" s="104" t="s">
        <v>34</v>
      </c>
      <c r="G323" s="106">
        <v>3</v>
      </c>
      <c r="H323" s="107" t="s">
        <v>123</v>
      </c>
    </row>
    <row r="324" spans="1:8" ht="19.8" customHeight="1" x14ac:dyDescent="0.3">
      <c r="A324" s="112">
        <v>45985</v>
      </c>
      <c r="B324" s="104" t="s">
        <v>26</v>
      </c>
      <c r="C324" s="105" t="s">
        <v>356</v>
      </c>
      <c r="D324" s="104" t="s">
        <v>335</v>
      </c>
      <c r="E324" s="113">
        <v>1.836805555555556</v>
      </c>
      <c r="F324" s="104" t="s">
        <v>34</v>
      </c>
      <c r="G324" s="106">
        <v>8</v>
      </c>
      <c r="H324" s="107" t="s">
        <v>123</v>
      </c>
    </row>
    <row r="325" spans="1:8" ht="19.8" customHeight="1" x14ac:dyDescent="0.3">
      <c r="A325" s="112">
        <v>45985</v>
      </c>
      <c r="B325" s="104" t="s">
        <v>26</v>
      </c>
      <c r="C325" s="105" t="s">
        <v>352</v>
      </c>
      <c r="D325" s="104" t="s">
        <v>335</v>
      </c>
      <c r="E325" s="113">
        <v>1.944444444444444</v>
      </c>
      <c r="F325" s="104" t="s">
        <v>34</v>
      </c>
      <c r="G325" s="106">
        <v>6</v>
      </c>
      <c r="H325" s="107" t="s">
        <v>123</v>
      </c>
    </row>
    <row r="326" spans="1:8" ht="19.8" customHeight="1" x14ac:dyDescent="0.3">
      <c r="A326" s="112">
        <v>45985</v>
      </c>
      <c r="B326" s="104" t="s">
        <v>26</v>
      </c>
      <c r="C326" s="105" t="s">
        <v>357</v>
      </c>
      <c r="D326" s="104" t="s">
        <v>335</v>
      </c>
      <c r="E326" s="113">
        <v>1.5590277777777779</v>
      </c>
      <c r="F326" s="104" t="s">
        <v>34</v>
      </c>
      <c r="G326" s="106">
        <v>1</v>
      </c>
      <c r="H326" s="107" t="s">
        <v>123</v>
      </c>
    </row>
    <row r="327" spans="1:8" ht="19.8" customHeight="1" x14ac:dyDescent="0.3">
      <c r="A327" s="112">
        <v>45985</v>
      </c>
      <c r="B327" s="104" t="s">
        <v>26</v>
      </c>
      <c r="C327" s="105" t="s">
        <v>358</v>
      </c>
      <c r="D327" s="104" t="s">
        <v>335</v>
      </c>
      <c r="E327" s="113">
        <v>1.8888888888888891</v>
      </c>
      <c r="F327" s="104" t="s">
        <v>34</v>
      </c>
      <c r="G327" s="106">
        <v>8</v>
      </c>
      <c r="H327" s="107" t="s">
        <v>123</v>
      </c>
    </row>
    <row r="328" spans="1:8" ht="19.8" customHeight="1" x14ac:dyDescent="0.3">
      <c r="A328" s="112">
        <v>45985</v>
      </c>
      <c r="B328" s="104" t="s">
        <v>388</v>
      </c>
      <c r="C328" s="105" t="s">
        <v>389</v>
      </c>
      <c r="D328" s="104" t="s">
        <v>335</v>
      </c>
      <c r="E328" s="113">
        <v>1.225694444444444</v>
      </c>
      <c r="F328" s="104" t="s">
        <v>46</v>
      </c>
      <c r="G328" s="106">
        <v>2</v>
      </c>
      <c r="H328" s="107" t="s">
        <v>485</v>
      </c>
    </row>
    <row r="329" spans="1:8" ht="19.8" customHeight="1" x14ac:dyDescent="0.3">
      <c r="A329" s="112">
        <v>45985</v>
      </c>
      <c r="B329" s="104" t="s">
        <v>41</v>
      </c>
      <c r="C329" s="105" t="s">
        <v>340</v>
      </c>
      <c r="D329" s="104" t="s">
        <v>335</v>
      </c>
      <c r="E329" s="113">
        <v>1.399305555555556</v>
      </c>
      <c r="F329" s="104" t="s">
        <v>46</v>
      </c>
      <c r="G329" s="106">
        <v>6</v>
      </c>
      <c r="H329" s="107" t="s">
        <v>47</v>
      </c>
    </row>
    <row r="330" spans="1:8" ht="19.8" customHeight="1" x14ac:dyDescent="0.3">
      <c r="A330" s="112">
        <v>45985</v>
      </c>
      <c r="B330" s="104" t="s">
        <v>41</v>
      </c>
      <c r="C330" s="105" t="s">
        <v>344</v>
      </c>
      <c r="D330" s="104" t="s">
        <v>335</v>
      </c>
      <c r="E330" s="113">
        <v>1.489583333333333</v>
      </c>
      <c r="F330" s="104" t="s">
        <v>46</v>
      </c>
      <c r="G330" s="106">
        <v>4</v>
      </c>
      <c r="H330" s="107" t="s">
        <v>47</v>
      </c>
    </row>
    <row r="331" spans="1:8" ht="19.8" customHeight="1" x14ac:dyDescent="0.3">
      <c r="A331" s="112">
        <v>45985</v>
      </c>
      <c r="B331" s="104" t="s">
        <v>41</v>
      </c>
      <c r="C331" s="105" t="s">
        <v>347</v>
      </c>
      <c r="D331" s="104" t="s">
        <v>335</v>
      </c>
      <c r="E331" s="113">
        <v>1.8888888888888891</v>
      </c>
      <c r="F331" s="104" t="s">
        <v>46</v>
      </c>
      <c r="G331" s="106">
        <v>3</v>
      </c>
      <c r="H331" s="107" t="s">
        <v>47</v>
      </c>
    </row>
    <row r="332" spans="1:8" ht="19.8" customHeight="1" x14ac:dyDescent="0.3">
      <c r="A332" s="112">
        <v>45985</v>
      </c>
      <c r="B332" s="104" t="s">
        <v>41</v>
      </c>
      <c r="C332" s="105" t="s">
        <v>336</v>
      </c>
      <c r="D332" s="104" t="s">
        <v>335</v>
      </c>
      <c r="E332" s="113">
        <v>1.989583333333333</v>
      </c>
      <c r="F332" s="104" t="s">
        <v>46</v>
      </c>
      <c r="G332" s="106">
        <v>9</v>
      </c>
      <c r="H332" s="107" t="s">
        <v>47</v>
      </c>
    </row>
    <row r="333" spans="1:8" ht="19.8" customHeight="1" x14ac:dyDescent="0.3">
      <c r="A333" s="112">
        <v>45985</v>
      </c>
      <c r="B333" s="104" t="s">
        <v>26</v>
      </c>
      <c r="C333" s="105" t="s">
        <v>354</v>
      </c>
      <c r="D333" s="104" t="s">
        <v>335</v>
      </c>
      <c r="E333" s="113">
        <v>1.3472222222222221</v>
      </c>
      <c r="F333" s="104" t="s">
        <v>31</v>
      </c>
      <c r="G333" s="106">
        <v>2</v>
      </c>
      <c r="H333" s="107" t="s">
        <v>457</v>
      </c>
    </row>
    <row r="334" spans="1:8" ht="19.8" customHeight="1" x14ac:dyDescent="0.3">
      <c r="A334" s="112">
        <v>45985</v>
      </c>
      <c r="B334" s="104" t="s">
        <v>48</v>
      </c>
      <c r="C334" s="105" t="s">
        <v>410</v>
      </c>
      <c r="D334" s="104" t="s">
        <v>335</v>
      </c>
      <c r="E334" s="113">
        <v>1.9722222222222221</v>
      </c>
      <c r="F334" s="104" t="s">
        <v>50</v>
      </c>
      <c r="G334" s="106">
        <v>9</v>
      </c>
      <c r="H334" s="107" t="s">
        <v>443</v>
      </c>
    </row>
    <row r="335" spans="1:8" ht="19.8" customHeight="1" x14ac:dyDescent="0.3">
      <c r="A335" s="112">
        <v>45985</v>
      </c>
      <c r="B335" s="104" t="s">
        <v>26</v>
      </c>
      <c r="C335" s="105" t="s">
        <v>354</v>
      </c>
      <c r="D335" s="104" t="s">
        <v>335</v>
      </c>
      <c r="E335" s="113">
        <v>1.3472222222222221</v>
      </c>
      <c r="F335" s="104" t="s">
        <v>34</v>
      </c>
      <c r="G335" s="106">
        <v>2</v>
      </c>
      <c r="H335" s="107" t="s">
        <v>479</v>
      </c>
    </row>
    <row r="336" spans="1:8" ht="19.8" customHeight="1" x14ac:dyDescent="0.3">
      <c r="A336" s="112">
        <v>45985</v>
      </c>
      <c r="B336" s="104" t="s">
        <v>60</v>
      </c>
      <c r="C336" s="105" t="s">
        <v>403</v>
      </c>
      <c r="D336" s="104" t="s">
        <v>335</v>
      </c>
      <c r="E336" s="113">
        <v>1.7013888888888891</v>
      </c>
      <c r="F336" s="104" t="s">
        <v>65</v>
      </c>
      <c r="G336" s="106">
        <v>9</v>
      </c>
      <c r="H336" s="107" t="s">
        <v>490</v>
      </c>
    </row>
    <row r="337" spans="1:8" ht="19.8" customHeight="1" x14ac:dyDescent="0.3">
      <c r="A337" s="112">
        <v>45985</v>
      </c>
      <c r="B337" s="104" t="s">
        <v>60</v>
      </c>
      <c r="C337" s="105" t="s">
        <v>446</v>
      </c>
      <c r="D337" s="104" t="s">
        <v>335</v>
      </c>
      <c r="E337" s="113">
        <v>1.489583333333333</v>
      </c>
      <c r="F337" s="104" t="s">
        <v>65</v>
      </c>
      <c r="G337" s="106">
        <v>4</v>
      </c>
      <c r="H337" s="107" t="s">
        <v>394</v>
      </c>
    </row>
    <row r="338" spans="1:8" ht="19.8" customHeight="1" x14ac:dyDescent="0.3">
      <c r="A338" s="112">
        <v>45985</v>
      </c>
      <c r="B338" s="104" t="s">
        <v>60</v>
      </c>
      <c r="C338" s="105" t="s">
        <v>402</v>
      </c>
      <c r="D338" s="104" t="s">
        <v>335</v>
      </c>
      <c r="E338" s="113">
        <v>1.118055555555556</v>
      </c>
      <c r="F338" s="104" t="s">
        <v>65</v>
      </c>
      <c r="G338" s="106">
        <v>9</v>
      </c>
      <c r="H338" s="107" t="s">
        <v>394</v>
      </c>
    </row>
    <row r="339" spans="1:8" ht="19.8" customHeight="1" x14ac:dyDescent="0.3">
      <c r="A339" s="112">
        <v>45985</v>
      </c>
      <c r="B339" s="104" t="s">
        <v>60</v>
      </c>
      <c r="C339" s="105" t="s">
        <v>393</v>
      </c>
      <c r="D339" s="104" t="s">
        <v>335</v>
      </c>
      <c r="E339" s="113">
        <v>1.2534722222222221</v>
      </c>
      <c r="F339" s="104" t="s">
        <v>65</v>
      </c>
      <c r="G339" s="106">
        <v>9</v>
      </c>
      <c r="H339" s="107" t="s">
        <v>394</v>
      </c>
    </row>
    <row r="340" spans="1:8" ht="19.8" customHeight="1" x14ac:dyDescent="0.3">
      <c r="A340" s="112">
        <v>45985</v>
      </c>
      <c r="B340" s="104" t="s">
        <v>60</v>
      </c>
      <c r="C340" s="105" t="s">
        <v>444</v>
      </c>
      <c r="D340" s="104" t="s">
        <v>335</v>
      </c>
      <c r="E340" s="113">
        <v>1.041666666666667</v>
      </c>
      <c r="F340" s="104" t="s">
        <v>65</v>
      </c>
      <c r="G340" s="106">
        <v>9</v>
      </c>
      <c r="H340" s="107" t="s">
        <v>394</v>
      </c>
    </row>
    <row r="341" spans="1:8" ht="19.8" customHeight="1" x14ac:dyDescent="0.3">
      <c r="A341" s="112">
        <v>45985</v>
      </c>
      <c r="B341" s="104" t="s">
        <v>60</v>
      </c>
      <c r="C341" s="105" t="s">
        <v>445</v>
      </c>
      <c r="D341" s="104" t="s">
        <v>335</v>
      </c>
      <c r="E341" s="113">
        <v>1.9409722222222221</v>
      </c>
      <c r="F341" s="104" t="s">
        <v>65</v>
      </c>
      <c r="G341" s="106">
        <v>3</v>
      </c>
      <c r="H341" s="107" t="s">
        <v>394</v>
      </c>
    </row>
    <row r="342" spans="1:8" ht="19.8" customHeight="1" x14ac:dyDescent="0.3">
      <c r="A342" s="112">
        <v>45985</v>
      </c>
      <c r="B342" s="104" t="s">
        <v>60</v>
      </c>
      <c r="C342" s="105" t="s">
        <v>395</v>
      </c>
      <c r="D342" s="104" t="s">
        <v>335</v>
      </c>
      <c r="E342" s="113">
        <v>1.989583333333333</v>
      </c>
      <c r="F342" s="104" t="s">
        <v>65</v>
      </c>
      <c r="G342" s="106">
        <v>4</v>
      </c>
      <c r="H342" s="107" t="s">
        <v>396</v>
      </c>
    </row>
    <row r="343" spans="1:8" ht="19.8" customHeight="1" x14ac:dyDescent="0.3">
      <c r="A343" s="112">
        <v>45985</v>
      </c>
      <c r="B343" s="104" t="s">
        <v>60</v>
      </c>
      <c r="C343" s="105" t="s">
        <v>397</v>
      </c>
      <c r="D343" s="104" t="s">
        <v>335</v>
      </c>
      <c r="E343" s="113">
        <v>1.399305555555556</v>
      </c>
      <c r="F343" s="104" t="s">
        <v>65</v>
      </c>
      <c r="G343" s="106">
        <v>4</v>
      </c>
      <c r="H343" s="107" t="s">
        <v>396</v>
      </c>
    </row>
    <row r="344" spans="1:8" ht="19.8" customHeight="1" x14ac:dyDescent="0.3">
      <c r="A344" s="112">
        <v>45985</v>
      </c>
      <c r="B344" s="104" t="s">
        <v>60</v>
      </c>
      <c r="C344" s="105" t="s">
        <v>398</v>
      </c>
      <c r="D344" s="104" t="s">
        <v>335</v>
      </c>
      <c r="E344" s="113">
        <v>1.489583333333333</v>
      </c>
      <c r="F344" s="104" t="s">
        <v>65</v>
      </c>
      <c r="G344" s="106">
        <v>4</v>
      </c>
      <c r="H344" s="107" t="s">
        <v>491</v>
      </c>
    </row>
    <row r="345" spans="1:8" ht="19.8" customHeight="1" x14ac:dyDescent="0.3">
      <c r="A345" s="112">
        <v>45985</v>
      </c>
      <c r="B345" s="104" t="s">
        <v>60</v>
      </c>
      <c r="C345" s="105" t="s">
        <v>399</v>
      </c>
      <c r="D345" s="104" t="s">
        <v>335</v>
      </c>
      <c r="E345" s="113">
        <v>1.8888888888888891</v>
      </c>
      <c r="F345" s="104" t="s">
        <v>65</v>
      </c>
      <c r="G345" s="106">
        <v>4</v>
      </c>
      <c r="H345" s="107" t="s">
        <v>491</v>
      </c>
    </row>
    <row r="346" spans="1:8" ht="19.8" customHeight="1" x14ac:dyDescent="0.3">
      <c r="A346" s="112">
        <v>45985</v>
      </c>
      <c r="B346" s="104" t="s">
        <v>60</v>
      </c>
      <c r="C346" s="105" t="s">
        <v>400</v>
      </c>
      <c r="D346" s="104" t="s">
        <v>335</v>
      </c>
      <c r="E346" s="113">
        <v>1.8298611111111109</v>
      </c>
      <c r="F346" s="104" t="s">
        <v>65</v>
      </c>
      <c r="G346" s="106">
        <v>9</v>
      </c>
      <c r="H346" s="107" t="s">
        <v>401</v>
      </c>
    </row>
    <row r="347" spans="1:8" ht="19.8" customHeight="1" x14ac:dyDescent="0.3">
      <c r="A347" s="112">
        <v>45985</v>
      </c>
      <c r="B347" s="104" t="s">
        <v>60</v>
      </c>
      <c r="C347" s="105" t="s">
        <v>404</v>
      </c>
      <c r="D347" s="104" t="s">
        <v>335</v>
      </c>
      <c r="E347" s="113">
        <v>1.7222222222222221</v>
      </c>
      <c r="F347" s="104" t="s">
        <v>65</v>
      </c>
      <c r="G347" s="106">
        <v>9</v>
      </c>
      <c r="H347" s="107" t="s">
        <v>401</v>
      </c>
    </row>
    <row r="348" spans="1:8" ht="19.8" customHeight="1" x14ac:dyDescent="0.3">
      <c r="A348" s="112">
        <v>45985</v>
      </c>
      <c r="B348" s="104" t="s">
        <v>48</v>
      </c>
      <c r="C348" s="105" t="s">
        <v>413</v>
      </c>
      <c r="D348" s="104" t="s">
        <v>335</v>
      </c>
      <c r="E348" s="113">
        <v>1.836805555555556</v>
      </c>
      <c r="F348" s="104" t="s">
        <v>50</v>
      </c>
      <c r="G348" s="106">
        <v>5</v>
      </c>
      <c r="H348" s="107" t="s">
        <v>409</v>
      </c>
    </row>
    <row r="349" spans="1:8" ht="19.8" customHeight="1" x14ac:dyDescent="0.3">
      <c r="A349" s="112">
        <v>45985</v>
      </c>
      <c r="B349" s="104" t="s">
        <v>48</v>
      </c>
      <c r="C349" s="105" t="s">
        <v>408</v>
      </c>
      <c r="D349" s="104" t="s">
        <v>335</v>
      </c>
      <c r="E349" s="113">
        <v>1.3125</v>
      </c>
      <c r="F349" s="104" t="s">
        <v>50</v>
      </c>
      <c r="G349" s="106">
        <v>4</v>
      </c>
      <c r="H349" s="107" t="s">
        <v>409</v>
      </c>
    </row>
    <row r="350" spans="1:8" ht="19.8" customHeight="1" x14ac:dyDescent="0.3">
      <c r="A350" s="112">
        <v>45985</v>
      </c>
      <c r="B350" s="104" t="s">
        <v>48</v>
      </c>
      <c r="C350" s="105" t="s">
        <v>411</v>
      </c>
      <c r="D350" s="104" t="s">
        <v>335</v>
      </c>
      <c r="E350" s="113">
        <v>1.104166666666667</v>
      </c>
      <c r="F350" s="104" t="s">
        <v>50</v>
      </c>
      <c r="G350" s="106">
        <v>1</v>
      </c>
      <c r="H350" s="107" t="s">
        <v>409</v>
      </c>
    </row>
    <row r="351" spans="1:8" ht="19.8" customHeight="1" x14ac:dyDescent="0.3">
      <c r="A351" s="112">
        <v>45985</v>
      </c>
      <c r="B351" s="104" t="s">
        <v>48</v>
      </c>
      <c r="C351" s="105" t="s">
        <v>463</v>
      </c>
      <c r="D351" s="104" t="s">
        <v>335</v>
      </c>
      <c r="E351" s="113">
        <v>1.3784722222222221</v>
      </c>
      <c r="F351" s="104" t="s">
        <v>50</v>
      </c>
      <c r="G351" s="106">
        <v>9</v>
      </c>
      <c r="H351" s="107" t="s">
        <v>409</v>
      </c>
    </row>
    <row r="352" spans="1:8" ht="19.8" customHeight="1" x14ac:dyDescent="0.3">
      <c r="A352" s="112">
        <v>45985</v>
      </c>
      <c r="B352" s="104" t="s">
        <v>48</v>
      </c>
      <c r="C352" s="105" t="s">
        <v>406</v>
      </c>
      <c r="D352" s="104" t="s">
        <v>335</v>
      </c>
      <c r="E352" s="113">
        <v>1.7847222222222221</v>
      </c>
      <c r="F352" s="104" t="s">
        <v>50</v>
      </c>
      <c r="G352" s="106">
        <v>9</v>
      </c>
      <c r="H352" s="107" t="s">
        <v>409</v>
      </c>
    </row>
    <row r="353" spans="1:8" ht="19.8" customHeight="1" x14ac:dyDescent="0.3">
      <c r="A353" s="112">
        <v>45985</v>
      </c>
      <c r="B353" s="104" t="s">
        <v>48</v>
      </c>
      <c r="C353" s="105" t="s">
        <v>412</v>
      </c>
      <c r="D353" s="104" t="s">
        <v>335</v>
      </c>
      <c r="E353" s="113">
        <v>1.600694444444444</v>
      </c>
      <c r="F353" s="104" t="s">
        <v>50</v>
      </c>
      <c r="G353" s="106">
        <v>9</v>
      </c>
      <c r="H353" s="107" t="s">
        <v>409</v>
      </c>
    </row>
    <row r="354" spans="1:8" ht="19.8" customHeight="1" x14ac:dyDescent="0.3">
      <c r="A354" s="112">
        <v>45985</v>
      </c>
      <c r="B354" s="104" t="s">
        <v>48</v>
      </c>
      <c r="C354" s="105" t="s">
        <v>415</v>
      </c>
      <c r="D354" s="104" t="s">
        <v>335</v>
      </c>
      <c r="E354" s="113">
        <v>1.0486111111111109</v>
      </c>
      <c r="F354" s="104" t="s">
        <v>50</v>
      </c>
      <c r="G354" s="106">
        <v>4</v>
      </c>
      <c r="H354" s="107" t="s">
        <v>409</v>
      </c>
    </row>
    <row r="355" spans="1:8" ht="19.8" customHeight="1" x14ac:dyDescent="0.3">
      <c r="A355" s="120">
        <v>45985</v>
      </c>
      <c r="B355" s="121" t="s">
        <v>77</v>
      </c>
      <c r="C355" s="122" t="s">
        <v>375</v>
      </c>
      <c r="D355" s="121" t="s">
        <v>335</v>
      </c>
      <c r="E355" s="123">
        <v>1.2465277777777779</v>
      </c>
      <c r="F355" s="121" t="s">
        <v>79</v>
      </c>
      <c r="G355" s="121"/>
      <c r="H355" s="125" t="s">
        <v>80</v>
      </c>
    </row>
    <row r="356" spans="1:8" ht="19.8" customHeight="1" x14ac:dyDescent="0.3">
      <c r="A356" s="126">
        <v>45985</v>
      </c>
      <c r="B356" s="109" t="s">
        <v>77</v>
      </c>
      <c r="C356" s="110" t="s">
        <v>383</v>
      </c>
      <c r="D356" s="109" t="s">
        <v>335</v>
      </c>
      <c r="E356" s="127">
        <v>1.4375</v>
      </c>
      <c r="F356" s="109" t="s">
        <v>79</v>
      </c>
      <c r="G356" s="109"/>
      <c r="H356" s="111" t="s">
        <v>80</v>
      </c>
    </row>
    <row r="357" spans="1:8" ht="19.8" customHeight="1" x14ac:dyDescent="0.3">
      <c r="A357" s="112">
        <v>45986</v>
      </c>
      <c r="B357" s="104" t="s">
        <v>41</v>
      </c>
      <c r="C357" s="105" t="s">
        <v>340</v>
      </c>
      <c r="D357" s="104" t="s">
        <v>335</v>
      </c>
      <c r="E357" s="113">
        <v>1.399305555555556</v>
      </c>
      <c r="F357" s="104" t="s">
        <v>43</v>
      </c>
      <c r="G357" s="106">
        <v>5</v>
      </c>
      <c r="H357" s="107" t="s">
        <v>492</v>
      </c>
    </row>
    <row r="358" spans="1:8" ht="19.8" customHeight="1" x14ac:dyDescent="0.3">
      <c r="A358" s="112">
        <v>45986</v>
      </c>
      <c r="B358" s="104" t="s">
        <v>41</v>
      </c>
      <c r="C358" s="105" t="s">
        <v>344</v>
      </c>
      <c r="D358" s="104" t="s">
        <v>335</v>
      </c>
      <c r="E358" s="113">
        <v>1.489583333333333</v>
      </c>
      <c r="F358" s="104" t="s">
        <v>43</v>
      </c>
      <c r="G358" s="106">
        <v>10</v>
      </c>
      <c r="H358" s="107" t="s">
        <v>492</v>
      </c>
    </row>
    <row r="359" spans="1:8" ht="19.8" customHeight="1" x14ac:dyDescent="0.3">
      <c r="A359" s="112">
        <v>45986</v>
      </c>
      <c r="B359" s="104" t="s">
        <v>41</v>
      </c>
      <c r="C359" s="105" t="s">
        <v>347</v>
      </c>
      <c r="D359" s="104" t="s">
        <v>335</v>
      </c>
      <c r="E359" s="113">
        <v>1.8888888888888891</v>
      </c>
      <c r="F359" s="104" t="s">
        <v>43</v>
      </c>
      <c r="G359" s="106">
        <v>8</v>
      </c>
      <c r="H359" s="107" t="s">
        <v>492</v>
      </c>
    </row>
    <row r="360" spans="1:8" ht="19.8" customHeight="1" x14ac:dyDescent="0.3">
      <c r="A360" s="112">
        <v>45986</v>
      </c>
      <c r="B360" s="104" t="s">
        <v>41</v>
      </c>
      <c r="C360" s="105" t="s">
        <v>336</v>
      </c>
      <c r="D360" s="104" t="s">
        <v>335</v>
      </c>
      <c r="E360" s="113">
        <v>1.989583333333333</v>
      </c>
      <c r="F360" s="104" t="s">
        <v>43</v>
      </c>
      <c r="G360" s="106">
        <v>7</v>
      </c>
      <c r="H360" s="107" t="s">
        <v>492</v>
      </c>
    </row>
    <row r="361" spans="1:8" ht="19.8" customHeight="1" x14ac:dyDescent="0.3">
      <c r="A361" s="112">
        <v>45986</v>
      </c>
      <c r="B361" s="104" t="s">
        <v>26</v>
      </c>
      <c r="C361" s="105" t="s">
        <v>354</v>
      </c>
      <c r="D361" s="104" t="s">
        <v>335</v>
      </c>
      <c r="E361" s="113">
        <v>1.3472222222222221</v>
      </c>
      <c r="F361" s="104" t="s">
        <v>28</v>
      </c>
      <c r="G361" s="106">
        <v>7</v>
      </c>
      <c r="H361" s="107" t="s">
        <v>339</v>
      </c>
    </row>
    <row r="362" spans="1:8" ht="19.8" customHeight="1" x14ac:dyDescent="0.3">
      <c r="A362" s="112">
        <v>45986</v>
      </c>
      <c r="B362" s="104" t="s">
        <v>26</v>
      </c>
      <c r="C362" s="105" t="s">
        <v>350</v>
      </c>
      <c r="D362" s="104" t="s">
        <v>335</v>
      </c>
      <c r="E362" s="113">
        <v>1.993055555555556</v>
      </c>
      <c r="F362" s="104" t="s">
        <v>28</v>
      </c>
      <c r="G362" s="106">
        <v>1</v>
      </c>
      <c r="H362" s="107" t="s">
        <v>339</v>
      </c>
    </row>
    <row r="363" spans="1:8" ht="19.8" customHeight="1" x14ac:dyDescent="0.3">
      <c r="A363" s="112">
        <v>45986</v>
      </c>
      <c r="B363" s="104" t="s">
        <v>26</v>
      </c>
      <c r="C363" s="105" t="s">
        <v>360</v>
      </c>
      <c r="D363" s="104" t="s">
        <v>335</v>
      </c>
      <c r="E363" s="113">
        <v>1.4861111111111109</v>
      </c>
      <c r="F363" s="104" t="s">
        <v>28</v>
      </c>
      <c r="G363" s="106">
        <v>1</v>
      </c>
      <c r="H363" s="107" t="s">
        <v>339</v>
      </c>
    </row>
    <row r="364" spans="1:8" ht="19.8" customHeight="1" x14ac:dyDescent="0.3">
      <c r="A364" s="112">
        <v>45986</v>
      </c>
      <c r="B364" s="104" t="s">
        <v>26</v>
      </c>
      <c r="C364" s="105" t="s">
        <v>357</v>
      </c>
      <c r="D364" s="104" t="s">
        <v>335</v>
      </c>
      <c r="E364" s="113">
        <v>1.3923611111111109</v>
      </c>
      <c r="F364" s="104" t="s">
        <v>28</v>
      </c>
      <c r="G364" s="106">
        <v>1</v>
      </c>
      <c r="H364" s="107" t="s">
        <v>339</v>
      </c>
    </row>
    <row r="365" spans="1:8" ht="19.8" customHeight="1" x14ac:dyDescent="0.3">
      <c r="A365" s="112">
        <v>45986</v>
      </c>
      <c r="B365" s="104" t="s">
        <v>385</v>
      </c>
      <c r="C365" s="105" t="s">
        <v>386</v>
      </c>
      <c r="D365" s="104" t="s">
        <v>335</v>
      </c>
      <c r="E365" s="113">
        <v>1.493055555555556</v>
      </c>
      <c r="F365" s="104" t="s">
        <v>101</v>
      </c>
      <c r="G365" s="106">
        <v>9</v>
      </c>
      <c r="H365" s="107" t="s">
        <v>387</v>
      </c>
    </row>
    <row r="366" spans="1:8" ht="19.8" customHeight="1" x14ac:dyDescent="0.3">
      <c r="A366" s="112">
        <v>45986</v>
      </c>
      <c r="B366" s="104" t="s">
        <v>385</v>
      </c>
      <c r="C366" s="105" t="s">
        <v>435</v>
      </c>
      <c r="D366" s="104" t="s">
        <v>335</v>
      </c>
      <c r="E366" s="113">
        <v>1.1875</v>
      </c>
      <c r="F366" s="104" t="s">
        <v>101</v>
      </c>
      <c r="G366" s="106">
        <v>9</v>
      </c>
      <c r="H366" s="107" t="s">
        <v>387</v>
      </c>
    </row>
    <row r="367" spans="1:8" ht="19.8" customHeight="1" x14ac:dyDescent="0.3">
      <c r="A367" s="112">
        <v>45986</v>
      </c>
      <c r="B367" s="104" t="s">
        <v>388</v>
      </c>
      <c r="C367" s="105" t="s">
        <v>462</v>
      </c>
      <c r="D367" s="104" t="s">
        <v>335</v>
      </c>
      <c r="E367" s="113">
        <v>1.055555555555556</v>
      </c>
      <c r="F367" s="104" t="s">
        <v>390</v>
      </c>
      <c r="G367" s="106">
        <v>9</v>
      </c>
      <c r="H367" s="107" t="s">
        <v>484</v>
      </c>
    </row>
    <row r="368" spans="1:8" ht="19.8" customHeight="1" x14ac:dyDescent="0.3">
      <c r="A368" s="120">
        <v>45986</v>
      </c>
      <c r="B368" s="121" t="s">
        <v>77</v>
      </c>
      <c r="C368" s="122" t="s">
        <v>427</v>
      </c>
      <c r="D368" s="121" t="s">
        <v>335</v>
      </c>
      <c r="E368" s="123">
        <v>1.052083333333333</v>
      </c>
      <c r="F368" s="121" t="s">
        <v>101</v>
      </c>
      <c r="G368" s="124">
        <v>9</v>
      </c>
      <c r="H368" s="125" t="s">
        <v>366</v>
      </c>
    </row>
    <row r="369" spans="1:8" ht="19.8" customHeight="1" x14ac:dyDescent="0.3">
      <c r="A369" s="112">
        <v>45986</v>
      </c>
      <c r="B369" s="104" t="s">
        <v>26</v>
      </c>
      <c r="C369" s="105" t="s">
        <v>356</v>
      </c>
      <c r="D369" s="104" t="s">
        <v>335</v>
      </c>
      <c r="E369" s="113">
        <v>1.836805555555556</v>
      </c>
      <c r="F369" s="104" t="s">
        <v>28</v>
      </c>
      <c r="G369" s="106">
        <v>6</v>
      </c>
      <c r="H369" s="107" t="s">
        <v>456</v>
      </c>
    </row>
    <row r="370" spans="1:8" ht="19.8" customHeight="1" x14ac:dyDescent="0.3">
      <c r="A370" s="112">
        <v>45986</v>
      </c>
      <c r="B370" s="104" t="s">
        <v>26</v>
      </c>
      <c r="C370" s="105" t="s">
        <v>352</v>
      </c>
      <c r="D370" s="104" t="s">
        <v>335</v>
      </c>
      <c r="E370" s="113">
        <v>1.944444444444444</v>
      </c>
      <c r="F370" s="104" t="s">
        <v>28</v>
      </c>
      <c r="G370" s="106">
        <v>7</v>
      </c>
      <c r="H370" s="107" t="s">
        <v>456</v>
      </c>
    </row>
    <row r="371" spans="1:8" ht="19.8" customHeight="1" x14ac:dyDescent="0.3">
      <c r="A371" s="112">
        <v>45986</v>
      </c>
      <c r="B371" s="104" t="s">
        <v>26</v>
      </c>
      <c r="C371" s="105" t="s">
        <v>358</v>
      </c>
      <c r="D371" s="104" t="s">
        <v>335</v>
      </c>
      <c r="E371" s="113">
        <v>1.8888888888888891</v>
      </c>
      <c r="F371" s="104" t="s">
        <v>28</v>
      </c>
      <c r="G371" s="106">
        <v>8</v>
      </c>
      <c r="H371" s="107" t="s">
        <v>456</v>
      </c>
    </row>
    <row r="372" spans="1:8" ht="19.8" customHeight="1" x14ac:dyDescent="0.3">
      <c r="A372" s="112">
        <v>45986</v>
      </c>
      <c r="B372" s="104" t="s">
        <v>26</v>
      </c>
      <c r="C372" s="105" t="s">
        <v>354</v>
      </c>
      <c r="D372" s="104" t="s">
        <v>335</v>
      </c>
      <c r="E372" s="113">
        <v>1.3472222222222221</v>
      </c>
      <c r="F372" s="104" t="s">
        <v>31</v>
      </c>
      <c r="G372" s="106">
        <v>7</v>
      </c>
      <c r="H372" s="107" t="s">
        <v>35</v>
      </c>
    </row>
    <row r="373" spans="1:8" ht="19.8" customHeight="1" x14ac:dyDescent="0.3">
      <c r="A373" s="112">
        <v>45986</v>
      </c>
      <c r="B373" s="104" t="s">
        <v>26</v>
      </c>
      <c r="C373" s="105" t="s">
        <v>350</v>
      </c>
      <c r="D373" s="104" t="s">
        <v>335</v>
      </c>
      <c r="E373" s="113">
        <v>1.993055555555556</v>
      </c>
      <c r="F373" s="104" t="s">
        <v>31</v>
      </c>
      <c r="G373" s="106">
        <v>1</v>
      </c>
      <c r="H373" s="107" t="s">
        <v>35</v>
      </c>
    </row>
    <row r="374" spans="1:8" ht="19.8" customHeight="1" x14ac:dyDescent="0.3">
      <c r="A374" s="112">
        <v>45986</v>
      </c>
      <c r="B374" s="104" t="s">
        <v>26</v>
      </c>
      <c r="C374" s="105" t="s">
        <v>360</v>
      </c>
      <c r="D374" s="104" t="s">
        <v>335</v>
      </c>
      <c r="E374" s="113">
        <v>1.4861111111111109</v>
      </c>
      <c r="F374" s="104" t="s">
        <v>31</v>
      </c>
      <c r="G374" s="106">
        <v>1</v>
      </c>
      <c r="H374" s="107" t="s">
        <v>35</v>
      </c>
    </row>
    <row r="375" spans="1:8" ht="19.8" customHeight="1" x14ac:dyDescent="0.3">
      <c r="A375" s="112">
        <v>45986</v>
      </c>
      <c r="B375" s="104" t="s">
        <v>26</v>
      </c>
      <c r="C375" s="105" t="s">
        <v>357</v>
      </c>
      <c r="D375" s="104" t="s">
        <v>335</v>
      </c>
      <c r="E375" s="113">
        <v>1.3923611111111109</v>
      </c>
      <c r="F375" s="104" t="s">
        <v>31</v>
      </c>
      <c r="G375" s="106">
        <v>1</v>
      </c>
      <c r="H375" s="107" t="s">
        <v>35</v>
      </c>
    </row>
    <row r="376" spans="1:8" ht="19.8" customHeight="1" x14ac:dyDescent="0.3">
      <c r="A376" s="112">
        <v>45986</v>
      </c>
      <c r="B376" s="104" t="s">
        <v>41</v>
      </c>
      <c r="C376" s="105" t="s">
        <v>340</v>
      </c>
      <c r="D376" s="104" t="s">
        <v>335</v>
      </c>
      <c r="E376" s="113">
        <v>1.399305555555556</v>
      </c>
      <c r="F376" s="104" t="s">
        <v>45</v>
      </c>
      <c r="G376" s="106">
        <v>5</v>
      </c>
      <c r="H376" s="107" t="s">
        <v>493</v>
      </c>
    </row>
    <row r="377" spans="1:8" ht="19.8" customHeight="1" x14ac:dyDescent="0.3">
      <c r="A377" s="112">
        <v>45986</v>
      </c>
      <c r="B377" s="104" t="s">
        <v>41</v>
      </c>
      <c r="C377" s="105" t="s">
        <v>344</v>
      </c>
      <c r="D377" s="104" t="s">
        <v>335</v>
      </c>
      <c r="E377" s="113">
        <v>1.489583333333333</v>
      </c>
      <c r="F377" s="104" t="s">
        <v>45</v>
      </c>
      <c r="G377" s="106">
        <v>10</v>
      </c>
      <c r="H377" s="107" t="s">
        <v>493</v>
      </c>
    </row>
    <row r="378" spans="1:8" ht="19.8" customHeight="1" x14ac:dyDescent="0.3">
      <c r="A378" s="112">
        <v>45986</v>
      </c>
      <c r="B378" s="104" t="s">
        <v>41</v>
      </c>
      <c r="C378" s="105" t="s">
        <v>347</v>
      </c>
      <c r="D378" s="104" t="s">
        <v>335</v>
      </c>
      <c r="E378" s="113">
        <v>1.8888888888888891</v>
      </c>
      <c r="F378" s="104" t="s">
        <v>45</v>
      </c>
      <c r="G378" s="106">
        <v>8</v>
      </c>
      <c r="H378" s="107" t="s">
        <v>493</v>
      </c>
    </row>
    <row r="379" spans="1:8" ht="19.8" customHeight="1" x14ac:dyDescent="0.3">
      <c r="A379" s="112">
        <v>45986</v>
      </c>
      <c r="B379" s="104" t="s">
        <v>41</v>
      </c>
      <c r="C379" s="105" t="s">
        <v>336</v>
      </c>
      <c r="D379" s="104" t="s">
        <v>335</v>
      </c>
      <c r="E379" s="113">
        <v>1.989583333333333</v>
      </c>
      <c r="F379" s="104" t="s">
        <v>45</v>
      </c>
      <c r="G379" s="106">
        <v>7</v>
      </c>
      <c r="H379" s="107" t="s">
        <v>493</v>
      </c>
    </row>
    <row r="380" spans="1:8" ht="19.8" customHeight="1" x14ac:dyDescent="0.3">
      <c r="A380" s="120">
        <v>45986</v>
      </c>
      <c r="B380" s="121" t="s">
        <v>77</v>
      </c>
      <c r="C380" s="122" t="s">
        <v>374</v>
      </c>
      <c r="D380" s="121" t="s">
        <v>335</v>
      </c>
      <c r="E380" s="123">
        <v>1.791666666666667</v>
      </c>
      <c r="F380" s="121" t="s">
        <v>101</v>
      </c>
      <c r="G380" s="124">
        <v>6</v>
      </c>
      <c r="H380" s="125" t="s">
        <v>379</v>
      </c>
    </row>
    <row r="381" spans="1:8" ht="19.8" customHeight="1" x14ac:dyDescent="0.3">
      <c r="A381" s="112">
        <v>45986</v>
      </c>
      <c r="B381" s="104" t="s">
        <v>26</v>
      </c>
      <c r="C381" s="105" t="s">
        <v>359</v>
      </c>
      <c r="D381" s="104" t="s">
        <v>335</v>
      </c>
      <c r="E381" s="113">
        <v>1.7361111111111109</v>
      </c>
      <c r="F381" s="104" t="s">
        <v>28</v>
      </c>
      <c r="G381" s="106">
        <v>9</v>
      </c>
      <c r="H381" s="107" t="s">
        <v>478</v>
      </c>
    </row>
    <row r="382" spans="1:8" ht="19.8" customHeight="1" x14ac:dyDescent="0.3">
      <c r="A382" s="112">
        <v>45986</v>
      </c>
      <c r="B382" s="104" t="s">
        <v>26</v>
      </c>
      <c r="C382" s="105" t="s">
        <v>356</v>
      </c>
      <c r="D382" s="104" t="s">
        <v>335</v>
      </c>
      <c r="E382" s="113">
        <v>1.836805555555556</v>
      </c>
      <c r="F382" s="104" t="s">
        <v>31</v>
      </c>
      <c r="G382" s="106">
        <v>6</v>
      </c>
      <c r="H382" s="107" t="s">
        <v>145</v>
      </c>
    </row>
    <row r="383" spans="1:8" ht="19.8" customHeight="1" x14ac:dyDescent="0.3">
      <c r="A383" s="112">
        <v>45986</v>
      </c>
      <c r="B383" s="104" t="s">
        <v>26</v>
      </c>
      <c r="C383" s="105" t="s">
        <v>352</v>
      </c>
      <c r="D383" s="104" t="s">
        <v>335</v>
      </c>
      <c r="E383" s="113">
        <v>1.944444444444444</v>
      </c>
      <c r="F383" s="104" t="s">
        <v>31</v>
      </c>
      <c r="G383" s="106">
        <v>7</v>
      </c>
      <c r="H383" s="107" t="s">
        <v>145</v>
      </c>
    </row>
    <row r="384" spans="1:8" ht="19.8" customHeight="1" x14ac:dyDescent="0.3">
      <c r="A384" s="112">
        <v>45986</v>
      </c>
      <c r="B384" s="104" t="s">
        <v>26</v>
      </c>
      <c r="C384" s="105" t="s">
        <v>358</v>
      </c>
      <c r="D384" s="104" t="s">
        <v>335</v>
      </c>
      <c r="E384" s="113">
        <v>1.8888888888888891</v>
      </c>
      <c r="F384" s="104" t="s">
        <v>31</v>
      </c>
      <c r="G384" s="106">
        <v>8</v>
      </c>
      <c r="H384" s="107" t="s">
        <v>145</v>
      </c>
    </row>
    <row r="385" spans="1:8" ht="19.8" customHeight="1" x14ac:dyDescent="0.3">
      <c r="A385" s="112">
        <v>45986</v>
      </c>
      <c r="B385" s="104" t="s">
        <v>26</v>
      </c>
      <c r="C385" s="105" t="s">
        <v>354</v>
      </c>
      <c r="D385" s="104" t="s">
        <v>335</v>
      </c>
      <c r="E385" s="113">
        <v>1.3472222222222221</v>
      </c>
      <c r="F385" s="104" t="s">
        <v>34</v>
      </c>
      <c r="G385" s="106">
        <v>7</v>
      </c>
      <c r="H385" s="107" t="s">
        <v>123</v>
      </c>
    </row>
    <row r="386" spans="1:8" ht="19.8" customHeight="1" x14ac:dyDescent="0.3">
      <c r="A386" s="112">
        <v>45986</v>
      </c>
      <c r="B386" s="104" t="s">
        <v>26</v>
      </c>
      <c r="C386" s="105" t="s">
        <v>350</v>
      </c>
      <c r="D386" s="104" t="s">
        <v>335</v>
      </c>
      <c r="E386" s="113">
        <v>1.993055555555556</v>
      </c>
      <c r="F386" s="104" t="s">
        <v>34</v>
      </c>
      <c r="G386" s="106">
        <v>1</v>
      </c>
      <c r="H386" s="107" t="s">
        <v>123</v>
      </c>
    </row>
    <row r="387" spans="1:8" ht="19.8" customHeight="1" x14ac:dyDescent="0.3">
      <c r="A387" s="112">
        <v>45986</v>
      </c>
      <c r="B387" s="104" t="s">
        <v>26</v>
      </c>
      <c r="C387" s="105" t="s">
        <v>360</v>
      </c>
      <c r="D387" s="104" t="s">
        <v>335</v>
      </c>
      <c r="E387" s="113">
        <v>1.4861111111111109</v>
      </c>
      <c r="F387" s="104" t="s">
        <v>34</v>
      </c>
      <c r="G387" s="106">
        <v>1</v>
      </c>
      <c r="H387" s="107" t="s">
        <v>123</v>
      </c>
    </row>
    <row r="388" spans="1:8" ht="19.8" customHeight="1" x14ac:dyDescent="0.3">
      <c r="A388" s="112">
        <v>45986</v>
      </c>
      <c r="B388" s="104" t="s">
        <v>26</v>
      </c>
      <c r="C388" s="105" t="s">
        <v>357</v>
      </c>
      <c r="D388" s="104" t="s">
        <v>335</v>
      </c>
      <c r="E388" s="113">
        <v>1.3923611111111109</v>
      </c>
      <c r="F388" s="104" t="s">
        <v>34</v>
      </c>
      <c r="G388" s="106">
        <v>1</v>
      </c>
      <c r="H388" s="107" t="s">
        <v>123</v>
      </c>
    </row>
    <row r="389" spans="1:8" ht="19.8" customHeight="1" x14ac:dyDescent="0.3">
      <c r="A389" s="112">
        <v>45986</v>
      </c>
      <c r="B389" s="104" t="s">
        <v>388</v>
      </c>
      <c r="C389" s="105" t="s">
        <v>462</v>
      </c>
      <c r="D389" s="104" t="s">
        <v>335</v>
      </c>
      <c r="E389" s="113">
        <v>1.055555555555556</v>
      </c>
      <c r="F389" s="104" t="s">
        <v>46</v>
      </c>
      <c r="G389" s="106">
        <v>9</v>
      </c>
      <c r="H389" s="107" t="s">
        <v>485</v>
      </c>
    </row>
    <row r="390" spans="1:8" ht="19.8" customHeight="1" x14ac:dyDescent="0.3">
      <c r="A390" s="112">
        <v>45986</v>
      </c>
      <c r="B390" s="104" t="s">
        <v>41</v>
      </c>
      <c r="C390" s="105" t="s">
        <v>340</v>
      </c>
      <c r="D390" s="104" t="s">
        <v>335</v>
      </c>
      <c r="E390" s="113">
        <v>1.399305555555556</v>
      </c>
      <c r="F390" s="104" t="s">
        <v>46</v>
      </c>
      <c r="G390" s="106">
        <v>5</v>
      </c>
      <c r="H390" s="107" t="s">
        <v>47</v>
      </c>
    </row>
    <row r="391" spans="1:8" ht="19.8" customHeight="1" x14ac:dyDescent="0.3">
      <c r="A391" s="112">
        <v>45986</v>
      </c>
      <c r="B391" s="104" t="s">
        <v>41</v>
      </c>
      <c r="C391" s="105" t="s">
        <v>344</v>
      </c>
      <c r="D391" s="104" t="s">
        <v>335</v>
      </c>
      <c r="E391" s="113">
        <v>1.489583333333333</v>
      </c>
      <c r="F391" s="104" t="s">
        <v>46</v>
      </c>
      <c r="G391" s="106">
        <v>10</v>
      </c>
      <c r="H391" s="107" t="s">
        <v>47</v>
      </c>
    </row>
    <row r="392" spans="1:8" ht="19.8" customHeight="1" x14ac:dyDescent="0.3">
      <c r="A392" s="112">
        <v>45986</v>
      </c>
      <c r="B392" s="104" t="s">
        <v>41</v>
      </c>
      <c r="C392" s="105" t="s">
        <v>347</v>
      </c>
      <c r="D392" s="104" t="s">
        <v>335</v>
      </c>
      <c r="E392" s="113">
        <v>1.8888888888888891</v>
      </c>
      <c r="F392" s="104" t="s">
        <v>46</v>
      </c>
      <c r="G392" s="106">
        <v>8</v>
      </c>
      <c r="H392" s="107" t="s">
        <v>47</v>
      </c>
    </row>
    <row r="393" spans="1:8" ht="19.8" customHeight="1" x14ac:dyDescent="0.3">
      <c r="A393" s="112">
        <v>45986</v>
      </c>
      <c r="B393" s="104" t="s">
        <v>41</v>
      </c>
      <c r="C393" s="105" t="s">
        <v>336</v>
      </c>
      <c r="D393" s="104" t="s">
        <v>335</v>
      </c>
      <c r="E393" s="113">
        <v>1.989583333333333</v>
      </c>
      <c r="F393" s="104" t="s">
        <v>46</v>
      </c>
      <c r="G393" s="106">
        <v>7</v>
      </c>
      <c r="H393" s="107" t="s">
        <v>47</v>
      </c>
    </row>
    <row r="394" spans="1:8" ht="19.8" customHeight="1" x14ac:dyDescent="0.3">
      <c r="A394" s="112">
        <v>45986</v>
      </c>
      <c r="B394" s="104" t="s">
        <v>26</v>
      </c>
      <c r="C394" s="105" t="s">
        <v>359</v>
      </c>
      <c r="D394" s="104" t="s">
        <v>335</v>
      </c>
      <c r="E394" s="113">
        <v>1.7361111111111109</v>
      </c>
      <c r="F394" s="104" t="s">
        <v>31</v>
      </c>
      <c r="G394" s="106">
        <v>9</v>
      </c>
      <c r="H394" s="107" t="s">
        <v>457</v>
      </c>
    </row>
    <row r="395" spans="1:8" ht="19.8" customHeight="1" x14ac:dyDescent="0.3">
      <c r="A395" s="112">
        <v>45986</v>
      </c>
      <c r="B395" s="104" t="s">
        <v>26</v>
      </c>
      <c r="C395" s="105" t="s">
        <v>356</v>
      </c>
      <c r="D395" s="104" t="s">
        <v>335</v>
      </c>
      <c r="E395" s="113">
        <v>1.836805555555556</v>
      </c>
      <c r="F395" s="104" t="s">
        <v>34</v>
      </c>
      <c r="G395" s="106">
        <v>6</v>
      </c>
      <c r="H395" s="107" t="s">
        <v>457</v>
      </c>
    </row>
    <row r="396" spans="1:8" ht="19.8" customHeight="1" x14ac:dyDescent="0.3">
      <c r="A396" s="112">
        <v>45986</v>
      </c>
      <c r="B396" s="104" t="s">
        <v>26</v>
      </c>
      <c r="C396" s="105" t="s">
        <v>352</v>
      </c>
      <c r="D396" s="104" t="s">
        <v>335</v>
      </c>
      <c r="E396" s="113">
        <v>1.944444444444444</v>
      </c>
      <c r="F396" s="104" t="s">
        <v>34</v>
      </c>
      <c r="G396" s="106">
        <v>7</v>
      </c>
      <c r="H396" s="107" t="s">
        <v>457</v>
      </c>
    </row>
    <row r="397" spans="1:8" ht="19.8" customHeight="1" x14ac:dyDescent="0.3">
      <c r="A397" s="112">
        <v>45986</v>
      </c>
      <c r="B397" s="104" t="s">
        <v>26</v>
      </c>
      <c r="C397" s="105" t="s">
        <v>358</v>
      </c>
      <c r="D397" s="104" t="s">
        <v>335</v>
      </c>
      <c r="E397" s="113">
        <v>1.8888888888888891</v>
      </c>
      <c r="F397" s="104" t="s">
        <v>34</v>
      </c>
      <c r="G397" s="106">
        <v>8</v>
      </c>
      <c r="H397" s="107" t="s">
        <v>457</v>
      </c>
    </row>
    <row r="398" spans="1:8" ht="19.8" customHeight="1" x14ac:dyDescent="0.3">
      <c r="A398" s="112">
        <v>45986</v>
      </c>
      <c r="B398" s="104" t="s">
        <v>26</v>
      </c>
      <c r="C398" s="105" t="s">
        <v>359</v>
      </c>
      <c r="D398" s="104" t="s">
        <v>335</v>
      </c>
      <c r="E398" s="113">
        <v>1.7361111111111109</v>
      </c>
      <c r="F398" s="104" t="s">
        <v>34</v>
      </c>
      <c r="G398" s="106">
        <v>9</v>
      </c>
      <c r="H398" s="107" t="s">
        <v>479</v>
      </c>
    </row>
    <row r="399" spans="1:8" ht="19.8" customHeight="1" x14ac:dyDescent="0.3">
      <c r="A399" s="112">
        <v>45986</v>
      </c>
      <c r="B399" s="104" t="s">
        <v>48</v>
      </c>
      <c r="C399" s="105" t="s">
        <v>410</v>
      </c>
      <c r="D399" s="104" t="s">
        <v>335</v>
      </c>
      <c r="E399" s="113">
        <v>1.9722222222222221</v>
      </c>
      <c r="F399" s="104" t="s">
        <v>50</v>
      </c>
      <c r="G399" s="106">
        <v>9</v>
      </c>
      <c r="H399" s="107" t="s">
        <v>476</v>
      </c>
    </row>
    <row r="400" spans="1:8" ht="19.8" customHeight="1" x14ac:dyDescent="0.3">
      <c r="A400" s="112">
        <v>45986</v>
      </c>
      <c r="B400" s="104" t="s">
        <v>48</v>
      </c>
      <c r="C400" s="105" t="s">
        <v>415</v>
      </c>
      <c r="D400" s="104" t="s">
        <v>335</v>
      </c>
      <c r="E400" s="113">
        <v>1.0486111111111109</v>
      </c>
      <c r="F400" s="104" t="s">
        <v>50</v>
      </c>
      <c r="G400" s="106">
        <v>9</v>
      </c>
      <c r="H400" s="107" t="s">
        <v>476</v>
      </c>
    </row>
    <row r="401" spans="1:8" ht="19.8" customHeight="1" x14ac:dyDescent="0.3">
      <c r="A401" s="112">
        <v>45986</v>
      </c>
      <c r="B401" s="104" t="s">
        <v>60</v>
      </c>
      <c r="C401" s="105" t="s">
        <v>444</v>
      </c>
      <c r="D401" s="104" t="s">
        <v>335</v>
      </c>
      <c r="E401" s="113">
        <v>1.041666666666667</v>
      </c>
      <c r="F401" s="104" t="s">
        <v>65</v>
      </c>
      <c r="G401" s="106">
        <v>6</v>
      </c>
      <c r="H401" s="107" t="s">
        <v>394</v>
      </c>
    </row>
    <row r="402" spans="1:8" ht="19.8" customHeight="1" x14ac:dyDescent="0.3">
      <c r="A402" s="112">
        <v>45986</v>
      </c>
      <c r="B402" s="104" t="s">
        <v>60</v>
      </c>
      <c r="C402" s="105" t="s">
        <v>445</v>
      </c>
      <c r="D402" s="104" t="s">
        <v>335</v>
      </c>
      <c r="E402" s="113">
        <v>1.9409722222222221</v>
      </c>
      <c r="F402" s="104" t="s">
        <v>65</v>
      </c>
      <c r="G402" s="106">
        <v>3</v>
      </c>
      <c r="H402" s="107" t="s">
        <v>394</v>
      </c>
    </row>
    <row r="403" spans="1:8" ht="19.8" customHeight="1" x14ac:dyDescent="0.3">
      <c r="A403" s="112">
        <v>45986</v>
      </c>
      <c r="B403" s="104" t="s">
        <v>60</v>
      </c>
      <c r="C403" s="105" t="s">
        <v>395</v>
      </c>
      <c r="D403" s="104" t="s">
        <v>335</v>
      </c>
      <c r="E403" s="113">
        <v>1.989583333333333</v>
      </c>
      <c r="F403" s="104" t="s">
        <v>65</v>
      </c>
      <c r="G403" s="106">
        <v>4</v>
      </c>
      <c r="H403" s="107" t="s">
        <v>491</v>
      </c>
    </row>
    <row r="404" spans="1:8" ht="19.8" customHeight="1" x14ac:dyDescent="0.3">
      <c r="A404" s="112">
        <v>45986</v>
      </c>
      <c r="B404" s="104" t="s">
        <v>60</v>
      </c>
      <c r="C404" s="105" t="s">
        <v>397</v>
      </c>
      <c r="D404" s="104" t="s">
        <v>335</v>
      </c>
      <c r="E404" s="113">
        <v>1.399305555555556</v>
      </c>
      <c r="F404" s="104" t="s">
        <v>65</v>
      </c>
      <c r="G404" s="106">
        <v>4</v>
      </c>
      <c r="H404" s="107" t="s">
        <v>491</v>
      </c>
    </row>
    <row r="405" spans="1:8" ht="19.8" customHeight="1" x14ac:dyDescent="0.3">
      <c r="A405" s="112">
        <v>45986</v>
      </c>
      <c r="B405" s="104" t="s">
        <v>60</v>
      </c>
      <c r="C405" s="105" t="s">
        <v>398</v>
      </c>
      <c r="D405" s="104" t="s">
        <v>335</v>
      </c>
      <c r="E405" s="113">
        <v>1.489583333333333</v>
      </c>
      <c r="F405" s="104" t="s">
        <v>65</v>
      </c>
      <c r="G405" s="106">
        <v>4</v>
      </c>
      <c r="H405" s="107" t="s">
        <v>491</v>
      </c>
    </row>
    <row r="406" spans="1:8" ht="19.8" customHeight="1" x14ac:dyDescent="0.3">
      <c r="A406" s="112">
        <v>45986</v>
      </c>
      <c r="B406" s="104" t="s">
        <v>60</v>
      </c>
      <c r="C406" s="105" t="s">
        <v>399</v>
      </c>
      <c r="D406" s="104" t="s">
        <v>335</v>
      </c>
      <c r="E406" s="113">
        <v>1.8888888888888891</v>
      </c>
      <c r="F406" s="104" t="s">
        <v>65</v>
      </c>
      <c r="G406" s="106">
        <v>4</v>
      </c>
      <c r="H406" s="107" t="s">
        <v>491</v>
      </c>
    </row>
    <row r="407" spans="1:8" ht="19.8" customHeight="1" x14ac:dyDescent="0.3">
      <c r="A407" s="112">
        <v>45986</v>
      </c>
      <c r="B407" s="104" t="s">
        <v>48</v>
      </c>
      <c r="C407" s="105" t="s">
        <v>413</v>
      </c>
      <c r="D407" s="104" t="s">
        <v>335</v>
      </c>
      <c r="E407" s="113">
        <v>1.836805555555556</v>
      </c>
      <c r="F407" s="104" t="s">
        <v>50</v>
      </c>
      <c r="G407" s="106">
        <v>8</v>
      </c>
      <c r="H407" s="107" t="s">
        <v>409</v>
      </c>
    </row>
    <row r="408" spans="1:8" ht="19.8" customHeight="1" x14ac:dyDescent="0.3">
      <c r="A408" s="112">
        <v>45986</v>
      </c>
      <c r="B408" s="104" t="s">
        <v>48</v>
      </c>
      <c r="C408" s="105" t="s">
        <v>408</v>
      </c>
      <c r="D408" s="104" t="s">
        <v>335</v>
      </c>
      <c r="E408" s="113">
        <v>1.3125</v>
      </c>
      <c r="F408" s="104" t="s">
        <v>50</v>
      </c>
      <c r="G408" s="106">
        <v>4</v>
      </c>
      <c r="H408" s="107" t="s">
        <v>409</v>
      </c>
    </row>
    <row r="409" spans="1:8" ht="19.8" customHeight="1" x14ac:dyDescent="0.3">
      <c r="A409" s="112">
        <v>45986</v>
      </c>
      <c r="B409" s="104" t="s">
        <v>48</v>
      </c>
      <c r="C409" s="105" t="s">
        <v>406</v>
      </c>
      <c r="D409" s="104" t="s">
        <v>335</v>
      </c>
      <c r="E409" s="113">
        <v>1.7847222222222221</v>
      </c>
      <c r="F409" s="104" t="s">
        <v>50</v>
      </c>
      <c r="G409" s="106">
        <v>9</v>
      </c>
      <c r="H409" s="107" t="s">
        <v>409</v>
      </c>
    </row>
    <row r="410" spans="1:8" ht="19.8" customHeight="1" x14ac:dyDescent="0.3">
      <c r="A410" s="112">
        <v>45986</v>
      </c>
      <c r="B410" s="104" t="s">
        <v>60</v>
      </c>
      <c r="C410" s="105" t="s">
        <v>402</v>
      </c>
      <c r="D410" s="104" t="s">
        <v>335</v>
      </c>
      <c r="E410" s="113">
        <v>1.118055555555556</v>
      </c>
      <c r="F410" s="104" t="s">
        <v>65</v>
      </c>
      <c r="G410" s="106">
        <v>2</v>
      </c>
      <c r="H410" s="107" t="s">
        <v>405</v>
      </c>
    </row>
    <row r="411" spans="1:8" ht="19.8" customHeight="1" x14ac:dyDescent="0.3">
      <c r="A411" s="112">
        <v>45986</v>
      </c>
      <c r="B411" s="104" t="s">
        <v>60</v>
      </c>
      <c r="C411" s="105" t="s">
        <v>403</v>
      </c>
      <c r="D411" s="104" t="s">
        <v>335</v>
      </c>
      <c r="E411" s="113">
        <v>1.7013888888888891</v>
      </c>
      <c r="F411" s="104" t="s">
        <v>65</v>
      </c>
      <c r="G411" s="106">
        <v>1</v>
      </c>
      <c r="H411" s="107" t="s">
        <v>405</v>
      </c>
    </row>
    <row r="412" spans="1:8" ht="19.8" customHeight="1" x14ac:dyDescent="0.3">
      <c r="A412" s="112">
        <v>45986</v>
      </c>
      <c r="B412" s="104" t="s">
        <v>60</v>
      </c>
      <c r="C412" s="105" t="s">
        <v>393</v>
      </c>
      <c r="D412" s="104" t="s">
        <v>335</v>
      </c>
      <c r="E412" s="113">
        <v>1.2534722222222221</v>
      </c>
      <c r="F412" s="104" t="s">
        <v>65</v>
      </c>
      <c r="G412" s="106">
        <v>6</v>
      </c>
      <c r="H412" s="107" t="s">
        <v>405</v>
      </c>
    </row>
    <row r="413" spans="1:8" ht="19.8" customHeight="1" x14ac:dyDescent="0.3">
      <c r="A413" s="120">
        <v>45986</v>
      </c>
      <c r="B413" s="121" t="s">
        <v>77</v>
      </c>
      <c r="C413" s="122" t="s">
        <v>363</v>
      </c>
      <c r="D413" s="121" t="s">
        <v>335</v>
      </c>
      <c r="E413" s="123">
        <v>1.381944444444444</v>
      </c>
      <c r="F413" s="121" t="s">
        <v>79</v>
      </c>
      <c r="G413" s="121"/>
      <c r="H413" s="125" t="s">
        <v>80</v>
      </c>
    </row>
    <row r="414" spans="1:8" ht="19.8" customHeight="1" x14ac:dyDescent="0.3">
      <c r="A414" s="120">
        <v>45986</v>
      </c>
      <c r="B414" s="121" t="s">
        <v>77</v>
      </c>
      <c r="C414" s="122" t="s">
        <v>383</v>
      </c>
      <c r="D414" s="121" t="s">
        <v>335</v>
      </c>
      <c r="E414" s="123">
        <v>1.4375</v>
      </c>
      <c r="F414" s="121" t="s">
        <v>79</v>
      </c>
      <c r="G414" s="121"/>
      <c r="H414" s="125" t="s">
        <v>80</v>
      </c>
    </row>
    <row r="415" spans="1:8" ht="19.8" customHeight="1" x14ac:dyDescent="0.3">
      <c r="A415" s="120">
        <v>45986</v>
      </c>
      <c r="B415" s="121" t="s">
        <v>77</v>
      </c>
      <c r="C415" s="122" t="s">
        <v>421</v>
      </c>
      <c r="D415" s="121" t="s">
        <v>335</v>
      </c>
      <c r="E415" s="123">
        <v>1.552083333333333</v>
      </c>
      <c r="F415" s="121" t="s">
        <v>79</v>
      </c>
      <c r="G415" s="121"/>
      <c r="H415" s="125" t="s">
        <v>80</v>
      </c>
    </row>
    <row r="416" spans="1:8" ht="19.8" customHeight="1" x14ac:dyDescent="0.3">
      <c r="A416" s="126">
        <v>45986</v>
      </c>
      <c r="B416" s="109" t="s">
        <v>77</v>
      </c>
      <c r="C416" s="110" t="s">
        <v>380</v>
      </c>
      <c r="D416" s="109" t="s">
        <v>335</v>
      </c>
      <c r="E416" s="127">
        <v>1.756944444444444</v>
      </c>
      <c r="F416" s="109" t="s">
        <v>79</v>
      </c>
      <c r="G416" s="109"/>
      <c r="H416" s="111" t="s">
        <v>80</v>
      </c>
    </row>
    <row r="417" spans="1:8" ht="19.8" customHeight="1" x14ac:dyDescent="0.3">
      <c r="A417" s="120">
        <v>45987</v>
      </c>
      <c r="B417" s="121" t="s">
        <v>77</v>
      </c>
      <c r="C417" s="122" t="s">
        <v>374</v>
      </c>
      <c r="D417" s="121" t="s">
        <v>335</v>
      </c>
      <c r="E417" s="123">
        <v>1.3402777777777779</v>
      </c>
      <c r="F417" s="121" t="s">
        <v>101</v>
      </c>
      <c r="G417" s="124">
        <v>1</v>
      </c>
      <c r="H417" s="125" t="s">
        <v>362</v>
      </c>
    </row>
    <row r="418" spans="1:8" ht="19.8" customHeight="1" x14ac:dyDescent="0.3">
      <c r="A418" s="112">
        <v>45987</v>
      </c>
      <c r="B418" s="104" t="s">
        <v>41</v>
      </c>
      <c r="C418" s="105" t="s">
        <v>340</v>
      </c>
      <c r="D418" s="104" t="s">
        <v>335</v>
      </c>
      <c r="E418" s="113">
        <v>1.399305555555556</v>
      </c>
      <c r="F418" s="104" t="s">
        <v>43</v>
      </c>
      <c r="G418" s="106">
        <v>11</v>
      </c>
      <c r="H418" s="107" t="s">
        <v>492</v>
      </c>
    </row>
    <row r="419" spans="1:8" ht="19.8" customHeight="1" x14ac:dyDescent="0.3">
      <c r="A419" s="112">
        <v>45987</v>
      </c>
      <c r="B419" s="104" t="s">
        <v>41</v>
      </c>
      <c r="C419" s="105" t="s">
        <v>344</v>
      </c>
      <c r="D419" s="104" t="s">
        <v>335</v>
      </c>
      <c r="E419" s="113">
        <v>1.489583333333333</v>
      </c>
      <c r="F419" s="104" t="s">
        <v>43</v>
      </c>
      <c r="G419" s="106">
        <v>10</v>
      </c>
      <c r="H419" s="107" t="s">
        <v>492</v>
      </c>
    </row>
    <row r="420" spans="1:8" ht="19.8" customHeight="1" x14ac:dyDescent="0.3">
      <c r="A420" s="112">
        <v>45987</v>
      </c>
      <c r="B420" s="104" t="s">
        <v>41</v>
      </c>
      <c r="C420" s="105" t="s">
        <v>336</v>
      </c>
      <c r="D420" s="104" t="s">
        <v>335</v>
      </c>
      <c r="E420" s="113">
        <v>1.989583333333333</v>
      </c>
      <c r="F420" s="104" t="s">
        <v>43</v>
      </c>
      <c r="G420" s="106">
        <v>10</v>
      </c>
      <c r="H420" s="107" t="s">
        <v>492</v>
      </c>
    </row>
    <row r="421" spans="1:8" ht="19.8" customHeight="1" x14ac:dyDescent="0.3">
      <c r="A421" s="112">
        <v>45987</v>
      </c>
      <c r="B421" s="104" t="s">
        <v>26</v>
      </c>
      <c r="C421" s="105" t="s">
        <v>354</v>
      </c>
      <c r="D421" s="104" t="s">
        <v>335</v>
      </c>
      <c r="E421" s="113">
        <v>1.3472222222222221</v>
      </c>
      <c r="F421" s="104" t="s">
        <v>28</v>
      </c>
      <c r="G421" s="106">
        <v>1</v>
      </c>
      <c r="H421" s="107" t="s">
        <v>339</v>
      </c>
    </row>
    <row r="422" spans="1:8" ht="19.8" customHeight="1" x14ac:dyDescent="0.3">
      <c r="A422" s="112">
        <v>45987</v>
      </c>
      <c r="B422" s="104" t="s">
        <v>385</v>
      </c>
      <c r="C422" s="105" t="s">
        <v>386</v>
      </c>
      <c r="D422" s="104" t="s">
        <v>335</v>
      </c>
      <c r="E422" s="113">
        <v>1.493055555555556</v>
      </c>
      <c r="F422" s="104" t="s">
        <v>101</v>
      </c>
      <c r="G422" s="106">
        <v>9</v>
      </c>
      <c r="H422" s="107" t="s">
        <v>387</v>
      </c>
    </row>
    <row r="423" spans="1:8" ht="19.8" customHeight="1" x14ac:dyDescent="0.3">
      <c r="A423" s="112">
        <v>45987</v>
      </c>
      <c r="B423" s="104" t="s">
        <v>385</v>
      </c>
      <c r="C423" s="105" t="s">
        <v>435</v>
      </c>
      <c r="D423" s="104" t="s">
        <v>335</v>
      </c>
      <c r="E423" s="113">
        <v>1.194444444444444</v>
      </c>
      <c r="F423" s="104" t="s">
        <v>101</v>
      </c>
      <c r="G423" s="106">
        <v>6</v>
      </c>
      <c r="H423" s="107" t="s">
        <v>387</v>
      </c>
    </row>
    <row r="424" spans="1:8" ht="19.8" customHeight="1" x14ac:dyDescent="0.3">
      <c r="A424" s="112">
        <v>45987</v>
      </c>
      <c r="B424" s="104" t="s">
        <v>41</v>
      </c>
      <c r="C424" s="105" t="s">
        <v>347</v>
      </c>
      <c r="D424" s="104" t="s">
        <v>335</v>
      </c>
      <c r="E424" s="113">
        <v>1.8888888888888891</v>
      </c>
      <c r="F424" s="104" t="s">
        <v>43</v>
      </c>
      <c r="G424" s="106">
        <v>8</v>
      </c>
      <c r="H424" s="107" t="s">
        <v>508</v>
      </c>
    </row>
    <row r="425" spans="1:8" ht="19.8" customHeight="1" x14ac:dyDescent="0.3">
      <c r="A425" s="112">
        <v>45987</v>
      </c>
      <c r="B425" s="104" t="s">
        <v>388</v>
      </c>
      <c r="C425" s="105" t="s">
        <v>389</v>
      </c>
      <c r="D425" s="104" t="s">
        <v>335</v>
      </c>
      <c r="E425" s="113">
        <v>1.225694444444444</v>
      </c>
      <c r="F425" s="104" t="s">
        <v>390</v>
      </c>
      <c r="G425" s="106">
        <v>9</v>
      </c>
      <c r="H425" s="107" t="s">
        <v>509</v>
      </c>
    </row>
    <row r="426" spans="1:8" ht="19.8" customHeight="1" x14ac:dyDescent="0.3">
      <c r="A426" s="112">
        <v>45987</v>
      </c>
      <c r="B426" s="104" t="s">
        <v>26</v>
      </c>
      <c r="C426" s="105" t="s">
        <v>350</v>
      </c>
      <c r="D426" s="104" t="s">
        <v>335</v>
      </c>
      <c r="E426" s="113">
        <v>1.993055555555556</v>
      </c>
      <c r="F426" s="104" t="s">
        <v>28</v>
      </c>
      <c r="G426" s="106">
        <v>9</v>
      </c>
      <c r="H426" s="107" t="s">
        <v>456</v>
      </c>
    </row>
    <row r="427" spans="1:8" ht="19.8" customHeight="1" x14ac:dyDescent="0.3">
      <c r="A427" s="112">
        <v>45987</v>
      </c>
      <c r="B427" s="104" t="s">
        <v>26</v>
      </c>
      <c r="C427" s="105" t="s">
        <v>359</v>
      </c>
      <c r="D427" s="104" t="s">
        <v>335</v>
      </c>
      <c r="E427" s="113">
        <v>1.7361111111111109</v>
      </c>
      <c r="F427" s="104" t="s">
        <v>28</v>
      </c>
      <c r="G427" s="106">
        <v>2</v>
      </c>
      <c r="H427" s="107" t="s">
        <v>456</v>
      </c>
    </row>
    <row r="428" spans="1:8" ht="19.8" customHeight="1" x14ac:dyDescent="0.3">
      <c r="A428" s="112">
        <v>45987</v>
      </c>
      <c r="B428" s="104" t="s">
        <v>26</v>
      </c>
      <c r="C428" s="105" t="s">
        <v>356</v>
      </c>
      <c r="D428" s="104" t="s">
        <v>335</v>
      </c>
      <c r="E428" s="113">
        <v>1.836805555555556</v>
      </c>
      <c r="F428" s="104" t="s">
        <v>28</v>
      </c>
      <c r="G428" s="106">
        <v>5</v>
      </c>
      <c r="H428" s="107" t="s">
        <v>456</v>
      </c>
    </row>
    <row r="429" spans="1:8" ht="19.8" customHeight="1" x14ac:dyDescent="0.3">
      <c r="A429" s="112">
        <v>45987</v>
      </c>
      <c r="B429" s="104" t="s">
        <v>26</v>
      </c>
      <c r="C429" s="105" t="s">
        <v>352</v>
      </c>
      <c r="D429" s="104" t="s">
        <v>335</v>
      </c>
      <c r="E429" s="113">
        <v>1.944444444444444</v>
      </c>
      <c r="F429" s="104" t="s">
        <v>28</v>
      </c>
      <c r="G429" s="106">
        <v>6</v>
      </c>
      <c r="H429" s="107" t="s">
        <v>456</v>
      </c>
    </row>
    <row r="430" spans="1:8" ht="19.8" customHeight="1" x14ac:dyDescent="0.3">
      <c r="A430" s="112">
        <v>45987</v>
      </c>
      <c r="B430" s="104" t="s">
        <v>26</v>
      </c>
      <c r="C430" s="105" t="s">
        <v>360</v>
      </c>
      <c r="D430" s="104" t="s">
        <v>335</v>
      </c>
      <c r="E430" s="113">
        <v>1.4861111111111109</v>
      </c>
      <c r="F430" s="104" t="s">
        <v>28</v>
      </c>
      <c r="G430" s="106">
        <v>9</v>
      </c>
      <c r="H430" s="107" t="s">
        <v>456</v>
      </c>
    </row>
    <row r="431" spans="1:8" ht="19.8" customHeight="1" x14ac:dyDescent="0.3">
      <c r="A431" s="112">
        <v>45987</v>
      </c>
      <c r="B431" s="104" t="s">
        <v>26</v>
      </c>
      <c r="C431" s="105" t="s">
        <v>357</v>
      </c>
      <c r="D431" s="104" t="s">
        <v>335</v>
      </c>
      <c r="E431" s="113">
        <v>1.3923611111111109</v>
      </c>
      <c r="F431" s="104" t="s">
        <v>28</v>
      </c>
      <c r="G431" s="106">
        <v>9</v>
      </c>
      <c r="H431" s="107" t="s">
        <v>456</v>
      </c>
    </row>
    <row r="432" spans="1:8" ht="19.8" customHeight="1" x14ac:dyDescent="0.3">
      <c r="A432" s="112">
        <v>45987</v>
      </c>
      <c r="B432" s="104" t="s">
        <v>26</v>
      </c>
      <c r="C432" s="105" t="s">
        <v>358</v>
      </c>
      <c r="D432" s="104" t="s">
        <v>335</v>
      </c>
      <c r="E432" s="113">
        <v>1.8888888888888891</v>
      </c>
      <c r="F432" s="104" t="s">
        <v>28</v>
      </c>
      <c r="G432" s="106">
        <v>5</v>
      </c>
      <c r="H432" s="107" t="s">
        <v>456</v>
      </c>
    </row>
    <row r="433" spans="1:8" ht="19.8" customHeight="1" x14ac:dyDescent="0.3">
      <c r="A433" s="112">
        <v>45987</v>
      </c>
      <c r="B433" s="104" t="s">
        <v>458</v>
      </c>
      <c r="C433" s="105" t="s">
        <v>480</v>
      </c>
      <c r="D433" s="104" t="s">
        <v>335</v>
      </c>
      <c r="E433" s="113">
        <v>1.461805555555556</v>
      </c>
      <c r="F433" s="104" t="s">
        <v>101</v>
      </c>
      <c r="G433" s="106">
        <v>5</v>
      </c>
      <c r="H433" s="107" t="s">
        <v>122</v>
      </c>
    </row>
    <row r="434" spans="1:8" ht="19.8" customHeight="1" x14ac:dyDescent="0.3">
      <c r="A434" s="112">
        <v>45987</v>
      </c>
      <c r="B434" s="104" t="s">
        <v>26</v>
      </c>
      <c r="C434" s="105" t="s">
        <v>354</v>
      </c>
      <c r="D434" s="104" t="s">
        <v>335</v>
      </c>
      <c r="E434" s="113">
        <v>1.3472222222222221</v>
      </c>
      <c r="F434" s="104" t="s">
        <v>31</v>
      </c>
      <c r="G434" s="106">
        <v>1</v>
      </c>
      <c r="H434" s="107" t="s">
        <v>35</v>
      </c>
    </row>
    <row r="435" spans="1:8" ht="19.8" customHeight="1" x14ac:dyDescent="0.3">
      <c r="A435" s="112">
        <v>45987</v>
      </c>
      <c r="B435" s="104" t="s">
        <v>41</v>
      </c>
      <c r="C435" s="105" t="s">
        <v>340</v>
      </c>
      <c r="D435" s="104" t="s">
        <v>335</v>
      </c>
      <c r="E435" s="113">
        <v>1.399305555555556</v>
      </c>
      <c r="F435" s="104" t="s">
        <v>45</v>
      </c>
      <c r="G435" s="106">
        <v>11</v>
      </c>
      <c r="H435" s="107" t="s">
        <v>493</v>
      </c>
    </row>
    <row r="436" spans="1:8" ht="19.8" customHeight="1" x14ac:dyDescent="0.3">
      <c r="A436" s="112">
        <v>45987</v>
      </c>
      <c r="B436" s="104" t="s">
        <v>41</v>
      </c>
      <c r="C436" s="105" t="s">
        <v>344</v>
      </c>
      <c r="D436" s="104" t="s">
        <v>335</v>
      </c>
      <c r="E436" s="113">
        <v>1.489583333333333</v>
      </c>
      <c r="F436" s="104" t="s">
        <v>45</v>
      </c>
      <c r="G436" s="106">
        <v>10</v>
      </c>
      <c r="H436" s="107" t="s">
        <v>493</v>
      </c>
    </row>
    <row r="437" spans="1:8" ht="19.8" customHeight="1" x14ac:dyDescent="0.3">
      <c r="A437" s="112">
        <v>45987</v>
      </c>
      <c r="B437" s="104" t="s">
        <v>41</v>
      </c>
      <c r="C437" s="105" t="s">
        <v>336</v>
      </c>
      <c r="D437" s="104" t="s">
        <v>335</v>
      </c>
      <c r="E437" s="113">
        <v>1.989583333333333</v>
      </c>
      <c r="F437" s="104" t="s">
        <v>45</v>
      </c>
      <c r="G437" s="106">
        <v>10</v>
      </c>
      <c r="H437" s="107" t="s">
        <v>493</v>
      </c>
    </row>
    <row r="438" spans="1:8" ht="19.8" customHeight="1" x14ac:dyDescent="0.3">
      <c r="A438" s="120">
        <v>45987</v>
      </c>
      <c r="B438" s="121" t="s">
        <v>77</v>
      </c>
      <c r="C438" s="122" t="s">
        <v>427</v>
      </c>
      <c r="D438" s="121" t="s">
        <v>335</v>
      </c>
      <c r="E438" s="123">
        <v>1.9375</v>
      </c>
      <c r="F438" s="121" t="s">
        <v>101</v>
      </c>
      <c r="G438" s="124">
        <v>9</v>
      </c>
      <c r="H438" s="125" t="s">
        <v>379</v>
      </c>
    </row>
    <row r="439" spans="1:8" ht="19.8" customHeight="1" x14ac:dyDescent="0.3">
      <c r="A439" s="112">
        <v>45987</v>
      </c>
      <c r="B439" s="104" t="s">
        <v>41</v>
      </c>
      <c r="C439" s="105" t="s">
        <v>347</v>
      </c>
      <c r="D439" s="104" t="s">
        <v>335</v>
      </c>
      <c r="E439" s="113">
        <v>1.8888888888888891</v>
      </c>
      <c r="F439" s="104" t="s">
        <v>45</v>
      </c>
      <c r="G439" s="106">
        <v>8</v>
      </c>
      <c r="H439" s="107" t="s">
        <v>478</v>
      </c>
    </row>
    <row r="440" spans="1:8" ht="19.8" customHeight="1" x14ac:dyDescent="0.3">
      <c r="A440" s="112">
        <v>45987</v>
      </c>
      <c r="B440" s="104" t="s">
        <v>26</v>
      </c>
      <c r="C440" s="105" t="s">
        <v>350</v>
      </c>
      <c r="D440" s="104" t="s">
        <v>335</v>
      </c>
      <c r="E440" s="113">
        <v>1.993055555555556</v>
      </c>
      <c r="F440" s="104" t="s">
        <v>31</v>
      </c>
      <c r="G440" s="106">
        <v>9</v>
      </c>
      <c r="H440" s="107" t="s">
        <v>145</v>
      </c>
    </row>
    <row r="441" spans="1:8" ht="19.8" customHeight="1" x14ac:dyDescent="0.3">
      <c r="A441" s="112">
        <v>45987</v>
      </c>
      <c r="B441" s="104" t="s">
        <v>26</v>
      </c>
      <c r="C441" s="105" t="s">
        <v>359</v>
      </c>
      <c r="D441" s="104" t="s">
        <v>335</v>
      </c>
      <c r="E441" s="113">
        <v>1.7361111111111109</v>
      </c>
      <c r="F441" s="104" t="s">
        <v>31</v>
      </c>
      <c r="G441" s="106">
        <v>2</v>
      </c>
      <c r="H441" s="107" t="s">
        <v>145</v>
      </c>
    </row>
    <row r="442" spans="1:8" ht="19.8" customHeight="1" x14ac:dyDescent="0.3">
      <c r="A442" s="112">
        <v>45987</v>
      </c>
      <c r="B442" s="104" t="s">
        <v>26</v>
      </c>
      <c r="C442" s="105" t="s">
        <v>356</v>
      </c>
      <c r="D442" s="104" t="s">
        <v>335</v>
      </c>
      <c r="E442" s="113">
        <v>1.836805555555556</v>
      </c>
      <c r="F442" s="104" t="s">
        <v>31</v>
      </c>
      <c r="G442" s="106">
        <v>5</v>
      </c>
      <c r="H442" s="107" t="s">
        <v>145</v>
      </c>
    </row>
    <row r="443" spans="1:8" ht="19.8" customHeight="1" x14ac:dyDescent="0.3">
      <c r="A443" s="112">
        <v>45987</v>
      </c>
      <c r="B443" s="104" t="s">
        <v>26</v>
      </c>
      <c r="C443" s="105" t="s">
        <v>352</v>
      </c>
      <c r="D443" s="104" t="s">
        <v>335</v>
      </c>
      <c r="E443" s="113">
        <v>1.944444444444444</v>
      </c>
      <c r="F443" s="104" t="s">
        <v>31</v>
      </c>
      <c r="G443" s="106">
        <v>6</v>
      </c>
      <c r="H443" s="107" t="s">
        <v>145</v>
      </c>
    </row>
    <row r="444" spans="1:8" ht="19.8" customHeight="1" x14ac:dyDescent="0.3">
      <c r="A444" s="112">
        <v>45987</v>
      </c>
      <c r="B444" s="104" t="s">
        <v>26</v>
      </c>
      <c r="C444" s="105" t="s">
        <v>360</v>
      </c>
      <c r="D444" s="104" t="s">
        <v>335</v>
      </c>
      <c r="E444" s="113">
        <v>1.4861111111111109</v>
      </c>
      <c r="F444" s="104" t="s">
        <v>31</v>
      </c>
      <c r="G444" s="106">
        <v>9</v>
      </c>
      <c r="H444" s="107" t="s">
        <v>145</v>
      </c>
    </row>
    <row r="445" spans="1:8" ht="19.8" customHeight="1" x14ac:dyDescent="0.3">
      <c r="A445" s="112">
        <v>45987</v>
      </c>
      <c r="B445" s="104" t="s">
        <v>26</v>
      </c>
      <c r="C445" s="105" t="s">
        <v>357</v>
      </c>
      <c r="D445" s="104" t="s">
        <v>335</v>
      </c>
      <c r="E445" s="113">
        <v>1.3923611111111109</v>
      </c>
      <c r="F445" s="104" t="s">
        <v>31</v>
      </c>
      <c r="G445" s="106">
        <v>9</v>
      </c>
      <c r="H445" s="107" t="s">
        <v>145</v>
      </c>
    </row>
    <row r="446" spans="1:8" ht="19.8" customHeight="1" x14ac:dyDescent="0.3">
      <c r="A446" s="112">
        <v>45987</v>
      </c>
      <c r="B446" s="104" t="s">
        <v>26</v>
      </c>
      <c r="C446" s="105" t="s">
        <v>358</v>
      </c>
      <c r="D446" s="104" t="s">
        <v>335</v>
      </c>
      <c r="E446" s="113">
        <v>1.8888888888888891</v>
      </c>
      <c r="F446" s="104" t="s">
        <v>31</v>
      </c>
      <c r="G446" s="106">
        <v>5</v>
      </c>
      <c r="H446" s="107" t="s">
        <v>145</v>
      </c>
    </row>
    <row r="447" spans="1:8" ht="19.8" customHeight="1" x14ac:dyDescent="0.3">
      <c r="A447" s="112">
        <v>45987</v>
      </c>
      <c r="B447" s="104" t="s">
        <v>26</v>
      </c>
      <c r="C447" s="105" t="s">
        <v>354</v>
      </c>
      <c r="D447" s="104" t="s">
        <v>335</v>
      </c>
      <c r="E447" s="113">
        <v>1.3472222222222221</v>
      </c>
      <c r="F447" s="104" t="s">
        <v>34</v>
      </c>
      <c r="G447" s="106">
        <v>1</v>
      </c>
      <c r="H447" s="107" t="s">
        <v>123</v>
      </c>
    </row>
    <row r="448" spans="1:8" ht="19.8" customHeight="1" x14ac:dyDescent="0.3">
      <c r="A448" s="112">
        <v>45987</v>
      </c>
      <c r="B448" s="104" t="s">
        <v>388</v>
      </c>
      <c r="C448" s="105" t="s">
        <v>389</v>
      </c>
      <c r="D448" s="104" t="s">
        <v>335</v>
      </c>
      <c r="E448" s="113">
        <v>1.225694444444444</v>
      </c>
      <c r="F448" s="104" t="s">
        <v>46</v>
      </c>
      <c r="G448" s="106">
        <v>9</v>
      </c>
      <c r="H448" s="107" t="s">
        <v>510</v>
      </c>
    </row>
    <row r="449" spans="1:8" ht="19.8" customHeight="1" x14ac:dyDescent="0.3">
      <c r="A449" s="112">
        <v>45987</v>
      </c>
      <c r="B449" s="104" t="s">
        <v>41</v>
      </c>
      <c r="C449" s="105" t="s">
        <v>340</v>
      </c>
      <c r="D449" s="104" t="s">
        <v>335</v>
      </c>
      <c r="E449" s="113">
        <v>1.399305555555556</v>
      </c>
      <c r="F449" s="104" t="s">
        <v>46</v>
      </c>
      <c r="G449" s="106">
        <v>11</v>
      </c>
      <c r="H449" s="107" t="s">
        <v>47</v>
      </c>
    </row>
    <row r="450" spans="1:8" ht="19.8" customHeight="1" x14ac:dyDescent="0.3">
      <c r="A450" s="112">
        <v>45987</v>
      </c>
      <c r="B450" s="104" t="s">
        <v>41</v>
      </c>
      <c r="C450" s="105" t="s">
        <v>344</v>
      </c>
      <c r="D450" s="104" t="s">
        <v>335</v>
      </c>
      <c r="E450" s="113">
        <v>1.489583333333333</v>
      </c>
      <c r="F450" s="104" t="s">
        <v>46</v>
      </c>
      <c r="G450" s="106">
        <v>10</v>
      </c>
      <c r="H450" s="107" t="s">
        <v>47</v>
      </c>
    </row>
    <row r="451" spans="1:8" ht="19.8" customHeight="1" x14ac:dyDescent="0.3">
      <c r="A451" s="112">
        <v>45987</v>
      </c>
      <c r="B451" s="104" t="s">
        <v>41</v>
      </c>
      <c r="C451" s="105" t="s">
        <v>347</v>
      </c>
      <c r="D451" s="104" t="s">
        <v>335</v>
      </c>
      <c r="E451" s="113">
        <v>1.8888888888888891</v>
      </c>
      <c r="F451" s="104" t="s">
        <v>46</v>
      </c>
      <c r="G451" s="106">
        <v>8</v>
      </c>
      <c r="H451" s="107" t="s">
        <v>47</v>
      </c>
    </row>
    <row r="452" spans="1:8" ht="19.8" customHeight="1" x14ac:dyDescent="0.3">
      <c r="A452" s="112">
        <v>45987</v>
      </c>
      <c r="B452" s="104" t="s">
        <v>41</v>
      </c>
      <c r="C452" s="105" t="s">
        <v>336</v>
      </c>
      <c r="D452" s="104" t="s">
        <v>335</v>
      </c>
      <c r="E452" s="113">
        <v>1.989583333333333</v>
      </c>
      <c r="F452" s="104" t="s">
        <v>46</v>
      </c>
      <c r="G452" s="106">
        <v>10</v>
      </c>
      <c r="H452" s="107" t="s">
        <v>47</v>
      </c>
    </row>
    <row r="453" spans="1:8" ht="19.8" customHeight="1" x14ac:dyDescent="0.3">
      <c r="A453" s="112">
        <v>45987</v>
      </c>
      <c r="B453" s="104" t="s">
        <v>26</v>
      </c>
      <c r="C453" s="105" t="s">
        <v>350</v>
      </c>
      <c r="D453" s="104" t="s">
        <v>335</v>
      </c>
      <c r="E453" s="113">
        <v>1.993055555555556</v>
      </c>
      <c r="F453" s="104" t="s">
        <v>34</v>
      </c>
      <c r="G453" s="106">
        <v>9</v>
      </c>
      <c r="H453" s="107" t="s">
        <v>457</v>
      </c>
    </row>
    <row r="454" spans="1:8" ht="19.8" customHeight="1" x14ac:dyDescent="0.3">
      <c r="A454" s="112">
        <v>45987</v>
      </c>
      <c r="B454" s="104" t="s">
        <v>26</v>
      </c>
      <c r="C454" s="105" t="s">
        <v>359</v>
      </c>
      <c r="D454" s="104" t="s">
        <v>335</v>
      </c>
      <c r="E454" s="113">
        <v>1.7361111111111109</v>
      </c>
      <c r="F454" s="104" t="s">
        <v>34</v>
      </c>
      <c r="G454" s="106">
        <v>2</v>
      </c>
      <c r="H454" s="107" t="s">
        <v>457</v>
      </c>
    </row>
    <row r="455" spans="1:8" ht="19.8" customHeight="1" x14ac:dyDescent="0.3">
      <c r="A455" s="112">
        <v>45987</v>
      </c>
      <c r="B455" s="104" t="s">
        <v>26</v>
      </c>
      <c r="C455" s="105" t="s">
        <v>356</v>
      </c>
      <c r="D455" s="104" t="s">
        <v>335</v>
      </c>
      <c r="E455" s="113">
        <v>1.836805555555556</v>
      </c>
      <c r="F455" s="104" t="s">
        <v>34</v>
      </c>
      <c r="G455" s="106">
        <v>5</v>
      </c>
      <c r="H455" s="107" t="s">
        <v>457</v>
      </c>
    </row>
    <row r="456" spans="1:8" ht="19.8" customHeight="1" x14ac:dyDescent="0.3">
      <c r="A456" s="112">
        <v>45987</v>
      </c>
      <c r="B456" s="104" t="s">
        <v>26</v>
      </c>
      <c r="C456" s="105" t="s">
        <v>352</v>
      </c>
      <c r="D456" s="104" t="s">
        <v>335</v>
      </c>
      <c r="E456" s="113">
        <v>1.944444444444444</v>
      </c>
      <c r="F456" s="104" t="s">
        <v>34</v>
      </c>
      <c r="G456" s="106">
        <v>6</v>
      </c>
      <c r="H456" s="107" t="s">
        <v>457</v>
      </c>
    </row>
    <row r="457" spans="1:8" ht="19.8" customHeight="1" x14ac:dyDescent="0.3">
      <c r="A457" s="112">
        <v>45987</v>
      </c>
      <c r="B457" s="104" t="s">
        <v>26</v>
      </c>
      <c r="C457" s="105" t="s">
        <v>360</v>
      </c>
      <c r="D457" s="104" t="s">
        <v>335</v>
      </c>
      <c r="E457" s="113">
        <v>1.4861111111111109</v>
      </c>
      <c r="F457" s="104" t="s">
        <v>34</v>
      </c>
      <c r="G457" s="106">
        <v>9</v>
      </c>
      <c r="H457" s="107" t="s">
        <v>457</v>
      </c>
    </row>
    <row r="458" spans="1:8" ht="19.8" customHeight="1" x14ac:dyDescent="0.3">
      <c r="A458" s="112">
        <v>45987</v>
      </c>
      <c r="B458" s="104" t="s">
        <v>26</v>
      </c>
      <c r="C458" s="105" t="s">
        <v>357</v>
      </c>
      <c r="D458" s="104" t="s">
        <v>335</v>
      </c>
      <c r="E458" s="113">
        <v>1.3923611111111109</v>
      </c>
      <c r="F458" s="104" t="s">
        <v>34</v>
      </c>
      <c r="G458" s="106">
        <v>9</v>
      </c>
      <c r="H458" s="107" t="s">
        <v>457</v>
      </c>
    </row>
    <row r="459" spans="1:8" ht="19.8" customHeight="1" x14ac:dyDescent="0.3">
      <c r="A459" s="112">
        <v>45987</v>
      </c>
      <c r="B459" s="104" t="s">
        <v>26</v>
      </c>
      <c r="C459" s="105" t="s">
        <v>358</v>
      </c>
      <c r="D459" s="104" t="s">
        <v>335</v>
      </c>
      <c r="E459" s="113">
        <v>1.8888888888888891</v>
      </c>
      <c r="F459" s="104" t="s">
        <v>34</v>
      </c>
      <c r="G459" s="106">
        <v>5</v>
      </c>
      <c r="H459" s="107" t="s">
        <v>457</v>
      </c>
    </row>
    <row r="460" spans="1:8" ht="19.8" customHeight="1" x14ac:dyDescent="0.3">
      <c r="A460" s="112">
        <v>45987</v>
      </c>
      <c r="B460" s="104" t="s">
        <v>60</v>
      </c>
      <c r="C460" s="105" t="s">
        <v>400</v>
      </c>
      <c r="D460" s="104" t="s">
        <v>335</v>
      </c>
      <c r="E460" s="113">
        <v>1.8298611111111109</v>
      </c>
      <c r="F460" s="104" t="s">
        <v>65</v>
      </c>
      <c r="G460" s="106">
        <v>9</v>
      </c>
      <c r="H460" s="107" t="s">
        <v>490</v>
      </c>
    </row>
    <row r="461" spans="1:8" ht="19.8" customHeight="1" x14ac:dyDescent="0.3">
      <c r="A461" s="112">
        <v>45987</v>
      </c>
      <c r="B461" s="104" t="s">
        <v>60</v>
      </c>
      <c r="C461" s="105" t="s">
        <v>404</v>
      </c>
      <c r="D461" s="104" t="s">
        <v>335</v>
      </c>
      <c r="E461" s="113">
        <v>1.7222222222222221</v>
      </c>
      <c r="F461" s="104" t="s">
        <v>65</v>
      </c>
      <c r="G461" s="106">
        <v>9</v>
      </c>
      <c r="H461" s="107" t="s">
        <v>490</v>
      </c>
    </row>
    <row r="462" spans="1:8" ht="19.8" customHeight="1" x14ac:dyDescent="0.3">
      <c r="A462" s="112">
        <v>45987</v>
      </c>
      <c r="B462" s="104" t="s">
        <v>60</v>
      </c>
      <c r="C462" s="105" t="s">
        <v>445</v>
      </c>
      <c r="D462" s="104" t="s">
        <v>335</v>
      </c>
      <c r="E462" s="113">
        <v>1.9409722222222221</v>
      </c>
      <c r="F462" s="104" t="s">
        <v>65</v>
      </c>
      <c r="G462" s="106">
        <v>9</v>
      </c>
      <c r="H462" s="107" t="s">
        <v>490</v>
      </c>
    </row>
    <row r="463" spans="1:8" ht="19.8" customHeight="1" x14ac:dyDescent="0.3">
      <c r="A463" s="112">
        <v>45987</v>
      </c>
      <c r="B463" s="104" t="s">
        <v>60</v>
      </c>
      <c r="C463" s="105" t="s">
        <v>446</v>
      </c>
      <c r="D463" s="104" t="s">
        <v>335</v>
      </c>
      <c r="E463" s="113">
        <v>1.489583333333333</v>
      </c>
      <c r="F463" s="104" t="s">
        <v>65</v>
      </c>
      <c r="G463" s="106">
        <v>9</v>
      </c>
      <c r="H463" s="107" t="s">
        <v>511</v>
      </c>
    </row>
    <row r="464" spans="1:8" ht="19.8" customHeight="1" x14ac:dyDescent="0.3">
      <c r="A464" s="112">
        <v>45987</v>
      </c>
      <c r="B464" s="104" t="s">
        <v>60</v>
      </c>
      <c r="C464" s="105" t="s">
        <v>402</v>
      </c>
      <c r="D464" s="104" t="s">
        <v>335</v>
      </c>
      <c r="E464" s="113">
        <v>1.118055555555556</v>
      </c>
      <c r="F464" s="104" t="s">
        <v>65</v>
      </c>
      <c r="G464" s="106">
        <v>9</v>
      </c>
      <c r="H464" s="107" t="s">
        <v>511</v>
      </c>
    </row>
    <row r="465" spans="1:8" ht="19.8" customHeight="1" x14ac:dyDescent="0.3">
      <c r="A465" s="112">
        <v>45987</v>
      </c>
      <c r="B465" s="104" t="s">
        <v>60</v>
      </c>
      <c r="C465" s="105" t="s">
        <v>403</v>
      </c>
      <c r="D465" s="104" t="s">
        <v>335</v>
      </c>
      <c r="E465" s="113">
        <v>1.7013888888888891</v>
      </c>
      <c r="F465" s="104" t="s">
        <v>65</v>
      </c>
      <c r="G465" s="106">
        <v>9</v>
      </c>
      <c r="H465" s="107" t="s">
        <v>511</v>
      </c>
    </row>
    <row r="466" spans="1:8" ht="19.8" customHeight="1" x14ac:dyDescent="0.3">
      <c r="A466" s="112">
        <v>45987</v>
      </c>
      <c r="B466" s="104" t="s">
        <v>60</v>
      </c>
      <c r="C466" s="105" t="s">
        <v>395</v>
      </c>
      <c r="D466" s="104" t="s">
        <v>335</v>
      </c>
      <c r="E466" s="113">
        <v>1.989583333333333</v>
      </c>
      <c r="F466" s="104" t="s">
        <v>65</v>
      </c>
      <c r="G466" s="106">
        <v>4</v>
      </c>
      <c r="H466" s="107" t="s">
        <v>491</v>
      </c>
    </row>
    <row r="467" spans="1:8" ht="19.8" customHeight="1" x14ac:dyDescent="0.3">
      <c r="A467" s="112">
        <v>45987</v>
      </c>
      <c r="B467" s="104" t="s">
        <v>60</v>
      </c>
      <c r="C467" s="105" t="s">
        <v>397</v>
      </c>
      <c r="D467" s="104" t="s">
        <v>335</v>
      </c>
      <c r="E467" s="113">
        <v>1.399305555555556</v>
      </c>
      <c r="F467" s="104" t="s">
        <v>65</v>
      </c>
      <c r="G467" s="106">
        <v>4</v>
      </c>
      <c r="H467" s="107" t="s">
        <v>491</v>
      </c>
    </row>
    <row r="468" spans="1:8" ht="19.8" customHeight="1" x14ac:dyDescent="0.3">
      <c r="A468" s="112">
        <v>45987</v>
      </c>
      <c r="B468" s="104" t="s">
        <v>60</v>
      </c>
      <c r="C468" s="105" t="s">
        <v>398</v>
      </c>
      <c r="D468" s="104" t="s">
        <v>335</v>
      </c>
      <c r="E468" s="113">
        <v>1.489583333333333</v>
      </c>
      <c r="F468" s="104" t="s">
        <v>65</v>
      </c>
      <c r="G468" s="106">
        <v>4</v>
      </c>
      <c r="H468" s="107" t="s">
        <v>491</v>
      </c>
    </row>
    <row r="469" spans="1:8" ht="19.8" customHeight="1" x14ac:dyDescent="0.3">
      <c r="A469" s="112">
        <v>45987</v>
      </c>
      <c r="B469" s="104" t="s">
        <v>60</v>
      </c>
      <c r="C469" s="105" t="s">
        <v>399</v>
      </c>
      <c r="D469" s="104" t="s">
        <v>335</v>
      </c>
      <c r="E469" s="113">
        <v>1.8888888888888891</v>
      </c>
      <c r="F469" s="104" t="s">
        <v>65</v>
      </c>
      <c r="G469" s="106">
        <v>4</v>
      </c>
      <c r="H469" s="107" t="s">
        <v>512</v>
      </c>
    </row>
    <row r="470" spans="1:8" ht="19.8" customHeight="1" x14ac:dyDescent="0.3">
      <c r="A470" s="112">
        <v>45987</v>
      </c>
      <c r="B470" s="104" t="s">
        <v>60</v>
      </c>
      <c r="C470" s="105" t="s">
        <v>393</v>
      </c>
      <c r="D470" s="104" t="s">
        <v>335</v>
      </c>
      <c r="E470" s="113">
        <v>1.2534722222222221</v>
      </c>
      <c r="F470" s="104" t="s">
        <v>65</v>
      </c>
      <c r="G470" s="106">
        <v>9</v>
      </c>
      <c r="H470" s="107" t="s">
        <v>401</v>
      </c>
    </row>
    <row r="471" spans="1:8" ht="19.8" customHeight="1" x14ac:dyDescent="0.3">
      <c r="A471" s="112">
        <v>45987</v>
      </c>
      <c r="B471" s="104" t="s">
        <v>60</v>
      </c>
      <c r="C471" s="105" t="s">
        <v>444</v>
      </c>
      <c r="D471" s="104" t="s">
        <v>335</v>
      </c>
      <c r="E471" s="113">
        <v>1.041666666666667</v>
      </c>
      <c r="F471" s="104" t="s">
        <v>65</v>
      </c>
      <c r="G471" s="106">
        <v>9</v>
      </c>
      <c r="H471" s="107" t="s">
        <v>401</v>
      </c>
    </row>
    <row r="472" spans="1:8" ht="19.8" customHeight="1" x14ac:dyDescent="0.3">
      <c r="A472" s="112">
        <v>45987</v>
      </c>
      <c r="B472" s="104" t="s">
        <v>48</v>
      </c>
      <c r="C472" s="105" t="s">
        <v>410</v>
      </c>
      <c r="D472" s="104" t="s">
        <v>335</v>
      </c>
      <c r="E472" s="113">
        <v>1.9722222222222221</v>
      </c>
      <c r="F472" s="104" t="s">
        <v>50</v>
      </c>
      <c r="G472" s="106">
        <v>9</v>
      </c>
      <c r="H472" s="107" t="s">
        <v>409</v>
      </c>
    </row>
    <row r="473" spans="1:8" ht="19.8" customHeight="1" x14ac:dyDescent="0.3">
      <c r="A473" s="112">
        <v>45987</v>
      </c>
      <c r="B473" s="104" t="s">
        <v>48</v>
      </c>
      <c r="C473" s="105" t="s">
        <v>415</v>
      </c>
      <c r="D473" s="104" t="s">
        <v>335</v>
      </c>
      <c r="E473" s="113">
        <v>1.0486111111111109</v>
      </c>
      <c r="F473" s="104" t="s">
        <v>50</v>
      </c>
      <c r="G473" s="106">
        <v>9</v>
      </c>
      <c r="H473" s="107" t="s">
        <v>409</v>
      </c>
    </row>
    <row r="474" spans="1:8" ht="19.8" customHeight="1" x14ac:dyDescent="0.3">
      <c r="A474" s="120">
        <v>45987</v>
      </c>
      <c r="B474" s="121" t="s">
        <v>77</v>
      </c>
      <c r="C474" s="122" t="s">
        <v>380</v>
      </c>
      <c r="D474" s="121" t="s">
        <v>335</v>
      </c>
      <c r="E474" s="123">
        <v>1.2326388888888891</v>
      </c>
      <c r="F474" s="121" t="s">
        <v>79</v>
      </c>
      <c r="G474" s="121"/>
      <c r="H474" s="125" t="s">
        <v>80</v>
      </c>
    </row>
    <row r="475" spans="1:8" ht="19.8" customHeight="1" x14ac:dyDescent="0.3">
      <c r="A475" s="120">
        <v>45987</v>
      </c>
      <c r="B475" s="121" t="s">
        <v>77</v>
      </c>
      <c r="C475" s="122" t="s">
        <v>421</v>
      </c>
      <c r="D475" s="121" t="s">
        <v>335</v>
      </c>
      <c r="E475" s="123">
        <v>1.34375</v>
      </c>
      <c r="F475" s="121" t="s">
        <v>79</v>
      </c>
      <c r="G475" s="121"/>
      <c r="H475" s="125" t="s">
        <v>80</v>
      </c>
    </row>
    <row r="476" spans="1:8" ht="19.8" customHeight="1" x14ac:dyDescent="0.3">
      <c r="A476" s="126">
        <v>45987</v>
      </c>
      <c r="B476" s="109" t="s">
        <v>77</v>
      </c>
      <c r="C476" s="110" t="s">
        <v>383</v>
      </c>
      <c r="D476" s="109" t="s">
        <v>335</v>
      </c>
      <c r="E476" s="127">
        <v>1.4375</v>
      </c>
      <c r="F476" s="109" t="s">
        <v>79</v>
      </c>
      <c r="G476" s="109"/>
      <c r="H476" s="111" t="s">
        <v>80</v>
      </c>
    </row>
    <row r="477" spans="1:8" ht="19.8" customHeight="1" x14ac:dyDescent="0.3">
      <c r="A477" s="112">
        <v>45988</v>
      </c>
      <c r="B477" s="104" t="s">
        <v>41</v>
      </c>
      <c r="C477" s="105" t="s">
        <v>347</v>
      </c>
      <c r="D477" s="104" t="s">
        <v>335</v>
      </c>
      <c r="E477" s="113">
        <v>1.8888888888888891</v>
      </c>
      <c r="F477" s="104" t="s">
        <v>43</v>
      </c>
      <c r="G477" s="106">
        <v>4</v>
      </c>
      <c r="H477" s="107" t="s">
        <v>508</v>
      </c>
    </row>
    <row r="478" spans="1:8" ht="19.8" customHeight="1" x14ac:dyDescent="0.3">
      <c r="A478" s="112">
        <v>45988</v>
      </c>
      <c r="B478" s="104" t="s">
        <v>41</v>
      </c>
      <c r="C478" s="105" t="s">
        <v>336</v>
      </c>
      <c r="D478" s="104" t="s">
        <v>335</v>
      </c>
      <c r="E478" s="113">
        <v>1.989583333333333</v>
      </c>
      <c r="F478" s="104" t="s">
        <v>43</v>
      </c>
      <c r="G478" s="106">
        <v>5</v>
      </c>
      <c r="H478" s="107" t="s">
        <v>508</v>
      </c>
    </row>
    <row r="479" spans="1:8" ht="19.8" customHeight="1" x14ac:dyDescent="0.3">
      <c r="A479" s="112">
        <v>45988</v>
      </c>
      <c r="B479" s="104" t="s">
        <v>41</v>
      </c>
      <c r="C479" s="105" t="s">
        <v>340</v>
      </c>
      <c r="D479" s="104" t="s">
        <v>335</v>
      </c>
      <c r="E479" s="113">
        <v>1.399305555555556</v>
      </c>
      <c r="F479" s="104" t="s">
        <v>43</v>
      </c>
      <c r="G479" s="106">
        <v>5</v>
      </c>
      <c r="H479" s="107" t="s">
        <v>143</v>
      </c>
    </row>
    <row r="480" spans="1:8" ht="19.8" customHeight="1" x14ac:dyDescent="0.3">
      <c r="A480" s="112">
        <v>45988</v>
      </c>
      <c r="B480" s="104" t="s">
        <v>41</v>
      </c>
      <c r="C480" s="105" t="s">
        <v>344</v>
      </c>
      <c r="D480" s="104" t="s">
        <v>335</v>
      </c>
      <c r="E480" s="113">
        <v>1.489583333333333</v>
      </c>
      <c r="F480" s="104" t="s">
        <v>43</v>
      </c>
      <c r="G480" s="106">
        <v>9</v>
      </c>
      <c r="H480" s="107" t="s">
        <v>143</v>
      </c>
    </row>
    <row r="481" spans="1:8" ht="19.8" customHeight="1" x14ac:dyDescent="0.3">
      <c r="A481" s="120">
        <v>45988</v>
      </c>
      <c r="B481" s="121" t="s">
        <v>77</v>
      </c>
      <c r="C481" s="122" t="s">
        <v>365</v>
      </c>
      <c r="D481" s="121" t="s">
        <v>335</v>
      </c>
      <c r="E481" s="123">
        <v>1.1875</v>
      </c>
      <c r="F481" s="121" t="s">
        <v>101</v>
      </c>
      <c r="G481" s="124">
        <v>1</v>
      </c>
      <c r="H481" s="125" t="s">
        <v>379</v>
      </c>
    </row>
    <row r="482" spans="1:8" ht="19.8" customHeight="1" x14ac:dyDescent="0.3">
      <c r="A482" s="120">
        <v>45988</v>
      </c>
      <c r="B482" s="121" t="s">
        <v>77</v>
      </c>
      <c r="C482" s="122" t="s">
        <v>370</v>
      </c>
      <c r="D482" s="121" t="s">
        <v>335</v>
      </c>
      <c r="E482" s="123">
        <v>1.0659722222222221</v>
      </c>
      <c r="F482" s="121" t="s">
        <v>101</v>
      </c>
      <c r="G482" s="124">
        <v>6</v>
      </c>
      <c r="H482" s="125" t="s">
        <v>379</v>
      </c>
    </row>
    <row r="483" spans="1:8" ht="19.8" customHeight="1" x14ac:dyDescent="0.3">
      <c r="A483" s="120">
        <v>45988</v>
      </c>
      <c r="B483" s="121" t="s">
        <v>77</v>
      </c>
      <c r="C483" s="122" t="s">
        <v>374</v>
      </c>
      <c r="D483" s="121" t="s">
        <v>335</v>
      </c>
      <c r="E483" s="123">
        <v>1.15625</v>
      </c>
      <c r="F483" s="121" t="s">
        <v>101</v>
      </c>
      <c r="G483" s="124">
        <v>5</v>
      </c>
      <c r="H483" s="125" t="s">
        <v>379</v>
      </c>
    </row>
    <row r="484" spans="1:8" ht="19.8" customHeight="1" x14ac:dyDescent="0.3">
      <c r="A484" s="112">
        <v>45988</v>
      </c>
      <c r="B484" s="104" t="s">
        <v>385</v>
      </c>
      <c r="C484" s="105" t="s">
        <v>386</v>
      </c>
      <c r="D484" s="104" t="s">
        <v>335</v>
      </c>
      <c r="E484" s="113">
        <v>1.493055555555556</v>
      </c>
      <c r="F484" s="104" t="s">
        <v>101</v>
      </c>
      <c r="G484" s="106">
        <v>9</v>
      </c>
      <c r="H484" s="107" t="s">
        <v>521</v>
      </c>
    </row>
    <row r="485" spans="1:8" ht="19.8" customHeight="1" x14ac:dyDescent="0.3">
      <c r="A485" s="112">
        <v>45988</v>
      </c>
      <c r="B485" s="104" t="s">
        <v>41</v>
      </c>
      <c r="C485" s="105" t="s">
        <v>347</v>
      </c>
      <c r="D485" s="104" t="s">
        <v>335</v>
      </c>
      <c r="E485" s="113">
        <v>1.8888888888888891</v>
      </c>
      <c r="F485" s="104" t="s">
        <v>45</v>
      </c>
      <c r="G485" s="106">
        <v>4</v>
      </c>
      <c r="H485" s="107" t="s">
        <v>478</v>
      </c>
    </row>
    <row r="486" spans="1:8" ht="19.8" customHeight="1" x14ac:dyDescent="0.3">
      <c r="A486" s="112">
        <v>45988</v>
      </c>
      <c r="B486" s="104" t="s">
        <v>41</v>
      </c>
      <c r="C486" s="105" t="s">
        <v>336</v>
      </c>
      <c r="D486" s="104" t="s">
        <v>335</v>
      </c>
      <c r="E486" s="113">
        <v>1.989583333333333</v>
      </c>
      <c r="F486" s="104" t="s">
        <v>45</v>
      </c>
      <c r="G486" s="106">
        <v>5</v>
      </c>
      <c r="H486" s="107" t="s">
        <v>478</v>
      </c>
    </row>
    <row r="487" spans="1:8" ht="19.8" customHeight="1" x14ac:dyDescent="0.3">
      <c r="A487" s="112">
        <v>45988</v>
      </c>
      <c r="B487" s="104" t="s">
        <v>26</v>
      </c>
      <c r="C487" s="105" t="s">
        <v>354</v>
      </c>
      <c r="D487" s="104" t="s">
        <v>335</v>
      </c>
      <c r="E487" s="113">
        <v>1.3472222222222221</v>
      </c>
      <c r="F487" s="104" t="s">
        <v>28</v>
      </c>
      <c r="G487" s="106">
        <v>9</v>
      </c>
      <c r="H487" s="107" t="s">
        <v>478</v>
      </c>
    </row>
    <row r="488" spans="1:8" ht="19.8" customHeight="1" x14ac:dyDescent="0.3">
      <c r="A488" s="112">
        <v>45988</v>
      </c>
      <c r="B488" s="104" t="s">
        <v>26</v>
      </c>
      <c r="C488" s="105" t="s">
        <v>350</v>
      </c>
      <c r="D488" s="104" t="s">
        <v>335</v>
      </c>
      <c r="E488" s="113">
        <v>1.993055555555556</v>
      </c>
      <c r="F488" s="104" t="s">
        <v>28</v>
      </c>
      <c r="G488" s="106">
        <v>9</v>
      </c>
      <c r="H488" s="107" t="s">
        <v>478</v>
      </c>
    </row>
    <row r="489" spans="1:8" ht="19.8" customHeight="1" x14ac:dyDescent="0.3">
      <c r="A489" s="112">
        <v>45988</v>
      </c>
      <c r="B489" s="104" t="s">
        <v>26</v>
      </c>
      <c r="C489" s="105" t="s">
        <v>356</v>
      </c>
      <c r="D489" s="104" t="s">
        <v>335</v>
      </c>
      <c r="E489" s="113">
        <v>1.836805555555556</v>
      </c>
      <c r="F489" s="104" t="s">
        <v>28</v>
      </c>
      <c r="G489" s="106">
        <v>3</v>
      </c>
      <c r="H489" s="107" t="s">
        <v>478</v>
      </c>
    </row>
    <row r="490" spans="1:8" ht="19.8" customHeight="1" x14ac:dyDescent="0.3">
      <c r="A490" s="112">
        <v>45988</v>
      </c>
      <c r="B490" s="104" t="s">
        <v>26</v>
      </c>
      <c r="C490" s="105" t="s">
        <v>352</v>
      </c>
      <c r="D490" s="104" t="s">
        <v>335</v>
      </c>
      <c r="E490" s="113">
        <v>1.944444444444444</v>
      </c>
      <c r="F490" s="104" t="s">
        <v>28</v>
      </c>
      <c r="G490" s="106">
        <v>9</v>
      </c>
      <c r="H490" s="107" t="s">
        <v>478</v>
      </c>
    </row>
    <row r="491" spans="1:8" ht="19.8" customHeight="1" x14ac:dyDescent="0.3">
      <c r="A491" s="112">
        <v>45988</v>
      </c>
      <c r="B491" s="104" t="s">
        <v>26</v>
      </c>
      <c r="C491" s="105" t="s">
        <v>360</v>
      </c>
      <c r="D491" s="104" t="s">
        <v>335</v>
      </c>
      <c r="E491" s="113">
        <v>1.4861111111111109</v>
      </c>
      <c r="F491" s="104" t="s">
        <v>28</v>
      </c>
      <c r="G491" s="106">
        <v>9</v>
      </c>
      <c r="H491" s="107" t="s">
        <v>478</v>
      </c>
    </row>
    <row r="492" spans="1:8" ht="19.8" customHeight="1" x14ac:dyDescent="0.3">
      <c r="A492" s="112">
        <v>45988</v>
      </c>
      <c r="B492" s="104" t="s">
        <v>26</v>
      </c>
      <c r="C492" s="105" t="s">
        <v>357</v>
      </c>
      <c r="D492" s="104" t="s">
        <v>335</v>
      </c>
      <c r="E492" s="113">
        <v>1.3923611111111109</v>
      </c>
      <c r="F492" s="104" t="s">
        <v>28</v>
      </c>
      <c r="G492" s="106">
        <v>9</v>
      </c>
      <c r="H492" s="107" t="s">
        <v>478</v>
      </c>
    </row>
    <row r="493" spans="1:8" ht="19.8" customHeight="1" x14ac:dyDescent="0.3">
      <c r="A493" s="112">
        <v>45988</v>
      </c>
      <c r="B493" s="104" t="s">
        <v>458</v>
      </c>
      <c r="C493" s="105" t="s">
        <v>480</v>
      </c>
      <c r="D493" s="104" t="s">
        <v>335</v>
      </c>
      <c r="E493" s="113">
        <v>1.4201388888888891</v>
      </c>
      <c r="F493" s="104" t="s">
        <v>101</v>
      </c>
      <c r="G493" s="106">
        <v>6</v>
      </c>
      <c r="H493" s="107" t="s">
        <v>145</v>
      </c>
    </row>
    <row r="494" spans="1:8" ht="19.8" customHeight="1" x14ac:dyDescent="0.3">
      <c r="A494" s="112">
        <v>45988</v>
      </c>
      <c r="B494" s="104" t="s">
        <v>41</v>
      </c>
      <c r="C494" s="105" t="s">
        <v>340</v>
      </c>
      <c r="D494" s="104" t="s">
        <v>335</v>
      </c>
      <c r="E494" s="113">
        <v>1.399305555555556</v>
      </c>
      <c r="F494" s="104" t="s">
        <v>45</v>
      </c>
      <c r="G494" s="106">
        <v>5</v>
      </c>
      <c r="H494" s="107" t="s">
        <v>47</v>
      </c>
    </row>
    <row r="495" spans="1:8" ht="19.8" customHeight="1" x14ac:dyDescent="0.3">
      <c r="A495" s="112">
        <v>45988</v>
      </c>
      <c r="B495" s="104" t="s">
        <v>41</v>
      </c>
      <c r="C495" s="105" t="s">
        <v>344</v>
      </c>
      <c r="D495" s="104" t="s">
        <v>335</v>
      </c>
      <c r="E495" s="113">
        <v>1.489583333333333</v>
      </c>
      <c r="F495" s="104" t="s">
        <v>45</v>
      </c>
      <c r="G495" s="106">
        <v>9</v>
      </c>
      <c r="H495" s="107" t="s">
        <v>47</v>
      </c>
    </row>
    <row r="496" spans="1:8" ht="19.8" customHeight="1" x14ac:dyDescent="0.3">
      <c r="A496" s="112">
        <v>45988</v>
      </c>
      <c r="B496" s="104" t="s">
        <v>41</v>
      </c>
      <c r="C496" s="105" t="s">
        <v>347</v>
      </c>
      <c r="D496" s="104" t="s">
        <v>335</v>
      </c>
      <c r="E496" s="113">
        <v>1.8888888888888891</v>
      </c>
      <c r="F496" s="104" t="s">
        <v>46</v>
      </c>
      <c r="G496" s="106">
        <v>4</v>
      </c>
      <c r="H496" s="107" t="s">
        <v>47</v>
      </c>
    </row>
    <row r="497" spans="1:8" ht="19.8" customHeight="1" x14ac:dyDescent="0.3">
      <c r="A497" s="112">
        <v>45988</v>
      </c>
      <c r="B497" s="104" t="s">
        <v>41</v>
      </c>
      <c r="C497" s="105" t="s">
        <v>336</v>
      </c>
      <c r="D497" s="104" t="s">
        <v>335</v>
      </c>
      <c r="E497" s="113">
        <v>1.989583333333333</v>
      </c>
      <c r="F497" s="104" t="s">
        <v>46</v>
      </c>
      <c r="G497" s="106">
        <v>5</v>
      </c>
      <c r="H497" s="107" t="s">
        <v>47</v>
      </c>
    </row>
    <row r="498" spans="1:8" ht="19.8" customHeight="1" x14ac:dyDescent="0.3">
      <c r="A498" s="120">
        <v>45988</v>
      </c>
      <c r="B498" s="121" t="s">
        <v>77</v>
      </c>
      <c r="C498" s="122" t="s">
        <v>378</v>
      </c>
      <c r="D498" s="121" t="s">
        <v>335</v>
      </c>
      <c r="E498" s="123">
        <v>1.9375</v>
      </c>
      <c r="F498" s="121" t="s">
        <v>101</v>
      </c>
      <c r="G498" s="124">
        <v>1</v>
      </c>
      <c r="H498" s="125" t="s">
        <v>517</v>
      </c>
    </row>
    <row r="499" spans="1:8" ht="19.8" customHeight="1" x14ac:dyDescent="0.3">
      <c r="A499" s="112">
        <v>45988</v>
      </c>
      <c r="B499" s="104" t="s">
        <v>26</v>
      </c>
      <c r="C499" s="105" t="s">
        <v>354</v>
      </c>
      <c r="D499" s="104" t="s">
        <v>335</v>
      </c>
      <c r="E499" s="113">
        <v>1.3472222222222221</v>
      </c>
      <c r="F499" s="104" t="s">
        <v>31</v>
      </c>
      <c r="G499" s="106">
        <v>9</v>
      </c>
      <c r="H499" s="107" t="s">
        <v>457</v>
      </c>
    </row>
    <row r="500" spans="1:8" ht="19.8" customHeight="1" x14ac:dyDescent="0.3">
      <c r="A500" s="112">
        <v>45988</v>
      </c>
      <c r="B500" s="104" t="s">
        <v>26</v>
      </c>
      <c r="C500" s="105" t="s">
        <v>350</v>
      </c>
      <c r="D500" s="104" t="s">
        <v>335</v>
      </c>
      <c r="E500" s="113">
        <v>1.993055555555556</v>
      </c>
      <c r="F500" s="104" t="s">
        <v>31</v>
      </c>
      <c r="G500" s="106">
        <v>9</v>
      </c>
      <c r="H500" s="107" t="s">
        <v>457</v>
      </c>
    </row>
    <row r="501" spans="1:8" ht="19.8" customHeight="1" x14ac:dyDescent="0.3">
      <c r="A501" s="112">
        <v>45988</v>
      </c>
      <c r="B501" s="104" t="s">
        <v>26</v>
      </c>
      <c r="C501" s="105" t="s">
        <v>359</v>
      </c>
      <c r="D501" s="104" t="s">
        <v>335</v>
      </c>
      <c r="E501" s="113">
        <v>1.75</v>
      </c>
      <c r="F501" s="104" t="s">
        <v>28</v>
      </c>
      <c r="G501" s="106">
        <v>5</v>
      </c>
      <c r="H501" s="107" t="s">
        <v>457</v>
      </c>
    </row>
    <row r="502" spans="1:8" ht="19.8" customHeight="1" x14ac:dyDescent="0.3">
      <c r="A502" s="112">
        <v>45988</v>
      </c>
      <c r="B502" s="104" t="s">
        <v>26</v>
      </c>
      <c r="C502" s="105" t="s">
        <v>356</v>
      </c>
      <c r="D502" s="104" t="s">
        <v>335</v>
      </c>
      <c r="E502" s="113">
        <v>1.836805555555556</v>
      </c>
      <c r="F502" s="104" t="s">
        <v>31</v>
      </c>
      <c r="G502" s="106">
        <v>3</v>
      </c>
      <c r="H502" s="107" t="s">
        <v>457</v>
      </c>
    </row>
    <row r="503" spans="1:8" ht="19.8" customHeight="1" x14ac:dyDescent="0.3">
      <c r="A503" s="112">
        <v>45988</v>
      </c>
      <c r="B503" s="104" t="s">
        <v>26</v>
      </c>
      <c r="C503" s="105" t="s">
        <v>352</v>
      </c>
      <c r="D503" s="104" t="s">
        <v>335</v>
      </c>
      <c r="E503" s="113">
        <v>1.944444444444444</v>
      </c>
      <c r="F503" s="104" t="s">
        <v>31</v>
      </c>
      <c r="G503" s="106">
        <v>9</v>
      </c>
      <c r="H503" s="107" t="s">
        <v>457</v>
      </c>
    </row>
    <row r="504" spans="1:8" ht="19.8" customHeight="1" x14ac:dyDescent="0.3">
      <c r="A504" s="112">
        <v>45988</v>
      </c>
      <c r="B504" s="104" t="s">
        <v>26</v>
      </c>
      <c r="C504" s="105" t="s">
        <v>360</v>
      </c>
      <c r="D504" s="104" t="s">
        <v>335</v>
      </c>
      <c r="E504" s="113">
        <v>1.4861111111111109</v>
      </c>
      <c r="F504" s="104" t="s">
        <v>31</v>
      </c>
      <c r="G504" s="106">
        <v>9</v>
      </c>
      <c r="H504" s="107" t="s">
        <v>457</v>
      </c>
    </row>
    <row r="505" spans="1:8" ht="19.8" customHeight="1" x14ac:dyDescent="0.3">
      <c r="A505" s="112">
        <v>45988</v>
      </c>
      <c r="B505" s="104" t="s">
        <v>26</v>
      </c>
      <c r="C505" s="105" t="s">
        <v>357</v>
      </c>
      <c r="D505" s="104" t="s">
        <v>335</v>
      </c>
      <c r="E505" s="113">
        <v>1.3923611111111109</v>
      </c>
      <c r="F505" s="104" t="s">
        <v>31</v>
      </c>
      <c r="G505" s="106">
        <v>9</v>
      </c>
      <c r="H505" s="107" t="s">
        <v>457</v>
      </c>
    </row>
    <row r="506" spans="1:8" ht="19.8" customHeight="1" x14ac:dyDescent="0.3">
      <c r="A506" s="112">
        <v>45988</v>
      </c>
      <c r="B506" s="104" t="s">
        <v>26</v>
      </c>
      <c r="C506" s="105" t="s">
        <v>358</v>
      </c>
      <c r="D506" s="104" t="s">
        <v>335</v>
      </c>
      <c r="E506" s="113">
        <v>1.8888888888888891</v>
      </c>
      <c r="F506" s="104" t="s">
        <v>28</v>
      </c>
      <c r="G506" s="106">
        <v>9</v>
      </c>
      <c r="H506" s="107" t="s">
        <v>457</v>
      </c>
    </row>
    <row r="507" spans="1:8" ht="19.8" customHeight="1" x14ac:dyDescent="0.3">
      <c r="A507" s="112">
        <v>45988</v>
      </c>
      <c r="B507" s="104" t="s">
        <v>26</v>
      </c>
      <c r="C507" s="105" t="s">
        <v>354</v>
      </c>
      <c r="D507" s="104" t="s">
        <v>335</v>
      </c>
      <c r="E507" s="113">
        <v>1.3472222222222221</v>
      </c>
      <c r="F507" s="104" t="s">
        <v>34</v>
      </c>
      <c r="G507" s="106">
        <v>9</v>
      </c>
      <c r="H507" s="107" t="s">
        <v>479</v>
      </c>
    </row>
    <row r="508" spans="1:8" ht="19.8" customHeight="1" x14ac:dyDescent="0.3">
      <c r="A508" s="112">
        <v>45988</v>
      </c>
      <c r="B508" s="104" t="s">
        <v>26</v>
      </c>
      <c r="C508" s="105" t="s">
        <v>350</v>
      </c>
      <c r="D508" s="104" t="s">
        <v>335</v>
      </c>
      <c r="E508" s="113">
        <v>1.993055555555556</v>
      </c>
      <c r="F508" s="104" t="s">
        <v>34</v>
      </c>
      <c r="G508" s="106">
        <v>9</v>
      </c>
      <c r="H508" s="107" t="s">
        <v>479</v>
      </c>
    </row>
    <row r="509" spans="1:8" ht="19.8" customHeight="1" x14ac:dyDescent="0.3">
      <c r="A509" s="112">
        <v>45988</v>
      </c>
      <c r="B509" s="104" t="s">
        <v>26</v>
      </c>
      <c r="C509" s="105" t="s">
        <v>356</v>
      </c>
      <c r="D509" s="104" t="s">
        <v>335</v>
      </c>
      <c r="E509" s="113">
        <v>1.836805555555556</v>
      </c>
      <c r="F509" s="104" t="s">
        <v>34</v>
      </c>
      <c r="G509" s="106">
        <v>3</v>
      </c>
      <c r="H509" s="107" t="s">
        <v>479</v>
      </c>
    </row>
    <row r="510" spans="1:8" ht="19.8" customHeight="1" x14ac:dyDescent="0.3">
      <c r="A510" s="112">
        <v>45988</v>
      </c>
      <c r="B510" s="104" t="s">
        <v>26</v>
      </c>
      <c r="C510" s="105" t="s">
        <v>352</v>
      </c>
      <c r="D510" s="104" t="s">
        <v>335</v>
      </c>
      <c r="E510" s="113">
        <v>1.944444444444444</v>
      </c>
      <c r="F510" s="104" t="s">
        <v>34</v>
      </c>
      <c r="G510" s="106">
        <v>9</v>
      </c>
      <c r="H510" s="107" t="s">
        <v>479</v>
      </c>
    </row>
    <row r="511" spans="1:8" ht="19.8" customHeight="1" x14ac:dyDescent="0.3">
      <c r="A511" s="112">
        <v>45988</v>
      </c>
      <c r="B511" s="104" t="s">
        <v>26</v>
      </c>
      <c r="C511" s="105" t="s">
        <v>360</v>
      </c>
      <c r="D511" s="104" t="s">
        <v>335</v>
      </c>
      <c r="E511" s="113">
        <v>1.4861111111111109</v>
      </c>
      <c r="F511" s="104" t="s">
        <v>34</v>
      </c>
      <c r="G511" s="106">
        <v>9</v>
      </c>
      <c r="H511" s="107" t="s">
        <v>479</v>
      </c>
    </row>
    <row r="512" spans="1:8" ht="19.8" customHeight="1" x14ac:dyDescent="0.3">
      <c r="A512" s="112">
        <v>45988</v>
      </c>
      <c r="B512" s="104" t="s">
        <v>26</v>
      </c>
      <c r="C512" s="105" t="s">
        <v>357</v>
      </c>
      <c r="D512" s="104" t="s">
        <v>335</v>
      </c>
      <c r="E512" s="113">
        <v>1.3923611111111109</v>
      </c>
      <c r="F512" s="104" t="s">
        <v>34</v>
      </c>
      <c r="G512" s="106">
        <v>9</v>
      </c>
      <c r="H512" s="107" t="s">
        <v>479</v>
      </c>
    </row>
    <row r="513" spans="1:8" ht="19.8" customHeight="1" x14ac:dyDescent="0.3">
      <c r="A513" s="112">
        <v>45988</v>
      </c>
      <c r="B513" s="104" t="s">
        <v>26</v>
      </c>
      <c r="C513" s="105" t="s">
        <v>359</v>
      </c>
      <c r="D513" s="104" t="s">
        <v>335</v>
      </c>
      <c r="E513" s="113">
        <v>1.75</v>
      </c>
      <c r="F513" s="104" t="s">
        <v>31</v>
      </c>
      <c r="G513" s="106">
        <v>5</v>
      </c>
      <c r="H513" s="107" t="s">
        <v>146</v>
      </c>
    </row>
    <row r="514" spans="1:8" ht="19.8" customHeight="1" x14ac:dyDescent="0.3">
      <c r="A514" s="112">
        <v>45988</v>
      </c>
      <c r="B514" s="104" t="s">
        <v>26</v>
      </c>
      <c r="C514" s="105" t="s">
        <v>358</v>
      </c>
      <c r="D514" s="104" t="s">
        <v>335</v>
      </c>
      <c r="E514" s="113">
        <v>1.8888888888888891</v>
      </c>
      <c r="F514" s="104" t="s">
        <v>31</v>
      </c>
      <c r="G514" s="106">
        <v>9</v>
      </c>
      <c r="H514" s="107" t="s">
        <v>146</v>
      </c>
    </row>
    <row r="515" spans="1:8" ht="19.8" customHeight="1" x14ac:dyDescent="0.3">
      <c r="A515" s="112">
        <v>45988</v>
      </c>
      <c r="B515" s="104" t="s">
        <v>60</v>
      </c>
      <c r="C515" s="105" t="s">
        <v>402</v>
      </c>
      <c r="D515" s="104" t="s">
        <v>335</v>
      </c>
      <c r="E515" s="113">
        <v>1.118055555555556</v>
      </c>
      <c r="F515" s="104" t="s">
        <v>65</v>
      </c>
      <c r="G515" s="106">
        <v>9</v>
      </c>
      <c r="H515" s="107" t="s">
        <v>490</v>
      </c>
    </row>
    <row r="516" spans="1:8" ht="19.8" customHeight="1" x14ac:dyDescent="0.3">
      <c r="A516" s="112">
        <v>45988</v>
      </c>
      <c r="B516" s="104" t="s">
        <v>458</v>
      </c>
      <c r="C516" s="105" t="s">
        <v>459</v>
      </c>
      <c r="D516" s="104" t="s">
        <v>335</v>
      </c>
      <c r="E516" s="113">
        <v>1.118055555555556</v>
      </c>
      <c r="F516" s="104" t="s">
        <v>101</v>
      </c>
      <c r="G516" s="106">
        <v>5</v>
      </c>
      <c r="H516" s="107" t="s">
        <v>523</v>
      </c>
    </row>
    <row r="517" spans="1:8" ht="19.8" customHeight="1" x14ac:dyDescent="0.3">
      <c r="A517" s="112">
        <v>45988</v>
      </c>
      <c r="B517" s="104" t="s">
        <v>26</v>
      </c>
      <c r="C517" s="105" t="s">
        <v>359</v>
      </c>
      <c r="D517" s="104" t="s">
        <v>335</v>
      </c>
      <c r="E517" s="113">
        <v>1.75</v>
      </c>
      <c r="F517" s="104" t="s">
        <v>34</v>
      </c>
      <c r="G517" s="106">
        <v>5</v>
      </c>
      <c r="H517" s="107" t="s">
        <v>522</v>
      </c>
    </row>
    <row r="518" spans="1:8" ht="19.8" customHeight="1" x14ac:dyDescent="0.3">
      <c r="A518" s="112">
        <v>45988</v>
      </c>
      <c r="B518" s="104" t="s">
        <v>26</v>
      </c>
      <c r="C518" s="105" t="s">
        <v>358</v>
      </c>
      <c r="D518" s="104" t="s">
        <v>335</v>
      </c>
      <c r="E518" s="113">
        <v>1.8888888888888891</v>
      </c>
      <c r="F518" s="104" t="s">
        <v>34</v>
      </c>
      <c r="G518" s="106">
        <v>9</v>
      </c>
      <c r="H518" s="107" t="s">
        <v>522</v>
      </c>
    </row>
    <row r="519" spans="1:8" ht="19.8" customHeight="1" x14ac:dyDescent="0.3">
      <c r="A519" s="112">
        <v>45988</v>
      </c>
      <c r="B519" s="104" t="s">
        <v>60</v>
      </c>
      <c r="C519" s="105" t="s">
        <v>400</v>
      </c>
      <c r="D519" s="104" t="s">
        <v>335</v>
      </c>
      <c r="E519" s="113">
        <v>1.8298611111111109</v>
      </c>
      <c r="F519" s="104" t="s">
        <v>65</v>
      </c>
      <c r="G519" s="106">
        <v>9</v>
      </c>
      <c r="H519" s="107" t="s">
        <v>511</v>
      </c>
    </row>
    <row r="520" spans="1:8" ht="19.8" customHeight="1" x14ac:dyDescent="0.3">
      <c r="A520" s="112">
        <v>45988</v>
      </c>
      <c r="B520" s="104" t="s">
        <v>60</v>
      </c>
      <c r="C520" s="105" t="s">
        <v>404</v>
      </c>
      <c r="D520" s="104" t="s">
        <v>335</v>
      </c>
      <c r="E520" s="113">
        <v>1.7222222222222221</v>
      </c>
      <c r="F520" s="104" t="s">
        <v>65</v>
      </c>
      <c r="G520" s="106">
        <v>9</v>
      </c>
      <c r="H520" s="107" t="s">
        <v>511</v>
      </c>
    </row>
    <row r="521" spans="1:8" ht="19.8" customHeight="1" x14ac:dyDescent="0.3">
      <c r="A521" s="112">
        <v>45988</v>
      </c>
      <c r="B521" s="104" t="s">
        <v>60</v>
      </c>
      <c r="C521" s="105" t="s">
        <v>403</v>
      </c>
      <c r="D521" s="104" t="s">
        <v>335</v>
      </c>
      <c r="E521" s="113">
        <v>1.7048611111111109</v>
      </c>
      <c r="F521" s="104" t="s">
        <v>65</v>
      </c>
      <c r="G521" s="106">
        <v>9</v>
      </c>
      <c r="H521" s="107" t="s">
        <v>511</v>
      </c>
    </row>
    <row r="522" spans="1:8" ht="19.8" customHeight="1" x14ac:dyDescent="0.3">
      <c r="A522" s="112">
        <v>45988</v>
      </c>
      <c r="B522" s="104" t="s">
        <v>60</v>
      </c>
      <c r="C522" s="105" t="s">
        <v>393</v>
      </c>
      <c r="D522" s="104" t="s">
        <v>335</v>
      </c>
      <c r="E522" s="113">
        <v>1.2534722222222221</v>
      </c>
      <c r="F522" s="104" t="s">
        <v>65</v>
      </c>
      <c r="G522" s="106">
        <v>9</v>
      </c>
      <c r="H522" s="107" t="s">
        <v>511</v>
      </c>
    </row>
    <row r="523" spans="1:8" ht="19.8" customHeight="1" x14ac:dyDescent="0.3">
      <c r="A523" s="112">
        <v>45988</v>
      </c>
      <c r="B523" s="104" t="s">
        <v>41</v>
      </c>
      <c r="C523" s="105" t="s">
        <v>340</v>
      </c>
      <c r="D523" s="104" t="s">
        <v>335</v>
      </c>
      <c r="E523" s="113">
        <v>1.399305555555556</v>
      </c>
      <c r="F523" s="104" t="s">
        <v>46</v>
      </c>
      <c r="G523" s="106">
        <v>5</v>
      </c>
      <c r="H523" s="107" t="s">
        <v>120</v>
      </c>
    </row>
    <row r="524" spans="1:8" ht="19.8" customHeight="1" x14ac:dyDescent="0.3">
      <c r="A524" s="112">
        <v>45988</v>
      </c>
      <c r="B524" s="104" t="s">
        <v>41</v>
      </c>
      <c r="C524" s="105" t="s">
        <v>344</v>
      </c>
      <c r="D524" s="104" t="s">
        <v>335</v>
      </c>
      <c r="E524" s="113">
        <v>1.489583333333333</v>
      </c>
      <c r="F524" s="104" t="s">
        <v>46</v>
      </c>
      <c r="G524" s="106">
        <v>9</v>
      </c>
      <c r="H524" s="107" t="s">
        <v>120</v>
      </c>
    </row>
    <row r="525" spans="1:8" ht="19.8" customHeight="1" x14ac:dyDescent="0.3">
      <c r="A525" s="112">
        <v>45988</v>
      </c>
      <c r="B525" s="104" t="s">
        <v>60</v>
      </c>
      <c r="C525" s="105" t="s">
        <v>395</v>
      </c>
      <c r="D525" s="104" t="s">
        <v>335</v>
      </c>
      <c r="E525" s="113">
        <v>1.989583333333333</v>
      </c>
      <c r="F525" s="104" t="s">
        <v>65</v>
      </c>
      <c r="G525" s="106">
        <v>4</v>
      </c>
      <c r="H525" s="107" t="s">
        <v>512</v>
      </c>
    </row>
    <row r="526" spans="1:8" ht="19.8" customHeight="1" x14ac:dyDescent="0.3">
      <c r="A526" s="112">
        <v>45988</v>
      </c>
      <c r="B526" s="104" t="s">
        <v>60</v>
      </c>
      <c r="C526" s="105" t="s">
        <v>397</v>
      </c>
      <c r="D526" s="104" t="s">
        <v>335</v>
      </c>
      <c r="E526" s="113">
        <v>1.399305555555556</v>
      </c>
      <c r="F526" s="104" t="s">
        <v>65</v>
      </c>
      <c r="G526" s="106">
        <v>4</v>
      </c>
      <c r="H526" s="107" t="s">
        <v>512</v>
      </c>
    </row>
    <row r="527" spans="1:8" ht="19.8" customHeight="1" x14ac:dyDescent="0.3">
      <c r="A527" s="112">
        <v>45988</v>
      </c>
      <c r="B527" s="104" t="s">
        <v>60</v>
      </c>
      <c r="C527" s="105" t="s">
        <v>398</v>
      </c>
      <c r="D527" s="104" t="s">
        <v>335</v>
      </c>
      <c r="E527" s="113">
        <v>1.489583333333333</v>
      </c>
      <c r="F527" s="104" t="s">
        <v>65</v>
      </c>
      <c r="G527" s="106">
        <v>4</v>
      </c>
      <c r="H527" s="107" t="s">
        <v>512</v>
      </c>
    </row>
    <row r="528" spans="1:8" ht="19.8" customHeight="1" x14ac:dyDescent="0.3">
      <c r="A528" s="112">
        <v>45988</v>
      </c>
      <c r="B528" s="104" t="s">
        <v>60</v>
      </c>
      <c r="C528" s="105" t="s">
        <v>399</v>
      </c>
      <c r="D528" s="104" t="s">
        <v>335</v>
      </c>
      <c r="E528" s="113">
        <v>1.8888888888888891</v>
      </c>
      <c r="F528" s="104" t="s">
        <v>65</v>
      </c>
      <c r="G528" s="106">
        <v>4</v>
      </c>
      <c r="H528" s="107" t="s">
        <v>524</v>
      </c>
    </row>
    <row r="529" spans="1:8" ht="19.8" customHeight="1" x14ac:dyDescent="0.3">
      <c r="A529" s="112">
        <v>45988</v>
      </c>
      <c r="B529" s="104" t="s">
        <v>60</v>
      </c>
      <c r="C529" s="105" t="s">
        <v>446</v>
      </c>
      <c r="D529" s="104" t="s">
        <v>335</v>
      </c>
      <c r="E529" s="113">
        <v>1.489583333333333</v>
      </c>
      <c r="F529" s="104" t="s">
        <v>65</v>
      </c>
      <c r="G529" s="106">
        <v>9</v>
      </c>
      <c r="H529" s="107" t="s">
        <v>401</v>
      </c>
    </row>
    <row r="530" spans="1:8" ht="19.8" customHeight="1" x14ac:dyDescent="0.3">
      <c r="A530" s="112">
        <v>45988</v>
      </c>
      <c r="B530" s="104" t="s">
        <v>60</v>
      </c>
      <c r="C530" s="105" t="s">
        <v>444</v>
      </c>
      <c r="D530" s="104" t="s">
        <v>335</v>
      </c>
      <c r="E530" s="113">
        <v>1.041666666666667</v>
      </c>
      <c r="F530" s="104" t="s">
        <v>65</v>
      </c>
      <c r="G530" s="106">
        <v>9</v>
      </c>
      <c r="H530" s="107" t="s">
        <v>401</v>
      </c>
    </row>
    <row r="531" spans="1:8" ht="19.8" customHeight="1" x14ac:dyDescent="0.3">
      <c r="A531" s="112">
        <v>45988</v>
      </c>
      <c r="B531" s="104" t="s">
        <v>60</v>
      </c>
      <c r="C531" s="105" t="s">
        <v>445</v>
      </c>
      <c r="D531" s="104" t="s">
        <v>335</v>
      </c>
      <c r="E531" s="113">
        <v>1.9409722222222221</v>
      </c>
      <c r="F531" s="104" t="s">
        <v>65</v>
      </c>
      <c r="G531" s="106">
        <v>9</v>
      </c>
      <c r="H531" s="107" t="s">
        <v>401</v>
      </c>
    </row>
    <row r="532" spans="1:8" ht="19.8" customHeight="1" x14ac:dyDescent="0.3">
      <c r="A532" s="112">
        <v>45988</v>
      </c>
      <c r="B532" s="104" t="s">
        <v>48</v>
      </c>
      <c r="C532" s="105" t="s">
        <v>410</v>
      </c>
      <c r="D532" s="104" t="s">
        <v>335</v>
      </c>
      <c r="E532" s="113">
        <v>1.9722222222222221</v>
      </c>
      <c r="F532" s="104" t="s">
        <v>50</v>
      </c>
      <c r="G532" s="106">
        <v>9</v>
      </c>
      <c r="H532" s="107" t="s">
        <v>409</v>
      </c>
    </row>
    <row r="533" spans="1:8" ht="19.8" customHeight="1" x14ac:dyDescent="0.3">
      <c r="A533" s="112">
        <v>45988</v>
      </c>
      <c r="B533" s="104" t="s">
        <v>48</v>
      </c>
      <c r="C533" s="105" t="s">
        <v>415</v>
      </c>
      <c r="D533" s="104" t="s">
        <v>335</v>
      </c>
      <c r="E533" s="113">
        <v>1.0486111111111109</v>
      </c>
      <c r="F533" s="104" t="s">
        <v>50</v>
      </c>
      <c r="G533" s="106">
        <v>5</v>
      </c>
      <c r="H533" s="107" t="s">
        <v>409</v>
      </c>
    </row>
    <row r="534" spans="1:8" ht="19.8" customHeight="1" x14ac:dyDescent="0.3">
      <c r="A534" s="120">
        <v>45988</v>
      </c>
      <c r="B534" s="121" t="s">
        <v>77</v>
      </c>
      <c r="C534" s="122" t="s">
        <v>383</v>
      </c>
      <c r="D534" s="121" t="s">
        <v>335</v>
      </c>
      <c r="E534" s="123">
        <v>1.40625</v>
      </c>
      <c r="F534" s="121" t="s">
        <v>79</v>
      </c>
      <c r="G534" s="121"/>
      <c r="H534" s="125" t="s">
        <v>80</v>
      </c>
    </row>
    <row r="535" spans="1:8" ht="19.8" customHeight="1" x14ac:dyDescent="0.3">
      <c r="A535" s="126">
        <v>45988</v>
      </c>
      <c r="B535" s="109" t="s">
        <v>77</v>
      </c>
      <c r="C535" s="110" t="s">
        <v>363</v>
      </c>
      <c r="D535" s="109" t="s">
        <v>335</v>
      </c>
      <c r="E535" s="127">
        <v>1.5625</v>
      </c>
      <c r="F535" s="109" t="s">
        <v>79</v>
      </c>
      <c r="G535" s="109"/>
      <c r="H535" s="111" t="s">
        <v>80</v>
      </c>
    </row>
    <row r="536" spans="1:8" ht="19.8" customHeight="1" x14ac:dyDescent="0.3">
      <c r="A536" s="112">
        <v>45989</v>
      </c>
      <c r="B536" s="104" t="s">
        <v>388</v>
      </c>
      <c r="C536" s="105" t="s">
        <v>389</v>
      </c>
      <c r="D536" s="104" t="s">
        <v>335</v>
      </c>
      <c r="E536" s="113">
        <v>1.225694444444444</v>
      </c>
      <c r="F536" s="104" t="s">
        <v>390</v>
      </c>
      <c r="G536" s="106">
        <v>9</v>
      </c>
      <c r="H536" s="107" t="s">
        <v>525</v>
      </c>
    </row>
    <row r="537" spans="1:8" ht="19.8" customHeight="1" x14ac:dyDescent="0.3">
      <c r="A537" s="112">
        <v>45989</v>
      </c>
      <c r="B537" s="104" t="s">
        <v>388</v>
      </c>
      <c r="C537" s="105" t="s">
        <v>438</v>
      </c>
      <c r="D537" s="104" t="s">
        <v>335</v>
      </c>
      <c r="E537" s="113">
        <v>1.8090277777777779</v>
      </c>
      <c r="F537" s="104" t="s">
        <v>390</v>
      </c>
      <c r="G537" s="106">
        <v>9</v>
      </c>
      <c r="H537" s="107" t="s">
        <v>527</v>
      </c>
    </row>
    <row r="538" spans="1:8" ht="19.8" customHeight="1" x14ac:dyDescent="0.3">
      <c r="A538" s="112">
        <v>45989</v>
      </c>
      <c r="B538" s="104" t="s">
        <v>41</v>
      </c>
      <c r="C538" s="105" t="s">
        <v>340</v>
      </c>
      <c r="D538" s="104" t="s">
        <v>335</v>
      </c>
      <c r="E538" s="113">
        <v>1.399305555555556</v>
      </c>
      <c r="F538" s="104" t="s">
        <v>43</v>
      </c>
      <c r="G538" s="106">
        <v>5</v>
      </c>
      <c r="H538" s="107" t="s">
        <v>493</v>
      </c>
    </row>
    <row r="539" spans="1:8" ht="19.8" customHeight="1" x14ac:dyDescent="0.3">
      <c r="A539" s="112">
        <v>45989</v>
      </c>
      <c r="B539" s="104" t="s">
        <v>41</v>
      </c>
      <c r="C539" s="105" t="s">
        <v>347</v>
      </c>
      <c r="D539" s="104" t="s">
        <v>335</v>
      </c>
      <c r="E539" s="113">
        <v>1.8888888888888891</v>
      </c>
      <c r="F539" s="104" t="s">
        <v>43</v>
      </c>
      <c r="G539" s="106">
        <v>10</v>
      </c>
      <c r="H539" s="107" t="s">
        <v>493</v>
      </c>
    </row>
    <row r="540" spans="1:8" ht="19.8" customHeight="1" x14ac:dyDescent="0.3">
      <c r="A540" s="112">
        <v>45989</v>
      </c>
      <c r="B540" s="104" t="s">
        <v>41</v>
      </c>
      <c r="C540" s="105" t="s">
        <v>336</v>
      </c>
      <c r="D540" s="104" t="s">
        <v>335</v>
      </c>
      <c r="E540" s="113">
        <v>1.989583333333333</v>
      </c>
      <c r="F540" s="104" t="s">
        <v>43</v>
      </c>
      <c r="G540" s="106">
        <v>13</v>
      </c>
      <c r="H540" s="107" t="s">
        <v>493</v>
      </c>
    </row>
    <row r="541" spans="1:8" ht="19.8" customHeight="1" x14ac:dyDescent="0.3">
      <c r="A541" s="112">
        <v>45989</v>
      </c>
      <c r="B541" s="104" t="s">
        <v>385</v>
      </c>
      <c r="C541" s="105" t="s">
        <v>386</v>
      </c>
      <c r="D541" s="104" t="s">
        <v>335</v>
      </c>
      <c r="E541" s="113">
        <v>1.493055555555556</v>
      </c>
      <c r="F541" s="104" t="s">
        <v>101</v>
      </c>
      <c r="G541" s="106">
        <v>9</v>
      </c>
      <c r="H541" s="107" t="s">
        <v>521</v>
      </c>
    </row>
    <row r="542" spans="1:8" ht="19.8" customHeight="1" x14ac:dyDescent="0.3">
      <c r="A542" s="112">
        <v>45989</v>
      </c>
      <c r="B542" s="104" t="s">
        <v>41</v>
      </c>
      <c r="C542" s="105" t="s">
        <v>344</v>
      </c>
      <c r="D542" s="104" t="s">
        <v>335</v>
      </c>
      <c r="E542" s="113">
        <v>1.489583333333333</v>
      </c>
      <c r="F542" s="104" t="s">
        <v>43</v>
      </c>
      <c r="G542" s="106">
        <v>4</v>
      </c>
      <c r="H542" s="107" t="s">
        <v>478</v>
      </c>
    </row>
    <row r="543" spans="1:8" ht="19.8" customHeight="1" x14ac:dyDescent="0.3">
      <c r="A543" s="112">
        <v>45989</v>
      </c>
      <c r="B543" s="104" t="s">
        <v>26</v>
      </c>
      <c r="C543" s="105" t="s">
        <v>354</v>
      </c>
      <c r="D543" s="104" t="s">
        <v>335</v>
      </c>
      <c r="E543" s="113">
        <v>1.3472222222222221</v>
      </c>
      <c r="F543" s="104" t="s">
        <v>28</v>
      </c>
      <c r="G543" s="106">
        <v>9</v>
      </c>
      <c r="H543" s="107" t="s">
        <v>47</v>
      </c>
    </row>
    <row r="544" spans="1:8" ht="19.8" customHeight="1" x14ac:dyDescent="0.3">
      <c r="A544" s="112">
        <v>45989</v>
      </c>
      <c r="B544" s="104" t="s">
        <v>26</v>
      </c>
      <c r="C544" s="105" t="s">
        <v>350</v>
      </c>
      <c r="D544" s="104" t="s">
        <v>335</v>
      </c>
      <c r="E544" s="113">
        <v>1.993055555555556</v>
      </c>
      <c r="F544" s="104" t="s">
        <v>28</v>
      </c>
      <c r="G544" s="106">
        <v>2</v>
      </c>
      <c r="H544" s="107" t="s">
        <v>47</v>
      </c>
    </row>
    <row r="545" spans="1:8" ht="19.8" customHeight="1" x14ac:dyDescent="0.3">
      <c r="A545" s="112">
        <v>45989</v>
      </c>
      <c r="B545" s="104" t="s">
        <v>26</v>
      </c>
      <c r="C545" s="105" t="s">
        <v>352</v>
      </c>
      <c r="D545" s="104" t="s">
        <v>335</v>
      </c>
      <c r="E545" s="113">
        <v>1.944444444444444</v>
      </c>
      <c r="F545" s="104" t="s">
        <v>28</v>
      </c>
      <c r="G545" s="106">
        <v>3</v>
      </c>
      <c r="H545" s="107" t="s">
        <v>47</v>
      </c>
    </row>
    <row r="546" spans="1:8" ht="19.8" customHeight="1" x14ac:dyDescent="0.3">
      <c r="A546" s="112">
        <v>45989</v>
      </c>
      <c r="B546" s="104" t="s">
        <v>26</v>
      </c>
      <c r="C546" s="105" t="s">
        <v>360</v>
      </c>
      <c r="D546" s="104" t="s">
        <v>335</v>
      </c>
      <c r="E546" s="113">
        <v>1.4861111111111109</v>
      </c>
      <c r="F546" s="104" t="s">
        <v>28</v>
      </c>
      <c r="G546" s="106">
        <v>9</v>
      </c>
      <c r="H546" s="107" t="s">
        <v>47</v>
      </c>
    </row>
    <row r="547" spans="1:8" ht="19.8" customHeight="1" x14ac:dyDescent="0.3">
      <c r="A547" s="112">
        <v>45989</v>
      </c>
      <c r="B547" s="104" t="s">
        <v>388</v>
      </c>
      <c r="C547" s="105" t="s">
        <v>389</v>
      </c>
      <c r="D547" s="104" t="s">
        <v>335</v>
      </c>
      <c r="E547" s="113">
        <v>1.225694444444444</v>
      </c>
      <c r="F547" s="104" t="s">
        <v>46</v>
      </c>
      <c r="G547" s="106">
        <v>9</v>
      </c>
      <c r="H547" s="107" t="s">
        <v>526</v>
      </c>
    </row>
    <row r="548" spans="1:8" ht="19.8" customHeight="1" x14ac:dyDescent="0.3">
      <c r="A548" s="120">
        <v>45989</v>
      </c>
      <c r="B548" s="121" t="s">
        <v>77</v>
      </c>
      <c r="C548" s="122" t="s">
        <v>374</v>
      </c>
      <c r="D548" s="121" t="s">
        <v>335</v>
      </c>
      <c r="E548" s="123">
        <v>1.1423611111111109</v>
      </c>
      <c r="F548" s="121" t="s">
        <v>101</v>
      </c>
      <c r="G548" s="124">
        <v>1</v>
      </c>
      <c r="H548" s="125" t="s">
        <v>517</v>
      </c>
    </row>
    <row r="549" spans="1:8" ht="19.8" customHeight="1" x14ac:dyDescent="0.3">
      <c r="A549" s="120">
        <v>45989</v>
      </c>
      <c r="B549" s="121" t="s">
        <v>77</v>
      </c>
      <c r="C549" s="122" t="s">
        <v>424</v>
      </c>
      <c r="D549" s="121" t="s">
        <v>335</v>
      </c>
      <c r="E549" s="123">
        <v>1.28125</v>
      </c>
      <c r="F549" s="121" t="s">
        <v>101</v>
      </c>
      <c r="G549" s="124">
        <v>5</v>
      </c>
      <c r="H549" s="125" t="s">
        <v>517</v>
      </c>
    </row>
    <row r="550" spans="1:8" ht="19.8" customHeight="1" x14ac:dyDescent="0.3">
      <c r="A550" s="112">
        <v>45989</v>
      </c>
      <c r="B550" s="104" t="s">
        <v>41</v>
      </c>
      <c r="C550" s="105" t="s">
        <v>340</v>
      </c>
      <c r="D550" s="104" t="s">
        <v>335</v>
      </c>
      <c r="E550" s="113">
        <v>1.399305555555556</v>
      </c>
      <c r="F550" s="104" t="s">
        <v>45</v>
      </c>
      <c r="G550" s="106">
        <v>5</v>
      </c>
      <c r="H550" s="107" t="s">
        <v>457</v>
      </c>
    </row>
    <row r="551" spans="1:8" ht="19.8" customHeight="1" x14ac:dyDescent="0.3">
      <c r="A551" s="112">
        <v>45989</v>
      </c>
      <c r="B551" s="104" t="s">
        <v>41</v>
      </c>
      <c r="C551" s="105" t="s">
        <v>347</v>
      </c>
      <c r="D551" s="104" t="s">
        <v>335</v>
      </c>
      <c r="E551" s="113">
        <v>1.8888888888888891</v>
      </c>
      <c r="F551" s="104" t="s">
        <v>45</v>
      </c>
      <c r="G551" s="106">
        <v>10</v>
      </c>
      <c r="H551" s="107" t="s">
        <v>457</v>
      </c>
    </row>
    <row r="552" spans="1:8" ht="19.8" customHeight="1" x14ac:dyDescent="0.3">
      <c r="A552" s="112">
        <v>45989</v>
      </c>
      <c r="B552" s="104" t="s">
        <v>41</v>
      </c>
      <c r="C552" s="105" t="s">
        <v>336</v>
      </c>
      <c r="D552" s="104" t="s">
        <v>335</v>
      </c>
      <c r="E552" s="113">
        <v>1.989583333333333</v>
      </c>
      <c r="F552" s="104" t="s">
        <v>45</v>
      </c>
      <c r="G552" s="106">
        <v>13</v>
      </c>
      <c r="H552" s="107" t="s">
        <v>457</v>
      </c>
    </row>
    <row r="553" spans="1:8" ht="19.8" customHeight="1" x14ac:dyDescent="0.3">
      <c r="A553" s="112">
        <v>45989</v>
      </c>
      <c r="B553" s="104" t="s">
        <v>388</v>
      </c>
      <c r="C553" s="105" t="s">
        <v>438</v>
      </c>
      <c r="D553" s="104" t="s">
        <v>335</v>
      </c>
      <c r="E553" s="113">
        <v>1.8090277777777779</v>
      </c>
      <c r="F553" s="104" t="s">
        <v>46</v>
      </c>
      <c r="G553" s="106">
        <v>9</v>
      </c>
      <c r="H553" s="107" t="s">
        <v>528</v>
      </c>
    </row>
    <row r="554" spans="1:8" ht="19.8" customHeight="1" x14ac:dyDescent="0.3">
      <c r="A554" s="112">
        <v>45989</v>
      </c>
      <c r="B554" s="104" t="s">
        <v>48</v>
      </c>
      <c r="C554" s="105" t="s">
        <v>408</v>
      </c>
      <c r="D554" s="104" t="s">
        <v>335</v>
      </c>
      <c r="E554" s="113">
        <v>1.2986111111111109</v>
      </c>
      <c r="F554" s="104" t="s">
        <v>50</v>
      </c>
      <c r="G554" s="106">
        <v>9</v>
      </c>
      <c r="H554" s="107" t="s">
        <v>443</v>
      </c>
    </row>
    <row r="555" spans="1:8" ht="19.8" customHeight="1" x14ac:dyDescent="0.3">
      <c r="A555" s="112">
        <v>45989</v>
      </c>
      <c r="B555" s="104" t="s">
        <v>48</v>
      </c>
      <c r="C555" s="105" t="s">
        <v>411</v>
      </c>
      <c r="D555" s="104" t="s">
        <v>335</v>
      </c>
      <c r="E555" s="113">
        <v>1.104166666666667</v>
      </c>
      <c r="F555" s="104" t="s">
        <v>50</v>
      </c>
      <c r="G555" s="106">
        <v>9</v>
      </c>
      <c r="H555" s="107" t="s">
        <v>443</v>
      </c>
    </row>
    <row r="556" spans="1:8" ht="19.8" customHeight="1" x14ac:dyDescent="0.3">
      <c r="A556" s="112">
        <v>45989</v>
      </c>
      <c r="B556" s="104" t="s">
        <v>41</v>
      </c>
      <c r="C556" s="105" t="s">
        <v>344</v>
      </c>
      <c r="D556" s="104" t="s">
        <v>335</v>
      </c>
      <c r="E556" s="113">
        <v>1.489583333333333</v>
      </c>
      <c r="F556" s="104" t="s">
        <v>45</v>
      </c>
      <c r="G556" s="106">
        <v>4</v>
      </c>
      <c r="H556" s="107" t="s">
        <v>532</v>
      </c>
    </row>
    <row r="557" spans="1:8" ht="19.8" customHeight="1" x14ac:dyDescent="0.3">
      <c r="A557" s="112">
        <v>45989</v>
      </c>
      <c r="B557" s="104" t="s">
        <v>26</v>
      </c>
      <c r="C557" s="105" t="s">
        <v>354</v>
      </c>
      <c r="D557" s="104" t="s">
        <v>335</v>
      </c>
      <c r="E557" s="113">
        <v>1.3472222222222221</v>
      </c>
      <c r="F557" s="104" t="s">
        <v>31</v>
      </c>
      <c r="G557" s="106">
        <v>9</v>
      </c>
      <c r="H557" s="107" t="s">
        <v>532</v>
      </c>
    </row>
    <row r="558" spans="1:8" ht="19.8" customHeight="1" x14ac:dyDescent="0.3">
      <c r="A558" s="112">
        <v>45989</v>
      </c>
      <c r="B558" s="104" t="s">
        <v>26</v>
      </c>
      <c r="C558" s="105" t="s">
        <v>350</v>
      </c>
      <c r="D558" s="104" t="s">
        <v>335</v>
      </c>
      <c r="E558" s="113">
        <v>1.993055555555556</v>
      </c>
      <c r="F558" s="104" t="s">
        <v>31</v>
      </c>
      <c r="G558" s="106">
        <v>2</v>
      </c>
      <c r="H558" s="107" t="s">
        <v>532</v>
      </c>
    </row>
    <row r="559" spans="1:8" ht="19.8" customHeight="1" x14ac:dyDescent="0.3">
      <c r="A559" s="112">
        <v>45989</v>
      </c>
      <c r="B559" s="104" t="s">
        <v>26</v>
      </c>
      <c r="C559" s="105" t="s">
        <v>359</v>
      </c>
      <c r="D559" s="104" t="s">
        <v>335</v>
      </c>
      <c r="E559" s="113">
        <v>1.7361111111111109</v>
      </c>
      <c r="F559" s="104" t="s">
        <v>28</v>
      </c>
      <c r="G559" s="106">
        <v>6</v>
      </c>
      <c r="H559" s="107" t="s">
        <v>532</v>
      </c>
    </row>
    <row r="560" spans="1:8" ht="19.8" customHeight="1" x14ac:dyDescent="0.3">
      <c r="A560" s="112">
        <v>45989</v>
      </c>
      <c r="B560" s="104" t="s">
        <v>26</v>
      </c>
      <c r="C560" s="105" t="s">
        <v>356</v>
      </c>
      <c r="D560" s="104" t="s">
        <v>335</v>
      </c>
      <c r="E560" s="113">
        <v>1.836805555555556</v>
      </c>
      <c r="F560" s="104" t="s">
        <v>28</v>
      </c>
      <c r="G560" s="106">
        <v>7</v>
      </c>
      <c r="H560" s="107" t="s">
        <v>532</v>
      </c>
    </row>
    <row r="561" spans="1:8" ht="19.8" customHeight="1" x14ac:dyDescent="0.3">
      <c r="A561" s="112">
        <v>45989</v>
      </c>
      <c r="B561" s="104" t="s">
        <v>26</v>
      </c>
      <c r="C561" s="105" t="s">
        <v>352</v>
      </c>
      <c r="D561" s="104" t="s">
        <v>335</v>
      </c>
      <c r="E561" s="113">
        <v>1.944444444444444</v>
      </c>
      <c r="F561" s="104" t="s">
        <v>31</v>
      </c>
      <c r="G561" s="106">
        <v>3</v>
      </c>
      <c r="H561" s="107" t="s">
        <v>532</v>
      </c>
    </row>
    <row r="562" spans="1:8" ht="19.8" customHeight="1" x14ac:dyDescent="0.3">
      <c r="A562" s="112">
        <v>45989</v>
      </c>
      <c r="B562" s="104" t="s">
        <v>26</v>
      </c>
      <c r="C562" s="105" t="s">
        <v>360</v>
      </c>
      <c r="D562" s="104" t="s">
        <v>335</v>
      </c>
      <c r="E562" s="113">
        <v>1.4861111111111109</v>
      </c>
      <c r="F562" s="104" t="s">
        <v>31</v>
      </c>
      <c r="G562" s="106">
        <v>9</v>
      </c>
      <c r="H562" s="107" t="s">
        <v>532</v>
      </c>
    </row>
    <row r="563" spans="1:8" ht="19.8" customHeight="1" x14ac:dyDescent="0.3">
      <c r="A563" s="112">
        <v>45989</v>
      </c>
      <c r="B563" s="104" t="s">
        <v>26</v>
      </c>
      <c r="C563" s="105" t="s">
        <v>358</v>
      </c>
      <c r="D563" s="104" t="s">
        <v>335</v>
      </c>
      <c r="E563" s="113">
        <v>1.8888888888888891</v>
      </c>
      <c r="F563" s="104" t="s">
        <v>28</v>
      </c>
      <c r="G563" s="106">
        <v>9</v>
      </c>
      <c r="H563" s="107" t="s">
        <v>532</v>
      </c>
    </row>
    <row r="564" spans="1:8" ht="19.8" customHeight="1" x14ac:dyDescent="0.3">
      <c r="A564" s="120">
        <v>45989</v>
      </c>
      <c r="B564" s="121" t="s">
        <v>77</v>
      </c>
      <c r="C564" s="122" t="s">
        <v>427</v>
      </c>
      <c r="D564" s="121" t="s">
        <v>335</v>
      </c>
      <c r="E564" s="123">
        <v>1.5590277777777779</v>
      </c>
      <c r="F564" s="121" t="s">
        <v>101</v>
      </c>
      <c r="G564" s="124">
        <v>9</v>
      </c>
      <c r="H564" s="125" t="s">
        <v>437</v>
      </c>
    </row>
    <row r="565" spans="1:8" ht="19.8" customHeight="1" x14ac:dyDescent="0.3">
      <c r="A565" s="120">
        <v>45989</v>
      </c>
      <c r="B565" s="121" t="s">
        <v>77</v>
      </c>
      <c r="C565" s="122" t="s">
        <v>361</v>
      </c>
      <c r="D565" s="121" t="s">
        <v>335</v>
      </c>
      <c r="E565" s="123">
        <v>1.4375</v>
      </c>
      <c r="F565" s="121" t="s">
        <v>101</v>
      </c>
      <c r="G565" s="124">
        <v>9</v>
      </c>
      <c r="H565" s="125" t="s">
        <v>437</v>
      </c>
    </row>
    <row r="566" spans="1:8" ht="19.8" customHeight="1" x14ac:dyDescent="0.3">
      <c r="A566" s="112">
        <v>45989</v>
      </c>
      <c r="B566" s="104" t="s">
        <v>60</v>
      </c>
      <c r="C566" s="105" t="s">
        <v>444</v>
      </c>
      <c r="D566" s="104" t="s">
        <v>335</v>
      </c>
      <c r="E566" s="113">
        <v>1.041666666666667</v>
      </c>
      <c r="F566" s="104" t="s">
        <v>65</v>
      </c>
      <c r="G566" s="106">
        <v>9</v>
      </c>
      <c r="H566" s="107" t="s">
        <v>490</v>
      </c>
    </row>
    <row r="567" spans="1:8" ht="19.8" customHeight="1" x14ac:dyDescent="0.3">
      <c r="A567" s="120">
        <v>45989</v>
      </c>
      <c r="B567" s="121" t="s">
        <v>77</v>
      </c>
      <c r="C567" s="122" t="s">
        <v>419</v>
      </c>
      <c r="D567" s="121" t="s">
        <v>335</v>
      </c>
      <c r="E567" s="123">
        <v>1.760416666666667</v>
      </c>
      <c r="F567" s="121" t="s">
        <v>101</v>
      </c>
      <c r="G567" s="124">
        <v>1</v>
      </c>
      <c r="H567" s="125" t="s">
        <v>541</v>
      </c>
    </row>
    <row r="568" spans="1:8" ht="19.8" customHeight="1" x14ac:dyDescent="0.3">
      <c r="A568" s="112">
        <v>45989</v>
      </c>
      <c r="B568" s="104" t="s">
        <v>26</v>
      </c>
      <c r="C568" s="105" t="s">
        <v>354</v>
      </c>
      <c r="D568" s="104" t="s">
        <v>335</v>
      </c>
      <c r="E568" s="113">
        <v>1.3472222222222221</v>
      </c>
      <c r="F568" s="104" t="s">
        <v>34</v>
      </c>
      <c r="G568" s="106">
        <v>9</v>
      </c>
      <c r="H568" s="107" t="s">
        <v>533</v>
      </c>
    </row>
    <row r="569" spans="1:8" ht="19.8" customHeight="1" x14ac:dyDescent="0.3">
      <c r="A569" s="112">
        <v>45989</v>
      </c>
      <c r="B569" s="104" t="s">
        <v>26</v>
      </c>
      <c r="C569" s="105" t="s">
        <v>350</v>
      </c>
      <c r="D569" s="104" t="s">
        <v>335</v>
      </c>
      <c r="E569" s="113">
        <v>1.993055555555556</v>
      </c>
      <c r="F569" s="104" t="s">
        <v>34</v>
      </c>
      <c r="G569" s="106">
        <v>2</v>
      </c>
      <c r="H569" s="107" t="s">
        <v>533</v>
      </c>
    </row>
    <row r="570" spans="1:8" ht="19.8" customHeight="1" x14ac:dyDescent="0.3">
      <c r="A570" s="112">
        <v>45989</v>
      </c>
      <c r="B570" s="104" t="s">
        <v>26</v>
      </c>
      <c r="C570" s="105" t="s">
        <v>352</v>
      </c>
      <c r="D570" s="104" t="s">
        <v>335</v>
      </c>
      <c r="E570" s="113">
        <v>1.944444444444444</v>
      </c>
      <c r="F570" s="104" t="s">
        <v>34</v>
      </c>
      <c r="G570" s="106">
        <v>3</v>
      </c>
      <c r="H570" s="107" t="s">
        <v>533</v>
      </c>
    </row>
    <row r="571" spans="1:8" ht="19.8" customHeight="1" x14ac:dyDescent="0.3">
      <c r="A571" s="112">
        <v>45989</v>
      </c>
      <c r="B571" s="104" t="s">
        <v>26</v>
      </c>
      <c r="C571" s="105" t="s">
        <v>360</v>
      </c>
      <c r="D571" s="104" t="s">
        <v>335</v>
      </c>
      <c r="E571" s="113">
        <v>1.4861111111111109</v>
      </c>
      <c r="F571" s="104" t="s">
        <v>34</v>
      </c>
      <c r="G571" s="106">
        <v>9</v>
      </c>
      <c r="H571" s="107" t="s">
        <v>533</v>
      </c>
    </row>
    <row r="572" spans="1:8" ht="19.8" customHeight="1" x14ac:dyDescent="0.3">
      <c r="A572" s="112">
        <v>45989</v>
      </c>
      <c r="B572" s="104" t="s">
        <v>26</v>
      </c>
      <c r="C572" s="105" t="s">
        <v>359</v>
      </c>
      <c r="D572" s="104" t="s">
        <v>335</v>
      </c>
      <c r="E572" s="113">
        <v>1.7361111111111109</v>
      </c>
      <c r="F572" s="104" t="s">
        <v>31</v>
      </c>
      <c r="G572" s="106">
        <v>6</v>
      </c>
      <c r="H572" s="107" t="s">
        <v>534</v>
      </c>
    </row>
    <row r="573" spans="1:8" ht="19.8" customHeight="1" x14ac:dyDescent="0.3">
      <c r="A573" s="112">
        <v>45989</v>
      </c>
      <c r="B573" s="104" t="s">
        <v>26</v>
      </c>
      <c r="C573" s="105" t="s">
        <v>356</v>
      </c>
      <c r="D573" s="104" t="s">
        <v>335</v>
      </c>
      <c r="E573" s="113">
        <v>1.836805555555556</v>
      </c>
      <c r="F573" s="104" t="s">
        <v>31</v>
      </c>
      <c r="G573" s="106">
        <v>7</v>
      </c>
      <c r="H573" s="107" t="s">
        <v>534</v>
      </c>
    </row>
    <row r="574" spans="1:8" ht="19.8" customHeight="1" x14ac:dyDescent="0.3">
      <c r="A574" s="112">
        <v>45989</v>
      </c>
      <c r="B574" s="104" t="s">
        <v>26</v>
      </c>
      <c r="C574" s="105" t="s">
        <v>358</v>
      </c>
      <c r="D574" s="104" t="s">
        <v>335</v>
      </c>
      <c r="E574" s="113">
        <v>1.8888888888888891</v>
      </c>
      <c r="F574" s="104" t="s">
        <v>31</v>
      </c>
      <c r="G574" s="106">
        <v>9</v>
      </c>
      <c r="H574" s="107" t="s">
        <v>534</v>
      </c>
    </row>
    <row r="575" spans="1:8" ht="19.8" customHeight="1" x14ac:dyDescent="0.3">
      <c r="A575" s="112">
        <v>45989</v>
      </c>
      <c r="B575" s="104" t="s">
        <v>48</v>
      </c>
      <c r="C575" s="105" t="s">
        <v>410</v>
      </c>
      <c r="D575" s="104" t="s">
        <v>335</v>
      </c>
      <c r="E575" s="113">
        <v>1.9722222222222221</v>
      </c>
      <c r="F575" s="104" t="s">
        <v>50</v>
      </c>
      <c r="G575" s="106">
        <v>9</v>
      </c>
      <c r="H575" s="107" t="s">
        <v>407</v>
      </c>
    </row>
    <row r="576" spans="1:8" ht="19.8" customHeight="1" x14ac:dyDescent="0.3">
      <c r="A576" s="112">
        <v>45989</v>
      </c>
      <c r="B576" s="104" t="s">
        <v>48</v>
      </c>
      <c r="C576" s="105" t="s">
        <v>412</v>
      </c>
      <c r="D576" s="104" t="s">
        <v>335</v>
      </c>
      <c r="E576" s="113">
        <v>1.5972222222222221</v>
      </c>
      <c r="F576" s="104" t="s">
        <v>50</v>
      </c>
      <c r="G576" s="106">
        <v>9</v>
      </c>
      <c r="H576" s="107" t="s">
        <v>407</v>
      </c>
    </row>
    <row r="577" spans="1:8" ht="19.8" customHeight="1" x14ac:dyDescent="0.3">
      <c r="A577" s="112">
        <v>45989</v>
      </c>
      <c r="B577" s="104" t="s">
        <v>26</v>
      </c>
      <c r="C577" s="105" t="s">
        <v>359</v>
      </c>
      <c r="D577" s="104" t="s">
        <v>335</v>
      </c>
      <c r="E577" s="113">
        <v>1.7361111111111109</v>
      </c>
      <c r="F577" s="104" t="s">
        <v>34</v>
      </c>
      <c r="G577" s="106">
        <v>6</v>
      </c>
      <c r="H577" s="107" t="s">
        <v>535</v>
      </c>
    </row>
    <row r="578" spans="1:8" ht="19.8" customHeight="1" x14ac:dyDescent="0.3">
      <c r="A578" s="112">
        <v>45989</v>
      </c>
      <c r="B578" s="104" t="s">
        <v>26</v>
      </c>
      <c r="C578" s="105" t="s">
        <v>356</v>
      </c>
      <c r="D578" s="104" t="s">
        <v>335</v>
      </c>
      <c r="E578" s="113">
        <v>1.836805555555556</v>
      </c>
      <c r="F578" s="104" t="s">
        <v>34</v>
      </c>
      <c r="G578" s="106">
        <v>7</v>
      </c>
      <c r="H578" s="107" t="s">
        <v>535</v>
      </c>
    </row>
    <row r="579" spans="1:8" ht="19.8" customHeight="1" x14ac:dyDescent="0.3">
      <c r="A579" s="112">
        <v>45989</v>
      </c>
      <c r="B579" s="104" t="s">
        <v>26</v>
      </c>
      <c r="C579" s="105" t="s">
        <v>358</v>
      </c>
      <c r="D579" s="104" t="s">
        <v>335</v>
      </c>
      <c r="E579" s="113">
        <v>1.8888888888888891</v>
      </c>
      <c r="F579" s="104" t="s">
        <v>34</v>
      </c>
      <c r="G579" s="106">
        <v>9</v>
      </c>
      <c r="H579" s="107" t="s">
        <v>535</v>
      </c>
    </row>
    <row r="580" spans="1:8" ht="19.8" customHeight="1" x14ac:dyDescent="0.3">
      <c r="A580" s="112">
        <v>45989</v>
      </c>
      <c r="B580" s="104" t="s">
        <v>60</v>
      </c>
      <c r="C580" s="105" t="s">
        <v>446</v>
      </c>
      <c r="D580" s="104" t="s">
        <v>335</v>
      </c>
      <c r="E580" s="113">
        <v>1.489583333333333</v>
      </c>
      <c r="F580" s="104" t="s">
        <v>65</v>
      </c>
      <c r="G580" s="106">
        <v>9</v>
      </c>
      <c r="H580" s="107" t="s">
        <v>511</v>
      </c>
    </row>
    <row r="581" spans="1:8" ht="19.8" customHeight="1" x14ac:dyDescent="0.3">
      <c r="A581" s="112">
        <v>45989</v>
      </c>
      <c r="B581" s="104" t="s">
        <v>60</v>
      </c>
      <c r="C581" s="105" t="s">
        <v>400</v>
      </c>
      <c r="D581" s="104" t="s">
        <v>335</v>
      </c>
      <c r="E581" s="113">
        <v>1.8298611111111109</v>
      </c>
      <c r="F581" s="104" t="s">
        <v>65</v>
      </c>
      <c r="G581" s="106">
        <v>9</v>
      </c>
      <c r="H581" s="107" t="s">
        <v>511</v>
      </c>
    </row>
    <row r="582" spans="1:8" ht="19.8" customHeight="1" x14ac:dyDescent="0.3">
      <c r="A582" s="112">
        <v>45989</v>
      </c>
      <c r="B582" s="104" t="s">
        <v>60</v>
      </c>
      <c r="C582" s="105" t="s">
        <v>402</v>
      </c>
      <c r="D582" s="104" t="s">
        <v>335</v>
      </c>
      <c r="E582" s="113">
        <v>1.118055555555556</v>
      </c>
      <c r="F582" s="104" t="s">
        <v>65</v>
      </c>
      <c r="G582" s="106">
        <v>9</v>
      </c>
      <c r="H582" s="107" t="s">
        <v>511</v>
      </c>
    </row>
    <row r="583" spans="1:8" ht="19.8" customHeight="1" x14ac:dyDescent="0.3">
      <c r="A583" s="112">
        <v>45989</v>
      </c>
      <c r="B583" s="104" t="s">
        <v>60</v>
      </c>
      <c r="C583" s="105" t="s">
        <v>445</v>
      </c>
      <c r="D583" s="104" t="s">
        <v>335</v>
      </c>
      <c r="E583" s="113">
        <v>1.9409722222222221</v>
      </c>
      <c r="F583" s="104" t="s">
        <v>65</v>
      </c>
      <c r="G583" s="106">
        <v>9</v>
      </c>
      <c r="H583" s="107" t="s">
        <v>511</v>
      </c>
    </row>
    <row r="584" spans="1:8" ht="19.8" customHeight="1" x14ac:dyDescent="0.3">
      <c r="A584" s="112">
        <v>45989</v>
      </c>
      <c r="B584" s="104" t="s">
        <v>41</v>
      </c>
      <c r="C584" s="105" t="s">
        <v>340</v>
      </c>
      <c r="D584" s="104" t="s">
        <v>335</v>
      </c>
      <c r="E584" s="113">
        <v>1.399305555555556</v>
      </c>
      <c r="F584" s="104" t="s">
        <v>46</v>
      </c>
      <c r="G584" s="106">
        <v>5</v>
      </c>
      <c r="H584" s="107" t="s">
        <v>120</v>
      </c>
    </row>
    <row r="585" spans="1:8" ht="19.8" customHeight="1" x14ac:dyDescent="0.3">
      <c r="A585" s="112">
        <v>45989</v>
      </c>
      <c r="B585" s="104" t="s">
        <v>41</v>
      </c>
      <c r="C585" s="105" t="s">
        <v>344</v>
      </c>
      <c r="D585" s="104" t="s">
        <v>335</v>
      </c>
      <c r="E585" s="113">
        <v>1.489583333333333</v>
      </c>
      <c r="F585" s="104" t="s">
        <v>46</v>
      </c>
      <c r="G585" s="106">
        <v>4</v>
      </c>
      <c r="H585" s="107" t="s">
        <v>120</v>
      </c>
    </row>
    <row r="586" spans="1:8" ht="19.8" customHeight="1" x14ac:dyDescent="0.3">
      <c r="A586" s="112">
        <v>45989</v>
      </c>
      <c r="B586" s="104" t="s">
        <v>41</v>
      </c>
      <c r="C586" s="105" t="s">
        <v>336</v>
      </c>
      <c r="D586" s="104" t="s">
        <v>335</v>
      </c>
      <c r="E586" s="113">
        <v>1.989583333333333</v>
      </c>
      <c r="F586" s="104" t="s">
        <v>46</v>
      </c>
      <c r="G586" s="106">
        <v>13</v>
      </c>
      <c r="H586" s="107" t="s">
        <v>120</v>
      </c>
    </row>
    <row r="587" spans="1:8" ht="19.8" customHeight="1" x14ac:dyDescent="0.3">
      <c r="A587" s="112">
        <v>45989</v>
      </c>
      <c r="B587" s="104" t="s">
        <v>48</v>
      </c>
      <c r="C587" s="105" t="s">
        <v>406</v>
      </c>
      <c r="D587" s="104" t="s">
        <v>335</v>
      </c>
      <c r="E587" s="113">
        <v>1.7847222222222221</v>
      </c>
      <c r="F587" s="104" t="s">
        <v>50</v>
      </c>
      <c r="G587" s="106">
        <v>9</v>
      </c>
      <c r="H587" s="107" t="s">
        <v>464</v>
      </c>
    </row>
    <row r="588" spans="1:8" ht="19.8" customHeight="1" x14ac:dyDescent="0.3">
      <c r="A588" s="112">
        <v>45989</v>
      </c>
      <c r="B588" s="104" t="s">
        <v>48</v>
      </c>
      <c r="C588" s="105" t="s">
        <v>413</v>
      </c>
      <c r="D588" s="104" t="s">
        <v>335</v>
      </c>
      <c r="E588" s="113">
        <v>1.836805555555556</v>
      </c>
      <c r="F588" s="104" t="s">
        <v>50</v>
      </c>
      <c r="G588" s="106">
        <v>9</v>
      </c>
      <c r="H588" s="107" t="s">
        <v>544</v>
      </c>
    </row>
    <row r="589" spans="1:8" ht="19.8" customHeight="1" x14ac:dyDescent="0.3">
      <c r="A589" s="112">
        <v>45989</v>
      </c>
      <c r="B589" s="104" t="s">
        <v>60</v>
      </c>
      <c r="C589" s="105" t="s">
        <v>395</v>
      </c>
      <c r="D589" s="104" t="s">
        <v>335</v>
      </c>
      <c r="E589" s="113">
        <v>1.989583333333333</v>
      </c>
      <c r="F589" s="104" t="s">
        <v>65</v>
      </c>
      <c r="G589" s="106">
        <v>4</v>
      </c>
      <c r="H589" s="107" t="s">
        <v>512</v>
      </c>
    </row>
    <row r="590" spans="1:8" ht="19.8" customHeight="1" x14ac:dyDescent="0.3">
      <c r="A590" s="112">
        <v>45989</v>
      </c>
      <c r="B590" s="104" t="s">
        <v>60</v>
      </c>
      <c r="C590" s="105" t="s">
        <v>397</v>
      </c>
      <c r="D590" s="104" t="s">
        <v>335</v>
      </c>
      <c r="E590" s="113">
        <v>1.399305555555556</v>
      </c>
      <c r="F590" s="104" t="s">
        <v>65</v>
      </c>
      <c r="G590" s="106">
        <v>4</v>
      </c>
      <c r="H590" s="107" t="s">
        <v>512</v>
      </c>
    </row>
    <row r="591" spans="1:8" ht="19.8" customHeight="1" x14ac:dyDescent="0.3">
      <c r="A591" s="112">
        <v>45989</v>
      </c>
      <c r="B591" s="104" t="s">
        <v>60</v>
      </c>
      <c r="C591" s="105" t="s">
        <v>399</v>
      </c>
      <c r="D591" s="104" t="s">
        <v>335</v>
      </c>
      <c r="E591" s="113">
        <v>1.8888888888888891</v>
      </c>
      <c r="F591" s="104" t="s">
        <v>65</v>
      </c>
      <c r="G591" s="106">
        <v>4</v>
      </c>
      <c r="H591" s="107" t="s">
        <v>512</v>
      </c>
    </row>
    <row r="592" spans="1:8" ht="19.8" customHeight="1" x14ac:dyDescent="0.3">
      <c r="A592" s="112">
        <v>45989</v>
      </c>
      <c r="B592" s="104" t="s">
        <v>60</v>
      </c>
      <c r="C592" s="105" t="s">
        <v>404</v>
      </c>
      <c r="D592" s="104" t="s">
        <v>335</v>
      </c>
      <c r="E592" s="113">
        <v>1.7222222222222221</v>
      </c>
      <c r="F592" s="104" t="s">
        <v>65</v>
      </c>
      <c r="G592" s="106">
        <v>9</v>
      </c>
      <c r="H592" s="107" t="s">
        <v>401</v>
      </c>
    </row>
    <row r="593" spans="1:8" ht="19.8" customHeight="1" x14ac:dyDescent="0.3">
      <c r="A593" s="112">
        <v>45989</v>
      </c>
      <c r="B593" s="104" t="s">
        <v>60</v>
      </c>
      <c r="C593" s="105" t="s">
        <v>403</v>
      </c>
      <c r="D593" s="104" t="s">
        <v>335</v>
      </c>
      <c r="E593" s="113">
        <v>1.7013888888888891</v>
      </c>
      <c r="F593" s="104" t="s">
        <v>65</v>
      </c>
      <c r="G593" s="106">
        <v>9</v>
      </c>
      <c r="H593" s="107" t="s">
        <v>401</v>
      </c>
    </row>
    <row r="594" spans="1:8" ht="19.8" customHeight="1" x14ac:dyDescent="0.3">
      <c r="A594" s="112">
        <v>45989</v>
      </c>
      <c r="B594" s="104" t="s">
        <v>60</v>
      </c>
      <c r="C594" s="105" t="s">
        <v>398</v>
      </c>
      <c r="D594" s="104" t="s">
        <v>335</v>
      </c>
      <c r="E594" s="113">
        <v>1.489583333333333</v>
      </c>
      <c r="F594" s="104" t="s">
        <v>65</v>
      </c>
      <c r="G594" s="106">
        <v>4</v>
      </c>
      <c r="H594" s="107" t="s">
        <v>545</v>
      </c>
    </row>
    <row r="595" spans="1:8" ht="19.8" customHeight="1" x14ac:dyDescent="0.3">
      <c r="A595" s="112">
        <v>45989</v>
      </c>
      <c r="B595" s="104" t="s">
        <v>41</v>
      </c>
      <c r="C595" s="105" t="s">
        <v>347</v>
      </c>
      <c r="D595" s="104" t="s">
        <v>335</v>
      </c>
      <c r="E595" s="113">
        <v>1.8888888888888891</v>
      </c>
      <c r="F595" s="104" t="s">
        <v>46</v>
      </c>
      <c r="G595" s="106">
        <v>10</v>
      </c>
      <c r="H595" s="107" t="s">
        <v>529</v>
      </c>
    </row>
    <row r="596" spans="1:8" ht="19.8" customHeight="1" x14ac:dyDescent="0.3">
      <c r="A596" s="114">
        <v>45989</v>
      </c>
      <c r="B596" s="115" t="s">
        <v>60</v>
      </c>
      <c r="C596" s="116" t="s">
        <v>393</v>
      </c>
      <c r="D596" s="115" t="s">
        <v>335</v>
      </c>
      <c r="E596" s="117">
        <v>1.2534722222222221</v>
      </c>
      <c r="F596" s="115" t="s">
        <v>65</v>
      </c>
      <c r="G596" s="118">
        <v>9</v>
      </c>
      <c r="H596" s="119" t="s">
        <v>405</v>
      </c>
    </row>
    <row r="597" spans="1:8" ht="19.8" customHeight="1" x14ac:dyDescent="0.3">
      <c r="A597" s="112">
        <v>45990</v>
      </c>
      <c r="B597" s="104" t="s">
        <v>388</v>
      </c>
      <c r="C597" s="105" t="s">
        <v>462</v>
      </c>
      <c r="D597" s="104" t="s">
        <v>335</v>
      </c>
      <c r="E597" s="113">
        <v>1.055555555555556</v>
      </c>
      <c r="F597" s="104" t="s">
        <v>390</v>
      </c>
      <c r="G597" s="106">
        <v>9</v>
      </c>
      <c r="H597" s="107" t="s">
        <v>527</v>
      </c>
    </row>
    <row r="598" spans="1:8" ht="19.8" customHeight="1" x14ac:dyDescent="0.3">
      <c r="A598" s="112">
        <v>45990</v>
      </c>
      <c r="B598" s="104" t="s">
        <v>388</v>
      </c>
      <c r="C598" s="105" t="s">
        <v>389</v>
      </c>
      <c r="D598" s="104" t="s">
        <v>335</v>
      </c>
      <c r="E598" s="113">
        <v>1.1701388888888891</v>
      </c>
      <c r="F598" s="104" t="s">
        <v>390</v>
      </c>
      <c r="G598" s="106">
        <v>9</v>
      </c>
      <c r="H598" s="107" t="s">
        <v>546</v>
      </c>
    </row>
    <row r="599" spans="1:8" ht="19.8" customHeight="1" x14ac:dyDescent="0.3">
      <c r="A599" s="112">
        <v>45990</v>
      </c>
      <c r="B599" s="104" t="s">
        <v>41</v>
      </c>
      <c r="C599" s="105" t="s">
        <v>340</v>
      </c>
      <c r="D599" s="104" t="s">
        <v>335</v>
      </c>
      <c r="E599" s="113">
        <v>1.399305555555556</v>
      </c>
      <c r="F599" s="104" t="s">
        <v>43</v>
      </c>
      <c r="G599" s="106">
        <v>10</v>
      </c>
      <c r="H599" s="107" t="s">
        <v>478</v>
      </c>
    </row>
    <row r="600" spans="1:8" ht="19.8" customHeight="1" x14ac:dyDescent="0.3">
      <c r="A600" s="112">
        <v>45990</v>
      </c>
      <c r="B600" s="104" t="s">
        <v>385</v>
      </c>
      <c r="C600" s="105" t="s">
        <v>435</v>
      </c>
      <c r="D600" s="104" t="s">
        <v>335</v>
      </c>
      <c r="E600" s="113">
        <v>1.041666666666667</v>
      </c>
      <c r="F600" s="104" t="s">
        <v>101</v>
      </c>
      <c r="G600" s="106">
        <v>9</v>
      </c>
      <c r="H600" s="107" t="s">
        <v>548</v>
      </c>
    </row>
    <row r="601" spans="1:8" ht="19.8" customHeight="1" x14ac:dyDescent="0.3">
      <c r="A601" s="112">
        <v>45990</v>
      </c>
      <c r="B601" s="104" t="s">
        <v>41</v>
      </c>
      <c r="C601" s="105" t="s">
        <v>344</v>
      </c>
      <c r="D601" s="104" t="s">
        <v>335</v>
      </c>
      <c r="E601" s="113">
        <v>1.489583333333333</v>
      </c>
      <c r="F601" s="104" t="s">
        <v>43</v>
      </c>
      <c r="G601" s="106">
        <v>7</v>
      </c>
      <c r="H601" s="107" t="s">
        <v>47</v>
      </c>
    </row>
    <row r="602" spans="1:8" ht="19.8" customHeight="1" x14ac:dyDescent="0.3">
      <c r="A602" s="112">
        <v>45990</v>
      </c>
      <c r="B602" s="104" t="s">
        <v>41</v>
      </c>
      <c r="C602" s="105" t="s">
        <v>347</v>
      </c>
      <c r="D602" s="104" t="s">
        <v>335</v>
      </c>
      <c r="E602" s="113">
        <v>1.8888888888888891</v>
      </c>
      <c r="F602" s="104" t="s">
        <v>43</v>
      </c>
      <c r="G602" s="106">
        <v>8</v>
      </c>
      <c r="H602" s="107" t="s">
        <v>47</v>
      </c>
    </row>
    <row r="603" spans="1:8" ht="19.8" customHeight="1" x14ac:dyDescent="0.3">
      <c r="A603" s="112">
        <v>45990</v>
      </c>
      <c r="B603" s="104" t="s">
        <v>41</v>
      </c>
      <c r="C603" s="105" t="s">
        <v>336</v>
      </c>
      <c r="D603" s="104" t="s">
        <v>335</v>
      </c>
      <c r="E603" s="113">
        <v>1.989583333333333</v>
      </c>
      <c r="F603" s="104" t="s">
        <v>43</v>
      </c>
      <c r="G603" s="106">
        <v>10</v>
      </c>
      <c r="H603" s="107" t="s">
        <v>47</v>
      </c>
    </row>
    <row r="604" spans="1:8" ht="19.8" customHeight="1" x14ac:dyDescent="0.3">
      <c r="A604" s="112">
        <v>45990</v>
      </c>
      <c r="B604" s="104" t="s">
        <v>26</v>
      </c>
      <c r="C604" s="105" t="s">
        <v>354</v>
      </c>
      <c r="D604" s="104" t="s">
        <v>335</v>
      </c>
      <c r="E604" s="113">
        <v>1.3472222222222221</v>
      </c>
      <c r="F604" s="104" t="s">
        <v>28</v>
      </c>
      <c r="G604" s="106">
        <v>1</v>
      </c>
      <c r="H604" s="107" t="s">
        <v>47</v>
      </c>
    </row>
    <row r="605" spans="1:8" ht="19.8" customHeight="1" x14ac:dyDescent="0.3">
      <c r="A605" s="112">
        <v>45990</v>
      </c>
      <c r="B605" s="104" t="s">
        <v>388</v>
      </c>
      <c r="C605" s="105" t="s">
        <v>462</v>
      </c>
      <c r="D605" s="104" t="s">
        <v>335</v>
      </c>
      <c r="E605" s="113">
        <v>1.055555555555556</v>
      </c>
      <c r="F605" s="104" t="s">
        <v>46</v>
      </c>
      <c r="G605" s="106">
        <v>9</v>
      </c>
      <c r="H605" s="107" t="s">
        <v>528</v>
      </c>
    </row>
    <row r="606" spans="1:8" ht="19.8" customHeight="1" x14ac:dyDescent="0.3">
      <c r="A606" s="112">
        <v>45990</v>
      </c>
      <c r="B606" s="104" t="s">
        <v>41</v>
      </c>
      <c r="C606" s="105" t="s">
        <v>340</v>
      </c>
      <c r="D606" s="104" t="s">
        <v>335</v>
      </c>
      <c r="E606" s="113">
        <v>1.399305555555556</v>
      </c>
      <c r="F606" s="104" t="s">
        <v>45</v>
      </c>
      <c r="G606" s="106">
        <v>10</v>
      </c>
      <c r="H606" s="107" t="s">
        <v>532</v>
      </c>
    </row>
    <row r="607" spans="1:8" ht="19.8" customHeight="1" x14ac:dyDescent="0.3">
      <c r="A607" s="112">
        <v>45990</v>
      </c>
      <c r="B607" s="104" t="s">
        <v>26</v>
      </c>
      <c r="C607" s="105" t="s">
        <v>354</v>
      </c>
      <c r="D607" s="104" t="s">
        <v>335</v>
      </c>
      <c r="E607" s="113">
        <v>1.3472222222222221</v>
      </c>
      <c r="F607" s="104" t="s">
        <v>31</v>
      </c>
      <c r="G607" s="106">
        <v>1</v>
      </c>
      <c r="H607" s="107" t="s">
        <v>532</v>
      </c>
    </row>
    <row r="608" spans="1:8" ht="19.8" customHeight="1" x14ac:dyDescent="0.3">
      <c r="A608" s="112">
        <v>45990</v>
      </c>
      <c r="B608" s="104" t="s">
        <v>26</v>
      </c>
      <c r="C608" s="105" t="s">
        <v>350</v>
      </c>
      <c r="D608" s="104" t="s">
        <v>335</v>
      </c>
      <c r="E608" s="113">
        <v>1.993055555555556</v>
      </c>
      <c r="F608" s="104" t="s">
        <v>28</v>
      </c>
      <c r="G608" s="106">
        <v>9</v>
      </c>
      <c r="H608" s="107" t="s">
        <v>532</v>
      </c>
    </row>
    <row r="609" spans="1:8" ht="19.8" customHeight="1" x14ac:dyDescent="0.3">
      <c r="A609" s="112">
        <v>45990</v>
      </c>
      <c r="B609" s="104" t="s">
        <v>26</v>
      </c>
      <c r="C609" s="105" t="s">
        <v>352</v>
      </c>
      <c r="D609" s="104" t="s">
        <v>335</v>
      </c>
      <c r="E609" s="113">
        <v>1.944444444444444</v>
      </c>
      <c r="F609" s="104" t="s">
        <v>28</v>
      </c>
      <c r="G609" s="106">
        <v>7</v>
      </c>
      <c r="H609" s="107" t="s">
        <v>532</v>
      </c>
    </row>
    <row r="610" spans="1:8" ht="19.8" customHeight="1" x14ac:dyDescent="0.3">
      <c r="A610" s="112">
        <v>45990</v>
      </c>
      <c r="B610" s="104" t="s">
        <v>26</v>
      </c>
      <c r="C610" s="105" t="s">
        <v>360</v>
      </c>
      <c r="D610" s="104" t="s">
        <v>335</v>
      </c>
      <c r="E610" s="113">
        <v>1.4861111111111109</v>
      </c>
      <c r="F610" s="104" t="s">
        <v>28</v>
      </c>
      <c r="G610" s="106">
        <v>7</v>
      </c>
      <c r="H610" s="107" t="s">
        <v>532</v>
      </c>
    </row>
    <row r="611" spans="1:8" ht="19.8" customHeight="1" x14ac:dyDescent="0.3">
      <c r="A611" s="112">
        <v>45990</v>
      </c>
      <c r="B611" s="104" t="s">
        <v>26</v>
      </c>
      <c r="C611" s="105" t="s">
        <v>358</v>
      </c>
      <c r="D611" s="104" t="s">
        <v>335</v>
      </c>
      <c r="E611" s="113">
        <v>1.8888888888888891</v>
      </c>
      <c r="F611" s="104" t="s">
        <v>28</v>
      </c>
      <c r="G611" s="106">
        <v>1</v>
      </c>
      <c r="H611" s="107" t="s">
        <v>532</v>
      </c>
    </row>
    <row r="612" spans="1:8" ht="19.8" customHeight="1" x14ac:dyDescent="0.3">
      <c r="A612" s="112">
        <v>45990</v>
      </c>
      <c r="B612" s="104" t="s">
        <v>385</v>
      </c>
      <c r="C612" s="105" t="s">
        <v>386</v>
      </c>
      <c r="D612" s="104" t="s">
        <v>335</v>
      </c>
      <c r="E612" s="113">
        <v>1.493055555555556</v>
      </c>
      <c r="F612" s="104" t="s">
        <v>101</v>
      </c>
      <c r="G612" s="106">
        <v>9</v>
      </c>
      <c r="H612" s="107" t="s">
        <v>549</v>
      </c>
    </row>
    <row r="613" spans="1:8" ht="19.8" customHeight="1" x14ac:dyDescent="0.3">
      <c r="A613" s="112">
        <v>45990</v>
      </c>
      <c r="B613" s="104" t="s">
        <v>388</v>
      </c>
      <c r="C613" s="105" t="s">
        <v>389</v>
      </c>
      <c r="D613" s="104" t="s">
        <v>335</v>
      </c>
      <c r="E613" s="113">
        <v>1.1701388888888891</v>
      </c>
      <c r="F613" s="104" t="s">
        <v>46</v>
      </c>
      <c r="G613" s="106">
        <v>9</v>
      </c>
      <c r="H613" s="107" t="s">
        <v>547</v>
      </c>
    </row>
    <row r="614" spans="1:8" ht="19.8" customHeight="1" x14ac:dyDescent="0.3">
      <c r="A614" s="112">
        <v>45990</v>
      </c>
      <c r="B614" s="104" t="s">
        <v>41</v>
      </c>
      <c r="C614" s="105" t="s">
        <v>344</v>
      </c>
      <c r="D614" s="104" t="s">
        <v>335</v>
      </c>
      <c r="E614" s="113">
        <v>1.489583333333333</v>
      </c>
      <c r="F614" s="104" t="s">
        <v>45</v>
      </c>
      <c r="G614" s="106">
        <v>7</v>
      </c>
      <c r="H614" s="107" t="s">
        <v>146</v>
      </c>
    </row>
    <row r="615" spans="1:8" ht="19.8" customHeight="1" x14ac:dyDescent="0.3">
      <c r="A615" s="112">
        <v>45990</v>
      </c>
      <c r="B615" s="104" t="s">
        <v>41</v>
      </c>
      <c r="C615" s="105" t="s">
        <v>347</v>
      </c>
      <c r="D615" s="104" t="s">
        <v>335</v>
      </c>
      <c r="E615" s="113">
        <v>1.8888888888888891</v>
      </c>
      <c r="F615" s="104" t="s">
        <v>45</v>
      </c>
      <c r="G615" s="106">
        <v>8</v>
      </c>
      <c r="H615" s="107" t="s">
        <v>146</v>
      </c>
    </row>
    <row r="616" spans="1:8" ht="19.8" customHeight="1" x14ac:dyDescent="0.3">
      <c r="A616" s="112">
        <v>45990</v>
      </c>
      <c r="B616" s="104" t="s">
        <v>41</v>
      </c>
      <c r="C616" s="105" t="s">
        <v>336</v>
      </c>
      <c r="D616" s="104" t="s">
        <v>335</v>
      </c>
      <c r="E616" s="113">
        <v>1.989583333333333</v>
      </c>
      <c r="F616" s="104" t="s">
        <v>45</v>
      </c>
      <c r="G616" s="106">
        <v>10</v>
      </c>
      <c r="H616" s="107" t="s">
        <v>146</v>
      </c>
    </row>
    <row r="617" spans="1:8" ht="19.8" customHeight="1" x14ac:dyDescent="0.3">
      <c r="A617" s="120">
        <v>45990</v>
      </c>
      <c r="B617" s="121" t="s">
        <v>77</v>
      </c>
      <c r="C617" s="122" t="s">
        <v>378</v>
      </c>
      <c r="D617" s="121" t="s">
        <v>335</v>
      </c>
      <c r="E617" s="123">
        <v>1.90625</v>
      </c>
      <c r="F617" s="121" t="s">
        <v>101</v>
      </c>
      <c r="G617" s="124">
        <v>2</v>
      </c>
      <c r="H617" s="125" t="s">
        <v>541</v>
      </c>
    </row>
    <row r="618" spans="1:8" ht="19.8" customHeight="1" x14ac:dyDescent="0.3">
      <c r="A618" s="112">
        <v>45990</v>
      </c>
      <c r="B618" s="104" t="s">
        <v>26</v>
      </c>
      <c r="C618" s="105" t="s">
        <v>354</v>
      </c>
      <c r="D618" s="104" t="s">
        <v>335</v>
      </c>
      <c r="E618" s="113">
        <v>1.3472222222222221</v>
      </c>
      <c r="F618" s="104" t="s">
        <v>34</v>
      </c>
      <c r="G618" s="106">
        <v>1</v>
      </c>
      <c r="H618" s="107" t="s">
        <v>533</v>
      </c>
    </row>
    <row r="619" spans="1:8" ht="19.8" customHeight="1" x14ac:dyDescent="0.3">
      <c r="A619" s="112">
        <v>45990</v>
      </c>
      <c r="B619" s="104" t="s">
        <v>26</v>
      </c>
      <c r="C619" s="105" t="s">
        <v>350</v>
      </c>
      <c r="D619" s="104" t="s">
        <v>335</v>
      </c>
      <c r="E619" s="113">
        <v>1.993055555555556</v>
      </c>
      <c r="F619" s="104" t="s">
        <v>31</v>
      </c>
      <c r="G619" s="106">
        <v>9</v>
      </c>
      <c r="H619" s="107" t="s">
        <v>534</v>
      </c>
    </row>
    <row r="620" spans="1:8" ht="19.8" customHeight="1" x14ac:dyDescent="0.3">
      <c r="A620" s="112">
        <v>45990</v>
      </c>
      <c r="B620" s="104" t="s">
        <v>26</v>
      </c>
      <c r="C620" s="105" t="s">
        <v>352</v>
      </c>
      <c r="D620" s="104" t="s">
        <v>335</v>
      </c>
      <c r="E620" s="113">
        <v>1.944444444444444</v>
      </c>
      <c r="F620" s="104" t="s">
        <v>31</v>
      </c>
      <c r="G620" s="106">
        <v>7</v>
      </c>
      <c r="H620" s="107" t="s">
        <v>534</v>
      </c>
    </row>
    <row r="621" spans="1:8" ht="19.8" customHeight="1" x14ac:dyDescent="0.3">
      <c r="A621" s="112">
        <v>45990</v>
      </c>
      <c r="B621" s="104" t="s">
        <v>26</v>
      </c>
      <c r="C621" s="105" t="s">
        <v>360</v>
      </c>
      <c r="D621" s="104" t="s">
        <v>335</v>
      </c>
      <c r="E621" s="113">
        <v>1.4861111111111109</v>
      </c>
      <c r="F621" s="104" t="s">
        <v>31</v>
      </c>
      <c r="G621" s="106">
        <v>7</v>
      </c>
      <c r="H621" s="107" t="s">
        <v>534</v>
      </c>
    </row>
    <row r="622" spans="1:8" ht="19.8" customHeight="1" x14ac:dyDescent="0.3">
      <c r="A622" s="112">
        <v>45990</v>
      </c>
      <c r="B622" s="104" t="s">
        <v>26</v>
      </c>
      <c r="C622" s="105" t="s">
        <v>358</v>
      </c>
      <c r="D622" s="104" t="s">
        <v>335</v>
      </c>
      <c r="E622" s="113">
        <v>1.8888888888888891</v>
      </c>
      <c r="F622" s="104" t="s">
        <v>31</v>
      </c>
      <c r="G622" s="106">
        <v>1</v>
      </c>
      <c r="H622" s="107" t="s">
        <v>534</v>
      </c>
    </row>
    <row r="623" spans="1:8" ht="19.8" customHeight="1" x14ac:dyDescent="0.3">
      <c r="A623" s="112">
        <v>45990</v>
      </c>
      <c r="B623" s="104" t="s">
        <v>48</v>
      </c>
      <c r="C623" s="105" t="s">
        <v>410</v>
      </c>
      <c r="D623" s="104" t="s">
        <v>335</v>
      </c>
      <c r="E623" s="113">
        <v>1.9722222222222221</v>
      </c>
      <c r="F623" s="104" t="s">
        <v>50</v>
      </c>
      <c r="G623" s="106">
        <v>9</v>
      </c>
      <c r="H623" s="107" t="s">
        <v>407</v>
      </c>
    </row>
    <row r="624" spans="1:8" ht="19.8" customHeight="1" x14ac:dyDescent="0.3">
      <c r="A624" s="112">
        <v>45990</v>
      </c>
      <c r="B624" s="104" t="s">
        <v>48</v>
      </c>
      <c r="C624" s="105" t="s">
        <v>411</v>
      </c>
      <c r="D624" s="104" t="s">
        <v>335</v>
      </c>
      <c r="E624" s="113">
        <v>1.1076388888888891</v>
      </c>
      <c r="F624" s="104" t="s">
        <v>50</v>
      </c>
      <c r="G624" s="106">
        <v>9</v>
      </c>
      <c r="H624" s="107" t="s">
        <v>557</v>
      </c>
    </row>
    <row r="625" spans="1:8" ht="19.8" customHeight="1" x14ac:dyDescent="0.3">
      <c r="A625" s="112">
        <v>45990</v>
      </c>
      <c r="B625" s="104" t="s">
        <v>48</v>
      </c>
      <c r="C625" s="105" t="s">
        <v>415</v>
      </c>
      <c r="D625" s="104" t="s">
        <v>335</v>
      </c>
      <c r="E625" s="113">
        <v>1.0486111111111109</v>
      </c>
      <c r="F625" s="104" t="s">
        <v>50</v>
      </c>
      <c r="G625" s="106">
        <v>9</v>
      </c>
      <c r="H625" s="107" t="s">
        <v>557</v>
      </c>
    </row>
    <row r="626" spans="1:8" ht="19.8" customHeight="1" x14ac:dyDescent="0.3">
      <c r="A626" s="112">
        <v>45990</v>
      </c>
      <c r="B626" s="104" t="s">
        <v>26</v>
      </c>
      <c r="C626" s="105" t="s">
        <v>350</v>
      </c>
      <c r="D626" s="104" t="s">
        <v>335</v>
      </c>
      <c r="E626" s="113">
        <v>1.993055555555556</v>
      </c>
      <c r="F626" s="104" t="s">
        <v>34</v>
      </c>
      <c r="G626" s="106">
        <v>9</v>
      </c>
      <c r="H626" s="107" t="s">
        <v>535</v>
      </c>
    </row>
    <row r="627" spans="1:8" ht="19.8" customHeight="1" x14ac:dyDescent="0.3">
      <c r="A627" s="112">
        <v>45990</v>
      </c>
      <c r="B627" s="104" t="s">
        <v>26</v>
      </c>
      <c r="C627" s="105" t="s">
        <v>352</v>
      </c>
      <c r="D627" s="104" t="s">
        <v>335</v>
      </c>
      <c r="E627" s="113">
        <v>1.944444444444444</v>
      </c>
      <c r="F627" s="104" t="s">
        <v>34</v>
      </c>
      <c r="G627" s="106">
        <v>7</v>
      </c>
      <c r="H627" s="107" t="s">
        <v>535</v>
      </c>
    </row>
    <row r="628" spans="1:8" ht="19.8" customHeight="1" x14ac:dyDescent="0.3">
      <c r="A628" s="112">
        <v>45990</v>
      </c>
      <c r="B628" s="104" t="s">
        <v>26</v>
      </c>
      <c r="C628" s="105" t="s">
        <v>360</v>
      </c>
      <c r="D628" s="104" t="s">
        <v>335</v>
      </c>
      <c r="E628" s="113">
        <v>1.4861111111111109</v>
      </c>
      <c r="F628" s="104" t="s">
        <v>34</v>
      </c>
      <c r="G628" s="106">
        <v>7</v>
      </c>
      <c r="H628" s="107" t="s">
        <v>535</v>
      </c>
    </row>
    <row r="629" spans="1:8" ht="19.8" customHeight="1" x14ac:dyDescent="0.3">
      <c r="A629" s="112">
        <v>45990</v>
      </c>
      <c r="B629" s="104" t="s">
        <v>26</v>
      </c>
      <c r="C629" s="105" t="s">
        <v>358</v>
      </c>
      <c r="D629" s="104" t="s">
        <v>335</v>
      </c>
      <c r="E629" s="113">
        <v>1.8888888888888891</v>
      </c>
      <c r="F629" s="104" t="s">
        <v>34</v>
      </c>
      <c r="G629" s="106">
        <v>1</v>
      </c>
      <c r="H629" s="107" t="s">
        <v>535</v>
      </c>
    </row>
    <row r="630" spans="1:8" ht="19.8" customHeight="1" x14ac:dyDescent="0.3">
      <c r="A630" s="112">
        <v>45990</v>
      </c>
      <c r="B630" s="104" t="s">
        <v>26</v>
      </c>
      <c r="C630" s="105" t="s">
        <v>359</v>
      </c>
      <c r="D630" s="104" t="s">
        <v>335</v>
      </c>
      <c r="E630" s="113">
        <v>1.75</v>
      </c>
      <c r="F630" s="104" t="s">
        <v>28</v>
      </c>
      <c r="G630" s="106">
        <v>9</v>
      </c>
      <c r="H630" s="107" t="s">
        <v>550</v>
      </c>
    </row>
    <row r="631" spans="1:8" ht="19.8" customHeight="1" x14ac:dyDescent="0.3">
      <c r="A631" s="112">
        <v>45990</v>
      </c>
      <c r="B631" s="104" t="s">
        <v>26</v>
      </c>
      <c r="C631" s="105" t="s">
        <v>356</v>
      </c>
      <c r="D631" s="104" t="s">
        <v>335</v>
      </c>
      <c r="E631" s="113">
        <v>1.836805555555556</v>
      </c>
      <c r="F631" s="104" t="s">
        <v>28</v>
      </c>
      <c r="G631" s="106">
        <v>9</v>
      </c>
      <c r="H631" s="107" t="s">
        <v>550</v>
      </c>
    </row>
    <row r="632" spans="1:8" ht="19.8" customHeight="1" x14ac:dyDescent="0.3">
      <c r="A632" s="112">
        <v>45990</v>
      </c>
      <c r="B632" s="104" t="s">
        <v>60</v>
      </c>
      <c r="C632" s="105" t="s">
        <v>402</v>
      </c>
      <c r="D632" s="104" t="s">
        <v>335</v>
      </c>
      <c r="E632" s="113">
        <v>1.118055555555556</v>
      </c>
      <c r="F632" s="104" t="s">
        <v>65</v>
      </c>
      <c r="G632" s="106">
        <v>9</v>
      </c>
      <c r="H632" s="107" t="s">
        <v>511</v>
      </c>
    </row>
    <row r="633" spans="1:8" ht="19.8" customHeight="1" x14ac:dyDescent="0.3">
      <c r="A633" s="112">
        <v>45990</v>
      </c>
      <c r="B633" s="104" t="s">
        <v>60</v>
      </c>
      <c r="C633" s="105" t="s">
        <v>444</v>
      </c>
      <c r="D633" s="104" t="s">
        <v>335</v>
      </c>
      <c r="E633" s="113">
        <v>1.041666666666667</v>
      </c>
      <c r="F633" s="104" t="s">
        <v>65</v>
      </c>
      <c r="G633" s="106">
        <v>9</v>
      </c>
      <c r="H633" s="107" t="s">
        <v>511</v>
      </c>
    </row>
    <row r="634" spans="1:8" ht="19.8" customHeight="1" x14ac:dyDescent="0.3">
      <c r="A634" s="112">
        <v>45990</v>
      </c>
      <c r="B634" s="104" t="s">
        <v>41</v>
      </c>
      <c r="C634" s="105" t="s">
        <v>340</v>
      </c>
      <c r="D634" s="104" t="s">
        <v>335</v>
      </c>
      <c r="E634" s="113">
        <v>1.399305555555556</v>
      </c>
      <c r="F634" s="104" t="s">
        <v>46</v>
      </c>
      <c r="G634" s="106">
        <v>10</v>
      </c>
      <c r="H634" s="107" t="s">
        <v>120</v>
      </c>
    </row>
    <row r="635" spans="1:8" ht="19.8" customHeight="1" x14ac:dyDescent="0.3">
      <c r="A635" s="112">
        <v>45990</v>
      </c>
      <c r="B635" s="104" t="s">
        <v>41</v>
      </c>
      <c r="C635" s="105" t="s">
        <v>344</v>
      </c>
      <c r="D635" s="104" t="s">
        <v>335</v>
      </c>
      <c r="E635" s="113">
        <v>1.489583333333333</v>
      </c>
      <c r="F635" s="104" t="s">
        <v>46</v>
      </c>
      <c r="G635" s="106">
        <v>7</v>
      </c>
      <c r="H635" s="107" t="s">
        <v>120</v>
      </c>
    </row>
    <row r="636" spans="1:8" ht="19.8" customHeight="1" x14ac:dyDescent="0.3">
      <c r="A636" s="112">
        <v>45990</v>
      </c>
      <c r="B636" s="104" t="s">
        <v>41</v>
      </c>
      <c r="C636" s="105" t="s">
        <v>347</v>
      </c>
      <c r="D636" s="104" t="s">
        <v>335</v>
      </c>
      <c r="E636" s="113">
        <v>1.8888888888888891</v>
      </c>
      <c r="F636" s="104" t="s">
        <v>46</v>
      </c>
      <c r="G636" s="106">
        <v>8</v>
      </c>
      <c r="H636" s="107" t="s">
        <v>120</v>
      </c>
    </row>
    <row r="637" spans="1:8" ht="19.8" customHeight="1" x14ac:dyDescent="0.3">
      <c r="A637" s="112">
        <v>45990</v>
      </c>
      <c r="B637" s="104" t="s">
        <v>458</v>
      </c>
      <c r="C637" s="105" t="s">
        <v>459</v>
      </c>
      <c r="D637" s="104" t="s">
        <v>335</v>
      </c>
      <c r="E637" s="113">
        <v>1.0972222222222221</v>
      </c>
      <c r="F637" s="104" t="s">
        <v>101</v>
      </c>
      <c r="G637" s="106">
        <v>5</v>
      </c>
      <c r="H637" s="107" t="s">
        <v>558</v>
      </c>
    </row>
    <row r="638" spans="1:8" ht="19.8" customHeight="1" x14ac:dyDescent="0.3">
      <c r="A638" s="112">
        <v>45990</v>
      </c>
      <c r="B638" s="104" t="s">
        <v>26</v>
      </c>
      <c r="C638" s="105" t="s">
        <v>359</v>
      </c>
      <c r="D638" s="104" t="s">
        <v>335</v>
      </c>
      <c r="E638" s="113">
        <v>1.75</v>
      </c>
      <c r="F638" s="104" t="s">
        <v>31</v>
      </c>
      <c r="G638" s="106">
        <v>9</v>
      </c>
      <c r="H638" s="107" t="s">
        <v>551</v>
      </c>
    </row>
    <row r="639" spans="1:8" ht="19.8" customHeight="1" x14ac:dyDescent="0.3">
      <c r="A639" s="112">
        <v>45990</v>
      </c>
      <c r="B639" s="104" t="s">
        <v>26</v>
      </c>
      <c r="C639" s="105" t="s">
        <v>356</v>
      </c>
      <c r="D639" s="104" t="s">
        <v>335</v>
      </c>
      <c r="E639" s="113">
        <v>1.836805555555556</v>
      </c>
      <c r="F639" s="104" t="s">
        <v>31</v>
      </c>
      <c r="G639" s="106">
        <v>9</v>
      </c>
      <c r="H639" s="107" t="s">
        <v>551</v>
      </c>
    </row>
    <row r="640" spans="1:8" ht="19.8" customHeight="1" x14ac:dyDescent="0.3">
      <c r="A640" s="112">
        <v>45990</v>
      </c>
      <c r="B640" s="104" t="s">
        <v>26</v>
      </c>
      <c r="C640" s="105" t="s">
        <v>359</v>
      </c>
      <c r="D640" s="104" t="s">
        <v>335</v>
      </c>
      <c r="E640" s="113">
        <v>1.75</v>
      </c>
      <c r="F640" s="104" t="s">
        <v>34</v>
      </c>
      <c r="G640" s="106">
        <v>9</v>
      </c>
      <c r="H640" s="107" t="s">
        <v>552</v>
      </c>
    </row>
    <row r="641" spans="1:8" ht="19.8" customHeight="1" x14ac:dyDescent="0.3">
      <c r="A641" s="112">
        <v>45990</v>
      </c>
      <c r="B641" s="104" t="s">
        <v>26</v>
      </c>
      <c r="C641" s="105" t="s">
        <v>356</v>
      </c>
      <c r="D641" s="104" t="s">
        <v>335</v>
      </c>
      <c r="E641" s="113">
        <v>1.836805555555556</v>
      </c>
      <c r="F641" s="104" t="s">
        <v>34</v>
      </c>
      <c r="G641" s="106">
        <v>9</v>
      </c>
      <c r="H641" s="107" t="s">
        <v>552</v>
      </c>
    </row>
    <row r="642" spans="1:8" ht="19.8" customHeight="1" x14ac:dyDescent="0.3">
      <c r="A642" s="112">
        <v>45990</v>
      </c>
      <c r="B642" s="104" t="s">
        <v>48</v>
      </c>
      <c r="C642" s="105" t="s">
        <v>408</v>
      </c>
      <c r="D642" s="104" t="s">
        <v>335</v>
      </c>
      <c r="E642" s="113">
        <v>1.3125</v>
      </c>
      <c r="F642" s="104" t="s">
        <v>50</v>
      </c>
      <c r="G642" s="106">
        <v>9</v>
      </c>
      <c r="H642" s="107" t="s">
        <v>464</v>
      </c>
    </row>
    <row r="643" spans="1:8" ht="19.8" customHeight="1" x14ac:dyDescent="0.3">
      <c r="A643" s="112">
        <v>45990</v>
      </c>
      <c r="B643" s="104" t="s">
        <v>48</v>
      </c>
      <c r="C643" s="105" t="s">
        <v>406</v>
      </c>
      <c r="D643" s="104" t="s">
        <v>335</v>
      </c>
      <c r="E643" s="113">
        <v>1.7847222222222221</v>
      </c>
      <c r="F643" s="104" t="s">
        <v>50</v>
      </c>
      <c r="G643" s="106">
        <v>9</v>
      </c>
      <c r="H643" s="107" t="s">
        <v>464</v>
      </c>
    </row>
    <row r="644" spans="1:8" ht="19.8" customHeight="1" x14ac:dyDescent="0.3">
      <c r="A644" s="112">
        <v>45990</v>
      </c>
      <c r="B644" s="104" t="s">
        <v>48</v>
      </c>
      <c r="C644" s="105" t="s">
        <v>413</v>
      </c>
      <c r="D644" s="104" t="s">
        <v>335</v>
      </c>
      <c r="E644" s="113">
        <v>1.836805555555556</v>
      </c>
      <c r="F644" s="104" t="s">
        <v>50</v>
      </c>
      <c r="G644" s="106">
        <v>9</v>
      </c>
      <c r="H644" s="107" t="s">
        <v>544</v>
      </c>
    </row>
    <row r="645" spans="1:8" ht="19.8" customHeight="1" x14ac:dyDescent="0.3">
      <c r="A645" s="112">
        <v>45990</v>
      </c>
      <c r="B645" s="104" t="s">
        <v>60</v>
      </c>
      <c r="C645" s="105" t="s">
        <v>395</v>
      </c>
      <c r="D645" s="104" t="s">
        <v>335</v>
      </c>
      <c r="E645" s="113">
        <v>1.989583333333333</v>
      </c>
      <c r="F645" s="104" t="s">
        <v>65</v>
      </c>
      <c r="G645" s="106">
        <v>4</v>
      </c>
      <c r="H645" s="107" t="s">
        <v>524</v>
      </c>
    </row>
    <row r="646" spans="1:8" ht="19.8" customHeight="1" x14ac:dyDescent="0.3">
      <c r="A646" s="112">
        <v>45990</v>
      </c>
      <c r="B646" s="104" t="s">
        <v>60</v>
      </c>
      <c r="C646" s="105" t="s">
        <v>397</v>
      </c>
      <c r="D646" s="104" t="s">
        <v>335</v>
      </c>
      <c r="E646" s="113">
        <v>1.399305555555556</v>
      </c>
      <c r="F646" s="104" t="s">
        <v>65</v>
      </c>
      <c r="G646" s="106">
        <v>4</v>
      </c>
      <c r="H646" s="107" t="s">
        <v>524</v>
      </c>
    </row>
    <row r="647" spans="1:8" ht="19.8" customHeight="1" x14ac:dyDescent="0.3">
      <c r="A647" s="112">
        <v>45990</v>
      </c>
      <c r="B647" s="104" t="s">
        <v>60</v>
      </c>
      <c r="C647" s="105" t="s">
        <v>398</v>
      </c>
      <c r="D647" s="104" t="s">
        <v>335</v>
      </c>
      <c r="E647" s="113">
        <v>1.489583333333333</v>
      </c>
      <c r="F647" s="104" t="s">
        <v>65</v>
      </c>
      <c r="G647" s="106">
        <v>4</v>
      </c>
      <c r="H647" s="107" t="s">
        <v>524</v>
      </c>
    </row>
    <row r="648" spans="1:8" ht="19.8" customHeight="1" x14ac:dyDescent="0.3">
      <c r="A648" s="112">
        <v>45990</v>
      </c>
      <c r="B648" s="104" t="s">
        <v>60</v>
      </c>
      <c r="C648" s="105" t="s">
        <v>399</v>
      </c>
      <c r="D648" s="104" t="s">
        <v>335</v>
      </c>
      <c r="E648" s="113">
        <v>1.8888888888888891</v>
      </c>
      <c r="F648" s="104" t="s">
        <v>65</v>
      </c>
      <c r="G648" s="106">
        <v>4</v>
      </c>
      <c r="H648" s="107" t="s">
        <v>524</v>
      </c>
    </row>
    <row r="649" spans="1:8" ht="19.8" customHeight="1" x14ac:dyDescent="0.3">
      <c r="A649" s="112">
        <v>45990</v>
      </c>
      <c r="B649" s="104" t="s">
        <v>60</v>
      </c>
      <c r="C649" s="105" t="s">
        <v>446</v>
      </c>
      <c r="D649" s="104" t="s">
        <v>335</v>
      </c>
      <c r="E649" s="113">
        <v>1.489583333333333</v>
      </c>
      <c r="F649" s="104" t="s">
        <v>65</v>
      </c>
      <c r="G649" s="106">
        <v>7</v>
      </c>
      <c r="H649" s="107" t="s">
        <v>401</v>
      </c>
    </row>
    <row r="650" spans="1:8" ht="19.8" customHeight="1" x14ac:dyDescent="0.3">
      <c r="A650" s="112">
        <v>45990</v>
      </c>
      <c r="B650" s="104" t="s">
        <v>60</v>
      </c>
      <c r="C650" s="105" t="s">
        <v>403</v>
      </c>
      <c r="D650" s="104" t="s">
        <v>335</v>
      </c>
      <c r="E650" s="113">
        <v>1.7048611111111109</v>
      </c>
      <c r="F650" s="104" t="s">
        <v>65</v>
      </c>
      <c r="G650" s="106">
        <v>9</v>
      </c>
      <c r="H650" s="107" t="s">
        <v>401</v>
      </c>
    </row>
    <row r="651" spans="1:8" ht="19.8" customHeight="1" x14ac:dyDescent="0.3">
      <c r="A651" s="112">
        <v>45990</v>
      </c>
      <c r="B651" s="104" t="s">
        <v>60</v>
      </c>
      <c r="C651" s="105" t="s">
        <v>393</v>
      </c>
      <c r="D651" s="104" t="s">
        <v>335</v>
      </c>
      <c r="E651" s="113">
        <v>1.2534722222222221</v>
      </c>
      <c r="F651" s="104" t="s">
        <v>65</v>
      </c>
      <c r="G651" s="106">
        <v>9</v>
      </c>
      <c r="H651" s="107" t="s">
        <v>401</v>
      </c>
    </row>
    <row r="652" spans="1:8" ht="19.8" customHeight="1" x14ac:dyDescent="0.3">
      <c r="A652" s="112">
        <v>45990</v>
      </c>
      <c r="B652" s="104" t="s">
        <v>60</v>
      </c>
      <c r="C652" s="105" t="s">
        <v>445</v>
      </c>
      <c r="D652" s="104" t="s">
        <v>335</v>
      </c>
      <c r="E652" s="113">
        <v>1.9409722222222221</v>
      </c>
      <c r="F652" s="104" t="s">
        <v>65</v>
      </c>
      <c r="G652" s="106">
        <v>9</v>
      </c>
      <c r="H652" s="107" t="s">
        <v>401</v>
      </c>
    </row>
    <row r="653" spans="1:8" ht="19.8" customHeight="1" x14ac:dyDescent="0.3">
      <c r="A653" s="112">
        <v>45990</v>
      </c>
      <c r="B653" s="104" t="s">
        <v>48</v>
      </c>
      <c r="C653" s="105" t="s">
        <v>463</v>
      </c>
      <c r="D653" s="104" t="s">
        <v>335</v>
      </c>
      <c r="E653" s="113">
        <v>1.3402777777777779</v>
      </c>
      <c r="F653" s="104" t="s">
        <v>50</v>
      </c>
      <c r="G653" s="106">
        <v>9</v>
      </c>
      <c r="H653" s="107" t="s">
        <v>409</v>
      </c>
    </row>
    <row r="654" spans="1:8" ht="19.8" customHeight="1" x14ac:dyDescent="0.3">
      <c r="A654" s="112">
        <v>45990</v>
      </c>
      <c r="B654" s="104" t="s">
        <v>60</v>
      </c>
      <c r="C654" s="105" t="s">
        <v>400</v>
      </c>
      <c r="D654" s="104" t="s">
        <v>335</v>
      </c>
      <c r="E654" s="113">
        <v>1.8298611111111109</v>
      </c>
      <c r="F654" s="104" t="s">
        <v>65</v>
      </c>
      <c r="G654" s="106">
        <v>2</v>
      </c>
      <c r="H654" s="107" t="s">
        <v>466</v>
      </c>
    </row>
    <row r="655" spans="1:8" ht="19.8" customHeight="1" x14ac:dyDescent="0.3">
      <c r="A655" s="112">
        <v>45990</v>
      </c>
      <c r="B655" s="104" t="s">
        <v>60</v>
      </c>
      <c r="C655" s="105" t="s">
        <v>404</v>
      </c>
      <c r="D655" s="104" t="s">
        <v>335</v>
      </c>
      <c r="E655" s="113">
        <v>1.7222222222222221</v>
      </c>
      <c r="F655" s="104" t="s">
        <v>65</v>
      </c>
      <c r="G655" s="106">
        <v>9</v>
      </c>
      <c r="H655" s="107" t="s">
        <v>466</v>
      </c>
    </row>
    <row r="656" spans="1:8" ht="19.8" customHeight="1" x14ac:dyDescent="0.3">
      <c r="A656" s="112">
        <v>45990</v>
      </c>
      <c r="B656" s="104" t="s">
        <v>41</v>
      </c>
      <c r="C656" s="105" t="s">
        <v>336</v>
      </c>
      <c r="D656" s="104" t="s">
        <v>335</v>
      </c>
      <c r="E656" s="113">
        <v>1.989583333333333</v>
      </c>
      <c r="F656" s="104" t="s">
        <v>46</v>
      </c>
      <c r="G656" s="106">
        <v>10</v>
      </c>
      <c r="H656" s="107" t="s">
        <v>529</v>
      </c>
    </row>
    <row r="657" spans="1:8" ht="19.8" customHeight="1" x14ac:dyDescent="0.3">
      <c r="A657" s="120">
        <v>45990</v>
      </c>
      <c r="B657" s="121" t="s">
        <v>77</v>
      </c>
      <c r="C657" s="122" t="s">
        <v>371</v>
      </c>
      <c r="D657" s="121" t="s">
        <v>335</v>
      </c>
      <c r="E657" s="123">
        <v>1.0486111111111109</v>
      </c>
      <c r="F657" s="121" t="s">
        <v>79</v>
      </c>
      <c r="G657" s="121"/>
      <c r="H657" s="125" t="s">
        <v>80</v>
      </c>
    </row>
    <row r="658" spans="1:8" ht="19.8" customHeight="1" x14ac:dyDescent="0.3">
      <c r="A658" s="120">
        <v>45990</v>
      </c>
      <c r="B658" s="121" t="s">
        <v>77</v>
      </c>
      <c r="C658" s="122" t="s">
        <v>375</v>
      </c>
      <c r="D658" s="121" t="s">
        <v>335</v>
      </c>
      <c r="E658" s="123">
        <v>1.15625</v>
      </c>
      <c r="F658" s="121" t="s">
        <v>79</v>
      </c>
      <c r="G658" s="121"/>
      <c r="H658" s="125" t="s">
        <v>80</v>
      </c>
    </row>
    <row r="659" spans="1:8" ht="19.8" customHeight="1" x14ac:dyDescent="0.3">
      <c r="A659" s="126">
        <v>45990</v>
      </c>
      <c r="B659" s="109" t="s">
        <v>77</v>
      </c>
      <c r="C659" s="110" t="s">
        <v>383</v>
      </c>
      <c r="D659" s="109" t="s">
        <v>335</v>
      </c>
      <c r="E659" s="127">
        <v>1.5034722222222221</v>
      </c>
      <c r="F659" s="109" t="s">
        <v>79</v>
      </c>
      <c r="G659" s="109"/>
      <c r="H659" s="111" t="s">
        <v>80</v>
      </c>
    </row>
    <row r="660" spans="1:8" ht="19.8" customHeight="1" x14ac:dyDescent="0.3">
      <c r="A660" s="112">
        <v>45991</v>
      </c>
      <c r="B660" s="104" t="s">
        <v>388</v>
      </c>
      <c r="C660" s="105" t="s">
        <v>389</v>
      </c>
      <c r="D660" s="104" t="s">
        <v>335</v>
      </c>
      <c r="E660" s="113">
        <v>1.229166666666667</v>
      </c>
      <c r="F660" s="104" t="s">
        <v>390</v>
      </c>
      <c r="G660" s="106">
        <v>9</v>
      </c>
      <c r="H660" s="107" t="s">
        <v>559</v>
      </c>
    </row>
    <row r="661" spans="1:8" ht="19.8" customHeight="1" x14ac:dyDescent="0.3">
      <c r="A661" s="112">
        <v>45991</v>
      </c>
      <c r="B661" s="104" t="s">
        <v>41</v>
      </c>
      <c r="C661" s="105" t="s">
        <v>340</v>
      </c>
      <c r="D661" s="104" t="s">
        <v>335</v>
      </c>
      <c r="E661" s="113">
        <v>1.399305555555556</v>
      </c>
      <c r="F661" s="104" t="s">
        <v>43</v>
      </c>
      <c r="G661" s="106">
        <v>3</v>
      </c>
      <c r="H661" s="107" t="s">
        <v>143</v>
      </c>
    </row>
    <row r="662" spans="1:8" ht="19.8" customHeight="1" x14ac:dyDescent="0.3">
      <c r="A662" s="112">
        <v>45991</v>
      </c>
      <c r="B662" s="104" t="s">
        <v>385</v>
      </c>
      <c r="C662" s="105" t="s">
        <v>386</v>
      </c>
      <c r="D662" s="104" t="s">
        <v>335</v>
      </c>
      <c r="E662" s="113">
        <v>1.493055555555556</v>
      </c>
      <c r="F662" s="104" t="s">
        <v>101</v>
      </c>
      <c r="G662" s="106">
        <v>9</v>
      </c>
      <c r="H662" s="107" t="s">
        <v>564</v>
      </c>
    </row>
    <row r="663" spans="1:8" ht="19.8" customHeight="1" x14ac:dyDescent="0.3">
      <c r="A663" s="112">
        <v>45991</v>
      </c>
      <c r="B663" s="104" t="s">
        <v>26</v>
      </c>
      <c r="C663" s="105" t="s">
        <v>354</v>
      </c>
      <c r="D663" s="104" t="s">
        <v>335</v>
      </c>
      <c r="E663" s="113">
        <v>1.3472222222222221</v>
      </c>
      <c r="F663" s="104" t="s">
        <v>28</v>
      </c>
      <c r="G663" s="106">
        <v>8</v>
      </c>
      <c r="H663" s="107" t="s">
        <v>154</v>
      </c>
    </row>
    <row r="664" spans="1:8" ht="19.8" customHeight="1" x14ac:dyDescent="0.3">
      <c r="A664" s="112">
        <v>45991</v>
      </c>
      <c r="B664" s="104" t="s">
        <v>26</v>
      </c>
      <c r="C664" s="105" t="s">
        <v>350</v>
      </c>
      <c r="D664" s="104" t="s">
        <v>335</v>
      </c>
      <c r="E664" s="113">
        <v>1.993055555555556</v>
      </c>
      <c r="F664" s="104" t="s">
        <v>28</v>
      </c>
      <c r="G664" s="106">
        <v>1</v>
      </c>
      <c r="H664" s="107" t="s">
        <v>154</v>
      </c>
    </row>
    <row r="665" spans="1:8" ht="19.8" customHeight="1" x14ac:dyDescent="0.3">
      <c r="A665" s="112">
        <v>45991</v>
      </c>
      <c r="B665" s="104" t="s">
        <v>26</v>
      </c>
      <c r="C665" s="105" t="s">
        <v>357</v>
      </c>
      <c r="D665" s="104" t="s">
        <v>335</v>
      </c>
      <c r="E665" s="113">
        <v>1.3923611111111109</v>
      </c>
      <c r="F665" s="104" t="s">
        <v>28</v>
      </c>
      <c r="G665" s="106">
        <v>4</v>
      </c>
      <c r="H665" s="107" t="s">
        <v>154</v>
      </c>
    </row>
    <row r="666" spans="1:8" ht="19.8" customHeight="1" x14ac:dyDescent="0.3">
      <c r="A666" s="120">
        <v>45991</v>
      </c>
      <c r="B666" s="121" t="s">
        <v>77</v>
      </c>
      <c r="C666" s="122" t="s">
        <v>419</v>
      </c>
      <c r="D666" s="121" t="s">
        <v>335</v>
      </c>
      <c r="E666" s="123">
        <v>1.333333333333333</v>
      </c>
      <c r="F666" s="121" t="s">
        <v>101</v>
      </c>
      <c r="G666" s="124">
        <v>1</v>
      </c>
      <c r="H666" s="125" t="s">
        <v>379</v>
      </c>
    </row>
    <row r="667" spans="1:8" ht="19.8" customHeight="1" x14ac:dyDescent="0.3">
      <c r="A667" s="112">
        <v>45991</v>
      </c>
      <c r="B667" s="104" t="s">
        <v>385</v>
      </c>
      <c r="C667" s="105" t="s">
        <v>435</v>
      </c>
      <c r="D667" s="104" t="s">
        <v>335</v>
      </c>
      <c r="E667" s="113">
        <v>1.2048611111111109</v>
      </c>
      <c r="F667" s="104" t="s">
        <v>101</v>
      </c>
      <c r="G667" s="106">
        <v>9</v>
      </c>
      <c r="H667" s="107" t="s">
        <v>521</v>
      </c>
    </row>
    <row r="668" spans="1:8" ht="19.8" customHeight="1" x14ac:dyDescent="0.3">
      <c r="A668" s="112">
        <v>45991</v>
      </c>
      <c r="B668" s="104" t="s">
        <v>41</v>
      </c>
      <c r="C668" s="105" t="s">
        <v>344</v>
      </c>
      <c r="D668" s="104" t="s">
        <v>335</v>
      </c>
      <c r="E668" s="113">
        <v>1.489583333333333</v>
      </c>
      <c r="F668" s="104" t="s">
        <v>43</v>
      </c>
      <c r="G668" s="106">
        <v>15</v>
      </c>
      <c r="H668" s="107" t="s">
        <v>478</v>
      </c>
    </row>
    <row r="669" spans="1:8" ht="19.8" customHeight="1" x14ac:dyDescent="0.3">
      <c r="A669" s="112">
        <v>45991</v>
      </c>
      <c r="B669" s="104" t="s">
        <v>41</v>
      </c>
      <c r="C669" s="105" t="s">
        <v>347</v>
      </c>
      <c r="D669" s="104" t="s">
        <v>335</v>
      </c>
      <c r="E669" s="113">
        <v>1.8888888888888891</v>
      </c>
      <c r="F669" s="104" t="s">
        <v>43</v>
      </c>
      <c r="G669" s="106">
        <v>15</v>
      </c>
      <c r="H669" s="107" t="s">
        <v>478</v>
      </c>
    </row>
    <row r="670" spans="1:8" ht="19.8" customHeight="1" x14ac:dyDescent="0.3">
      <c r="A670" s="112">
        <v>45991</v>
      </c>
      <c r="B670" s="104" t="s">
        <v>41</v>
      </c>
      <c r="C670" s="105" t="s">
        <v>336</v>
      </c>
      <c r="D670" s="104" t="s">
        <v>335</v>
      </c>
      <c r="E670" s="113">
        <v>1.989583333333333</v>
      </c>
      <c r="F670" s="104" t="s">
        <v>43</v>
      </c>
      <c r="G670" s="106">
        <v>11</v>
      </c>
      <c r="H670" s="107" t="s">
        <v>478</v>
      </c>
    </row>
    <row r="671" spans="1:8" ht="19.8" customHeight="1" x14ac:dyDescent="0.3">
      <c r="A671" s="112">
        <v>45991</v>
      </c>
      <c r="B671" s="104" t="s">
        <v>458</v>
      </c>
      <c r="C671" s="105" t="s">
        <v>459</v>
      </c>
      <c r="D671" s="104" t="s">
        <v>335</v>
      </c>
      <c r="E671" s="113">
        <v>1.100694444444444</v>
      </c>
      <c r="F671" s="104" t="s">
        <v>101</v>
      </c>
      <c r="G671" s="106">
        <v>2</v>
      </c>
      <c r="H671" s="107" t="s">
        <v>145</v>
      </c>
    </row>
    <row r="672" spans="1:8" ht="19.8" customHeight="1" x14ac:dyDescent="0.3">
      <c r="A672" s="120">
        <v>45991</v>
      </c>
      <c r="B672" s="121" t="s">
        <v>77</v>
      </c>
      <c r="C672" s="122" t="s">
        <v>424</v>
      </c>
      <c r="D672" s="121" t="s">
        <v>335</v>
      </c>
      <c r="E672" s="123">
        <v>1.4548611111111109</v>
      </c>
      <c r="F672" s="121" t="s">
        <v>101</v>
      </c>
      <c r="G672" s="124">
        <v>2</v>
      </c>
      <c r="H672" s="125" t="s">
        <v>567</v>
      </c>
    </row>
    <row r="673" spans="1:8" ht="19.8" customHeight="1" x14ac:dyDescent="0.3">
      <c r="A673" s="112">
        <v>45991</v>
      </c>
      <c r="B673" s="104" t="s">
        <v>41</v>
      </c>
      <c r="C673" s="105" t="s">
        <v>340</v>
      </c>
      <c r="D673" s="104" t="s">
        <v>335</v>
      </c>
      <c r="E673" s="113">
        <v>1.399305555555556</v>
      </c>
      <c r="F673" s="104" t="s">
        <v>45</v>
      </c>
      <c r="G673" s="106">
        <v>3</v>
      </c>
      <c r="H673" s="107" t="s">
        <v>47</v>
      </c>
    </row>
    <row r="674" spans="1:8" ht="19.8" customHeight="1" x14ac:dyDescent="0.3">
      <c r="A674" s="112">
        <v>45991</v>
      </c>
      <c r="B674" s="104" t="s">
        <v>41</v>
      </c>
      <c r="C674" s="105" t="s">
        <v>340</v>
      </c>
      <c r="D674" s="104" t="s">
        <v>335</v>
      </c>
      <c r="E674" s="113">
        <v>1.399305555555556</v>
      </c>
      <c r="F674" s="104" t="s">
        <v>46</v>
      </c>
      <c r="G674" s="106">
        <v>3</v>
      </c>
      <c r="H674" s="107" t="s">
        <v>47</v>
      </c>
    </row>
    <row r="675" spans="1:8" ht="19.8" customHeight="1" x14ac:dyDescent="0.3">
      <c r="A675" s="112">
        <v>45991</v>
      </c>
      <c r="B675" s="104" t="s">
        <v>26</v>
      </c>
      <c r="C675" s="105" t="s">
        <v>359</v>
      </c>
      <c r="D675" s="104" t="s">
        <v>335</v>
      </c>
      <c r="E675" s="113">
        <v>1.7361111111111109</v>
      </c>
      <c r="F675" s="104" t="s">
        <v>28</v>
      </c>
      <c r="G675" s="106">
        <v>6</v>
      </c>
      <c r="H675" s="107" t="s">
        <v>47</v>
      </c>
    </row>
    <row r="676" spans="1:8" ht="19.8" customHeight="1" x14ac:dyDescent="0.3">
      <c r="A676" s="112">
        <v>45991</v>
      </c>
      <c r="B676" s="104" t="s">
        <v>26</v>
      </c>
      <c r="C676" s="105" t="s">
        <v>356</v>
      </c>
      <c r="D676" s="104" t="s">
        <v>335</v>
      </c>
      <c r="E676" s="113">
        <v>1.836805555555556</v>
      </c>
      <c r="F676" s="104" t="s">
        <v>28</v>
      </c>
      <c r="G676" s="106">
        <v>5</v>
      </c>
      <c r="H676" s="107" t="s">
        <v>47</v>
      </c>
    </row>
    <row r="677" spans="1:8" ht="19.8" customHeight="1" x14ac:dyDescent="0.3">
      <c r="A677" s="112">
        <v>45991</v>
      </c>
      <c r="B677" s="104" t="s">
        <v>26</v>
      </c>
      <c r="C677" s="105" t="s">
        <v>352</v>
      </c>
      <c r="D677" s="104" t="s">
        <v>335</v>
      </c>
      <c r="E677" s="113">
        <v>1.944444444444444</v>
      </c>
      <c r="F677" s="104" t="s">
        <v>28</v>
      </c>
      <c r="G677" s="106">
        <v>9</v>
      </c>
      <c r="H677" s="107" t="s">
        <v>47</v>
      </c>
    </row>
    <row r="678" spans="1:8" ht="19.8" customHeight="1" x14ac:dyDescent="0.3">
      <c r="A678" s="112">
        <v>45991</v>
      </c>
      <c r="B678" s="104" t="s">
        <v>26</v>
      </c>
      <c r="C678" s="105" t="s">
        <v>360</v>
      </c>
      <c r="D678" s="104" t="s">
        <v>335</v>
      </c>
      <c r="E678" s="113">
        <v>1.4861111111111109</v>
      </c>
      <c r="F678" s="104" t="s">
        <v>28</v>
      </c>
      <c r="G678" s="106">
        <v>9</v>
      </c>
      <c r="H678" s="107" t="s">
        <v>47</v>
      </c>
    </row>
    <row r="679" spans="1:8" ht="19.8" customHeight="1" x14ac:dyDescent="0.3">
      <c r="A679" s="112">
        <v>45991</v>
      </c>
      <c r="B679" s="104" t="s">
        <v>26</v>
      </c>
      <c r="C679" s="105" t="s">
        <v>358</v>
      </c>
      <c r="D679" s="104" t="s">
        <v>335</v>
      </c>
      <c r="E679" s="113">
        <v>1.8888888888888891</v>
      </c>
      <c r="F679" s="104" t="s">
        <v>28</v>
      </c>
      <c r="G679" s="106">
        <v>9</v>
      </c>
      <c r="H679" s="107" t="s">
        <v>47</v>
      </c>
    </row>
    <row r="680" spans="1:8" ht="19.8" customHeight="1" x14ac:dyDescent="0.3">
      <c r="A680" s="112">
        <v>45991</v>
      </c>
      <c r="B680" s="104" t="s">
        <v>388</v>
      </c>
      <c r="C680" s="105" t="s">
        <v>389</v>
      </c>
      <c r="D680" s="104" t="s">
        <v>335</v>
      </c>
      <c r="E680" s="113">
        <v>1.229166666666667</v>
      </c>
      <c r="F680" s="104" t="s">
        <v>46</v>
      </c>
      <c r="G680" s="106">
        <v>9</v>
      </c>
      <c r="H680" s="107" t="s">
        <v>560</v>
      </c>
    </row>
    <row r="681" spans="1:8" ht="19.8" customHeight="1" x14ac:dyDescent="0.3">
      <c r="A681" s="112">
        <v>45991</v>
      </c>
      <c r="B681" s="104" t="s">
        <v>26</v>
      </c>
      <c r="C681" s="105" t="s">
        <v>354</v>
      </c>
      <c r="D681" s="104" t="s">
        <v>335</v>
      </c>
      <c r="E681" s="113">
        <v>1.3472222222222221</v>
      </c>
      <c r="F681" s="104" t="s">
        <v>31</v>
      </c>
      <c r="G681" s="106">
        <v>8</v>
      </c>
      <c r="H681" s="107" t="s">
        <v>565</v>
      </c>
    </row>
    <row r="682" spans="1:8" ht="19.8" customHeight="1" x14ac:dyDescent="0.3">
      <c r="A682" s="112">
        <v>45991</v>
      </c>
      <c r="B682" s="104" t="s">
        <v>26</v>
      </c>
      <c r="C682" s="105" t="s">
        <v>350</v>
      </c>
      <c r="D682" s="104" t="s">
        <v>335</v>
      </c>
      <c r="E682" s="113">
        <v>1.993055555555556</v>
      </c>
      <c r="F682" s="104" t="s">
        <v>31</v>
      </c>
      <c r="G682" s="106">
        <v>1</v>
      </c>
      <c r="H682" s="107" t="s">
        <v>565</v>
      </c>
    </row>
    <row r="683" spans="1:8" ht="19.8" customHeight="1" x14ac:dyDescent="0.3">
      <c r="A683" s="112">
        <v>45991</v>
      </c>
      <c r="B683" s="104" t="s">
        <v>26</v>
      </c>
      <c r="C683" s="105" t="s">
        <v>357</v>
      </c>
      <c r="D683" s="104" t="s">
        <v>335</v>
      </c>
      <c r="E683" s="113">
        <v>1.3923611111111109</v>
      </c>
      <c r="F683" s="104" t="s">
        <v>31</v>
      </c>
      <c r="G683" s="106">
        <v>4</v>
      </c>
      <c r="H683" s="107" t="s">
        <v>565</v>
      </c>
    </row>
    <row r="684" spans="1:8" ht="19.8" customHeight="1" x14ac:dyDescent="0.3">
      <c r="A684" s="112">
        <v>45991</v>
      </c>
      <c r="B684" s="104" t="s">
        <v>41</v>
      </c>
      <c r="C684" s="105" t="s">
        <v>344</v>
      </c>
      <c r="D684" s="104" t="s">
        <v>335</v>
      </c>
      <c r="E684" s="113">
        <v>1.489583333333333</v>
      </c>
      <c r="F684" s="104" t="s">
        <v>46</v>
      </c>
      <c r="G684" s="106">
        <v>15</v>
      </c>
      <c r="H684" s="107" t="s">
        <v>563</v>
      </c>
    </row>
    <row r="685" spans="1:8" ht="19.8" customHeight="1" x14ac:dyDescent="0.3">
      <c r="A685" s="112">
        <v>45991</v>
      </c>
      <c r="B685" s="104" t="s">
        <v>41</v>
      </c>
      <c r="C685" s="105" t="s">
        <v>336</v>
      </c>
      <c r="D685" s="104" t="s">
        <v>335</v>
      </c>
      <c r="E685" s="113">
        <v>1.989583333333333</v>
      </c>
      <c r="F685" s="104" t="s">
        <v>46</v>
      </c>
      <c r="G685" s="106">
        <v>11</v>
      </c>
      <c r="H685" s="107" t="s">
        <v>563</v>
      </c>
    </row>
    <row r="686" spans="1:8" ht="19.8" customHeight="1" x14ac:dyDescent="0.3">
      <c r="A686" s="120">
        <v>45991</v>
      </c>
      <c r="B686" s="121" t="s">
        <v>77</v>
      </c>
      <c r="C686" s="122" t="s">
        <v>365</v>
      </c>
      <c r="D686" s="121" t="s">
        <v>335</v>
      </c>
      <c r="E686" s="123">
        <v>1.15625</v>
      </c>
      <c r="F686" s="121" t="s">
        <v>101</v>
      </c>
      <c r="G686" s="124">
        <v>4</v>
      </c>
      <c r="H686" s="125" t="s">
        <v>517</v>
      </c>
    </row>
    <row r="687" spans="1:8" ht="19.8" customHeight="1" x14ac:dyDescent="0.3">
      <c r="A687" s="120">
        <v>45991</v>
      </c>
      <c r="B687" s="121" t="s">
        <v>77</v>
      </c>
      <c r="C687" s="122" t="s">
        <v>361</v>
      </c>
      <c r="D687" s="121" t="s">
        <v>335</v>
      </c>
      <c r="E687" s="123">
        <v>1.8298611111111109</v>
      </c>
      <c r="F687" s="121" t="s">
        <v>101</v>
      </c>
      <c r="G687" s="124">
        <v>8</v>
      </c>
      <c r="H687" s="125" t="s">
        <v>517</v>
      </c>
    </row>
    <row r="688" spans="1:8" ht="19.8" customHeight="1" x14ac:dyDescent="0.3">
      <c r="A688" s="112">
        <v>45991</v>
      </c>
      <c r="B688" s="104" t="s">
        <v>41</v>
      </c>
      <c r="C688" s="105" t="s">
        <v>344</v>
      </c>
      <c r="D688" s="104" t="s">
        <v>335</v>
      </c>
      <c r="E688" s="113">
        <v>1.489583333333333</v>
      </c>
      <c r="F688" s="104" t="s">
        <v>45</v>
      </c>
      <c r="G688" s="106">
        <v>15</v>
      </c>
      <c r="H688" s="107" t="s">
        <v>532</v>
      </c>
    </row>
    <row r="689" spans="1:8" ht="19.8" customHeight="1" x14ac:dyDescent="0.3">
      <c r="A689" s="112">
        <v>45991</v>
      </c>
      <c r="B689" s="104" t="s">
        <v>41</v>
      </c>
      <c r="C689" s="105" t="s">
        <v>347</v>
      </c>
      <c r="D689" s="104" t="s">
        <v>335</v>
      </c>
      <c r="E689" s="113">
        <v>1.8888888888888891</v>
      </c>
      <c r="F689" s="104" t="s">
        <v>45</v>
      </c>
      <c r="G689" s="106">
        <v>15</v>
      </c>
      <c r="H689" s="107" t="s">
        <v>532</v>
      </c>
    </row>
    <row r="690" spans="1:8" ht="19.8" customHeight="1" x14ac:dyDescent="0.3">
      <c r="A690" s="112">
        <v>45991</v>
      </c>
      <c r="B690" s="104" t="s">
        <v>41</v>
      </c>
      <c r="C690" s="105" t="s">
        <v>336</v>
      </c>
      <c r="D690" s="104" t="s">
        <v>335</v>
      </c>
      <c r="E690" s="113">
        <v>1.989583333333333</v>
      </c>
      <c r="F690" s="104" t="s">
        <v>45</v>
      </c>
      <c r="G690" s="106">
        <v>11</v>
      </c>
      <c r="H690" s="107" t="s">
        <v>532</v>
      </c>
    </row>
    <row r="691" spans="1:8" ht="19.8" customHeight="1" x14ac:dyDescent="0.3">
      <c r="A691" s="112">
        <v>45991</v>
      </c>
      <c r="B691" s="104" t="s">
        <v>26</v>
      </c>
      <c r="C691" s="105" t="s">
        <v>354</v>
      </c>
      <c r="D691" s="104" t="s">
        <v>335</v>
      </c>
      <c r="E691" s="113">
        <v>1.3472222222222221</v>
      </c>
      <c r="F691" s="104" t="s">
        <v>34</v>
      </c>
      <c r="G691" s="106">
        <v>8</v>
      </c>
      <c r="H691" s="107" t="s">
        <v>532</v>
      </c>
    </row>
    <row r="692" spans="1:8" ht="19.8" customHeight="1" x14ac:dyDescent="0.3">
      <c r="A692" s="112">
        <v>45991</v>
      </c>
      <c r="B692" s="104" t="s">
        <v>26</v>
      </c>
      <c r="C692" s="105" t="s">
        <v>350</v>
      </c>
      <c r="D692" s="104" t="s">
        <v>335</v>
      </c>
      <c r="E692" s="113">
        <v>1.993055555555556</v>
      </c>
      <c r="F692" s="104" t="s">
        <v>34</v>
      </c>
      <c r="G692" s="106">
        <v>1</v>
      </c>
      <c r="H692" s="107" t="s">
        <v>532</v>
      </c>
    </row>
    <row r="693" spans="1:8" ht="19.8" customHeight="1" x14ac:dyDescent="0.3">
      <c r="A693" s="112">
        <v>45991</v>
      </c>
      <c r="B693" s="104" t="s">
        <v>26</v>
      </c>
      <c r="C693" s="105" t="s">
        <v>359</v>
      </c>
      <c r="D693" s="104" t="s">
        <v>335</v>
      </c>
      <c r="E693" s="113">
        <v>1.7361111111111109</v>
      </c>
      <c r="F693" s="104" t="s">
        <v>31</v>
      </c>
      <c r="G693" s="106">
        <v>6</v>
      </c>
      <c r="H693" s="107" t="s">
        <v>532</v>
      </c>
    </row>
    <row r="694" spans="1:8" ht="19.8" customHeight="1" x14ac:dyDescent="0.3">
      <c r="A694" s="112">
        <v>45991</v>
      </c>
      <c r="B694" s="104" t="s">
        <v>26</v>
      </c>
      <c r="C694" s="105" t="s">
        <v>356</v>
      </c>
      <c r="D694" s="104" t="s">
        <v>335</v>
      </c>
      <c r="E694" s="113">
        <v>1.836805555555556</v>
      </c>
      <c r="F694" s="104" t="s">
        <v>31</v>
      </c>
      <c r="G694" s="106">
        <v>5</v>
      </c>
      <c r="H694" s="107" t="s">
        <v>532</v>
      </c>
    </row>
    <row r="695" spans="1:8" ht="19.8" customHeight="1" x14ac:dyDescent="0.3">
      <c r="A695" s="112">
        <v>45991</v>
      </c>
      <c r="B695" s="104" t="s">
        <v>26</v>
      </c>
      <c r="C695" s="105" t="s">
        <v>352</v>
      </c>
      <c r="D695" s="104" t="s">
        <v>335</v>
      </c>
      <c r="E695" s="113">
        <v>1.944444444444444</v>
      </c>
      <c r="F695" s="104" t="s">
        <v>31</v>
      </c>
      <c r="G695" s="106">
        <v>9</v>
      </c>
      <c r="H695" s="107" t="s">
        <v>532</v>
      </c>
    </row>
    <row r="696" spans="1:8" ht="19.8" customHeight="1" x14ac:dyDescent="0.3">
      <c r="A696" s="112">
        <v>45991</v>
      </c>
      <c r="B696" s="104" t="s">
        <v>26</v>
      </c>
      <c r="C696" s="105" t="s">
        <v>360</v>
      </c>
      <c r="D696" s="104" t="s">
        <v>335</v>
      </c>
      <c r="E696" s="113">
        <v>1.4861111111111109</v>
      </c>
      <c r="F696" s="104" t="s">
        <v>31</v>
      </c>
      <c r="G696" s="106">
        <v>9</v>
      </c>
      <c r="H696" s="107" t="s">
        <v>532</v>
      </c>
    </row>
    <row r="697" spans="1:8" ht="19.8" customHeight="1" x14ac:dyDescent="0.3">
      <c r="A697" s="112">
        <v>45991</v>
      </c>
      <c r="B697" s="104" t="s">
        <v>26</v>
      </c>
      <c r="C697" s="105" t="s">
        <v>357</v>
      </c>
      <c r="D697" s="104" t="s">
        <v>335</v>
      </c>
      <c r="E697" s="113">
        <v>1.3923611111111109</v>
      </c>
      <c r="F697" s="104" t="s">
        <v>34</v>
      </c>
      <c r="G697" s="106">
        <v>4</v>
      </c>
      <c r="H697" s="107" t="s">
        <v>532</v>
      </c>
    </row>
    <row r="698" spans="1:8" ht="19.8" customHeight="1" x14ac:dyDescent="0.3">
      <c r="A698" s="112">
        <v>45991</v>
      </c>
      <c r="B698" s="104" t="s">
        <v>26</v>
      </c>
      <c r="C698" s="105" t="s">
        <v>358</v>
      </c>
      <c r="D698" s="104" t="s">
        <v>335</v>
      </c>
      <c r="E698" s="113">
        <v>1.8888888888888891</v>
      </c>
      <c r="F698" s="104" t="s">
        <v>31</v>
      </c>
      <c r="G698" s="106">
        <v>9</v>
      </c>
      <c r="H698" s="107" t="s">
        <v>532</v>
      </c>
    </row>
    <row r="699" spans="1:8" ht="19.8" customHeight="1" x14ac:dyDescent="0.3">
      <c r="A699" s="112">
        <v>45991</v>
      </c>
      <c r="B699" s="104" t="s">
        <v>60</v>
      </c>
      <c r="C699" s="105" t="s">
        <v>400</v>
      </c>
      <c r="D699" s="104" t="s">
        <v>335</v>
      </c>
      <c r="E699" s="113">
        <v>1.8298611111111109</v>
      </c>
      <c r="F699" s="104" t="s">
        <v>65</v>
      </c>
      <c r="G699" s="106">
        <v>8</v>
      </c>
      <c r="H699" s="107" t="s">
        <v>490</v>
      </c>
    </row>
    <row r="700" spans="1:8" ht="19.8" customHeight="1" x14ac:dyDescent="0.3">
      <c r="A700" s="112">
        <v>45991</v>
      </c>
      <c r="B700" s="104" t="s">
        <v>48</v>
      </c>
      <c r="C700" s="105" t="s">
        <v>411</v>
      </c>
      <c r="D700" s="104" t="s">
        <v>335</v>
      </c>
      <c r="E700" s="113">
        <v>1.104166666666667</v>
      </c>
      <c r="F700" s="104" t="s">
        <v>50</v>
      </c>
      <c r="G700" s="106">
        <v>9</v>
      </c>
      <c r="H700" s="107" t="s">
        <v>476</v>
      </c>
    </row>
    <row r="701" spans="1:8" ht="19.8" customHeight="1" x14ac:dyDescent="0.3">
      <c r="A701" s="112">
        <v>45991</v>
      </c>
      <c r="B701" s="104" t="s">
        <v>48</v>
      </c>
      <c r="C701" s="105" t="s">
        <v>406</v>
      </c>
      <c r="D701" s="104" t="s">
        <v>335</v>
      </c>
      <c r="E701" s="113">
        <v>1.7847222222222221</v>
      </c>
      <c r="F701" s="104" t="s">
        <v>50</v>
      </c>
      <c r="G701" s="106">
        <v>9</v>
      </c>
      <c r="H701" s="107" t="s">
        <v>476</v>
      </c>
    </row>
    <row r="702" spans="1:8" ht="19.8" customHeight="1" x14ac:dyDescent="0.3">
      <c r="A702" s="112">
        <v>45991</v>
      </c>
      <c r="B702" s="104" t="s">
        <v>48</v>
      </c>
      <c r="C702" s="105" t="s">
        <v>415</v>
      </c>
      <c r="D702" s="104" t="s">
        <v>335</v>
      </c>
      <c r="E702" s="113">
        <v>1.0486111111111109</v>
      </c>
      <c r="F702" s="104" t="s">
        <v>50</v>
      </c>
      <c r="G702" s="106">
        <v>9</v>
      </c>
      <c r="H702" s="107" t="s">
        <v>476</v>
      </c>
    </row>
    <row r="703" spans="1:8" ht="19.8" customHeight="1" x14ac:dyDescent="0.3">
      <c r="A703" s="112">
        <v>45991</v>
      </c>
      <c r="B703" s="104" t="s">
        <v>26</v>
      </c>
      <c r="C703" s="105" t="s">
        <v>359</v>
      </c>
      <c r="D703" s="104" t="s">
        <v>335</v>
      </c>
      <c r="E703" s="113">
        <v>1.7361111111111109</v>
      </c>
      <c r="F703" s="104" t="s">
        <v>34</v>
      </c>
      <c r="G703" s="106">
        <v>6</v>
      </c>
      <c r="H703" s="107" t="s">
        <v>533</v>
      </c>
    </row>
    <row r="704" spans="1:8" ht="19.8" customHeight="1" x14ac:dyDescent="0.3">
      <c r="A704" s="112">
        <v>45991</v>
      </c>
      <c r="B704" s="104" t="s">
        <v>26</v>
      </c>
      <c r="C704" s="105" t="s">
        <v>356</v>
      </c>
      <c r="D704" s="104" t="s">
        <v>335</v>
      </c>
      <c r="E704" s="113">
        <v>1.836805555555556</v>
      </c>
      <c r="F704" s="104" t="s">
        <v>34</v>
      </c>
      <c r="G704" s="106">
        <v>5</v>
      </c>
      <c r="H704" s="107" t="s">
        <v>533</v>
      </c>
    </row>
    <row r="705" spans="1:8" ht="19.8" customHeight="1" x14ac:dyDescent="0.3">
      <c r="A705" s="112">
        <v>45991</v>
      </c>
      <c r="B705" s="104" t="s">
        <v>26</v>
      </c>
      <c r="C705" s="105" t="s">
        <v>352</v>
      </c>
      <c r="D705" s="104" t="s">
        <v>335</v>
      </c>
      <c r="E705" s="113">
        <v>1.944444444444444</v>
      </c>
      <c r="F705" s="104" t="s">
        <v>34</v>
      </c>
      <c r="G705" s="106">
        <v>9</v>
      </c>
      <c r="H705" s="107" t="s">
        <v>533</v>
      </c>
    </row>
    <row r="706" spans="1:8" ht="19.8" customHeight="1" x14ac:dyDescent="0.3">
      <c r="A706" s="112">
        <v>45991</v>
      </c>
      <c r="B706" s="104" t="s">
        <v>26</v>
      </c>
      <c r="C706" s="105" t="s">
        <v>360</v>
      </c>
      <c r="D706" s="104" t="s">
        <v>335</v>
      </c>
      <c r="E706" s="113">
        <v>1.4861111111111109</v>
      </c>
      <c r="F706" s="104" t="s">
        <v>34</v>
      </c>
      <c r="G706" s="106">
        <v>9</v>
      </c>
      <c r="H706" s="107" t="s">
        <v>533</v>
      </c>
    </row>
    <row r="707" spans="1:8" ht="19.8" customHeight="1" x14ac:dyDescent="0.3">
      <c r="A707" s="112">
        <v>45991</v>
      </c>
      <c r="B707" s="104" t="s">
        <v>26</v>
      </c>
      <c r="C707" s="105" t="s">
        <v>358</v>
      </c>
      <c r="D707" s="104" t="s">
        <v>335</v>
      </c>
      <c r="E707" s="113">
        <v>1.8888888888888891</v>
      </c>
      <c r="F707" s="104" t="s">
        <v>34</v>
      </c>
      <c r="G707" s="106">
        <v>9</v>
      </c>
      <c r="H707" s="107" t="s">
        <v>533</v>
      </c>
    </row>
    <row r="708" spans="1:8" ht="19.8" customHeight="1" x14ac:dyDescent="0.3">
      <c r="A708" s="112">
        <v>45991</v>
      </c>
      <c r="B708" s="104" t="s">
        <v>458</v>
      </c>
      <c r="C708" s="105" t="s">
        <v>467</v>
      </c>
      <c r="D708" s="104" t="s">
        <v>335</v>
      </c>
      <c r="E708" s="113">
        <v>1.1736111111111109</v>
      </c>
      <c r="F708" s="104" t="s">
        <v>101</v>
      </c>
      <c r="G708" s="106">
        <v>5</v>
      </c>
      <c r="H708" s="107" t="s">
        <v>523</v>
      </c>
    </row>
    <row r="709" spans="1:8" ht="19.8" customHeight="1" x14ac:dyDescent="0.3">
      <c r="A709" s="112">
        <v>45991</v>
      </c>
      <c r="B709" s="104" t="s">
        <v>60</v>
      </c>
      <c r="C709" s="105" t="s">
        <v>404</v>
      </c>
      <c r="D709" s="104" t="s">
        <v>335</v>
      </c>
      <c r="E709" s="113">
        <v>1.7222222222222221</v>
      </c>
      <c r="F709" s="104" t="s">
        <v>65</v>
      </c>
      <c r="G709" s="106">
        <v>9</v>
      </c>
      <c r="H709" s="107" t="s">
        <v>511</v>
      </c>
    </row>
    <row r="710" spans="1:8" ht="19.8" customHeight="1" x14ac:dyDescent="0.3">
      <c r="A710" s="112">
        <v>45991</v>
      </c>
      <c r="B710" s="104" t="s">
        <v>60</v>
      </c>
      <c r="C710" s="105" t="s">
        <v>402</v>
      </c>
      <c r="D710" s="104" t="s">
        <v>335</v>
      </c>
      <c r="E710" s="113">
        <v>1.118055555555556</v>
      </c>
      <c r="F710" s="104" t="s">
        <v>65</v>
      </c>
      <c r="G710" s="106">
        <v>9</v>
      </c>
      <c r="H710" s="107" t="s">
        <v>511</v>
      </c>
    </row>
    <row r="711" spans="1:8" ht="19.8" customHeight="1" x14ac:dyDescent="0.3">
      <c r="A711" s="112">
        <v>45991</v>
      </c>
      <c r="B711" s="104" t="s">
        <v>60</v>
      </c>
      <c r="C711" s="105" t="s">
        <v>445</v>
      </c>
      <c r="D711" s="104" t="s">
        <v>335</v>
      </c>
      <c r="E711" s="113">
        <v>1.9409722222222221</v>
      </c>
      <c r="F711" s="104" t="s">
        <v>65</v>
      </c>
      <c r="G711" s="106">
        <v>9</v>
      </c>
      <c r="H711" s="107" t="s">
        <v>511</v>
      </c>
    </row>
    <row r="712" spans="1:8" ht="19.8" customHeight="1" x14ac:dyDescent="0.3">
      <c r="A712" s="112">
        <v>45991</v>
      </c>
      <c r="B712" s="104" t="s">
        <v>41</v>
      </c>
      <c r="C712" s="105" t="s">
        <v>347</v>
      </c>
      <c r="D712" s="104" t="s">
        <v>335</v>
      </c>
      <c r="E712" s="113">
        <v>1.8888888888888891</v>
      </c>
      <c r="F712" s="104" t="s">
        <v>46</v>
      </c>
      <c r="G712" s="106">
        <v>15</v>
      </c>
      <c r="H712" s="107" t="s">
        <v>120</v>
      </c>
    </row>
    <row r="713" spans="1:8" ht="19.8" customHeight="1" x14ac:dyDescent="0.3">
      <c r="A713" s="112">
        <v>45991</v>
      </c>
      <c r="B713" s="104" t="s">
        <v>60</v>
      </c>
      <c r="C713" s="105" t="s">
        <v>397</v>
      </c>
      <c r="D713" s="104" t="s">
        <v>335</v>
      </c>
      <c r="E713" s="113">
        <v>1.399305555555556</v>
      </c>
      <c r="F713" s="104" t="s">
        <v>65</v>
      </c>
      <c r="G713" s="106">
        <v>4</v>
      </c>
      <c r="H713" s="107" t="s">
        <v>512</v>
      </c>
    </row>
    <row r="714" spans="1:8" ht="19.8" customHeight="1" x14ac:dyDescent="0.3">
      <c r="A714" s="112">
        <v>45991</v>
      </c>
      <c r="B714" s="104" t="s">
        <v>60</v>
      </c>
      <c r="C714" s="105" t="s">
        <v>395</v>
      </c>
      <c r="D714" s="104" t="s">
        <v>335</v>
      </c>
      <c r="E714" s="113">
        <v>1.989583333333333</v>
      </c>
      <c r="F714" s="104" t="s">
        <v>65</v>
      </c>
      <c r="G714" s="106">
        <v>4</v>
      </c>
      <c r="H714" s="107" t="s">
        <v>524</v>
      </c>
    </row>
    <row r="715" spans="1:8" ht="19.8" customHeight="1" x14ac:dyDescent="0.3">
      <c r="A715" s="112">
        <v>45991</v>
      </c>
      <c r="B715" s="104" t="s">
        <v>60</v>
      </c>
      <c r="C715" s="105" t="s">
        <v>398</v>
      </c>
      <c r="D715" s="104" t="s">
        <v>335</v>
      </c>
      <c r="E715" s="113">
        <v>1.489583333333333</v>
      </c>
      <c r="F715" s="104" t="s">
        <v>65</v>
      </c>
      <c r="G715" s="106">
        <v>4</v>
      </c>
      <c r="H715" s="107" t="s">
        <v>524</v>
      </c>
    </row>
    <row r="716" spans="1:8" ht="19.8" customHeight="1" x14ac:dyDescent="0.3">
      <c r="A716" s="112">
        <v>45991</v>
      </c>
      <c r="B716" s="104" t="s">
        <v>60</v>
      </c>
      <c r="C716" s="105" t="s">
        <v>399</v>
      </c>
      <c r="D716" s="104" t="s">
        <v>335</v>
      </c>
      <c r="E716" s="113">
        <v>1.8888888888888891</v>
      </c>
      <c r="F716" s="104" t="s">
        <v>65</v>
      </c>
      <c r="G716" s="106">
        <v>4</v>
      </c>
      <c r="H716" s="107" t="s">
        <v>524</v>
      </c>
    </row>
    <row r="717" spans="1:8" ht="19.8" customHeight="1" x14ac:dyDescent="0.3">
      <c r="A717" s="112">
        <v>45991</v>
      </c>
      <c r="B717" s="104" t="s">
        <v>60</v>
      </c>
      <c r="C717" s="105" t="s">
        <v>446</v>
      </c>
      <c r="D717" s="104" t="s">
        <v>335</v>
      </c>
      <c r="E717" s="113">
        <v>1.489583333333333</v>
      </c>
      <c r="F717" s="104" t="s">
        <v>65</v>
      </c>
      <c r="G717" s="106">
        <v>9</v>
      </c>
      <c r="H717" s="107" t="s">
        <v>401</v>
      </c>
    </row>
    <row r="718" spans="1:8" ht="19.8" customHeight="1" x14ac:dyDescent="0.3">
      <c r="A718" s="112">
        <v>45991</v>
      </c>
      <c r="B718" s="104" t="s">
        <v>60</v>
      </c>
      <c r="C718" s="105" t="s">
        <v>403</v>
      </c>
      <c r="D718" s="104" t="s">
        <v>335</v>
      </c>
      <c r="E718" s="113">
        <v>1.7013888888888891</v>
      </c>
      <c r="F718" s="104" t="s">
        <v>65</v>
      </c>
      <c r="G718" s="106">
        <v>6</v>
      </c>
      <c r="H718" s="107" t="s">
        <v>401</v>
      </c>
    </row>
    <row r="719" spans="1:8" ht="19.8" customHeight="1" x14ac:dyDescent="0.3">
      <c r="A719" s="112">
        <v>45991</v>
      </c>
      <c r="B719" s="104" t="s">
        <v>60</v>
      </c>
      <c r="C719" s="105" t="s">
        <v>393</v>
      </c>
      <c r="D719" s="104" t="s">
        <v>335</v>
      </c>
      <c r="E719" s="113">
        <v>1.2534722222222221</v>
      </c>
      <c r="F719" s="104" t="s">
        <v>65</v>
      </c>
      <c r="G719" s="106">
        <v>9</v>
      </c>
      <c r="H719" s="107" t="s">
        <v>401</v>
      </c>
    </row>
    <row r="720" spans="1:8" ht="19.8" customHeight="1" x14ac:dyDescent="0.3">
      <c r="A720" s="112">
        <v>45991</v>
      </c>
      <c r="B720" s="104" t="s">
        <v>48</v>
      </c>
      <c r="C720" s="105" t="s">
        <v>410</v>
      </c>
      <c r="D720" s="104" t="s">
        <v>335</v>
      </c>
      <c r="E720" s="113">
        <v>1.9722222222222221</v>
      </c>
      <c r="F720" s="104" t="s">
        <v>50</v>
      </c>
      <c r="G720" s="106">
        <v>2</v>
      </c>
      <c r="H720" s="107" t="s">
        <v>409</v>
      </c>
    </row>
    <row r="721" spans="1:8" ht="19.8" customHeight="1" x14ac:dyDescent="0.3">
      <c r="A721" s="112">
        <v>45991</v>
      </c>
      <c r="B721" s="104" t="s">
        <v>48</v>
      </c>
      <c r="C721" s="105" t="s">
        <v>412</v>
      </c>
      <c r="D721" s="104" t="s">
        <v>335</v>
      </c>
      <c r="E721" s="113">
        <v>1.600694444444444</v>
      </c>
      <c r="F721" s="104" t="s">
        <v>50</v>
      </c>
      <c r="G721" s="106">
        <v>9</v>
      </c>
      <c r="H721" s="107" t="s">
        <v>409</v>
      </c>
    </row>
    <row r="722" spans="1:8" ht="19.8" customHeight="1" x14ac:dyDescent="0.3">
      <c r="A722" s="112">
        <v>45991</v>
      </c>
      <c r="B722" s="104" t="s">
        <v>60</v>
      </c>
      <c r="C722" s="105" t="s">
        <v>444</v>
      </c>
      <c r="D722" s="104" t="s">
        <v>335</v>
      </c>
      <c r="E722" s="113">
        <v>1.041666666666667</v>
      </c>
      <c r="F722" s="104" t="s">
        <v>65</v>
      </c>
      <c r="G722" s="106">
        <v>7</v>
      </c>
      <c r="H722" s="107" t="s">
        <v>405</v>
      </c>
    </row>
    <row r="723" spans="1:8" ht="19.8" customHeight="1" x14ac:dyDescent="0.3">
      <c r="A723" s="126">
        <v>45991</v>
      </c>
      <c r="B723" s="109" t="s">
        <v>77</v>
      </c>
      <c r="C723" s="110" t="s">
        <v>375</v>
      </c>
      <c r="D723" s="109" t="s">
        <v>335</v>
      </c>
      <c r="E723" s="127">
        <v>1.1423611111111109</v>
      </c>
      <c r="F723" s="109" t="s">
        <v>79</v>
      </c>
      <c r="G723" s="109"/>
      <c r="H723" s="111" t="s">
        <v>80</v>
      </c>
    </row>
  </sheetData>
  <pageMargins left="0.75" right="0.75" top="1" bottom="1" header="0.5" footer="0.5"/>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9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14.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26</v>
      </c>
      <c r="C2" s="105" t="s">
        <v>354</v>
      </c>
      <c r="D2" s="104" t="s">
        <v>335</v>
      </c>
      <c r="E2" s="104" t="s">
        <v>751</v>
      </c>
      <c r="F2" s="104" t="s">
        <v>351</v>
      </c>
      <c r="G2" s="106">
        <v>2</v>
      </c>
      <c r="H2" s="107" t="s">
        <v>44</v>
      </c>
    </row>
    <row r="3" spans="1:8" ht="19.8" customHeight="1" x14ac:dyDescent="0.3">
      <c r="A3" s="103" t="s">
        <v>235</v>
      </c>
      <c r="B3" s="104" t="s">
        <v>26</v>
      </c>
      <c r="C3" s="105" t="s">
        <v>354</v>
      </c>
      <c r="D3" s="104" t="s">
        <v>335</v>
      </c>
      <c r="E3" s="104" t="s">
        <v>751</v>
      </c>
      <c r="F3" s="104" t="s">
        <v>28</v>
      </c>
      <c r="G3" s="106">
        <v>2</v>
      </c>
      <c r="H3" s="107" t="s">
        <v>44</v>
      </c>
    </row>
    <row r="4" spans="1:8" ht="19.8" customHeight="1" x14ac:dyDescent="0.3">
      <c r="A4" s="103" t="s">
        <v>235</v>
      </c>
      <c r="B4" s="104" t="s">
        <v>26</v>
      </c>
      <c r="C4" s="105" t="s">
        <v>356</v>
      </c>
      <c r="D4" s="104" t="s">
        <v>335</v>
      </c>
      <c r="E4" s="104" t="s">
        <v>752</v>
      </c>
      <c r="F4" s="104" t="s">
        <v>351</v>
      </c>
      <c r="G4" s="106">
        <v>1</v>
      </c>
      <c r="H4" s="107" t="s">
        <v>44</v>
      </c>
    </row>
    <row r="5" spans="1:8" ht="19.8" customHeight="1" x14ac:dyDescent="0.3">
      <c r="A5" s="103" t="s">
        <v>235</v>
      </c>
      <c r="B5" s="104" t="s">
        <v>26</v>
      </c>
      <c r="C5" s="105" t="s">
        <v>356</v>
      </c>
      <c r="D5" s="104" t="s">
        <v>335</v>
      </c>
      <c r="E5" s="104" t="s">
        <v>752</v>
      </c>
      <c r="F5" s="104" t="s">
        <v>28</v>
      </c>
      <c r="G5" s="106">
        <v>1</v>
      </c>
      <c r="H5" s="107" t="s">
        <v>44</v>
      </c>
    </row>
    <row r="6" spans="1:8" ht="19.8" customHeight="1" x14ac:dyDescent="0.3">
      <c r="A6" s="103" t="s">
        <v>235</v>
      </c>
      <c r="B6" s="104" t="s">
        <v>26</v>
      </c>
      <c r="C6" s="105" t="s">
        <v>357</v>
      </c>
      <c r="D6" s="104" t="s">
        <v>335</v>
      </c>
      <c r="E6" s="104" t="s">
        <v>753</v>
      </c>
      <c r="F6" s="104" t="s">
        <v>351</v>
      </c>
      <c r="G6" s="106">
        <v>3</v>
      </c>
      <c r="H6" s="107" t="s">
        <v>44</v>
      </c>
    </row>
    <row r="7" spans="1:8" ht="19.8" customHeight="1" x14ac:dyDescent="0.3">
      <c r="A7" s="103" t="s">
        <v>235</v>
      </c>
      <c r="B7" s="104" t="s">
        <v>26</v>
      </c>
      <c r="C7" s="105" t="s">
        <v>357</v>
      </c>
      <c r="D7" s="104" t="s">
        <v>335</v>
      </c>
      <c r="E7" s="104" t="s">
        <v>753</v>
      </c>
      <c r="F7" s="104" t="s">
        <v>28</v>
      </c>
      <c r="G7" s="106">
        <v>3</v>
      </c>
      <c r="H7" s="107" t="s">
        <v>44</v>
      </c>
    </row>
    <row r="8" spans="1:8" ht="19.8" customHeight="1" x14ac:dyDescent="0.3">
      <c r="A8" s="103" t="s">
        <v>235</v>
      </c>
      <c r="B8" s="104" t="s">
        <v>26</v>
      </c>
      <c r="C8" s="105" t="s">
        <v>358</v>
      </c>
      <c r="D8" s="104" t="s">
        <v>335</v>
      </c>
      <c r="E8" s="104" t="s">
        <v>748</v>
      </c>
      <c r="F8" s="104" t="s">
        <v>351</v>
      </c>
      <c r="G8" s="106">
        <v>5</v>
      </c>
      <c r="H8" s="107" t="s">
        <v>44</v>
      </c>
    </row>
    <row r="9" spans="1:8" ht="19.8" customHeight="1" x14ac:dyDescent="0.3">
      <c r="A9" s="103" t="s">
        <v>235</v>
      </c>
      <c r="B9" s="104" t="s">
        <v>26</v>
      </c>
      <c r="C9" s="105" t="s">
        <v>358</v>
      </c>
      <c r="D9" s="104" t="s">
        <v>335</v>
      </c>
      <c r="E9" s="104" t="s">
        <v>748</v>
      </c>
      <c r="F9" s="104" t="s">
        <v>28</v>
      </c>
      <c r="G9" s="106">
        <v>5</v>
      </c>
      <c r="H9" s="107" t="s">
        <v>44</v>
      </c>
    </row>
    <row r="10" spans="1:8" ht="19.8" customHeight="1" x14ac:dyDescent="0.3">
      <c r="A10" s="174" t="s">
        <v>235</v>
      </c>
      <c r="B10" s="121" t="s">
        <v>77</v>
      </c>
      <c r="C10" s="122" t="s">
        <v>361</v>
      </c>
      <c r="D10" s="121" t="s">
        <v>335</v>
      </c>
      <c r="E10" s="121" t="s">
        <v>595</v>
      </c>
      <c r="F10" s="121" t="s">
        <v>101</v>
      </c>
      <c r="G10" s="124">
        <v>2</v>
      </c>
      <c r="H10" s="125" t="s">
        <v>362</v>
      </c>
    </row>
    <row r="11" spans="1:8" ht="19.8" customHeight="1" x14ac:dyDescent="0.3">
      <c r="A11" s="120">
        <v>45981</v>
      </c>
      <c r="B11" s="121" t="s">
        <v>77</v>
      </c>
      <c r="C11" s="122" t="s">
        <v>365</v>
      </c>
      <c r="D11" s="121" t="s">
        <v>335</v>
      </c>
      <c r="E11" s="123">
        <v>1.1875</v>
      </c>
      <c r="F11" s="121" t="s">
        <v>101</v>
      </c>
      <c r="G11" s="124">
        <v>6</v>
      </c>
      <c r="H11" s="125" t="s">
        <v>366</v>
      </c>
    </row>
    <row r="12" spans="1:8" ht="19.8" customHeight="1" x14ac:dyDescent="0.3">
      <c r="A12" s="120">
        <v>45981</v>
      </c>
      <c r="B12" s="121" t="s">
        <v>77</v>
      </c>
      <c r="C12" s="122" t="s">
        <v>370</v>
      </c>
      <c r="D12" s="121" t="s">
        <v>335</v>
      </c>
      <c r="E12" s="123">
        <v>1.0659722222222221</v>
      </c>
      <c r="F12" s="121" t="s">
        <v>101</v>
      </c>
      <c r="G12" s="124">
        <v>5</v>
      </c>
      <c r="H12" s="125" t="s">
        <v>366</v>
      </c>
    </row>
    <row r="13" spans="1:8" ht="19.8" customHeight="1" x14ac:dyDescent="0.3">
      <c r="A13" s="120">
        <v>45981</v>
      </c>
      <c r="B13" s="121" t="s">
        <v>77</v>
      </c>
      <c r="C13" s="122" t="s">
        <v>374</v>
      </c>
      <c r="D13" s="121" t="s">
        <v>335</v>
      </c>
      <c r="E13" s="123">
        <v>1.15625</v>
      </c>
      <c r="F13" s="121" t="s">
        <v>101</v>
      </c>
      <c r="G13" s="124">
        <v>3</v>
      </c>
      <c r="H13" s="125" t="s">
        <v>366</v>
      </c>
    </row>
    <row r="14" spans="1:8" ht="19.8" customHeight="1" x14ac:dyDescent="0.3">
      <c r="A14" s="120">
        <v>45981</v>
      </c>
      <c r="B14" s="121" t="s">
        <v>77</v>
      </c>
      <c r="C14" s="122" t="s">
        <v>378</v>
      </c>
      <c r="D14" s="121" t="s">
        <v>335</v>
      </c>
      <c r="E14" s="123">
        <v>1.9375</v>
      </c>
      <c r="F14" s="121" t="s">
        <v>101</v>
      </c>
      <c r="G14" s="124">
        <v>9</v>
      </c>
      <c r="H14" s="125" t="s">
        <v>379</v>
      </c>
    </row>
    <row r="15" spans="1:8" ht="19.8" customHeight="1" x14ac:dyDescent="0.3">
      <c r="A15" s="112">
        <v>45981</v>
      </c>
      <c r="B15" s="104" t="s">
        <v>388</v>
      </c>
      <c r="C15" s="105" t="s">
        <v>389</v>
      </c>
      <c r="D15" s="104" t="s">
        <v>335</v>
      </c>
      <c r="E15" s="113">
        <v>1.1701388888888891</v>
      </c>
      <c r="F15" s="104" t="s">
        <v>390</v>
      </c>
      <c r="G15" s="106">
        <v>5</v>
      </c>
      <c r="H15" s="107" t="s">
        <v>391</v>
      </c>
    </row>
    <row r="16" spans="1:8" ht="19.8" customHeight="1" x14ac:dyDescent="0.3">
      <c r="A16" s="126">
        <v>45981</v>
      </c>
      <c r="B16" s="109" t="s">
        <v>77</v>
      </c>
      <c r="C16" s="110" t="s">
        <v>383</v>
      </c>
      <c r="D16" s="109" t="s">
        <v>335</v>
      </c>
      <c r="E16" s="127">
        <v>1.40625</v>
      </c>
      <c r="F16" s="109" t="s">
        <v>79</v>
      </c>
      <c r="G16" s="109"/>
      <c r="H16" s="111" t="s">
        <v>80</v>
      </c>
    </row>
    <row r="17" spans="1:8" ht="19.8" customHeight="1" x14ac:dyDescent="0.3">
      <c r="A17" s="120">
        <v>45982</v>
      </c>
      <c r="B17" s="121" t="s">
        <v>77</v>
      </c>
      <c r="C17" s="122" t="s">
        <v>361</v>
      </c>
      <c r="D17" s="121" t="s">
        <v>335</v>
      </c>
      <c r="E17" s="123">
        <v>1.4375</v>
      </c>
      <c r="F17" s="121" t="s">
        <v>101</v>
      </c>
      <c r="G17" s="124">
        <v>1</v>
      </c>
      <c r="H17" s="125" t="s">
        <v>416</v>
      </c>
    </row>
    <row r="18" spans="1:8" ht="19.8" customHeight="1" x14ac:dyDescent="0.3">
      <c r="A18" s="112">
        <v>45982</v>
      </c>
      <c r="B18" s="104" t="s">
        <v>26</v>
      </c>
      <c r="C18" s="105" t="s">
        <v>354</v>
      </c>
      <c r="D18" s="104" t="s">
        <v>335</v>
      </c>
      <c r="E18" s="113">
        <v>1.3472222222222221</v>
      </c>
      <c r="F18" s="104" t="s">
        <v>28</v>
      </c>
      <c r="G18" s="106">
        <v>7</v>
      </c>
      <c r="H18" s="107" t="s">
        <v>44</v>
      </c>
    </row>
    <row r="19" spans="1:8" ht="19.8" customHeight="1" x14ac:dyDescent="0.3">
      <c r="A19" s="112">
        <v>45982</v>
      </c>
      <c r="B19" s="104" t="s">
        <v>26</v>
      </c>
      <c r="C19" s="105" t="s">
        <v>350</v>
      </c>
      <c r="D19" s="104" t="s">
        <v>335</v>
      </c>
      <c r="E19" s="113">
        <v>1.993055555555556</v>
      </c>
      <c r="F19" s="104" t="s">
        <v>28</v>
      </c>
      <c r="G19" s="106">
        <v>4</v>
      </c>
      <c r="H19" s="107" t="s">
        <v>44</v>
      </c>
    </row>
    <row r="20" spans="1:8" ht="19.8" customHeight="1" x14ac:dyDescent="0.3">
      <c r="A20" s="112">
        <v>45982</v>
      </c>
      <c r="B20" s="104" t="s">
        <v>26</v>
      </c>
      <c r="C20" s="105" t="s">
        <v>359</v>
      </c>
      <c r="D20" s="104" t="s">
        <v>335</v>
      </c>
      <c r="E20" s="113">
        <v>1.7361111111111109</v>
      </c>
      <c r="F20" s="104" t="s">
        <v>28</v>
      </c>
      <c r="G20" s="106">
        <v>3</v>
      </c>
      <c r="H20" s="107" t="s">
        <v>44</v>
      </c>
    </row>
    <row r="21" spans="1:8" ht="19.8" customHeight="1" x14ac:dyDescent="0.3">
      <c r="A21" s="112">
        <v>45982</v>
      </c>
      <c r="B21" s="104" t="s">
        <v>26</v>
      </c>
      <c r="C21" s="105" t="s">
        <v>356</v>
      </c>
      <c r="D21" s="104" t="s">
        <v>335</v>
      </c>
      <c r="E21" s="113">
        <v>1.836805555555556</v>
      </c>
      <c r="F21" s="104" t="s">
        <v>28</v>
      </c>
      <c r="G21" s="106">
        <v>6</v>
      </c>
      <c r="H21" s="107" t="s">
        <v>44</v>
      </c>
    </row>
    <row r="22" spans="1:8" ht="19.8" customHeight="1" x14ac:dyDescent="0.3">
      <c r="A22" s="112">
        <v>45982</v>
      </c>
      <c r="B22" s="104" t="s">
        <v>26</v>
      </c>
      <c r="C22" s="105" t="s">
        <v>352</v>
      </c>
      <c r="D22" s="104" t="s">
        <v>335</v>
      </c>
      <c r="E22" s="113">
        <v>1.944444444444444</v>
      </c>
      <c r="F22" s="104" t="s">
        <v>28</v>
      </c>
      <c r="G22" s="106">
        <v>9</v>
      </c>
      <c r="H22" s="107" t="s">
        <v>44</v>
      </c>
    </row>
    <row r="23" spans="1:8" ht="19.8" customHeight="1" x14ac:dyDescent="0.3">
      <c r="A23" s="112">
        <v>45982</v>
      </c>
      <c r="B23" s="104" t="s">
        <v>26</v>
      </c>
      <c r="C23" s="105" t="s">
        <v>360</v>
      </c>
      <c r="D23" s="104" t="s">
        <v>335</v>
      </c>
      <c r="E23" s="113">
        <v>1.4861111111111109</v>
      </c>
      <c r="F23" s="104" t="s">
        <v>28</v>
      </c>
      <c r="G23" s="106">
        <v>9</v>
      </c>
      <c r="H23" s="107" t="s">
        <v>44</v>
      </c>
    </row>
    <row r="24" spans="1:8" ht="19.8" customHeight="1" x14ac:dyDescent="0.3">
      <c r="A24" s="120">
        <v>45982</v>
      </c>
      <c r="B24" s="121" t="s">
        <v>77</v>
      </c>
      <c r="C24" s="122" t="s">
        <v>374</v>
      </c>
      <c r="D24" s="121" t="s">
        <v>335</v>
      </c>
      <c r="E24" s="123">
        <v>1.1423611111111109</v>
      </c>
      <c r="F24" s="121" t="s">
        <v>101</v>
      </c>
      <c r="G24" s="124">
        <v>1</v>
      </c>
      <c r="H24" s="125" t="s">
        <v>362</v>
      </c>
    </row>
    <row r="25" spans="1:8" ht="19.8" customHeight="1" x14ac:dyDescent="0.3">
      <c r="A25" s="120">
        <v>45982</v>
      </c>
      <c r="B25" s="121" t="s">
        <v>77</v>
      </c>
      <c r="C25" s="122" t="s">
        <v>419</v>
      </c>
      <c r="D25" s="121" t="s">
        <v>335</v>
      </c>
      <c r="E25" s="123">
        <v>1.760416666666667</v>
      </c>
      <c r="F25" s="121" t="s">
        <v>101</v>
      </c>
      <c r="G25" s="124">
        <v>9</v>
      </c>
      <c r="H25" s="125" t="s">
        <v>420</v>
      </c>
    </row>
    <row r="26" spans="1:8" ht="19.8" customHeight="1" x14ac:dyDescent="0.3">
      <c r="A26" s="120">
        <v>45982</v>
      </c>
      <c r="B26" s="121" t="s">
        <v>77</v>
      </c>
      <c r="C26" s="122" t="s">
        <v>424</v>
      </c>
      <c r="D26" s="121" t="s">
        <v>335</v>
      </c>
      <c r="E26" s="123">
        <v>1.28125</v>
      </c>
      <c r="F26" s="121" t="s">
        <v>101</v>
      </c>
      <c r="G26" s="124">
        <v>5</v>
      </c>
      <c r="H26" s="125" t="s">
        <v>420</v>
      </c>
    </row>
    <row r="27" spans="1:8" ht="19.8" customHeight="1" x14ac:dyDescent="0.3">
      <c r="A27" s="112">
        <v>45982</v>
      </c>
      <c r="B27" s="104" t="s">
        <v>41</v>
      </c>
      <c r="C27" s="105" t="s">
        <v>340</v>
      </c>
      <c r="D27" s="104" t="s">
        <v>335</v>
      </c>
      <c r="E27" s="113">
        <v>1.399305555555556</v>
      </c>
      <c r="F27" s="104" t="s">
        <v>45</v>
      </c>
      <c r="G27" s="106">
        <v>16</v>
      </c>
      <c r="H27" s="107" t="s">
        <v>143</v>
      </c>
    </row>
    <row r="28" spans="1:8" ht="19.8" customHeight="1" x14ac:dyDescent="0.3">
      <c r="A28" s="112">
        <v>45982</v>
      </c>
      <c r="B28" s="104" t="s">
        <v>41</v>
      </c>
      <c r="C28" s="105" t="s">
        <v>344</v>
      </c>
      <c r="D28" s="104" t="s">
        <v>335</v>
      </c>
      <c r="E28" s="113">
        <v>1.489583333333333</v>
      </c>
      <c r="F28" s="104" t="s">
        <v>45</v>
      </c>
      <c r="G28" s="106">
        <v>14</v>
      </c>
      <c r="H28" s="107" t="s">
        <v>143</v>
      </c>
    </row>
    <row r="29" spans="1:8" ht="19.8" customHeight="1" x14ac:dyDescent="0.3">
      <c r="A29" s="112">
        <v>45982</v>
      </c>
      <c r="B29" s="104" t="s">
        <v>41</v>
      </c>
      <c r="C29" s="105" t="s">
        <v>347</v>
      </c>
      <c r="D29" s="104" t="s">
        <v>335</v>
      </c>
      <c r="E29" s="113">
        <v>1.8888888888888891</v>
      </c>
      <c r="F29" s="104" t="s">
        <v>45</v>
      </c>
      <c r="G29" s="106">
        <v>16</v>
      </c>
      <c r="H29" s="107" t="s">
        <v>143</v>
      </c>
    </row>
    <row r="30" spans="1:8" ht="19.8" customHeight="1" x14ac:dyDescent="0.3">
      <c r="A30" s="112">
        <v>45982</v>
      </c>
      <c r="B30" s="104" t="s">
        <v>41</v>
      </c>
      <c r="C30" s="105" t="s">
        <v>336</v>
      </c>
      <c r="D30" s="104" t="s">
        <v>335</v>
      </c>
      <c r="E30" s="113">
        <v>1.989583333333333</v>
      </c>
      <c r="F30" s="104" t="s">
        <v>45</v>
      </c>
      <c r="G30" s="106">
        <v>14</v>
      </c>
      <c r="H30" s="107" t="s">
        <v>143</v>
      </c>
    </row>
    <row r="31" spans="1:8" ht="19.8" customHeight="1" x14ac:dyDescent="0.3">
      <c r="A31" s="126">
        <v>45982</v>
      </c>
      <c r="B31" s="109" t="s">
        <v>77</v>
      </c>
      <c r="C31" s="110" t="s">
        <v>427</v>
      </c>
      <c r="D31" s="109" t="s">
        <v>335</v>
      </c>
      <c r="E31" s="127">
        <v>1.5590277777777779</v>
      </c>
      <c r="F31" s="109" t="s">
        <v>101</v>
      </c>
      <c r="G31" s="128">
        <v>9</v>
      </c>
      <c r="H31" s="111" t="s">
        <v>366</v>
      </c>
    </row>
    <row r="32" spans="1:8" ht="19.8" customHeight="1" x14ac:dyDescent="0.3">
      <c r="A32" s="120">
        <v>45983</v>
      </c>
      <c r="B32" s="121" t="s">
        <v>77</v>
      </c>
      <c r="C32" s="122" t="s">
        <v>370</v>
      </c>
      <c r="D32" s="121" t="s">
        <v>335</v>
      </c>
      <c r="E32" s="123">
        <v>1.0486111111111109</v>
      </c>
      <c r="F32" s="121" t="s">
        <v>101</v>
      </c>
      <c r="G32" s="124">
        <v>1</v>
      </c>
      <c r="H32" s="125" t="s">
        <v>93</v>
      </c>
    </row>
    <row r="33" spans="1:8" ht="19.8" customHeight="1" x14ac:dyDescent="0.3">
      <c r="A33" s="120">
        <v>45983</v>
      </c>
      <c r="B33" s="121" t="s">
        <v>77</v>
      </c>
      <c r="C33" s="122" t="s">
        <v>378</v>
      </c>
      <c r="D33" s="121" t="s">
        <v>335</v>
      </c>
      <c r="E33" s="123">
        <v>1.90625</v>
      </c>
      <c r="F33" s="121" t="s">
        <v>101</v>
      </c>
      <c r="G33" s="124">
        <v>4</v>
      </c>
      <c r="H33" s="125" t="s">
        <v>420</v>
      </c>
    </row>
    <row r="34" spans="1:8" ht="19.8" customHeight="1" x14ac:dyDescent="0.3">
      <c r="A34" s="120">
        <v>45983</v>
      </c>
      <c r="B34" s="121" t="s">
        <v>77</v>
      </c>
      <c r="C34" s="122" t="s">
        <v>374</v>
      </c>
      <c r="D34" s="121" t="s">
        <v>335</v>
      </c>
      <c r="E34" s="123">
        <v>1.15625</v>
      </c>
      <c r="F34" s="121" t="s">
        <v>101</v>
      </c>
      <c r="G34" s="124">
        <v>2</v>
      </c>
      <c r="H34" s="125" t="s">
        <v>420</v>
      </c>
    </row>
    <row r="35" spans="1:8" ht="19.8" customHeight="1" x14ac:dyDescent="0.3">
      <c r="A35" s="126">
        <v>45983</v>
      </c>
      <c r="B35" s="109" t="s">
        <v>77</v>
      </c>
      <c r="C35" s="110" t="s">
        <v>383</v>
      </c>
      <c r="D35" s="109" t="s">
        <v>335</v>
      </c>
      <c r="E35" s="127">
        <v>1.5034722222222221</v>
      </c>
      <c r="F35" s="109" t="s">
        <v>79</v>
      </c>
      <c r="G35" s="109"/>
      <c r="H35" s="111" t="s">
        <v>80</v>
      </c>
    </row>
    <row r="36" spans="1:8" ht="19.8" customHeight="1" x14ac:dyDescent="0.3">
      <c r="A36" s="120">
        <v>45984</v>
      </c>
      <c r="B36" s="121" t="s">
        <v>77</v>
      </c>
      <c r="C36" s="122" t="s">
        <v>374</v>
      </c>
      <c r="D36" s="121" t="s">
        <v>335</v>
      </c>
      <c r="E36" s="123">
        <v>1.1423611111111109</v>
      </c>
      <c r="F36" s="121" t="s">
        <v>101</v>
      </c>
      <c r="G36" s="124">
        <v>5</v>
      </c>
      <c r="H36" s="125" t="s">
        <v>420</v>
      </c>
    </row>
    <row r="37" spans="1:8" ht="19.8" customHeight="1" x14ac:dyDescent="0.3">
      <c r="A37" s="120">
        <v>45984</v>
      </c>
      <c r="B37" s="121" t="s">
        <v>77</v>
      </c>
      <c r="C37" s="122" t="s">
        <v>361</v>
      </c>
      <c r="D37" s="121" t="s">
        <v>335</v>
      </c>
      <c r="E37" s="123">
        <v>1.8298611111111109</v>
      </c>
      <c r="F37" s="121" t="s">
        <v>101</v>
      </c>
      <c r="G37" s="124">
        <v>8</v>
      </c>
      <c r="H37" s="125" t="s">
        <v>379</v>
      </c>
    </row>
    <row r="38" spans="1:8" ht="19.8" customHeight="1" x14ac:dyDescent="0.3">
      <c r="A38" s="120">
        <v>45984</v>
      </c>
      <c r="B38" s="121" t="s">
        <v>77</v>
      </c>
      <c r="C38" s="122" t="s">
        <v>367</v>
      </c>
      <c r="D38" s="121" t="s">
        <v>335</v>
      </c>
      <c r="E38" s="123">
        <v>1.15625</v>
      </c>
      <c r="F38" s="121" t="s">
        <v>79</v>
      </c>
      <c r="G38" s="121"/>
      <c r="H38" s="125" t="s">
        <v>80</v>
      </c>
    </row>
    <row r="39" spans="1:8" ht="19.8" customHeight="1" x14ac:dyDescent="0.3">
      <c r="A39" s="120">
        <v>45984</v>
      </c>
      <c r="B39" s="121" t="s">
        <v>77</v>
      </c>
      <c r="C39" s="122" t="s">
        <v>421</v>
      </c>
      <c r="D39" s="121" t="s">
        <v>335</v>
      </c>
      <c r="E39" s="123">
        <v>1.333333333333333</v>
      </c>
      <c r="F39" s="121" t="s">
        <v>79</v>
      </c>
      <c r="G39" s="121"/>
      <c r="H39" s="125" t="s">
        <v>80</v>
      </c>
    </row>
    <row r="40" spans="1:8" ht="19.8" customHeight="1" x14ac:dyDescent="0.3">
      <c r="A40" s="126">
        <v>45984</v>
      </c>
      <c r="B40" s="109" t="s">
        <v>77</v>
      </c>
      <c r="C40" s="110" t="s">
        <v>383</v>
      </c>
      <c r="D40" s="109" t="s">
        <v>335</v>
      </c>
      <c r="E40" s="127">
        <v>1.4548611111111109</v>
      </c>
      <c r="F40" s="109" t="s">
        <v>79</v>
      </c>
      <c r="G40" s="109"/>
      <c r="H40" s="111" t="s">
        <v>80</v>
      </c>
    </row>
    <row r="41" spans="1:8" ht="19.8" customHeight="1" x14ac:dyDescent="0.3">
      <c r="A41" s="112">
        <v>45985</v>
      </c>
      <c r="B41" s="104" t="s">
        <v>41</v>
      </c>
      <c r="C41" s="105" t="s">
        <v>340</v>
      </c>
      <c r="D41" s="104" t="s">
        <v>335</v>
      </c>
      <c r="E41" s="113">
        <v>1.399305555555556</v>
      </c>
      <c r="F41" s="104" t="s">
        <v>45</v>
      </c>
      <c r="G41" s="106">
        <v>6</v>
      </c>
      <c r="H41" s="107" t="s">
        <v>143</v>
      </c>
    </row>
    <row r="42" spans="1:8" ht="19.8" customHeight="1" x14ac:dyDescent="0.3">
      <c r="A42" s="112">
        <v>45985</v>
      </c>
      <c r="B42" s="104" t="s">
        <v>41</v>
      </c>
      <c r="C42" s="105" t="s">
        <v>344</v>
      </c>
      <c r="D42" s="104" t="s">
        <v>335</v>
      </c>
      <c r="E42" s="113">
        <v>1.489583333333333</v>
      </c>
      <c r="F42" s="104" t="s">
        <v>45</v>
      </c>
      <c r="G42" s="106">
        <v>4</v>
      </c>
      <c r="H42" s="107" t="s">
        <v>143</v>
      </c>
    </row>
    <row r="43" spans="1:8" ht="19.8" customHeight="1" x14ac:dyDescent="0.3">
      <c r="A43" s="112">
        <v>45985</v>
      </c>
      <c r="B43" s="104" t="s">
        <v>41</v>
      </c>
      <c r="C43" s="105" t="s">
        <v>347</v>
      </c>
      <c r="D43" s="104" t="s">
        <v>335</v>
      </c>
      <c r="E43" s="113">
        <v>1.8888888888888891</v>
      </c>
      <c r="F43" s="104" t="s">
        <v>45</v>
      </c>
      <c r="G43" s="106">
        <v>3</v>
      </c>
      <c r="H43" s="107" t="s">
        <v>143</v>
      </c>
    </row>
    <row r="44" spans="1:8" ht="19.8" customHeight="1" x14ac:dyDescent="0.3">
      <c r="A44" s="112">
        <v>45985</v>
      </c>
      <c r="B44" s="104" t="s">
        <v>41</v>
      </c>
      <c r="C44" s="105" t="s">
        <v>336</v>
      </c>
      <c r="D44" s="104" t="s">
        <v>335</v>
      </c>
      <c r="E44" s="113">
        <v>1.989583333333333</v>
      </c>
      <c r="F44" s="104" t="s">
        <v>45</v>
      </c>
      <c r="G44" s="106">
        <v>9</v>
      </c>
      <c r="H44" s="107" t="s">
        <v>143</v>
      </c>
    </row>
    <row r="45" spans="1:8" ht="19.8" customHeight="1" x14ac:dyDescent="0.3">
      <c r="A45" s="112">
        <v>45985</v>
      </c>
      <c r="B45" s="104" t="s">
        <v>388</v>
      </c>
      <c r="C45" s="105" t="s">
        <v>389</v>
      </c>
      <c r="D45" s="104" t="s">
        <v>335</v>
      </c>
      <c r="E45" s="113">
        <v>1.225694444444444</v>
      </c>
      <c r="F45" s="104" t="s">
        <v>390</v>
      </c>
      <c r="G45" s="106">
        <v>2</v>
      </c>
      <c r="H45" s="107" t="s">
        <v>484</v>
      </c>
    </row>
    <row r="46" spans="1:8" ht="19.8" customHeight="1" x14ac:dyDescent="0.3">
      <c r="A46" s="120">
        <v>45985</v>
      </c>
      <c r="B46" s="121" t="s">
        <v>77</v>
      </c>
      <c r="C46" s="122" t="s">
        <v>419</v>
      </c>
      <c r="D46" s="121" t="s">
        <v>335</v>
      </c>
      <c r="E46" s="123">
        <v>1.802083333333333</v>
      </c>
      <c r="F46" s="121" t="s">
        <v>101</v>
      </c>
      <c r="G46" s="124">
        <v>8</v>
      </c>
      <c r="H46" s="125" t="s">
        <v>366</v>
      </c>
    </row>
    <row r="47" spans="1:8" ht="19.8" customHeight="1" x14ac:dyDescent="0.3">
      <c r="A47" s="120">
        <v>45985</v>
      </c>
      <c r="B47" s="121" t="s">
        <v>77</v>
      </c>
      <c r="C47" s="122" t="s">
        <v>375</v>
      </c>
      <c r="D47" s="121" t="s">
        <v>335</v>
      </c>
      <c r="E47" s="123">
        <v>1.2465277777777779</v>
      </c>
      <c r="F47" s="121" t="s">
        <v>79</v>
      </c>
      <c r="G47" s="121"/>
      <c r="H47" s="125" t="s">
        <v>80</v>
      </c>
    </row>
    <row r="48" spans="1:8" ht="19.8" customHeight="1" x14ac:dyDescent="0.3">
      <c r="A48" s="126">
        <v>45985</v>
      </c>
      <c r="B48" s="109" t="s">
        <v>77</v>
      </c>
      <c r="C48" s="110" t="s">
        <v>383</v>
      </c>
      <c r="D48" s="109" t="s">
        <v>335</v>
      </c>
      <c r="E48" s="127">
        <v>1.4375</v>
      </c>
      <c r="F48" s="109" t="s">
        <v>79</v>
      </c>
      <c r="G48" s="109"/>
      <c r="H48" s="111" t="s">
        <v>80</v>
      </c>
    </row>
    <row r="49" spans="1:8" ht="19.8" customHeight="1" x14ac:dyDescent="0.3">
      <c r="A49" s="112">
        <v>45986</v>
      </c>
      <c r="B49" s="104" t="s">
        <v>388</v>
      </c>
      <c r="C49" s="105" t="s">
        <v>462</v>
      </c>
      <c r="D49" s="104" t="s">
        <v>335</v>
      </c>
      <c r="E49" s="113">
        <v>1.055555555555556</v>
      </c>
      <c r="F49" s="104" t="s">
        <v>390</v>
      </c>
      <c r="G49" s="106">
        <v>9</v>
      </c>
      <c r="H49" s="107" t="s">
        <v>484</v>
      </c>
    </row>
    <row r="50" spans="1:8" ht="19.8" customHeight="1" x14ac:dyDescent="0.3">
      <c r="A50" s="120">
        <v>45986</v>
      </c>
      <c r="B50" s="121" t="s">
        <v>77</v>
      </c>
      <c r="C50" s="122" t="s">
        <v>427</v>
      </c>
      <c r="D50" s="121" t="s">
        <v>335</v>
      </c>
      <c r="E50" s="123">
        <v>1.052083333333333</v>
      </c>
      <c r="F50" s="121" t="s">
        <v>101</v>
      </c>
      <c r="G50" s="124">
        <v>9</v>
      </c>
      <c r="H50" s="125" t="s">
        <v>366</v>
      </c>
    </row>
    <row r="51" spans="1:8" ht="19.8" customHeight="1" x14ac:dyDescent="0.3">
      <c r="A51" s="120">
        <v>45986</v>
      </c>
      <c r="B51" s="121" t="s">
        <v>77</v>
      </c>
      <c r="C51" s="122" t="s">
        <v>374</v>
      </c>
      <c r="D51" s="121" t="s">
        <v>335</v>
      </c>
      <c r="E51" s="123">
        <v>1.791666666666667</v>
      </c>
      <c r="F51" s="121" t="s">
        <v>101</v>
      </c>
      <c r="G51" s="124">
        <v>6</v>
      </c>
      <c r="H51" s="125" t="s">
        <v>379</v>
      </c>
    </row>
    <row r="52" spans="1:8" ht="19.8" customHeight="1" x14ac:dyDescent="0.3">
      <c r="A52" s="120">
        <v>45986</v>
      </c>
      <c r="B52" s="121" t="s">
        <v>77</v>
      </c>
      <c r="C52" s="122" t="s">
        <v>363</v>
      </c>
      <c r="D52" s="121" t="s">
        <v>335</v>
      </c>
      <c r="E52" s="123">
        <v>1.381944444444444</v>
      </c>
      <c r="F52" s="121" t="s">
        <v>79</v>
      </c>
      <c r="G52" s="121"/>
      <c r="H52" s="125" t="s">
        <v>80</v>
      </c>
    </row>
    <row r="53" spans="1:8" ht="19.8" customHeight="1" x14ac:dyDescent="0.3">
      <c r="A53" s="120">
        <v>45986</v>
      </c>
      <c r="B53" s="121" t="s">
        <v>77</v>
      </c>
      <c r="C53" s="122" t="s">
        <v>383</v>
      </c>
      <c r="D53" s="121" t="s">
        <v>335</v>
      </c>
      <c r="E53" s="123">
        <v>1.4375</v>
      </c>
      <c r="F53" s="121" t="s">
        <v>79</v>
      </c>
      <c r="G53" s="121"/>
      <c r="H53" s="125" t="s">
        <v>80</v>
      </c>
    </row>
    <row r="54" spans="1:8" ht="19.8" customHeight="1" x14ac:dyDescent="0.3">
      <c r="A54" s="120">
        <v>45986</v>
      </c>
      <c r="B54" s="121" t="s">
        <v>77</v>
      </c>
      <c r="C54" s="122" t="s">
        <v>421</v>
      </c>
      <c r="D54" s="121" t="s">
        <v>335</v>
      </c>
      <c r="E54" s="123">
        <v>1.552083333333333</v>
      </c>
      <c r="F54" s="121" t="s">
        <v>79</v>
      </c>
      <c r="G54" s="121"/>
      <c r="H54" s="125" t="s">
        <v>80</v>
      </c>
    </row>
    <row r="55" spans="1:8" ht="19.8" customHeight="1" x14ac:dyDescent="0.3">
      <c r="A55" s="126">
        <v>45986</v>
      </c>
      <c r="B55" s="109" t="s">
        <v>77</v>
      </c>
      <c r="C55" s="110" t="s">
        <v>380</v>
      </c>
      <c r="D55" s="109" t="s">
        <v>335</v>
      </c>
      <c r="E55" s="127">
        <v>1.756944444444444</v>
      </c>
      <c r="F55" s="109" t="s">
        <v>79</v>
      </c>
      <c r="G55" s="109"/>
      <c r="H55" s="111" t="s">
        <v>80</v>
      </c>
    </row>
    <row r="56" spans="1:8" ht="19.8" customHeight="1" x14ac:dyDescent="0.3">
      <c r="A56" s="120">
        <v>45987</v>
      </c>
      <c r="B56" s="121" t="s">
        <v>77</v>
      </c>
      <c r="C56" s="122" t="s">
        <v>374</v>
      </c>
      <c r="D56" s="121" t="s">
        <v>335</v>
      </c>
      <c r="E56" s="123">
        <v>1.3402777777777779</v>
      </c>
      <c r="F56" s="121" t="s">
        <v>101</v>
      </c>
      <c r="G56" s="124">
        <v>1</v>
      </c>
      <c r="H56" s="125" t="s">
        <v>362</v>
      </c>
    </row>
    <row r="57" spans="1:8" ht="19.8" customHeight="1" x14ac:dyDescent="0.3">
      <c r="A57" s="120">
        <v>45987</v>
      </c>
      <c r="B57" s="121" t="s">
        <v>77</v>
      </c>
      <c r="C57" s="122" t="s">
        <v>427</v>
      </c>
      <c r="D57" s="121" t="s">
        <v>335</v>
      </c>
      <c r="E57" s="123">
        <v>1.9375</v>
      </c>
      <c r="F57" s="121" t="s">
        <v>101</v>
      </c>
      <c r="G57" s="124">
        <v>9</v>
      </c>
      <c r="H57" s="125" t="s">
        <v>379</v>
      </c>
    </row>
    <row r="58" spans="1:8" ht="19.8" customHeight="1" x14ac:dyDescent="0.3">
      <c r="A58" s="120">
        <v>45987</v>
      </c>
      <c r="B58" s="121" t="s">
        <v>77</v>
      </c>
      <c r="C58" s="122" t="s">
        <v>380</v>
      </c>
      <c r="D58" s="121" t="s">
        <v>335</v>
      </c>
      <c r="E58" s="123">
        <v>1.2326388888888891</v>
      </c>
      <c r="F58" s="121" t="s">
        <v>79</v>
      </c>
      <c r="G58" s="121"/>
      <c r="H58" s="125" t="s">
        <v>80</v>
      </c>
    </row>
    <row r="59" spans="1:8" ht="19.8" customHeight="1" x14ac:dyDescent="0.3">
      <c r="A59" s="120">
        <v>45987</v>
      </c>
      <c r="B59" s="121" t="s">
        <v>77</v>
      </c>
      <c r="C59" s="122" t="s">
        <v>421</v>
      </c>
      <c r="D59" s="121" t="s">
        <v>335</v>
      </c>
      <c r="E59" s="123">
        <v>1.34375</v>
      </c>
      <c r="F59" s="121" t="s">
        <v>79</v>
      </c>
      <c r="G59" s="121"/>
      <c r="H59" s="125" t="s">
        <v>80</v>
      </c>
    </row>
    <row r="60" spans="1:8" ht="19.8" customHeight="1" x14ac:dyDescent="0.3">
      <c r="A60" s="126">
        <v>45987</v>
      </c>
      <c r="B60" s="109" t="s">
        <v>77</v>
      </c>
      <c r="C60" s="110" t="s">
        <v>383</v>
      </c>
      <c r="D60" s="109" t="s">
        <v>335</v>
      </c>
      <c r="E60" s="127">
        <v>1.4375</v>
      </c>
      <c r="F60" s="109" t="s">
        <v>79</v>
      </c>
      <c r="G60" s="109"/>
      <c r="H60" s="111" t="s">
        <v>80</v>
      </c>
    </row>
    <row r="61" spans="1:8" ht="19.8" customHeight="1" x14ac:dyDescent="0.3">
      <c r="A61" s="120">
        <v>45988</v>
      </c>
      <c r="B61" s="121" t="s">
        <v>77</v>
      </c>
      <c r="C61" s="122" t="s">
        <v>365</v>
      </c>
      <c r="D61" s="121" t="s">
        <v>335</v>
      </c>
      <c r="E61" s="123">
        <v>1.1875</v>
      </c>
      <c r="F61" s="121" t="s">
        <v>101</v>
      </c>
      <c r="G61" s="124">
        <v>1</v>
      </c>
      <c r="H61" s="125" t="s">
        <v>379</v>
      </c>
    </row>
    <row r="62" spans="1:8" ht="19.8" customHeight="1" x14ac:dyDescent="0.3">
      <c r="A62" s="120">
        <v>45988</v>
      </c>
      <c r="B62" s="121" t="s">
        <v>77</v>
      </c>
      <c r="C62" s="122" t="s">
        <v>370</v>
      </c>
      <c r="D62" s="121" t="s">
        <v>335</v>
      </c>
      <c r="E62" s="123">
        <v>1.0659722222222221</v>
      </c>
      <c r="F62" s="121" t="s">
        <v>101</v>
      </c>
      <c r="G62" s="124">
        <v>6</v>
      </c>
      <c r="H62" s="125" t="s">
        <v>379</v>
      </c>
    </row>
    <row r="63" spans="1:8" ht="19.8" customHeight="1" x14ac:dyDescent="0.3">
      <c r="A63" s="120">
        <v>45988</v>
      </c>
      <c r="B63" s="121" t="s">
        <v>77</v>
      </c>
      <c r="C63" s="122" t="s">
        <v>374</v>
      </c>
      <c r="D63" s="121" t="s">
        <v>335</v>
      </c>
      <c r="E63" s="123">
        <v>1.15625</v>
      </c>
      <c r="F63" s="121" t="s">
        <v>101</v>
      </c>
      <c r="G63" s="124">
        <v>5</v>
      </c>
      <c r="H63" s="125" t="s">
        <v>379</v>
      </c>
    </row>
    <row r="64" spans="1:8" ht="19.8" customHeight="1" x14ac:dyDescent="0.3">
      <c r="A64" s="112">
        <v>45988</v>
      </c>
      <c r="B64" s="104" t="s">
        <v>385</v>
      </c>
      <c r="C64" s="105" t="s">
        <v>386</v>
      </c>
      <c r="D64" s="104" t="s">
        <v>335</v>
      </c>
      <c r="E64" s="113">
        <v>1.493055555555556</v>
      </c>
      <c r="F64" s="104" t="s">
        <v>101</v>
      </c>
      <c r="G64" s="106">
        <v>9</v>
      </c>
      <c r="H64" s="107" t="s">
        <v>521</v>
      </c>
    </row>
    <row r="65" spans="1:8" ht="19.8" customHeight="1" x14ac:dyDescent="0.3">
      <c r="A65" s="120">
        <v>45988</v>
      </c>
      <c r="B65" s="121" t="s">
        <v>77</v>
      </c>
      <c r="C65" s="122" t="s">
        <v>378</v>
      </c>
      <c r="D65" s="121" t="s">
        <v>335</v>
      </c>
      <c r="E65" s="123">
        <v>1.9375</v>
      </c>
      <c r="F65" s="121" t="s">
        <v>101</v>
      </c>
      <c r="G65" s="124">
        <v>1</v>
      </c>
      <c r="H65" s="125" t="s">
        <v>517</v>
      </c>
    </row>
    <row r="66" spans="1:8" ht="19.8" customHeight="1" x14ac:dyDescent="0.3">
      <c r="A66" s="120">
        <v>45988</v>
      </c>
      <c r="B66" s="121" t="s">
        <v>77</v>
      </c>
      <c r="C66" s="122" t="s">
        <v>383</v>
      </c>
      <c r="D66" s="121" t="s">
        <v>335</v>
      </c>
      <c r="E66" s="123">
        <v>1.40625</v>
      </c>
      <c r="F66" s="121" t="s">
        <v>79</v>
      </c>
      <c r="G66" s="121"/>
      <c r="H66" s="125" t="s">
        <v>80</v>
      </c>
    </row>
    <row r="67" spans="1:8" ht="19.8" customHeight="1" x14ac:dyDescent="0.3">
      <c r="A67" s="126">
        <v>45988</v>
      </c>
      <c r="B67" s="109" t="s">
        <v>77</v>
      </c>
      <c r="C67" s="110" t="s">
        <v>363</v>
      </c>
      <c r="D67" s="109" t="s">
        <v>335</v>
      </c>
      <c r="E67" s="127">
        <v>1.5625</v>
      </c>
      <c r="F67" s="109" t="s">
        <v>79</v>
      </c>
      <c r="G67" s="109"/>
      <c r="H67" s="111" t="s">
        <v>80</v>
      </c>
    </row>
    <row r="68" spans="1:8" ht="19.8" customHeight="1" x14ac:dyDescent="0.3">
      <c r="A68" s="120">
        <v>45989</v>
      </c>
      <c r="B68" s="121" t="s">
        <v>77</v>
      </c>
      <c r="C68" s="122" t="s">
        <v>374</v>
      </c>
      <c r="D68" s="121" t="s">
        <v>335</v>
      </c>
      <c r="E68" s="123">
        <v>1.1423611111111109</v>
      </c>
      <c r="F68" s="121" t="s">
        <v>101</v>
      </c>
      <c r="G68" s="124">
        <v>1</v>
      </c>
      <c r="H68" s="125" t="s">
        <v>517</v>
      </c>
    </row>
    <row r="69" spans="1:8" ht="19.8" customHeight="1" x14ac:dyDescent="0.3">
      <c r="A69" s="120">
        <v>45989</v>
      </c>
      <c r="B69" s="121" t="s">
        <v>77</v>
      </c>
      <c r="C69" s="122" t="s">
        <v>424</v>
      </c>
      <c r="D69" s="121" t="s">
        <v>335</v>
      </c>
      <c r="E69" s="123">
        <v>1.28125</v>
      </c>
      <c r="F69" s="121" t="s">
        <v>101</v>
      </c>
      <c r="G69" s="124">
        <v>5</v>
      </c>
      <c r="H69" s="125" t="s">
        <v>517</v>
      </c>
    </row>
    <row r="70" spans="1:8" ht="19.8" customHeight="1" x14ac:dyDescent="0.3">
      <c r="A70" s="112">
        <v>45989</v>
      </c>
      <c r="B70" s="104" t="s">
        <v>41</v>
      </c>
      <c r="C70" s="105" t="s">
        <v>344</v>
      </c>
      <c r="D70" s="104" t="s">
        <v>335</v>
      </c>
      <c r="E70" s="113">
        <v>1.489583333333333</v>
      </c>
      <c r="F70" s="104" t="s">
        <v>45</v>
      </c>
      <c r="G70" s="106">
        <v>4</v>
      </c>
      <c r="H70" s="107" t="s">
        <v>532</v>
      </c>
    </row>
    <row r="71" spans="1:8" ht="19.8" customHeight="1" x14ac:dyDescent="0.3">
      <c r="A71" s="112">
        <v>45989</v>
      </c>
      <c r="B71" s="104" t="s">
        <v>26</v>
      </c>
      <c r="C71" s="105" t="s">
        <v>354</v>
      </c>
      <c r="D71" s="104" t="s">
        <v>335</v>
      </c>
      <c r="E71" s="113">
        <v>1.3472222222222221</v>
      </c>
      <c r="F71" s="104" t="s">
        <v>31</v>
      </c>
      <c r="G71" s="106">
        <v>9</v>
      </c>
      <c r="H71" s="107" t="s">
        <v>532</v>
      </c>
    </row>
    <row r="72" spans="1:8" ht="19.8" customHeight="1" x14ac:dyDescent="0.3">
      <c r="A72" s="112">
        <v>45989</v>
      </c>
      <c r="B72" s="104" t="s">
        <v>26</v>
      </c>
      <c r="C72" s="105" t="s">
        <v>350</v>
      </c>
      <c r="D72" s="104" t="s">
        <v>335</v>
      </c>
      <c r="E72" s="113">
        <v>1.993055555555556</v>
      </c>
      <c r="F72" s="104" t="s">
        <v>31</v>
      </c>
      <c r="G72" s="106">
        <v>2</v>
      </c>
      <c r="H72" s="107" t="s">
        <v>532</v>
      </c>
    </row>
    <row r="73" spans="1:8" ht="19.8" customHeight="1" x14ac:dyDescent="0.3">
      <c r="A73" s="112">
        <v>45989</v>
      </c>
      <c r="B73" s="104" t="s">
        <v>26</v>
      </c>
      <c r="C73" s="105" t="s">
        <v>359</v>
      </c>
      <c r="D73" s="104" t="s">
        <v>335</v>
      </c>
      <c r="E73" s="113">
        <v>1.7361111111111109</v>
      </c>
      <c r="F73" s="104" t="s">
        <v>28</v>
      </c>
      <c r="G73" s="106">
        <v>6</v>
      </c>
      <c r="H73" s="107" t="s">
        <v>532</v>
      </c>
    </row>
    <row r="74" spans="1:8" ht="19.8" customHeight="1" x14ac:dyDescent="0.3">
      <c r="A74" s="112">
        <v>45989</v>
      </c>
      <c r="B74" s="104" t="s">
        <v>26</v>
      </c>
      <c r="C74" s="105" t="s">
        <v>356</v>
      </c>
      <c r="D74" s="104" t="s">
        <v>335</v>
      </c>
      <c r="E74" s="113">
        <v>1.836805555555556</v>
      </c>
      <c r="F74" s="104" t="s">
        <v>28</v>
      </c>
      <c r="G74" s="106">
        <v>7</v>
      </c>
      <c r="H74" s="107" t="s">
        <v>532</v>
      </c>
    </row>
    <row r="75" spans="1:8" ht="19.8" customHeight="1" x14ac:dyDescent="0.3">
      <c r="A75" s="112">
        <v>45989</v>
      </c>
      <c r="B75" s="104" t="s">
        <v>26</v>
      </c>
      <c r="C75" s="105" t="s">
        <v>352</v>
      </c>
      <c r="D75" s="104" t="s">
        <v>335</v>
      </c>
      <c r="E75" s="113">
        <v>1.944444444444444</v>
      </c>
      <c r="F75" s="104" t="s">
        <v>31</v>
      </c>
      <c r="G75" s="106">
        <v>3</v>
      </c>
      <c r="H75" s="107" t="s">
        <v>532</v>
      </c>
    </row>
    <row r="76" spans="1:8" ht="19.8" customHeight="1" x14ac:dyDescent="0.3">
      <c r="A76" s="112">
        <v>45989</v>
      </c>
      <c r="B76" s="104" t="s">
        <v>26</v>
      </c>
      <c r="C76" s="105" t="s">
        <v>360</v>
      </c>
      <c r="D76" s="104" t="s">
        <v>335</v>
      </c>
      <c r="E76" s="113">
        <v>1.4861111111111109</v>
      </c>
      <c r="F76" s="104" t="s">
        <v>31</v>
      </c>
      <c r="G76" s="106">
        <v>9</v>
      </c>
      <c r="H76" s="107" t="s">
        <v>532</v>
      </c>
    </row>
    <row r="77" spans="1:8" ht="19.8" customHeight="1" x14ac:dyDescent="0.3">
      <c r="A77" s="112">
        <v>45989</v>
      </c>
      <c r="B77" s="104" t="s">
        <v>26</v>
      </c>
      <c r="C77" s="105" t="s">
        <v>358</v>
      </c>
      <c r="D77" s="104" t="s">
        <v>335</v>
      </c>
      <c r="E77" s="113">
        <v>1.8888888888888891</v>
      </c>
      <c r="F77" s="104" t="s">
        <v>28</v>
      </c>
      <c r="G77" s="106">
        <v>9</v>
      </c>
      <c r="H77" s="107" t="s">
        <v>532</v>
      </c>
    </row>
    <row r="78" spans="1:8" ht="19.8" customHeight="1" x14ac:dyDescent="0.3">
      <c r="A78" s="120">
        <v>45989</v>
      </c>
      <c r="B78" s="121" t="s">
        <v>77</v>
      </c>
      <c r="C78" s="122" t="s">
        <v>427</v>
      </c>
      <c r="D78" s="121" t="s">
        <v>335</v>
      </c>
      <c r="E78" s="123">
        <v>1.5590277777777779</v>
      </c>
      <c r="F78" s="121" t="s">
        <v>101</v>
      </c>
      <c r="G78" s="124">
        <v>9</v>
      </c>
      <c r="H78" s="125" t="s">
        <v>437</v>
      </c>
    </row>
    <row r="79" spans="1:8" ht="19.8" customHeight="1" x14ac:dyDescent="0.3">
      <c r="A79" s="120">
        <v>45989</v>
      </c>
      <c r="B79" s="121" t="s">
        <v>77</v>
      </c>
      <c r="C79" s="122" t="s">
        <v>361</v>
      </c>
      <c r="D79" s="121" t="s">
        <v>335</v>
      </c>
      <c r="E79" s="123">
        <v>1.4375</v>
      </c>
      <c r="F79" s="121" t="s">
        <v>101</v>
      </c>
      <c r="G79" s="124">
        <v>9</v>
      </c>
      <c r="H79" s="125" t="s">
        <v>437</v>
      </c>
    </row>
    <row r="80" spans="1:8" ht="19.8" customHeight="1" x14ac:dyDescent="0.3">
      <c r="A80" s="126">
        <v>45989</v>
      </c>
      <c r="B80" s="109" t="s">
        <v>77</v>
      </c>
      <c r="C80" s="110" t="s">
        <v>419</v>
      </c>
      <c r="D80" s="109" t="s">
        <v>335</v>
      </c>
      <c r="E80" s="127">
        <v>1.760416666666667</v>
      </c>
      <c r="F80" s="109" t="s">
        <v>101</v>
      </c>
      <c r="G80" s="128">
        <v>1</v>
      </c>
      <c r="H80" s="111" t="s">
        <v>541</v>
      </c>
    </row>
    <row r="81" spans="1:8" ht="19.8" customHeight="1" x14ac:dyDescent="0.3">
      <c r="A81" s="120">
        <v>45990</v>
      </c>
      <c r="B81" s="121" t="s">
        <v>77</v>
      </c>
      <c r="C81" s="122" t="s">
        <v>378</v>
      </c>
      <c r="D81" s="121" t="s">
        <v>335</v>
      </c>
      <c r="E81" s="123">
        <v>1.90625</v>
      </c>
      <c r="F81" s="121" t="s">
        <v>101</v>
      </c>
      <c r="G81" s="124">
        <v>2</v>
      </c>
      <c r="H81" s="125" t="s">
        <v>541</v>
      </c>
    </row>
    <row r="82" spans="1:8" ht="19.8" customHeight="1" x14ac:dyDescent="0.3">
      <c r="A82" s="120">
        <v>45990</v>
      </c>
      <c r="B82" s="121" t="s">
        <v>77</v>
      </c>
      <c r="C82" s="122" t="s">
        <v>371</v>
      </c>
      <c r="D82" s="121" t="s">
        <v>335</v>
      </c>
      <c r="E82" s="123">
        <v>1.0486111111111109</v>
      </c>
      <c r="F82" s="121" t="s">
        <v>79</v>
      </c>
      <c r="G82" s="121"/>
      <c r="H82" s="125" t="s">
        <v>80</v>
      </c>
    </row>
    <row r="83" spans="1:8" ht="19.8" customHeight="1" x14ac:dyDescent="0.3">
      <c r="A83" s="120">
        <v>45990</v>
      </c>
      <c r="B83" s="121" t="s">
        <v>77</v>
      </c>
      <c r="C83" s="122" t="s">
        <v>375</v>
      </c>
      <c r="D83" s="121" t="s">
        <v>335</v>
      </c>
      <c r="E83" s="123">
        <v>1.15625</v>
      </c>
      <c r="F83" s="121" t="s">
        <v>79</v>
      </c>
      <c r="G83" s="121"/>
      <c r="H83" s="125" t="s">
        <v>80</v>
      </c>
    </row>
    <row r="84" spans="1:8" ht="19.8" customHeight="1" x14ac:dyDescent="0.3">
      <c r="A84" s="126">
        <v>45990</v>
      </c>
      <c r="B84" s="109" t="s">
        <v>77</v>
      </c>
      <c r="C84" s="110" t="s">
        <v>383</v>
      </c>
      <c r="D84" s="109" t="s">
        <v>335</v>
      </c>
      <c r="E84" s="127">
        <v>1.5034722222222221</v>
      </c>
      <c r="F84" s="109" t="s">
        <v>79</v>
      </c>
      <c r="G84" s="109"/>
      <c r="H84" s="111" t="s">
        <v>80</v>
      </c>
    </row>
    <row r="85" spans="1:8" ht="19.8" customHeight="1" x14ac:dyDescent="0.3">
      <c r="A85" s="112">
        <v>45991</v>
      </c>
      <c r="B85" s="104" t="s">
        <v>26</v>
      </c>
      <c r="C85" s="105" t="s">
        <v>354</v>
      </c>
      <c r="D85" s="104" t="s">
        <v>335</v>
      </c>
      <c r="E85" s="113">
        <v>1.3472222222222221</v>
      </c>
      <c r="F85" s="104" t="s">
        <v>28</v>
      </c>
      <c r="G85" s="106">
        <v>8</v>
      </c>
      <c r="H85" s="107" t="s">
        <v>154</v>
      </c>
    </row>
    <row r="86" spans="1:8" ht="19.8" customHeight="1" x14ac:dyDescent="0.3">
      <c r="A86" s="112">
        <v>45991</v>
      </c>
      <c r="B86" s="104" t="s">
        <v>26</v>
      </c>
      <c r="C86" s="105" t="s">
        <v>350</v>
      </c>
      <c r="D86" s="104" t="s">
        <v>335</v>
      </c>
      <c r="E86" s="113">
        <v>1.993055555555556</v>
      </c>
      <c r="F86" s="104" t="s">
        <v>28</v>
      </c>
      <c r="G86" s="106">
        <v>1</v>
      </c>
      <c r="H86" s="107" t="s">
        <v>154</v>
      </c>
    </row>
    <row r="87" spans="1:8" ht="19.8" customHeight="1" x14ac:dyDescent="0.3">
      <c r="A87" s="112">
        <v>45991</v>
      </c>
      <c r="B87" s="104" t="s">
        <v>26</v>
      </c>
      <c r="C87" s="105" t="s">
        <v>357</v>
      </c>
      <c r="D87" s="104" t="s">
        <v>335</v>
      </c>
      <c r="E87" s="113">
        <v>1.3923611111111109</v>
      </c>
      <c r="F87" s="104" t="s">
        <v>28</v>
      </c>
      <c r="G87" s="106">
        <v>4</v>
      </c>
      <c r="H87" s="107" t="s">
        <v>154</v>
      </c>
    </row>
    <row r="88" spans="1:8" ht="19.8" customHeight="1" x14ac:dyDescent="0.3">
      <c r="A88" s="120">
        <v>45991</v>
      </c>
      <c r="B88" s="121" t="s">
        <v>77</v>
      </c>
      <c r="C88" s="122" t="s">
        <v>419</v>
      </c>
      <c r="D88" s="121" t="s">
        <v>335</v>
      </c>
      <c r="E88" s="123">
        <v>1.333333333333333</v>
      </c>
      <c r="F88" s="121" t="s">
        <v>101</v>
      </c>
      <c r="G88" s="124">
        <v>1</v>
      </c>
      <c r="H88" s="125" t="s">
        <v>379</v>
      </c>
    </row>
    <row r="89" spans="1:8" ht="19.8" customHeight="1" x14ac:dyDescent="0.3">
      <c r="A89" s="112">
        <v>45991</v>
      </c>
      <c r="B89" s="104" t="s">
        <v>385</v>
      </c>
      <c r="C89" s="105" t="s">
        <v>435</v>
      </c>
      <c r="D89" s="104" t="s">
        <v>335</v>
      </c>
      <c r="E89" s="113">
        <v>1.2048611111111109</v>
      </c>
      <c r="F89" s="104" t="s">
        <v>101</v>
      </c>
      <c r="G89" s="106">
        <v>9</v>
      </c>
      <c r="H89" s="107" t="s">
        <v>521</v>
      </c>
    </row>
    <row r="90" spans="1:8" ht="19.8" customHeight="1" x14ac:dyDescent="0.3">
      <c r="A90" s="120">
        <v>45991</v>
      </c>
      <c r="B90" s="121" t="s">
        <v>77</v>
      </c>
      <c r="C90" s="122" t="s">
        <v>424</v>
      </c>
      <c r="D90" s="121" t="s">
        <v>335</v>
      </c>
      <c r="E90" s="123">
        <v>1.4548611111111109</v>
      </c>
      <c r="F90" s="121" t="s">
        <v>101</v>
      </c>
      <c r="G90" s="124">
        <v>2</v>
      </c>
      <c r="H90" s="125" t="s">
        <v>567</v>
      </c>
    </row>
    <row r="91" spans="1:8" ht="19.8" customHeight="1" x14ac:dyDescent="0.3">
      <c r="A91" s="120">
        <v>45991</v>
      </c>
      <c r="B91" s="121" t="s">
        <v>77</v>
      </c>
      <c r="C91" s="122" t="s">
        <v>365</v>
      </c>
      <c r="D91" s="121" t="s">
        <v>335</v>
      </c>
      <c r="E91" s="123">
        <v>1.15625</v>
      </c>
      <c r="F91" s="121" t="s">
        <v>101</v>
      </c>
      <c r="G91" s="124">
        <v>4</v>
      </c>
      <c r="H91" s="125" t="s">
        <v>517</v>
      </c>
    </row>
    <row r="92" spans="1:8" ht="19.8" customHeight="1" x14ac:dyDescent="0.3">
      <c r="A92" s="120">
        <v>45991</v>
      </c>
      <c r="B92" s="121" t="s">
        <v>77</v>
      </c>
      <c r="C92" s="122" t="s">
        <v>361</v>
      </c>
      <c r="D92" s="121" t="s">
        <v>335</v>
      </c>
      <c r="E92" s="123">
        <v>1.8298611111111109</v>
      </c>
      <c r="F92" s="121" t="s">
        <v>101</v>
      </c>
      <c r="G92" s="124">
        <v>8</v>
      </c>
      <c r="H92" s="125" t="s">
        <v>517</v>
      </c>
    </row>
    <row r="93" spans="1:8" ht="19.8" customHeight="1" x14ac:dyDescent="0.3">
      <c r="A93" s="126">
        <v>45991</v>
      </c>
      <c r="B93" s="109" t="s">
        <v>77</v>
      </c>
      <c r="C93" s="110" t="s">
        <v>375</v>
      </c>
      <c r="D93" s="109" t="s">
        <v>335</v>
      </c>
      <c r="E93" s="127">
        <v>1.1423611111111109</v>
      </c>
      <c r="F93" s="109" t="s">
        <v>79</v>
      </c>
      <c r="G93" s="109"/>
      <c r="H93" s="111" t="s">
        <v>80</v>
      </c>
    </row>
  </sheetData>
  <pageMargins left="0.75" right="0.75" top="1" bottom="1" header="0.5" footer="0.5"/>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N240"/>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0" bestFit="1" customWidth="1"/>
  </cols>
  <sheetData>
    <row r="1" spans="1:92" ht="28.8" customHeight="1" x14ac:dyDescent="0.3">
      <c r="A1" s="303" t="s">
        <v>0</v>
      </c>
      <c r="B1" s="302"/>
      <c r="C1" s="302"/>
      <c r="D1" s="302"/>
      <c r="E1" s="302"/>
      <c r="F1" s="1" t="s">
        <v>754</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45980.583491628953</v>
      </c>
      <c r="H2" s="302"/>
      <c r="I2" s="302"/>
      <c r="J2" s="302"/>
      <c r="K2" s="311">
        <v>45980.583491629317</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388</v>
      </c>
      <c r="B6" s="8" t="s">
        <v>755</v>
      </c>
      <c r="C6" s="9">
        <v>0.3611111111111111</v>
      </c>
      <c r="D6" s="8" t="s">
        <v>756</v>
      </c>
      <c r="E6" s="8" t="s">
        <v>85</v>
      </c>
      <c r="F6" s="8" t="s">
        <v>757</v>
      </c>
      <c r="G6" s="304"/>
      <c r="H6" s="10"/>
      <c r="I6" s="11"/>
      <c r="J6" s="11"/>
      <c r="K6" s="11"/>
      <c r="L6" s="11"/>
      <c r="M6" s="11"/>
      <c r="N6" s="11"/>
      <c r="O6" s="12"/>
      <c r="P6" s="11"/>
      <c r="Q6" s="13"/>
      <c r="R6" s="14"/>
    </row>
    <row r="7" spans="1:92" ht="15" customHeight="1" x14ac:dyDescent="0.3">
      <c r="A7" s="19" t="s">
        <v>60</v>
      </c>
      <c r="B7" s="19" t="s">
        <v>758</v>
      </c>
      <c r="C7" s="20">
        <v>0.4513888888888889</v>
      </c>
      <c r="D7" s="19" t="s">
        <v>65</v>
      </c>
      <c r="E7" s="19" t="s">
        <v>96</v>
      </c>
      <c r="F7" s="19" t="s">
        <v>759</v>
      </c>
      <c r="G7" s="298"/>
      <c r="H7" s="10"/>
      <c r="I7" s="11"/>
      <c r="J7" s="11"/>
      <c r="K7" s="11"/>
      <c r="L7" s="11"/>
      <c r="M7" s="11"/>
      <c r="N7" s="11"/>
      <c r="O7" s="12"/>
      <c r="P7" s="11"/>
      <c r="Q7" s="13"/>
      <c r="R7" s="14"/>
    </row>
    <row r="8" spans="1:92" ht="15" customHeight="1" x14ac:dyDescent="0.3">
      <c r="A8" s="17" t="s">
        <v>60</v>
      </c>
      <c r="B8" s="17" t="s">
        <v>760</v>
      </c>
      <c r="C8" s="18">
        <v>0.81944444444444453</v>
      </c>
      <c r="D8" s="17" t="s">
        <v>65</v>
      </c>
      <c r="E8" s="17" t="s">
        <v>355</v>
      </c>
      <c r="F8" s="17" t="s">
        <v>759</v>
      </c>
      <c r="G8" s="298"/>
      <c r="H8" s="10"/>
      <c r="I8" s="11"/>
      <c r="J8" s="11"/>
      <c r="K8" s="11"/>
      <c r="L8" s="11"/>
      <c r="M8" s="11"/>
      <c r="N8" s="11"/>
      <c r="O8" s="12"/>
      <c r="P8" s="11"/>
      <c r="Q8" s="13"/>
      <c r="R8" s="14"/>
    </row>
    <row r="9" spans="1:92" ht="15" customHeight="1" x14ac:dyDescent="0.3">
      <c r="A9" s="179" t="s">
        <v>77</v>
      </c>
      <c r="B9" s="179" t="s">
        <v>761</v>
      </c>
      <c r="C9" s="180">
        <v>8.6805555555555566E-2</v>
      </c>
      <c r="D9" s="179" t="s">
        <v>79</v>
      </c>
      <c r="E9" s="233"/>
      <c r="F9" s="179" t="s">
        <v>80</v>
      </c>
      <c r="G9" s="298"/>
      <c r="H9" s="181" t="s">
        <v>761</v>
      </c>
      <c r="I9" s="182">
        <v>1</v>
      </c>
      <c r="J9" s="183">
        <v>180</v>
      </c>
      <c r="K9" s="184">
        <v>45979</v>
      </c>
      <c r="L9" s="183">
        <v>18</v>
      </c>
      <c r="M9" s="183">
        <v>0</v>
      </c>
      <c r="N9" s="183">
        <v>2</v>
      </c>
      <c r="O9" s="185" t="s">
        <v>81</v>
      </c>
      <c r="P9" s="186">
        <v>8.6805555555555566E-2</v>
      </c>
      <c r="Q9" s="183">
        <v>180</v>
      </c>
      <c r="R9" s="187" t="s">
        <v>762</v>
      </c>
    </row>
    <row r="10" spans="1:92" ht="18" x14ac:dyDescent="0.3">
      <c r="A10" s="312" t="s">
        <v>763</v>
      </c>
      <c r="B10" s="313"/>
      <c r="C10" s="313"/>
      <c r="D10" s="313"/>
      <c r="E10" s="313"/>
      <c r="F10" s="314"/>
      <c r="G10" s="298"/>
      <c r="H10" s="138"/>
      <c r="I10" s="138"/>
      <c r="J10" s="138"/>
      <c r="K10" s="138"/>
      <c r="L10" s="138"/>
      <c r="M10" s="138"/>
      <c r="N10" s="138"/>
      <c r="O10" s="139"/>
      <c r="P10" s="138"/>
      <c r="Q10" s="99"/>
      <c r="R10" s="99"/>
    </row>
    <row r="11" spans="1:92" ht="15" customHeight="1" x14ac:dyDescent="0.3">
      <c r="A11" s="17" t="s">
        <v>41</v>
      </c>
      <c r="B11" s="17" t="s">
        <v>336</v>
      </c>
      <c r="C11" s="18" t="s">
        <v>745</v>
      </c>
      <c r="D11" s="17" t="s">
        <v>337</v>
      </c>
      <c r="E11" s="17" t="s">
        <v>260</v>
      </c>
      <c r="F11" s="17" t="s">
        <v>338</v>
      </c>
      <c r="G11" s="298"/>
      <c r="H11" s="138"/>
      <c r="I11" s="138"/>
      <c r="J11" s="138"/>
      <c r="K11" s="138"/>
      <c r="L11" s="138"/>
      <c r="M11" s="138"/>
      <c r="N11" s="138"/>
      <c r="O11" s="139"/>
      <c r="P11" s="138"/>
      <c r="Q11" s="99"/>
      <c r="R11" s="99"/>
    </row>
    <row r="12" spans="1:92" ht="15" customHeight="1" x14ac:dyDescent="0.3">
      <c r="A12" s="17" t="s">
        <v>41</v>
      </c>
      <c r="B12" s="17" t="s">
        <v>336</v>
      </c>
      <c r="C12" s="18" t="s">
        <v>745</v>
      </c>
      <c r="D12" s="17" t="s">
        <v>43</v>
      </c>
      <c r="E12" s="17" t="s">
        <v>260</v>
      </c>
      <c r="F12" s="17" t="s">
        <v>338</v>
      </c>
      <c r="G12" s="298"/>
      <c r="H12" s="138"/>
      <c r="I12" s="138"/>
      <c r="J12" s="138"/>
      <c r="K12" s="138"/>
      <c r="L12" s="138"/>
      <c r="M12" s="138"/>
      <c r="N12" s="138"/>
      <c r="O12" s="139"/>
      <c r="P12" s="138"/>
      <c r="Q12" s="99"/>
      <c r="R12" s="99"/>
    </row>
    <row r="13" spans="1:92" ht="15" customHeight="1" x14ac:dyDescent="0.3">
      <c r="A13" s="17" t="s">
        <v>41</v>
      </c>
      <c r="B13" s="17" t="s">
        <v>340</v>
      </c>
      <c r="C13" s="18" t="s">
        <v>746</v>
      </c>
      <c r="D13" s="17" t="s">
        <v>337</v>
      </c>
      <c r="E13" s="17" t="s">
        <v>764</v>
      </c>
      <c r="F13" s="17" t="s">
        <v>342</v>
      </c>
      <c r="G13" s="298"/>
      <c r="H13" s="138"/>
      <c r="I13" s="138"/>
      <c r="J13" s="138"/>
      <c r="K13" s="138"/>
      <c r="L13" s="138"/>
      <c r="M13" s="138"/>
      <c r="N13" s="138"/>
      <c r="O13" s="139"/>
      <c r="P13" s="138"/>
      <c r="Q13" s="99"/>
      <c r="R13" s="99"/>
    </row>
    <row r="14" spans="1:92" ht="15" customHeight="1" x14ac:dyDescent="0.3">
      <c r="A14" s="17" t="s">
        <v>41</v>
      </c>
      <c r="B14" s="17" t="s">
        <v>340</v>
      </c>
      <c r="C14" s="18" t="s">
        <v>746</v>
      </c>
      <c r="D14" s="17" t="s">
        <v>43</v>
      </c>
      <c r="E14" s="17" t="s">
        <v>764</v>
      </c>
      <c r="F14" s="17" t="s">
        <v>342</v>
      </c>
      <c r="G14" s="298"/>
      <c r="H14" s="138"/>
      <c r="I14" s="138"/>
      <c r="J14" s="138"/>
      <c r="K14" s="138"/>
      <c r="L14" s="138"/>
      <c r="M14" s="138"/>
      <c r="N14" s="138"/>
      <c r="O14" s="139"/>
      <c r="P14" s="138"/>
      <c r="Q14" s="99"/>
      <c r="R14" s="99"/>
    </row>
    <row r="15" spans="1:92" ht="15" customHeight="1" x14ac:dyDescent="0.3">
      <c r="A15" s="17" t="s">
        <v>41</v>
      </c>
      <c r="B15" s="17" t="s">
        <v>344</v>
      </c>
      <c r="C15" s="18" t="s">
        <v>747</v>
      </c>
      <c r="D15" s="17" t="s">
        <v>337</v>
      </c>
      <c r="E15" s="17" t="s">
        <v>765</v>
      </c>
      <c r="F15" s="17" t="s">
        <v>342</v>
      </c>
      <c r="G15" s="298"/>
      <c r="H15" s="138"/>
      <c r="I15" s="138"/>
      <c r="J15" s="138"/>
      <c r="K15" s="138"/>
      <c r="L15" s="138"/>
      <c r="M15" s="138"/>
      <c r="N15" s="138"/>
      <c r="O15" s="139"/>
      <c r="P15" s="138"/>
      <c r="Q15" s="99"/>
      <c r="R15" s="99"/>
    </row>
    <row r="16" spans="1:92" ht="15" customHeight="1" x14ac:dyDescent="0.3">
      <c r="A16" s="17" t="s">
        <v>41</v>
      </c>
      <c r="B16" s="17" t="s">
        <v>344</v>
      </c>
      <c r="C16" s="18" t="s">
        <v>747</v>
      </c>
      <c r="D16" s="17" t="s">
        <v>43</v>
      </c>
      <c r="E16" s="17" t="s">
        <v>765</v>
      </c>
      <c r="F16" s="17" t="s">
        <v>342</v>
      </c>
      <c r="G16" s="298"/>
      <c r="H16" s="138"/>
      <c r="I16" s="138"/>
      <c r="J16" s="138"/>
      <c r="K16" s="138"/>
      <c r="L16" s="138"/>
      <c r="M16" s="138"/>
      <c r="N16" s="138"/>
      <c r="O16" s="139"/>
      <c r="P16" s="138"/>
      <c r="Q16" s="99"/>
      <c r="R16" s="99"/>
    </row>
    <row r="17" spans="1:18" ht="15" customHeight="1" x14ac:dyDescent="0.3">
      <c r="A17" s="17" t="s">
        <v>41</v>
      </c>
      <c r="B17" s="17" t="s">
        <v>347</v>
      </c>
      <c r="C17" s="18" t="s">
        <v>748</v>
      </c>
      <c r="D17" s="17" t="s">
        <v>337</v>
      </c>
      <c r="E17" s="17" t="s">
        <v>766</v>
      </c>
      <c r="F17" s="17" t="s">
        <v>342</v>
      </c>
      <c r="G17" s="298"/>
      <c r="H17" s="138"/>
      <c r="I17" s="138"/>
      <c r="J17" s="138"/>
      <c r="K17" s="138"/>
      <c r="L17" s="138"/>
      <c r="M17" s="138"/>
      <c r="N17" s="138"/>
      <c r="O17" s="139"/>
      <c r="P17" s="138"/>
      <c r="Q17" s="99"/>
      <c r="R17" s="99"/>
    </row>
    <row r="18" spans="1:18" ht="15" customHeight="1" x14ac:dyDescent="0.3">
      <c r="A18" s="17" t="s">
        <v>41</v>
      </c>
      <c r="B18" s="17" t="s">
        <v>347</v>
      </c>
      <c r="C18" s="18" t="s">
        <v>748</v>
      </c>
      <c r="D18" s="17" t="s">
        <v>43</v>
      </c>
      <c r="E18" s="17" t="s">
        <v>766</v>
      </c>
      <c r="F18" s="17" t="s">
        <v>342</v>
      </c>
      <c r="G18" s="298"/>
      <c r="H18" s="138"/>
      <c r="I18" s="138"/>
      <c r="J18" s="138"/>
      <c r="K18" s="138"/>
      <c r="L18" s="138"/>
      <c r="M18" s="138"/>
      <c r="N18" s="138"/>
      <c r="O18" s="139"/>
      <c r="P18" s="138"/>
      <c r="Q18" s="99"/>
      <c r="R18" s="99"/>
    </row>
    <row r="19" spans="1:18" ht="15" customHeight="1" x14ac:dyDescent="0.3">
      <c r="A19" s="17" t="s">
        <v>26</v>
      </c>
      <c r="B19" s="17" t="s">
        <v>350</v>
      </c>
      <c r="C19" s="18" t="s">
        <v>749</v>
      </c>
      <c r="D19" s="17" t="s">
        <v>351</v>
      </c>
      <c r="E19" s="17" t="s">
        <v>254</v>
      </c>
      <c r="F19" s="17" t="s">
        <v>93</v>
      </c>
      <c r="G19" s="298"/>
      <c r="H19" s="138"/>
      <c r="I19" s="138"/>
      <c r="J19" s="138"/>
      <c r="K19" s="138"/>
      <c r="L19" s="138"/>
      <c r="M19" s="138"/>
      <c r="N19" s="138"/>
      <c r="O19" s="139"/>
      <c r="P19" s="138"/>
      <c r="Q19" s="99"/>
      <c r="R19" s="99"/>
    </row>
    <row r="20" spans="1:18" ht="15" customHeight="1" thickBot="1" x14ac:dyDescent="0.35">
      <c r="A20" s="39" t="s">
        <v>26</v>
      </c>
      <c r="B20" s="39" t="s">
        <v>350</v>
      </c>
      <c r="C20" s="40" t="s">
        <v>749</v>
      </c>
      <c r="D20" s="39" t="s">
        <v>28</v>
      </c>
      <c r="E20" s="39" t="s">
        <v>254</v>
      </c>
      <c r="F20" s="39" t="s">
        <v>93</v>
      </c>
      <c r="G20" s="299"/>
      <c r="H20" s="140"/>
      <c r="I20" s="140"/>
      <c r="J20" s="140"/>
      <c r="K20" s="140"/>
      <c r="L20" s="140"/>
      <c r="M20" s="140"/>
      <c r="N20" s="140"/>
      <c r="O20" s="141"/>
      <c r="P20" s="140"/>
      <c r="Q20" s="142"/>
      <c r="R20" s="142"/>
    </row>
    <row r="21" spans="1:18" ht="17.399999999999999" customHeight="1" thickBot="1" x14ac:dyDescent="0.35">
      <c r="A21" s="329"/>
      <c r="B21" s="330"/>
      <c r="C21" s="330"/>
      <c r="D21" s="330"/>
      <c r="E21" s="330"/>
      <c r="F21" s="330"/>
      <c r="G21" s="330"/>
      <c r="H21" s="330"/>
      <c r="I21" s="330"/>
      <c r="J21" s="330"/>
      <c r="K21" s="330"/>
      <c r="L21" s="330"/>
      <c r="M21" s="330"/>
      <c r="N21" s="330"/>
      <c r="O21" s="330"/>
      <c r="P21" s="330"/>
      <c r="Q21" s="330"/>
      <c r="R21" s="331"/>
    </row>
    <row r="22" spans="1:18" ht="22.05" customHeight="1" thickTop="1" thickBot="1" x14ac:dyDescent="0.35">
      <c r="A22" s="300" t="s">
        <v>6</v>
      </c>
      <c r="B22" s="295"/>
      <c r="C22" s="295"/>
      <c r="D22" s="295"/>
      <c r="E22" s="295"/>
      <c r="F22" s="296"/>
      <c r="G22" s="31">
        <v>45982</v>
      </c>
      <c r="H22" s="294" t="s">
        <v>7</v>
      </c>
      <c r="I22" s="295"/>
      <c r="J22" s="295"/>
      <c r="K22" s="295"/>
      <c r="L22" s="295"/>
      <c r="M22" s="295"/>
      <c r="N22" s="295"/>
      <c r="O22" s="295"/>
      <c r="P22" s="295"/>
      <c r="Q22" s="295"/>
      <c r="R22" s="296"/>
    </row>
    <row r="23" spans="1:18" ht="24" customHeight="1" x14ac:dyDescent="0.3">
      <c r="A23" s="32" t="s">
        <v>8</v>
      </c>
      <c r="B23" s="32" t="s">
        <v>9</v>
      </c>
      <c r="C23" s="33" t="s">
        <v>10</v>
      </c>
      <c r="D23" s="32" t="s">
        <v>11</v>
      </c>
      <c r="E23" s="32" t="s">
        <v>12</v>
      </c>
      <c r="F23" s="34" t="s">
        <v>13</v>
      </c>
      <c r="G23" s="35" t="s">
        <v>14</v>
      </c>
      <c r="H23" s="32" t="s">
        <v>15</v>
      </c>
      <c r="I23" s="36" t="s">
        <v>16</v>
      </c>
      <c r="J23" s="37" t="s">
        <v>17</v>
      </c>
      <c r="K23" s="38" t="s">
        <v>18</v>
      </c>
      <c r="L23" s="37" t="s">
        <v>19</v>
      </c>
      <c r="M23" s="37" t="s">
        <v>20</v>
      </c>
      <c r="N23" s="37" t="s">
        <v>21</v>
      </c>
      <c r="O23" s="32" t="s">
        <v>22</v>
      </c>
      <c r="P23" s="33" t="s">
        <v>23</v>
      </c>
      <c r="Q23" s="37" t="s">
        <v>24</v>
      </c>
      <c r="R23" s="32" t="s">
        <v>25</v>
      </c>
    </row>
    <row r="24" spans="1:18" ht="15" customHeight="1" x14ac:dyDescent="0.3">
      <c r="A24" s="8" t="s">
        <v>388</v>
      </c>
      <c r="B24" s="8" t="s">
        <v>767</v>
      </c>
      <c r="C24" s="9">
        <v>1.041666666666667E-2</v>
      </c>
      <c r="D24" s="8" t="s">
        <v>756</v>
      </c>
      <c r="E24" s="8" t="s">
        <v>138</v>
      </c>
      <c r="F24" s="8" t="s">
        <v>768</v>
      </c>
      <c r="G24" s="304"/>
      <c r="H24" s="10"/>
      <c r="I24" s="11"/>
      <c r="J24" s="11"/>
      <c r="K24" s="11"/>
      <c r="L24" s="11"/>
      <c r="M24" s="11"/>
      <c r="N24" s="11"/>
      <c r="O24" s="12"/>
      <c r="P24" s="11"/>
      <c r="Q24" s="13"/>
      <c r="R24" s="14"/>
    </row>
    <row r="25" spans="1:18" ht="15" customHeight="1" x14ac:dyDescent="0.3">
      <c r="A25" s="15" t="s">
        <v>388</v>
      </c>
      <c r="B25" s="15" t="s">
        <v>767</v>
      </c>
      <c r="C25" s="16">
        <v>1.041666666666667E-2</v>
      </c>
      <c r="D25" s="15" t="s">
        <v>769</v>
      </c>
      <c r="E25" s="15" t="s">
        <v>38</v>
      </c>
      <c r="F25" s="15" t="s">
        <v>770</v>
      </c>
      <c r="G25" s="298"/>
      <c r="H25" s="10"/>
      <c r="I25" s="11"/>
      <c r="J25" s="11"/>
      <c r="K25" s="11"/>
      <c r="L25" s="11"/>
      <c r="M25" s="11"/>
      <c r="N25" s="11"/>
      <c r="O25" s="12"/>
      <c r="P25" s="11"/>
      <c r="Q25" s="13"/>
      <c r="R25" s="14"/>
    </row>
    <row r="26" spans="1:18" ht="15" customHeight="1" x14ac:dyDescent="0.3">
      <c r="A26" s="15" t="s">
        <v>388</v>
      </c>
      <c r="B26" s="15" t="s">
        <v>767</v>
      </c>
      <c r="C26" s="16">
        <v>1.041666666666667E-2</v>
      </c>
      <c r="D26" s="15" t="s">
        <v>46</v>
      </c>
      <c r="E26" s="15" t="s">
        <v>38</v>
      </c>
      <c r="F26" s="15" t="s">
        <v>771</v>
      </c>
      <c r="G26" s="298"/>
      <c r="H26" s="10"/>
      <c r="I26" s="11"/>
      <c r="J26" s="11"/>
      <c r="K26" s="11"/>
      <c r="L26" s="11"/>
      <c r="M26" s="11"/>
      <c r="N26" s="11"/>
      <c r="O26" s="12"/>
      <c r="P26" s="11"/>
      <c r="Q26" s="13"/>
      <c r="R26" s="14"/>
    </row>
    <row r="27" spans="1:18" ht="15" customHeight="1" x14ac:dyDescent="0.3">
      <c r="A27" s="204" t="s">
        <v>77</v>
      </c>
      <c r="B27" s="204" t="s">
        <v>772</v>
      </c>
      <c r="C27" s="205">
        <v>0.22916666666666671</v>
      </c>
      <c r="D27" s="204" t="s">
        <v>101</v>
      </c>
      <c r="E27" s="204" t="s">
        <v>51</v>
      </c>
      <c r="F27" s="204" t="s">
        <v>379</v>
      </c>
      <c r="G27" s="298"/>
      <c r="H27" s="206" t="s">
        <v>761</v>
      </c>
      <c r="I27" s="207">
        <v>0.74439999999999995</v>
      </c>
      <c r="J27" s="208">
        <v>134</v>
      </c>
      <c r="K27" s="209">
        <v>45979</v>
      </c>
      <c r="L27" s="208">
        <v>60</v>
      </c>
      <c r="M27" s="208">
        <v>0</v>
      </c>
      <c r="N27" s="208">
        <v>16</v>
      </c>
      <c r="O27" s="210" t="s">
        <v>283</v>
      </c>
      <c r="P27" s="211">
        <v>0.22916666666666671</v>
      </c>
      <c r="Q27" s="208">
        <v>180</v>
      </c>
      <c r="R27" s="212" t="s">
        <v>773</v>
      </c>
    </row>
    <row r="28" spans="1:18" ht="15" customHeight="1" x14ac:dyDescent="0.3">
      <c r="A28" s="19" t="s">
        <v>60</v>
      </c>
      <c r="B28" s="19" t="s">
        <v>760</v>
      </c>
      <c r="C28" s="20">
        <v>0.81944444444444453</v>
      </c>
      <c r="D28" s="19" t="s">
        <v>65</v>
      </c>
      <c r="E28" s="19" t="s">
        <v>51</v>
      </c>
      <c r="F28" s="19" t="s">
        <v>759</v>
      </c>
      <c r="G28" s="298"/>
      <c r="H28" s="10"/>
      <c r="I28" s="11"/>
      <c r="J28" s="11"/>
      <c r="K28" s="11"/>
      <c r="L28" s="11"/>
      <c r="M28" s="11"/>
      <c r="N28" s="11"/>
      <c r="O28" s="12"/>
      <c r="P28" s="11"/>
      <c r="Q28" s="13"/>
      <c r="R28" s="14"/>
    </row>
    <row r="29" spans="1:18" ht="18" x14ac:dyDescent="0.3">
      <c r="A29" s="312" t="s">
        <v>763</v>
      </c>
      <c r="B29" s="313"/>
      <c r="C29" s="313"/>
      <c r="D29" s="313"/>
      <c r="E29" s="313"/>
      <c r="F29" s="314"/>
      <c r="G29" s="298"/>
      <c r="H29" s="138"/>
      <c r="I29" s="138"/>
      <c r="J29" s="138"/>
      <c r="K29" s="138"/>
      <c r="L29" s="138"/>
      <c r="M29" s="138"/>
      <c r="N29" s="138"/>
      <c r="O29" s="139"/>
      <c r="P29" s="138"/>
      <c r="Q29" s="99"/>
      <c r="R29" s="99"/>
    </row>
    <row r="30" spans="1:18" ht="15" customHeight="1" x14ac:dyDescent="0.3">
      <c r="A30" s="17" t="s">
        <v>77</v>
      </c>
      <c r="B30" s="17" t="s">
        <v>361</v>
      </c>
      <c r="C30" s="18" t="s">
        <v>615</v>
      </c>
      <c r="D30" s="17" t="s">
        <v>101</v>
      </c>
      <c r="E30" s="17" t="s">
        <v>260</v>
      </c>
      <c r="F30" s="17" t="s">
        <v>416</v>
      </c>
      <c r="G30" s="298"/>
      <c r="H30" s="138"/>
      <c r="I30" s="138"/>
      <c r="J30" s="138"/>
      <c r="K30" s="138"/>
      <c r="L30" s="138"/>
      <c r="M30" s="138"/>
      <c r="N30" s="138"/>
      <c r="O30" s="139"/>
      <c r="P30" s="138"/>
      <c r="Q30" s="99"/>
      <c r="R30" s="99"/>
    </row>
    <row r="31" spans="1:18" ht="15" customHeight="1" x14ac:dyDescent="0.3">
      <c r="A31" s="17" t="s">
        <v>26</v>
      </c>
      <c r="B31" s="17" t="s">
        <v>358</v>
      </c>
      <c r="C31" s="18" t="s">
        <v>748</v>
      </c>
      <c r="D31" s="17" t="s">
        <v>28</v>
      </c>
      <c r="E31" s="17" t="s">
        <v>259</v>
      </c>
      <c r="F31" s="17" t="s">
        <v>93</v>
      </c>
      <c r="G31" s="298"/>
      <c r="H31" s="138"/>
      <c r="I31" s="138"/>
      <c r="J31" s="138"/>
      <c r="K31" s="138"/>
      <c r="L31" s="138"/>
      <c r="M31" s="138"/>
      <c r="N31" s="138"/>
      <c r="O31" s="139"/>
      <c r="P31" s="138"/>
      <c r="Q31" s="99"/>
      <c r="R31" s="99"/>
    </row>
    <row r="32" spans="1:18" ht="15" customHeight="1" x14ac:dyDescent="0.3">
      <c r="A32" s="17" t="s">
        <v>41</v>
      </c>
      <c r="B32" s="17" t="s">
        <v>340</v>
      </c>
      <c r="C32" s="18" t="s">
        <v>746</v>
      </c>
      <c r="D32" s="17" t="s">
        <v>43</v>
      </c>
      <c r="E32" s="17" t="s">
        <v>766</v>
      </c>
      <c r="F32" s="17" t="s">
        <v>431</v>
      </c>
      <c r="G32" s="298"/>
      <c r="H32" s="138"/>
      <c r="I32" s="138"/>
      <c r="J32" s="138"/>
      <c r="K32" s="138"/>
      <c r="L32" s="138"/>
      <c r="M32" s="138"/>
      <c r="N32" s="138"/>
      <c r="O32" s="139"/>
      <c r="P32" s="138"/>
      <c r="Q32" s="99"/>
      <c r="R32" s="99"/>
    </row>
    <row r="33" spans="1:18" ht="15" customHeight="1" x14ac:dyDescent="0.3">
      <c r="A33" s="17" t="s">
        <v>41</v>
      </c>
      <c r="B33" s="17" t="s">
        <v>344</v>
      </c>
      <c r="C33" s="18" t="s">
        <v>747</v>
      </c>
      <c r="D33" s="17" t="s">
        <v>43</v>
      </c>
      <c r="E33" s="17" t="s">
        <v>774</v>
      </c>
      <c r="F33" s="17" t="s">
        <v>431</v>
      </c>
      <c r="G33" s="298"/>
      <c r="H33" s="138"/>
      <c r="I33" s="138"/>
      <c r="J33" s="138"/>
      <c r="K33" s="138"/>
      <c r="L33" s="138"/>
      <c r="M33" s="138"/>
      <c r="N33" s="138"/>
      <c r="O33" s="139"/>
      <c r="P33" s="138"/>
      <c r="Q33" s="99"/>
      <c r="R33" s="99"/>
    </row>
    <row r="34" spans="1:18" ht="15" customHeight="1" x14ac:dyDescent="0.3">
      <c r="A34" s="17" t="s">
        <v>41</v>
      </c>
      <c r="B34" s="17" t="s">
        <v>347</v>
      </c>
      <c r="C34" s="18" t="s">
        <v>748</v>
      </c>
      <c r="D34" s="17" t="s">
        <v>43</v>
      </c>
      <c r="E34" s="17" t="s">
        <v>766</v>
      </c>
      <c r="F34" s="17" t="s">
        <v>431</v>
      </c>
      <c r="G34" s="298"/>
      <c r="H34" s="138"/>
      <c r="I34" s="138"/>
      <c r="J34" s="138"/>
      <c r="K34" s="138"/>
      <c r="L34" s="138"/>
      <c r="M34" s="138"/>
      <c r="N34" s="138"/>
      <c r="O34" s="139"/>
      <c r="P34" s="138"/>
      <c r="Q34" s="99"/>
      <c r="R34" s="99"/>
    </row>
    <row r="35" spans="1:18" ht="15" customHeight="1" x14ac:dyDescent="0.3">
      <c r="A35" s="17" t="s">
        <v>41</v>
      </c>
      <c r="B35" s="17" t="s">
        <v>336</v>
      </c>
      <c r="C35" s="18" t="s">
        <v>745</v>
      </c>
      <c r="D35" s="17" t="s">
        <v>43</v>
      </c>
      <c r="E35" s="17" t="s">
        <v>774</v>
      </c>
      <c r="F35" s="17" t="s">
        <v>431</v>
      </c>
      <c r="G35" s="298"/>
      <c r="H35" s="138"/>
      <c r="I35" s="138"/>
      <c r="J35" s="138"/>
      <c r="K35" s="138"/>
      <c r="L35" s="138"/>
      <c r="M35" s="138"/>
      <c r="N35" s="138"/>
      <c r="O35" s="139"/>
      <c r="P35" s="138"/>
      <c r="Q35" s="99"/>
      <c r="R35" s="99"/>
    </row>
    <row r="36" spans="1:18" ht="15" customHeight="1" x14ac:dyDescent="0.3">
      <c r="A36" s="17" t="s">
        <v>385</v>
      </c>
      <c r="B36" s="17" t="s">
        <v>386</v>
      </c>
      <c r="C36" s="18" t="s">
        <v>775</v>
      </c>
      <c r="D36" s="17" t="s">
        <v>101</v>
      </c>
      <c r="E36" s="17" t="s">
        <v>303</v>
      </c>
      <c r="F36" s="17" t="s">
        <v>434</v>
      </c>
      <c r="G36" s="298"/>
      <c r="H36" s="138"/>
      <c r="I36" s="138"/>
      <c r="J36" s="138"/>
      <c r="K36" s="138"/>
      <c r="L36" s="138"/>
      <c r="M36" s="138"/>
      <c r="N36" s="138"/>
      <c r="O36" s="139"/>
      <c r="P36" s="138"/>
      <c r="Q36" s="99"/>
      <c r="R36" s="99"/>
    </row>
    <row r="37" spans="1:18" ht="15" customHeight="1" x14ac:dyDescent="0.3">
      <c r="A37" s="17" t="s">
        <v>385</v>
      </c>
      <c r="B37" s="17" t="s">
        <v>435</v>
      </c>
      <c r="C37" s="18" t="s">
        <v>776</v>
      </c>
      <c r="D37" s="17" t="s">
        <v>101</v>
      </c>
      <c r="E37" s="17" t="s">
        <v>256</v>
      </c>
      <c r="F37" s="17" t="s">
        <v>434</v>
      </c>
      <c r="G37" s="298"/>
      <c r="H37" s="138"/>
      <c r="I37" s="138"/>
      <c r="J37" s="138"/>
      <c r="K37" s="138"/>
      <c r="L37" s="138"/>
      <c r="M37" s="138"/>
      <c r="N37" s="138"/>
      <c r="O37" s="139"/>
      <c r="P37" s="138"/>
      <c r="Q37" s="99"/>
      <c r="R37" s="99"/>
    </row>
    <row r="38" spans="1:18" ht="15" customHeight="1" x14ac:dyDescent="0.3">
      <c r="A38" s="17" t="s">
        <v>26</v>
      </c>
      <c r="B38" s="17" t="s">
        <v>354</v>
      </c>
      <c r="C38" s="18" t="s">
        <v>751</v>
      </c>
      <c r="D38" s="17" t="s">
        <v>28</v>
      </c>
      <c r="E38" s="17" t="s">
        <v>275</v>
      </c>
      <c r="F38" s="17" t="s">
        <v>44</v>
      </c>
      <c r="G38" s="298"/>
      <c r="H38" s="138"/>
      <c r="I38" s="138"/>
      <c r="J38" s="138"/>
      <c r="K38" s="138"/>
      <c r="L38" s="138"/>
      <c r="M38" s="138"/>
      <c r="N38" s="138"/>
      <c r="O38" s="139"/>
      <c r="P38" s="138"/>
      <c r="Q38" s="99"/>
      <c r="R38" s="99"/>
    </row>
    <row r="39" spans="1:18" ht="15" customHeight="1" thickBot="1" x14ac:dyDescent="0.35">
      <c r="A39" s="39" t="s">
        <v>26</v>
      </c>
      <c r="B39" s="39" t="s">
        <v>350</v>
      </c>
      <c r="C39" s="40" t="s">
        <v>749</v>
      </c>
      <c r="D39" s="39" t="s">
        <v>28</v>
      </c>
      <c r="E39" s="39" t="s">
        <v>259</v>
      </c>
      <c r="F39" s="39" t="s">
        <v>44</v>
      </c>
      <c r="G39" s="299"/>
      <c r="H39" s="140"/>
      <c r="I39" s="140"/>
      <c r="J39" s="140"/>
      <c r="K39" s="140"/>
      <c r="L39" s="140"/>
      <c r="M39" s="140"/>
      <c r="N39" s="140"/>
      <c r="O39" s="141"/>
      <c r="P39" s="140"/>
      <c r="Q39" s="142"/>
      <c r="R39" s="142"/>
    </row>
    <row r="40" spans="1:18" ht="17.399999999999999" customHeight="1" thickBot="1" x14ac:dyDescent="0.35">
      <c r="A40" s="329"/>
      <c r="B40" s="330"/>
      <c r="C40" s="330"/>
      <c r="D40" s="330"/>
      <c r="E40" s="330"/>
      <c r="F40" s="330"/>
      <c r="G40" s="330"/>
      <c r="H40" s="330"/>
      <c r="I40" s="330"/>
      <c r="J40" s="330"/>
      <c r="K40" s="330"/>
      <c r="L40" s="330"/>
      <c r="M40" s="330"/>
      <c r="N40" s="330"/>
      <c r="O40" s="330"/>
      <c r="P40" s="330"/>
      <c r="Q40" s="330"/>
      <c r="R40" s="331"/>
    </row>
    <row r="41" spans="1:18" ht="22.05" customHeight="1" thickTop="1" thickBot="1" x14ac:dyDescent="0.35">
      <c r="A41" s="300" t="s">
        <v>6</v>
      </c>
      <c r="B41" s="295"/>
      <c r="C41" s="295"/>
      <c r="D41" s="295"/>
      <c r="E41" s="295"/>
      <c r="F41" s="296"/>
      <c r="G41" s="31">
        <v>45983</v>
      </c>
      <c r="H41" s="294" t="s">
        <v>7</v>
      </c>
      <c r="I41" s="295"/>
      <c r="J41" s="295"/>
      <c r="K41" s="295"/>
      <c r="L41" s="295"/>
      <c r="M41" s="295"/>
      <c r="N41" s="295"/>
      <c r="O41" s="295"/>
      <c r="P41" s="295"/>
      <c r="Q41" s="295"/>
      <c r="R41" s="296"/>
    </row>
    <row r="42" spans="1:18" ht="24" customHeight="1" x14ac:dyDescent="0.3">
      <c r="A42" s="32" t="s">
        <v>8</v>
      </c>
      <c r="B42" s="32" t="s">
        <v>9</v>
      </c>
      <c r="C42" s="33" t="s">
        <v>10</v>
      </c>
      <c r="D42" s="32" t="s">
        <v>11</v>
      </c>
      <c r="E42" s="32" t="s">
        <v>12</v>
      </c>
      <c r="F42" s="34" t="s">
        <v>13</v>
      </c>
      <c r="G42" s="35" t="s">
        <v>14</v>
      </c>
      <c r="H42" s="32" t="s">
        <v>15</v>
      </c>
      <c r="I42" s="36" t="s">
        <v>16</v>
      </c>
      <c r="J42" s="37" t="s">
        <v>17</v>
      </c>
      <c r="K42" s="38" t="s">
        <v>18</v>
      </c>
      <c r="L42" s="37" t="s">
        <v>19</v>
      </c>
      <c r="M42" s="37" t="s">
        <v>20</v>
      </c>
      <c r="N42" s="37" t="s">
        <v>21</v>
      </c>
      <c r="O42" s="32" t="s">
        <v>22</v>
      </c>
      <c r="P42" s="33" t="s">
        <v>23</v>
      </c>
      <c r="Q42" s="37" t="s">
        <v>24</v>
      </c>
      <c r="R42" s="32" t="s">
        <v>25</v>
      </c>
    </row>
    <row r="43" spans="1:18" ht="15" customHeight="1" x14ac:dyDescent="0.3">
      <c r="A43" s="8" t="s">
        <v>41</v>
      </c>
      <c r="B43" s="8" t="s">
        <v>777</v>
      </c>
      <c r="C43" s="9">
        <v>0.3611111111111111</v>
      </c>
      <c r="D43" s="8" t="s">
        <v>778</v>
      </c>
      <c r="E43" s="8" t="s">
        <v>83</v>
      </c>
      <c r="F43" s="8" t="s">
        <v>779</v>
      </c>
      <c r="G43" s="304"/>
      <c r="H43" s="10"/>
      <c r="I43" s="11"/>
      <c r="J43" s="11"/>
      <c r="K43" s="11"/>
      <c r="L43" s="11"/>
      <c r="M43" s="11"/>
      <c r="N43" s="11"/>
      <c r="O43" s="12"/>
      <c r="P43" s="11"/>
      <c r="Q43" s="13"/>
      <c r="R43" s="14"/>
    </row>
    <row r="44" spans="1:18" ht="15" customHeight="1" x14ac:dyDescent="0.3">
      <c r="A44" s="15" t="s">
        <v>41</v>
      </c>
      <c r="B44" s="15" t="s">
        <v>777</v>
      </c>
      <c r="C44" s="16">
        <v>0.3611111111111111</v>
      </c>
      <c r="D44" s="15" t="s">
        <v>756</v>
      </c>
      <c r="E44" s="15" t="s">
        <v>84</v>
      </c>
      <c r="F44" s="15" t="s">
        <v>780</v>
      </c>
      <c r="G44" s="298"/>
      <c r="H44" s="10"/>
      <c r="I44" s="11"/>
      <c r="J44" s="11"/>
      <c r="K44" s="11"/>
      <c r="L44" s="11"/>
      <c r="M44" s="11"/>
      <c r="N44" s="11"/>
      <c r="O44" s="12"/>
      <c r="P44" s="11"/>
      <c r="Q44" s="13"/>
      <c r="R44" s="14"/>
    </row>
    <row r="45" spans="1:18" ht="15" customHeight="1" x14ac:dyDescent="0.3">
      <c r="A45" s="15" t="s">
        <v>41</v>
      </c>
      <c r="B45" s="15" t="s">
        <v>777</v>
      </c>
      <c r="C45" s="16">
        <v>0.3611111111111111</v>
      </c>
      <c r="D45" s="15" t="s">
        <v>769</v>
      </c>
      <c r="E45" s="15" t="s">
        <v>84</v>
      </c>
      <c r="F45" s="15" t="s">
        <v>781</v>
      </c>
      <c r="G45" s="298"/>
      <c r="H45" s="10"/>
      <c r="I45" s="11"/>
      <c r="J45" s="11"/>
      <c r="K45" s="11"/>
      <c r="L45" s="11"/>
      <c r="M45" s="11"/>
      <c r="N45" s="11"/>
      <c r="O45" s="12"/>
      <c r="P45" s="11"/>
      <c r="Q45" s="13"/>
      <c r="R45" s="14"/>
    </row>
    <row r="46" spans="1:18" ht="15" customHeight="1" x14ac:dyDescent="0.3">
      <c r="A46" s="15" t="s">
        <v>41</v>
      </c>
      <c r="B46" s="15" t="s">
        <v>777</v>
      </c>
      <c r="C46" s="16">
        <v>0.3611111111111111</v>
      </c>
      <c r="D46" s="15" t="s">
        <v>782</v>
      </c>
      <c r="E46" s="15" t="s">
        <v>84</v>
      </c>
      <c r="F46" s="15" t="s">
        <v>149</v>
      </c>
      <c r="G46" s="298"/>
      <c r="H46" s="10"/>
      <c r="I46" s="11"/>
      <c r="J46" s="11"/>
      <c r="K46" s="11"/>
      <c r="L46" s="11"/>
      <c r="M46" s="11"/>
      <c r="N46" s="11"/>
      <c r="O46" s="12"/>
      <c r="P46" s="11"/>
      <c r="Q46" s="13"/>
      <c r="R46" s="14"/>
    </row>
    <row r="47" spans="1:18" ht="15" customHeight="1" x14ac:dyDescent="0.3">
      <c r="A47" s="19" t="s">
        <v>388</v>
      </c>
      <c r="B47" s="19" t="s">
        <v>755</v>
      </c>
      <c r="C47" s="20">
        <v>0.3611111111111111</v>
      </c>
      <c r="D47" s="19" t="s">
        <v>756</v>
      </c>
      <c r="E47" s="19" t="s">
        <v>138</v>
      </c>
      <c r="F47" s="19" t="s">
        <v>783</v>
      </c>
      <c r="G47" s="298"/>
      <c r="H47" s="10"/>
      <c r="I47" s="11"/>
      <c r="J47" s="11"/>
      <c r="K47" s="11"/>
      <c r="L47" s="11"/>
      <c r="M47" s="11"/>
      <c r="N47" s="11"/>
      <c r="O47" s="12"/>
      <c r="P47" s="11"/>
      <c r="Q47" s="13"/>
      <c r="R47" s="14"/>
    </row>
    <row r="48" spans="1:18" ht="15" customHeight="1" x14ac:dyDescent="0.3">
      <c r="A48" s="15" t="s">
        <v>388</v>
      </c>
      <c r="B48" s="15" t="s">
        <v>755</v>
      </c>
      <c r="C48" s="16">
        <v>0.3611111111111111</v>
      </c>
      <c r="D48" s="15" t="s">
        <v>769</v>
      </c>
      <c r="E48" s="15" t="s">
        <v>38</v>
      </c>
      <c r="F48" s="15" t="s">
        <v>784</v>
      </c>
      <c r="G48" s="298"/>
      <c r="H48" s="10"/>
      <c r="I48" s="11"/>
      <c r="J48" s="11"/>
      <c r="K48" s="11"/>
      <c r="L48" s="11"/>
      <c r="M48" s="11"/>
      <c r="N48" s="11"/>
      <c r="O48" s="12"/>
      <c r="P48" s="11"/>
      <c r="Q48" s="13"/>
      <c r="R48" s="14"/>
    </row>
    <row r="49" spans="1:18" ht="15" customHeight="1" x14ac:dyDescent="0.3">
      <c r="A49" s="15" t="s">
        <v>388</v>
      </c>
      <c r="B49" s="15" t="s">
        <v>755</v>
      </c>
      <c r="C49" s="16">
        <v>0.3611111111111111</v>
      </c>
      <c r="D49" s="15" t="s">
        <v>46</v>
      </c>
      <c r="E49" s="15" t="s">
        <v>38</v>
      </c>
      <c r="F49" s="15" t="s">
        <v>785</v>
      </c>
      <c r="G49" s="298"/>
      <c r="H49" s="10"/>
      <c r="I49" s="11"/>
      <c r="J49" s="11"/>
      <c r="K49" s="11"/>
      <c r="L49" s="11"/>
      <c r="M49" s="11"/>
      <c r="N49" s="11"/>
      <c r="O49" s="12"/>
      <c r="P49" s="11"/>
      <c r="Q49" s="13"/>
      <c r="R49" s="14"/>
    </row>
    <row r="50" spans="1:18" ht="15" customHeight="1" x14ac:dyDescent="0.3">
      <c r="A50" s="55" t="s">
        <v>77</v>
      </c>
      <c r="B50" s="55" t="s">
        <v>772</v>
      </c>
      <c r="C50" s="56">
        <v>0.60416666666666663</v>
      </c>
      <c r="D50" s="55" t="s">
        <v>101</v>
      </c>
      <c r="E50" s="55" t="s">
        <v>83</v>
      </c>
      <c r="F50" s="55" t="s">
        <v>420</v>
      </c>
      <c r="G50" s="298"/>
      <c r="H50" s="57" t="s">
        <v>761</v>
      </c>
      <c r="I50" s="58">
        <v>0.9</v>
      </c>
      <c r="J50" s="59">
        <v>162</v>
      </c>
      <c r="K50" s="60">
        <v>45980</v>
      </c>
      <c r="L50" s="59">
        <v>40</v>
      </c>
      <c r="M50" s="59">
        <v>6</v>
      </c>
      <c r="N50" s="59">
        <v>5</v>
      </c>
      <c r="O50" s="61" t="s">
        <v>448</v>
      </c>
      <c r="P50" s="62">
        <v>0.60416666666666663</v>
      </c>
      <c r="Q50" s="59">
        <v>180</v>
      </c>
      <c r="R50" s="63" t="s">
        <v>786</v>
      </c>
    </row>
    <row r="51" spans="1:18" ht="15" customHeight="1" x14ac:dyDescent="0.3">
      <c r="A51" s="198" t="s">
        <v>77</v>
      </c>
      <c r="B51" s="198" t="s">
        <v>787</v>
      </c>
      <c r="C51" s="199">
        <v>0.27083333333333331</v>
      </c>
      <c r="D51" s="198" t="s">
        <v>101</v>
      </c>
      <c r="E51" s="198" t="s">
        <v>58</v>
      </c>
      <c r="F51" s="198" t="s">
        <v>420</v>
      </c>
      <c r="G51" s="298"/>
      <c r="H51" s="131" t="s">
        <v>788</v>
      </c>
      <c r="I51" s="132">
        <v>0.96109999999999995</v>
      </c>
      <c r="J51" s="133">
        <v>173</v>
      </c>
      <c r="K51" s="134">
        <v>45980</v>
      </c>
      <c r="L51" s="133">
        <v>21</v>
      </c>
      <c r="M51" s="133">
        <v>1</v>
      </c>
      <c r="N51" s="133">
        <v>4</v>
      </c>
      <c r="O51" s="135" t="s">
        <v>789</v>
      </c>
      <c r="P51" s="136">
        <v>0.27083333333333331</v>
      </c>
      <c r="Q51" s="133">
        <v>180</v>
      </c>
      <c r="R51" s="137" t="s">
        <v>790</v>
      </c>
    </row>
    <row r="52" spans="1:18" ht="15" customHeight="1" x14ac:dyDescent="0.3">
      <c r="A52" s="19" t="s">
        <v>60</v>
      </c>
      <c r="B52" s="19" t="s">
        <v>758</v>
      </c>
      <c r="C52" s="20">
        <v>0.4513888888888889</v>
      </c>
      <c r="D52" s="19" t="s">
        <v>62</v>
      </c>
      <c r="E52" s="19" t="s">
        <v>63</v>
      </c>
      <c r="F52" s="19" t="s">
        <v>791</v>
      </c>
      <c r="G52" s="298"/>
      <c r="H52" s="10"/>
      <c r="I52" s="11"/>
      <c r="J52" s="11"/>
      <c r="K52" s="11"/>
      <c r="L52" s="11"/>
      <c r="M52" s="11"/>
      <c r="N52" s="11"/>
      <c r="O52" s="12"/>
      <c r="P52" s="11"/>
      <c r="Q52" s="13"/>
      <c r="R52" s="14"/>
    </row>
    <row r="53" spans="1:18" ht="15" customHeight="1" x14ac:dyDescent="0.3">
      <c r="A53" s="15" t="s">
        <v>60</v>
      </c>
      <c r="B53" s="15" t="s">
        <v>758</v>
      </c>
      <c r="C53" s="16">
        <v>0.4513888888888889</v>
      </c>
      <c r="D53" s="15" t="s">
        <v>65</v>
      </c>
      <c r="E53" s="15" t="s">
        <v>66</v>
      </c>
      <c r="F53" s="15" t="s">
        <v>792</v>
      </c>
      <c r="G53" s="298"/>
      <c r="H53" s="10"/>
      <c r="I53" s="11"/>
      <c r="J53" s="11"/>
      <c r="K53" s="11"/>
      <c r="L53" s="11"/>
      <c r="M53" s="11"/>
      <c r="N53" s="11"/>
      <c r="O53" s="12"/>
      <c r="P53" s="11"/>
      <c r="Q53" s="13"/>
      <c r="R53" s="14"/>
    </row>
    <row r="54" spans="1:18" ht="15" customHeight="1" x14ac:dyDescent="0.3">
      <c r="A54" s="17" t="s">
        <v>60</v>
      </c>
      <c r="B54" s="17" t="s">
        <v>760</v>
      </c>
      <c r="C54" s="18">
        <v>0.81944444444444453</v>
      </c>
      <c r="D54" s="17" t="s">
        <v>65</v>
      </c>
      <c r="E54" s="17" t="s">
        <v>54</v>
      </c>
      <c r="F54" s="17" t="s">
        <v>549</v>
      </c>
      <c r="G54" s="298"/>
      <c r="H54" s="10"/>
      <c r="I54" s="11"/>
      <c r="J54" s="11"/>
      <c r="K54" s="11"/>
      <c r="L54" s="11"/>
      <c r="M54" s="11"/>
      <c r="N54" s="11"/>
      <c r="O54" s="12"/>
      <c r="P54" s="11"/>
      <c r="Q54" s="13"/>
      <c r="R54" s="14"/>
    </row>
    <row r="55" spans="1:18" ht="15" customHeight="1" x14ac:dyDescent="0.3">
      <c r="A55" s="19" t="s">
        <v>48</v>
      </c>
      <c r="B55" s="19" t="s">
        <v>793</v>
      </c>
      <c r="C55" s="20">
        <v>0.4236111111111111</v>
      </c>
      <c r="D55" s="19" t="s">
        <v>50</v>
      </c>
      <c r="E55" s="19" t="s">
        <v>63</v>
      </c>
      <c r="F55" s="19" t="s">
        <v>794</v>
      </c>
      <c r="G55" s="298"/>
      <c r="H55" s="10"/>
      <c r="I55" s="11"/>
      <c r="J55" s="11"/>
      <c r="K55" s="11"/>
      <c r="L55" s="11"/>
      <c r="M55" s="11"/>
      <c r="N55" s="11"/>
      <c r="O55" s="12"/>
      <c r="P55" s="11"/>
      <c r="Q55" s="13"/>
      <c r="R55" s="14"/>
    </row>
    <row r="56" spans="1:18" ht="18" x14ac:dyDescent="0.3">
      <c r="A56" s="312" t="s">
        <v>763</v>
      </c>
      <c r="B56" s="313"/>
      <c r="C56" s="313"/>
      <c r="D56" s="313"/>
      <c r="E56" s="313"/>
      <c r="F56" s="314"/>
      <c r="G56" s="298"/>
      <c r="H56" s="138"/>
      <c r="I56" s="138"/>
      <c r="J56" s="138"/>
      <c r="K56" s="138"/>
      <c r="L56" s="138"/>
      <c r="M56" s="138"/>
      <c r="N56" s="138"/>
      <c r="O56" s="139"/>
      <c r="P56" s="138"/>
      <c r="Q56" s="99"/>
      <c r="R56" s="99"/>
    </row>
    <row r="57" spans="1:18" ht="15" customHeight="1" x14ac:dyDescent="0.3">
      <c r="A57" s="17" t="s">
        <v>77</v>
      </c>
      <c r="B57" s="17" t="s">
        <v>370</v>
      </c>
      <c r="C57" s="18" t="s">
        <v>626</v>
      </c>
      <c r="D57" s="17" t="s">
        <v>101</v>
      </c>
      <c r="E57" s="17" t="s">
        <v>260</v>
      </c>
      <c r="F57" s="17" t="s">
        <v>93</v>
      </c>
      <c r="G57" s="298"/>
      <c r="H57" s="138"/>
      <c r="I57" s="138"/>
      <c r="J57" s="138"/>
      <c r="K57" s="138"/>
      <c r="L57" s="138"/>
      <c r="M57" s="138"/>
      <c r="N57" s="138"/>
      <c r="O57" s="139"/>
      <c r="P57" s="138"/>
      <c r="Q57" s="99"/>
      <c r="R57" s="99"/>
    </row>
    <row r="58" spans="1:18" ht="15" customHeight="1" x14ac:dyDescent="0.3">
      <c r="A58" s="17" t="s">
        <v>41</v>
      </c>
      <c r="B58" s="17" t="s">
        <v>340</v>
      </c>
      <c r="C58" s="18" t="s">
        <v>746</v>
      </c>
      <c r="D58" s="17" t="s">
        <v>337</v>
      </c>
      <c r="E58" s="17" t="s">
        <v>254</v>
      </c>
      <c r="F58" s="17" t="s">
        <v>431</v>
      </c>
      <c r="G58" s="298"/>
      <c r="H58" s="138"/>
      <c r="I58" s="138"/>
      <c r="J58" s="138"/>
      <c r="K58" s="138"/>
      <c r="L58" s="138"/>
      <c r="M58" s="138"/>
      <c r="N58" s="138"/>
      <c r="O58" s="139"/>
      <c r="P58" s="138"/>
      <c r="Q58" s="99"/>
      <c r="R58" s="99"/>
    </row>
    <row r="59" spans="1:18" ht="15" customHeight="1" x14ac:dyDescent="0.3">
      <c r="A59" s="17" t="s">
        <v>41</v>
      </c>
      <c r="B59" s="17" t="s">
        <v>340</v>
      </c>
      <c r="C59" s="18" t="s">
        <v>746</v>
      </c>
      <c r="D59" s="17" t="s">
        <v>43</v>
      </c>
      <c r="E59" s="17" t="s">
        <v>795</v>
      </c>
      <c r="F59" s="17" t="s">
        <v>431</v>
      </c>
      <c r="G59" s="298"/>
      <c r="H59" s="138"/>
      <c r="I59" s="138"/>
      <c r="J59" s="138"/>
      <c r="K59" s="138"/>
      <c r="L59" s="138"/>
      <c r="M59" s="138"/>
      <c r="N59" s="138"/>
      <c r="O59" s="139"/>
      <c r="P59" s="138"/>
      <c r="Q59" s="99"/>
      <c r="R59" s="99"/>
    </row>
    <row r="60" spans="1:18" ht="15" customHeight="1" x14ac:dyDescent="0.3">
      <c r="A60" s="17" t="s">
        <v>41</v>
      </c>
      <c r="B60" s="17" t="s">
        <v>344</v>
      </c>
      <c r="C60" s="18" t="s">
        <v>747</v>
      </c>
      <c r="D60" s="17" t="s">
        <v>337</v>
      </c>
      <c r="E60" s="17" t="s">
        <v>262</v>
      </c>
      <c r="F60" s="17" t="s">
        <v>431</v>
      </c>
      <c r="G60" s="298"/>
      <c r="H60" s="138"/>
      <c r="I60" s="138"/>
      <c r="J60" s="138"/>
      <c r="K60" s="138"/>
      <c r="L60" s="138"/>
      <c r="M60" s="138"/>
      <c r="N60" s="138"/>
      <c r="O60" s="139"/>
      <c r="P60" s="138"/>
      <c r="Q60" s="99"/>
      <c r="R60" s="99"/>
    </row>
    <row r="61" spans="1:18" ht="15" customHeight="1" x14ac:dyDescent="0.3">
      <c r="A61" s="17" t="s">
        <v>41</v>
      </c>
      <c r="B61" s="17" t="s">
        <v>344</v>
      </c>
      <c r="C61" s="18" t="s">
        <v>747</v>
      </c>
      <c r="D61" s="17" t="s">
        <v>43</v>
      </c>
      <c r="E61" s="17" t="s">
        <v>255</v>
      </c>
      <c r="F61" s="17" t="s">
        <v>431</v>
      </c>
      <c r="G61" s="298"/>
      <c r="H61" s="138"/>
      <c r="I61" s="138"/>
      <c r="J61" s="138"/>
      <c r="K61" s="138"/>
      <c r="L61" s="138"/>
      <c r="M61" s="138"/>
      <c r="N61" s="138"/>
      <c r="O61" s="139"/>
      <c r="P61" s="138"/>
      <c r="Q61" s="99"/>
      <c r="R61" s="99"/>
    </row>
    <row r="62" spans="1:18" ht="15" customHeight="1" x14ac:dyDescent="0.3">
      <c r="A62" s="17" t="s">
        <v>41</v>
      </c>
      <c r="B62" s="17" t="s">
        <v>347</v>
      </c>
      <c r="C62" s="18" t="s">
        <v>748</v>
      </c>
      <c r="D62" s="17" t="s">
        <v>337</v>
      </c>
      <c r="E62" s="17" t="s">
        <v>275</v>
      </c>
      <c r="F62" s="17" t="s">
        <v>431</v>
      </c>
      <c r="G62" s="298"/>
      <c r="H62" s="138"/>
      <c r="I62" s="138"/>
      <c r="J62" s="138"/>
      <c r="K62" s="138"/>
      <c r="L62" s="138"/>
      <c r="M62" s="138"/>
      <c r="N62" s="138"/>
      <c r="O62" s="139"/>
      <c r="P62" s="138"/>
      <c r="Q62" s="99"/>
      <c r="R62" s="99"/>
    </row>
    <row r="63" spans="1:18" ht="15" customHeight="1" x14ac:dyDescent="0.3">
      <c r="A63" s="17" t="s">
        <v>41</v>
      </c>
      <c r="B63" s="17" t="s">
        <v>347</v>
      </c>
      <c r="C63" s="18" t="s">
        <v>748</v>
      </c>
      <c r="D63" s="17" t="s">
        <v>43</v>
      </c>
      <c r="E63" s="17" t="s">
        <v>303</v>
      </c>
      <c r="F63" s="17" t="s">
        <v>431</v>
      </c>
      <c r="G63" s="298"/>
      <c r="H63" s="138"/>
      <c r="I63" s="138"/>
      <c r="J63" s="138"/>
      <c r="K63" s="138"/>
      <c r="L63" s="138"/>
      <c r="M63" s="138"/>
      <c r="N63" s="138"/>
      <c r="O63" s="139"/>
      <c r="P63" s="138"/>
      <c r="Q63" s="99"/>
      <c r="R63" s="99"/>
    </row>
    <row r="64" spans="1:18" ht="15" customHeight="1" x14ac:dyDescent="0.3">
      <c r="A64" s="17" t="s">
        <v>41</v>
      </c>
      <c r="B64" s="17" t="s">
        <v>336</v>
      </c>
      <c r="C64" s="18" t="s">
        <v>745</v>
      </c>
      <c r="D64" s="17" t="s">
        <v>337</v>
      </c>
      <c r="E64" s="17" t="s">
        <v>795</v>
      </c>
      <c r="F64" s="17" t="s">
        <v>431</v>
      </c>
      <c r="G64" s="298"/>
      <c r="H64" s="138"/>
      <c r="I64" s="138"/>
      <c r="J64" s="138"/>
      <c r="K64" s="138"/>
      <c r="L64" s="138"/>
      <c r="M64" s="138"/>
      <c r="N64" s="138"/>
      <c r="O64" s="139"/>
      <c r="P64" s="138"/>
      <c r="Q64" s="99"/>
      <c r="R64" s="99"/>
    </row>
    <row r="65" spans="1:18" ht="15" customHeight="1" x14ac:dyDescent="0.3">
      <c r="A65" s="17" t="s">
        <v>41</v>
      </c>
      <c r="B65" s="17" t="s">
        <v>336</v>
      </c>
      <c r="C65" s="18" t="s">
        <v>745</v>
      </c>
      <c r="D65" s="17" t="s">
        <v>43</v>
      </c>
      <c r="E65" s="17" t="s">
        <v>795</v>
      </c>
      <c r="F65" s="17" t="s">
        <v>431</v>
      </c>
      <c r="G65" s="298"/>
      <c r="H65" s="138"/>
      <c r="I65" s="138"/>
      <c r="J65" s="138"/>
      <c r="K65" s="138"/>
      <c r="L65" s="138"/>
      <c r="M65" s="138"/>
      <c r="N65" s="138"/>
      <c r="O65" s="139"/>
      <c r="P65" s="138"/>
      <c r="Q65" s="99"/>
      <c r="R65" s="99"/>
    </row>
    <row r="66" spans="1:18" ht="15" customHeight="1" thickBot="1" x14ac:dyDescent="0.35">
      <c r="A66" s="39" t="s">
        <v>26</v>
      </c>
      <c r="B66" s="39" t="s">
        <v>358</v>
      </c>
      <c r="C66" s="40" t="s">
        <v>748</v>
      </c>
      <c r="D66" s="39" t="s">
        <v>351</v>
      </c>
      <c r="E66" s="39" t="s">
        <v>273</v>
      </c>
      <c r="F66" s="39" t="s">
        <v>44</v>
      </c>
      <c r="G66" s="299"/>
      <c r="H66" s="140"/>
      <c r="I66" s="140"/>
      <c r="J66" s="140"/>
      <c r="K66" s="140"/>
      <c r="L66" s="140"/>
      <c r="M66" s="140"/>
      <c r="N66" s="140"/>
      <c r="O66" s="141"/>
      <c r="P66" s="140"/>
      <c r="Q66" s="142"/>
      <c r="R66" s="142"/>
    </row>
    <row r="67" spans="1:18" ht="17.399999999999999" customHeight="1" thickBot="1" x14ac:dyDescent="0.35">
      <c r="A67" s="329"/>
      <c r="B67" s="330"/>
      <c r="C67" s="330"/>
      <c r="D67" s="330"/>
      <c r="E67" s="330"/>
      <c r="F67" s="330"/>
      <c r="G67" s="330"/>
      <c r="H67" s="330"/>
      <c r="I67" s="330"/>
      <c r="J67" s="330"/>
      <c r="K67" s="330"/>
      <c r="L67" s="330"/>
      <c r="M67" s="330"/>
      <c r="N67" s="330"/>
      <c r="O67" s="330"/>
      <c r="P67" s="330"/>
      <c r="Q67" s="330"/>
      <c r="R67" s="331"/>
    </row>
    <row r="68" spans="1:18" ht="22.05" customHeight="1" thickTop="1" thickBot="1" x14ac:dyDescent="0.35">
      <c r="A68" s="300" t="s">
        <v>6</v>
      </c>
      <c r="B68" s="295"/>
      <c r="C68" s="295"/>
      <c r="D68" s="295"/>
      <c r="E68" s="295"/>
      <c r="F68" s="296"/>
      <c r="G68" s="31">
        <v>45984</v>
      </c>
      <c r="H68" s="294" t="s">
        <v>7</v>
      </c>
      <c r="I68" s="295"/>
      <c r="J68" s="295"/>
      <c r="K68" s="295"/>
      <c r="L68" s="295"/>
      <c r="M68" s="295"/>
      <c r="N68" s="295"/>
      <c r="O68" s="295"/>
      <c r="P68" s="295"/>
      <c r="Q68" s="295"/>
      <c r="R68" s="296"/>
    </row>
    <row r="69" spans="1:18" ht="24" customHeight="1" x14ac:dyDescent="0.3">
      <c r="A69" s="32" t="s">
        <v>8</v>
      </c>
      <c r="B69" s="32" t="s">
        <v>9</v>
      </c>
      <c r="C69" s="33" t="s">
        <v>10</v>
      </c>
      <c r="D69" s="32" t="s">
        <v>11</v>
      </c>
      <c r="E69" s="32" t="s">
        <v>12</v>
      </c>
      <c r="F69" s="34" t="s">
        <v>13</v>
      </c>
      <c r="G69" s="35" t="s">
        <v>14</v>
      </c>
      <c r="H69" s="32" t="s">
        <v>15</v>
      </c>
      <c r="I69" s="36" t="s">
        <v>16</v>
      </c>
      <c r="J69" s="37" t="s">
        <v>17</v>
      </c>
      <c r="K69" s="38" t="s">
        <v>18</v>
      </c>
      <c r="L69" s="37" t="s">
        <v>19</v>
      </c>
      <c r="M69" s="37" t="s">
        <v>20</v>
      </c>
      <c r="N69" s="37" t="s">
        <v>21</v>
      </c>
      <c r="O69" s="32" t="s">
        <v>22</v>
      </c>
      <c r="P69" s="33" t="s">
        <v>23</v>
      </c>
      <c r="Q69" s="37" t="s">
        <v>24</v>
      </c>
      <c r="R69" s="32" t="s">
        <v>25</v>
      </c>
    </row>
    <row r="70" spans="1:18" ht="15" customHeight="1" x14ac:dyDescent="0.3">
      <c r="A70" s="8" t="s">
        <v>388</v>
      </c>
      <c r="B70" s="8" t="s">
        <v>755</v>
      </c>
      <c r="C70" s="9">
        <v>0.3611111111111111</v>
      </c>
      <c r="D70" s="8" t="s">
        <v>756</v>
      </c>
      <c r="E70" s="8" t="s">
        <v>138</v>
      </c>
      <c r="F70" s="8" t="s">
        <v>796</v>
      </c>
      <c r="G70" s="297"/>
      <c r="H70" s="10"/>
      <c r="I70" s="11"/>
      <c r="J70" s="11"/>
      <c r="K70" s="11"/>
      <c r="L70" s="11"/>
      <c r="M70" s="11"/>
      <c r="N70" s="11"/>
      <c r="O70" s="12"/>
      <c r="P70" s="11"/>
      <c r="Q70" s="13"/>
      <c r="R70" s="14"/>
    </row>
    <row r="71" spans="1:18" ht="15" customHeight="1" x14ac:dyDescent="0.3">
      <c r="A71" s="15" t="s">
        <v>388</v>
      </c>
      <c r="B71" s="15" t="s">
        <v>755</v>
      </c>
      <c r="C71" s="16">
        <v>0.3611111111111111</v>
      </c>
      <c r="D71" s="15" t="s">
        <v>769</v>
      </c>
      <c r="E71" s="15" t="s">
        <v>38</v>
      </c>
      <c r="F71" s="15" t="s">
        <v>797</v>
      </c>
      <c r="G71" s="298"/>
      <c r="H71" s="10"/>
      <c r="I71" s="11"/>
      <c r="J71" s="11"/>
      <c r="K71" s="11"/>
      <c r="L71" s="11"/>
      <c r="M71" s="11"/>
      <c r="N71" s="11"/>
      <c r="O71" s="12"/>
      <c r="P71" s="11"/>
      <c r="Q71" s="13"/>
      <c r="R71" s="14"/>
    </row>
    <row r="72" spans="1:18" ht="15" customHeight="1" x14ac:dyDescent="0.3">
      <c r="A72" s="15" t="s">
        <v>388</v>
      </c>
      <c r="B72" s="15" t="s">
        <v>755</v>
      </c>
      <c r="C72" s="16">
        <v>0.3611111111111111</v>
      </c>
      <c r="D72" s="15" t="s">
        <v>46</v>
      </c>
      <c r="E72" s="15" t="s">
        <v>38</v>
      </c>
      <c r="F72" s="15" t="s">
        <v>798</v>
      </c>
      <c r="G72" s="298"/>
      <c r="H72" s="10"/>
      <c r="I72" s="11"/>
      <c r="J72" s="11"/>
      <c r="K72" s="11"/>
      <c r="L72" s="11"/>
      <c r="M72" s="11"/>
      <c r="N72" s="11"/>
      <c r="O72" s="12"/>
      <c r="P72" s="11"/>
      <c r="Q72" s="13"/>
      <c r="R72" s="14"/>
    </row>
    <row r="73" spans="1:18" ht="15" customHeight="1" x14ac:dyDescent="0.3">
      <c r="A73" s="75" t="s">
        <v>77</v>
      </c>
      <c r="B73" s="75" t="s">
        <v>772</v>
      </c>
      <c r="C73" s="76">
        <v>0.49652777777777768</v>
      </c>
      <c r="D73" s="75" t="s">
        <v>101</v>
      </c>
      <c r="E73" s="75" t="s">
        <v>83</v>
      </c>
      <c r="F73" s="75" t="s">
        <v>420</v>
      </c>
      <c r="G73" s="298"/>
      <c r="H73" s="78" t="s">
        <v>761</v>
      </c>
      <c r="I73" s="79">
        <v>0.96109999999999995</v>
      </c>
      <c r="J73" s="80">
        <v>173</v>
      </c>
      <c r="K73" s="81">
        <v>45980</v>
      </c>
      <c r="L73" s="80">
        <v>21</v>
      </c>
      <c r="M73" s="80">
        <v>6</v>
      </c>
      <c r="N73" s="80">
        <v>9</v>
      </c>
      <c r="O73" s="82" t="s">
        <v>448</v>
      </c>
      <c r="P73" s="83">
        <v>0.49652777777777768</v>
      </c>
      <c r="Q73" s="80">
        <v>180</v>
      </c>
      <c r="R73" s="84" t="s">
        <v>799</v>
      </c>
    </row>
    <row r="74" spans="1:18" ht="15" customHeight="1" x14ac:dyDescent="0.3">
      <c r="A74" s="222" t="s">
        <v>77</v>
      </c>
      <c r="B74" s="222" t="s">
        <v>787</v>
      </c>
      <c r="C74" s="223">
        <v>0.57986111111111105</v>
      </c>
      <c r="D74" s="222" t="s">
        <v>101</v>
      </c>
      <c r="E74" s="222" t="s">
        <v>54</v>
      </c>
      <c r="F74" s="222" t="s">
        <v>420</v>
      </c>
      <c r="G74" s="298"/>
      <c r="H74" s="206" t="s">
        <v>788</v>
      </c>
      <c r="I74" s="225">
        <v>0.88890000000000002</v>
      </c>
      <c r="J74" s="208">
        <v>160</v>
      </c>
      <c r="K74" s="209">
        <v>45979</v>
      </c>
      <c r="L74" s="208">
        <v>30</v>
      </c>
      <c r="M74" s="208">
        <v>0</v>
      </c>
      <c r="N74" s="208">
        <v>12</v>
      </c>
      <c r="O74" s="210" t="s">
        <v>422</v>
      </c>
      <c r="P74" s="211">
        <v>0.57986111111111105</v>
      </c>
      <c r="Q74" s="208">
        <v>180</v>
      </c>
      <c r="R74" s="212" t="s">
        <v>800</v>
      </c>
    </row>
    <row r="75" spans="1:18" ht="15" customHeight="1" x14ac:dyDescent="0.3">
      <c r="A75" s="19" t="s">
        <v>60</v>
      </c>
      <c r="B75" s="19" t="s">
        <v>760</v>
      </c>
      <c r="C75" s="20">
        <v>0.81944444444444453</v>
      </c>
      <c r="D75" s="19" t="s">
        <v>65</v>
      </c>
      <c r="E75" s="19" t="s">
        <v>139</v>
      </c>
      <c r="F75" s="19" t="s">
        <v>759</v>
      </c>
      <c r="G75" s="298"/>
      <c r="H75" s="10"/>
      <c r="I75" s="11"/>
      <c r="J75" s="11"/>
      <c r="K75" s="11"/>
      <c r="L75" s="11"/>
      <c r="M75" s="11"/>
      <c r="N75" s="11"/>
      <c r="O75" s="12"/>
      <c r="P75" s="11"/>
      <c r="Q75" s="13"/>
      <c r="R75" s="14"/>
    </row>
    <row r="76" spans="1:18" ht="18" x14ac:dyDescent="0.3">
      <c r="A76" s="312" t="s">
        <v>763</v>
      </c>
      <c r="B76" s="313"/>
      <c r="C76" s="313"/>
      <c r="D76" s="313"/>
      <c r="E76" s="313"/>
      <c r="F76" s="314"/>
      <c r="G76" s="298"/>
      <c r="H76" s="138"/>
      <c r="I76" s="138"/>
      <c r="J76" s="138"/>
      <c r="K76" s="138"/>
      <c r="L76" s="138"/>
      <c r="M76" s="138"/>
      <c r="N76" s="138"/>
      <c r="O76" s="139"/>
      <c r="P76" s="138"/>
      <c r="Q76" s="99"/>
      <c r="R76" s="99"/>
    </row>
    <row r="77" spans="1:18" ht="15" customHeight="1" x14ac:dyDescent="0.3">
      <c r="A77" s="17" t="s">
        <v>41</v>
      </c>
      <c r="B77" s="17" t="s">
        <v>340</v>
      </c>
      <c r="C77" s="18" t="s">
        <v>746</v>
      </c>
      <c r="D77" s="17" t="s">
        <v>43</v>
      </c>
      <c r="E77" s="17" t="s">
        <v>259</v>
      </c>
      <c r="F77" s="17" t="s">
        <v>342</v>
      </c>
      <c r="G77" s="298"/>
      <c r="H77" s="138"/>
      <c r="I77" s="138"/>
      <c r="J77" s="138"/>
      <c r="K77" s="138"/>
      <c r="L77" s="138"/>
      <c r="M77" s="138"/>
      <c r="N77" s="138"/>
      <c r="O77" s="139"/>
      <c r="P77" s="138"/>
      <c r="Q77" s="99"/>
      <c r="R77" s="99"/>
    </row>
    <row r="78" spans="1:18" ht="15" customHeight="1" x14ac:dyDescent="0.3">
      <c r="A78" s="17" t="s">
        <v>41</v>
      </c>
      <c r="B78" s="17" t="s">
        <v>344</v>
      </c>
      <c r="C78" s="18" t="s">
        <v>747</v>
      </c>
      <c r="D78" s="17" t="s">
        <v>337</v>
      </c>
      <c r="E78" s="17" t="s">
        <v>262</v>
      </c>
      <c r="F78" s="17" t="s">
        <v>342</v>
      </c>
      <c r="G78" s="298"/>
      <c r="H78" s="138"/>
      <c r="I78" s="138"/>
      <c r="J78" s="138"/>
      <c r="K78" s="138"/>
      <c r="L78" s="138"/>
      <c r="M78" s="138"/>
      <c r="N78" s="138"/>
      <c r="O78" s="139"/>
      <c r="P78" s="138"/>
      <c r="Q78" s="99"/>
      <c r="R78" s="99"/>
    </row>
    <row r="79" spans="1:18" ht="15" customHeight="1" x14ac:dyDescent="0.3">
      <c r="A79" s="17" t="s">
        <v>41</v>
      </c>
      <c r="B79" s="17" t="s">
        <v>344</v>
      </c>
      <c r="C79" s="18" t="s">
        <v>747</v>
      </c>
      <c r="D79" s="17" t="s">
        <v>43</v>
      </c>
      <c r="E79" s="17" t="s">
        <v>262</v>
      </c>
      <c r="F79" s="17" t="s">
        <v>342</v>
      </c>
      <c r="G79" s="298"/>
      <c r="H79" s="138"/>
      <c r="I79" s="138"/>
      <c r="J79" s="138"/>
      <c r="K79" s="138"/>
      <c r="L79" s="138"/>
      <c r="M79" s="138"/>
      <c r="N79" s="138"/>
      <c r="O79" s="139"/>
      <c r="P79" s="138"/>
      <c r="Q79" s="99"/>
      <c r="R79" s="99"/>
    </row>
    <row r="80" spans="1:18" ht="15" customHeight="1" x14ac:dyDescent="0.3">
      <c r="A80" s="17" t="s">
        <v>26</v>
      </c>
      <c r="B80" s="17" t="s">
        <v>354</v>
      </c>
      <c r="C80" s="18" t="s">
        <v>751</v>
      </c>
      <c r="D80" s="17" t="s">
        <v>28</v>
      </c>
      <c r="E80" s="17" t="s">
        <v>269</v>
      </c>
      <c r="F80" s="17" t="s">
        <v>93</v>
      </c>
      <c r="G80" s="298"/>
      <c r="H80" s="138"/>
      <c r="I80" s="138"/>
      <c r="J80" s="138"/>
      <c r="K80" s="138"/>
      <c r="L80" s="138"/>
      <c r="M80" s="138"/>
      <c r="N80" s="138"/>
      <c r="O80" s="139"/>
      <c r="P80" s="138"/>
      <c r="Q80" s="99"/>
      <c r="R80" s="99"/>
    </row>
    <row r="81" spans="1:18" ht="15" customHeight="1" x14ac:dyDescent="0.3">
      <c r="A81" s="17" t="s">
        <v>26</v>
      </c>
      <c r="B81" s="17" t="s">
        <v>350</v>
      </c>
      <c r="C81" s="18" t="s">
        <v>749</v>
      </c>
      <c r="D81" s="17" t="s">
        <v>28</v>
      </c>
      <c r="E81" s="17" t="s">
        <v>269</v>
      </c>
      <c r="F81" s="17" t="s">
        <v>93</v>
      </c>
      <c r="G81" s="298"/>
      <c r="H81" s="138"/>
      <c r="I81" s="138"/>
      <c r="J81" s="138"/>
      <c r="K81" s="138"/>
      <c r="L81" s="138"/>
      <c r="M81" s="138"/>
      <c r="N81" s="138"/>
      <c r="O81" s="139"/>
      <c r="P81" s="138"/>
      <c r="Q81" s="99"/>
      <c r="R81" s="99"/>
    </row>
    <row r="82" spans="1:18" ht="15" customHeight="1" x14ac:dyDescent="0.3">
      <c r="A82" s="17" t="s">
        <v>26</v>
      </c>
      <c r="B82" s="17" t="s">
        <v>352</v>
      </c>
      <c r="C82" s="18" t="s">
        <v>750</v>
      </c>
      <c r="D82" s="17" t="s">
        <v>351</v>
      </c>
      <c r="E82" s="17" t="s">
        <v>255</v>
      </c>
      <c r="F82" s="17" t="s">
        <v>93</v>
      </c>
      <c r="G82" s="298"/>
      <c r="H82" s="138"/>
      <c r="I82" s="138"/>
      <c r="J82" s="138"/>
      <c r="K82" s="138"/>
      <c r="L82" s="138"/>
      <c r="M82" s="138"/>
      <c r="N82" s="138"/>
      <c r="O82" s="139"/>
      <c r="P82" s="138"/>
      <c r="Q82" s="99"/>
      <c r="R82" s="99"/>
    </row>
    <row r="83" spans="1:18" ht="15" customHeight="1" x14ac:dyDescent="0.3">
      <c r="A83" s="17" t="s">
        <v>26</v>
      </c>
      <c r="B83" s="17" t="s">
        <v>352</v>
      </c>
      <c r="C83" s="18" t="s">
        <v>750</v>
      </c>
      <c r="D83" s="17" t="s">
        <v>28</v>
      </c>
      <c r="E83" s="17" t="s">
        <v>255</v>
      </c>
      <c r="F83" s="17" t="s">
        <v>93</v>
      </c>
      <c r="G83" s="298"/>
      <c r="H83" s="138"/>
      <c r="I83" s="138"/>
      <c r="J83" s="138"/>
      <c r="K83" s="138"/>
      <c r="L83" s="138"/>
      <c r="M83" s="138"/>
      <c r="N83" s="138"/>
      <c r="O83" s="139"/>
      <c r="P83" s="138"/>
      <c r="Q83" s="99"/>
      <c r="R83" s="99"/>
    </row>
    <row r="84" spans="1:18" ht="15" customHeight="1" x14ac:dyDescent="0.3">
      <c r="A84" s="17" t="s">
        <v>26</v>
      </c>
      <c r="B84" s="17" t="s">
        <v>360</v>
      </c>
      <c r="C84" s="18" t="s">
        <v>801</v>
      </c>
      <c r="D84" s="17" t="s">
        <v>351</v>
      </c>
      <c r="E84" s="17" t="s">
        <v>260</v>
      </c>
      <c r="F84" s="17" t="s">
        <v>93</v>
      </c>
      <c r="G84" s="298"/>
      <c r="H84" s="138"/>
      <c r="I84" s="138"/>
      <c r="J84" s="138"/>
      <c r="K84" s="138"/>
      <c r="L84" s="138"/>
      <c r="M84" s="138"/>
      <c r="N84" s="138"/>
      <c r="O84" s="139"/>
      <c r="P84" s="138"/>
      <c r="Q84" s="99"/>
      <c r="R84" s="99"/>
    </row>
    <row r="85" spans="1:18" ht="15" customHeight="1" x14ac:dyDescent="0.3">
      <c r="A85" s="17" t="s">
        <v>26</v>
      </c>
      <c r="B85" s="17" t="s">
        <v>360</v>
      </c>
      <c r="C85" s="18" t="s">
        <v>801</v>
      </c>
      <c r="D85" s="17" t="s">
        <v>28</v>
      </c>
      <c r="E85" s="17" t="s">
        <v>260</v>
      </c>
      <c r="F85" s="17" t="s">
        <v>93</v>
      </c>
      <c r="G85" s="298"/>
      <c r="H85" s="138"/>
      <c r="I85" s="138"/>
      <c r="J85" s="138"/>
      <c r="K85" s="138"/>
      <c r="L85" s="138"/>
      <c r="M85" s="138"/>
      <c r="N85" s="138"/>
      <c r="O85" s="139"/>
      <c r="P85" s="138"/>
      <c r="Q85" s="99"/>
      <c r="R85" s="99"/>
    </row>
    <row r="86" spans="1:18" ht="15" customHeight="1" thickBot="1" x14ac:dyDescent="0.35">
      <c r="A86" s="39" t="s">
        <v>26</v>
      </c>
      <c r="B86" s="39" t="s">
        <v>358</v>
      </c>
      <c r="C86" s="40" t="s">
        <v>748</v>
      </c>
      <c r="D86" s="39" t="s">
        <v>351</v>
      </c>
      <c r="E86" s="39" t="s">
        <v>260</v>
      </c>
      <c r="F86" s="39" t="s">
        <v>93</v>
      </c>
      <c r="G86" s="299"/>
      <c r="H86" s="140"/>
      <c r="I86" s="140"/>
      <c r="J86" s="140"/>
      <c r="K86" s="140"/>
      <c r="L86" s="140"/>
      <c r="M86" s="140"/>
      <c r="N86" s="140"/>
      <c r="O86" s="141"/>
      <c r="P86" s="140"/>
      <c r="Q86" s="142"/>
      <c r="R86" s="142"/>
    </row>
    <row r="87" spans="1:18" ht="17.399999999999999" customHeight="1" thickBot="1" x14ac:dyDescent="0.35">
      <c r="A87" s="329"/>
      <c r="B87" s="330"/>
      <c r="C87" s="330"/>
      <c r="D87" s="330"/>
      <c r="E87" s="330"/>
      <c r="F87" s="330"/>
      <c r="G87" s="330"/>
      <c r="H87" s="330"/>
      <c r="I87" s="330"/>
      <c r="J87" s="330"/>
      <c r="K87" s="330"/>
      <c r="L87" s="330"/>
      <c r="M87" s="330"/>
      <c r="N87" s="330"/>
      <c r="O87" s="330"/>
      <c r="P87" s="330"/>
      <c r="Q87" s="330"/>
      <c r="R87" s="331"/>
    </row>
    <row r="88" spans="1:18" ht="22.05" customHeight="1" thickTop="1" thickBot="1" x14ac:dyDescent="0.35">
      <c r="A88" s="300" t="s">
        <v>6</v>
      </c>
      <c r="B88" s="295"/>
      <c r="C88" s="295"/>
      <c r="D88" s="295"/>
      <c r="E88" s="295"/>
      <c r="F88" s="296"/>
      <c r="G88" s="31">
        <v>45985</v>
      </c>
      <c r="H88" s="294" t="s">
        <v>7</v>
      </c>
      <c r="I88" s="295"/>
      <c r="J88" s="295"/>
      <c r="K88" s="295"/>
      <c r="L88" s="295"/>
      <c r="M88" s="295"/>
      <c r="N88" s="295"/>
      <c r="O88" s="295"/>
      <c r="P88" s="295"/>
      <c r="Q88" s="295"/>
      <c r="R88" s="296"/>
    </row>
    <row r="89" spans="1:18" ht="24" customHeight="1" x14ac:dyDescent="0.3">
      <c r="A89" s="32" t="s">
        <v>8</v>
      </c>
      <c r="B89" s="32" t="s">
        <v>9</v>
      </c>
      <c r="C89" s="33" t="s">
        <v>10</v>
      </c>
      <c r="D89" s="32" t="s">
        <v>11</v>
      </c>
      <c r="E89" s="32" t="s">
        <v>12</v>
      </c>
      <c r="F89" s="34" t="s">
        <v>13</v>
      </c>
      <c r="G89" s="35" t="s">
        <v>14</v>
      </c>
      <c r="H89" s="32" t="s">
        <v>15</v>
      </c>
      <c r="I89" s="36" t="s">
        <v>16</v>
      </c>
      <c r="J89" s="37" t="s">
        <v>17</v>
      </c>
      <c r="K89" s="38" t="s">
        <v>18</v>
      </c>
      <c r="L89" s="37" t="s">
        <v>19</v>
      </c>
      <c r="M89" s="37" t="s">
        <v>20</v>
      </c>
      <c r="N89" s="37" t="s">
        <v>21</v>
      </c>
      <c r="O89" s="32" t="s">
        <v>22</v>
      </c>
      <c r="P89" s="33" t="s">
        <v>23</v>
      </c>
      <c r="Q89" s="37" t="s">
        <v>24</v>
      </c>
      <c r="R89" s="32" t="s">
        <v>25</v>
      </c>
    </row>
    <row r="90" spans="1:18" ht="15" customHeight="1" x14ac:dyDescent="0.3">
      <c r="A90" s="8" t="s">
        <v>388</v>
      </c>
      <c r="B90" s="8" t="s">
        <v>802</v>
      </c>
      <c r="C90" s="9">
        <v>0.12847222222222221</v>
      </c>
      <c r="D90" s="8" t="s">
        <v>756</v>
      </c>
      <c r="E90" s="8" t="s">
        <v>138</v>
      </c>
      <c r="F90" s="8" t="s">
        <v>803</v>
      </c>
      <c r="G90" s="304"/>
      <c r="H90" s="10"/>
      <c r="I90" s="11"/>
      <c r="J90" s="11"/>
      <c r="K90" s="11"/>
      <c r="L90" s="11"/>
      <c r="M90" s="11"/>
      <c r="N90" s="11"/>
      <c r="O90" s="12"/>
      <c r="P90" s="11"/>
      <c r="Q90" s="13"/>
      <c r="R90" s="14"/>
    </row>
    <row r="91" spans="1:18" ht="15" customHeight="1" x14ac:dyDescent="0.3">
      <c r="A91" s="15" t="s">
        <v>388</v>
      </c>
      <c r="B91" s="15" t="s">
        <v>802</v>
      </c>
      <c r="C91" s="16">
        <v>0.12847222222222221</v>
      </c>
      <c r="D91" s="15" t="s">
        <v>769</v>
      </c>
      <c r="E91" s="15" t="s">
        <v>38</v>
      </c>
      <c r="F91" s="15" t="s">
        <v>804</v>
      </c>
      <c r="G91" s="298"/>
      <c r="H91" s="10"/>
      <c r="I91" s="11"/>
      <c r="J91" s="11"/>
      <c r="K91" s="11"/>
      <c r="L91" s="11"/>
      <c r="M91" s="11"/>
      <c r="N91" s="11"/>
      <c r="O91" s="12"/>
      <c r="P91" s="11"/>
      <c r="Q91" s="13"/>
      <c r="R91" s="14"/>
    </row>
    <row r="92" spans="1:18" ht="15" customHeight="1" x14ac:dyDescent="0.3">
      <c r="A92" s="15" t="s">
        <v>388</v>
      </c>
      <c r="B92" s="15" t="s">
        <v>802</v>
      </c>
      <c r="C92" s="16">
        <v>0.12847222222222221</v>
      </c>
      <c r="D92" s="15" t="s">
        <v>46</v>
      </c>
      <c r="E92" s="15" t="s">
        <v>38</v>
      </c>
      <c r="F92" s="15" t="s">
        <v>805</v>
      </c>
      <c r="G92" s="298"/>
      <c r="H92" s="10"/>
      <c r="I92" s="11"/>
      <c r="J92" s="11"/>
      <c r="K92" s="11"/>
      <c r="L92" s="11"/>
      <c r="M92" s="11"/>
      <c r="N92" s="11"/>
      <c r="O92" s="12"/>
      <c r="P92" s="11"/>
      <c r="Q92" s="13"/>
      <c r="R92" s="14"/>
    </row>
    <row r="93" spans="1:18" ht="15" customHeight="1" x14ac:dyDescent="0.3">
      <c r="A93" s="19" t="s">
        <v>60</v>
      </c>
      <c r="B93" s="19" t="s">
        <v>760</v>
      </c>
      <c r="C93" s="20">
        <v>0.81944444444444453</v>
      </c>
      <c r="D93" s="19" t="s">
        <v>65</v>
      </c>
      <c r="E93" s="19" t="s">
        <v>118</v>
      </c>
      <c r="F93" s="19" t="s">
        <v>759</v>
      </c>
      <c r="G93" s="298"/>
      <c r="H93" s="10"/>
      <c r="I93" s="11"/>
      <c r="J93" s="11"/>
      <c r="K93" s="11"/>
      <c r="L93" s="11"/>
      <c r="M93" s="11"/>
      <c r="N93" s="11"/>
      <c r="O93" s="12"/>
      <c r="P93" s="11"/>
      <c r="Q93" s="13"/>
      <c r="R93" s="14"/>
    </row>
    <row r="94" spans="1:18" ht="15" customHeight="1" x14ac:dyDescent="0.3">
      <c r="A94" s="154" t="s">
        <v>77</v>
      </c>
      <c r="B94" s="154" t="s">
        <v>788</v>
      </c>
      <c r="C94" s="155">
        <v>0.14930555555555561</v>
      </c>
      <c r="D94" s="154" t="s">
        <v>79</v>
      </c>
      <c r="E94" s="156"/>
      <c r="F94" s="154" t="s">
        <v>80</v>
      </c>
      <c r="G94" s="298"/>
      <c r="H94" s="157" t="s">
        <v>788</v>
      </c>
      <c r="I94" s="158">
        <v>0.99439999999999995</v>
      </c>
      <c r="J94" s="159">
        <v>179</v>
      </c>
      <c r="K94" s="160">
        <v>45980</v>
      </c>
      <c r="L94" s="159">
        <v>20</v>
      </c>
      <c r="M94" s="159">
        <v>1</v>
      </c>
      <c r="N94" s="159">
        <v>5</v>
      </c>
      <c r="O94" s="161" t="s">
        <v>81</v>
      </c>
      <c r="P94" s="162">
        <v>0.14930555555555561</v>
      </c>
      <c r="Q94" s="159">
        <v>180</v>
      </c>
      <c r="R94" s="163" t="s">
        <v>806</v>
      </c>
    </row>
    <row r="95" spans="1:18" ht="15" customHeight="1" x14ac:dyDescent="0.3">
      <c r="A95" s="222" t="s">
        <v>77</v>
      </c>
      <c r="B95" s="222" t="s">
        <v>761</v>
      </c>
      <c r="C95" s="223">
        <v>0.45833333333333331</v>
      </c>
      <c r="D95" s="222" t="s">
        <v>79</v>
      </c>
      <c r="E95" s="224"/>
      <c r="F95" s="222" t="s">
        <v>80</v>
      </c>
      <c r="G95" s="298"/>
      <c r="H95" s="206" t="s">
        <v>761</v>
      </c>
      <c r="I95" s="225">
        <v>1</v>
      </c>
      <c r="J95" s="208">
        <v>180</v>
      </c>
      <c r="K95" s="209">
        <v>45980</v>
      </c>
      <c r="L95" s="208">
        <v>24</v>
      </c>
      <c r="M95" s="208">
        <v>1</v>
      </c>
      <c r="N95" s="208">
        <v>7</v>
      </c>
      <c r="O95" s="210" t="s">
        <v>81</v>
      </c>
      <c r="P95" s="211">
        <v>0.45833333333333331</v>
      </c>
      <c r="Q95" s="208">
        <v>180</v>
      </c>
      <c r="R95" s="212" t="s">
        <v>807</v>
      </c>
    </row>
    <row r="96" spans="1:18" ht="18" x14ac:dyDescent="0.3">
      <c r="A96" s="312" t="s">
        <v>763</v>
      </c>
      <c r="B96" s="313"/>
      <c r="C96" s="313"/>
      <c r="D96" s="313"/>
      <c r="E96" s="313"/>
      <c r="F96" s="314"/>
      <c r="G96" s="298"/>
      <c r="H96" s="138"/>
      <c r="I96" s="138"/>
      <c r="J96" s="138"/>
      <c r="K96" s="138"/>
      <c r="L96" s="138"/>
      <c r="M96" s="138"/>
      <c r="N96" s="138"/>
      <c r="O96" s="139"/>
      <c r="P96" s="138"/>
      <c r="Q96" s="99"/>
      <c r="R96" s="99"/>
    </row>
    <row r="97" spans="1:18" ht="15" customHeight="1" x14ac:dyDescent="0.3">
      <c r="A97" s="17" t="s">
        <v>41</v>
      </c>
      <c r="B97" s="17" t="s">
        <v>340</v>
      </c>
      <c r="C97" s="18" t="s">
        <v>746</v>
      </c>
      <c r="D97" s="17" t="s">
        <v>43</v>
      </c>
      <c r="E97" s="17" t="s">
        <v>303</v>
      </c>
      <c r="F97" s="17" t="s">
        <v>431</v>
      </c>
      <c r="G97" s="298"/>
      <c r="H97" s="138"/>
      <c r="I97" s="138"/>
      <c r="J97" s="138"/>
      <c r="K97" s="138"/>
      <c r="L97" s="138"/>
      <c r="M97" s="138"/>
      <c r="N97" s="138"/>
      <c r="O97" s="139"/>
      <c r="P97" s="138"/>
      <c r="Q97" s="99"/>
      <c r="R97" s="99"/>
    </row>
    <row r="98" spans="1:18" ht="15" customHeight="1" x14ac:dyDescent="0.3">
      <c r="A98" s="17" t="s">
        <v>41</v>
      </c>
      <c r="B98" s="17" t="s">
        <v>344</v>
      </c>
      <c r="C98" s="18" t="s">
        <v>747</v>
      </c>
      <c r="D98" s="17" t="s">
        <v>43</v>
      </c>
      <c r="E98" s="17" t="s">
        <v>259</v>
      </c>
      <c r="F98" s="17" t="s">
        <v>431</v>
      </c>
      <c r="G98" s="298"/>
      <c r="H98" s="138"/>
      <c r="I98" s="138"/>
      <c r="J98" s="138"/>
      <c r="K98" s="138"/>
      <c r="L98" s="138"/>
      <c r="M98" s="138"/>
      <c r="N98" s="138"/>
      <c r="O98" s="139"/>
      <c r="P98" s="138"/>
      <c r="Q98" s="99"/>
      <c r="R98" s="99"/>
    </row>
    <row r="99" spans="1:18" ht="15" customHeight="1" x14ac:dyDescent="0.3">
      <c r="A99" s="17" t="s">
        <v>41</v>
      </c>
      <c r="B99" s="17" t="s">
        <v>347</v>
      </c>
      <c r="C99" s="18" t="s">
        <v>748</v>
      </c>
      <c r="D99" s="17" t="s">
        <v>43</v>
      </c>
      <c r="E99" s="17" t="s">
        <v>269</v>
      </c>
      <c r="F99" s="17" t="s">
        <v>431</v>
      </c>
      <c r="G99" s="298"/>
      <c r="H99" s="138"/>
      <c r="I99" s="138"/>
      <c r="J99" s="138"/>
      <c r="K99" s="138"/>
      <c r="L99" s="138"/>
      <c r="M99" s="138"/>
      <c r="N99" s="138"/>
      <c r="O99" s="139"/>
      <c r="P99" s="138"/>
      <c r="Q99" s="99"/>
      <c r="R99" s="99"/>
    </row>
    <row r="100" spans="1:18" ht="15" customHeight="1" x14ac:dyDescent="0.3">
      <c r="A100" s="17" t="s">
        <v>41</v>
      </c>
      <c r="B100" s="17" t="s">
        <v>336</v>
      </c>
      <c r="C100" s="18" t="s">
        <v>745</v>
      </c>
      <c r="D100" s="17" t="s">
        <v>43</v>
      </c>
      <c r="E100" s="17" t="s">
        <v>254</v>
      </c>
      <c r="F100" s="17" t="s">
        <v>431</v>
      </c>
      <c r="G100" s="298"/>
      <c r="H100" s="138"/>
      <c r="I100" s="138"/>
      <c r="J100" s="138"/>
      <c r="K100" s="138"/>
      <c r="L100" s="138"/>
      <c r="M100" s="138"/>
      <c r="N100" s="138"/>
      <c r="O100" s="139"/>
      <c r="P100" s="138"/>
      <c r="Q100" s="99"/>
      <c r="R100" s="99"/>
    </row>
    <row r="101" spans="1:18" ht="15" customHeight="1" x14ac:dyDescent="0.3">
      <c r="A101" s="17" t="s">
        <v>385</v>
      </c>
      <c r="B101" s="17" t="s">
        <v>435</v>
      </c>
      <c r="C101" s="18" t="s">
        <v>808</v>
      </c>
      <c r="D101" s="17" t="s">
        <v>101</v>
      </c>
      <c r="E101" s="17" t="s">
        <v>256</v>
      </c>
      <c r="F101" s="17" t="s">
        <v>434</v>
      </c>
      <c r="G101" s="298"/>
      <c r="H101" s="138"/>
      <c r="I101" s="138"/>
      <c r="J101" s="138"/>
      <c r="K101" s="138"/>
      <c r="L101" s="138"/>
      <c r="M101" s="138"/>
      <c r="N101" s="138"/>
      <c r="O101" s="139"/>
      <c r="P101" s="138"/>
      <c r="Q101" s="99"/>
      <c r="R101" s="99"/>
    </row>
    <row r="102" spans="1:18" ht="15" customHeight="1" x14ac:dyDescent="0.3">
      <c r="A102" s="17" t="s">
        <v>385</v>
      </c>
      <c r="B102" s="17" t="s">
        <v>477</v>
      </c>
      <c r="C102" s="18" t="s">
        <v>208</v>
      </c>
      <c r="D102" s="17" t="s">
        <v>101</v>
      </c>
      <c r="E102" s="17" t="s">
        <v>253</v>
      </c>
      <c r="F102" s="17" t="s">
        <v>434</v>
      </c>
      <c r="G102" s="298"/>
      <c r="H102" s="138"/>
      <c r="I102" s="138"/>
      <c r="J102" s="138"/>
      <c r="K102" s="138"/>
      <c r="L102" s="138"/>
      <c r="M102" s="138"/>
      <c r="N102" s="138"/>
      <c r="O102" s="139"/>
      <c r="P102" s="138"/>
      <c r="Q102" s="99"/>
      <c r="R102" s="99"/>
    </row>
    <row r="103" spans="1:18" ht="15" customHeight="1" x14ac:dyDescent="0.3">
      <c r="A103" s="17" t="s">
        <v>26</v>
      </c>
      <c r="B103" s="17" t="s">
        <v>350</v>
      </c>
      <c r="C103" s="18" t="s">
        <v>749</v>
      </c>
      <c r="D103" s="17" t="s">
        <v>28</v>
      </c>
      <c r="E103" s="17" t="s">
        <v>269</v>
      </c>
      <c r="F103" s="17" t="s">
        <v>44</v>
      </c>
      <c r="G103" s="298"/>
      <c r="H103" s="138"/>
      <c r="I103" s="138"/>
      <c r="J103" s="138"/>
      <c r="K103" s="138"/>
      <c r="L103" s="138"/>
      <c r="M103" s="138"/>
      <c r="N103" s="138"/>
      <c r="O103" s="139"/>
      <c r="P103" s="138"/>
      <c r="Q103" s="99"/>
      <c r="R103" s="99"/>
    </row>
    <row r="104" spans="1:18" ht="15" customHeight="1" x14ac:dyDescent="0.3">
      <c r="A104" s="17" t="s">
        <v>26</v>
      </c>
      <c r="B104" s="17" t="s">
        <v>360</v>
      </c>
      <c r="C104" s="18" t="s">
        <v>801</v>
      </c>
      <c r="D104" s="17" t="s">
        <v>28</v>
      </c>
      <c r="E104" s="17" t="s">
        <v>260</v>
      </c>
      <c r="F104" s="17" t="s">
        <v>44</v>
      </c>
      <c r="G104" s="298"/>
      <c r="H104" s="138"/>
      <c r="I104" s="138"/>
      <c r="J104" s="138"/>
      <c r="K104" s="138"/>
      <c r="L104" s="138"/>
      <c r="M104" s="138"/>
      <c r="N104" s="138"/>
      <c r="O104" s="139"/>
      <c r="P104" s="138"/>
      <c r="Q104" s="99"/>
      <c r="R104" s="99"/>
    </row>
    <row r="105" spans="1:18" ht="15" customHeight="1" x14ac:dyDescent="0.3">
      <c r="A105" s="17" t="s">
        <v>26</v>
      </c>
      <c r="B105" s="17" t="s">
        <v>359</v>
      </c>
      <c r="C105" s="18" t="s">
        <v>809</v>
      </c>
      <c r="D105" s="17" t="s">
        <v>28</v>
      </c>
      <c r="E105" s="17" t="s">
        <v>269</v>
      </c>
      <c r="F105" s="17" t="s">
        <v>339</v>
      </c>
      <c r="G105" s="298"/>
      <c r="H105" s="138"/>
      <c r="I105" s="138"/>
      <c r="J105" s="138"/>
      <c r="K105" s="138"/>
      <c r="L105" s="138"/>
      <c r="M105" s="138"/>
      <c r="N105" s="138"/>
      <c r="O105" s="139"/>
      <c r="P105" s="138"/>
      <c r="Q105" s="99"/>
      <c r="R105" s="99"/>
    </row>
    <row r="106" spans="1:18" ht="15" customHeight="1" thickBot="1" x14ac:dyDescent="0.35">
      <c r="A106" s="39" t="s">
        <v>26</v>
      </c>
      <c r="B106" s="39" t="s">
        <v>356</v>
      </c>
      <c r="C106" s="40" t="s">
        <v>752</v>
      </c>
      <c r="D106" s="39" t="s">
        <v>28</v>
      </c>
      <c r="E106" s="39" t="s">
        <v>255</v>
      </c>
      <c r="F106" s="39" t="s">
        <v>339</v>
      </c>
      <c r="G106" s="299"/>
      <c r="H106" s="140"/>
      <c r="I106" s="140"/>
      <c r="J106" s="140"/>
      <c r="K106" s="140"/>
      <c r="L106" s="140"/>
      <c r="M106" s="140"/>
      <c r="N106" s="140"/>
      <c r="O106" s="141"/>
      <c r="P106" s="140"/>
      <c r="Q106" s="142"/>
      <c r="R106" s="142"/>
    </row>
    <row r="107" spans="1:18" ht="17.399999999999999" customHeight="1" thickBot="1" x14ac:dyDescent="0.35">
      <c r="A107" s="329"/>
      <c r="B107" s="330"/>
      <c r="C107" s="330"/>
      <c r="D107" s="330"/>
      <c r="E107" s="330"/>
      <c r="F107" s="330"/>
      <c r="G107" s="330"/>
      <c r="H107" s="330"/>
      <c r="I107" s="330"/>
      <c r="J107" s="330"/>
      <c r="K107" s="330"/>
      <c r="L107" s="330"/>
      <c r="M107" s="330"/>
      <c r="N107" s="330"/>
      <c r="O107" s="330"/>
      <c r="P107" s="330"/>
      <c r="Q107" s="330"/>
      <c r="R107" s="331"/>
    </row>
    <row r="108" spans="1:18" ht="22.05" customHeight="1" thickTop="1" thickBot="1" x14ac:dyDescent="0.35">
      <c r="A108" s="300" t="s">
        <v>6</v>
      </c>
      <c r="B108" s="295"/>
      <c r="C108" s="295"/>
      <c r="D108" s="295"/>
      <c r="E108" s="295"/>
      <c r="F108" s="296"/>
      <c r="G108" s="31">
        <v>45986</v>
      </c>
      <c r="H108" s="294" t="s">
        <v>7</v>
      </c>
      <c r="I108" s="295"/>
      <c r="J108" s="295"/>
      <c r="K108" s="295"/>
      <c r="L108" s="295"/>
      <c r="M108" s="295"/>
      <c r="N108" s="295"/>
      <c r="O108" s="295"/>
      <c r="P108" s="295"/>
      <c r="Q108" s="295"/>
      <c r="R108" s="296"/>
    </row>
    <row r="109" spans="1:18" ht="24" customHeight="1" x14ac:dyDescent="0.3">
      <c r="A109" s="32" t="s">
        <v>8</v>
      </c>
      <c r="B109" s="32" t="s">
        <v>9</v>
      </c>
      <c r="C109" s="33" t="s">
        <v>10</v>
      </c>
      <c r="D109" s="32" t="s">
        <v>11</v>
      </c>
      <c r="E109" s="32" t="s">
        <v>12</v>
      </c>
      <c r="F109" s="34" t="s">
        <v>13</v>
      </c>
      <c r="G109" s="35" t="s">
        <v>14</v>
      </c>
      <c r="H109" s="32" t="s">
        <v>15</v>
      </c>
      <c r="I109" s="36" t="s">
        <v>16</v>
      </c>
      <c r="J109" s="37" t="s">
        <v>17</v>
      </c>
      <c r="K109" s="38" t="s">
        <v>18</v>
      </c>
      <c r="L109" s="37" t="s">
        <v>19</v>
      </c>
      <c r="M109" s="37" t="s">
        <v>20</v>
      </c>
      <c r="N109" s="37" t="s">
        <v>21</v>
      </c>
      <c r="O109" s="32" t="s">
        <v>22</v>
      </c>
      <c r="P109" s="33" t="s">
        <v>23</v>
      </c>
      <c r="Q109" s="37" t="s">
        <v>24</v>
      </c>
      <c r="R109" s="32" t="s">
        <v>25</v>
      </c>
    </row>
    <row r="110" spans="1:18" ht="15" customHeight="1" x14ac:dyDescent="0.3">
      <c r="A110" s="8" t="s">
        <v>41</v>
      </c>
      <c r="B110" s="8" t="s">
        <v>777</v>
      </c>
      <c r="C110" s="9">
        <v>0.3611111111111111</v>
      </c>
      <c r="D110" s="8" t="s">
        <v>778</v>
      </c>
      <c r="E110" s="8" t="s">
        <v>29</v>
      </c>
      <c r="F110" s="8" t="s">
        <v>810</v>
      </c>
      <c r="G110" s="304"/>
      <c r="H110" s="10"/>
      <c r="I110" s="11"/>
      <c r="J110" s="11"/>
      <c r="K110" s="11"/>
      <c r="L110" s="11"/>
      <c r="M110" s="11"/>
      <c r="N110" s="11"/>
      <c r="O110" s="12"/>
      <c r="P110" s="11"/>
      <c r="Q110" s="13"/>
      <c r="R110" s="14"/>
    </row>
    <row r="111" spans="1:18" ht="15" customHeight="1" x14ac:dyDescent="0.3">
      <c r="A111" s="15" t="s">
        <v>41</v>
      </c>
      <c r="B111" s="15" t="s">
        <v>777</v>
      </c>
      <c r="C111" s="16">
        <v>0.3611111111111111</v>
      </c>
      <c r="D111" s="15" t="s">
        <v>756</v>
      </c>
      <c r="E111" s="15" t="s">
        <v>32</v>
      </c>
      <c r="F111" s="15" t="s">
        <v>460</v>
      </c>
      <c r="G111" s="298"/>
      <c r="H111" s="10"/>
      <c r="I111" s="11"/>
      <c r="J111" s="11"/>
      <c r="K111" s="11"/>
      <c r="L111" s="11"/>
      <c r="M111" s="11"/>
      <c r="N111" s="11"/>
      <c r="O111" s="12"/>
      <c r="P111" s="11"/>
      <c r="Q111" s="13"/>
      <c r="R111" s="14"/>
    </row>
    <row r="112" spans="1:18" ht="15" customHeight="1" x14ac:dyDescent="0.3">
      <c r="A112" s="15" t="s">
        <v>41</v>
      </c>
      <c r="B112" s="15" t="s">
        <v>777</v>
      </c>
      <c r="C112" s="16">
        <v>0.3611111111111111</v>
      </c>
      <c r="D112" s="15" t="s">
        <v>769</v>
      </c>
      <c r="E112" s="15" t="s">
        <v>32</v>
      </c>
      <c r="F112" s="15" t="s">
        <v>811</v>
      </c>
      <c r="G112" s="298"/>
      <c r="H112" s="10"/>
      <c r="I112" s="11"/>
      <c r="J112" s="11"/>
      <c r="K112" s="11"/>
      <c r="L112" s="11"/>
      <c r="M112" s="11"/>
      <c r="N112" s="11"/>
      <c r="O112" s="12"/>
      <c r="P112" s="11"/>
      <c r="Q112" s="13"/>
      <c r="R112" s="14"/>
    </row>
    <row r="113" spans="1:18" ht="15" customHeight="1" x14ac:dyDescent="0.3">
      <c r="A113" s="15" t="s">
        <v>41</v>
      </c>
      <c r="B113" s="15" t="s">
        <v>777</v>
      </c>
      <c r="C113" s="16">
        <v>0.3611111111111111</v>
      </c>
      <c r="D113" s="15" t="s">
        <v>782</v>
      </c>
      <c r="E113" s="15" t="s">
        <v>32</v>
      </c>
      <c r="F113" s="15" t="s">
        <v>123</v>
      </c>
      <c r="G113" s="298"/>
      <c r="H113" s="10"/>
      <c r="I113" s="11"/>
      <c r="J113" s="11"/>
      <c r="K113" s="11"/>
      <c r="L113" s="11"/>
      <c r="M113" s="11"/>
      <c r="N113" s="11"/>
      <c r="O113" s="12"/>
      <c r="P113" s="11"/>
      <c r="Q113" s="13"/>
      <c r="R113" s="14"/>
    </row>
    <row r="114" spans="1:18" ht="15" customHeight="1" x14ac:dyDescent="0.3">
      <c r="A114" s="19" t="s">
        <v>388</v>
      </c>
      <c r="B114" s="19" t="s">
        <v>755</v>
      </c>
      <c r="C114" s="20">
        <v>0.3611111111111111</v>
      </c>
      <c r="D114" s="19" t="s">
        <v>756</v>
      </c>
      <c r="E114" s="19" t="s">
        <v>138</v>
      </c>
      <c r="F114" s="19" t="s">
        <v>812</v>
      </c>
      <c r="G114" s="298"/>
      <c r="H114" s="10"/>
      <c r="I114" s="11"/>
      <c r="J114" s="11"/>
      <c r="K114" s="11"/>
      <c r="L114" s="11"/>
      <c r="M114" s="11"/>
      <c r="N114" s="11"/>
      <c r="O114" s="12"/>
      <c r="P114" s="11"/>
      <c r="Q114" s="13"/>
      <c r="R114" s="14"/>
    </row>
    <row r="115" spans="1:18" ht="15" customHeight="1" x14ac:dyDescent="0.3">
      <c r="A115" s="15" t="s">
        <v>388</v>
      </c>
      <c r="B115" s="15" t="s">
        <v>755</v>
      </c>
      <c r="C115" s="16">
        <v>0.3611111111111111</v>
      </c>
      <c r="D115" s="15" t="s">
        <v>769</v>
      </c>
      <c r="E115" s="15" t="s">
        <v>38</v>
      </c>
      <c r="F115" s="15" t="s">
        <v>813</v>
      </c>
      <c r="G115" s="298"/>
      <c r="H115" s="10"/>
      <c r="I115" s="11"/>
      <c r="J115" s="11"/>
      <c r="K115" s="11"/>
      <c r="L115" s="11"/>
      <c r="M115" s="11"/>
      <c r="N115" s="11"/>
      <c r="O115" s="12"/>
      <c r="P115" s="11"/>
      <c r="Q115" s="13"/>
      <c r="R115" s="14"/>
    </row>
    <row r="116" spans="1:18" ht="15" customHeight="1" x14ac:dyDescent="0.3">
      <c r="A116" s="15" t="s">
        <v>388</v>
      </c>
      <c r="B116" s="15" t="s">
        <v>755</v>
      </c>
      <c r="C116" s="16">
        <v>0.3611111111111111</v>
      </c>
      <c r="D116" s="15" t="s">
        <v>46</v>
      </c>
      <c r="E116" s="15" t="s">
        <v>38</v>
      </c>
      <c r="F116" s="15" t="s">
        <v>814</v>
      </c>
      <c r="G116" s="298"/>
      <c r="H116" s="10"/>
      <c r="I116" s="11"/>
      <c r="J116" s="11"/>
      <c r="K116" s="11"/>
      <c r="L116" s="11"/>
      <c r="M116" s="11"/>
      <c r="N116" s="11"/>
      <c r="O116" s="12"/>
      <c r="P116" s="11"/>
      <c r="Q116" s="13"/>
      <c r="R116" s="14"/>
    </row>
    <row r="117" spans="1:18" ht="15" customHeight="1" x14ac:dyDescent="0.3">
      <c r="A117" s="17" t="s">
        <v>388</v>
      </c>
      <c r="B117" s="17" t="s">
        <v>767</v>
      </c>
      <c r="C117" s="18">
        <v>1.041666666666667E-2</v>
      </c>
      <c r="D117" s="17" t="s">
        <v>756</v>
      </c>
      <c r="E117" s="17" t="s">
        <v>69</v>
      </c>
      <c r="F117" s="17" t="s">
        <v>815</v>
      </c>
      <c r="G117" s="298"/>
      <c r="H117" s="10"/>
      <c r="I117" s="11"/>
      <c r="J117" s="11"/>
      <c r="K117" s="11"/>
      <c r="L117" s="11"/>
      <c r="M117" s="11"/>
      <c r="N117" s="11"/>
      <c r="O117" s="12"/>
      <c r="P117" s="11"/>
      <c r="Q117" s="13"/>
      <c r="R117" s="14"/>
    </row>
    <row r="118" spans="1:18" ht="15" customHeight="1" x14ac:dyDescent="0.3">
      <c r="A118" s="15" t="s">
        <v>388</v>
      </c>
      <c r="B118" s="15" t="s">
        <v>767</v>
      </c>
      <c r="C118" s="16">
        <v>1.041666666666667E-2</v>
      </c>
      <c r="D118" s="15" t="s">
        <v>769</v>
      </c>
      <c r="E118" s="15" t="s">
        <v>87</v>
      </c>
      <c r="F118" s="15" t="s">
        <v>816</v>
      </c>
      <c r="G118" s="298"/>
      <c r="H118" s="10"/>
      <c r="I118" s="11"/>
      <c r="J118" s="11"/>
      <c r="K118" s="11"/>
      <c r="L118" s="11"/>
      <c r="M118" s="11"/>
      <c r="N118" s="11"/>
      <c r="O118" s="12"/>
      <c r="P118" s="11"/>
      <c r="Q118" s="13"/>
      <c r="R118" s="14"/>
    </row>
    <row r="119" spans="1:18" ht="15" customHeight="1" x14ac:dyDescent="0.3">
      <c r="A119" s="15" t="s">
        <v>388</v>
      </c>
      <c r="B119" s="15" t="s">
        <v>767</v>
      </c>
      <c r="C119" s="16">
        <v>1.041666666666667E-2</v>
      </c>
      <c r="D119" s="15" t="s">
        <v>46</v>
      </c>
      <c r="E119" s="15" t="s">
        <v>87</v>
      </c>
      <c r="F119" s="15" t="s">
        <v>817</v>
      </c>
      <c r="G119" s="298"/>
      <c r="H119" s="10"/>
      <c r="I119" s="11"/>
      <c r="J119" s="11"/>
      <c r="K119" s="11"/>
      <c r="L119" s="11"/>
      <c r="M119" s="11"/>
      <c r="N119" s="11"/>
      <c r="O119" s="12"/>
      <c r="P119" s="11"/>
      <c r="Q119" s="13"/>
      <c r="R119" s="14"/>
    </row>
    <row r="120" spans="1:18" ht="15" customHeight="1" x14ac:dyDescent="0.3">
      <c r="A120" s="19" t="s">
        <v>60</v>
      </c>
      <c r="B120" s="19" t="s">
        <v>758</v>
      </c>
      <c r="C120" s="20">
        <v>0.4513888888888889</v>
      </c>
      <c r="D120" s="19" t="s">
        <v>65</v>
      </c>
      <c r="E120" s="19" t="s">
        <v>63</v>
      </c>
      <c r="F120" s="19" t="s">
        <v>759</v>
      </c>
      <c r="G120" s="298"/>
      <c r="H120" s="10"/>
      <c r="I120" s="11"/>
      <c r="J120" s="11"/>
      <c r="K120" s="11"/>
      <c r="L120" s="11"/>
      <c r="M120" s="11"/>
      <c r="N120" s="11"/>
      <c r="O120" s="12"/>
      <c r="P120" s="11"/>
      <c r="Q120" s="13"/>
      <c r="R120" s="14"/>
    </row>
    <row r="121" spans="1:18" ht="15" customHeight="1" x14ac:dyDescent="0.3">
      <c r="A121" s="17" t="s">
        <v>60</v>
      </c>
      <c r="B121" s="17" t="s">
        <v>760</v>
      </c>
      <c r="C121" s="18">
        <v>0.81944444444444453</v>
      </c>
      <c r="D121" s="17" t="s">
        <v>65</v>
      </c>
      <c r="E121" s="17" t="s">
        <v>58</v>
      </c>
      <c r="F121" s="17" t="s">
        <v>759</v>
      </c>
      <c r="G121" s="298"/>
      <c r="H121" s="10"/>
      <c r="I121" s="11"/>
      <c r="J121" s="11"/>
      <c r="K121" s="11"/>
      <c r="L121" s="11"/>
      <c r="M121" s="11"/>
      <c r="N121" s="11"/>
      <c r="O121" s="12"/>
      <c r="P121" s="11"/>
      <c r="Q121" s="13"/>
      <c r="R121" s="14"/>
    </row>
    <row r="122" spans="1:18" ht="15" customHeight="1" x14ac:dyDescent="0.3">
      <c r="A122" s="129" t="s">
        <v>77</v>
      </c>
      <c r="B122" s="129" t="s">
        <v>761</v>
      </c>
      <c r="C122" s="130">
        <v>0.52083333333333337</v>
      </c>
      <c r="D122" s="129" t="s">
        <v>79</v>
      </c>
      <c r="E122" s="143"/>
      <c r="F122" s="129" t="s">
        <v>80</v>
      </c>
      <c r="G122" s="298"/>
      <c r="H122" s="131" t="s">
        <v>761</v>
      </c>
      <c r="I122" s="132">
        <v>1.0222</v>
      </c>
      <c r="J122" s="133">
        <v>184</v>
      </c>
      <c r="K122" s="134">
        <v>45961</v>
      </c>
      <c r="L122" s="133">
        <v>0</v>
      </c>
      <c r="M122" s="133">
        <v>0</v>
      </c>
      <c r="N122" s="133">
        <v>0</v>
      </c>
      <c r="O122" s="135" t="s">
        <v>81</v>
      </c>
      <c r="P122" s="136">
        <v>0.52083333333333337</v>
      </c>
      <c r="Q122" s="133">
        <v>180</v>
      </c>
      <c r="R122" s="137" t="s">
        <v>818</v>
      </c>
    </row>
    <row r="123" spans="1:18" ht="18" x14ac:dyDescent="0.3">
      <c r="A123" s="312" t="s">
        <v>763</v>
      </c>
      <c r="B123" s="313"/>
      <c r="C123" s="313"/>
      <c r="D123" s="313"/>
      <c r="E123" s="313"/>
      <c r="F123" s="314"/>
      <c r="G123" s="298"/>
      <c r="H123" s="138"/>
      <c r="I123" s="138"/>
      <c r="J123" s="138"/>
      <c r="K123" s="138"/>
      <c r="L123" s="138"/>
      <c r="M123" s="138"/>
      <c r="N123" s="138"/>
      <c r="O123" s="139"/>
      <c r="P123" s="138"/>
      <c r="Q123" s="99"/>
      <c r="R123" s="99"/>
    </row>
    <row r="124" spans="1:18" ht="15" customHeight="1" x14ac:dyDescent="0.3">
      <c r="A124" s="17" t="s">
        <v>41</v>
      </c>
      <c r="B124" s="17" t="s">
        <v>340</v>
      </c>
      <c r="C124" s="18" t="s">
        <v>746</v>
      </c>
      <c r="D124" s="17" t="s">
        <v>43</v>
      </c>
      <c r="E124" s="17" t="s">
        <v>253</v>
      </c>
      <c r="F124" s="17" t="s">
        <v>492</v>
      </c>
      <c r="G124" s="298"/>
      <c r="H124" s="138"/>
      <c r="I124" s="138"/>
      <c r="J124" s="138"/>
      <c r="K124" s="138"/>
      <c r="L124" s="138"/>
      <c r="M124" s="138"/>
      <c r="N124" s="138"/>
      <c r="O124" s="139"/>
      <c r="P124" s="138"/>
      <c r="Q124" s="99"/>
      <c r="R124" s="99"/>
    </row>
    <row r="125" spans="1:18" ht="15" customHeight="1" x14ac:dyDescent="0.3">
      <c r="A125" s="17" t="s">
        <v>41</v>
      </c>
      <c r="B125" s="17" t="s">
        <v>344</v>
      </c>
      <c r="C125" s="18" t="s">
        <v>747</v>
      </c>
      <c r="D125" s="17" t="s">
        <v>43</v>
      </c>
      <c r="E125" s="17" t="s">
        <v>262</v>
      </c>
      <c r="F125" s="17" t="s">
        <v>492</v>
      </c>
      <c r="G125" s="298"/>
      <c r="H125" s="138"/>
      <c r="I125" s="138"/>
      <c r="J125" s="138"/>
      <c r="K125" s="138"/>
      <c r="L125" s="138"/>
      <c r="M125" s="138"/>
      <c r="N125" s="138"/>
      <c r="O125" s="139"/>
      <c r="P125" s="138"/>
      <c r="Q125" s="99"/>
      <c r="R125" s="99"/>
    </row>
    <row r="126" spans="1:18" ht="15" customHeight="1" x14ac:dyDescent="0.3">
      <c r="A126" s="17" t="s">
        <v>41</v>
      </c>
      <c r="B126" s="17" t="s">
        <v>347</v>
      </c>
      <c r="C126" s="18" t="s">
        <v>748</v>
      </c>
      <c r="D126" s="17" t="s">
        <v>43</v>
      </c>
      <c r="E126" s="17" t="s">
        <v>255</v>
      </c>
      <c r="F126" s="17" t="s">
        <v>492</v>
      </c>
      <c r="G126" s="298"/>
      <c r="H126" s="138"/>
      <c r="I126" s="138"/>
      <c r="J126" s="138"/>
      <c r="K126" s="138"/>
      <c r="L126" s="138"/>
      <c r="M126" s="138"/>
      <c r="N126" s="138"/>
      <c r="O126" s="139"/>
      <c r="P126" s="138"/>
      <c r="Q126" s="99"/>
      <c r="R126" s="99"/>
    </row>
    <row r="127" spans="1:18" ht="15" customHeight="1" x14ac:dyDescent="0.3">
      <c r="A127" s="17" t="s">
        <v>41</v>
      </c>
      <c r="B127" s="17" t="s">
        <v>336</v>
      </c>
      <c r="C127" s="18" t="s">
        <v>745</v>
      </c>
      <c r="D127" s="17" t="s">
        <v>43</v>
      </c>
      <c r="E127" s="17" t="s">
        <v>275</v>
      </c>
      <c r="F127" s="17" t="s">
        <v>492</v>
      </c>
      <c r="G127" s="298"/>
      <c r="H127" s="138"/>
      <c r="I127" s="138"/>
      <c r="J127" s="138"/>
      <c r="K127" s="138"/>
      <c r="L127" s="138"/>
      <c r="M127" s="138"/>
      <c r="N127" s="138"/>
      <c r="O127" s="139"/>
      <c r="P127" s="138"/>
      <c r="Q127" s="99"/>
      <c r="R127" s="99"/>
    </row>
    <row r="128" spans="1:18" ht="15" customHeight="1" x14ac:dyDescent="0.3">
      <c r="A128" s="17" t="s">
        <v>26</v>
      </c>
      <c r="B128" s="17" t="s">
        <v>354</v>
      </c>
      <c r="C128" s="18" t="s">
        <v>751</v>
      </c>
      <c r="D128" s="17" t="s">
        <v>28</v>
      </c>
      <c r="E128" s="17" t="s">
        <v>275</v>
      </c>
      <c r="F128" s="17" t="s">
        <v>339</v>
      </c>
      <c r="G128" s="298"/>
      <c r="H128" s="138"/>
      <c r="I128" s="138"/>
      <c r="J128" s="138"/>
      <c r="K128" s="138"/>
      <c r="L128" s="138"/>
      <c r="M128" s="138"/>
      <c r="N128" s="138"/>
      <c r="O128" s="139"/>
      <c r="P128" s="138"/>
      <c r="Q128" s="99"/>
      <c r="R128" s="99"/>
    </row>
    <row r="129" spans="1:18" ht="15" customHeight="1" x14ac:dyDescent="0.3">
      <c r="A129" s="17" t="s">
        <v>26</v>
      </c>
      <c r="B129" s="17" t="s">
        <v>350</v>
      </c>
      <c r="C129" s="18" t="s">
        <v>749</v>
      </c>
      <c r="D129" s="17" t="s">
        <v>28</v>
      </c>
      <c r="E129" s="17" t="s">
        <v>260</v>
      </c>
      <c r="F129" s="17" t="s">
        <v>339</v>
      </c>
      <c r="G129" s="298"/>
      <c r="H129" s="138"/>
      <c r="I129" s="138"/>
      <c r="J129" s="138"/>
      <c r="K129" s="138"/>
      <c r="L129" s="138"/>
      <c r="M129" s="138"/>
      <c r="N129" s="138"/>
      <c r="O129" s="139"/>
      <c r="P129" s="138"/>
      <c r="Q129" s="99"/>
      <c r="R129" s="99"/>
    </row>
    <row r="130" spans="1:18" ht="15" customHeight="1" x14ac:dyDescent="0.3">
      <c r="A130" s="17" t="s">
        <v>26</v>
      </c>
      <c r="B130" s="17" t="s">
        <v>360</v>
      </c>
      <c r="C130" s="18" t="s">
        <v>801</v>
      </c>
      <c r="D130" s="17" t="s">
        <v>28</v>
      </c>
      <c r="E130" s="17" t="s">
        <v>260</v>
      </c>
      <c r="F130" s="17" t="s">
        <v>339</v>
      </c>
      <c r="G130" s="298"/>
      <c r="H130" s="138"/>
      <c r="I130" s="138"/>
      <c r="J130" s="138"/>
      <c r="K130" s="138"/>
      <c r="L130" s="138"/>
      <c r="M130" s="138"/>
      <c r="N130" s="138"/>
      <c r="O130" s="139"/>
      <c r="P130" s="138"/>
      <c r="Q130" s="99"/>
      <c r="R130" s="99"/>
    </row>
    <row r="131" spans="1:18" ht="15" customHeight="1" x14ac:dyDescent="0.3">
      <c r="A131" s="17" t="s">
        <v>26</v>
      </c>
      <c r="B131" s="17" t="s">
        <v>357</v>
      </c>
      <c r="C131" s="18" t="s">
        <v>753</v>
      </c>
      <c r="D131" s="17" t="s">
        <v>28</v>
      </c>
      <c r="E131" s="17" t="s">
        <v>260</v>
      </c>
      <c r="F131" s="17" t="s">
        <v>339</v>
      </c>
      <c r="G131" s="298"/>
      <c r="H131" s="138"/>
      <c r="I131" s="138"/>
      <c r="J131" s="138"/>
      <c r="K131" s="138"/>
      <c r="L131" s="138"/>
      <c r="M131" s="138"/>
      <c r="N131" s="138"/>
      <c r="O131" s="139"/>
      <c r="P131" s="138"/>
      <c r="Q131" s="99"/>
      <c r="R131" s="99"/>
    </row>
    <row r="132" spans="1:18" ht="15" customHeight="1" x14ac:dyDescent="0.3">
      <c r="A132" s="17" t="s">
        <v>385</v>
      </c>
      <c r="B132" s="17" t="s">
        <v>386</v>
      </c>
      <c r="C132" s="18" t="s">
        <v>819</v>
      </c>
      <c r="D132" s="17" t="s">
        <v>101</v>
      </c>
      <c r="E132" s="17" t="s">
        <v>256</v>
      </c>
      <c r="F132" s="17" t="s">
        <v>387</v>
      </c>
      <c r="G132" s="298"/>
      <c r="H132" s="138"/>
      <c r="I132" s="138"/>
      <c r="J132" s="138"/>
      <c r="K132" s="138"/>
      <c r="L132" s="138"/>
      <c r="M132" s="138"/>
      <c r="N132" s="138"/>
      <c r="O132" s="139"/>
      <c r="P132" s="138"/>
      <c r="Q132" s="99"/>
      <c r="R132" s="99"/>
    </row>
    <row r="133" spans="1:18" ht="15" customHeight="1" thickBot="1" x14ac:dyDescent="0.35">
      <c r="A133" s="39" t="s">
        <v>385</v>
      </c>
      <c r="B133" s="39" t="s">
        <v>435</v>
      </c>
      <c r="C133" s="40" t="s">
        <v>584</v>
      </c>
      <c r="D133" s="39" t="s">
        <v>101</v>
      </c>
      <c r="E133" s="39" t="s">
        <v>256</v>
      </c>
      <c r="F133" s="39" t="s">
        <v>387</v>
      </c>
      <c r="G133" s="299"/>
      <c r="H133" s="140"/>
      <c r="I133" s="140"/>
      <c r="J133" s="140"/>
      <c r="K133" s="140"/>
      <c r="L133" s="140"/>
      <c r="M133" s="140"/>
      <c r="N133" s="140"/>
      <c r="O133" s="141"/>
      <c r="P133" s="140"/>
      <c r="Q133" s="142"/>
      <c r="R133" s="142"/>
    </row>
    <row r="134" spans="1:18" ht="17.399999999999999" customHeight="1" thickBot="1" x14ac:dyDescent="0.35">
      <c r="A134" s="329"/>
      <c r="B134" s="330"/>
      <c r="C134" s="330"/>
      <c r="D134" s="330"/>
      <c r="E134" s="330"/>
      <c r="F134" s="330"/>
      <c r="G134" s="330"/>
      <c r="H134" s="330"/>
      <c r="I134" s="330"/>
      <c r="J134" s="330"/>
      <c r="K134" s="330"/>
      <c r="L134" s="330"/>
      <c r="M134" s="330"/>
      <c r="N134" s="330"/>
      <c r="O134" s="330"/>
      <c r="P134" s="330"/>
      <c r="Q134" s="330"/>
      <c r="R134" s="331"/>
    </row>
    <row r="135" spans="1:18" ht="22.05" customHeight="1" thickTop="1" thickBot="1" x14ac:dyDescent="0.35">
      <c r="A135" s="300" t="s">
        <v>6</v>
      </c>
      <c r="B135" s="295"/>
      <c r="C135" s="295"/>
      <c r="D135" s="295"/>
      <c r="E135" s="295"/>
      <c r="F135" s="296"/>
      <c r="G135" s="31">
        <v>45987</v>
      </c>
      <c r="H135" s="294" t="s">
        <v>7</v>
      </c>
      <c r="I135" s="295"/>
      <c r="J135" s="295"/>
      <c r="K135" s="295"/>
      <c r="L135" s="295"/>
      <c r="M135" s="295"/>
      <c r="N135" s="295"/>
      <c r="O135" s="295"/>
      <c r="P135" s="295"/>
      <c r="Q135" s="295"/>
      <c r="R135" s="296"/>
    </row>
    <row r="136" spans="1:18" ht="24" customHeight="1" x14ac:dyDescent="0.3">
      <c r="A136" s="32" t="s">
        <v>8</v>
      </c>
      <c r="B136" s="32" t="s">
        <v>9</v>
      </c>
      <c r="C136" s="33" t="s">
        <v>10</v>
      </c>
      <c r="D136" s="32" t="s">
        <v>11</v>
      </c>
      <c r="E136" s="32" t="s">
        <v>12</v>
      </c>
      <c r="F136" s="34" t="s">
        <v>13</v>
      </c>
      <c r="G136" s="35" t="s">
        <v>14</v>
      </c>
      <c r="H136" s="32" t="s">
        <v>15</v>
      </c>
      <c r="I136" s="36" t="s">
        <v>16</v>
      </c>
      <c r="J136" s="37" t="s">
        <v>17</v>
      </c>
      <c r="K136" s="38" t="s">
        <v>18</v>
      </c>
      <c r="L136" s="37" t="s">
        <v>19</v>
      </c>
      <c r="M136" s="37" t="s">
        <v>20</v>
      </c>
      <c r="N136" s="37" t="s">
        <v>21</v>
      </c>
      <c r="O136" s="32" t="s">
        <v>22</v>
      </c>
      <c r="P136" s="33" t="s">
        <v>23</v>
      </c>
      <c r="Q136" s="37" t="s">
        <v>24</v>
      </c>
      <c r="R136" s="32" t="s">
        <v>25</v>
      </c>
    </row>
    <row r="137" spans="1:18" ht="15" customHeight="1" x14ac:dyDescent="0.3">
      <c r="A137" s="8" t="s">
        <v>388</v>
      </c>
      <c r="B137" s="8" t="s">
        <v>767</v>
      </c>
      <c r="C137" s="9">
        <v>0.16319444444444439</v>
      </c>
      <c r="D137" s="8" t="s">
        <v>756</v>
      </c>
      <c r="E137" s="8" t="s">
        <v>138</v>
      </c>
      <c r="F137" s="8" t="s">
        <v>820</v>
      </c>
      <c r="G137" s="304"/>
      <c r="H137" s="10"/>
      <c r="I137" s="11"/>
      <c r="J137" s="11"/>
      <c r="K137" s="11"/>
      <c r="L137" s="11"/>
      <c r="M137" s="11"/>
      <c r="N137" s="11"/>
      <c r="O137" s="12"/>
      <c r="P137" s="11"/>
      <c r="Q137" s="13"/>
      <c r="R137" s="14"/>
    </row>
    <row r="138" spans="1:18" ht="15" customHeight="1" x14ac:dyDescent="0.3">
      <c r="A138" s="15" t="s">
        <v>388</v>
      </c>
      <c r="B138" s="15" t="s">
        <v>767</v>
      </c>
      <c r="C138" s="16">
        <v>0.16319444444444439</v>
      </c>
      <c r="D138" s="15" t="s">
        <v>769</v>
      </c>
      <c r="E138" s="15" t="s">
        <v>38</v>
      </c>
      <c r="F138" s="15" t="s">
        <v>821</v>
      </c>
      <c r="G138" s="298"/>
      <c r="H138" s="10"/>
      <c r="I138" s="11"/>
      <c r="J138" s="11"/>
      <c r="K138" s="11"/>
      <c r="L138" s="11"/>
      <c r="M138" s="11"/>
      <c r="N138" s="11"/>
      <c r="O138" s="12"/>
      <c r="P138" s="11"/>
      <c r="Q138" s="13"/>
      <c r="R138" s="14"/>
    </row>
    <row r="139" spans="1:18" ht="15" customHeight="1" x14ac:dyDescent="0.3">
      <c r="A139" s="15" t="s">
        <v>388</v>
      </c>
      <c r="B139" s="15" t="s">
        <v>767</v>
      </c>
      <c r="C139" s="16">
        <v>0.16319444444444439</v>
      </c>
      <c r="D139" s="15" t="s">
        <v>46</v>
      </c>
      <c r="E139" s="15" t="s">
        <v>38</v>
      </c>
      <c r="F139" s="15" t="s">
        <v>822</v>
      </c>
      <c r="G139" s="298"/>
      <c r="H139" s="10"/>
      <c r="I139" s="11"/>
      <c r="J139" s="11"/>
      <c r="K139" s="11"/>
      <c r="L139" s="11"/>
      <c r="M139" s="11"/>
      <c r="N139" s="11"/>
      <c r="O139" s="12"/>
      <c r="P139" s="11"/>
      <c r="Q139" s="13"/>
      <c r="R139" s="14"/>
    </row>
    <row r="140" spans="1:18" ht="15" customHeight="1" x14ac:dyDescent="0.3">
      <c r="A140" s="75" t="s">
        <v>77</v>
      </c>
      <c r="B140" s="75" t="s">
        <v>772</v>
      </c>
      <c r="C140" s="76">
        <v>0.14583333333333329</v>
      </c>
      <c r="D140" s="75" t="s">
        <v>101</v>
      </c>
      <c r="E140" s="75" t="s">
        <v>29</v>
      </c>
      <c r="F140" s="75" t="s">
        <v>420</v>
      </c>
      <c r="G140" s="298"/>
      <c r="H140" s="78" t="s">
        <v>761</v>
      </c>
      <c r="I140" s="79">
        <v>0.97219999999999995</v>
      </c>
      <c r="J140" s="80">
        <v>175</v>
      </c>
      <c r="K140" s="81">
        <v>45980</v>
      </c>
      <c r="L140" s="80">
        <v>15</v>
      </c>
      <c r="M140" s="80">
        <v>2</v>
      </c>
      <c r="N140" s="80">
        <v>0</v>
      </c>
      <c r="O140" s="82" t="s">
        <v>425</v>
      </c>
      <c r="P140" s="83">
        <v>0.14583333333333329</v>
      </c>
      <c r="Q140" s="80">
        <v>180</v>
      </c>
      <c r="R140" s="84" t="s">
        <v>823</v>
      </c>
    </row>
    <row r="141" spans="1:18" ht="15" customHeight="1" x14ac:dyDescent="0.3">
      <c r="A141" s="198" t="s">
        <v>77</v>
      </c>
      <c r="B141" s="198" t="s">
        <v>788</v>
      </c>
      <c r="C141" s="199">
        <v>0.53125</v>
      </c>
      <c r="D141" s="198" t="s">
        <v>79</v>
      </c>
      <c r="E141" s="226"/>
      <c r="F141" s="198" t="s">
        <v>80</v>
      </c>
      <c r="G141" s="298"/>
      <c r="H141" s="131" t="s">
        <v>788</v>
      </c>
      <c r="I141" s="132">
        <v>1</v>
      </c>
      <c r="J141" s="133">
        <v>180</v>
      </c>
      <c r="K141" s="134">
        <v>45972</v>
      </c>
      <c r="L141" s="133">
        <v>0</v>
      </c>
      <c r="M141" s="133">
        <v>0</v>
      </c>
      <c r="N141" s="133">
        <v>0</v>
      </c>
      <c r="O141" s="135" t="s">
        <v>81</v>
      </c>
      <c r="P141" s="136">
        <v>0.53125</v>
      </c>
      <c r="Q141" s="133">
        <v>180</v>
      </c>
      <c r="R141" s="137" t="s">
        <v>824</v>
      </c>
    </row>
    <row r="142" spans="1:18" ht="15" customHeight="1" x14ac:dyDescent="0.3">
      <c r="A142" s="195" t="s">
        <v>77</v>
      </c>
      <c r="B142" s="195" t="s">
        <v>825</v>
      </c>
      <c r="C142" s="196">
        <v>0.86111111111111116</v>
      </c>
      <c r="D142" s="195" t="s">
        <v>79</v>
      </c>
      <c r="E142" s="221"/>
      <c r="F142" s="195" t="s">
        <v>80</v>
      </c>
      <c r="G142" s="298"/>
      <c r="H142" s="181" t="s">
        <v>825</v>
      </c>
      <c r="I142" s="182">
        <v>1</v>
      </c>
      <c r="J142" s="183">
        <v>180</v>
      </c>
      <c r="K142" s="184">
        <v>45971</v>
      </c>
      <c r="L142" s="183">
        <v>0</v>
      </c>
      <c r="M142" s="183">
        <v>0</v>
      </c>
      <c r="N142" s="183">
        <v>0</v>
      </c>
      <c r="O142" s="185" t="s">
        <v>81</v>
      </c>
      <c r="P142" s="186">
        <v>0.86111111111111116</v>
      </c>
      <c r="Q142" s="183">
        <v>180</v>
      </c>
      <c r="R142" s="187" t="s">
        <v>826</v>
      </c>
    </row>
    <row r="143" spans="1:18" ht="15" customHeight="1" x14ac:dyDescent="0.3">
      <c r="A143" s="19" t="s">
        <v>60</v>
      </c>
      <c r="B143" s="19" t="s">
        <v>760</v>
      </c>
      <c r="C143" s="20">
        <v>0.81944444444444453</v>
      </c>
      <c r="D143" s="19" t="s">
        <v>65</v>
      </c>
      <c r="E143" s="19" t="s">
        <v>96</v>
      </c>
      <c r="F143" s="19" t="s">
        <v>759</v>
      </c>
      <c r="G143" s="298"/>
      <c r="H143" s="10"/>
      <c r="I143" s="11"/>
      <c r="J143" s="11"/>
      <c r="K143" s="11"/>
      <c r="L143" s="11"/>
      <c r="M143" s="11"/>
      <c r="N143" s="11"/>
      <c r="O143" s="12"/>
      <c r="P143" s="11"/>
      <c r="Q143" s="13"/>
      <c r="R143" s="14"/>
    </row>
    <row r="144" spans="1:18" ht="18" x14ac:dyDescent="0.3">
      <c r="A144" s="312" t="s">
        <v>763</v>
      </c>
      <c r="B144" s="313"/>
      <c r="C144" s="313"/>
      <c r="D144" s="313"/>
      <c r="E144" s="313"/>
      <c r="F144" s="314"/>
      <c r="G144" s="298"/>
      <c r="H144" s="138"/>
      <c r="I144" s="138"/>
      <c r="J144" s="138"/>
      <c r="K144" s="138"/>
      <c r="L144" s="138"/>
      <c r="M144" s="138"/>
      <c r="N144" s="138"/>
      <c r="O144" s="139"/>
      <c r="P144" s="138"/>
      <c r="Q144" s="99"/>
      <c r="R144" s="99"/>
    </row>
    <row r="145" spans="1:18" ht="15" customHeight="1" x14ac:dyDescent="0.3">
      <c r="A145" s="17" t="s">
        <v>77</v>
      </c>
      <c r="B145" s="17" t="s">
        <v>374</v>
      </c>
      <c r="C145" s="18" t="s">
        <v>678</v>
      </c>
      <c r="D145" s="17" t="s">
        <v>101</v>
      </c>
      <c r="E145" s="17" t="s">
        <v>260</v>
      </c>
      <c r="F145" s="17" t="s">
        <v>362</v>
      </c>
      <c r="G145" s="298"/>
      <c r="H145" s="138"/>
      <c r="I145" s="138"/>
      <c r="J145" s="138"/>
      <c r="K145" s="138"/>
      <c r="L145" s="138"/>
      <c r="M145" s="138"/>
      <c r="N145" s="138"/>
      <c r="O145" s="139"/>
      <c r="P145" s="138"/>
      <c r="Q145" s="99"/>
      <c r="R145" s="99"/>
    </row>
    <row r="146" spans="1:18" ht="15" customHeight="1" x14ac:dyDescent="0.3">
      <c r="A146" s="17" t="s">
        <v>41</v>
      </c>
      <c r="B146" s="17" t="s">
        <v>340</v>
      </c>
      <c r="C146" s="18" t="s">
        <v>746</v>
      </c>
      <c r="D146" s="17" t="s">
        <v>43</v>
      </c>
      <c r="E146" s="17" t="s">
        <v>795</v>
      </c>
      <c r="F146" s="17" t="s">
        <v>492</v>
      </c>
      <c r="G146" s="298"/>
      <c r="H146" s="138"/>
      <c r="I146" s="138"/>
      <c r="J146" s="138"/>
      <c r="K146" s="138"/>
      <c r="L146" s="138"/>
      <c r="M146" s="138"/>
      <c r="N146" s="138"/>
      <c r="O146" s="139"/>
      <c r="P146" s="138"/>
      <c r="Q146" s="99"/>
      <c r="R146" s="99"/>
    </row>
    <row r="147" spans="1:18" ht="15" customHeight="1" x14ac:dyDescent="0.3">
      <c r="A147" s="17" t="s">
        <v>41</v>
      </c>
      <c r="B147" s="17" t="s">
        <v>344</v>
      </c>
      <c r="C147" s="18" t="s">
        <v>747</v>
      </c>
      <c r="D147" s="17" t="s">
        <v>43</v>
      </c>
      <c r="E147" s="17" t="s">
        <v>262</v>
      </c>
      <c r="F147" s="17" t="s">
        <v>492</v>
      </c>
      <c r="G147" s="298"/>
      <c r="H147" s="138"/>
      <c r="I147" s="138"/>
      <c r="J147" s="138"/>
      <c r="K147" s="138"/>
      <c r="L147" s="138"/>
      <c r="M147" s="138"/>
      <c r="N147" s="138"/>
      <c r="O147" s="139"/>
      <c r="P147" s="138"/>
      <c r="Q147" s="99"/>
      <c r="R147" s="99"/>
    </row>
    <row r="148" spans="1:18" ht="15" customHeight="1" x14ac:dyDescent="0.3">
      <c r="A148" s="17" t="s">
        <v>41</v>
      </c>
      <c r="B148" s="17" t="s">
        <v>336</v>
      </c>
      <c r="C148" s="18" t="s">
        <v>745</v>
      </c>
      <c r="D148" s="17" t="s">
        <v>43</v>
      </c>
      <c r="E148" s="17" t="s">
        <v>262</v>
      </c>
      <c r="F148" s="17" t="s">
        <v>492</v>
      </c>
      <c r="G148" s="298"/>
      <c r="H148" s="138"/>
      <c r="I148" s="138"/>
      <c r="J148" s="138"/>
      <c r="K148" s="138"/>
      <c r="L148" s="138"/>
      <c r="M148" s="138"/>
      <c r="N148" s="138"/>
      <c r="O148" s="139"/>
      <c r="P148" s="138"/>
      <c r="Q148" s="99"/>
      <c r="R148" s="99"/>
    </row>
    <row r="149" spans="1:18" ht="15" customHeight="1" x14ac:dyDescent="0.3">
      <c r="A149" s="17" t="s">
        <v>26</v>
      </c>
      <c r="B149" s="17" t="s">
        <v>354</v>
      </c>
      <c r="C149" s="18" t="s">
        <v>751</v>
      </c>
      <c r="D149" s="17" t="s">
        <v>28</v>
      </c>
      <c r="E149" s="17" t="s">
        <v>260</v>
      </c>
      <c r="F149" s="17" t="s">
        <v>339</v>
      </c>
      <c r="G149" s="298"/>
      <c r="H149" s="138"/>
      <c r="I149" s="138"/>
      <c r="J149" s="138"/>
      <c r="K149" s="138"/>
      <c r="L149" s="138"/>
      <c r="M149" s="138"/>
      <c r="N149" s="138"/>
      <c r="O149" s="139"/>
      <c r="P149" s="138"/>
      <c r="Q149" s="99"/>
      <c r="R149" s="99"/>
    </row>
    <row r="150" spans="1:18" ht="15" customHeight="1" x14ac:dyDescent="0.3">
      <c r="A150" s="17" t="s">
        <v>385</v>
      </c>
      <c r="B150" s="17" t="s">
        <v>386</v>
      </c>
      <c r="C150" s="18" t="s">
        <v>819</v>
      </c>
      <c r="D150" s="17" t="s">
        <v>101</v>
      </c>
      <c r="E150" s="17" t="s">
        <v>256</v>
      </c>
      <c r="F150" s="17" t="s">
        <v>387</v>
      </c>
      <c r="G150" s="298"/>
      <c r="H150" s="138"/>
      <c r="I150" s="138"/>
      <c r="J150" s="138"/>
      <c r="K150" s="138"/>
      <c r="L150" s="138"/>
      <c r="M150" s="138"/>
      <c r="N150" s="138"/>
      <c r="O150" s="139"/>
      <c r="P150" s="138"/>
      <c r="Q150" s="99"/>
      <c r="R150" s="99"/>
    </row>
    <row r="151" spans="1:18" ht="15" customHeight="1" x14ac:dyDescent="0.3">
      <c r="A151" s="17" t="s">
        <v>385</v>
      </c>
      <c r="B151" s="17" t="s">
        <v>435</v>
      </c>
      <c r="C151" s="18" t="s">
        <v>827</v>
      </c>
      <c r="D151" s="17" t="s">
        <v>101</v>
      </c>
      <c r="E151" s="17" t="s">
        <v>303</v>
      </c>
      <c r="F151" s="17" t="s">
        <v>387</v>
      </c>
      <c r="G151" s="298"/>
      <c r="H151" s="138"/>
      <c r="I151" s="138"/>
      <c r="J151" s="138"/>
      <c r="K151" s="138"/>
      <c r="L151" s="138"/>
      <c r="M151" s="138"/>
      <c r="N151" s="138"/>
      <c r="O151" s="139"/>
      <c r="P151" s="138"/>
      <c r="Q151" s="99"/>
      <c r="R151" s="99"/>
    </row>
    <row r="152" spans="1:18" ht="15" customHeight="1" x14ac:dyDescent="0.3">
      <c r="A152" s="17" t="s">
        <v>41</v>
      </c>
      <c r="B152" s="17" t="s">
        <v>347</v>
      </c>
      <c r="C152" s="18" t="s">
        <v>748</v>
      </c>
      <c r="D152" s="17" t="s">
        <v>43</v>
      </c>
      <c r="E152" s="17" t="s">
        <v>255</v>
      </c>
      <c r="F152" s="17" t="s">
        <v>508</v>
      </c>
      <c r="G152" s="298"/>
      <c r="H152" s="138"/>
      <c r="I152" s="138"/>
      <c r="J152" s="138"/>
      <c r="K152" s="138"/>
      <c r="L152" s="138"/>
      <c r="M152" s="138"/>
      <c r="N152" s="138"/>
      <c r="O152" s="139"/>
      <c r="P152" s="138"/>
      <c r="Q152" s="99"/>
      <c r="R152" s="99"/>
    </row>
    <row r="153" spans="1:18" ht="15" customHeight="1" x14ac:dyDescent="0.3">
      <c r="A153" s="17" t="s">
        <v>388</v>
      </c>
      <c r="B153" s="17" t="s">
        <v>389</v>
      </c>
      <c r="C153" s="18" t="s">
        <v>828</v>
      </c>
      <c r="D153" s="17" t="s">
        <v>390</v>
      </c>
      <c r="E153" s="17" t="s">
        <v>254</v>
      </c>
      <c r="F153" s="17" t="s">
        <v>509</v>
      </c>
      <c r="G153" s="298"/>
      <c r="H153" s="138"/>
      <c r="I153" s="138"/>
      <c r="J153" s="138"/>
      <c r="K153" s="138"/>
      <c r="L153" s="138"/>
      <c r="M153" s="138"/>
      <c r="N153" s="138"/>
      <c r="O153" s="139"/>
      <c r="P153" s="138"/>
      <c r="Q153" s="99"/>
      <c r="R153" s="99"/>
    </row>
    <row r="154" spans="1:18" ht="15" customHeight="1" thickBot="1" x14ac:dyDescent="0.35">
      <c r="A154" s="39" t="s">
        <v>26</v>
      </c>
      <c r="B154" s="39" t="s">
        <v>350</v>
      </c>
      <c r="C154" s="40" t="s">
        <v>749</v>
      </c>
      <c r="D154" s="39" t="s">
        <v>28</v>
      </c>
      <c r="E154" s="39" t="s">
        <v>254</v>
      </c>
      <c r="F154" s="39" t="s">
        <v>456</v>
      </c>
      <c r="G154" s="299"/>
      <c r="H154" s="140"/>
      <c r="I154" s="140"/>
      <c r="J154" s="140"/>
      <c r="K154" s="140"/>
      <c r="L154" s="140"/>
      <c r="M154" s="140"/>
      <c r="N154" s="140"/>
      <c r="O154" s="141"/>
      <c r="P154" s="140"/>
      <c r="Q154" s="142"/>
      <c r="R154" s="142"/>
    </row>
    <row r="155" spans="1:18" ht="17.399999999999999" customHeight="1" thickBot="1" x14ac:dyDescent="0.35">
      <c r="A155" s="329"/>
      <c r="B155" s="330"/>
      <c r="C155" s="330"/>
      <c r="D155" s="330"/>
      <c r="E155" s="330"/>
      <c r="F155" s="330"/>
      <c r="G155" s="330"/>
      <c r="H155" s="330"/>
      <c r="I155" s="330"/>
      <c r="J155" s="330"/>
      <c r="K155" s="330"/>
      <c r="L155" s="330"/>
      <c r="M155" s="330"/>
      <c r="N155" s="330"/>
      <c r="O155" s="330"/>
      <c r="P155" s="330"/>
      <c r="Q155" s="330"/>
      <c r="R155" s="331"/>
    </row>
    <row r="156" spans="1:18" ht="22.05" customHeight="1" thickTop="1" thickBot="1" x14ac:dyDescent="0.35">
      <c r="A156" s="300" t="s">
        <v>6</v>
      </c>
      <c r="B156" s="295"/>
      <c r="C156" s="295"/>
      <c r="D156" s="295"/>
      <c r="E156" s="295"/>
      <c r="F156" s="296"/>
      <c r="G156" s="31">
        <v>45988</v>
      </c>
      <c r="H156" s="294" t="s">
        <v>7</v>
      </c>
      <c r="I156" s="295"/>
      <c r="J156" s="295"/>
      <c r="K156" s="295"/>
      <c r="L156" s="295"/>
      <c r="M156" s="295"/>
      <c r="N156" s="295"/>
      <c r="O156" s="295"/>
      <c r="P156" s="295"/>
      <c r="Q156" s="295"/>
      <c r="R156" s="296"/>
    </row>
    <row r="157" spans="1:18" ht="24" customHeight="1" x14ac:dyDescent="0.3">
      <c r="A157" s="32" t="s">
        <v>8</v>
      </c>
      <c r="B157" s="32" t="s">
        <v>9</v>
      </c>
      <c r="C157" s="33" t="s">
        <v>10</v>
      </c>
      <c r="D157" s="32" t="s">
        <v>11</v>
      </c>
      <c r="E157" s="32" t="s">
        <v>12</v>
      </c>
      <c r="F157" s="34" t="s">
        <v>13</v>
      </c>
      <c r="G157" s="35" t="s">
        <v>14</v>
      </c>
      <c r="H157" s="32" t="s">
        <v>15</v>
      </c>
      <c r="I157" s="36" t="s">
        <v>16</v>
      </c>
      <c r="J157" s="37" t="s">
        <v>17</v>
      </c>
      <c r="K157" s="38" t="s">
        <v>18</v>
      </c>
      <c r="L157" s="37" t="s">
        <v>19</v>
      </c>
      <c r="M157" s="37" t="s">
        <v>20</v>
      </c>
      <c r="N157" s="37" t="s">
        <v>21</v>
      </c>
      <c r="O157" s="32" t="s">
        <v>22</v>
      </c>
      <c r="P157" s="33" t="s">
        <v>23</v>
      </c>
      <c r="Q157" s="37" t="s">
        <v>24</v>
      </c>
      <c r="R157" s="32" t="s">
        <v>25</v>
      </c>
    </row>
    <row r="158" spans="1:18" ht="15" customHeight="1" x14ac:dyDescent="0.3">
      <c r="A158" s="8" t="s">
        <v>388</v>
      </c>
      <c r="B158" s="8" t="s">
        <v>755</v>
      </c>
      <c r="C158" s="9">
        <v>0.3611111111111111</v>
      </c>
      <c r="D158" s="8" t="s">
        <v>756</v>
      </c>
      <c r="E158" s="8" t="s">
        <v>138</v>
      </c>
      <c r="F158" s="8" t="s">
        <v>829</v>
      </c>
      <c r="G158" s="304"/>
      <c r="H158" s="10"/>
      <c r="I158" s="11"/>
      <c r="J158" s="11"/>
      <c r="K158" s="11"/>
      <c r="L158" s="11"/>
      <c r="M158" s="11"/>
      <c r="N158" s="11"/>
      <c r="O158" s="12"/>
      <c r="P158" s="11"/>
      <c r="Q158" s="13"/>
      <c r="R158" s="14"/>
    </row>
    <row r="159" spans="1:18" ht="15" customHeight="1" x14ac:dyDescent="0.3">
      <c r="A159" s="15" t="s">
        <v>388</v>
      </c>
      <c r="B159" s="15" t="s">
        <v>755</v>
      </c>
      <c r="C159" s="16">
        <v>0.3611111111111111</v>
      </c>
      <c r="D159" s="15" t="s">
        <v>769</v>
      </c>
      <c r="E159" s="15" t="s">
        <v>38</v>
      </c>
      <c r="F159" s="15" t="s">
        <v>830</v>
      </c>
      <c r="G159" s="298"/>
      <c r="H159" s="10"/>
      <c r="I159" s="11"/>
      <c r="J159" s="11"/>
      <c r="K159" s="11"/>
      <c r="L159" s="11"/>
      <c r="M159" s="11"/>
      <c r="N159" s="11"/>
      <c r="O159" s="12"/>
      <c r="P159" s="11"/>
      <c r="Q159" s="13"/>
      <c r="R159" s="14"/>
    </row>
    <row r="160" spans="1:18" ht="15" customHeight="1" x14ac:dyDescent="0.3">
      <c r="A160" s="15" t="s">
        <v>388</v>
      </c>
      <c r="B160" s="15" t="s">
        <v>755</v>
      </c>
      <c r="C160" s="16">
        <v>0.3611111111111111</v>
      </c>
      <c r="D160" s="15" t="s">
        <v>46</v>
      </c>
      <c r="E160" s="15" t="s">
        <v>38</v>
      </c>
      <c r="F160" s="15" t="s">
        <v>831</v>
      </c>
      <c r="G160" s="298"/>
      <c r="H160" s="10"/>
      <c r="I160" s="11"/>
      <c r="J160" s="11"/>
      <c r="K160" s="11"/>
      <c r="L160" s="11"/>
      <c r="M160" s="11"/>
      <c r="N160" s="11"/>
      <c r="O160" s="12"/>
      <c r="P160" s="11"/>
      <c r="Q160" s="13"/>
      <c r="R160" s="14"/>
    </row>
    <row r="161" spans="1:18" ht="15" customHeight="1" x14ac:dyDescent="0.3">
      <c r="A161" s="17" t="s">
        <v>388</v>
      </c>
      <c r="B161" s="17" t="s">
        <v>832</v>
      </c>
      <c r="C161" s="18">
        <v>0.63194444444444442</v>
      </c>
      <c r="D161" s="17" t="s">
        <v>756</v>
      </c>
      <c r="E161" s="17" t="s">
        <v>37</v>
      </c>
      <c r="F161" s="17" t="s">
        <v>833</v>
      </c>
      <c r="G161" s="298"/>
      <c r="H161" s="10"/>
      <c r="I161" s="11"/>
      <c r="J161" s="11"/>
      <c r="K161" s="11"/>
      <c r="L161" s="11"/>
      <c r="M161" s="11"/>
      <c r="N161" s="11"/>
      <c r="O161" s="12"/>
      <c r="P161" s="11"/>
      <c r="Q161" s="13"/>
      <c r="R161" s="14"/>
    </row>
    <row r="162" spans="1:18" ht="15" customHeight="1" x14ac:dyDescent="0.3">
      <c r="A162" s="15" t="s">
        <v>388</v>
      </c>
      <c r="B162" s="15" t="s">
        <v>832</v>
      </c>
      <c r="C162" s="16">
        <v>0.63194444444444442</v>
      </c>
      <c r="D162" s="15" t="s">
        <v>769</v>
      </c>
      <c r="E162" s="15" t="s">
        <v>38</v>
      </c>
      <c r="F162" s="15" t="s">
        <v>834</v>
      </c>
      <c r="G162" s="298"/>
      <c r="H162" s="10"/>
      <c r="I162" s="11"/>
      <c r="J162" s="11"/>
      <c r="K162" s="11"/>
      <c r="L162" s="11"/>
      <c r="M162" s="11"/>
      <c r="N162" s="11"/>
      <c r="O162" s="12"/>
      <c r="P162" s="11"/>
      <c r="Q162" s="13"/>
      <c r="R162" s="14"/>
    </row>
    <row r="163" spans="1:18" ht="15" customHeight="1" x14ac:dyDescent="0.3">
      <c r="A163" s="15" t="s">
        <v>388</v>
      </c>
      <c r="B163" s="15" t="s">
        <v>832</v>
      </c>
      <c r="C163" s="16">
        <v>0.63194444444444442</v>
      </c>
      <c r="D163" s="15" t="s">
        <v>46</v>
      </c>
      <c r="E163" s="15" t="s">
        <v>38</v>
      </c>
      <c r="F163" s="15" t="s">
        <v>835</v>
      </c>
      <c r="G163" s="298"/>
      <c r="H163" s="10"/>
      <c r="I163" s="11"/>
      <c r="J163" s="11"/>
      <c r="K163" s="11"/>
      <c r="L163" s="11"/>
      <c r="M163" s="11"/>
      <c r="N163" s="11"/>
      <c r="O163" s="12"/>
      <c r="P163" s="11"/>
      <c r="Q163" s="13"/>
      <c r="R163" s="14"/>
    </row>
    <row r="164" spans="1:18" ht="15" customHeight="1" x14ac:dyDescent="0.3">
      <c r="A164" s="19" t="s">
        <v>60</v>
      </c>
      <c r="B164" s="19" t="s">
        <v>758</v>
      </c>
      <c r="C164" s="20">
        <v>0.4513888888888889</v>
      </c>
      <c r="D164" s="19" t="s">
        <v>65</v>
      </c>
      <c r="E164" s="19" t="s">
        <v>111</v>
      </c>
      <c r="F164" s="19" t="s">
        <v>836</v>
      </c>
      <c r="G164" s="298"/>
      <c r="H164" s="10"/>
      <c r="I164" s="11"/>
      <c r="J164" s="11"/>
      <c r="K164" s="11"/>
      <c r="L164" s="11"/>
      <c r="M164" s="11"/>
      <c r="N164" s="11"/>
      <c r="O164" s="12"/>
      <c r="P164" s="11"/>
      <c r="Q164" s="13"/>
      <c r="R164" s="14"/>
    </row>
    <row r="165" spans="1:18" ht="15" customHeight="1" x14ac:dyDescent="0.3">
      <c r="A165" s="204" t="s">
        <v>77</v>
      </c>
      <c r="B165" s="204" t="s">
        <v>761</v>
      </c>
      <c r="C165" s="205">
        <v>8.6805555555555566E-2</v>
      </c>
      <c r="D165" s="204" t="s">
        <v>79</v>
      </c>
      <c r="E165" s="234"/>
      <c r="F165" s="204" t="s">
        <v>80</v>
      </c>
      <c r="G165" s="298"/>
      <c r="H165" s="206" t="s">
        <v>761</v>
      </c>
      <c r="I165" s="225">
        <v>0.99439999999999995</v>
      </c>
      <c r="J165" s="208">
        <v>179</v>
      </c>
      <c r="K165" s="209">
        <v>45979</v>
      </c>
      <c r="L165" s="208">
        <v>18</v>
      </c>
      <c r="M165" s="208">
        <v>0</v>
      </c>
      <c r="N165" s="208">
        <v>9</v>
      </c>
      <c r="O165" s="210" t="s">
        <v>81</v>
      </c>
      <c r="P165" s="211">
        <v>8.6805555555555566E-2</v>
      </c>
      <c r="Q165" s="208">
        <v>180</v>
      </c>
      <c r="R165" s="212" t="s">
        <v>837</v>
      </c>
    </row>
    <row r="166" spans="1:18" ht="18" x14ac:dyDescent="0.3">
      <c r="A166" s="312" t="s">
        <v>763</v>
      </c>
      <c r="B166" s="313"/>
      <c r="C166" s="313"/>
      <c r="D166" s="313"/>
      <c r="E166" s="313"/>
      <c r="F166" s="314"/>
      <c r="G166" s="298"/>
      <c r="H166" s="138"/>
      <c r="I166" s="138"/>
      <c r="J166" s="138"/>
      <c r="K166" s="138"/>
      <c r="L166" s="138"/>
      <c r="M166" s="138"/>
      <c r="N166" s="138"/>
      <c r="O166" s="139"/>
      <c r="P166" s="138"/>
      <c r="Q166" s="99"/>
      <c r="R166" s="99"/>
    </row>
    <row r="167" spans="1:18" ht="15" customHeight="1" x14ac:dyDescent="0.3">
      <c r="A167" s="17" t="s">
        <v>41</v>
      </c>
      <c r="B167" s="17" t="s">
        <v>347</v>
      </c>
      <c r="C167" s="18" t="s">
        <v>748</v>
      </c>
      <c r="D167" s="17" t="s">
        <v>43</v>
      </c>
      <c r="E167" s="17" t="s">
        <v>259</v>
      </c>
      <c r="F167" s="17" t="s">
        <v>508</v>
      </c>
      <c r="G167" s="298"/>
      <c r="H167" s="138"/>
      <c r="I167" s="138"/>
      <c r="J167" s="138"/>
      <c r="K167" s="138"/>
      <c r="L167" s="138"/>
      <c r="M167" s="138"/>
      <c r="N167" s="138"/>
      <c r="O167" s="139"/>
      <c r="P167" s="138"/>
      <c r="Q167" s="99"/>
      <c r="R167" s="99"/>
    </row>
    <row r="168" spans="1:18" ht="15" customHeight="1" x14ac:dyDescent="0.3">
      <c r="A168" s="17" t="s">
        <v>41</v>
      </c>
      <c r="B168" s="17" t="s">
        <v>336</v>
      </c>
      <c r="C168" s="18" t="s">
        <v>745</v>
      </c>
      <c r="D168" s="17" t="s">
        <v>43</v>
      </c>
      <c r="E168" s="17" t="s">
        <v>253</v>
      </c>
      <c r="F168" s="17" t="s">
        <v>508</v>
      </c>
      <c r="G168" s="298"/>
      <c r="H168" s="138"/>
      <c r="I168" s="138"/>
      <c r="J168" s="138"/>
      <c r="K168" s="138"/>
      <c r="L168" s="138"/>
      <c r="M168" s="138"/>
      <c r="N168" s="138"/>
      <c r="O168" s="139"/>
      <c r="P168" s="138"/>
      <c r="Q168" s="99"/>
      <c r="R168" s="99"/>
    </row>
    <row r="169" spans="1:18" ht="15" customHeight="1" x14ac:dyDescent="0.3">
      <c r="A169" s="17" t="s">
        <v>41</v>
      </c>
      <c r="B169" s="17" t="s">
        <v>340</v>
      </c>
      <c r="C169" s="18" t="s">
        <v>746</v>
      </c>
      <c r="D169" s="17" t="s">
        <v>43</v>
      </c>
      <c r="E169" s="17" t="s">
        <v>253</v>
      </c>
      <c r="F169" s="17" t="s">
        <v>143</v>
      </c>
      <c r="G169" s="298"/>
      <c r="H169" s="138"/>
      <c r="I169" s="138"/>
      <c r="J169" s="138"/>
      <c r="K169" s="138"/>
      <c r="L169" s="138"/>
      <c r="M169" s="138"/>
      <c r="N169" s="138"/>
      <c r="O169" s="139"/>
      <c r="P169" s="138"/>
      <c r="Q169" s="99"/>
      <c r="R169" s="99"/>
    </row>
    <row r="170" spans="1:18" ht="15" customHeight="1" x14ac:dyDescent="0.3">
      <c r="A170" s="17" t="s">
        <v>41</v>
      </c>
      <c r="B170" s="17" t="s">
        <v>344</v>
      </c>
      <c r="C170" s="18" t="s">
        <v>747</v>
      </c>
      <c r="D170" s="17" t="s">
        <v>43</v>
      </c>
      <c r="E170" s="17" t="s">
        <v>254</v>
      </c>
      <c r="F170" s="17" t="s">
        <v>143</v>
      </c>
      <c r="G170" s="298"/>
      <c r="H170" s="138"/>
      <c r="I170" s="138"/>
      <c r="J170" s="138"/>
      <c r="K170" s="138"/>
      <c r="L170" s="138"/>
      <c r="M170" s="138"/>
      <c r="N170" s="138"/>
      <c r="O170" s="139"/>
      <c r="P170" s="138"/>
      <c r="Q170" s="99"/>
      <c r="R170" s="99"/>
    </row>
    <row r="171" spans="1:18" ht="15" customHeight="1" x14ac:dyDescent="0.3">
      <c r="A171" s="17" t="s">
        <v>77</v>
      </c>
      <c r="B171" s="17" t="s">
        <v>365</v>
      </c>
      <c r="C171" s="18" t="s">
        <v>584</v>
      </c>
      <c r="D171" s="17" t="s">
        <v>101</v>
      </c>
      <c r="E171" s="17" t="s">
        <v>260</v>
      </c>
      <c r="F171" s="17" t="s">
        <v>379</v>
      </c>
      <c r="G171" s="298"/>
      <c r="H171" s="138"/>
      <c r="I171" s="138"/>
      <c r="J171" s="138"/>
      <c r="K171" s="138"/>
      <c r="L171" s="138"/>
      <c r="M171" s="138"/>
      <c r="N171" s="138"/>
      <c r="O171" s="139"/>
      <c r="P171" s="138"/>
      <c r="Q171" s="99"/>
      <c r="R171" s="99"/>
    </row>
    <row r="172" spans="1:18" ht="15" customHeight="1" x14ac:dyDescent="0.3">
      <c r="A172" s="17" t="s">
        <v>77</v>
      </c>
      <c r="B172" s="17" t="s">
        <v>370</v>
      </c>
      <c r="C172" s="18" t="s">
        <v>240</v>
      </c>
      <c r="D172" s="17" t="s">
        <v>101</v>
      </c>
      <c r="E172" s="17" t="s">
        <v>303</v>
      </c>
      <c r="F172" s="17" t="s">
        <v>379</v>
      </c>
      <c r="G172" s="298"/>
      <c r="H172" s="138"/>
      <c r="I172" s="138"/>
      <c r="J172" s="138"/>
      <c r="K172" s="138"/>
      <c r="L172" s="138"/>
      <c r="M172" s="138"/>
      <c r="N172" s="138"/>
      <c r="O172" s="139"/>
      <c r="P172" s="138"/>
      <c r="Q172" s="99"/>
      <c r="R172" s="99"/>
    </row>
    <row r="173" spans="1:18" ht="15" customHeight="1" x14ac:dyDescent="0.3">
      <c r="A173" s="17" t="s">
        <v>77</v>
      </c>
      <c r="B173" s="17" t="s">
        <v>374</v>
      </c>
      <c r="C173" s="18" t="s">
        <v>581</v>
      </c>
      <c r="D173" s="17" t="s">
        <v>101</v>
      </c>
      <c r="E173" s="17" t="s">
        <v>253</v>
      </c>
      <c r="F173" s="17" t="s">
        <v>379</v>
      </c>
      <c r="G173" s="298"/>
      <c r="H173" s="138"/>
      <c r="I173" s="138"/>
      <c r="J173" s="138"/>
      <c r="K173" s="138"/>
      <c r="L173" s="138"/>
      <c r="M173" s="138"/>
      <c r="N173" s="138"/>
      <c r="O173" s="139"/>
      <c r="P173" s="138"/>
      <c r="Q173" s="99"/>
      <c r="R173" s="99"/>
    </row>
    <row r="174" spans="1:18" ht="15" customHeight="1" x14ac:dyDescent="0.3">
      <c r="A174" s="17" t="s">
        <v>385</v>
      </c>
      <c r="B174" s="17" t="s">
        <v>386</v>
      </c>
      <c r="C174" s="18" t="s">
        <v>819</v>
      </c>
      <c r="D174" s="17" t="s">
        <v>101</v>
      </c>
      <c r="E174" s="17" t="s">
        <v>256</v>
      </c>
      <c r="F174" s="17" t="s">
        <v>521</v>
      </c>
      <c r="G174" s="298"/>
      <c r="H174" s="138"/>
      <c r="I174" s="138"/>
      <c r="J174" s="138"/>
      <c r="K174" s="138"/>
      <c r="L174" s="138"/>
      <c r="M174" s="138"/>
      <c r="N174" s="138"/>
      <c r="O174" s="139"/>
      <c r="P174" s="138"/>
      <c r="Q174" s="99"/>
      <c r="R174" s="99"/>
    </row>
    <row r="175" spans="1:18" ht="15" customHeight="1" x14ac:dyDescent="0.3">
      <c r="A175" s="17" t="s">
        <v>41</v>
      </c>
      <c r="B175" s="17" t="s">
        <v>347</v>
      </c>
      <c r="C175" s="18" t="s">
        <v>748</v>
      </c>
      <c r="D175" s="17" t="s">
        <v>45</v>
      </c>
      <c r="E175" s="17" t="s">
        <v>259</v>
      </c>
      <c r="F175" s="17" t="s">
        <v>478</v>
      </c>
      <c r="G175" s="298"/>
      <c r="H175" s="138"/>
      <c r="I175" s="138"/>
      <c r="J175" s="138"/>
      <c r="K175" s="138"/>
      <c r="L175" s="138"/>
      <c r="M175" s="138"/>
      <c r="N175" s="138"/>
      <c r="O175" s="139"/>
      <c r="P175" s="138"/>
      <c r="Q175" s="99"/>
      <c r="R175" s="99"/>
    </row>
    <row r="176" spans="1:18" ht="15" customHeight="1" thickBot="1" x14ac:dyDescent="0.35">
      <c r="A176" s="39" t="s">
        <v>41</v>
      </c>
      <c r="B176" s="39" t="s">
        <v>336</v>
      </c>
      <c r="C176" s="40" t="s">
        <v>745</v>
      </c>
      <c r="D176" s="39" t="s">
        <v>45</v>
      </c>
      <c r="E176" s="39" t="s">
        <v>253</v>
      </c>
      <c r="F176" s="39" t="s">
        <v>478</v>
      </c>
      <c r="G176" s="299"/>
      <c r="H176" s="140"/>
      <c r="I176" s="140"/>
      <c r="J176" s="140"/>
      <c r="K176" s="140"/>
      <c r="L176" s="140"/>
      <c r="M176" s="140"/>
      <c r="N176" s="140"/>
      <c r="O176" s="141"/>
      <c r="P176" s="140"/>
      <c r="Q176" s="142"/>
      <c r="R176" s="142"/>
    </row>
    <row r="177" spans="1:18" ht="17.399999999999999" customHeight="1" thickBot="1" x14ac:dyDescent="0.35">
      <c r="A177" s="329"/>
      <c r="B177" s="330"/>
      <c r="C177" s="330"/>
      <c r="D177" s="330"/>
      <c r="E177" s="330"/>
      <c r="F177" s="330"/>
      <c r="G177" s="330"/>
      <c r="H177" s="330"/>
      <c r="I177" s="330"/>
      <c r="J177" s="330"/>
      <c r="K177" s="330"/>
      <c r="L177" s="330"/>
      <c r="M177" s="330"/>
      <c r="N177" s="330"/>
      <c r="O177" s="330"/>
      <c r="P177" s="330"/>
      <c r="Q177" s="330"/>
      <c r="R177" s="331"/>
    </row>
    <row r="178" spans="1:18" ht="22.05" customHeight="1" thickTop="1" thickBot="1" x14ac:dyDescent="0.35">
      <c r="A178" s="300" t="s">
        <v>6</v>
      </c>
      <c r="B178" s="295"/>
      <c r="C178" s="295"/>
      <c r="D178" s="295"/>
      <c r="E178" s="295"/>
      <c r="F178" s="296"/>
      <c r="G178" s="31">
        <v>45989</v>
      </c>
      <c r="H178" s="294" t="s">
        <v>7</v>
      </c>
      <c r="I178" s="295"/>
      <c r="J178" s="295"/>
      <c r="K178" s="295"/>
      <c r="L178" s="295"/>
      <c r="M178" s="295"/>
      <c r="N178" s="295"/>
      <c r="O178" s="295"/>
      <c r="P178" s="295"/>
      <c r="Q178" s="295"/>
      <c r="R178" s="296"/>
    </row>
    <row r="179" spans="1:18" ht="24" customHeight="1" x14ac:dyDescent="0.3">
      <c r="A179" s="32" t="s">
        <v>8</v>
      </c>
      <c r="B179" s="32" t="s">
        <v>9</v>
      </c>
      <c r="C179" s="33" t="s">
        <v>10</v>
      </c>
      <c r="D179" s="32" t="s">
        <v>11</v>
      </c>
      <c r="E179" s="32" t="s">
        <v>12</v>
      </c>
      <c r="F179" s="34" t="s">
        <v>13</v>
      </c>
      <c r="G179" s="35" t="s">
        <v>14</v>
      </c>
      <c r="H179" s="32" t="s">
        <v>15</v>
      </c>
      <c r="I179" s="36" t="s">
        <v>16</v>
      </c>
      <c r="J179" s="37" t="s">
        <v>17</v>
      </c>
      <c r="K179" s="38" t="s">
        <v>18</v>
      </c>
      <c r="L179" s="37" t="s">
        <v>19</v>
      </c>
      <c r="M179" s="37" t="s">
        <v>20</v>
      </c>
      <c r="N179" s="37" t="s">
        <v>21</v>
      </c>
      <c r="O179" s="32" t="s">
        <v>22</v>
      </c>
      <c r="P179" s="33" t="s">
        <v>23</v>
      </c>
      <c r="Q179" s="37" t="s">
        <v>24</v>
      </c>
      <c r="R179" s="32" t="s">
        <v>25</v>
      </c>
    </row>
    <row r="180" spans="1:18" ht="15" customHeight="1" x14ac:dyDescent="0.3">
      <c r="A180" s="8" t="s">
        <v>388</v>
      </c>
      <c r="B180" s="8" t="s">
        <v>767</v>
      </c>
      <c r="C180" s="9">
        <v>1.041666666666667E-2</v>
      </c>
      <c r="D180" s="8" t="s">
        <v>756</v>
      </c>
      <c r="E180" s="8" t="s">
        <v>138</v>
      </c>
      <c r="F180" s="8" t="s">
        <v>838</v>
      </c>
      <c r="G180" s="297"/>
      <c r="H180" s="10"/>
      <c r="I180" s="11"/>
      <c r="J180" s="11"/>
      <c r="K180" s="11"/>
      <c r="L180" s="11"/>
      <c r="M180" s="11"/>
      <c r="N180" s="11"/>
      <c r="O180" s="12"/>
      <c r="P180" s="11"/>
      <c r="Q180" s="13"/>
      <c r="R180" s="14"/>
    </row>
    <row r="181" spans="1:18" ht="15" customHeight="1" x14ac:dyDescent="0.3">
      <c r="A181" s="15" t="s">
        <v>388</v>
      </c>
      <c r="B181" s="15" t="s">
        <v>767</v>
      </c>
      <c r="C181" s="16">
        <v>1.041666666666667E-2</v>
      </c>
      <c r="D181" s="15" t="s">
        <v>769</v>
      </c>
      <c r="E181" s="15" t="s">
        <v>38</v>
      </c>
      <c r="F181" s="15" t="s">
        <v>839</v>
      </c>
      <c r="G181" s="298"/>
      <c r="H181" s="10"/>
      <c r="I181" s="11"/>
      <c r="J181" s="11"/>
      <c r="K181" s="11"/>
      <c r="L181" s="11"/>
      <c r="M181" s="11"/>
      <c r="N181" s="11"/>
      <c r="O181" s="12"/>
      <c r="P181" s="11"/>
      <c r="Q181" s="13"/>
      <c r="R181" s="14"/>
    </row>
    <row r="182" spans="1:18" ht="15" customHeight="1" x14ac:dyDescent="0.3">
      <c r="A182" s="15" t="s">
        <v>388</v>
      </c>
      <c r="B182" s="15" t="s">
        <v>767</v>
      </c>
      <c r="C182" s="16">
        <v>1.041666666666667E-2</v>
      </c>
      <c r="D182" s="15" t="s">
        <v>46</v>
      </c>
      <c r="E182" s="15" t="s">
        <v>38</v>
      </c>
      <c r="F182" s="15" t="s">
        <v>840</v>
      </c>
      <c r="G182" s="298"/>
      <c r="H182" s="10"/>
      <c r="I182" s="11"/>
      <c r="J182" s="11"/>
      <c r="K182" s="11"/>
      <c r="L182" s="11"/>
      <c r="M182" s="11"/>
      <c r="N182" s="11"/>
      <c r="O182" s="12"/>
      <c r="P182" s="11"/>
      <c r="Q182" s="13"/>
      <c r="R182" s="14"/>
    </row>
    <row r="183" spans="1:18" ht="15" customHeight="1" x14ac:dyDescent="0.3">
      <c r="A183" s="164" t="s">
        <v>77</v>
      </c>
      <c r="B183" s="164" t="s">
        <v>772</v>
      </c>
      <c r="C183" s="165">
        <v>0.22916666666666671</v>
      </c>
      <c r="D183" s="164" t="s">
        <v>101</v>
      </c>
      <c r="E183" s="164" t="s">
        <v>63</v>
      </c>
      <c r="F183" s="164" t="s">
        <v>366</v>
      </c>
      <c r="G183" s="298"/>
      <c r="H183" s="167" t="s">
        <v>761</v>
      </c>
      <c r="I183" s="188">
        <v>0.5</v>
      </c>
      <c r="J183" s="169">
        <v>90</v>
      </c>
      <c r="K183" s="170">
        <v>45980</v>
      </c>
      <c r="L183" s="169">
        <v>29</v>
      </c>
      <c r="M183" s="169">
        <v>2</v>
      </c>
      <c r="N183" s="169">
        <v>10</v>
      </c>
      <c r="O183" s="171" t="s">
        <v>494</v>
      </c>
      <c r="P183" s="172">
        <v>0.22916666666666671</v>
      </c>
      <c r="Q183" s="169">
        <v>180</v>
      </c>
      <c r="R183" s="173" t="s">
        <v>841</v>
      </c>
    </row>
    <row r="184" spans="1:18" ht="15" customHeight="1" x14ac:dyDescent="0.3">
      <c r="A184" s="19" t="s">
        <v>60</v>
      </c>
      <c r="B184" s="19" t="s">
        <v>760</v>
      </c>
      <c r="C184" s="20">
        <v>0.81944444444444453</v>
      </c>
      <c r="D184" s="19" t="s">
        <v>65</v>
      </c>
      <c r="E184" s="19" t="s">
        <v>63</v>
      </c>
      <c r="F184" s="19" t="s">
        <v>842</v>
      </c>
      <c r="G184" s="298"/>
      <c r="H184" s="10"/>
      <c r="I184" s="11"/>
      <c r="J184" s="11"/>
      <c r="K184" s="11"/>
      <c r="L184" s="11"/>
      <c r="M184" s="11"/>
      <c r="N184" s="11"/>
      <c r="O184" s="12"/>
      <c r="P184" s="11"/>
      <c r="Q184" s="13"/>
      <c r="R184" s="14"/>
    </row>
    <row r="185" spans="1:18" ht="18" x14ac:dyDescent="0.3">
      <c r="A185" s="312" t="s">
        <v>763</v>
      </c>
      <c r="B185" s="313"/>
      <c r="C185" s="313"/>
      <c r="D185" s="313"/>
      <c r="E185" s="313"/>
      <c r="F185" s="314"/>
      <c r="G185" s="298"/>
      <c r="H185" s="138"/>
      <c r="I185" s="138"/>
      <c r="J185" s="138"/>
      <c r="K185" s="138"/>
      <c r="L185" s="138"/>
      <c r="M185" s="138"/>
      <c r="N185" s="138"/>
      <c r="O185" s="139"/>
      <c r="P185" s="138"/>
      <c r="Q185" s="99"/>
      <c r="R185" s="99"/>
    </row>
    <row r="186" spans="1:18" ht="15" customHeight="1" x14ac:dyDescent="0.3">
      <c r="A186" s="17" t="s">
        <v>388</v>
      </c>
      <c r="B186" s="17" t="s">
        <v>389</v>
      </c>
      <c r="C186" s="18" t="s">
        <v>828</v>
      </c>
      <c r="D186" s="17" t="s">
        <v>390</v>
      </c>
      <c r="E186" s="17" t="s">
        <v>254</v>
      </c>
      <c r="F186" s="17" t="s">
        <v>525</v>
      </c>
      <c r="G186" s="298"/>
      <c r="H186" s="138"/>
      <c r="I186" s="138"/>
      <c r="J186" s="138"/>
      <c r="K186" s="138"/>
      <c r="L186" s="138"/>
      <c r="M186" s="138"/>
      <c r="N186" s="138"/>
      <c r="O186" s="139"/>
      <c r="P186" s="138"/>
      <c r="Q186" s="99"/>
      <c r="R186" s="99"/>
    </row>
    <row r="187" spans="1:18" ht="15" customHeight="1" x14ac:dyDescent="0.3">
      <c r="A187" s="17" t="s">
        <v>388</v>
      </c>
      <c r="B187" s="17" t="s">
        <v>438</v>
      </c>
      <c r="C187" s="18" t="s">
        <v>843</v>
      </c>
      <c r="D187" s="17" t="s">
        <v>390</v>
      </c>
      <c r="E187" s="17" t="s">
        <v>254</v>
      </c>
      <c r="F187" s="17" t="s">
        <v>527</v>
      </c>
      <c r="G187" s="298"/>
      <c r="H187" s="138"/>
      <c r="I187" s="138"/>
      <c r="J187" s="138"/>
      <c r="K187" s="138"/>
      <c r="L187" s="138"/>
      <c r="M187" s="138"/>
      <c r="N187" s="138"/>
      <c r="O187" s="139"/>
      <c r="P187" s="138"/>
      <c r="Q187" s="99"/>
      <c r="R187" s="99"/>
    </row>
    <row r="188" spans="1:18" ht="15" customHeight="1" x14ac:dyDescent="0.3">
      <c r="A188" s="17" t="s">
        <v>41</v>
      </c>
      <c r="B188" s="17" t="s">
        <v>340</v>
      </c>
      <c r="C188" s="18" t="s">
        <v>746</v>
      </c>
      <c r="D188" s="17" t="s">
        <v>43</v>
      </c>
      <c r="E188" s="17" t="s">
        <v>253</v>
      </c>
      <c r="F188" s="17" t="s">
        <v>493</v>
      </c>
      <c r="G188" s="298"/>
      <c r="H188" s="138"/>
      <c r="I188" s="138"/>
      <c r="J188" s="138"/>
      <c r="K188" s="138"/>
      <c r="L188" s="138"/>
      <c r="M188" s="138"/>
      <c r="N188" s="138"/>
      <c r="O188" s="139"/>
      <c r="P188" s="138"/>
      <c r="Q188" s="99"/>
      <c r="R188" s="99"/>
    </row>
    <row r="189" spans="1:18" ht="15" customHeight="1" x14ac:dyDescent="0.3">
      <c r="A189" s="17" t="s">
        <v>41</v>
      </c>
      <c r="B189" s="17" t="s">
        <v>347</v>
      </c>
      <c r="C189" s="18" t="s">
        <v>748</v>
      </c>
      <c r="D189" s="17" t="s">
        <v>43</v>
      </c>
      <c r="E189" s="17" t="s">
        <v>262</v>
      </c>
      <c r="F189" s="17" t="s">
        <v>493</v>
      </c>
      <c r="G189" s="298"/>
      <c r="H189" s="138"/>
      <c r="I189" s="138"/>
      <c r="J189" s="138"/>
      <c r="K189" s="138"/>
      <c r="L189" s="138"/>
      <c r="M189" s="138"/>
      <c r="N189" s="138"/>
      <c r="O189" s="139"/>
      <c r="P189" s="138"/>
      <c r="Q189" s="99"/>
      <c r="R189" s="99"/>
    </row>
    <row r="190" spans="1:18" ht="15" customHeight="1" x14ac:dyDescent="0.3">
      <c r="A190" s="17" t="s">
        <v>41</v>
      </c>
      <c r="B190" s="17" t="s">
        <v>336</v>
      </c>
      <c r="C190" s="18" t="s">
        <v>745</v>
      </c>
      <c r="D190" s="17" t="s">
        <v>43</v>
      </c>
      <c r="E190" s="17" t="s">
        <v>844</v>
      </c>
      <c r="F190" s="17" t="s">
        <v>493</v>
      </c>
      <c r="G190" s="298"/>
      <c r="H190" s="138"/>
      <c r="I190" s="138"/>
      <c r="J190" s="138"/>
      <c r="K190" s="138"/>
      <c r="L190" s="138"/>
      <c r="M190" s="138"/>
      <c r="N190" s="138"/>
      <c r="O190" s="139"/>
      <c r="P190" s="138"/>
      <c r="Q190" s="99"/>
      <c r="R190" s="99"/>
    </row>
    <row r="191" spans="1:18" ht="15" customHeight="1" x14ac:dyDescent="0.3">
      <c r="A191" s="17" t="s">
        <v>385</v>
      </c>
      <c r="B191" s="17" t="s">
        <v>386</v>
      </c>
      <c r="C191" s="18" t="s">
        <v>819</v>
      </c>
      <c r="D191" s="17" t="s">
        <v>101</v>
      </c>
      <c r="E191" s="17" t="s">
        <v>256</v>
      </c>
      <c r="F191" s="17" t="s">
        <v>521</v>
      </c>
      <c r="G191" s="298"/>
      <c r="H191" s="138"/>
      <c r="I191" s="138"/>
      <c r="J191" s="138"/>
      <c r="K191" s="138"/>
      <c r="L191" s="138"/>
      <c r="M191" s="138"/>
      <c r="N191" s="138"/>
      <c r="O191" s="139"/>
      <c r="P191" s="138"/>
      <c r="Q191" s="99"/>
      <c r="R191" s="99"/>
    </row>
    <row r="192" spans="1:18" ht="15" customHeight="1" x14ac:dyDescent="0.3">
      <c r="A192" s="17" t="s">
        <v>41</v>
      </c>
      <c r="B192" s="17" t="s">
        <v>344</v>
      </c>
      <c r="C192" s="18" t="s">
        <v>747</v>
      </c>
      <c r="D192" s="17" t="s">
        <v>43</v>
      </c>
      <c r="E192" s="17" t="s">
        <v>259</v>
      </c>
      <c r="F192" s="17" t="s">
        <v>478</v>
      </c>
      <c r="G192" s="298"/>
      <c r="H192" s="138"/>
      <c r="I192" s="138"/>
      <c r="J192" s="138"/>
      <c r="K192" s="138"/>
      <c r="L192" s="138"/>
      <c r="M192" s="138"/>
      <c r="N192" s="138"/>
      <c r="O192" s="139"/>
      <c r="P192" s="138"/>
      <c r="Q192" s="99"/>
      <c r="R192" s="99"/>
    </row>
    <row r="193" spans="1:18" ht="15" customHeight="1" x14ac:dyDescent="0.3">
      <c r="A193" s="17" t="s">
        <v>26</v>
      </c>
      <c r="B193" s="17" t="s">
        <v>354</v>
      </c>
      <c r="C193" s="18" t="s">
        <v>751</v>
      </c>
      <c r="D193" s="17" t="s">
        <v>28</v>
      </c>
      <c r="E193" s="17" t="s">
        <v>254</v>
      </c>
      <c r="F193" s="17" t="s">
        <v>47</v>
      </c>
      <c r="G193" s="298"/>
      <c r="H193" s="138"/>
      <c r="I193" s="138"/>
      <c r="J193" s="138"/>
      <c r="K193" s="138"/>
      <c r="L193" s="138"/>
      <c r="M193" s="138"/>
      <c r="N193" s="138"/>
      <c r="O193" s="139"/>
      <c r="P193" s="138"/>
      <c r="Q193" s="99"/>
      <c r="R193" s="99"/>
    </row>
    <row r="194" spans="1:18" ht="15" customHeight="1" x14ac:dyDescent="0.3">
      <c r="A194" s="17" t="s">
        <v>26</v>
      </c>
      <c r="B194" s="17" t="s">
        <v>350</v>
      </c>
      <c r="C194" s="18" t="s">
        <v>749</v>
      </c>
      <c r="D194" s="17" t="s">
        <v>28</v>
      </c>
      <c r="E194" s="17" t="s">
        <v>273</v>
      </c>
      <c r="F194" s="17" t="s">
        <v>47</v>
      </c>
      <c r="G194" s="298"/>
      <c r="H194" s="138"/>
      <c r="I194" s="138"/>
      <c r="J194" s="138"/>
      <c r="K194" s="138"/>
      <c r="L194" s="138"/>
      <c r="M194" s="138"/>
      <c r="N194" s="138"/>
      <c r="O194" s="139"/>
      <c r="P194" s="138"/>
      <c r="Q194" s="99"/>
      <c r="R194" s="99"/>
    </row>
    <row r="195" spans="1:18" ht="15" customHeight="1" thickBot="1" x14ac:dyDescent="0.35">
      <c r="A195" s="39" t="s">
        <v>26</v>
      </c>
      <c r="B195" s="39" t="s">
        <v>352</v>
      </c>
      <c r="C195" s="40" t="s">
        <v>750</v>
      </c>
      <c r="D195" s="39" t="s">
        <v>28</v>
      </c>
      <c r="E195" s="39" t="s">
        <v>269</v>
      </c>
      <c r="F195" s="39" t="s">
        <v>47</v>
      </c>
      <c r="G195" s="299"/>
      <c r="H195" s="140"/>
      <c r="I195" s="140"/>
      <c r="J195" s="140"/>
      <c r="K195" s="140"/>
      <c r="L195" s="140"/>
      <c r="M195" s="140"/>
      <c r="N195" s="140"/>
      <c r="O195" s="141"/>
      <c r="P195" s="140"/>
      <c r="Q195" s="142"/>
      <c r="R195" s="142"/>
    </row>
    <row r="196" spans="1:18" ht="17.399999999999999" customHeight="1" thickBot="1" x14ac:dyDescent="0.35">
      <c r="A196" s="329"/>
      <c r="B196" s="330"/>
      <c r="C196" s="330"/>
      <c r="D196" s="330"/>
      <c r="E196" s="330"/>
      <c r="F196" s="330"/>
      <c r="G196" s="330"/>
      <c r="H196" s="330"/>
      <c r="I196" s="330"/>
      <c r="J196" s="330"/>
      <c r="K196" s="330"/>
      <c r="L196" s="330"/>
      <c r="M196" s="330"/>
      <c r="N196" s="330"/>
      <c r="O196" s="330"/>
      <c r="P196" s="330"/>
      <c r="Q196" s="330"/>
      <c r="R196" s="331"/>
    </row>
    <row r="197" spans="1:18" ht="22.05" customHeight="1" thickTop="1" thickBot="1" x14ac:dyDescent="0.35">
      <c r="A197" s="300" t="s">
        <v>6</v>
      </c>
      <c r="B197" s="295"/>
      <c r="C197" s="295"/>
      <c r="D197" s="295"/>
      <c r="E197" s="295"/>
      <c r="F197" s="296"/>
      <c r="G197" s="31">
        <v>45990</v>
      </c>
      <c r="H197" s="294" t="s">
        <v>7</v>
      </c>
      <c r="I197" s="295"/>
      <c r="J197" s="295"/>
      <c r="K197" s="295"/>
      <c r="L197" s="295"/>
      <c r="M197" s="295"/>
      <c r="N197" s="295"/>
      <c r="O197" s="295"/>
      <c r="P197" s="295"/>
      <c r="Q197" s="295"/>
      <c r="R197" s="296"/>
    </row>
    <row r="198" spans="1:18" ht="24" customHeight="1" x14ac:dyDescent="0.3">
      <c r="A198" s="32" t="s">
        <v>8</v>
      </c>
      <c r="B198" s="32" t="s">
        <v>9</v>
      </c>
      <c r="C198" s="33" t="s">
        <v>10</v>
      </c>
      <c r="D198" s="32" t="s">
        <v>11</v>
      </c>
      <c r="E198" s="32" t="s">
        <v>12</v>
      </c>
      <c r="F198" s="34" t="s">
        <v>13</v>
      </c>
      <c r="G198" s="35" t="s">
        <v>14</v>
      </c>
      <c r="H198" s="32" t="s">
        <v>15</v>
      </c>
      <c r="I198" s="36" t="s">
        <v>16</v>
      </c>
      <c r="J198" s="37" t="s">
        <v>17</v>
      </c>
      <c r="K198" s="38" t="s">
        <v>18</v>
      </c>
      <c r="L198" s="37" t="s">
        <v>19</v>
      </c>
      <c r="M198" s="37" t="s">
        <v>20</v>
      </c>
      <c r="N198" s="37" t="s">
        <v>21</v>
      </c>
      <c r="O198" s="32" t="s">
        <v>22</v>
      </c>
      <c r="P198" s="33" t="s">
        <v>23</v>
      </c>
      <c r="Q198" s="37" t="s">
        <v>24</v>
      </c>
      <c r="R198" s="32" t="s">
        <v>25</v>
      </c>
    </row>
    <row r="199" spans="1:18" ht="15" customHeight="1" x14ac:dyDescent="0.3">
      <c r="A199" s="55" t="s">
        <v>77</v>
      </c>
      <c r="B199" s="55" t="s">
        <v>772</v>
      </c>
      <c r="C199" s="56">
        <v>0.60416666666666663</v>
      </c>
      <c r="D199" s="55" t="s">
        <v>101</v>
      </c>
      <c r="E199" s="55" t="s">
        <v>85</v>
      </c>
      <c r="F199" s="55" t="s">
        <v>567</v>
      </c>
      <c r="G199" s="297"/>
      <c r="H199" s="57" t="s">
        <v>761</v>
      </c>
      <c r="I199" s="58">
        <v>0.94440000000000002</v>
      </c>
      <c r="J199" s="59">
        <v>170</v>
      </c>
      <c r="K199" s="60">
        <v>45979</v>
      </c>
      <c r="L199" s="59">
        <v>11</v>
      </c>
      <c r="M199" s="59">
        <v>0</v>
      </c>
      <c r="N199" s="59">
        <v>7</v>
      </c>
      <c r="O199" s="61" t="s">
        <v>224</v>
      </c>
      <c r="P199" s="62">
        <v>0.60416666666666663</v>
      </c>
      <c r="Q199" s="59">
        <v>180</v>
      </c>
      <c r="R199" s="63" t="s">
        <v>845</v>
      </c>
    </row>
    <row r="200" spans="1:18" ht="15" customHeight="1" x14ac:dyDescent="0.3">
      <c r="A200" s="191" t="s">
        <v>77</v>
      </c>
      <c r="B200" s="191" t="s">
        <v>788</v>
      </c>
      <c r="C200" s="192">
        <v>0.27083333333333331</v>
      </c>
      <c r="D200" s="191" t="s">
        <v>79</v>
      </c>
      <c r="E200" s="228"/>
      <c r="F200" s="191" t="s">
        <v>80</v>
      </c>
      <c r="G200" s="298"/>
      <c r="H200" s="147" t="s">
        <v>788</v>
      </c>
      <c r="I200" s="148">
        <v>1</v>
      </c>
      <c r="J200" s="149">
        <v>180</v>
      </c>
      <c r="K200" s="150">
        <v>45976</v>
      </c>
      <c r="L200" s="149">
        <v>2</v>
      </c>
      <c r="M200" s="149">
        <v>0</v>
      </c>
      <c r="N200" s="149">
        <v>0</v>
      </c>
      <c r="O200" s="151" t="s">
        <v>81</v>
      </c>
      <c r="P200" s="152">
        <v>0.27083333333333331</v>
      </c>
      <c r="Q200" s="149">
        <v>180</v>
      </c>
      <c r="R200" s="153" t="s">
        <v>846</v>
      </c>
    </row>
    <row r="201" spans="1:18" ht="15" customHeight="1" x14ac:dyDescent="0.3">
      <c r="A201" s="19" t="s">
        <v>41</v>
      </c>
      <c r="B201" s="19" t="s">
        <v>777</v>
      </c>
      <c r="C201" s="20">
        <v>0.3611111111111111</v>
      </c>
      <c r="D201" s="19" t="s">
        <v>778</v>
      </c>
      <c r="E201" s="19" t="s">
        <v>111</v>
      </c>
      <c r="F201" s="19" t="s">
        <v>792</v>
      </c>
      <c r="G201" s="298"/>
      <c r="H201" s="10"/>
      <c r="I201" s="11"/>
      <c r="J201" s="11"/>
      <c r="K201" s="11"/>
      <c r="L201" s="11"/>
      <c r="M201" s="11"/>
      <c r="N201" s="11"/>
      <c r="O201" s="12"/>
      <c r="P201" s="11"/>
      <c r="Q201" s="13"/>
      <c r="R201" s="14"/>
    </row>
    <row r="202" spans="1:18" ht="15" customHeight="1" x14ac:dyDescent="0.3">
      <c r="A202" s="15" t="s">
        <v>41</v>
      </c>
      <c r="B202" s="15" t="s">
        <v>777</v>
      </c>
      <c r="C202" s="16">
        <v>0.3611111111111111</v>
      </c>
      <c r="D202" s="15" t="s">
        <v>756</v>
      </c>
      <c r="E202" s="15" t="s">
        <v>115</v>
      </c>
      <c r="F202" s="15" t="s">
        <v>847</v>
      </c>
      <c r="G202" s="298"/>
      <c r="H202" s="10"/>
      <c r="I202" s="11"/>
      <c r="J202" s="11"/>
      <c r="K202" s="11"/>
      <c r="L202" s="11"/>
      <c r="M202" s="11"/>
      <c r="N202" s="11"/>
      <c r="O202" s="12"/>
      <c r="P202" s="11"/>
      <c r="Q202" s="13"/>
      <c r="R202" s="14"/>
    </row>
    <row r="203" spans="1:18" ht="15" customHeight="1" x14ac:dyDescent="0.3">
      <c r="A203" s="15" t="s">
        <v>41</v>
      </c>
      <c r="B203" s="15" t="s">
        <v>777</v>
      </c>
      <c r="C203" s="16">
        <v>0.3611111111111111</v>
      </c>
      <c r="D203" s="15" t="s">
        <v>769</v>
      </c>
      <c r="E203" s="15" t="s">
        <v>115</v>
      </c>
      <c r="F203" s="15" t="s">
        <v>848</v>
      </c>
      <c r="G203" s="298"/>
      <c r="H203" s="10"/>
      <c r="I203" s="11"/>
      <c r="J203" s="11"/>
      <c r="K203" s="11"/>
      <c r="L203" s="11"/>
      <c r="M203" s="11"/>
      <c r="N203" s="11"/>
      <c r="O203" s="12"/>
      <c r="P203" s="11"/>
      <c r="Q203" s="13"/>
      <c r="R203" s="14"/>
    </row>
    <row r="204" spans="1:18" ht="15" customHeight="1" x14ac:dyDescent="0.3">
      <c r="A204" s="15" t="s">
        <v>41</v>
      </c>
      <c r="B204" s="15" t="s">
        <v>777</v>
      </c>
      <c r="C204" s="16">
        <v>0.3611111111111111</v>
      </c>
      <c r="D204" s="15" t="s">
        <v>782</v>
      </c>
      <c r="E204" s="15" t="s">
        <v>115</v>
      </c>
      <c r="F204" s="15" t="s">
        <v>522</v>
      </c>
      <c r="G204" s="298"/>
      <c r="H204" s="10"/>
      <c r="I204" s="11"/>
      <c r="J204" s="11"/>
      <c r="K204" s="11"/>
      <c r="L204" s="11"/>
      <c r="M204" s="11"/>
      <c r="N204" s="11"/>
      <c r="O204" s="12"/>
      <c r="P204" s="11"/>
      <c r="Q204" s="13"/>
      <c r="R204" s="14"/>
    </row>
    <row r="205" spans="1:18" ht="15" customHeight="1" x14ac:dyDescent="0.3">
      <c r="A205" s="19" t="s">
        <v>388</v>
      </c>
      <c r="B205" s="19" t="s">
        <v>755</v>
      </c>
      <c r="C205" s="20">
        <v>0.3611111111111111</v>
      </c>
      <c r="D205" s="19" t="s">
        <v>756</v>
      </c>
      <c r="E205" s="19" t="s">
        <v>138</v>
      </c>
      <c r="F205" s="19" t="s">
        <v>849</v>
      </c>
      <c r="G205" s="298"/>
      <c r="H205" s="10"/>
      <c r="I205" s="11"/>
      <c r="J205" s="11"/>
      <c r="K205" s="11"/>
      <c r="L205" s="11"/>
      <c r="M205" s="11"/>
      <c r="N205" s="11"/>
      <c r="O205" s="12"/>
      <c r="P205" s="11"/>
      <c r="Q205" s="13"/>
      <c r="R205" s="14"/>
    </row>
    <row r="206" spans="1:18" ht="15" customHeight="1" x14ac:dyDescent="0.3">
      <c r="A206" s="15" t="s">
        <v>388</v>
      </c>
      <c r="B206" s="15" t="s">
        <v>755</v>
      </c>
      <c r="C206" s="16">
        <v>0.3611111111111111</v>
      </c>
      <c r="D206" s="15" t="s">
        <v>769</v>
      </c>
      <c r="E206" s="15" t="s">
        <v>38</v>
      </c>
      <c r="F206" s="15" t="s">
        <v>850</v>
      </c>
      <c r="G206" s="298"/>
      <c r="H206" s="10"/>
      <c r="I206" s="11"/>
      <c r="J206" s="11"/>
      <c r="K206" s="11"/>
      <c r="L206" s="11"/>
      <c r="M206" s="11"/>
      <c r="N206" s="11"/>
      <c r="O206" s="12"/>
      <c r="P206" s="11"/>
      <c r="Q206" s="13"/>
      <c r="R206" s="14"/>
    </row>
    <row r="207" spans="1:18" ht="15" customHeight="1" x14ac:dyDescent="0.3">
      <c r="A207" s="15" t="s">
        <v>388</v>
      </c>
      <c r="B207" s="15" t="s">
        <v>755</v>
      </c>
      <c r="C207" s="16">
        <v>0.3611111111111111</v>
      </c>
      <c r="D207" s="15" t="s">
        <v>46</v>
      </c>
      <c r="E207" s="15" t="s">
        <v>38</v>
      </c>
      <c r="F207" s="15" t="s">
        <v>851</v>
      </c>
      <c r="G207" s="298"/>
      <c r="H207" s="10"/>
      <c r="I207" s="11"/>
      <c r="J207" s="11"/>
      <c r="K207" s="11"/>
      <c r="L207" s="11"/>
      <c r="M207" s="11"/>
      <c r="N207" s="11"/>
      <c r="O207" s="12"/>
      <c r="P207" s="11"/>
      <c r="Q207" s="13"/>
      <c r="R207" s="14"/>
    </row>
    <row r="208" spans="1:18" ht="15" customHeight="1" x14ac:dyDescent="0.3">
      <c r="A208" s="19" t="s">
        <v>60</v>
      </c>
      <c r="B208" s="19" t="s">
        <v>758</v>
      </c>
      <c r="C208" s="20">
        <v>0.4513888888888889</v>
      </c>
      <c r="D208" s="19" t="s">
        <v>65</v>
      </c>
      <c r="E208" s="19" t="s">
        <v>63</v>
      </c>
      <c r="F208" s="19" t="s">
        <v>842</v>
      </c>
      <c r="G208" s="298"/>
      <c r="H208" s="10"/>
      <c r="I208" s="11"/>
      <c r="J208" s="11"/>
      <c r="K208" s="11"/>
      <c r="L208" s="11"/>
      <c r="M208" s="11"/>
      <c r="N208" s="11"/>
      <c r="O208" s="12"/>
      <c r="P208" s="11"/>
      <c r="Q208" s="13"/>
      <c r="R208" s="14"/>
    </row>
    <row r="209" spans="1:18" ht="15" customHeight="1" x14ac:dyDescent="0.3">
      <c r="A209" s="17" t="s">
        <v>60</v>
      </c>
      <c r="B209" s="17" t="s">
        <v>760</v>
      </c>
      <c r="C209" s="18">
        <v>0.81944444444444453</v>
      </c>
      <c r="D209" s="17" t="s">
        <v>65</v>
      </c>
      <c r="E209" s="17" t="s">
        <v>54</v>
      </c>
      <c r="F209" s="17" t="s">
        <v>842</v>
      </c>
      <c r="G209" s="298"/>
      <c r="H209" s="10"/>
      <c r="I209" s="11"/>
      <c r="J209" s="11"/>
      <c r="K209" s="11"/>
      <c r="L209" s="11"/>
      <c r="M209" s="11"/>
      <c r="N209" s="11"/>
      <c r="O209" s="12"/>
      <c r="P209" s="11"/>
      <c r="Q209" s="13"/>
      <c r="R209" s="14"/>
    </row>
    <row r="210" spans="1:18" ht="18" x14ac:dyDescent="0.3">
      <c r="A210" s="312" t="s">
        <v>763</v>
      </c>
      <c r="B210" s="313"/>
      <c r="C210" s="313"/>
      <c r="D210" s="313"/>
      <c r="E210" s="313"/>
      <c r="F210" s="314"/>
      <c r="G210" s="298"/>
      <c r="H210" s="138"/>
      <c r="I210" s="138"/>
      <c r="J210" s="138"/>
      <c r="K210" s="138"/>
      <c r="L210" s="138"/>
      <c r="M210" s="138"/>
      <c r="N210" s="138"/>
      <c r="O210" s="139"/>
      <c r="P210" s="138"/>
      <c r="Q210" s="99"/>
      <c r="R210" s="99"/>
    </row>
    <row r="211" spans="1:18" ht="15" customHeight="1" x14ac:dyDescent="0.3">
      <c r="A211" s="17" t="s">
        <v>388</v>
      </c>
      <c r="B211" s="17" t="s">
        <v>462</v>
      </c>
      <c r="C211" s="18" t="s">
        <v>852</v>
      </c>
      <c r="D211" s="17" t="s">
        <v>390</v>
      </c>
      <c r="E211" s="17" t="s">
        <v>254</v>
      </c>
      <c r="F211" s="17" t="s">
        <v>527</v>
      </c>
      <c r="G211" s="298"/>
      <c r="H211" s="138"/>
      <c r="I211" s="138"/>
      <c r="J211" s="138"/>
      <c r="K211" s="138"/>
      <c r="L211" s="138"/>
      <c r="M211" s="138"/>
      <c r="N211" s="138"/>
      <c r="O211" s="139"/>
      <c r="P211" s="138"/>
      <c r="Q211" s="99"/>
      <c r="R211" s="99"/>
    </row>
    <row r="212" spans="1:18" ht="15" customHeight="1" x14ac:dyDescent="0.3">
      <c r="A212" s="17" t="s">
        <v>388</v>
      </c>
      <c r="B212" s="17" t="s">
        <v>389</v>
      </c>
      <c r="C212" s="18" t="s">
        <v>853</v>
      </c>
      <c r="D212" s="17" t="s">
        <v>390</v>
      </c>
      <c r="E212" s="17" t="s">
        <v>254</v>
      </c>
      <c r="F212" s="17" t="s">
        <v>546</v>
      </c>
      <c r="G212" s="298"/>
      <c r="H212" s="138"/>
      <c r="I212" s="138"/>
      <c r="J212" s="138"/>
      <c r="K212" s="138"/>
      <c r="L212" s="138"/>
      <c r="M212" s="138"/>
      <c r="N212" s="138"/>
      <c r="O212" s="139"/>
      <c r="P212" s="138"/>
      <c r="Q212" s="99"/>
      <c r="R212" s="99"/>
    </row>
    <row r="213" spans="1:18" ht="15" customHeight="1" x14ac:dyDescent="0.3">
      <c r="A213" s="17" t="s">
        <v>41</v>
      </c>
      <c r="B213" s="17" t="s">
        <v>340</v>
      </c>
      <c r="C213" s="18" t="s">
        <v>746</v>
      </c>
      <c r="D213" s="17" t="s">
        <v>43</v>
      </c>
      <c r="E213" s="17" t="s">
        <v>262</v>
      </c>
      <c r="F213" s="17" t="s">
        <v>478</v>
      </c>
      <c r="G213" s="298"/>
      <c r="H213" s="138"/>
      <c r="I213" s="138"/>
      <c r="J213" s="138"/>
      <c r="K213" s="138"/>
      <c r="L213" s="138"/>
      <c r="M213" s="138"/>
      <c r="N213" s="138"/>
      <c r="O213" s="139"/>
      <c r="P213" s="138"/>
      <c r="Q213" s="99"/>
      <c r="R213" s="99"/>
    </row>
    <row r="214" spans="1:18" ht="15" customHeight="1" x14ac:dyDescent="0.3">
      <c r="A214" s="17" t="s">
        <v>385</v>
      </c>
      <c r="B214" s="17" t="s">
        <v>435</v>
      </c>
      <c r="C214" s="18" t="s">
        <v>854</v>
      </c>
      <c r="D214" s="17" t="s">
        <v>101</v>
      </c>
      <c r="E214" s="17" t="s">
        <v>256</v>
      </c>
      <c r="F214" s="17" t="s">
        <v>548</v>
      </c>
      <c r="G214" s="298"/>
      <c r="H214" s="138"/>
      <c r="I214" s="138"/>
      <c r="J214" s="138"/>
      <c r="K214" s="138"/>
      <c r="L214" s="138"/>
      <c r="M214" s="138"/>
      <c r="N214" s="138"/>
      <c r="O214" s="139"/>
      <c r="P214" s="138"/>
      <c r="Q214" s="99"/>
      <c r="R214" s="99"/>
    </row>
    <row r="215" spans="1:18" ht="15" customHeight="1" x14ac:dyDescent="0.3">
      <c r="A215" s="17" t="s">
        <v>41</v>
      </c>
      <c r="B215" s="17" t="s">
        <v>344</v>
      </c>
      <c r="C215" s="18" t="s">
        <v>747</v>
      </c>
      <c r="D215" s="17" t="s">
        <v>43</v>
      </c>
      <c r="E215" s="17" t="s">
        <v>275</v>
      </c>
      <c r="F215" s="17" t="s">
        <v>47</v>
      </c>
      <c r="G215" s="298"/>
      <c r="H215" s="138"/>
      <c r="I215" s="138"/>
      <c r="J215" s="138"/>
      <c r="K215" s="138"/>
      <c r="L215" s="138"/>
      <c r="M215" s="138"/>
      <c r="N215" s="138"/>
      <c r="O215" s="139"/>
      <c r="P215" s="138"/>
      <c r="Q215" s="99"/>
      <c r="R215" s="99"/>
    </row>
    <row r="216" spans="1:18" ht="15" customHeight="1" x14ac:dyDescent="0.3">
      <c r="A216" s="17" t="s">
        <v>41</v>
      </c>
      <c r="B216" s="17" t="s">
        <v>347</v>
      </c>
      <c r="C216" s="18" t="s">
        <v>748</v>
      </c>
      <c r="D216" s="17" t="s">
        <v>43</v>
      </c>
      <c r="E216" s="17" t="s">
        <v>255</v>
      </c>
      <c r="F216" s="17" t="s">
        <v>47</v>
      </c>
      <c r="G216" s="298"/>
      <c r="H216" s="138"/>
      <c r="I216" s="138"/>
      <c r="J216" s="138"/>
      <c r="K216" s="138"/>
      <c r="L216" s="138"/>
      <c r="M216" s="138"/>
      <c r="N216" s="138"/>
      <c r="O216" s="139"/>
      <c r="P216" s="138"/>
      <c r="Q216" s="99"/>
      <c r="R216" s="99"/>
    </row>
    <row r="217" spans="1:18" ht="15" customHeight="1" x14ac:dyDescent="0.3">
      <c r="A217" s="17" t="s">
        <v>41</v>
      </c>
      <c r="B217" s="17" t="s">
        <v>336</v>
      </c>
      <c r="C217" s="18" t="s">
        <v>745</v>
      </c>
      <c r="D217" s="17" t="s">
        <v>43</v>
      </c>
      <c r="E217" s="17" t="s">
        <v>262</v>
      </c>
      <c r="F217" s="17" t="s">
        <v>47</v>
      </c>
      <c r="G217" s="298"/>
      <c r="H217" s="138"/>
      <c r="I217" s="138"/>
      <c r="J217" s="138"/>
      <c r="K217" s="138"/>
      <c r="L217" s="138"/>
      <c r="M217" s="138"/>
      <c r="N217" s="138"/>
      <c r="O217" s="139"/>
      <c r="P217" s="138"/>
      <c r="Q217" s="99"/>
      <c r="R217" s="99"/>
    </row>
    <row r="218" spans="1:18" ht="15" customHeight="1" x14ac:dyDescent="0.3">
      <c r="A218" s="17" t="s">
        <v>26</v>
      </c>
      <c r="B218" s="17" t="s">
        <v>354</v>
      </c>
      <c r="C218" s="18" t="s">
        <v>751</v>
      </c>
      <c r="D218" s="17" t="s">
        <v>28</v>
      </c>
      <c r="E218" s="17" t="s">
        <v>260</v>
      </c>
      <c r="F218" s="17" t="s">
        <v>47</v>
      </c>
      <c r="G218" s="298"/>
      <c r="H218" s="138"/>
      <c r="I218" s="138"/>
      <c r="J218" s="138"/>
      <c r="K218" s="138"/>
      <c r="L218" s="138"/>
      <c r="M218" s="138"/>
      <c r="N218" s="138"/>
      <c r="O218" s="139"/>
      <c r="P218" s="138"/>
      <c r="Q218" s="99"/>
      <c r="R218" s="99"/>
    </row>
    <row r="219" spans="1:18" ht="15" customHeight="1" x14ac:dyDescent="0.3">
      <c r="A219" s="17" t="s">
        <v>388</v>
      </c>
      <c r="B219" s="17" t="s">
        <v>462</v>
      </c>
      <c r="C219" s="18" t="s">
        <v>852</v>
      </c>
      <c r="D219" s="17" t="s">
        <v>46</v>
      </c>
      <c r="E219" s="17" t="s">
        <v>254</v>
      </c>
      <c r="F219" s="17" t="s">
        <v>528</v>
      </c>
      <c r="G219" s="298"/>
      <c r="H219" s="138"/>
      <c r="I219" s="138"/>
      <c r="J219" s="138"/>
      <c r="K219" s="138"/>
      <c r="L219" s="138"/>
      <c r="M219" s="138"/>
      <c r="N219" s="138"/>
      <c r="O219" s="139"/>
      <c r="P219" s="138"/>
      <c r="Q219" s="99"/>
      <c r="R219" s="99"/>
    </row>
    <row r="220" spans="1:18" ht="15" customHeight="1" thickBot="1" x14ac:dyDescent="0.35">
      <c r="A220" s="39" t="s">
        <v>41</v>
      </c>
      <c r="B220" s="39" t="s">
        <v>340</v>
      </c>
      <c r="C220" s="40" t="s">
        <v>746</v>
      </c>
      <c r="D220" s="39" t="s">
        <v>45</v>
      </c>
      <c r="E220" s="39" t="s">
        <v>262</v>
      </c>
      <c r="F220" s="39" t="s">
        <v>532</v>
      </c>
      <c r="G220" s="299"/>
      <c r="H220" s="140"/>
      <c r="I220" s="140"/>
      <c r="J220" s="140"/>
      <c r="K220" s="140"/>
      <c r="L220" s="140"/>
      <c r="M220" s="140"/>
      <c r="N220" s="140"/>
      <c r="O220" s="141"/>
      <c r="P220" s="140"/>
      <c r="Q220" s="142"/>
      <c r="R220" s="142"/>
    </row>
    <row r="221" spans="1:18" ht="17.399999999999999" customHeight="1" thickBot="1" x14ac:dyDescent="0.35">
      <c r="A221" s="329"/>
      <c r="B221" s="330"/>
      <c r="C221" s="330"/>
      <c r="D221" s="330"/>
      <c r="E221" s="330"/>
      <c r="F221" s="330"/>
      <c r="G221" s="330"/>
      <c r="H221" s="330"/>
      <c r="I221" s="330"/>
      <c r="J221" s="330"/>
      <c r="K221" s="330"/>
      <c r="L221" s="330"/>
      <c r="M221" s="330"/>
      <c r="N221" s="330"/>
      <c r="O221" s="330"/>
      <c r="P221" s="330"/>
      <c r="Q221" s="330"/>
      <c r="R221" s="331"/>
    </row>
    <row r="222" spans="1:18" ht="22.05" customHeight="1" thickTop="1" thickBot="1" x14ac:dyDescent="0.35">
      <c r="A222" s="300" t="s">
        <v>6</v>
      </c>
      <c r="B222" s="295"/>
      <c r="C222" s="295"/>
      <c r="D222" s="295"/>
      <c r="E222" s="295"/>
      <c r="F222" s="296"/>
      <c r="G222" s="31">
        <v>45991</v>
      </c>
      <c r="H222" s="294" t="s">
        <v>7</v>
      </c>
      <c r="I222" s="295"/>
      <c r="J222" s="295"/>
      <c r="K222" s="295"/>
      <c r="L222" s="295"/>
      <c r="M222" s="295"/>
      <c r="N222" s="295"/>
      <c r="O222" s="295"/>
      <c r="P222" s="295"/>
      <c r="Q222" s="295"/>
      <c r="R222" s="296"/>
    </row>
    <row r="223" spans="1:18" ht="24" customHeight="1" x14ac:dyDescent="0.3">
      <c r="A223" s="32" t="s">
        <v>8</v>
      </c>
      <c r="B223" s="32" t="s">
        <v>9</v>
      </c>
      <c r="C223" s="33" t="s">
        <v>10</v>
      </c>
      <c r="D223" s="32" t="s">
        <v>11</v>
      </c>
      <c r="E223" s="32" t="s">
        <v>12</v>
      </c>
      <c r="F223" s="34" t="s">
        <v>13</v>
      </c>
      <c r="G223" s="35" t="s">
        <v>14</v>
      </c>
      <c r="H223" s="32" t="s">
        <v>15</v>
      </c>
      <c r="I223" s="36" t="s">
        <v>16</v>
      </c>
      <c r="J223" s="37" t="s">
        <v>17</v>
      </c>
      <c r="K223" s="38" t="s">
        <v>18</v>
      </c>
      <c r="L223" s="37" t="s">
        <v>19</v>
      </c>
      <c r="M223" s="37" t="s">
        <v>20</v>
      </c>
      <c r="N223" s="37" t="s">
        <v>21</v>
      </c>
      <c r="O223" s="32" t="s">
        <v>22</v>
      </c>
      <c r="P223" s="33" t="s">
        <v>23</v>
      </c>
      <c r="Q223" s="37" t="s">
        <v>24</v>
      </c>
      <c r="R223" s="32" t="s">
        <v>25</v>
      </c>
    </row>
    <row r="224" spans="1:18" ht="15" customHeight="1" x14ac:dyDescent="0.3">
      <c r="A224" s="8" t="s">
        <v>388</v>
      </c>
      <c r="B224" s="8" t="s">
        <v>755</v>
      </c>
      <c r="C224" s="9">
        <v>0.3611111111111111</v>
      </c>
      <c r="D224" s="8" t="s">
        <v>756</v>
      </c>
      <c r="E224" s="8" t="s">
        <v>138</v>
      </c>
      <c r="F224" s="8" t="s">
        <v>855</v>
      </c>
      <c r="G224" s="297"/>
      <c r="H224" s="10"/>
      <c r="I224" s="11"/>
      <c r="J224" s="11"/>
      <c r="K224" s="11"/>
      <c r="L224" s="11"/>
      <c r="M224" s="11"/>
      <c r="N224" s="11"/>
      <c r="O224" s="12"/>
      <c r="P224" s="11"/>
      <c r="Q224" s="13"/>
      <c r="R224" s="14"/>
    </row>
    <row r="225" spans="1:18" ht="15" customHeight="1" x14ac:dyDescent="0.3">
      <c r="A225" s="15" t="s">
        <v>388</v>
      </c>
      <c r="B225" s="15" t="s">
        <v>755</v>
      </c>
      <c r="C225" s="16">
        <v>0.3611111111111111</v>
      </c>
      <c r="D225" s="15" t="s">
        <v>769</v>
      </c>
      <c r="E225" s="15" t="s">
        <v>38</v>
      </c>
      <c r="F225" s="15" t="s">
        <v>856</v>
      </c>
      <c r="G225" s="298"/>
      <c r="H225" s="10"/>
      <c r="I225" s="11"/>
      <c r="J225" s="11"/>
      <c r="K225" s="11"/>
      <c r="L225" s="11"/>
      <c r="M225" s="11"/>
      <c r="N225" s="11"/>
      <c r="O225" s="12"/>
      <c r="P225" s="11"/>
      <c r="Q225" s="13"/>
      <c r="R225" s="14"/>
    </row>
    <row r="226" spans="1:18" ht="15" customHeight="1" x14ac:dyDescent="0.3">
      <c r="A226" s="15" t="s">
        <v>388</v>
      </c>
      <c r="B226" s="15" t="s">
        <v>755</v>
      </c>
      <c r="C226" s="16">
        <v>0.3611111111111111</v>
      </c>
      <c r="D226" s="15" t="s">
        <v>46</v>
      </c>
      <c r="E226" s="15" t="s">
        <v>38</v>
      </c>
      <c r="F226" s="15" t="s">
        <v>857</v>
      </c>
      <c r="G226" s="298"/>
      <c r="H226" s="10"/>
      <c r="I226" s="11"/>
      <c r="J226" s="11"/>
      <c r="K226" s="11"/>
      <c r="L226" s="11"/>
      <c r="M226" s="11"/>
      <c r="N226" s="11"/>
      <c r="O226" s="12"/>
      <c r="P226" s="11"/>
      <c r="Q226" s="13"/>
      <c r="R226" s="14"/>
    </row>
    <row r="227" spans="1:18" ht="15" customHeight="1" x14ac:dyDescent="0.3">
      <c r="A227" s="19" t="s">
        <v>60</v>
      </c>
      <c r="B227" s="19" t="s">
        <v>760</v>
      </c>
      <c r="C227" s="20">
        <v>0.81944444444444453</v>
      </c>
      <c r="D227" s="19" t="s">
        <v>65</v>
      </c>
      <c r="E227" s="19" t="s">
        <v>63</v>
      </c>
      <c r="F227" s="19" t="s">
        <v>549</v>
      </c>
      <c r="G227" s="298"/>
      <c r="H227" s="10"/>
      <c r="I227" s="11"/>
      <c r="J227" s="11"/>
      <c r="K227" s="11"/>
      <c r="L227" s="11"/>
      <c r="M227" s="11"/>
      <c r="N227" s="11"/>
      <c r="O227" s="12"/>
      <c r="P227" s="11"/>
      <c r="Q227" s="13"/>
      <c r="R227" s="14"/>
    </row>
    <row r="228" spans="1:18" ht="15" customHeight="1" x14ac:dyDescent="0.3">
      <c r="A228" s="55" t="s">
        <v>77</v>
      </c>
      <c r="B228" s="55" t="s">
        <v>761</v>
      </c>
      <c r="C228" s="56">
        <v>0.49652777777777768</v>
      </c>
      <c r="D228" s="55" t="s">
        <v>79</v>
      </c>
      <c r="E228" s="235"/>
      <c r="F228" s="55" t="s">
        <v>80</v>
      </c>
      <c r="G228" s="298"/>
      <c r="H228" s="57" t="s">
        <v>761</v>
      </c>
      <c r="I228" s="58">
        <v>0.99439999999999995</v>
      </c>
      <c r="J228" s="59">
        <v>179</v>
      </c>
      <c r="K228" s="60">
        <v>45980</v>
      </c>
      <c r="L228" s="59">
        <v>17</v>
      </c>
      <c r="M228" s="59">
        <v>3</v>
      </c>
      <c r="N228" s="59">
        <v>6</v>
      </c>
      <c r="O228" s="61" t="s">
        <v>81</v>
      </c>
      <c r="P228" s="62">
        <v>0.49652777777777768</v>
      </c>
      <c r="Q228" s="59">
        <v>180</v>
      </c>
      <c r="R228" s="63" t="s">
        <v>858</v>
      </c>
    </row>
    <row r="229" spans="1:18" ht="15" customHeight="1" x14ac:dyDescent="0.3">
      <c r="A229" s="198" t="s">
        <v>77</v>
      </c>
      <c r="B229" s="198" t="s">
        <v>788</v>
      </c>
      <c r="C229" s="199">
        <v>0.57986111111111105</v>
      </c>
      <c r="D229" s="198" t="s">
        <v>79</v>
      </c>
      <c r="E229" s="226"/>
      <c r="F229" s="198" t="s">
        <v>80</v>
      </c>
      <c r="G229" s="298"/>
      <c r="H229" s="131" t="s">
        <v>788</v>
      </c>
      <c r="I229" s="132">
        <v>1</v>
      </c>
      <c r="J229" s="133">
        <v>180</v>
      </c>
      <c r="K229" s="134">
        <v>45978</v>
      </c>
      <c r="L229" s="133">
        <v>5</v>
      </c>
      <c r="M229" s="133">
        <v>0</v>
      </c>
      <c r="N229" s="133">
        <v>0</v>
      </c>
      <c r="O229" s="135" t="s">
        <v>81</v>
      </c>
      <c r="P229" s="136">
        <v>0.57986111111111105</v>
      </c>
      <c r="Q229" s="133">
        <v>180</v>
      </c>
      <c r="R229" s="137" t="s">
        <v>859</v>
      </c>
    </row>
    <row r="230" spans="1:18" ht="18" x14ac:dyDescent="0.3">
      <c r="A230" s="312" t="s">
        <v>763</v>
      </c>
      <c r="B230" s="313"/>
      <c r="C230" s="313"/>
      <c r="D230" s="313"/>
      <c r="E230" s="313"/>
      <c r="F230" s="314"/>
      <c r="G230" s="298"/>
      <c r="H230" s="138"/>
      <c r="I230" s="138"/>
      <c r="J230" s="138"/>
      <c r="K230" s="138"/>
      <c r="L230" s="138"/>
      <c r="M230" s="138"/>
      <c r="N230" s="138"/>
      <c r="O230" s="139"/>
      <c r="P230" s="138"/>
      <c r="Q230" s="99"/>
      <c r="R230" s="99"/>
    </row>
    <row r="231" spans="1:18" ht="15" customHeight="1" x14ac:dyDescent="0.3">
      <c r="A231" s="17" t="s">
        <v>388</v>
      </c>
      <c r="B231" s="17" t="s">
        <v>389</v>
      </c>
      <c r="C231" s="18" t="s">
        <v>237</v>
      </c>
      <c r="D231" s="17" t="s">
        <v>390</v>
      </c>
      <c r="E231" s="17" t="s">
        <v>254</v>
      </c>
      <c r="F231" s="17" t="s">
        <v>559</v>
      </c>
      <c r="G231" s="298"/>
      <c r="H231" s="138"/>
      <c r="I231" s="138"/>
      <c r="J231" s="138"/>
      <c r="K231" s="138"/>
      <c r="L231" s="138"/>
      <c r="M231" s="138"/>
      <c r="N231" s="138"/>
      <c r="O231" s="139"/>
      <c r="P231" s="138"/>
      <c r="Q231" s="99"/>
      <c r="R231" s="99"/>
    </row>
    <row r="232" spans="1:18" ht="15" customHeight="1" x14ac:dyDescent="0.3">
      <c r="A232" s="17" t="s">
        <v>41</v>
      </c>
      <c r="B232" s="17" t="s">
        <v>340</v>
      </c>
      <c r="C232" s="18" t="s">
        <v>746</v>
      </c>
      <c r="D232" s="17" t="s">
        <v>43</v>
      </c>
      <c r="E232" s="17" t="s">
        <v>269</v>
      </c>
      <c r="F232" s="17" t="s">
        <v>143</v>
      </c>
      <c r="G232" s="298"/>
      <c r="H232" s="138"/>
      <c r="I232" s="138"/>
      <c r="J232" s="138"/>
      <c r="K232" s="138"/>
      <c r="L232" s="138"/>
      <c r="M232" s="138"/>
      <c r="N232" s="138"/>
      <c r="O232" s="139"/>
      <c r="P232" s="138"/>
      <c r="Q232" s="99"/>
      <c r="R232" s="99"/>
    </row>
    <row r="233" spans="1:18" ht="15" customHeight="1" x14ac:dyDescent="0.3">
      <c r="A233" s="17" t="s">
        <v>385</v>
      </c>
      <c r="B233" s="17" t="s">
        <v>386</v>
      </c>
      <c r="C233" s="18" t="s">
        <v>819</v>
      </c>
      <c r="D233" s="17" t="s">
        <v>101</v>
      </c>
      <c r="E233" s="17" t="s">
        <v>256</v>
      </c>
      <c r="F233" s="17" t="s">
        <v>564</v>
      </c>
      <c r="G233" s="298"/>
      <c r="H233" s="138"/>
      <c r="I233" s="138"/>
      <c r="J233" s="138"/>
      <c r="K233" s="138"/>
      <c r="L233" s="138"/>
      <c r="M233" s="138"/>
      <c r="N233" s="138"/>
      <c r="O233" s="139"/>
      <c r="P233" s="138"/>
      <c r="Q233" s="99"/>
      <c r="R233" s="99"/>
    </row>
    <row r="234" spans="1:18" ht="15" customHeight="1" x14ac:dyDescent="0.3">
      <c r="A234" s="17" t="s">
        <v>26</v>
      </c>
      <c r="B234" s="17" t="s">
        <v>354</v>
      </c>
      <c r="C234" s="18" t="s">
        <v>751</v>
      </c>
      <c r="D234" s="17" t="s">
        <v>28</v>
      </c>
      <c r="E234" s="17" t="s">
        <v>255</v>
      </c>
      <c r="F234" s="17" t="s">
        <v>154</v>
      </c>
      <c r="G234" s="298"/>
      <c r="H234" s="138"/>
      <c r="I234" s="138"/>
      <c r="J234" s="138"/>
      <c r="K234" s="138"/>
      <c r="L234" s="138"/>
      <c r="M234" s="138"/>
      <c r="N234" s="138"/>
      <c r="O234" s="139"/>
      <c r="P234" s="138"/>
      <c r="Q234" s="99"/>
      <c r="R234" s="99"/>
    </row>
    <row r="235" spans="1:18" ht="15" customHeight="1" x14ac:dyDescent="0.3">
      <c r="A235" s="17" t="s">
        <v>26</v>
      </c>
      <c r="B235" s="17" t="s">
        <v>350</v>
      </c>
      <c r="C235" s="18" t="s">
        <v>749</v>
      </c>
      <c r="D235" s="17" t="s">
        <v>28</v>
      </c>
      <c r="E235" s="17" t="s">
        <v>260</v>
      </c>
      <c r="F235" s="17" t="s">
        <v>154</v>
      </c>
      <c r="G235" s="298"/>
      <c r="H235" s="138"/>
      <c r="I235" s="138"/>
      <c r="J235" s="138"/>
      <c r="K235" s="138"/>
      <c r="L235" s="138"/>
      <c r="M235" s="138"/>
      <c r="N235" s="138"/>
      <c r="O235" s="139"/>
      <c r="P235" s="138"/>
      <c r="Q235" s="99"/>
      <c r="R235" s="99"/>
    </row>
    <row r="236" spans="1:18" ht="15" customHeight="1" x14ac:dyDescent="0.3">
      <c r="A236" s="17" t="s">
        <v>26</v>
      </c>
      <c r="B236" s="17" t="s">
        <v>357</v>
      </c>
      <c r="C236" s="18" t="s">
        <v>753</v>
      </c>
      <c r="D236" s="17" t="s">
        <v>28</v>
      </c>
      <c r="E236" s="17" t="s">
        <v>259</v>
      </c>
      <c r="F236" s="17" t="s">
        <v>154</v>
      </c>
      <c r="G236" s="298"/>
      <c r="H236" s="138"/>
      <c r="I236" s="138"/>
      <c r="J236" s="138"/>
      <c r="K236" s="138"/>
      <c r="L236" s="138"/>
      <c r="M236" s="138"/>
      <c r="N236" s="138"/>
      <c r="O236" s="139"/>
      <c r="P236" s="138"/>
      <c r="Q236" s="99"/>
      <c r="R236" s="99"/>
    </row>
    <row r="237" spans="1:18" ht="15" customHeight="1" x14ac:dyDescent="0.3">
      <c r="A237" s="17" t="s">
        <v>77</v>
      </c>
      <c r="B237" s="17" t="s">
        <v>419</v>
      </c>
      <c r="C237" s="18" t="s">
        <v>643</v>
      </c>
      <c r="D237" s="17" t="s">
        <v>101</v>
      </c>
      <c r="E237" s="17" t="s">
        <v>260</v>
      </c>
      <c r="F237" s="17" t="s">
        <v>379</v>
      </c>
      <c r="G237" s="298"/>
      <c r="H237" s="138"/>
      <c r="I237" s="138"/>
      <c r="J237" s="138"/>
      <c r="K237" s="138"/>
      <c r="L237" s="138"/>
      <c r="M237" s="138"/>
      <c r="N237" s="138"/>
      <c r="O237" s="139"/>
      <c r="P237" s="138"/>
      <c r="Q237" s="99"/>
      <c r="R237" s="99"/>
    </row>
    <row r="238" spans="1:18" ht="15" customHeight="1" x14ac:dyDescent="0.3">
      <c r="A238" s="17" t="s">
        <v>385</v>
      </c>
      <c r="B238" s="17" t="s">
        <v>435</v>
      </c>
      <c r="C238" s="18" t="s">
        <v>860</v>
      </c>
      <c r="D238" s="17" t="s">
        <v>101</v>
      </c>
      <c r="E238" s="17" t="s">
        <v>256</v>
      </c>
      <c r="F238" s="17" t="s">
        <v>521</v>
      </c>
      <c r="G238" s="298"/>
      <c r="H238" s="138"/>
      <c r="I238" s="138"/>
      <c r="J238" s="138"/>
      <c r="K238" s="138"/>
      <c r="L238" s="138"/>
      <c r="M238" s="138"/>
      <c r="N238" s="138"/>
      <c r="O238" s="139"/>
      <c r="P238" s="138"/>
      <c r="Q238" s="99"/>
      <c r="R238" s="99"/>
    </row>
    <row r="239" spans="1:18" ht="15" customHeight="1" x14ac:dyDescent="0.3">
      <c r="A239" s="17" t="s">
        <v>41</v>
      </c>
      <c r="B239" s="17" t="s">
        <v>344</v>
      </c>
      <c r="C239" s="18" t="s">
        <v>747</v>
      </c>
      <c r="D239" s="17" t="s">
        <v>43</v>
      </c>
      <c r="E239" s="17" t="s">
        <v>861</v>
      </c>
      <c r="F239" s="17" t="s">
        <v>478</v>
      </c>
      <c r="G239" s="298"/>
      <c r="H239" s="138"/>
      <c r="I239" s="138"/>
      <c r="J239" s="138"/>
      <c r="K239" s="138"/>
      <c r="L239" s="138"/>
      <c r="M239" s="138"/>
      <c r="N239" s="138"/>
      <c r="O239" s="139"/>
      <c r="P239" s="138"/>
      <c r="Q239" s="99"/>
      <c r="R239" s="99"/>
    </row>
    <row r="240" spans="1:18" ht="15" customHeight="1" x14ac:dyDescent="0.3">
      <c r="A240" s="39" t="s">
        <v>41</v>
      </c>
      <c r="B240" s="39" t="s">
        <v>347</v>
      </c>
      <c r="C240" s="40" t="s">
        <v>748</v>
      </c>
      <c r="D240" s="39" t="s">
        <v>43</v>
      </c>
      <c r="E240" s="39" t="s">
        <v>861</v>
      </c>
      <c r="F240" s="39" t="s">
        <v>478</v>
      </c>
      <c r="G240" s="299"/>
      <c r="H240" s="140"/>
      <c r="I240" s="140"/>
      <c r="J240" s="140"/>
      <c r="K240" s="140"/>
      <c r="L240" s="140"/>
      <c r="M240" s="140"/>
      <c r="N240" s="140"/>
      <c r="O240" s="141"/>
      <c r="P240" s="140"/>
      <c r="Q240" s="142"/>
      <c r="R240" s="142"/>
    </row>
  </sheetData>
  <mergeCells count="61">
    <mergeCell ref="N1:R1"/>
    <mergeCell ref="H88:R88"/>
    <mergeCell ref="H108:R108"/>
    <mergeCell ref="A156:F156"/>
    <mergeCell ref="A10:F10"/>
    <mergeCell ref="A134:R134"/>
    <mergeCell ref="A68:F68"/>
    <mergeCell ref="A155:R155"/>
    <mergeCell ref="K2:R2"/>
    <mergeCell ref="G137:G154"/>
    <mergeCell ref="A67:R67"/>
    <mergeCell ref="G110:G133"/>
    <mergeCell ref="H22:R22"/>
    <mergeCell ref="A40:R40"/>
    <mergeCell ref="A123:F123"/>
    <mergeCell ref="A107:R107"/>
    <mergeCell ref="G2:J2"/>
    <mergeCell ref="A135:F135"/>
    <mergeCell ref="A4:F4"/>
    <mergeCell ref="G6:G20"/>
    <mergeCell ref="H178:R178"/>
    <mergeCell ref="A96:F96"/>
    <mergeCell ref="A29:F29"/>
    <mergeCell ref="A166:F166"/>
    <mergeCell ref="G43:G66"/>
    <mergeCell ref="A178:F178"/>
    <mergeCell ref="A88:F88"/>
    <mergeCell ref="G24:G39"/>
    <mergeCell ref="H135:R135"/>
    <mergeCell ref="G224:G240"/>
    <mergeCell ref="H68:R68"/>
    <mergeCell ref="A144:F144"/>
    <mergeCell ref="H222:R222"/>
    <mergeCell ref="A22:F22"/>
    <mergeCell ref="A230:F230"/>
    <mergeCell ref="A222:F222"/>
    <mergeCell ref="A197:F197"/>
    <mergeCell ref="A221:R221"/>
    <mergeCell ref="A177:R177"/>
    <mergeCell ref="H1:L1"/>
    <mergeCell ref="A1:E1"/>
    <mergeCell ref="H156:R156"/>
    <mergeCell ref="A56:F56"/>
    <mergeCell ref="H41:R41"/>
    <mergeCell ref="G199:G220"/>
    <mergeCell ref="A210:F210"/>
    <mergeCell ref="H4:R4"/>
    <mergeCell ref="G158:G176"/>
    <mergeCell ref="G70:G86"/>
    <mergeCell ref="A2:F2"/>
    <mergeCell ref="A3:R3"/>
    <mergeCell ref="A21:R21"/>
    <mergeCell ref="A76:F76"/>
    <mergeCell ref="A41:F41"/>
    <mergeCell ref="G180:G195"/>
    <mergeCell ref="H197:R197"/>
    <mergeCell ref="A87:R87"/>
    <mergeCell ref="A196:R196"/>
    <mergeCell ref="A108:F108"/>
    <mergeCell ref="G90:G106"/>
    <mergeCell ref="A185:F18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20"/>
  <sheetViews>
    <sheetView workbookViewId="0"/>
  </sheetViews>
  <sheetFormatPr defaultRowHeight="15.6" outlineLevelCol="1" x14ac:dyDescent="0.3"/>
  <cols>
    <col min="1" max="1" width="11.5546875" style="316" bestFit="1" customWidth="1"/>
    <col min="2" max="2" width="10.44140625" style="316" bestFit="1" customWidth="1"/>
    <col min="3" max="3" width="6.77734375" style="316" bestFit="1" customWidth="1"/>
    <col min="4" max="4" width="5.5546875" style="316" bestFit="1" customWidth="1"/>
    <col min="5" max="5" width="8.109375" style="316" bestFit="1" customWidth="1"/>
    <col min="6" max="6" width="4.21875" style="316" bestFit="1" customWidth="1"/>
    <col min="7" max="7" width="10" style="316" bestFit="1" customWidth="1"/>
    <col min="8" max="10" width="8.5546875"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3" width="3.88671875" style="316" bestFit="1" customWidth="1"/>
    <col min="24" max="24" width="4.109375" style="316" bestFit="1" customWidth="1"/>
    <col min="25" max="25" width="3.88671875" style="316" bestFit="1" customWidth="1"/>
    <col min="26" max="26" width="4.109375" style="316" bestFit="1" customWidth="1"/>
    <col min="27" max="27" width="5" style="316" bestFit="1" customWidth="1"/>
    <col min="28" max="29" width="4.21875" style="316" bestFit="1" customWidth="1"/>
    <col min="30" max="31" width="4.5546875" style="316" bestFit="1" customWidth="1"/>
    <col min="32" max="34" width="3.88671875" style="316" bestFit="1" customWidth="1"/>
    <col min="35" max="35" width="5.21875" style="316" bestFit="1" customWidth="1"/>
    <col min="36"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761</v>
      </c>
      <c r="D2" s="320" t="s">
        <v>862</v>
      </c>
      <c r="E2" s="319" t="s">
        <v>754</v>
      </c>
      <c r="F2" s="319" t="s">
        <v>189</v>
      </c>
      <c r="G2" s="321">
        <v>1</v>
      </c>
      <c r="H2" s="322">
        <v>180</v>
      </c>
      <c r="I2" s="322">
        <v>180</v>
      </c>
      <c r="J2" s="322">
        <v>130</v>
      </c>
      <c r="K2" s="319" t="s">
        <v>190</v>
      </c>
      <c r="L2" s="323">
        <v>45979</v>
      </c>
      <c r="M2" s="322">
        <v>0</v>
      </c>
      <c r="N2" s="322">
        <v>2</v>
      </c>
      <c r="O2" s="322">
        <v>18</v>
      </c>
      <c r="P2" s="319" t="s">
        <v>81</v>
      </c>
      <c r="Q2" s="315"/>
      <c r="R2" s="315"/>
      <c r="S2" s="315"/>
      <c r="T2" s="315"/>
      <c r="U2" s="315"/>
      <c r="V2" s="315"/>
      <c r="W2" s="315"/>
      <c r="X2" s="315"/>
      <c r="Y2" s="315"/>
      <c r="Z2" s="322" t="s">
        <v>376</v>
      </c>
      <c r="AA2" s="315"/>
      <c r="AB2" s="322" t="s">
        <v>618</v>
      </c>
      <c r="AC2" s="322" t="s">
        <v>696</v>
      </c>
      <c r="AD2" s="322" t="s">
        <v>219</v>
      </c>
      <c r="AE2" s="322" t="s">
        <v>650</v>
      </c>
      <c r="AF2" s="322" t="s">
        <v>592</v>
      </c>
      <c r="AG2" s="315"/>
      <c r="AH2" s="315"/>
      <c r="AI2" s="322" t="s">
        <v>197</v>
      </c>
      <c r="AJ2" s="315"/>
    </row>
    <row r="3" spans="1:36" x14ac:dyDescent="0.3">
      <c r="A3" s="317" t="s">
        <v>606</v>
      </c>
      <c r="B3" s="318">
        <v>45982</v>
      </c>
      <c r="C3" s="319" t="s">
        <v>761</v>
      </c>
      <c r="D3" s="320" t="s">
        <v>237</v>
      </c>
      <c r="E3" s="319" t="s">
        <v>754</v>
      </c>
      <c r="F3" s="319" t="s">
        <v>189</v>
      </c>
      <c r="G3" s="321">
        <v>0.74439999999999995</v>
      </c>
      <c r="H3" s="322">
        <v>180</v>
      </c>
      <c r="I3" s="322">
        <v>134</v>
      </c>
      <c r="J3" s="322">
        <v>45</v>
      </c>
      <c r="K3" s="319" t="s">
        <v>190</v>
      </c>
      <c r="L3" s="323">
        <v>45979</v>
      </c>
      <c r="M3" s="322">
        <v>0</v>
      </c>
      <c r="N3" s="322">
        <v>16</v>
      </c>
      <c r="O3" s="322">
        <v>60</v>
      </c>
      <c r="P3" s="319" t="s">
        <v>283</v>
      </c>
      <c r="Q3" s="315"/>
      <c r="R3" s="315"/>
      <c r="S3" s="315"/>
      <c r="T3" s="315"/>
      <c r="U3" s="315"/>
      <c r="V3" s="315"/>
      <c r="W3" s="315"/>
      <c r="X3" s="322" t="s">
        <v>568</v>
      </c>
      <c r="Y3" s="322" t="s">
        <v>209</v>
      </c>
      <c r="Z3" s="322" t="s">
        <v>279</v>
      </c>
      <c r="AA3" s="322" t="s">
        <v>679</v>
      </c>
      <c r="AB3" s="322" t="s">
        <v>215</v>
      </c>
      <c r="AC3" s="322" t="s">
        <v>863</v>
      </c>
      <c r="AD3" s="322" t="s">
        <v>331</v>
      </c>
      <c r="AE3" s="322" t="s">
        <v>598</v>
      </c>
      <c r="AF3" s="322" t="s">
        <v>599</v>
      </c>
      <c r="AG3" s="315"/>
      <c r="AH3" s="315"/>
      <c r="AI3" s="322" t="s">
        <v>321</v>
      </c>
      <c r="AJ3" s="315"/>
    </row>
    <row r="4" spans="1:36" x14ac:dyDescent="0.3">
      <c r="A4" s="317" t="s">
        <v>199</v>
      </c>
      <c r="B4" s="318">
        <v>45983</v>
      </c>
      <c r="C4" s="319" t="s">
        <v>788</v>
      </c>
      <c r="D4" s="320" t="s">
        <v>864</v>
      </c>
      <c r="E4" s="319" t="s">
        <v>754</v>
      </c>
      <c r="F4" s="319" t="s">
        <v>189</v>
      </c>
      <c r="G4" s="321">
        <v>0.96109999999999995</v>
      </c>
      <c r="H4" s="322">
        <v>180</v>
      </c>
      <c r="I4" s="322">
        <v>173</v>
      </c>
      <c r="J4" s="322">
        <v>127</v>
      </c>
      <c r="K4" s="319" t="s">
        <v>190</v>
      </c>
      <c r="L4" s="323">
        <v>45980</v>
      </c>
      <c r="M4" s="322">
        <v>1</v>
      </c>
      <c r="N4" s="322">
        <v>4</v>
      </c>
      <c r="O4" s="322">
        <v>21</v>
      </c>
      <c r="P4" s="319" t="s">
        <v>789</v>
      </c>
      <c r="Q4" s="315"/>
      <c r="R4" s="315"/>
      <c r="S4" s="315"/>
      <c r="T4" s="315"/>
      <c r="U4" s="315"/>
      <c r="V4" s="315"/>
      <c r="W4" s="315"/>
      <c r="X4" s="315"/>
      <c r="Y4" s="315"/>
      <c r="Z4" s="322" t="s">
        <v>486</v>
      </c>
      <c r="AA4" s="322" t="s">
        <v>644</v>
      </c>
      <c r="AB4" s="322" t="s">
        <v>642</v>
      </c>
      <c r="AC4" s="322" t="s">
        <v>314</v>
      </c>
      <c r="AD4" s="322" t="s">
        <v>331</v>
      </c>
      <c r="AE4" s="315"/>
      <c r="AF4" s="315"/>
      <c r="AG4" s="315"/>
      <c r="AH4" s="315"/>
      <c r="AI4" s="322" t="s">
        <v>865</v>
      </c>
      <c r="AJ4" s="315"/>
    </row>
    <row r="5" spans="1:36" x14ac:dyDescent="0.3">
      <c r="A5" s="317" t="s">
        <v>199</v>
      </c>
      <c r="B5" s="318">
        <v>45983</v>
      </c>
      <c r="C5" s="319" t="s">
        <v>761</v>
      </c>
      <c r="D5" s="320" t="s">
        <v>866</v>
      </c>
      <c r="E5" s="319" t="s">
        <v>754</v>
      </c>
      <c r="F5" s="319" t="s">
        <v>189</v>
      </c>
      <c r="G5" s="321">
        <v>0.9</v>
      </c>
      <c r="H5" s="322">
        <v>180</v>
      </c>
      <c r="I5" s="322">
        <v>162</v>
      </c>
      <c r="J5" s="322">
        <v>90</v>
      </c>
      <c r="K5" s="319" t="s">
        <v>190</v>
      </c>
      <c r="L5" s="323">
        <v>45980</v>
      </c>
      <c r="M5" s="322">
        <v>6</v>
      </c>
      <c r="N5" s="322">
        <v>5</v>
      </c>
      <c r="O5" s="322">
        <v>40</v>
      </c>
      <c r="P5" s="319" t="s">
        <v>448</v>
      </c>
      <c r="Q5" s="315"/>
      <c r="R5" s="315"/>
      <c r="S5" s="315"/>
      <c r="T5" s="315"/>
      <c r="U5" s="315"/>
      <c r="V5" s="315"/>
      <c r="W5" s="315"/>
      <c r="X5" s="315"/>
      <c r="Y5" s="315"/>
      <c r="Z5" s="322" t="s">
        <v>591</v>
      </c>
      <c r="AA5" s="322" t="s">
        <v>602</v>
      </c>
      <c r="AB5" s="322" t="s">
        <v>642</v>
      </c>
      <c r="AC5" s="322" t="s">
        <v>314</v>
      </c>
      <c r="AD5" s="322" t="s">
        <v>216</v>
      </c>
      <c r="AE5" s="322" t="s">
        <v>217</v>
      </c>
      <c r="AF5" s="315"/>
      <c r="AG5" s="315"/>
      <c r="AH5" s="315"/>
      <c r="AI5" s="322" t="s">
        <v>223</v>
      </c>
      <c r="AJ5" s="315"/>
    </row>
    <row r="6" spans="1:36" x14ac:dyDescent="0.3">
      <c r="A6" s="317" t="s">
        <v>203</v>
      </c>
      <c r="B6" s="318">
        <v>45984</v>
      </c>
      <c r="C6" s="319" t="s">
        <v>761</v>
      </c>
      <c r="D6" s="320" t="s">
        <v>867</v>
      </c>
      <c r="E6" s="319" t="s">
        <v>754</v>
      </c>
      <c r="F6" s="319" t="s">
        <v>189</v>
      </c>
      <c r="G6" s="321">
        <v>0.96109999999999995</v>
      </c>
      <c r="H6" s="322">
        <v>180</v>
      </c>
      <c r="I6" s="322">
        <v>173</v>
      </c>
      <c r="J6" s="322">
        <v>134</v>
      </c>
      <c r="K6" s="319" t="s">
        <v>190</v>
      </c>
      <c r="L6" s="323">
        <v>45980</v>
      </c>
      <c r="M6" s="322">
        <v>6</v>
      </c>
      <c r="N6" s="322">
        <v>9</v>
      </c>
      <c r="O6" s="322">
        <v>21</v>
      </c>
      <c r="P6" s="319" t="s">
        <v>448</v>
      </c>
      <c r="Q6" s="315"/>
      <c r="R6" s="315"/>
      <c r="S6" s="315"/>
      <c r="T6" s="315"/>
      <c r="U6" s="315"/>
      <c r="V6" s="315"/>
      <c r="W6" s="315"/>
      <c r="X6" s="315"/>
      <c r="Y6" s="315"/>
      <c r="Z6" s="322" t="s">
        <v>368</v>
      </c>
      <c r="AA6" s="322" t="s">
        <v>789</v>
      </c>
      <c r="AB6" s="322" t="s">
        <v>215</v>
      </c>
      <c r="AC6" s="322" t="s">
        <v>193</v>
      </c>
      <c r="AD6" s="322" t="s">
        <v>868</v>
      </c>
      <c r="AE6" s="322" t="s">
        <v>225</v>
      </c>
      <c r="AF6" s="322" t="s">
        <v>292</v>
      </c>
      <c r="AG6" s="315"/>
      <c r="AH6" s="315"/>
      <c r="AI6" s="322" t="s">
        <v>869</v>
      </c>
      <c r="AJ6" s="315"/>
    </row>
    <row r="7" spans="1:36" x14ac:dyDescent="0.3">
      <c r="A7" s="317" t="s">
        <v>203</v>
      </c>
      <c r="B7" s="318">
        <v>45984</v>
      </c>
      <c r="C7" s="319" t="s">
        <v>788</v>
      </c>
      <c r="D7" s="320" t="s">
        <v>870</v>
      </c>
      <c r="E7" s="319" t="s">
        <v>754</v>
      </c>
      <c r="F7" s="319" t="s">
        <v>189</v>
      </c>
      <c r="G7" s="321">
        <v>0.88890000000000002</v>
      </c>
      <c r="H7" s="322">
        <v>180</v>
      </c>
      <c r="I7" s="322">
        <v>160</v>
      </c>
      <c r="J7" s="322">
        <v>125</v>
      </c>
      <c r="K7" s="319" t="s">
        <v>190</v>
      </c>
      <c r="L7" s="323">
        <v>45979</v>
      </c>
      <c r="M7" s="322">
        <v>0</v>
      </c>
      <c r="N7" s="322">
        <v>12</v>
      </c>
      <c r="O7" s="322">
        <v>30</v>
      </c>
      <c r="P7" s="319" t="s">
        <v>422</v>
      </c>
      <c r="Q7" s="315"/>
      <c r="R7" s="315"/>
      <c r="S7" s="315"/>
      <c r="T7" s="315"/>
      <c r="U7" s="315"/>
      <c r="V7" s="315"/>
      <c r="W7" s="315"/>
      <c r="X7" s="315"/>
      <c r="Y7" s="315"/>
      <c r="Z7" s="322" t="s">
        <v>376</v>
      </c>
      <c r="AA7" s="322" t="s">
        <v>448</v>
      </c>
      <c r="AB7" s="322" t="s">
        <v>215</v>
      </c>
      <c r="AC7" s="322" t="s">
        <v>675</v>
      </c>
      <c r="AD7" s="315"/>
      <c r="AE7" s="315"/>
      <c r="AF7" s="315"/>
      <c r="AG7" s="315"/>
      <c r="AH7" s="315"/>
      <c r="AI7" s="322" t="s">
        <v>289</v>
      </c>
      <c r="AJ7" s="315"/>
    </row>
    <row r="8" spans="1:36" x14ac:dyDescent="0.3">
      <c r="A8" s="317" t="s">
        <v>207</v>
      </c>
      <c r="B8" s="318">
        <v>45985</v>
      </c>
      <c r="C8" s="319" t="s">
        <v>788</v>
      </c>
      <c r="D8" s="320" t="s">
        <v>871</v>
      </c>
      <c r="E8" s="319" t="s">
        <v>754</v>
      </c>
      <c r="F8" s="319" t="s">
        <v>189</v>
      </c>
      <c r="G8" s="321">
        <v>0.99439999999999995</v>
      </c>
      <c r="H8" s="322">
        <v>180</v>
      </c>
      <c r="I8" s="322">
        <v>179</v>
      </c>
      <c r="J8" s="322">
        <v>134</v>
      </c>
      <c r="K8" s="319" t="s">
        <v>190</v>
      </c>
      <c r="L8" s="323">
        <v>45980</v>
      </c>
      <c r="M8" s="322">
        <v>1</v>
      </c>
      <c r="N8" s="322">
        <v>5</v>
      </c>
      <c r="O8" s="322">
        <v>20</v>
      </c>
      <c r="P8" s="319" t="s">
        <v>81</v>
      </c>
      <c r="Q8" s="315"/>
      <c r="R8" s="315"/>
      <c r="S8" s="315"/>
      <c r="T8" s="315"/>
      <c r="U8" s="315"/>
      <c r="V8" s="315"/>
      <c r="W8" s="315"/>
      <c r="X8" s="315"/>
      <c r="Y8" s="315"/>
      <c r="Z8" s="322" t="s">
        <v>283</v>
      </c>
      <c r="AA8" s="315"/>
      <c r="AB8" s="315"/>
      <c r="AC8" s="322" t="s">
        <v>637</v>
      </c>
      <c r="AD8" s="322" t="s">
        <v>315</v>
      </c>
      <c r="AE8" s="322" t="s">
        <v>316</v>
      </c>
      <c r="AF8" s="322" t="s">
        <v>210</v>
      </c>
      <c r="AG8" s="315"/>
      <c r="AH8" s="315"/>
      <c r="AI8" s="322" t="s">
        <v>869</v>
      </c>
      <c r="AJ8" s="315"/>
    </row>
    <row r="9" spans="1:36" x14ac:dyDescent="0.3">
      <c r="A9" s="317" t="s">
        <v>207</v>
      </c>
      <c r="B9" s="318">
        <v>45985</v>
      </c>
      <c r="C9" s="319" t="s">
        <v>761</v>
      </c>
      <c r="D9" s="320" t="s">
        <v>872</v>
      </c>
      <c r="E9" s="319" t="s">
        <v>754</v>
      </c>
      <c r="F9" s="319" t="s">
        <v>189</v>
      </c>
      <c r="G9" s="321">
        <v>1</v>
      </c>
      <c r="H9" s="322">
        <v>180</v>
      </c>
      <c r="I9" s="322">
        <v>180</v>
      </c>
      <c r="J9" s="322">
        <v>131</v>
      </c>
      <c r="K9" s="319" t="s">
        <v>190</v>
      </c>
      <c r="L9" s="323">
        <v>45980</v>
      </c>
      <c r="M9" s="322">
        <v>1</v>
      </c>
      <c r="N9" s="322">
        <v>7</v>
      </c>
      <c r="O9" s="322">
        <v>24</v>
      </c>
      <c r="P9" s="319" t="s">
        <v>81</v>
      </c>
      <c r="Q9" s="315"/>
      <c r="R9" s="315"/>
      <c r="S9" s="315"/>
      <c r="T9" s="315"/>
      <c r="U9" s="315"/>
      <c r="V9" s="315"/>
      <c r="W9" s="315"/>
      <c r="X9" s="315"/>
      <c r="Y9" s="315"/>
      <c r="Z9" s="322" t="s">
        <v>368</v>
      </c>
      <c r="AA9" s="322" t="s">
        <v>450</v>
      </c>
      <c r="AB9" s="322" t="s">
        <v>304</v>
      </c>
      <c r="AC9" s="322" t="s">
        <v>696</v>
      </c>
      <c r="AD9" s="322" t="s">
        <v>873</v>
      </c>
      <c r="AE9" s="322" t="s">
        <v>284</v>
      </c>
      <c r="AF9" s="322" t="s">
        <v>221</v>
      </c>
      <c r="AG9" s="315"/>
      <c r="AH9" s="315"/>
      <c r="AI9" s="322" t="s">
        <v>202</v>
      </c>
      <c r="AJ9" s="315"/>
    </row>
    <row r="10" spans="1:36" x14ac:dyDescent="0.3">
      <c r="A10" s="317" t="s">
        <v>213</v>
      </c>
      <c r="B10" s="318">
        <v>45986</v>
      </c>
      <c r="C10" s="319" t="s">
        <v>761</v>
      </c>
      <c r="D10" s="320" t="s">
        <v>874</v>
      </c>
      <c r="E10" s="319" t="s">
        <v>754</v>
      </c>
      <c r="F10" s="319" t="s">
        <v>189</v>
      </c>
      <c r="G10" s="321">
        <v>1.0222</v>
      </c>
      <c r="H10" s="322">
        <v>180</v>
      </c>
      <c r="I10" s="322">
        <v>184</v>
      </c>
      <c r="J10" s="322">
        <v>165</v>
      </c>
      <c r="K10" s="319" t="s">
        <v>190</v>
      </c>
      <c r="L10" s="323">
        <v>45961</v>
      </c>
      <c r="M10" s="322">
        <v>0</v>
      </c>
      <c r="N10" s="322">
        <v>0</v>
      </c>
      <c r="O10" s="322">
        <v>0</v>
      </c>
      <c r="P10" s="319" t="s">
        <v>81</v>
      </c>
      <c r="Q10" s="315"/>
      <c r="R10" s="315"/>
      <c r="S10" s="315"/>
      <c r="T10" s="315"/>
      <c r="U10" s="315"/>
      <c r="V10" s="315"/>
      <c r="W10" s="315"/>
      <c r="X10" s="315"/>
      <c r="Y10" s="315"/>
      <c r="Z10" s="315"/>
      <c r="AA10" s="315"/>
      <c r="AB10" s="315"/>
      <c r="AC10" s="322" t="s">
        <v>205</v>
      </c>
      <c r="AD10" s="322" t="s">
        <v>873</v>
      </c>
      <c r="AE10" s="322" t="s">
        <v>598</v>
      </c>
      <c r="AF10" s="322" t="s">
        <v>599</v>
      </c>
      <c r="AG10" s="315"/>
      <c r="AH10" s="315"/>
      <c r="AI10" s="322" t="s">
        <v>875</v>
      </c>
      <c r="AJ10" s="315"/>
    </row>
    <row r="11" spans="1:36" x14ac:dyDescent="0.3">
      <c r="A11" s="317" t="s">
        <v>290</v>
      </c>
      <c r="B11" s="318">
        <v>45987</v>
      </c>
      <c r="C11" s="319" t="s">
        <v>761</v>
      </c>
      <c r="D11" s="320" t="s">
        <v>876</v>
      </c>
      <c r="E11" s="319" t="s">
        <v>754</v>
      </c>
      <c r="F11" s="319" t="s">
        <v>189</v>
      </c>
      <c r="G11" s="321">
        <v>0.97219999999999995</v>
      </c>
      <c r="H11" s="322">
        <v>180</v>
      </c>
      <c r="I11" s="322">
        <v>175</v>
      </c>
      <c r="J11" s="322">
        <v>130</v>
      </c>
      <c r="K11" s="319" t="s">
        <v>190</v>
      </c>
      <c r="L11" s="323">
        <v>45980</v>
      </c>
      <c r="M11" s="322">
        <v>2</v>
      </c>
      <c r="N11" s="322">
        <v>0</v>
      </c>
      <c r="O11" s="322">
        <v>15</v>
      </c>
      <c r="P11" s="319" t="s">
        <v>425</v>
      </c>
      <c r="Q11" s="315"/>
      <c r="R11" s="315"/>
      <c r="S11" s="315"/>
      <c r="T11" s="315"/>
      <c r="U11" s="315"/>
      <c r="V11" s="322" t="s">
        <v>877</v>
      </c>
      <c r="W11" s="315"/>
      <c r="X11" s="315"/>
      <c r="Y11" s="315"/>
      <c r="Z11" s="322" t="s">
        <v>376</v>
      </c>
      <c r="AA11" s="322" t="s">
        <v>425</v>
      </c>
      <c r="AB11" s="322" t="s">
        <v>878</v>
      </c>
      <c r="AC11" s="322" t="s">
        <v>879</v>
      </c>
      <c r="AD11" s="315"/>
      <c r="AE11" s="315"/>
      <c r="AF11" s="315"/>
      <c r="AG11" s="315"/>
      <c r="AH11" s="315"/>
      <c r="AI11" s="322" t="s">
        <v>197</v>
      </c>
      <c r="AJ11" s="315"/>
    </row>
    <row r="12" spans="1:36" x14ac:dyDescent="0.3">
      <c r="A12" s="317" t="s">
        <v>290</v>
      </c>
      <c r="B12" s="318">
        <v>45987</v>
      </c>
      <c r="C12" s="319" t="s">
        <v>788</v>
      </c>
      <c r="D12" s="320" t="s">
        <v>880</v>
      </c>
      <c r="E12" s="319" t="s">
        <v>754</v>
      </c>
      <c r="F12" s="319" t="s">
        <v>189</v>
      </c>
      <c r="G12" s="321">
        <v>1</v>
      </c>
      <c r="H12" s="322">
        <v>180</v>
      </c>
      <c r="I12" s="322">
        <v>180</v>
      </c>
      <c r="J12" s="322">
        <v>135</v>
      </c>
      <c r="K12" s="319" t="s">
        <v>190</v>
      </c>
      <c r="L12" s="323">
        <v>45972</v>
      </c>
      <c r="M12" s="322">
        <v>0</v>
      </c>
      <c r="N12" s="322">
        <v>0</v>
      </c>
      <c r="O12" s="322">
        <v>0</v>
      </c>
      <c r="P12" s="319" t="s">
        <v>81</v>
      </c>
      <c r="Q12" s="315"/>
      <c r="R12" s="315"/>
      <c r="S12" s="315"/>
      <c r="T12" s="315"/>
      <c r="U12" s="315"/>
      <c r="V12" s="315"/>
      <c r="W12" s="315"/>
      <c r="X12" s="315"/>
      <c r="Y12" s="315"/>
      <c r="Z12" s="315"/>
      <c r="AA12" s="315"/>
      <c r="AB12" s="322" t="s">
        <v>215</v>
      </c>
      <c r="AC12" s="322" t="s">
        <v>597</v>
      </c>
      <c r="AD12" s="322" t="s">
        <v>881</v>
      </c>
      <c r="AE12" s="322" t="s">
        <v>316</v>
      </c>
      <c r="AF12" s="322" t="s">
        <v>210</v>
      </c>
      <c r="AG12" s="315"/>
      <c r="AH12" s="315"/>
      <c r="AI12" s="322" t="s">
        <v>229</v>
      </c>
      <c r="AJ12" s="315"/>
    </row>
    <row r="13" spans="1:36" x14ac:dyDescent="0.3">
      <c r="A13" s="317" t="s">
        <v>290</v>
      </c>
      <c r="B13" s="318">
        <v>45987</v>
      </c>
      <c r="C13" s="319" t="s">
        <v>825</v>
      </c>
      <c r="D13" s="320" t="s">
        <v>882</v>
      </c>
      <c r="E13" s="319" t="s">
        <v>754</v>
      </c>
      <c r="F13" s="319" t="s">
        <v>189</v>
      </c>
      <c r="G13" s="321">
        <v>1</v>
      </c>
      <c r="H13" s="322">
        <v>180</v>
      </c>
      <c r="I13" s="322">
        <v>180</v>
      </c>
      <c r="J13" s="322">
        <v>166</v>
      </c>
      <c r="K13" s="319" t="s">
        <v>190</v>
      </c>
      <c r="L13" s="323">
        <v>45971</v>
      </c>
      <c r="M13" s="322">
        <v>0</v>
      </c>
      <c r="N13" s="322">
        <v>0</v>
      </c>
      <c r="O13" s="322">
        <v>0</v>
      </c>
      <c r="P13" s="319" t="s">
        <v>81</v>
      </c>
      <c r="Q13" s="315"/>
      <c r="R13" s="315"/>
      <c r="S13" s="315"/>
      <c r="T13" s="315"/>
      <c r="U13" s="315"/>
      <c r="V13" s="315"/>
      <c r="W13" s="315"/>
      <c r="X13" s="315"/>
      <c r="Y13" s="315"/>
      <c r="Z13" s="322" t="s">
        <v>283</v>
      </c>
      <c r="AA13" s="315"/>
      <c r="AB13" s="322" t="s">
        <v>596</v>
      </c>
      <c r="AC13" s="322" t="s">
        <v>597</v>
      </c>
      <c r="AD13" s="315"/>
      <c r="AE13" s="315"/>
      <c r="AF13" s="315"/>
      <c r="AG13" s="315"/>
      <c r="AH13" s="315"/>
      <c r="AI13" s="322" t="s">
        <v>296</v>
      </c>
      <c r="AJ13" s="315"/>
    </row>
    <row r="14" spans="1:36" x14ac:dyDescent="0.3">
      <c r="A14" s="317" t="s">
        <v>187</v>
      </c>
      <c r="B14" s="318">
        <v>45988</v>
      </c>
      <c r="C14" s="319" t="s">
        <v>761</v>
      </c>
      <c r="D14" s="320" t="s">
        <v>862</v>
      </c>
      <c r="E14" s="319" t="s">
        <v>754</v>
      </c>
      <c r="F14" s="319" t="s">
        <v>189</v>
      </c>
      <c r="G14" s="321">
        <v>0.99439999999999995</v>
      </c>
      <c r="H14" s="322">
        <v>180</v>
      </c>
      <c r="I14" s="322">
        <v>179</v>
      </c>
      <c r="J14" s="322">
        <v>127</v>
      </c>
      <c r="K14" s="319" t="s">
        <v>190</v>
      </c>
      <c r="L14" s="323">
        <v>45979</v>
      </c>
      <c r="M14" s="322">
        <v>0</v>
      </c>
      <c r="N14" s="322">
        <v>9</v>
      </c>
      <c r="O14" s="322">
        <v>18</v>
      </c>
      <c r="P14" s="319" t="s">
        <v>81</v>
      </c>
      <c r="Q14" s="315"/>
      <c r="R14" s="315"/>
      <c r="S14" s="315"/>
      <c r="T14" s="315"/>
      <c r="U14" s="315"/>
      <c r="V14" s="315"/>
      <c r="W14" s="315"/>
      <c r="X14" s="315"/>
      <c r="Y14" s="315"/>
      <c r="Z14" s="322" t="s">
        <v>601</v>
      </c>
      <c r="AA14" s="322" t="s">
        <v>586</v>
      </c>
      <c r="AB14" s="322" t="s">
        <v>287</v>
      </c>
      <c r="AC14" s="322" t="s">
        <v>205</v>
      </c>
      <c r="AD14" s="322" t="s">
        <v>331</v>
      </c>
      <c r="AE14" s="322" t="s">
        <v>598</v>
      </c>
      <c r="AF14" s="322" t="s">
        <v>599</v>
      </c>
      <c r="AG14" s="315"/>
      <c r="AH14" s="315"/>
      <c r="AI14" s="322" t="s">
        <v>865</v>
      </c>
      <c r="AJ14" s="322" t="s">
        <v>883</v>
      </c>
    </row>
    <row r="15" spans="1:36" x14ac:dyDescent="0.3">
      <c r="A15" s="317" t="s">
        <v>606</v>
      </c>
      <c r="B15" s="318">
        <v>45989</v>
      </c>
      <c r="C15" s="319" t="s">
        <v>761</v>
      </c>
      <c r="D15" s="320" t="s">
        <v>237</v>
      </c>
      <c r="E15" s="319" t="s">
        <v>754</v>
      </c>
      <c r="F15" s="319" t="s">
        <v>189</v>
      </c>
      <c r="G15" s="321">
        <v>0.5</v>
      </c>
      <c r="H15" s="322">
        <v>180</v>
      </c>
      <c r="I15" s="322">
        <v>90</v>
      </c>
      <c r="J15" s="322">
        <v>0</v>
      </c>
      <c r="K15" s="319" t="s">
        <v>190</v>
      </c>
      <c r="L15" s="323">
        <v>45980</v>
      </c>
      <c r="M15" s="322">
        <v>2</v>
      </c>
      <c r="N15" s="322">
        <v>10</v>
      </c>
      <c r="O15" s="322">
        <v>29</v>
      </c>
      <c r="P15" s="319" t="s">
        <v>494</v>
      </c>
      <c r="Q15" s="315"/>
      <c r="R15" s="315"/>
      <c r="S15" s="315"/>
      <c r="T15" s="315"/>
      <c r="U15" s="315"/>
      <c r="V15" s="315"/>
      <c r="W15" s="315"/>
      <c r="X15" s="315"/>
      <c r="Y15" s="315"/>
      <c r="Z15" s="322" t="s">
        <v>494</v>
      </c>
      <c r="AA15" s="322" t="s">
        <v>884</v>
      </c>
      <c r="AB15" s="322" t="s">
        <v>885</v>
      </c>
      <c r="AC15" s="322" t="s">
        <v>324</v>
      </c>
      <c r="AD15" s="315"/>
      <c r="AE15" s="315"/>
      <c r="AF15" s="315"/>
      <c r="AG15" s="315"/>
      <c r="AH15" s="315"/>
      <c r="AI15" s="315"/>
      <c r="AJ15" s="322" t="s">
        <v>212</v>
      </c>
    </row>
    <row r="16" spans="1:36" x14ac:dyDescent="0.3">
      <c r="A16" s="317" t="s">
        <v>199</v>
      </c>
      <c r="B16" s="318">
        <v>45990</v>
      </c>
      <c r="C16" s="319" t="s">
        <v>788</v>
      </c>
      <c r="D16" s="320" t="s">
        <v>864</v>
      </c>
      <c r="E16" s="319" t="s">
        <v>754</v>
      </c>
      <c r="F16" s="319" t="s">
        <v>189</v>
      </c>
      <c r="G16" s="321">
        <v>1</v>
      </c>
      <c r="H16" s="322">
        <v>180</v>
      </c>
      <c r="I16" s="322">
        <v>180</v>
      </c>
      <c r="J16" s="322">
        <v>135</v>
      </c>
      <c r="K16" s="319" t="s">
        <v>190</v>
      </c>
      <c r="L16" s="323">
        <v>45976</v>
      </c>
      <c r="M16" s="322">
        <v>0</v>
      </c>
      <c r="N16" s="322">
        <v>0</v>
      </c>
      <c r="O16" s="322">
        <v>2</v>
      </c>
      <c r="P16" s="319" t="s">
        <v>81</v>
      </c>
      <c r="Q16" s="315"/>
      <c r="R16" s="315"/>
      <c r="S16" s="315"/>
      <c r="T16" s="315"/>
      <c r="U16" s="315"/>
      <c r="V16" s="315"/>
      <c r="W16" s="315"/>
      <c r="X16" s="322" t="s">
        <v>568</v>
      </c>
      <c r="Y16" s="315"/>
      <c r="Z16" s="322" t="s">
        <v>486</v>
      </c>
      <c r="AA16" s="322" t="s">
        <v>886</v>
      </c>
      <c r="AB16" s="322" t="s">
        <v>215</v>
      </c>
      <c r="AC16" s="322" t="s">
        <v>597</v>
      </c>
      <c r="AD16" s="315"/>
      <c r="AE16" s="315"/>
      <c r="AF16" s="315"/>
      <c r="AG16" s="315"/>
      <c r="AH16" s="315"/>
      <c r="AI16" s="322" t="s">
        <v>229</v>
      </c>
      <c r="AJ16" s="315"/>
    </row>
    <row r="17" spans="1:36" x14ac:dyDescent="0.3">
      <c r="A17" s="317" t="s">
        <v>199</v>
      </c>
      <c r="B17" s="318">
        <v>45990</v>
      </c>
      <c r="C17" s="319" t="s">
        <v>761</v>
      </c>
      <c r="D17" s="320" t="s">
        <v>866</v>
      </c>
      <c r="E17" s="319" t="s">
        <v>754</v>
      </c>
      <c r="F17" s="319" t="s">
        <v>189</v>
      </c>
      <c r="G17" s="321">
        <v>0.94440000000000002</v>
      </c>
      <c r="H17" s="322">
        <v>180</v>
      </c>
      <c r="I17" s="322">
        <v>170</v>
      </c>
      <c r="J17" s="322">
        <v>95</v>
      </c>
      <c r="K17" s="319" t="s">
        <v>190</v>
      </c>
      <c r="L17" s="323">
        <v>45979</v>
      </c>
      <c r="M17" s="322">
        <v>0</v>
      </c>
      <c r="N17" s="322">
        <v>7</v>
      </c>
      <c r="O17" s="322">
        <v>11</v>
      </c>
      <c r="P17" s="319" t="s">
        <v>224</v>
      </c>
      <c r="Q17" s="315"/>
      <c r="R17" s="315"/>
      <c r="S17" s="315"/>
      <c r="T17" s="315"/>
      <c r="U17" s="315"/>
      <c r="V17" s="315"/>
      <c r="W17" s="322" t="s">
        <v>570</v>
      </c>
      <c r="X17" s="322" t="s">
        <v>887</v>
      </c>
      <c r="Y17" s="322" t="s">
        <v>686</v>
      </c>
      <c r="Z17" s="322" t="s">
        <v>687</v>
      </c>
      <c r="AA17" s="322" t="s">
        <v>679</v>
      </c>
      <c r="AB17" s="322" t="s">
        <v>215</v>
      </c>
      <c r="AC17" s="322" t="s">
        <v>597</v>
      </c>
      <c r="AD17" s="315"/>
      <c r="AE17" s="315"/>
      <c r="AF17" s="315"/>
      <c r="AG17" s="315"/>
      <c r="AH17" s="315"/>
      <c r="AI17" s="322" t="s">
        <v>663</v>
      </c>
      <c r="AJ17" s="315"/>
    </row>
    <row r="18" spans="1:36" x14ac:dyDescent="0.3">
      <c r="A18" s="317" t="s">
        <v>203</v>
      </c>
      <c r="B18" s="318">
        <v>45991</v>
      </c>
      <c r="C18" s="319" t="s">
        <v>761</v>
      </c>
      <c r="D18" s="320" t="s">
        <v>867</v>
      </c>
      <c r="E18" s="319" t="s">
        <v>754</v>
      </c>
      <c r="F18" s="319" t="s">
        <v>189</v>
      </c>
      <c r="G18" s="321">
        <v>0.99439999999999995</v>
      </c>
      <c r="H18" s="322">
        <v>180</v>
      </c>
      <c r="I18" s="322">
        <v>179</v>
      </c>
      <c r="J18" s="322">
        <v>135</v>
      </c>
      <c r="K18" s="319" t="s">
        <v>190</v>
      </c>
      <c r="L18" s="323">
        <v>45980</v>
      </c>
      <c r="M18" s="322">
        <v>3</v>
      </c>
      <c r="N18" s="322">
        <v>6</v>
      </c>
      <c r="O18" s="322">
        <v>17</v>
      </c>
      <c r="P18" s="319" t="s">
        <v>81</v>
      </c>
      <c r="Q18" s="315"/>
      <c r="R18" s="315"/>
      <c r="S18" s="315"/>
      <c r="T18" s="315"/>
      <c r="U18" s="315"/>
      <c r="V18" s="315"/>
      <c r="W18" s="315"/>
      <c r="X18" s="315"/>
      <c r="Y18" s="322" t="s">
        <v>671</v>
      </c>
      <c r="Z18" s="322" t="s">
        <v>733</v>
      </c>
      <c r="AA18" s="322" t="s">
        <v>448</v>
      </c>
      <c r="AB18" s="322" t="s">
        <v>287</v>
      </c>
      <c r="AC18" s="322" t="s">
        <v>205</v>
      </c>
      <c r="AD18" s="322" t="s">
        <v>331</v>
      </c>
      <c r="AE18" s="322" t="s">
        <v>598</v>
      </c>
      <c r="AF18" s="322" t="s">
        <v>599</v>
      </c>
      <c r="AG18" s="315"/>
      <c r="AH18" s="315"/>
      <c r="AI18" s="322" t="s">
        <v>229</v>
      </c>
      <c r="AJ18" s="315"/>
    </row>
    <row r="19" spans="1:36" x14ac:dyDescent="0.3">
      <c r="A19" s="317" t="s">
        <v>203</v>
      </c>
      <c r="B19" s="318">
        <v>45991</v>
      </c>
      <c r="C19" s="319" t="s">
        <v>788</v>
      </c>
      <c r="D19" s="320" t="s">
        <v>870</v>
      </c>
      <c r="E19" s="319" t="s">
        <v>754</v>
      </c>
      <c r="F19" s="319" t="s">
        <v>189</v>
      </c>
      <c r="G19" s="321">
        <v>1</v>
      </c>
      <c r="H19" s="322">
        <v>180</v>
      </c>
      <c r="I19" s="322">
        <v>180</v>
      </c>
      <c r="J19" s="322">
        <v>135</v>
      </c>
      <c r="K19" s="319" t="s">
        <v>190</v>
      </c>
      <c r="L19" s="323">
        <v>45978</v>
      </c>
      <c r="M19" s="322">
        <v>0</v>
      </c>
      <c r="N19" s="322">
        <v>0</v>
      </c>
      <c r="O19" s="322">
        <v>5</v>
      </c>
      <c r="P19" s="319" t="s">
        <v>81</v>
      </c>
      <c r="Q19" s="315"/>
      <c r="R19" s="315"/>
      <c r="S19" s="315"/>
      <c r="T19" s="315"/>
      <c r="U19" s="315"/>
      <c r="V19" s="315"/>
      <c r="W19" s="315"/>
      <c r="X19" s="315"/>
      <c r="Y19" s="322" t="s">
        <v>671</v>
      </c>
      <c r="Z19" s="322" t="s">
        <v>376</v>
      </c>
      <c r="AA19" s="322" t="s">
        <v>313</v>
      </c>
      <c r="AB19" s="322" t="s">
        <v>680</v>
      </c>
      <c r="AC19" s="322" t="s">
        <v>324</v>
      </c>
      <c r="AD19" s="315"/>
      <c r="AE19" s="315"/>
      <c r="AF19" s="315"/>
      <c r="AG19" s="315"/>
      <c r="AH19" s="315"/>
      <c r="AI19" s="322" t="s">
        <v>229</v>
      </c>
      <c r="AJ19" s="315"/>
    </row>
    <row r="20" spans="1:36" ht="21" x14ac:dyDescent="0.3">
      <c r="A20" s="324" t="s">
        <v>1638</v>
      </c>
      <c r="B20" s="325"/>
      <c r="C20" s="324">
        <f>SUBTOTAL(103,HBE_JED_LF_LEGACY[Flt])</f>
        <v>18</v>
      </c>
      <c r="D20" s="324"/>
      <c r="E20" s="324">
        <f>SUBTOTAL(103,HBE_JED_LF_LEGACY[Brd-Off])</f>
        <v>18</v>
      </c>
      <c r="F20" s="324"/>
      <c r="G20" s="326">
        <f>SUBTOTAL(101,HBE_JED_LF_LEGACY[LF%])</f>
        <v>0.9376388888888888</v>
      </c>
      <c r="H20" s="327">
        <f>SUBTOTAL(109,HBE_JED_LF_LEGACY[CAP])</f>
        <v>3240</v>
      </c>
      <c r="I20" s="327">
        <f>SUBTOTAL(109,HBE_JED_LF_LEGACY[BKG(Y)])</f>
        <v>3038</v>
      </c>
      <c r="J20" s="327">
        <f>SUBTOTAL(109,HBE_JED_LF_LEGACY[GRP(Y)])</f>
        <v>2139</v>
      </c>
      <c r="K20" s="324"/>
      <c r="L20" s="325"/>
      <c r="M20" s="327">
        <f>SUBTOTAL(109,HBE_JED_LF_LEGACY[TO-DAY])</f>
        <v>22</v>
      </c>
      <c r="N20" s="327">
        <f>SUBTOTAL(109,HBE_JED_LF_LEGACY[Y-DAY])</f>
        <v>92</v>
      </c>
      <c r="O20" s="327">
        <f>SUBTOTAL(109,HBE_JED_LF_LEGACY[WEEKLY])</f>
        <v>331</v>
      </c>
      <c r="P20" s="328"/>
      <c r="Q20" s="327">
        <f>SUBTOTAL(109,HBE_JED_LF_LEGACY[Y])</f>
        <v>0</v>
      </c>
      <c r="R20" s="327">
        <f>SUBTOTAL(109,HBE_JED_LF_LEGACY[B])</f>
        <v>0</v>
      </c>
      <c r="S20" s="327">
        <f>SUBTOTAL(109,HBE_JED_LF_LEGACY[M])</f>
        <v>0</v>
      </c>
      <c r="T20" s="327">
        <f>SUBTOTAL(109,HBE_JED_LF_LEGACY[H])</f>
        <v>0</v>
      </c>
      <c r="U20" s="327">
        <f>SUBTOTAL(109,HBE_JED_LF_LEGACY[Q])</f>
        <v>0</v>
      </c>
      <c r="V20" s="327">
        <f>SUBTOTAL(109,HBE_JED_LF_LEGACY[K])</f>
        <v>0</v>
      </c>
      <c r="W20" s="327">
        <f>SUBTOTAL(109,HBE_JED_LF_LEGACY[V])</f>
        <v>0</v>
      </c>
      <c r="X20" s="327">
        <f>SUBTOTAL(109,HBE_JED_LF_LEGACY[L])</f>
        <v>0</v>
      </c>
      <c r="Y20" s="327">
        <f>SUBTOTAL(109,HBE_JED_LF_LEGACY[G])</f>
        <v>0</v>
      </c>
      <c r="Z20" s="327">
        <f>SUBTOTAL(109,HBE_JED_LF_LEGACY[S])</f>
        <v>0</v>
      </c>
      <c r="AA20" s="327">
        <f>SUBTOTAL(109,HBE_JED_LF_LEGACY[W])</f>
        <v>0</v>
      </c>
      <c r="AB20" s="327">
        <f>SUBTOTAL(109,HBE_JED_LF_LEGACY[T])</f>
        <v>0</v>
      </c>
      <c r="AC20" s="327">
        <f>SUBTOTAL(109,HBE_JED_LF_LEGACY[X])</f>
        <v>0</v>
      </c>
      <c r="AD20" s="327">
        <f>SUBTOTAL(109,HBE_JED_LF_LEGACY[U])</f>
        <v>0</v>
      </c>
      <c r="AE20" s="327">
        <f>SUBTOTAL(109,HBE_JED_LF_LEGACY[O])</f>
        <v>0</v>
      </c>
      <c r="AF20" s="327">
        <f>SUBTOTAL(109,HBE_JED_LF_LEGACY[I])</f>
        <v>0</v>
      </c>
      <c r="AG20" s="327">
        <f>SUBTOTAL(109,HBE_JED_LF_LEGACY[E])</f>
        <v>0</v>
      </c>
      <c r="AH20" s="327">
        <f>SUBTOTAL(109,HBE_JED_LF_LEGACY[A])</f>
        <v>0</v>
      </c>
      <c r="AI20" s="327">
        <f>SUBTOTAL(109,HBE_JED_LF_LEGACY[P])</f>
        <v>0</v>
      </c>
      <c r="AJ20" s="327">
        <f>SUBTOTAL(103,HBE_JED_LF_LEGACY[N])</f>
        <v>2</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0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2.77734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388</v>
      </c>
      <c r="C2" s="105" t="s">
        <v>755</v>
      </c>
      <c r="D2" s="104" t="s">
        <v>754</v>
      </c>
      <c r="E2" s="104" t="s">
        <v>888</v>
      </c>
      <c r="F2" s="104" t="s">
        <v>756</v>
      </c>
      <c r="G2" s="106">
        <v>1</v>
      </c>
      <c r="H2" s="107" t="s">
        <v>757</v>
      </c>
    </row>
    <row r="3" spans="1:8" ht="19.8" customHeight="1" x14ac:dyDescent="0.3">
      <c r="A3" s="103" t="s">
        <v>235</v>
      </c>
      <c r="B3" s="104" t="s">
        <v>60</v>
      </c>
      <c r="C3" s="105" t="s">
        <v>758</v>
      </c>
      <c r="D3" s="104" t="s">
        <v>754</v>
      </c>
      <c r="E3" s="104" t="s">
        <v>889</v>
      </c>
      <c r="F3" s="104" t="s">
        <v>65</v>
      </c>
      <c r="G3" s="106">
        <v>6</v>
      </c>
      <c r="H3" s="107" t="s">
        <v>759</v>
      </c>
    </row>
    <row r="4" spans="1:8" ht="19.8" customHeight="1" x14ac:dyDescent="0.3">
      <c r="A4" s="103" t="s">
        <v>235</v>
      </c>
      <c r="B4" s="104" t="s">
        <v>60</v>
      </c>
      <c r="C4" s="105" t="s">
        <v>760</v>
      </c>
      <c r="D4" s="104" t="s">
        <v>754</v>
      </c>
      <c r="E4" s="104" t="s">
        <v>218</v>
      </c>
      <c r="F4" s="104" t="s">
        <v>65</v>
      </c>
      <c r="G4" s="106">
        <v>2</v>
      </c>
      <c r="H4" s="107" t="s">
        <v>759</v>
      </c>
    </row>
    <row r="5" spans="1:8" ht="19.8" customHeight="1" x14ac:dyDescent="0.3">
      <c r="A5" s="174" t="s">
        <v>235</v>
      </c>
      <c r="B5" s="121" t="s">
        <v>77</v>
      </c>
      <c r="C5" s="122" t="s">
        <v>761</v>
      </c>
      <c r="D5" s="121" t="s">
        <v>754</v>
      </c>
      <c r="E5" s="121" t="s">
        <v>862</v>
      </c>
      <c r="F5" s="121" t="s">
        <v>79</v>
      </c>
      <c r="G5" s="121"/>
      <c r="H5" s="125" t="s">
        <v>80</v>
      </c>
    </row>
    <row r="6" spans="1:8" ht="19.8" customHeight="1" x14ac:dyDescent="0.3">
      <c r="A6" s="175"/>
      <c r="B6" s="176"/>
      <c r="C6" s="176"/>
      <c r="D6" s="176"/>
      <c r="E6" s="176"/>
      <c r="F6" s="177" t="s">
        <v>890</v>
      </c>
      <c r="G6" s="176"/>
      <c r="H6" s="178"/>
    </row>
    <row r="7" spans="1:8" ht="19.8" customHeight="1" x14ac:dyDescent="0.3">
      <c r="A7" s="112">
        <v>45981</v>
      </c>
      <c r="B7" s="104" t="s">
        <v>41</v>
      </c>
      <c r="C7" s="105" t="s">
        <v>336</v>
      </c>
      <c r="D7" s="104" t="s">
        <v>335</v>
      </c>
      <c r="E7" s="113">
        <v>1.989583333333333</v>
      </c>
      <c r="F7" s="104" t="s">
        <v>337</v>
      </c>
      <c r="G7" s="106">
        <v>1</v>
      </c>
      <c r="H7" s="107" t="s">
        <v>338</v>
      </c>
    </row>
    <row r="8" spans="1:8" ht="19.8" customHeight="1" x14ac:dyDescent="0.3">
      <c r="A8" s="112">
        <v>45981</v>
      </c>
      <c r="B8" s="104" t="s">
        <v>41</v>
      </c>
      <c r="C8" s="105" t="s">
        <v>336</v>
      </c>
      <c r="D8" s="104" t="s">
        <v>335</v>
      </c>
      <c r="E8" s="113">
        <v>1.989583333333333</v>
      </c>
      <c r="F8" s="104" t="s">
        <v>43</v>
      </c>
      <c r="G8" s="106">
        <v>1</v>
      </c>
      <c r="H8" s="107" t="s">
        <v>338</v>
      </c>
    </row>
    <row r="9" spans="1:8" ht="19.8" customHeight="1" x14ac:dyDescent="0.3">
      <c r="A9" s="112">
        <v>45981</v>
      </c>
      <c r="B9" s="104" t="s">
        <v>41</v>
      </c>
      <c r="C9" s="105" t="s">
        <v>340</v>
      </c>
      <c r="D9" s="104" t="s">
        <v>335</v>
      </c>
      <c r="E9" s="113">
        <v>1.399305555555556</v>
      </c>
      <c r="F9" s="104" t="s">
        <v>337</v>
      </c>
      <c r="G9" s="106">
        <v>38</v>
      </c>
      <c r="H9" s="107" t="s">
        <v>342</v>
      </c>
    </row>
    <row r="10" spans="1:8" ht="19.8" customHeight="1" x14ac:dyDescent="0.3">
      <c r="A10" s="112">
        <v>45981</v>
      </c>
      <c r="B10" s="104" t="s">
        <v>41</v>
      </c>
      <c r="C10" s="105" t="s">
        <v>340</v>
      </c>
      <c r="D10" s="104" t="s">
        <v>335</v>
      </c>
      <c r="E10" s="113">
        <v>1.399305555555556</v>
      </c>
      <c r="F10" s="104" t="s">
        <v>43</v>
      </c>
      <c r="G10" s="106">
        <v>38</v>
      </c>
      <c r="H10" s="107" t="s">
        <v>342</v>
      </c>
    </row>
    <row r="11" spans="1:8" ht="19.8" customHeight="1" x14ac:dyDescent="0.3">
      <c r="A11" s="112">
        <v>45981</v>
      </c>
      <c r="B11" s="104" t="s">
        <v>41</v>
      </c>
      <c r="C11" s="105" t="s">
        <v>344</v>
      </c>
      <c r="D11" s="104" t="s">
        <v>335</v>
      </c>
      <c r="E11" s="113">
        <v>1.489583333333333</v>
      </c>
      <c r="F11" s="104" t="s">
        <v>337</v>
      </c>
      <c r="G11" s="106">
        <v>39</v>
      </c>
      <c r="H11" s="107" t="s">
        <v>342</v>
      </c>
    </row>
    <row r="12" spans="1:8" ht="19.8" customHeight="1" x14ac:dyDescent="0.3">
      <c r="A12" s="112">
        <v>45981</v>
      </c>
      <c r="B12" s="104" t="s">
        <v>41</v>
      </c>
      <c r="C12" s="105" t="s">
        <v>344</v>
      </c>
      <c r="D12" s="104" t="s">
        <v>335</v>
      </c>
      <c r="E12" s="113">
        <v>1.489583333333333</v>
      </c>
      <c r="F12" s="104" t="s">
        <v>43</v>
      </c>
      <c r="G12" s="106">
        <v>39</v>
      </c>
      <c r="H12" s="107" t="s">
        <v>342</v>
      </c>
    </row>
    <row r="13" spans="1:8" ht="19.8" customHeight="1" x14ac:dyDescent="0.3">
      <c r="A13" s="112">
        <v>45981</v>
      </c>
      <c r="B13" s="104" t="s">
        <v>41</v>
      </c>
      <c r="C13" s="105" t="s">
        <v>347</v>
      </c>
      <c r="D13" s="104" t="s">
        <v>335</v>
      </c>
      <c r="E13" s="113">
        <v>1.8888888888888891</v>
      </c>
      <c r="F13" s="104" t="s">
        <v>337</v>
      </c>
      <c r="G13" s="106">
        <v>16</v>
      </c>
      <c r="H13" s="107" t="s">
        <v>342</v>
      </c>
    </row>
    <row r="14" spans="1:8" ht="19.8" customHeight="1" x14ac:dyDescent="0.3">
      <c r="A14" s="112">
        <v>45981</v>
      </c>
      <c r="B14" s="104" t="s">
        <v>41</v>
      </c>
      <c r="C14" s="105" t="s">
        <v>347</v>
      </c>
      <c r="D14" s="104" t="s">
        <v>335</v>
      </c>
      <c r="E14" s="113">
        <v>1.8888888888888891</v>
      </c>
      <c r="F14" s="104" t="s">
        <v>43</v>
      </c>
      <c r="G14" s="106">
        <v>16</v>
      </c>
      <c r="H14" s="107" t="s">
        <v>342</v>
      </c>
    </row>
    <row r="15" spans="1:8" ht="19.8" customHeight="1" x14ac:dyDescent="0.3">
      <c r="A15" s="112">
        <v>45981</v>
      </c>
      <c r="B15" s="104" t="s">
        <v>26</v>
      </c>
      <c r="C15" s="105" t="s">
        <v>350</v>
      </c>
      <c r="D15" s="104" t="s">
        <v>335</v>
      </c>
      <c r="E15" s="113">
        <v>1.993055555555556</v>
      </c>
      <c r="F15" s="104" t="s">
        <v>351</v>
      </c>
      <c r="G15" s="106">
        <v>9</v>
      </c>
      <c r="H15" s="107" t="s">
        <v>93</v>
      </c>
    </row>
    <row r="16" spans="1:8" ht="19.8" customHeight="1" x14ac:dyDescent="0.3">
      <c r="A16" s="114">
        <v>45981</v>
      </c>
      <c r="B16" s="115" t="s">
        <v>26</v>
      </c>
      <c r="C16" s="116" t="s">
        <v>350</v>
      </c>
      <c r="D16" s="115" t="s">
        <v>335</v>
      </c>
      <c r="E16" s="117">
        <v>1.993055555555556</v>
      </c>
      <c r="F16" s="115" t="s">
        <v>28</v>
      </c>
      <c r="G16" s="118">
        <v>9</v>
      </c>
      <c r="H16" s="119" t="s">
        <v>93</v>
      </c>
    </row>
    <row r="17" spans="1:8" ht="19.8" customHeight="1" x14ac:dyDescent="0.3">
      <c r="A17" s="112">
        <v>45982</v>
      </c>
      <c r="B17" s="104" t="s">
        <v>388</v>
      </c>
      <c r="C17" s="105" t="s">
        <v>767</v>
      </c>
      <c r="D17" s="104" t="s">
        <v>754</v>
      </c>
      <c r="E17" s="113">
        <v>1.010416666666667</v>
      </c>
      <c r="F17" s="104" t="s">
        <v>756</v>
      </c>
      <c r="G17" s="106">
        <v>9</v>
      </c>
      <c r="H17" s="107" t="s">
        <v>768</v>
      </c>
    </row>
    <row r="18" spans="1:8" ht="19.8" customHeight="1" x14ac:dyDescent="0.3">
      <c r="A18" s="112">
        <v>45982</v>
      </c>
      <c r="B18" s="104" t="s">
        <v>388</v>
      </c>
      <c r="C18" s="105" t="s">
        <v>767</v>
      </c>
      <c r="D18" s="104" t="s">
        <v>754</v>
      </c>
      <c r="E18" s="113">
        <v>1.010416666666667</v>
      </c>
      <c r="F18" s="104" t="s">
        <v>769</v>
      </c>
      <c r="G18" s="106">
        <v>9</v>
      </c>
      <c r="H18" s="107" t="s">
        <v>770</v>
      </c>
    </row>
    <row r="19" spans="1:8" ht="19.8" customHeight="1" x14ac:dyDescent="0.3">
      <c r="A19" s="120">
        <v>45982</v>
      </c>
      <c r="B19" s="121" t="s">
        <v>77</v>
      </c>
      <c r="C19" s="122" t="s">
        <v>772</v>
      </c>
      <c r="D19" s="121" t="s">
        <v>754</v>
      </c>
      <c r="E19" s="123">
        <v>1.229166666666667</v>
      </c>
      <c r="F19" s="121" t="s">
        <v>101</v>
      </c>
      <c r="G19" s="124">
        <v>8</v>
      </c>
      <c r="H19" s="125" t="s">
        <v>379</v>
      </c>
    </row>
    <row r="20" spans="1:8" ht="19.8" customHeight="1" x14ac:dyDescent="0.3">
      <c r="A20" s="112">
        <v>45982</v>
      </c>
      <c r="B20" s="104" t="s">
        <v>388</v>
      </c>
      <c r="C20" s="105" t="s">
        <v>767</v>
      </c>
      <c r="D20" s="104" t="s">
        <v>754</v>
      </c>
      <c r="E20" s="113">
        <v>1.010416666666667</v>
      </c>
      <c r="F20" s="104" t="s">
        <v>46</v>
      </c>
      <c r="G20" s="106">
        <v>9</v>
      </c>
      <c r="H20" s="107" t="s">
        <v>771</v>
      </c>
    </row>
    <row r="21" spans="1:8" ht="19.8" customHeight="1" x14ac:dyDescent="0.3">
      <c r="A21" s="112">
        <v>45982</v>
      </c>
      <c r="B21" s="104" t="s">
        <v>60</v>
      </c>
      <c r="C21" s="105" t="s">
        <v>760</v>
      </c>
      <c r="D21" s="104" t="s">
        <v>754</v>
      </c>
      <c r="E21" s="113">
        <v>1.819444444444444</v>
      </c>
      <c r="F21" s="104" t="s">
        <v>65</v>
      </c>
      <c r="G21" s="106">
        <v>8</v>
      </c>
      <c r="H21" s="107" t="s">
        <v>759</v>
      </c>
    </row>
    <row r="22" spans="1:8" ht="19.8" customHeight="1" x14ac:dyDescent="0.3">
      <c r="A22" s="175"/>
      <c r="B22" s="176"/>
      <c r="C22" s="176"/>
      <c r="D22" s="176"/>
      <c r="E22" s="176"/>
      <c r="F22" s="177" t="s">
        <v>890</v>
      </c>
      <c r="G22" s="176"/>
      <c r="H22" s="178"/>
    </row>
    <row r="23" spans="1:8" ht="19.8" customHeight="1" x14ac:dyDescent="0.3">
      <c r="A23" s="112">
        <v>45982</v>
      </c>
      <c r="B23" s="104" t="s">
        <v>77</v>
      </c>
      <c r="C23" s="105" t="s">
        <v>361</v>
      </c>
      <c r="D23" s="104" t="s">
        <v>335</v>
      </c>
      <c r="E23" s="113">
        <v>1.4375</v>
      </c>
      <c r="F23" s="104" t="s">
        <v>101</v>
      </c>
      <c r="G23" s="106">
        <v>1</v>
      </c>
      <c r="H23" s="107" t="s">
        <v>416</v>
      </c>
    </row>
    <row r="24" spans="1:8" ht="19.8" customHeight="1" x14ac:dyDescent="0.3">
      <c r="A24" s="112">
        <v>45982</v>
      </c>
      <c r="B24" s="104" t="s">
        <v>26</v>
      </c>
      <c r="C24" s="105" t="s">
        <v>358</v>
      </c>
      <c r="D24" s="104" t="s">
        <v>335</v>
      </c>
      <c r="E24" s="113">
        <v>1.8888888888888891</v>
      </c>
      <c r="F24" s="104" t="s">
        <v>28</v>
      </c>
      <c r="G24" s="106">
        <v>4</v>
      </c>
      <c r="H24" s="107" t="s">
        <v>93</v>
      </c>
    </row>
    <row r="25" spans="1:8" ht="19.8" customHeight="1" x14ac:dyDescent="0.3">
      <c r="A25" s="112">
        <v>45982</v>
      </c>
      <c r="B25" s="104" t="s">
        <v>41</v>
      </c>
      <c r="C25" s="105" t="s">
        <v>340</v>
      </c>
      <c r="D25" s="104" t="s">
        <v>335</v>
      </c>
      <c r="E25" s="113">
        <v>1.399305555555556</v>
      </c>
      <c r="F25" s="104" t="s">
        <v>43</v>
      </c>
      <c r="G25" s="106">
        <v>16</v>
      </c>
      <c r="H25" s="107" t="s">
        <v>431</v>
      </c>
    </row>
    <row r="26" spans="1:8" ht="19.8" customHeight="1" x14ac:dyDescent="0.3">
      <c r="A26" s="112">
        <v>45982</v>
      </c>
      <c r="B26" s="104" t="s">
        <v>41</v>
      </c>
      <c r="C26" s="105" t="s">
        <v>344</v>
      </c>
      <c r="D26" s="104" t="s">
        <v>335</v>
      </c>
      <c r="E26" s="113">
        <v>1.489583333333333</v>
      </c>
      <c r="F26" s="104" t="s">
        <v>43</v>
      </c>
      <c r="G26" s="106">
        <v>14</v>
      </c>
      <c r="H26" s="107" t="s">
        <v>431</v>
      </c>
    </row>
    <row r="27" spans="1:8" ht="19.8" customHeight="1" x14ac:dyDescent="0.3">
      <c r="A27" s="112">
        <v>45982</v>
      </c>
      <c r="B27" s="104" t="s">
        <v>41</v>
      </c>
      <c r="C27" s="105" t="s">
        <v>347</v>
      </c>
      <c r="D27" s="104" t="s">
        <v>335</v>
      </c>
      <c r="E27" s="113">
        <v>1.8888888888888891</v>
      </c>
      <c r="F27" s="104" t="s">
        <v>43</v>
      </c>
      <c r="G27" s="106">
        <v>16</v>
      </c>
      <c r="H27" s="107" t="s">
        <v>431</v>
      </c>
    </row>
    <row r="28" spans="1:8" ht="19.8" customHeight="1" x14ac:dyDescent="0.3">
      <c r="A28" s="112">
        <v>45982</v>
      </c>
      <c r="B28" s="104" t="s">
        <v>41</v>
      </c>
      <c r="C28" s="105" t="s">
        <v>336</v>
      </c>
      <c r="D28" s="104" t="s">
        <v>335</v>
      </c>
      <c r="E28" s="113">
        <v>1.989583333333333</v>
      </c>
      <c r="F28" s="104" t="s">
        <v>43</v>
      </c>
      <c r="G28" s="106">
        <v>14</v>
      </c>
      <c r="H28" s="107" t="s">
        <v>431</v>
      </c>
    </row>
    <row r="29" spans="1:8" ht="19.8" customHeight="1" x14ac:dyDescent="0.3">
      <c r="A29" s="112">
        <v>45982</v>
      </c>
      <c r="B29" s="104" t="s">
        <v>385</v>
      </c>
      <c r="C29" s="105" t="s">
        <v>386</v>
      </c>
      <c r="D29" s="104" t="s">
        <v>335</v>
      </c>
      <c r="E29" s="113">
        <v>1.541666666666667</v>
      </c>
      <c r="F29" s="104" t="s">
        <v>101</v>
      </c>
      <c r="G29" s="106">
        <v>6</v>
      </c>
      <c r="H29" s="107" t="s">
        <v>434</v>
      </c>
    </row>
    <row r="30" spans="1:8" ht="19.8" customHeight="1" x14ac:dyDescent="0.3">
      <c r="A30" s="112">
        <v>45982</v>
      </c>
      <c r="B30" s="104" t="s">
        <v>385</v>
      </c>
      <c r="C30" s="105" t="s">
        <v>435</v>
      </c>
      <c r="D30" s="104" t="s">
        <v>335</v>
      </c>
      <c r="E30" s="113">
        <v>1.239583333333333</v>
      </c>
      <c r="F30" s="104" t="s">
        <v>101</v>
      </c>
      <c r="G30" s="106">
        <v>9</v>
      </c>
      <c r="H30" s="107" t="s">
        <v>434</v>
      </c>
    </row>
    <row r="31" spans="1:8" ht="19.8" customHeight="1" x14ac:dyDescent="0.3">
      <c r="A31" s="112">
        <v>45982</v>
      </c>
      <c r="B31" s="104" t="s">
        <v>26</v>
      </c>
      <c r="C31" s="105" t="s">
        <v>354</v>
      </c>
      <c r="D31" s="104" t="s">
        <v>335</v>
      </c>
      <c r="E31" s="113">
        <v>1.3472222222222221</v>
      </c>
      <c r="F31" s="104" t="s">
        <v>28</v>
      </c>
      <c r="G31" s="106">
        <v>7</v>
      </c>
      <c r="H31" s="107" t="s">
        <v>44</v>
      </c>
    </row>
    <row r="32" spans="1:8" ht="19.8" customHeight="1" x14ac:dyDescent="0.3">
      <c r="A32" s="114">
        <v>45982</v>
      </c>
      <c r="B32" s="115" t="s">
        <v>26</v>
      </c>
      <c r="C32" s="116" t="s">
        <v>350</v>
      </c>
      <c r="D32" s="115" t="s">
        <v>335</v>
      </c>
      <c r="E32" s="117">
        <v>1.993055555555556</v>
      </c>
      <c r="F32" s="115" t="s">
        <v>28</v>
      </c>
      <c r="G32" s="118">
        <v>4</v>
      </c>
      <c r="H32" s="119" t="s">
        <v>44</v>
      </c>
    </row>
    <row r="33" spans="1:8" ht="19.8" customHeight="1" x14ac:dyDescent="0.3">
      <c r="A33" s="112">
        <v>45983</v>
      </c>
      <c r="B33" s="104" t="s">
        <v>41</v>
      </c>
      <c r="C33" s="105" t="s">
        <v>777</v>
      </c>
      <c r="D33" s="104" t="s">
        <v>754</v>
      </c>
      <c r="E33" s="113">
        <v>1.3611111111111109</v>
      </c>
      <c r="F33" s="104" t="s">
        <v>778</v>
      </c>
      <c r="G33" s="106">
        <v>4</v>
      </c>
      <c r="H33" s="107" t="s">
        <v>779</v>
      </c>
    </row>
    <row r="34" spans="1:8" ht="19.8" customHeight="1" x14ac:dyDescent="0.3">
      <c r="A34" s="112">
        <v>45983</v>
      </c>
      <c r="B34" s="104" t="s">
        <v>41</v>
      </c>
      <c r="C34" s="105" t="s">
        <v>777</v>
      </c>
      <c r="D34" s="104" t="s">
        <v>754</v>
      </c>
      <c r="E34" s="113">
        <v>1.3611111111111109</v>
      </c>
      <c r="F34" s="104" t="s">
        <v>756</v>
      </c>
      <c r="G34" s="106">
        <v>4</v>
      </c>
      <c r="H34" s="107" t="s">
        <v>780</v>
      </c>
    </row>
    <row r="35" spans="1:8" ht="19.8" customHeight="1" x14ac:dyDescent="0.3">
      <c r="A35" s="112">
        <v>45983</v>
      </c>
      <c r="B35" s="104" t="s">
        <v>41</v>
      </c>
      <c r="C35" s="105" t="s">
        <v>777</v>
      </c>
      <c r="D35" s="104" t="s">
        <v>754</v>
      </c>
      <c r="E35" s="113">
        <v>1.3611111111111109</v>
      </c>
      <c r="F35" s="104" t="s">
        <v>769</v>
      </c>
      <c r="G35" s="106">
        <v>4</v>
      </c>
      <c r="H35" s="107" t="s">
        <v>781</v>
      </c>
    </row>
    <row r="36" spans="1:8" ht="19.8" customHeight="1" x14ac:dyDescent="0.3">
      <c r="A36" s="112">
        <v>45983</v>
      </c>
      <c r="B36" s="104" t="s">
        <v>388</v>
      </c>
      <c r="C36" s="105" t="s">
        <v>755</v>
      </c>
      <c r="D36" s="104" t="s">
        <v>754</v>
      </c>
      <c r="E36" s="113">
        <v>1.3611111111111109</v>
      </c>
      <c r="F36" s="104" t="s">
        <v>756</v>
      </c>
      <c r="G36" s="106">
        <v>9</v>
      </c>
      <c r="H36" s="107" t="s">
        <v>783</v>
      </c>
    </row>
    <row r="37" spans="1:8" ht="19.8" customHeight="1" x14ac:dyDescent="0.3">
      <c r="A37" s="120">
        <v>45983</v>
      </c>
      <c r="B37" s="121" t="s">
        <v>77</v>
      </c>
      <c r="C37" s="122" t="s">
        <v>772</v>
      </c>
      <c r="D37" s="121" t="s">
        <v>754</v>
      </c>
      <c r="E37" s="123">
        <v>1.604166666666667</v>
      </c>
      <c r="F37" s="121" t="s">
        <v>101</v>
      </c>
      <c r="G37" s="124">
        <v>4</v>
      </c>
      <c r="H37" s="125" t="s">
        <v>420</v>
      </c>
    </row>
    <row r="38" spans="1:8" ht="19.8" customHeight="1" x14ac:dyDescent="0.3">
      <c r="A38" s="120">
        <v>45983</v>
      </c>
      <c r="B38" s="121" t="s">
        <v>77</v>
      </c>
      <c r="C38" s="122" t="s">
        <v>787</v>
      </c>
      <c r="D38" s="121" t="s">
        <v>754</v>
      </c>
      <c r="E38" s="123">
        <v>1.270833333333333</v>
      </c>
      <c r="F38" s="121" t="s">
        <v>101</v>
      </c>
      <c r="G38" s="124">
        <v>7</v>
      </c>
      <c r="H38" s="125" t="s">
        <v>420</v>
      </c>
    </row>
    <row r="39" spans="1:8" ht="19.8" customHeight="1" x14ac:dyDescent="0.3">
      <c r="A39" s="112">
        <v>45983</v>
      </c>
      <c r="B39" s="104" t="s">
        <v>60</v>
      </c>
      <c r="C39" s="105" t="s">
        <v>758</v>
      </c>
      <c r="D39" s="104" t="s">
        <v>754</v>
      </c>
      <c r="E39" s="113">
        <v>1.4513888888888891</v>
      </c>
      <c r="F39" s="104" t="s">
        <v>62</v>
      </c>
      <c r="G39" s="106">
        <v>9</v>
      </c>
      <c r="H39" s="107" t="s">
        <v>791</v>
      </c>
    </row>
    <row r="40" spans="1:8" ht="19.8" customHeight="1" x14ac:dyDescent="0.3">
      <c r="A40" s="112">
        <v>45983</v>
      </c>
      <c r="B40" s="104" t="s">
        <v>388</v>
      </c>
      <c r="C40" s="105" t="s">
        <v>755</v>
      </c>
      <c r="D40" s="104" t="s">
        <v>754</v>
      </c>
      <c r="E40" s="113">
        <v>1.3611111111111109</v>
      </c>
      <c r="F40" s="104" t="s">
        <v>769</v>
      </c>
      <c r="G40" s="106">
        <v>9</v>
      </c>
      <c r="H40" s="107" t="s">
        <v>784</v>
      </c>
    </row>
    <row r="41" spans="1:8" ht="19.8" customHeight="1" x14ac:dyDescent="0.3">
      <c r="A41" s="112">
        <v>45983</v>
      </c>
      <c r="B41" s="104" t="s">
        <v>41</v>
      </c>
      <c r="C41" s="105" t="s">
        <v>777</v>
      </c>
      <c r="D41" s="104" t="s">
        <v>754</v>
      </c>
      <c r="E41" s="113">
        <v>1.3611111111111109</v>
      </c>
      <c r="F41" s="104" t="s">
        <v>782</v>
      </c>
      <c r="G41" s="106">
        <v>4</v>
      </c>
      <c r="H41" s="107" t="s">
        <v>149</v>
      </c>
    </row>
    <row r="42" spans="1:8" ht="19.8" customHeight="1" x14ac:dyDescent="0.3">
      <c r="A42" s="112">
        <v>45983</v>
      </c>
      <c r="B42" s="104" t="s">
        <v>60</v>
      </c>
      <c r="C42" s="105" t="s">
        <v>758</v>
      </c>
      <c r="D42" s="104" t="s">
        <v>754</v>
      </c>
      <c r="E42" s="113">
        <v>1.4513888888888891</v>
      </c>
      <c r="F42" s="104" t="s">
        <v>65</v>
      </c>
      <c r="G42" s="106">
        <v>9</v>
      </c>
      <c r="H42" s="107" t="s">
        <v>792</v>
      </c>
    </row>
    <row r="43" spans="1:8" ht="19.8" customHeight="1" x14ac:dyDescent="0.3">
      <c r="A43" s="112">
        <v>45983</v>
      </c>
      <c r="B43" s="104" t="s">
        <v>48</v>
      </c>
      <c r="C43" s="105" t="s">
        <v>793</v>
      </c>
      <c r="D43" s="104" t="s">
        <v>754</v>
      </c>
      <c r="E43" s="113">
        <v>1.4236111111111109</v>
      </c>
      <c r="F43" s="104" t="s">
        <v>50</v>
      </c>
      <c r="G43" s="106">
        <v>9</v>
      </c>
      <c r="H43" s="107" t="s">
        <v>794</v>
      </c>
    </row>
    <row r="44" spans="1:8" ht="19.8" customHeight="1" x14ac:dyDescent="0.3">
      <c r="A44" s="112">
        <v>45983</v>
      </c>
      <c r="B44" s="104" t="s">
        <v>388</v>
      </c>
      <c r="C44" s="105" t="s">
        <v>755</v>
      </c>
      <c r="D44" s="104" t="s">
        <v>754</v>
      </c>
      <c r="E44" s="113">
        <v>1.3611111111111109</v>
      </c>
      <c r="F44" s="104" t="s">
        <v>46</v>
      </c>
      <c r="G44" s="106">
        <v>9</v>
      </c>
      <c r="H44" s="107" t="s">
        <v>785</v>
      </c>
    </row>
    <row r="45" spans="1:8" ht="19.8" customHeight="1" x14ac:dyDescent="0.3">
      <c r="A45" s="112">
        <v>45983</v>
      </c>
      <c r="B45" s="104" t="s">
        <v>60</v>
      </c>
      <c r="C45" s="105" t="s">
        <v>760</v>
      </c>
      <c r="D45" s="104" t="s">
        <v>754</v>
      </c>
      <c r="E45" s="113">
        <v>1.819444444444444</v>
      </c>
      <c r="F45" s="104" t="s">
        <v>65</v>
      </c>
      <c r="G45" s="106">
        <v>9</v>
      </c>
      <c r="H45" s="107" t="s">
        <v>549</v>
      </c>
    </row>
    <row r="46" spans="1:8" ht="19.8" customHeight="1" x14ac:dyDescent="0.3">
      <c r="A46" s="175"/>
      <c r="B46" s="176"/>
      <c r="C46" s="176"/>
      <c r="D46" s="176"/>
      <c r="E46" s="176"/>
      <c r="F46" s="177" t="s">
        <v>890</v>
      </c>
      <c r="G46" s="176"/>
      <c r="H46" s="178"/>
    </row>
    <row r="47" spans="1:8" ht="19.8" customHeight="1" x14ac:dyDescent="0.3">
      <c r="A47" s="112">
        <v>45983</v>
      </c>
      <c r="B47" s="104" t="s">
        <v>77</v>
      </c>
      <c r="C47" s="105" t="s">
        <v>370</v>
      </c>
      <c r="D47" s="104" t="s">
        <v>335</v>
      </c>
      <c r="E47" s="113">
        <v>1.0486111111111109</v>
      </c>
      <c r="F47" s="104" t="s">
        <v>101</v>
      </c>
      <c r="G47" s="106">
        <v>1</v>
      </c>
      <c r="H47" s="107" t="s">
        <v>93</v>
      </c>
    </row>
    <row r="48" spans="1:8" ht="19.8" customHeight="1" x14ac:dyDescent="0.3">
      <c r="A48" s="112">
        <v>45983</v>
      </c>
      <c r="B48" s="104" t="s">
        <v>41</v>
      </c>
      <c r="C48" s="105" t="s">
        <v>340</v>
      </c>
      <c r="D48" s="104" t="s">
        <v>335</v>
      </c>
      <c r="E48" s="113">
        <v>1.399305555555556</v>
      </c>
      <c r="F48" s="104" t="s">
        <v>337</v>
      </c>
      <c r="G48" s="106">
        <v>9</v>
      </c>
      <c r="H48" s="107" t="s">
        <v>431</v>
      </c>
    </row>
    <row r="49" spans="1:8" ht="19.8" customHeight="1" x14ac:dyDescent="0.3">
      <c r="A49" s="112">
        <v>45983</v>
      </c>
      <c r="B49" s="104" t="s">
        <v>41</v>
      </c>
      <c r="C49" s="105" t="s">
        <v>340</v>
      </c>
      <c r="D49" s="104" t="s">
        <v>335</v>
      </c>
      <c r="E49" s="113">
        <v>1.399305555555556</v>
      </c>
      <c r="F49" s="104" t="s">
        <v>43</v>
      </c>
      <c r="G49" s="106">
        <v>11</v>
      </c>
      <c r="H49" s="107" t="s">
        <v>431</v>
      </c>
    </row>
    <row r="50" spans="1:8" ht="19.8" customHeight="1" x14ac:dyDescent="0.3">
      <c r="A50" s="112">
        <v>45983</v>
      </c>
      <c r="B50" s="104" t="s">
        <v>41</v>
      </c>
      <c r="C50" s="105" t="s">
        <v>344</v>
      </c>
      <c r="D50" s="104" t="s">
        <v>335</v>
      </c>
      <c r="E50" s="113">
        <v>1.489583333333333</v>
      </c>
      <c r="F50" s="104" t="s">
        <v>337</v>
      </c>
      <c r="G50" s="106">
        <v>10</v>
      </c>
      <c r="H50" s="107" t="s">
        <v>431</v>
      </c>
    </row>
    <row r="51" spans="1:8" ht="19.8" customHeight="1" x14ac:dyDescent="0.3">
      <c r="A51" s="112">
        <v>45983</v>
      </c>
      <c r="B51" s="104" t="s">
        <v>41</v>
      </c>
      <c r="C51" s="105" t="s">
        <v>344</v>
      </c>
      <c r="D51" s="104" t="s">
        <v>335</v>
      </c>
      <c r="E51" s="113">
        <v>1.489583333333333</v>
      </c>
      <c r="F51" s="104" t="s">
        <v>43</v>
      </c>
      <c r="G51" s="106">
        <v>8</v>
      </c>
      <c r="H51" s="107" t="s">
        <v>431</v>
      </c>
    </row>
    <row r="52" spans="1:8" ht="19.8" customHeight="1" x14ac:dyDescent="0.3">
      <c r="A52" s="112">
        <v>45983</v>
      </c>
      <c r="B52" s="104" t="s">
        <v>41</v>
      </c>
      <c r="C52" s="105" t="s">
        <v>347</v>
      </c>
      <c r="D52" s="104" t="s">
        <v>335</v>
      </c>
      <c r="E52" s="113">
        <v>1.8888888888888891</v>
      </c>
      <c r="F52" s="104" t="s">
        <v>337</v>
      </c>
      <c r="G52" s="106">
        <v>7</v>
      </c>
      <c r="H52" s="107" t="s">
        <v>431</v>
      </c>
    </row>
    <row r="53" spans="1:8" ht="19.8" customHeight="1" x14ac:dyDescent="0.3">
      <c r="A53" s="112">
        <v>45983</v>
      </c>
      <c r="B53" s="104" t="s">
        <v>41</v>
      </c>
      <c r="C53" s="105" t="s">
        <v>347</v>
      </c>
      <c r="D53" s="104" t="s">
        <v>335</v>
      </c>
      <c r="E53" s="113">
        <v>1.8888888888888891</v>
      </c>
      <c r="F53" s="104" t="s">
        <v>43</v>
      </c>
      <c r="G53" s="106">
        <v>6</v>
      </c>
      <c r="H53" s="107" t="s">
        <v>431</v>
      </c>
    </row>
    <row r="54" spans="1:8" ht="19.8" customHeight="1" x14ac:dyDescent="0.3">
      <c r="A54" s="112">
        <v>45983</v>
      </c>
      <c r="B54" s="104" t="s">
        <v>41</v>
      </c>
      <c r="C54" s="105" t="s">
        <v>336</v>
      </c>
      <c r="D54" s="104" t="s">
        <v>335</v>
      </c>
      <c r="E54" s="113">
        <v>1.989583333333333</v>
      </c>
      <c r="F54" s="104" t="s">
        <v>337</v>
      </c>
      <c r="G54" s="106">
        <v>11</v>
      </c>
      <c r="H54" s="107" t="s">
        <v>431</v>
      </c>
    </row>
    <row r="55" spans="1:8" ht="19.8" customHeight="1" x14ac:dyDescent="0.3">
      <c r="A55" s="112">
        <v>45983</v>
      </c>
      <c r="B55" s="104" t="s">
        <v>41</v>
      </c>
      <c r="C55" s="105" t="s">
        <v>336</v>
      </c>
      <c r="D55" s="104" t="s">
        <v>335</v>
      </c>
      <c r="E55" s="113">
        <v>1.989583333333333</v>
      </c>
      <c r="F55" s="104" t="s">
        <v>43</v>
      </c>
      <c r="G55" s="106">
        <v>11</v>
      </c>
      <c r="H55" s="107" t="s">
        <v>431</v>
      </c>
    </row>
    <row r="56" spans="1:8" ht="19.8" customHeight="1" x14ac:dyDescent="0.3">
      <c r="A56" s="114">
        <v>45983</v>
      </c>
      <c r="B56" s="115" t="s">
        <v>26</v>
      </c>
      <c r="C56" s="116" t="s">
        <v>358</v>
      </c>
      <c r="D56" s="115" t="s">
        <v>335</v>
      </c>
      <c r="E56" s="117">
        <v>1.8888888888888891</v>
      </c>
      <c r="F56" s="115" t="s">
        <v>351</v>
      </c>
      <c r="G56" s="118">
        <v>2</v>
      </c>
      <c r="H56" s="119" t="s">
        <v>44</v>
      </c>
    </row>
    <row r="57" spans="1:8" ht="19.8" customHeight="1" x14ac:dyDescent="0.3">
      <c r="A57" s="112">
        <v>45984</v>
      </c>
      <c r="B57" s="104" t="s">
        <v>388</v>
      </c>
      <c r="C57" s="105" t="s">
        <v>755</v>
      </c>
      <c r="D57" s="104" t="s">
        <v>754</v>
      </c>
      <c r="E57" s="113">
        <v>1.3611111111111109</v>
      </c>
      <c r="F57" s="104" t="s">
        <v>756</v>
      </c>
      <c r="G57" s="106">
        <v>9</v>
      </c>
      <c r="H57" s="107" t="s">
        <v>796</v>
      </c>
    </row>
    <row r="58" spans="1:8" ht="19.8" customHeight="1" x14ac:dyDescent="0.3">
      <c r="A58" s="120">
        <v>45984</v>
      </c>
      <c r="B58" s="121" t="s">
        <v>77</v>
      </c>
      <c r="C58" s="122" t="s">
        <v>772</v>
      </c>
      <c r="D58" s="121" t="s">
        <v>754</v>
      </c>
      <c r="E58" s="123">
        <v>1.4965277777777779</v>
      </c>
      <c r="F58" s="121" t="s">
        <v>101</v>
      </c>
      <c r="G58" s="124">
        <v>4</v>
      </c>
      <c r="H58" s="125" t="s">
        <v>420</v>
      </c>
    </row>
    <row r="59" spans="1:8" ht="19.8" customHeight="1" x14ac:dyDescent="0.3">
      <c r="A59" s="120">
        <v>45984</v>
      </c>
      <c r="B59" s="121" t="s">
        <v>77</v>
      </c>
      <c r="C59" s="122" t="s">
        <v>787</v>
      </c>
      <c r="D59" s="121" t="s">
        <v>754</v>
      </c>
      <c r="E59" s="123">
        <v>1.5798611111111109</v>
      </c>
      <c r="F59" s="121" t="s">
        <v>101</v>
      </c>
      <c r="G59" s="124">
        <v>9</v>
      </c>
      <c r="H59" s="125" t="s">
        <v>420</v>
      </c>
    </row>
    <row r="60" spans="1:8" ht="19.8" customHeight="1" x14ac:dyDescent="0.3">
      <c r="A60" s="112">
        <v>45984</v>
      </c>
      <c r="B60" s="104" t="s">
        <v>388</v>
      </c>
      <c r="C60" s="105" t="s">
        <v>755</v>
      </c>
      <c r="D60" s="104" t="s">
        <v>754</v>
      </c>
      <c r="E60" s="113">
        <v>1.3611111111111109</v>
      </c>
      <c r="F60" s="104" t="s">
        <v>769</v>
      </c>
      <c r="G60" s="106">
        <v>9</v>
      </c>
      <c r="H60" s="107" t="s">
        <v>797</v>
      </c>
    </row>
    <row r="61" spans="1:8" ht="19.8" customHeight="1" x14ac:dyDescent="0.3">
      <c r="A61" s="112">
        <v>45984</v>
      </c>
      <c r="B61" s="104" t="s">
        <v>388</v>
      </c>
      <c r="C61" s="105" t="s">
        <v>755</v>
      </c>
      <c r="D61" s="104" t="s">
        <v>754</v>
      </c>
      <c r="E61" s="113">
        <v>1.3611111111111109</v>
      </c>
      <c r="F61" s="104" t="s">
        <v>46</v>
      </c>
      <c r="G61" s="106">
        <v>9</v>
      </c>
      <c r="H61" s="107" t="s">
        <v>798</v>
      </c>
    </row>
    <row r="62" spans="1:8" ht="19.8" customHeight="1" x14ac:dyDescent="0.3">
      <c r="A62" s="112">
        <v>45984</v>
      </c>
      <c r="B62" s="104" t="s">
        <v>60</v>
      </c>
      <c r="C62" s="105" t="s">
        <v>760</v>
      </c>
      <c r="D62" s="104" t="s">
        <v>754</v>
      </c>
      <c r="E62" s="113">
        <v>1.819444444444444</v>
      </c>
      <c r="F62" s="104" t="s">
        <v>65</v>
      </c>
      <c r="G62" s="106">
        <v>3</v>
      </c>
      <c r="H62" s="107" t="s">
        <v>759</v>
      </c>
    </row>
    <row r="63" spans="1:8" ht="19.8" customHeight="1" x14ac:dyDescent="0.3">
      <c r="A63" s="175"/>
      <c r="B63" s="176"/>
      <c r="C63" s="176"/>
      <c r="D63" s="176"/>
      <c r="E63" s="176"/>
      <c r="F63" s="177" t="s">
        <v>890</v>
      </c>
      <c r="G63" s="176"/>
      <c r="H63" s="178"/>
    </row>
    <row r="64" spans="1:8" ht="19.8" customHeight="1" x14ac:dyDescent="0.3">
      <c r="A64" s="112">
        <v>45984</v>
      </c>
      <c r="B64" s="104" t="s">
        <v>41</v>
      </c>
      <c r="C64" s="105" t="s">
        <v>340</v>
      </c>
      <c r="D64" s="104" t="s">
        <v>335</v>
      </c>
      <c r="E64" s="113">
        <v>1.399305555555556</v>
      </c>
      <c r="F64" s="104" t="s">
        <v>43</v>
      </c>
      <c r="G64" s="106">
        <v>4</v>
      </c>
      <c r="H64" s="107" t="s">
        <v>342</v>
      </c>
    </row>
    <row r="65" spans="1:8" ht="19.8" customHeight="1" x14ac:dyDescent="0.3">
      <c r="A65" s="112">
        <v>45984</v>
      </c>
      <c r="B65" s="104" t="s">
        <v>41</v>
      </c>
      <c r="C65" s="105" t="s">
        <v>344</v>
      </c>
      <c r="D65" s="104" t="s">
        <v>335</v>
      </c>
      <c r="E65" s="113">
        <v>1.489583333333333</v>
      </c>
      <c r="F65" s="104" t="s">
        <v>337</v>
      </c>
      <c r="G65" s="106">
        <v>10</v>
      </c>
      <c r="H65" s="107" t="s">
        <v>342</v>
      </c>
    </row>
    <row r="66" spans="1:8" ht="19.8" customHeight="1" x14ac:dyDescent="0.3">
      <c r="A66" s="112">
        <v>45984</v>
      </c>
      <c r="B66" s="104" t="s">
        <v>41</v>
      </c>
      <c r="C66" s="105" t="s">
        <v>344</v>
      </c>
      <c r="D66" s="104" t="s">
        <v>335</v>
      </c>
      <c r="E66" s="113">
        <v>1.489583333333333</v>
      </c>
      <c r="F66" s="104" t="s">
        <v>43</v>
      </c>
      <c r="G66" s="106">
        <v>10</v>
      </c>
      <c r="H66" s="107" t="s">
        <v>342</v>
      </c>
    </row>
    <row r="67" spans="1:8" ht="19.8" customHeight="1" x14ac:dyDescent="0.3">
      <c r="A67" s="112">
        <v>45984</v>
      </c>
      <c r="B67" s="104" t="s">
        <v>26</v>
      </c>
      <c r="C67" s="105" t="s">
        <v>354</v>
      </c>
      <c r="D67" s="104" t="s">
        <v>335</v>
      </c>
      <c r="E67" s="113">
        <v>1.3472222222222221</v>
      </c>
      <c r="F67" s="104" t="s">
        <v>28</v>
      </c>
      <c r="G67" s="106">
        <v>3</v>
      </c>
      <c r="H67" s="107" t="s">
        <v>93</v>
      </c>
    </row>
    <row r="68" spans="1:8" ht="19.8" customHeight="1" x14ac:dyDescent="0.3">
      <c r="A68" s="112">
        <v>45984</v>
      </c>
      <c r="B68" s="104" t="s">
        <v>26</v>
      </c>
      <c r="C68" s="105" t="s">
        <v>350</v>
      </c>
      <c r="D68" s="104" t="s">
        <v>335</v>
      </c>
      <c r="E68" s="113">
        <v>1.993055555555556</v>
      </c>
      <c r="F68" s="104" t="s">
        <v>28</v>
      </c>
      <c r="G68" s="106">
        <v>3</v>
      </c>
      <c r="H68" s="107" t="s">
        <v>93</v>
      </c>
    </row>
    <row r="69" spans="1:8" ht="19.8" customHeight="1" x14ac:dyDescent="0.3">
      <c r="A69" s="112">
        <v>45984</v>
      </c>
      <c r="B69" s="104" t="s">
        <v>26</v>
      </c>
      <c r="C69" s="105" t="s">
        <v>352</v>
      </c>
      <c r="D69" s="104" t="s">
        <v>335</v>
      </c>
      <c r="E69" s="113">
        <v>1.944444444444444</v>
      </c>
      <c r="F69" s="104" t="s">
        <v>351</v>
      </c>
      <c r="G69" s="106">
        <v>8</v>
      </c>
      <c r="H69" s="107" t="s">
        <v>93</v>
      </c>
    </row>
    <row r="70" spans="1:8" ht="19.8" customHeight="1" x14ac:dyDescent="0.3">
      <c r="A70" s="112">
        <v>45984</v>
      </c>
      <c r="B70" s="104" t="s">
        <v>26</v>
      </c>
      <c r="C70" s="105" t="s">
        <v>352</v>
      </c>
      <c r="D70" s="104" t="s">
        <v>335</v>
      </c>
      <c r="E70" s="113">
        <v>1.944444444444444</v>
      </c>
      <c r="F70" s="104" t="s">
        <v>28</v>
      </c>
      <c r="G70" s="106">
        <v>8</v>
      </c>
      <c r="H70" s="107" t="s">
        <v>93</v>
      </c>
    </row>
    <row r="71" spans="1:8" ht="19.8" customHeight="1" x14ac:dyDescent="0.3">
      <c r="A71" s="112">
        <v>45984</v>
      </c>
      <c r="B71" s="104" t="s">
        <v>26</v>
      </c>
      <c r="C71" s="105" t="s">
        <v>360</v>
      </c>
      <c r="D71" s="104" t="s">
        <v>335</v>
      </c>
      <c r="E71" s="113">
        <v>1.4861111111111109</v>
      </c>
      <c r="F71" s="104" t="s">
        <v>351</v>
      </c>
      <c r="G71" s="106">
        <v>1</v>
      </c>
      <c r="H71" s="107" t="s">
        <v>93</v>
      </c>
    </row>
    <row r="72" spans="1:8" ht="19.8" customHeight="1" x14ac:dyDescent="0.3">
      <c r="A72" s="112">
        <v>45984</v>
      </c>
      <c r="B72" s="104" t="s">
        <v>26</v>
      </c>
      <c r="C72" s="105" t="s">
        <v>360</v>
      </c>
      <c r="D72" s="104" t="s">
        <v>335</v>
      </c>
      <c r="E72" s="113">
        <v>1.4861111111111109</v>
      </c>
      <c r="F72" s="104" t="s">
        <v>28</v>
      </c>
      <c r="G72" s="106">
        <v>1</v>
      </c>
      <c r="H72" s="107" t="s">
        <v>93</v>
      </c>
    </row>
    <row r="73" spans="1:8" ht="19.8" customHeight="1" x14ac:dyDescent="0.3">
      <c r="A73" s="114">
        <v>45984</v>
      </c>
      <c r="B73" s="115" t="s">
        <v>26</v>
      </c>
      <c r="C73" s="116" t="s">
        <v>358</v>
      </c>
      <c r="D73" s="115" t="s">
        <v>335</v>
      </c>
      <c r="E73" s="117">
        <v>1.8888888888888891</v>
      </c>
      <c r="F73" s="115" t="s">
        <v>351</v>
      </c>
      <c r="G73" s="118">
        <v>1</v>
      </c>
      <c r="H73" s="119" t="s">
        <v>93</v>
      </c>
    </row>
    <row r="74" spans="1:8" ht="19.8" customHeight="1" x14ac:dyDescent="0.3">
      <c r="A74" s="112">
        <v>45985</v>
      </c>
      <c r="B74" s="104" t="s">
        <v>388</v>
      </c>
      <c r="C74" s="105" t="s">
        <v>802</v>
      </c>
      <c r="D74" s="104" t="s">
        <v>754</v>
      </c>
      <c r="E74" s="113">
        <v>1.1284722222222221</v>
      </c>
      <c r="F74" s="104" t="s">
        <v>756</v>
      </c>
      <c r="G74" s="106">
        <v>9</v>
      </c>
      <c r="H74" s="107" t="s">
        <v>803</v>
      </c>
    </row>
    <row r="75" spans="1:8" ht="19.8" customHeight="1" x14ac:dyDescent="0.3">
      <c r="A75" s="112">
        <v>45985</v>
      </c>
      <c r="B75" s="104" t="s">
        <v>388</v>
      </c>
      <c r="C75" s="105" t="s">
        <v>802</v>
      </c>
      <c r="D75" s="104" t="s">
        <v>754</v>
      </c>
      <c r="E75" s="113">
        <v>1.1284722222222221</v>
      </c>
      <c r="F75" s="104" t="s">
        <v>769</v>
      </c>
      <c r="G75" s="106">
        <v>9</v>
      </c>
      <c r="H75" s="107" t="s">
        <v>804</v>
      </c>
    </row>
    <row r="76" spans="1:8" ht="19.8" customHeight="1" x14ac:dyDescent="0.3">
      <c r="A76" s="112">
        <v>45985</v>
      </c>
      <c r="B76" s="104" t="s">
        <v>388</v>
      </c>
      <c r="C76" s="105" t="s">
        <v>802</v>
      </c>
      <c r="D76" s="104" t="s">
        <v>754</v>
      </c>
      <c r="E76" s="113">
        <v>1.1284722222222221</v>
      </c>
      <c r="F76" s="104" t="s">
        <v>46</v>
      </c>
      <c r="G76" s="106">
        <v>9</v>
      </c>
      <c r="H76" s="107" t="s">
        <v>805</v>
      </c>
    </row>
    <row r="77" spans="1:8" ht="19.8" customHeight="1" x14ac:dyDescent="0.3">
      <c r="A77" s="112">
        <v>45985</v>
      </c>
      <c r="B77" s="104" t="s">
        <v>60</v>
      </c>
      <c r="C77" s="105" t="s">
        <v>760</v>
      </c>
      <c r="D77" s="104" t="s">
        <v>754</v>
      </c>
      <c r="E77" s="113">
        <v>1.819444444444444</v>
      </c>
      <c r="F77" s="104" t="s">
        <v>65</v>
      </c>
      <c r="G77" s="106">
        <v>7</v>
      </c>
      <c r="H77" s="107" t="s">
        <v>759</v>
      </c>
    </row>
    <row r="78" spans="1:8" ht="19.8" customHeight="1" x14ac:dyDescent="0.3">
      <c r="A78" s="120">
        <v>45985</v>
      </c>
      <c r="B78" s="121" t="s">
        <v>77</v>
      </c>
      <c r="C78" s="122" t="s">
        <v>788</v>
      </c>
      <c r="D78" s="121" t="s">
        <v>754</v>
      </c>
      <c r="E78" s="123">
        <v>1.149305555555556</v>
      </c>
      <c r="F78" s="121" t="s">
        <v>79</v>
      </c>
      <c r="G78" s="121"/>
      <c r="H78" s="125" t="s">
        <v>80</v>
      </c>
    </row>
    <row r="79" spans="1:8" ht="19.8" customHeight="1" x14ac:dyDescent="0.3">
      <c r="A79" s="120">
        <v>45985</v>
      </c>
      <c r="B79" s="121" t="s">
        <v>77</v>
      </c>
      <c r="C79" s="122" t="s">
        <v>761</v>
      </c>
      <c r="D79" s="121" t="s">
        <v>754</v>
      </c>
      <c r="E79" s="123">
        <v>1.458333333333333</v>
      </c>
      <c r="F79" s="121" t="s">
        <v>79</v>
      </c>
      <c r="G79" s="121"/>
      <c r="H79" s="125" t="s">
        <v>80</v>
      </c>
    </row>
    <row r="80" spans="1:8" ht="19.8" customHeight="1" x14ac:dyDescent="0.3">
      <c r="A80" s="175"/>
      <c r="B80" s="176"/>
      <c r="C80" s="176"/>
      <c r="D80" s="176"/>
      <c r="E80" s="176"/>
      <c r="F80" s="177" t="s">
        <v>890</v>
      </c>
      <c r="G80" s="176"/>
      <c r="H80" s="178"/>
    </row>
    <row r="81" spans="1:8" ht="19.8" customHeight="1" x14ac:dyDescent="0.3">
      <c r="A81" s="112">
        <v>45985</v>
      </c>
      <c r="B81" s="104" t="s">
        <v>41</v>
      </c>
      <c r="C81" s="105" t="s">
        <v>340</v>
      </c>
      <c r="D81" s="104" t="s">
        <v>335</v>
      </c>
      <c r="E81" s="113">
        <v>1.399305555555556</v>
      </c>
      <c r="F81" s="104" t="s">
        <v>43</v>
      </c>
      <c r="G81" s="106">
        <v>6</v>
      </c>
      <c r="H81" s="107" t="s">
        <v>431</v>
      </c>
    </row>
    <row r="82" spans="1:8" ht="19.8" customHeight="1" x14ac:dyDescent="0.3">
      <c r="A82" s="112">
        <v>45985</v>
      </c>
      <c r="B82" s="104" t="s">
        <v>41</v>
      </c>
      <c r="C82" s="105" t="s">
        <v>344</v>
      </c>
      <c r="D82" s="104" t="s">
        <v>335</v>
      </c>
      <c r="E82" s="113">
        <v>1.489583333333333</v>
      </c>
      <c r="F82" s="104" t="s">
        <v>43</v>
      </c>
      <c r="G82" s="106">
        <v>4</v>
      </c>
      <c r="H82" s="107" t="s">
        <v>431</v>
      </c>
    </row>
    <row r="83" spans="1:8" ht="19.8" customHeight="1" x14ac:dyDescent="0.3">
      <c r="A83" s="112">
        <v>45985</v>
      </c>
      <c r="B83" s="104" t="s">
        <v>41</v>
      </c>
      <c r="C83" s="105" t="s">
        <v>347</v>
      </c>
      <c r="D83" s="104" t="s">
        <v>335</v>
      </c>
      <c r="E83" s="113">
        <v>1.8888888888888891</v>
      </c>
      <c r="F83" s="104" t="s">
        <v>43</v>
      </c>
      <c r="G83" s="106">
        <v>3</v>
      </c>
      <c r="H83" s="107" t="s">
        <v>431</v>
      </c>
    </row>
    <row r="84" spans="1:8" ht="19.8" customHeight="1" x14ac:dyDescent="0.3">
      <c r="A84" s="112">
        <v>45985</v>
      </c>
      <c r="B84" s="104" t="s">
        <v>41</v>
      </c>
      <c r="C84" s="105" t="s">
        <v>336</v>
      </c>
      <c r="D84" s="104" t="s">
        <v>335</v>
      </c>
      <c r="E84" s="113">
        <v>1.989583333333333</v>
      </c>
      <c r="F84" s="104" t="s">
        <v>43</v>
      </c>
      <c r="G84" s="106">
        <v>9</v>
      </c>
      <c r="H84" s="107" t="s">
        <v>431</v>
      </c>
    </row>
    <row r="85" spans="1:8" ht="19.8" customHeight="1" x14ac:dyDescent="0.3">
      <c r="A85" s="112">
        <v>45985</v>
      </c>
      <c r="B85" s="104" t="s">
        <v>385</v>
      </c>
      <c r="C85" s="105" t="s">
        <v>435</v>
      </c>
      <c r="D85" s="104" t="s">
        <v>335</v>
      </c>
      <c r="E85" s="113">
        <v>1.135416666666667</v>
      </c>
      <c r="F85" s="104" t="s">
        <v>101</v>
      </c>
      <c r="G85" s="106">
        <v>9</v>
      </c>
      <c r="H85" s="107" t="s">
        <v>434</v>
      </c>
    </row>
    <row r="86" spans="1:8" ht="19.8" customHeight="1" x14ac:dyDescent="0.3">
      <c r="A86" s="112">
        <v>45985</v>
      </c>
      <c r="B86" s="104" t="s">
        <v>385</v>
      </c>
      <c r="C86" s="105" t="s">
        <v>477</v>
      </c>
      <c r="D86" s="104" t="s">
        <v>335</v>
      </c>
      <c r="E86" s="113">
        <v>1.868055555555556</v>
      </c>
      <c r="F86" s="104" t="s">
        <v>101</v>
      </c>
      <c r="G86" s="106">
        <v>5</v>
      </c>
      <c r="H86" s="107" t="s">
        <v>434</v>
      </c>
    </row>
    <row r="87" spans="1:8" ht="19.8" customHeight="1" x14ac:dyDescent="0.3">
      <c r="A87" s="112">
        <v>45985</v>
      </c>
      <c r="B87" s="104" t="s">
        <v>26</v>
      </c>
      <c r="C87" s="105" t="s">
        <v>350</v>
      </c>
      <c r="D87" s="104" t="s">
        <v>335</v>
      </c>
      <c r="E87" s="113">
        <v>1.993055555555556</v>
      </c>
      <c r="F87" s="104" t="s">
        <v>28</v>
      </c>
      <c r="G87" s="106">
        <v>3</v>
      </c>
      <c r="H87" s="107" t="s">
        <v>44</v>
      </c>
    </row>
    <row r="88" spans="1:8" ht="19.8" customHeight="1" x14ac:dyDescent="0.3">
      <c r="A88" s="112">
        <v>45985</v>
      </c>
      <c r="B88" s="104" t="s">
        <v>26</v>
      </c>
      <c r="C88" s="105" t="s">
        <v>360</v>
      </c>
      <c r="D88" s="104" t="s">
        <v>335</v>
      </c>
      <c r="E88" s="113">
        <v>1.4861111111111109</v>
      </c>
      <c r="F88" s="104" t="s">
        <v>28</v>
      </c>
      <c r="G88" s="106">
        <v>1</v>
      </c>
      <c r="H88" s="107" t="s">
        <v>44</v>
      </c>
    </row>
    <row r="89" spans="1:8" ht="19.8" customHeight="1" x14ac:dyDescent="0.3">
      <c r="A89" s="112">
        <v>45985</v>
      </c>
      <c r="B89" s="104" t="s">
        <v>26</v>
      </c>
      <c r="C89" s="105" t="s">
        <v>359</v>
      </c>
      <c r="D89" s="104" t="s">
        <v>335</v>
      </c>
      <c r="E89" s="113">
        <v>1.7361111111111109</v>
      </c>
      <c r="F89" s="104" t="s">
        <v>28</v>
      </c>
      <c r="G89" s="106">
        <v>3</v>
      </c>
      <c r="H89" s="107" t="s">
        <v>339</v>
      </c>
    </row>
    <row r="90" spans="1:8" ht="19.8" customHeight="1" x14ac:dyDescent="0.3">
      <c r="A90" s="114">
        <v>45985</v>
      </c>
      <c r="B90" s="115" t="s">
        <v>26</v>
      </c>
      <c r="C90" s="116" t="s">
        <v>356</v>
      </c>
      <c r="D90" s="115" t="s">
        <v>335</v>
      </c>
      <c r="E90" s="117">
        <v>1.836805555555556</v>
      </c>
      <c r="F90" s="115" t="s">
        <v>28</v>
      </c>
      <c r="G90" s="118">
        <v>8</v>
      </c>
      <c r="H90" s="119" t="s">
        <v>339</v>
      </c>
    </row>
    <row r="91" spans="1:8" ht="19.8" customHeight="1" x14ac:dyDescent="0.3">
      <c r="A91" s="112">
        <v>45986</v>
      </c>
      <c r="B91" s="104" t="s">
        <v>41</v>
      </c>
      <c r="C91" s="105" t="s">
        <v>777</v>
      </c>
      <c r="D91" s="104" t="s">
        <v>754</v>
      </c>
      <c r="E91" s="113">
        <v>1.3611111111111109</v>
      </c>
      <c r="F91" s="104" t="s">
        <v>778</v>
      </c>
      <c r="G91" s="106">
        <v>5</v>
      </c>
      <c r="H91" s="107" t="s">
        <v>810</v>
      </c>
    </row>
    <row r="92" spans="1:8" ht="19.8" customHeight="1" x14ac:dyDescent="0.3">
      <c r="A92" s="112">
        <v>45986</v>
      </c>
      <c r="B92" s="104" t="s">
        <v>388</v>
      </c>
      <c r="C92" s="105" t="s">
        <v>755</v>
      </c>
      <c r="D92" s="104" t="s">
        <v>754</v>
      </c>
      <c r="E92" s="113">
        <v>1.3611111111111109</v>
      </c>
      <c r="F92" s="104" t="s">
        <v>756</v>
      </c>
      <c r="G92" s="106">
        <v>9</v>
      </c>
      <c r="H92" s="107" t="s">
        <v>812</v>
      </c>
    </row>
    <row r="93" spans="1:8" ht="19.8" customHeight="1" x14ac:dyDescent="0.3">
      <c r="A93" s="112">
        <v>45986</v>
      </c>
      <c r="B93" s="104" t="s">
        <v>41</v>
      </c>
      <c r="C93" s="105" t="s">
        <v>777</v>
      </c>
      <c r="D93" s="104" t="s">
        <v>754</v>
      </c>
      <c r="E93" s="113">
        <v>1.3611111111111109</v>
      </c>
      <c r="F93" s="104" t="s">
        <v>756</v>
      </c>
      <c r="G93" s="106">
        <v>5</v>
      </c>
      <c r="H93" s="107" t="s">
        <v>460</v>
      </c>
    </row>
    <row r="94" spans="1:8" ht="19.8" customHeight="1" x14ac:dyDescent="0.3">
      <c r="A94" s="112">
        <v>45986</v>
      </c>
      <c r="B94" s="104" t="s">
        <v>388</v>
      </c>
      <c r="C94" s="105" t="s">
        <v>755</v>
      </c>
      <c r="D94" s="104" t="s">
        <v>754</v>
      </c>
      <c r="E94" s="113">
        <v>1.3611111111111109</v>
      </c>
      <c r="F94" s="104" t="s">
        <v>769</v>
      </c>
      <c r="G94" s="106">
        <v>9</v>
      </c>
      <c r="H94" s="107" t="s">
        <v>813</v>
      </c>
    </row>
    <row r="95" spans="1:8" ht="19.8" customHeight="1" x14ac:dyDescent="0.3">
      <c r="A95" s="112">
        <v>45986</v>
      </c>
      <c r="B95" s="104" t="s">
        <v>41</v>
      </c>
      <c r="C95" s="105" t="s">
        <v>777</v>
      </c>
      <c r="D95" s="104" t="s">
        <v>754</v>
      </c>
      <c r="E95" s="113">
        <v>1.3611111111111109</v>
      </c>
      <c r="F95" s="104" t="s">
        <v>769</v>
      </c>
      <c r="G95" s="106">
        <v>5</v>
      </c>
      <c r="H95" s="107" t="s">
        <v>811</v>
      </c>
    </row>
    <row r="96" spans="1:8" ht="19.8" customHeight="1" x14ac:dyDescent="0.3">
      <c r="A96" s="112">
        <v>45986</v>
      </c>
      <c r="B96" s="104" t="s">
        <v>388</v>
      </c>
      <c r="C96" s="105" t="s">
        <v>767</v>
      </c>
      <c r="D96" s="104" t="s">
        <v>754</v>
      </c>
      <c r="E96" s="113">
        <v>1.010416666666667</v>
      </c>
      <c r="F96" s="104" t="s">
        <v>756</v>
      </c>
      <c r="G96" s="106">
        <v>1</v>
      </c>
      <c r="H96" s="107" t="s">
        <v>815</v>
      </c>
    </row>
    <row r="97" spans="1:8" ht="19.8" customHeight="1" x14ac:dyDescent="0.3">
      <c r="A97" s="112">
        <v>45986</v>
      </c>
      <c r="B97" s="104" t="s">
        <v>388</v>
      </c>
      <c r="C97" s="105" t="s">
        <v>755</v>
      </c>
      <c r="D97" s="104" t="s">
        <v>754</v>
      </c>
      <c r="E97" s="113">
        <v>1.3611111111111109</v>
      </c>
      <c r="F97" s="104" t="s">
        <v>46</v>
      </c>
      <c r="G97" s="106">
        <v>9</v>
      </c>
      <c r="H97" s="107" t="s">
        <v>814</v>
      </c>
    </row>
    <row r="98" spans="1:8" ht="19.8" customHeight="1" x14ac:dyDescent="0.3">
      <c r="A98" s="112">
        <v>45986</v>
      </c>
      <c r="B98" s="104" t="s">
        <v>388</v>
      </c>
      <c r="C98" s="105" t="s">
        <v>767</v>
      </c>
      <c r="D98" s="104" t="s">
        <v>754</v>
      </c>
      <c r="E98" s="113">
        <v>1.010416666666667</v>
      </c>
      <c r="F98" s="104" t="s">
        <v>769</v>
      </c>
      <c r="G98" s="106">
        <v>1</v>
      </c>
      <c r="H98" s="107" t="s">
        <v>816</v>
      </c>
    </row>
    <row r="99" spans="1:8" ht="19.8" customHeight="1" x14ac:dyDescent="0.3">
      <c r="A99" s="112">
        <v>45986</v>
      </c>
      <c r="B99" s="104" t="s">
        <v>41</v>
      </c>
      <c r="C99" s="105" t="s">
        <v>777</v>
      </c>
      <c r="D99" s="104" t="s">
        <v>754</v>
      </c>
      <c r="E99" s="113">
        <v>1.3611111111111109</v>
      </c>
      <c r="F99" s="104" t="s">
        <v>782</v>
      </c>
      <c r="G99" s="106">
        <v>5</v>
      </c>
      <c r="H99" s="107" t="s">
        <v>123</v>
      </c>
    </row>
    <row r="100" spans="1:8" ht="19.8" customHeight="1" x14ac:dyDescent="0.3">
      <c r="A100" s="112">
        <v>45986</v>
      </c>
      <c r="B100" s="104" t="s">
        <v>388</v>
      </c>
      <c r="C100" s="105" t="s">
        <v>767</v>
      </c>
      <c r="D100" s="104" t="s">
        <v>754</v>
      </c>
      <c r="E100" s="113">
        <v>1.010416666666667</v>
      </c>
      <c r="F100" s="104" t="s">
        <v>46</v>
      </c>
      <c r="G100" s="106">
        <v>1</v>
      </c>
      <c r="H100" s="107" t="s">
        <v>817</v>
      </c>
    </row>
    <row r="101" spans="1:8" ht="19.8" customHeight="1" x14ac:dyDescent="0.3">
      <c r="A101" s="112">
        <v>45986</v>
      </c>
      <c r="B101" s="104" t="s">
        <v>60</v>
      </c>
      <c r="C101" s="105" t="s">
        <v>758</v>
      </c>
      <c r="D101" s="104" t="s">
        <v>754</v>
      </c>
      <c r="E101" s="113">
        <v>1.4513888888888891</v>
      </c>
      <c r="F101" s="104" t="s">
        <v>65</v>
      </c>
      <c r="G101" s="106">
        <v>9</v>
      </c>
      <c r="H101" s="107" t="s">
        <v>759</v>
      </c>
    </row>
    <row r="102" spans="1:8" ht="19.8" customHeight="1" x14ac:dyDescent="0.3">
      <c r="A102" s="112">
        <v>45986</v>
      </c>
      <c r="B102" s="104" t="s">
        <v>60</v>
      </c>
      <c r="C102" s="105" t="s">
        <v>760</v>
      </c>
      <c r="D102" s="104" t="s">
        <v>754</v>
      </c>
      <c r="E102" s="113">
        <v>1.819444444444444</v>
      </c>
      <c r="F102" s="104" t="s">
        <v>65</v>
      </c>
      <c r="G102" s="106">
        <v>7</v>
      </c>
      <c r="H102" s="107" t="s">
        <v>759</v>
      </c>
    </row>
    <row r="103" spans="1:8" ht="19.8" customHeight="1" x14ac:dyDescent="0.3">
      <c r="A103" s="120">
        <v>45986</v>
      </c>
      <c r="B103" s="121" t="s">
        <v>77</v>
      </c>
      <c r="C103" s="122" t="s">
        <v>761</v>
      </c>
      <c r="D103" s="121" t="s">
        <v>754</v>
      </c>
      <c r="E103" s="123">
        <v>1.520833333333333</v>
      </c>
      <c r="F103" s="121" t="s">
        <v>79</v>
      </c>
      <c r="G103" s="121"/>
      <c r="H103" s="125" t="s">
        <v>80</v>
      </c>
    </row>
    <row r="104" spans="1:8" ht="19.8" customHeight="1" x14ac:dyDescent="0.3">
      <c r="A104" s="175"/>
      <c r="B104" s="176"/>
      <c r="C104" s="176"/>
      <c r="D104" s="176"/>
      <c r="E104" s="176"/>
      <c r="F104" s="177" t="s">
        <v>890</v>
      </c>
      <c r="G104" s="176"/>
      <c r="H104" s="178"/>
    </row>
    <row r="105" spans="1:8" ht="19.8" customHeight="1" x14ac:dyDescent="0.3">
      <c r="A105" s="112">
        <v>45986</v>
      </c>
      <c r="B105" s="104" t="s">
        <v>41</v>
      </c>
      <c r="C105" s="105" t="s">
        <v>340</v>
      </c>
      <c r="D105" s="104" t="s">
        <v>335</v>
      </c>
      <c r="E105" s="113">
        <v>1.399305555555556</v>
      </c>
      <c r="F105" s="104" t="s">
        <v>43</v>
      </c>
      <c r="G105" s="106">
        <v>5</v>
      </c>
      <c r="H105" s="107" t="s">
        <v>492</v>
      </c>
    </row>
    <row r="106" spans="1:8" ht="19.8" customHeight="1" x14ac:dyDescent="0.3">
      <c r="A106" s="112">
        <v>45986</v>
      </c>
      <c r="B106" s="104" t="s">
        <v>41</v>
      </c>
      <c r="C106" s="105" t="s">
        <v>344</v>
      </c>
      <c r="D106" s="104" t="s">
        <v>335</v>
      </c>
      <c r="E106" s="113">
        <v>1.489583333333333</v>
      </c>
      <c r="F106" s="104" t="s">
        <v>43</v>
      </c>
      <c r="G106" s="106">
        <v>10</v>
      </c>
      <c r="H106" s="107" t="s">
        <v>492</v>
      </c>
    </row>
    <row r="107" spans="1:8" ht="19.8" customHeight="1" x14ac:dyDescent="0.3">
      <c r="A107" s="112">
        <v>45986</v>
      </c>
      <c r="B107" s="104" t="s">
        <v>41</v>
      </c>
      <c r="C107" s="105" t="s">
        <v>347</v>
      </c>
      <c r="D107" s="104" t="s">
        <v>335</v>
      </c>
      <c r="E107" s="113">
        <v>1.8888888888888891</v>
      </c>
      <c r="F107" s="104" t="s">
        <v>43</v>
      </c>
      <c r="G107" s="106">
        <v>8</v>
      </c>
      <c r="H107" s="107" t="s">
        <v>492</v>
      </c>
    </row>
    <row r="108" spans="1:8" ht="19.8" customHeight="1" x14ac:dyDescent="0.3">
      <c r="A108" s="112">
        <v>45986</v>
      </c>
      <c r="B108" s="104" t="s">
        <v>41</v>
      </c>
      <c r="C108" s="105" t="s">
        <v>336</v>
      </c>
      <c r="D108" s="104" t="s">
        <v>335</v>
      </c>
      <c r="E108" s="113">
        <v>1.989583333333333</v>
      </c>
      <c r="F108" s="104" t="s">
        <v>43</v>
      </c>
      <c r="G108" s="106">
        <v>7</v>
      </c>
      <c r="H108" s="107" t="s">
        <v>492</v>
      </c>
    </row>
    <row r="109" spans="1:8" ht="19.8" customHeight="1" x14ac:dyDescent="0.3">
      <c r="A109" s="112">
        <v>45986</v>
      </c>
      <c r="B109" s="104" t="s">
        <v>26</v>
      </c>
      <c r="C109" s="105" t="s">
        <v>354</v>
      </c>
      <c r="D109" s="104" t="s">
        <v>335</v>
      </c>
      <c r="E109" s="113">
        <v>1.3472222222222221</v>
      </c>
      <c r="F109" s="104" t="s">
        <v>28</v>
      </c>
      <c r="G109" s="106">
        <v>7</v>
      </c>
      <c r="H109" s="107" t="s">
        <v>339</v>
      </c>
    </row>
    <row r="110" spans="1:8" ht="19.8" customHeight="1" x14ac:dyDescent="0.3">
      <c r="A110" s="112">
        <v>45986</v>
      </c>
      <c r="B110" s="104" t="s">
        <v>26</v>
      </c>
      <c r="C110" s="105" t="s">
        <v>350</v>
      </c>
      <c r="D110" s="104" t="s">
        <v>335</v>
      </c>
      <c r="E110" s="113">
        <v>1.993055555555556</v>
      </c>
      <c r="F110" s="104" t="s">
        <v>28</v>
      </c>
      <c r="G110" s="106">
        <v>1</v>
      </c>
      <c r="H110" s="107" t="s">
        <v>339</v>
      </c>
    </row>
    <row r="111" spans="1:8" ht="19.8" customHeight="1" x14ac:dyDescent="0.3">
      <c r="A111" s="112">
        <v>45986</v>
      </c>
      <c r="B111" s="104" t="s">
        <v>26</v>
      </c>
      <c r="C111" s="105" t="s">
        <v>360</v>
      </c>
      <c r="D111" s="104" t="s">
        <v>335</v>
      </c>
      <c r="E111" s="113">
        <v>1.4861111111111109</v>
      </c>
      <c r="F111" s="104" t="s">
        <v>28</v>
      </c>
      <c r="G111" s="106">
        <v>1</v>
      </c>
      <c r="H111" s="107" t="s">
        <v>339</v>
      </c>
    </row>
    <row r="112" spans="1:8" ht="19.8" customHeight="1" x14ac:dyDescent="0.3">
      <c r="A112" s="112">
        <v>45986</v>
      </c>
      <c r="B112" s="104" t="s">
        <v>26</v>
      </c>
      <c r="C112" s="105" t="s">
        <v>357</v>
      </c>
      <c r="D112" s="104" t="s">
        <v>335</v>
      </c>
      <c r="E112" s="113">
        <v>1.3923611111111109</v>
      </c>
      <c r="F112" s="104" t="s">
        <v>28</v>
      </c>
      <c r="G112" s="106">
        <v>1</v>
      </c>
      <c r="H112" s="107" t="s">
        <v>339</v>
      </c>
    </row>
    <row r="113" spans="1:8" ht="19.8" customHeight="1" x14ac:dyDescent="0.3">
      <c r="A113" s="112">
        <v>45986</v>
      </c>
      <c r="B113" s="104" t="s">
        <v>385</v>
      </c>
      <c r="C113" s="105" t="s">
        <v>386</v>
      </c>
      <c r="D113" s="104" t="s">
        <v>335</v>
      </c>
      <c r="E113" s="113">
        <v>1.493055555555556</v>
      </c>
      <c r="F113" s="104" t="s">
        <v>101</v>
      </c>
      <c r="G113" s="106">
        <v>9</v>
      </c>
      <c r="H113" s="107" t="s">
        <v>387</v>
      </c>
    </row>
    <row r="114" spans="1:8" ht="19.8" customHeight="1" x14ac:dyDescent="0.3">
      <c r="A114" s="114">
        <v>45986</v>
      </c>
      <c r="B114" s="115" t="s">
        <v>385</v>
      </c>
      <c r="C114" s="116" t="s">
        <v>435</v>
      </c>
      <c r="D114" s="115" t="s">
        <v>335</v>
      </c>
      <c r="E114" s="117">
        <v>1.1875</v>
      </c>
      <c r="F114" s="115" t="s">
        <v>101</v>
      </c>
      <c r="G114" s="118">
        <v>9</v>
      </c>
      <c r="H114" s="119" t="s">
        <v>387</v>
      </c>
    </row>
    <row r="115" spans="1:8" ht="19.8" customHeight="1" x14ac:dyDescent="0.3">
      <c r="A115" s="112">
        <v>45987</v>
      </c>
      <c r="B115" s="104" t="s">
        <v>388</v>
      </c>
      <c r="C115" s="105" t="s">
        <v>767</v>
      </c>
      <c r="D115" s="104" t="s">
        <v>754</v>
      </c>
      <c r="E115" s="113">
        <v>1.163194444444444</v>
      </c>
      <c r="F115" s="104" t="s">
        <v>756</v>
      </c>
      <c r="G115" s="106">
        <v>9</v>
      </c>
      <c r="H115" s="107" t="s">
        <v>820</v>
      </c>
    </row>
    <row r="116" spans="1:8" ht="19.8" customHeight="1" x14ac:dyDescent="0.3">
      <c r="A116" s="120">
        <v>45987</v>
      </c>
      <c r="B116" s="121" t="s">
        <v>77</v>
      </c>
      <c r="C116" s="122" t="s">
        <v>772</v>
      </c>
      <c r="D116" s="121" t="s">
        <v>754</v>
      </c>
      <c r="E116" s="123">
        <v>1.145833333333333</v>
      </c>
      <c r="F116" s="121" t="s">
        <v>101</v>
      </c>
      <c r="G116" s="124">
        <v>5</v>
      </c>
      <c r="H116" s="125" t="s">
        <v>420</v>
      </c>
    </row>
    <row r="117" spans="1:8" ht="19.8" customHeight="1" x14ac:dyDescent="0.3">
      <c r="A117" s="112">
        <v>45987</v>
      </c>
      <c r="B117" s="104" t="s">
        <v>388</v>
      </c>
      <c r="C117" s="105" t="s">
        <v>767</v>
      </c>
      <c r="D117" s="104" t="s">
        <v>754</v>
      </c>
      <c r="E117" s="113">
        <v>1.163194444444444</v>
      </c>
      <c r="F117" s="104" t="s">
        <v>769</v>
      </c>
      <c r="G117" s="106">
        <v>9</v>
      </c>
      <c r="H117" s="107" t="s">
        <v>821</v>
      </c>
    </row>
    <row r="118" spans="1:8" ht="19.8" customHeight="1" x14ac:dyDescent="0.3">
      <c r="A118" s="112">
        <v>45987</v>
      </c>
      <c r="B118" s="104" t="s">
        <v>388</v>
      </c>
      <c r="C118" s="105" t="s">
        <v>767</v>
      </c>
      <c r="D118" s="104" t="s">
        <v>754</v>
      </c>
      <c r="E118" s="113">
        <v>1.163194444444444</v>
      </c>
      <c r="F118" s="104" t="s">
        <v>46</v>
      </c>
      <c r="G118" s="106">
        <v>9</v>
      </c>
      <c r="H118" s="107" t="s">
        <v>822</v>
      </c>
    </row>
    <row r="119" spans="1:8" ht="19.8" customHeight="1" x14ac:dyDescent="0.3">
      <c r="A119" s="112">
        <v>45987</v>
      </c>
      <c r="B119" s="104" t="s">
        <v>60</v>
      </c>
      <c r="C119" s="105" t="s">
        <v>760</v>
      </c>
      <c r="D119" s="104" t="s">
        <v>754</v>
      </c>
      <c r="E119" s="113">
        <v>1.819444444444444</v>
      </c>
      <c r="F119" s="104" t="s">
        <v>65</v>
      </c>
      <c r="G119" s="106">
        <v>6</v>
      </c>
      <c r="H119" s="107" t="s">
        <v>759</v>
      </c>
    </row>
    <row r="120" spans="1:8" ht="19.8" customHeight="1" x14ac:dyDescent="0.3">
      <c r="A120" s="120">
        <v>45987</v>
      </c>
      <c r="B120" s="121" t="s">
        <v>77</v>
      </c>
      <c r="C120" s="122" t="s">
        <v>788</v>
      </c>
      <c r="D120" s="121" t="s">
        <v>754</v>
      </c>
      <c r="E120" s="123">
        <v>1.53125</v>
      </c>
      <c r="F120" s="121" t="s">
        <v>79</v>
      </c>
      <c r="G120" s="121"/>
      <c r="H120" s="125" t="s">
        <v>80</v>
      </c>
    </row>
    <row r="121" spans="1:8" ht="19.8" customHeight="1" x14ac:dyDescent="0.3">
      <c r="A121" s="120">
        <v>45987</v>
      </c>
      <c r="B121" s="121" t="s">
        <v>77</v>
      </c>
      <c r="C121" s="122" t="s">
        <v>825</v>
      </c>
      <c r="D121" s="121" t="s">
        <v>754</v>
      </c>
      <c r="E121" s="123">
        <v>1.8611111111111109</v>
      </c>
      <c r="F121" s="121" t="s">
        <v>79</v>
      </c>
      <c r="G121" s="121"/>
      <c r="H121" s="125" t="s">
        <v>80</v>
      </c>
    </row>
    <row r="122" spans="1:8" ht="19.8" customHeight="1" x14ac:dyDescent="0.3">
      <c r="A122" s="175"/>
      <c r="B122" s="176"/>
      <c r="C122" s="176"/>
      <c r="D122" s="176"/>
      <c r="E122" s="176"/>
      <c r="F122" s="177" t="s">
        <v>890</v>
      </c>
      <c r="G122" s="176"/>
      <c r="H122" s="178"/>
    </row>
    <row r="123" spans="1:8" ht="19.8" customHeight="1" x14ac:dyDescent="0.3">
      <c r="A123" s="112">
        <v>45987</v>
      </c>
      <c r="B123" s="104" t="s">
        <v>77</v>
      </c>
      <c r="C123" s="105" t="s">
        <v>374</v>
      </c>
      <c r="D123" s="104" t="s">
        <v>335</v>
      </c>
      <c r="E123" s="113">
        <v>1.3402777777777779</v>
      </c>
      <c r="F123" s="104" t="s">
        <v>101</v>
      </c>
      <c r="G123" s="106">
        <v>1</v>
      </c>
      <c r="H123" s="107" t="s">
        <v>362</v>
      </c>
    </row>
    <row r="124" spans="1:8" ht="19.8" customHeight="1" x14ac:dyDescent="0.3">
      <c r="A124" s="112">
        <v>45987</v>
      </c>
      <c r="B124" s="104" t="s">
        <v>41</v>
      </c>
      <c r="C124" s="105" t="s">
        <v>340</v>
      </c>
      <c r="D124" s="104" t="s">
        <v>335</v>
      </c>
      <c r="E124" s="113">
        <v>1.399305555555556</v>
      </c>
      <c r="F124" s="104" t="s">
        <v>43</v>
      </c>
      <c r="G124" s="106">
        <v>11</v>
      </c>
      <c r="H124" s="107" t="s">
        <v>492</v>
      </c>
    </row>
    <row r="125" spans="1:8" ht="19.8" customHeight="1" x14ac:dyDescent="0.3">
      <c r="A125" s="112">
        <v>45987</v>
      </c>
      <c r="B125" s="104" t="s">
        <v>41</v>
      </c>
      <c r="C125" s="105" t="s">
        <v>344</v>
      </c>
      <c r="D125" s="104" t="s">
        <v>335</v>
      </c>
      <c r="E125" s="113">
        <v>1.489583333333333</v>
      </c>
      <c r="F125" s="104" t="s">
        <v>43</v>
      </c>
      <c r="G125" s="106">
        <v>10</v>
      </c>
      <c r="H125" s="107" t="s">
        <v>492</v>
      </c>
    </row>
    <row r="126" spans="1:8" ht="19.8" customHeight="1" x14ac:dyDescent="0.3">
      <c r="A126" s="112">
        <v>45987</v>
      </c>
      <c r="B126" s="104" t="s">
        <v>41</v>
      </c>
      <c r="C126" s="105" t="s">
        <v>336</v>
      </c>
      <c r="D126" s="104" t="s">
        <v>335</v>
      </c>
      <c r="E126" s="113">
        <v>1.989583333333333</v>
      </c>
      <c r="F126" s="104" t="s">
        <v>43</v>
      </c>
      <c r="G126" s="106">
        <v>10</v>
      </c>
      <c r="H126" s="107" t="s">
        <v>492</v>
      </c>
    </row>
    <row r="127" spans="1:8" ht="19.8" customHeight="1" x14ac:dyDescent="0.3">
      <c r="A127" s="112">
        <v>45987</v>
      </c>
      <c r="B127" s="104" t="s">
        <v>26</v>
      </c>
      <c r="C127" s="105" t="s">
        <v>354</v>
      </c>
      <c r="D127" s="104" t="s">
        <v>335</v>
      </c>
      <c r="E127" s="113">
        <v>1.3472222222222221</v>
      </c>
      <c r="F127" s="104" t="s">
        <v>28</v>
      </c>
      <c r="G127" s="106">
        <v>1</v>
      </c>
      <c r="H127" s="107" t="s">
        <v>339</v>
      </c>
    </row>
    <row r="128" spans="1:8" ht="19.8" customHeight="1" x14ac:dyDescent="0.3">
      <c r="A128" s="112">
        <v>45987</v>
      </c>
      <c r="B128" s="104" t="s">
        <v>385</v>
      </c>
      <c r="C128" s="105" t="s">
        <v>386</v>
      </c>
      <c r="D128" s="104" t="s">
        <v>335</v>
      </c>
      <c r="E128" s="113">
        <v>1.493055555555556</v>
      </c>
      <c r="F128" s="104" t="s">
        <v>101</v>
      </c>
      <c r="G128" s="106">
        <v>9</v>
      </c>
      <c r="H128" s="107" t="s">
        <v>387</v>
      </c>
    </row>
    <row r="129" spans="1:8" ht="19.8" customHeight="1" x14ac:dyDescent="0.3">
      <c r="A129" s="112">
        <v>45987</v>
      </c>
      <c r="B129" s="104" t="s">
        <v>385</v>
      </c>
      <c r="C129" s="105" t="s">
        <v>435</v>
      </c>
      <c r="D129" s="104" t="s">
        <v>335</v>
      </c>
      <c r="E129" s="113">
        <v>1.194444444444444</v>
      </c>
      <c r="F129" s="104" t="s">
        <v>101</v>
      </c>
      <c r="G129" s="106">
        <v>6</v>
      </c>
      <c r="H129" s="107" t="s">
        <v>387</v>
      </c>
    </row>
    <row r="130" spans="1:8" ht="19.8" customHeight="1" x14ac:dyDescent="0.3">
      <c r="A130" s="112">
        <v>45987</v>
      </c>
      <c r="B130" s="104" t="s">
        <v>41</v>
      </c>
      <c r="C130" s="105" t="s">
        <v>347</v>
      </c>
      <c r="D130" s="104" t="s">
        <v>335</v>
      </c>
      <c r="E130" s="113">
        <v>1.8888888888888891</v>
      </c>
      <c r="F130" s="104" t="s">
        <v>43</v>
      </c>
      <c r="G130" s="106">
        <v>8</v>
      </c>
      <c r="H130" s="107" t="s">
        <v>508</v>
      </c>
    </row>
    <row r="131" spans="1:8" ht="19.8" customHeight="1" x14ac:dyDescent="0.3">
      <c r="A131" s="112">
        <v>45987</v>
      </c>
      <c r="B131" s="104" t="s">
        <v>388</v>
      </c>
      <c r="C131" s="105" t="s">
        <v>389</v>
      </c>
      <c r="D131" s="104" t="s">
        <v>335</v>
      </c>
      <c r="E131" s="113">
        <v>1.225694444444444</v>
      </c>
      <c r="F131" s="104" t="s">
        <v>390</v>
      </c>
      <c r="G131" s="106">
        <v>9</v>
      </c>
      <c r="H131" s="107" t="s">
        <v>509</v>
      </c>
    </row>
    <row r="132" spans="1:8" ht="19.8" customHeight="1" x14ac:dyDescent="0.3">
      <c r="A132" s="114">
        <v>45987</v>
      </c>
      <c r="B132" s="115" t="s">
        <v>26</v>
      </c>
      <c r="C132" s="116" t="s">
        <v>350</v>
      </c>
      <c r="D132" s="115" t="s">
        <v>335</v>
      </c>
      <c r="E132" s="117">
        <v>1.993055555555556</v>
      </c>
      <c r="F132" s="115" t="s">
        <v>28</v>
      </c>
      <c r="G132" s="118">
        <v>9</v>
      </c>
      <c r="H132" s="119" t="s">
        <v>456</v>
      </c>
    </row>
    <row r="133" spans="1:8" ht="19.8" customHeight="1" x14ac:dyDescent="0.3">
      <c r="A133" s="112">
        <v>45988</v>
      </c>
      <c r="B133" s="104" t="s">
        <v>388</v>
      </c>
      <c r="C133" s="105" t="s">
        <v>755</v>
      </c>
      <c r="D133" s="104" t="s">
        <v>754</v>
      </c>
      <c r="E133" s="113">
        <v>1.3611111111111109</v>
      </c>
      <c r="F133" s="104" t="s">
        <v>756</v>
      </c>
      <c r="G133" s="106">
        <v>9</v>
      </c>
      <c r="H133" s="107" t="s">
        <v>829</v>
      </c>
    </row>
    <row r="134" spans="1:8" ht="19.8" customHeight="1" x14ac:dyDescent="0.3">
      <c r="A134" s="112">
        <v>45988</v>
      </c>
      <c r="B134" s="104" t="s">
        <v>388</v>
      </c>
      <c r="C134" s="105" t="s">
        <v>832</v>
      </c>
      <c r="D134" s="104" t="s">
        <v>754</v>
      </c>
      <c r="E134" s="113">
        <v>1.631944444444444</v>
      </c>
      <c r="F134" s="104" t="s">
        <v>756</v>
      </c>
      <c r="G134" s="106">
        <v>9</v>
      </c>
      <c r="H134" s="107" t="s">
        <v>833</v>
      </c>
    </row>
    <row r="135" spans="1:8" ht="19.8" customHeight="1" x14ac:dyDescent="0.3">
      <c r="A135" s="112">
        <v>45988</v>
      </c>
      <c r="B135" s="104" t="s">
        <v>388</v>
      </c>
      <c r="C135" s="105" t="s">
        <v>755</v>
      </c>
      <c r="D135" s="104" t="s">
        <v>754</v>
      </c>
      <c r="E135" s="113">
        <v>1.3611111111111109</v>
      </c>
      <c r="F135" s="104" t="s">
        <v>769</v>
      </c>
      <c r="G135" s="106">
        <v>9</v>
      </c>
      <c r="H135" s="107" t="s">
        <v>830</v>
      </c>
    </row>
    <row r="136" spans="1:8" ht="19.8" customHeight="1" x14ac:dyDescent="0.3">
      <c r="A136" s="112">
        <v>45988</v>
      </c>
      <c r="B136" s="104" t="s">
        <v>388</v>
      </c>
      <c r="C136" s="105" t="s">
        <v>832</v>
      </c>
      <c r="D136" s="104" t="s">
        <v>754</v>
      </c>
      <c r="E136" s="113">
        <v>1.631944444444444</v>
      </c>
      <c r="F136" s="104" t="s">
        <v>769</v>
      </c>
      <c r="G136" s="106">
        <v>9</v>
      </c>
      <c r="H136" s="107" t="s">
        <v>834</v>
      </c>
    </row>
    <row r="137" spans="1:8" ht="19.8" customHeight="1" x14ac:dyDescent="0.3">
      <c r="A137" s="112">
        <v>45988</v>
      </c>
      <c r="B137" s="104" t="s">
        <v>388</v>
      </c>
      <c r="C137" s="105" t="s">
        <v>755</v>
      </c>
      <c r="D137" s="104" t="s">
        <v>754</v>
      </c>
      <c r="E137" s="113">
        <v>1.3611111111111109</v>
      </c>
      <c r="F137" s="104" t="s">
        <v>46</v>
      </c>
      <c r="G137" s="106">
        <v>9</v>
      </c>
      <c r="H137" s="107" t="s">
        <v>831</v>
      </c>
    </row>
    <row r="138" spans="1:8" ht="19.8" customHeight="1" x14ac:dyDescent="0.3">
      <c r="A138" s="112">
        <v>45988</v>
      </c>
      <c r="B138" s="104" t="s">
        <v>388</v>
      </c>
      <c r="C138" s="105" t="s">
        <v>832</v>
      </c>
      <c r="D138" s="104" t="s">
        <v>754</v>
      </c>
      <c r="E138" s="113">
        <v>1.631944444444444</v>
      </c>
      <c r="F138" s="104" t="s">
        <v>46</v>
      </c>
      <c r="G138" s="106">
        <v>9</v>
      </c>
      <c r="H138" s="107" t="s">
        <v>835</v>
      </c>
    </row>
    <row r="139" spans="1:8" ht="19.8" customHeight="1" x14ac:dyDescent="0.3">
      <c r="A139" s="112">
        <v>45988</v>
      </c>
      <c r="B139" s="104" t="s">
        <v>60</v>
      </c>
      <c r="C139" s="105" t="s">
        <v>758</v>
      </c>
      <c r="D139" s="104" t="s">
        <v>754</v>
      </c>
      <c r="E139" s="113">
        <v>1.4513888888888891</v>
      </c>
      <c r="F139" s="104" t="s">
        <v>65</v>
      </c>
      <c r="G139" s="106">
        <v>2</v>
      </c>
      <c r="H139" s="107" t="s">
        <v>836</v>
      </c>
    </row>
    <row r="140" spans="1:8" ht="19.8" customHeight="1" x14ac:dyDescent="0.3">
      <c r="A140" s="120">
        <v>45988</v>
      </c>
      <c r="B140" s="121" t="s">
        <v>77</v>
      </c>
      <c r="C140" s="122" t="s">
        <v>761</v>
      </c>
      <c r="D140" s="121" t="s">
        <v>754</v>
      </c>
      <c r="E140" s="123">
        <v>1.086805555555556</v>
      </c>
      <c r="F140" s="121" t="s">
        <v>79</v>
      </c>
      <c r="G140" s="121"/>
      <c r="H140" s="125" t="s">
        <v>80</v>
      </c>
    </row>
    <row r="141" spans="1:8" ht="19.8" customHeight="1" x14ac:dyDescent="0.3">
      <c r="A141" s="175"/>
      <c r="B141" s="176"/>
      <c r="C141" s="176"/>
      <c r="D141" s="176"/>
      <c r="E141" s="176"/>
      <c r="F141" s="177" t="s">
        <v>890</v>
      </c>
      <c r="G141" s="176"/>
      <c r="H141" s="178"/>
    </row>
    <row r="142" spans="1:8" ht="19.8" customHeight="1" x14ac:dyDescent="0.3">
      <c r="A142" s="112">
        <v>45988</v>
      </c>
      <c r="B142" s="104" t="s">
        <v>41</v>
      </c>
      <c r="C142" s="105" t="s">
        <v>347</v>
      </c>
      <c r="D142" s="104" t="s">
        <v>335</v>
      </c>
      <c r="E142" s="113">
        <v>1.8888888888888891</v>
      </c>
      <c r="F142" s="104" t="s">
        <v>43</v>
      </c>
      <c r="G142" s="106">
        <v>4</v>
      </c>
      <c r="H142" s="107" t="s">
        <v>508</v>
      </c>
    </row>
    <row r="143" spans="1:8" ht="19.8" customHeight="1" x14ac:dyDescent="0.3">
      <c r="A143" s="112">
        <v>45988</v>
      </c>
      <c r="B143" s="104" t="s">
        <v>41</v>
      </c>
      <c r="C143" s="105" t="s">
        <v>336</v>
      </c>
      <c r="D143" s="104" t="s">
        <v>335</v>
      </c>
      <c r="E143" s="113">
        <v>1.989583333333333</v>
      </c>
      <c r="F143" s="104" t="s">
        <v>43</v>
      </c>
      <c r="G143" s="106">
        <v>5</v>
      </c>
      <c r="H143" s="107" t="s">
        <v>508</v>
      </c>
    </row>
    <row r="144" spans="1:8" ht="19.8" customHeight="1" x14ac:dyDescent="0.3">
      <c r="A144" s="112">
        <v>45988</v>
      </c>
      <c r="B144" s="104" t="s">
        <v>41</v>
      </c>
      <c r="C144" s="105" t="s">
        <v>340</v>
      </c>
      <c r="D144" s="104" t="s">
        <v>335</v>
      </c>
      <c r="E144" s="113">
        <v>1.399305555555556</v>
      </c>
      <c r="F144" s="104" t="s">
        <v>43</v>
      </c>
      <c r="G144" s="106">
        <v>5</v>
      </c>
      <c r="H144" s="107" t="s">
        <v>143</v>
      </c>
    </row>
    <row r="145" spans="1:8" ht="19.8" customHeight="1" x14ac:dyDescent="0.3">
      <c r="A145" s="112">
        <v>45988</v>
      </c>
      <c r="B145" s="104" t="s">
        <v>41</v>
      </c>
      <c r="C145" s="105" t="s">
        <v>344</v>
      </c>
      <c r="D145" s="104" t="s">
        <v>335</v>
      </c>
      <c r="E145" s="113">
        <v>1.489583333333333</v>
      </c>
      <c r="F145" s="104" t="s">
        <v>43</v>
      </c>
      <c r="G145" s="106">
        <v>9</v>
      </c>
      <c r="H145" s="107" t="s">
        <v>143</v>
      </c>
    </row>
    <row r="146" spans="1:8" ht="19.8" customHeight="1" x14ac:dyDescent="0.3">
      <c r="A146" s="112">
        <v>45988</v>
      </c>
      <c r="B146" s="104" t="s">
        <v>77</v>
      </c>
      <c r="C146" s="105" t="s">
        <v>365</v>
      </c>
      <c r="D146" s="104" t="s">
        <v>335</v>
      </c>
      <c r="E146" s="113">
        <v>1.1875</v>
      </c>
      <c r="F146" s="104" t="s">
        <v>101</v>
      </c>
      <c r="G146" s="106">
        <v>1</v>
      </c>
      <c r="H146" s="107" t="s">
        <v>379</v>
      </c>
    </row>
    <row r="147" spans="1:8" ht="19.8" customHeight="1" x14ac:dyDescent="0.3">
      <c r="A147" s="112">
        <v>45988</v>
      </c>
      <c r="B147" s="104" t="s">
        <v>77</v>
      </c>
      <c r="C147" s="105" t="s">
        <v>370</v>
      </c>
      <c r="D147" s="104" t="s">
        <v>335</v>
      </c>
      <c r="E147" s="113">
        <v>1.0659722222222221</v>
      </c>
      <c r="F147" s="104" t="s">
        <v>101</v>
      </c>
      <c r="G147" s="106">
        <v>6</v>
      </c>
      <c r="H147" s="107" t="s">
        <v>379</v>
      </c>
    </row>
    <row r="148" spans="1:8" ht="19.8" customHeight="1" x14ac:dyDescent="0.3">
      <c r="A148" s="112">
        <v>45988</v>
      </c>
      <c r="B148" s="104" t="s">
        <v>77</v>
      </c>
      <c r="C148" s="105" t="s">
        <v>374</v>
      </c>
      <c r="D148" s="104" t="s">
        <v>335</v>
      </c>
      <c r="E148" s="113">
        <v>1.15625</v>
      </c>
      <c r="F148" s="104" t="s">
        <v>101</v>
      </c>
      <c r="G148" s="106">
        <v>5</v>
      </c>
      <c r="H148" s="107" t="s">
        <v>379</v>
      </c>
    </row>
    <row r="149" spans="1:8" ht="19.8" customHeight="1" x14ac:dyDescent="0.3">
      <c r="A149" s="112">
        <v>45988</v>
      </c>
      <c r="B149" s="104" t="s">
        <v>385</v>
      </c>
      <c r="C149" s="105" t="s">
        <v>386</v>
      </c>
      <c r="D149" s="104" t="s">
        <v>335</v>
      </c>
      <c r="E149" s="113">
        <v>1.493055555555556</v>
      </c>
      <c r="F149" s="104" t="s">
        <v>101</v>
      </c>
      <c r="G149" s="106">
        <v>9</v>
      </c>
      <c r="H149" s="107" t="s">
        <v>521</v>
      </c>
    </row>
    <row r="150" spans="1:8" ht="19.8" customHeight="1" x14ac:dyDescent="0.3">
      <c r="A150" s="112">
        <v>45988</v>
      </c>
      <c r="B150" s="104" t="s">
        <v>41</v>
      </c>
      <c r="C150" s="105" t="s">
        <v>347</v>
      </c>
      <c r="D150" s="104" t="s">
        <v>335</v>
      </c>
      <c r="E150" s="113">
        <v>1.8888888888888891</v>
      </c>
      <c r="F150" s="104" t="s">
        <v>45</v>
      </c>
      <c r="G150" s="106">
        <v>4</v>
      </c>
      <c r="H150" s="107" t="s">
        <v>478</v>
      </c>
    </row>
    <row r="151" spans="1:8" ht="19.8" customHeight="1" x14ac:dyDescent="0.3">
      <c r="A151" s="114">
        <v>45988</v>
      </c>
      <c r="B151" s="115" t="s">
        <v>41</v>
      </c>
      <c r="C151" s="116" t="s">
        <v>336</v>
      </c>
      <c r="D151" s="115" t="s">
        <v>335</v>
      </c>
      <c r="E151" s="117">
        <v>1.989583333333333</v>
      </c>
      <c r="F151" s="115" t="s">
        <v>45</v>
      </c>
      <c r="G151" s="118">
        <v>5</v>
      </c>
      <c r="H151" s="119" t="s">
        <v>478</v>
      </c>
    </row>
    <row r="152" spans="1:8" ht="19.8" customHeight="1" x14ac:dyDescent="0.3">
      <c r="A152" s="112">
        <v>45989</v>
      </c>
      <c r="B152" s="104" t="s">
        <v>388</v>
      </c>
      <c r="C152" s="105" t="s">
        <v>767</v>
      </c>
      <c r="D152" s="104" t="s">
        <v>754</v>
      </c>
      <c r="E152" s="113">
        <v>1.010416666666667</v>
      </c>
      <c r="F152" s="104" t="s">
        <v>756</v>
      </c>
      <c r="G152" s="106">
        <v>9</v>
      </c>
      <c r="H152" s="107" t="s">
        <v>838</v>
      </c>
    </row>
    <row r="153" spans="1:8" ht="19.8" customHeight="1" x14ac:dyDescent="0.3">
      <c r="A153" s="120">
        <v>45989</v>
      </c>
      <c r="B153" s="121" t="s">
        <v>77</v>
      </c>
      <c r="C153" s="122" t="s">
        <v>772</v>
      </c>
      <c r="D153" s="121" t="s">
        <v>754</v>
      </c>
      <c r="E153" s="123">
        <v>1.229166666666667</v>
      </c>
      <c r="F153" s="121" t="s">
        <v>101</v>
      </c>
      <c r="G153" s="124">
        <v>9</v>
      </c>
      <c r="H153" s="125" t="s">
        <v>366</v>
      </c>
    </row>
    <row r="154" spans="1:8" ht="19.8" customHeight="1" x14ac:dyDescent="0.3">
      <c r="A154" s="112">
        <v>45989</v>
      </c>
      <c r="B154" s="104" t="s">
        <v>388</v>
      </c>
      <c r="C154" s="105" t="s">
        <v>767</v>
      </c>
      <c r="D154" s="104" t="s">
        <v>754</v>
      </c>
      <c r="E154" s="113">
        <v>1.010416666666667</v>
      </c>
      <c r="F154" s="104" t="s">
        <v>769</v>
      </c>
      <c r="G154" s="106">
        <v>9</v>
      </c>
      <c r="H154" s="107" t="s">
        <v>839</v>
      </c>
    </row>
    <row r="155" spans="1:8" ht="19.8" customHeight="1" x14ac:dyDescent="0.3">
      <c r="A155" s="112">
        <v>45989</v>
      </c>
      <c r="B155" s="104" t="s">
        <v>388</v>
      </c>
      <c r="C155" s="105" t="s">
        <v>767</v>
      </c>
      <c r="D155" s="104" t="s">
        <v>754</v>
      </c>
      <c r="E155" s="113">
        <v>1.010416666666667</v>
      </c>
      <c r="F155" s="104" t="s">
        <v>46</v>
      </c>
      <c r="G155" s="106">
        <v>9</v>
      </c>
      <c r="H155" s="107" t="s">
        <v>840</v>
      </c>
    </row>
    <row r="156" spans="1:8" ht="19.8" customHeight="1" x14ac:dyDescent="0.3">
      <c r="A156" s="112">
        <v>45989</v>
      </c>
      <c r="B156" s="104" t="s">
        <v>60</v>
      </c>
      <c r="C156" s="105" t="s">
        <v>760</v>
      </c>
      <c r="D156" s="104" t="s">
        <v>754</v>
      </c>
      <c r="E156" s="113">
        <v>1.819444444444444</v>
      </c>
      <c r="F156" s="104" t="s">
        <v>65</v>
      </c>
      <c r="G156" s="106">
        <v>9</v>
      </c>
      <c r="H156" s="107" t="s">
        <v>842</v>
      </c>
    </row>
    <row r="157" spans="1:8" ht="19.8" customHeight="1" x14ac:dyDescent="0.3">
      <c r="A157" s="175"/>
      <c r="B157" s="176"/>
      <c r="C157" s="176"/>
      <c r="D157" s="176"/>
      <c r="E157" s="176"/>
      <c r="F157" s="177" t="s">
        <v>890</v>
      </c>
      <c r="G157" s="176"/>
      <c r="H157" s="178"/>
    </row>
    <row r="158" spans="1:8" ht="19.8" customHeight="1" x14ac:dyDescent="0.3">
      <c r="A158" s="112">
        <v>45989</v>
      </c>
      <c r="B158" s="104" t="s">
        <v>388</v>
      </c>
      <c r="C158" s="105" t="s">
        <v>389</v>
      </c>
      <c r="D158" s="104" t="s">
        <v>335</v>
      </c>
      <c r="E158" s="113">
        <v>1.225694444444444</v>
      </c>
      <c r="F158" s="104" t="s">
        <v>390</v>
      </c>
      <c r="G158" s="106">
        <v>9</v>
      </c>
      <c r="H158" s="107" t="s">
        <v>525</v>
      </c>
    </row>
    <row r="159" spans="1:8" ht="19.8" customHeight="1" x14ac:dyDescent="0.3">
      <c r="A159" s="112">
        <v>45989</v>
      </c>
      <c r="B159" s="104" t="s">
        <v>388</v>
      </c>
      <c r="C159" s="105" t="s">
        <v>438</v>
      </c>
      <c r="D159" s="104" t="s">
        <v>335</v>
      </c>
      <c r="E159" s="113">
        <v>1.8090277777777779</v>
      </c>
      <c r="F159" s="104" t="s">
        <v>390</v>
      </c>
      <c r="G159" s="106">
        <v>9</v>
      </c>
      <c r="H159" s="107" t="s">
        <v>527</v>
      </c>
    </row>
    <row r="160" spans="1:8" ht="19.8" customHeight="1" x14ac:dyDescent="0.3">
      <c r="A160" s="112">
        <v>45989</v>
      </c>
      <c r="B160" s="104" t="s">
        <v>41</v>
      </c>
      <c r="C160" s="105" t="s">
        <v>340</v>
      </c>
      <c r="D160" s="104" t="s">
        <v>335</v>
      </c>
      <c r="E160" s="113">
        <v>1.399305555555556</v>
      </c>
      <c r="F160" s="104" t="s">
        <v>43</v>
      </c>
      <c r="G160" s="106">
        <v>5</v>
      </c>
      <c r="H160" s="107" t="s">
        <v>493</v>
      </c>
    </row>
    <row r="161" spans="1:8" ht="19.8" customHeight="1" x14ac:dyDescent="0.3">
      <c r="A161" s="112">
        <v>45989</v>
      </c>
      <c r="B161" s="104" t="s">
        <v>41</v>
      </c>
      <c r="C161" s="105" t="s">
        <v>347</v>
      </c>
      <c r="D161" s="104" t="s">
        <v>335</v>
      </c>
      <c r="E161" s="113">
        <v>1.8888888888888891</v>
      </c>
      <c r="F161" s="104" t="s">
        <v>43</v>
      </c>
      <c r="G161" s="106">
        <v>10</v>
      </c>
      <c r="H161" s="107" t="s">
        <v>493</v>
      </c>
    </row>
    <row r="162" spans="1:8" ht="19.8" customHeight="1" x14ac:dyDescent="0.3">
      <c r="A162" s="112">
        <v>45989</v>
      </c>
      <c r="B162" s="104" t="s">
        <v>41</v>
      </c>
      <c r="C162" s="105" t="s">
        <v>336</v>
      </c>
      <c r="D162" s="104" t="s">
        <v>335</v>
      </c>
      <c r="E162" s="113">
        <v>1.989583333333333</v>
      </c>
      <c r="F162" s="104" t="s">
        <v>43</v>
      </c>
      <c r="G162" s="106">
        <v>13</v>
      </c>
      <c r="H162" s="107" t="s">
        <v>493</v>
      </c>
    </row>
    <row r="163" spans="1:8" ht="19.8" customHeight="1" x14ac:dyDescent="0.3">
      <c r="A163" s="112">
        <v>45989</v>
      </c>
      <c r="B163" s="104" t="s">
        <v>385</v>
      </c>
      <c r="C163" s="105" t="s">
        <v>386</v>
      </c>
      <c r="D163" s="104" t="s">
        <v>335</v>
      </c>
      <c r="E163" s="113">
        <v>1.493055555555556</v>
      </c>
      <c r="F163" s="104" t="s">
        <v>101</v>
      </c>
      <c r="G163" s="106">
        <v>9</v>
      </c>
      <c r="H163" s="107" t="s">
        <v>521</v>
      </c>
    </row>
    <row r="164" spans="1:8" ht="19.8" customHeight="1" x14ac:dyDescent="0.3">
      <c r="A164" s="112">
        <v>45989</v>
      </c>
      <c r="B164" s="104" t="s">
        <v>41</v>
      </c>
      <c r="C164" s="105" t="s">
        <v>344</v>
      </c>
      <c r="D164" s="104" t="s">
        <v>335</v>
      </c>
      <c r="E164" s="113">
        <v>1.489583333333333</v>
      </c>
      <c r="F164" s="104" t="s">
        <v>43</v>
      </c>
      <c r="G164" s="106">
        <v>4</v>
      </c>
      <c r="H164" s="107" t="s">
        <v>478</v>
      </c>
    </row>
    <row r="165" spans="1:8" ht="19.8" customHeight="1" x14ac:dyDescent="0.3">
      <c r="A165" s="112">
        <v>45989</v>
      </c>
      <c r="B165" s="104" t="s">
        <v>26</v>
      </c>
      <c r="C165" s="105" t="s">
        <v>354</v>
      </c>
      <c r="D165" s="104" t="s">
        <v>335</v>
      </c>
      <c r="E165" s="113">
        <v>1.3472222222222221</v>
      </c>
      <c r="F165" s="104" t="s">
        <v>28</v>
      </c>
      <c r="G165" s="106">
        <v>9</v>
      </c>
      <c r="H165" s="107" t="s">
        <v>47</v>
      </c>
    </row>
    <row r="166" spans="1:8" ht="19.8" customHeight="1" x14ac:dyDescent="0.3">
      <c r="A166" s="112">
        <v>45989</v>
      </c>
      <c r="B166" s="104" t="s">
        <v>26</v>
      </c>
      <c r="C166" s="105" t="s">
        <v>350</v>
      </c>
      <c r="D166" s="104" t="s">
        <v>335</v>
      </c>
      <c r="E166" s="113">
        <v>1.993055555555556</v>
      </c>
      <c r="F166" s="104" t="s">
        <v>28</v>
      </c>
      <c r="G166" s="106">
        <v>2</v>
      </c>
      <c r="H166" s="107" t="s">
        <v>47</v>
      </c>
    </row>
    <row r="167" spans="1:8" ht="19.8" customHeight="1" x14ac:dyDescent="0.3">
      <c r="A167" s="114">
        <v>45989</v>
      </c>
      <c r="B167" s="115" t="s">
        <v>26</v>
      </c>
      <c r="C167" s="116" t="s">
        <v>352</v>
      </c>
      <c r="D167" s="115" t="s">
        <v>335</v>
      </c>
      <c r="E167" s="117">
        <v>1.944444444444444</v>
      </c>
      <c r="F167" s="115" t="s">
        <v>28</v>
      </c>
      <c r="G167" s="118">
        <v>3</v>
      </c>
      <c r="H167" s="119" t="s">
        <v>47</v>
      </c>
    </row>
    <row r="168" spans="1:8" ht="19.8" customHeight="1" x14ac:dyDescent="0.3">
      <c r="A168" s="120">
        <v>45990</v>
      </c>
      <c r="B168" s="121" t="s">
        <v>77</v>
      </c>
      <c r="C168" s="122" t="s">
        <v>772</v>
      </c>
      <c r="D168" s="121" t="s">
        <v>754</v>
      </c>
      <c r="E168" s="123">
        <v>1.604166666666667</v>
      </c>
      <c r="F168" s="121" t="s">
        <v>101</v>
      </c>
      <c r="G168" s="124">
        <v>1</v>
      </c>
      <c r="H168" s="125" t="s">
        <v>567</v>
      </c>
    </row>
    <row r="169" spans="1:8" ht="19.8" customHeight="1" x14ac:dyDescent="0.3">
      <c r="A169" s="112">
        <v>45990</v>
      </c>
      <c r="B169" s="104" t="s">
        <v>41</v>
      </c>
      <c r="C169" s="105" t="s">
        <v>777</v>
      </c>
      <c r="D169" s="104" t="s">
        <v>754</v>
      </c>
      <c r="E169" s="113">
        <v>1.3611111111111109</v>
      </c>
      <c r="F169" s="104" t="s">
        <v>778</v>
      </c>
      <c r="G169" s="106">
        <v>2</v>
      </c>
      <c r="H169" s="107" t="s">
        <v>792</v>
      </c>
    </row>
    <row r="170" spans="1:8" ht="19.8" customHeight="1" x14ac:dyDescent="0.3">
      <c r="A170" s="112">
        <v>45990</v>
      </c>
      <c r="B170" s="104" t="s">
        <v>41</v>
      </c>
      <c r="C170" s="105" t="s">
        <v>777</v>
      </c>
      <c r="D170" s="104" t="s">
        <v>754</v>
      </c>
      <c r="E170" s="113">
        <v>1.3611111111111109</v>
      </c>
      <c r="F170" s="104" t="s">
        <v>756</v>
      </c>
      <c r="G170" s="106">
        <v>2</v>
      </c>
      <c r="H170" s="107" t="s">
        <v>847</v>
      </c>
    </row>
    <row r="171" spans="1:8" ht="19.8" customHeight="1" x14ac:dyDescent="0.3">
      <c r="A171" s="112">
        <v>45990</v>
      </c>
      <c r="B171" s="104" t="s">
        <v>388</v>
      </c>
      <c r="C171" s="105" t="s">
        <v>755</v>
      </c>
      <c r="D171" s="104" t="s">
        <v>754</v>
      </c>
      <c r="E171" s="113">
        <v>1.3611111111111109</v>
      </c>
      <c r="F171" s="104" t="s">
        <v>756</v>
      </c>
      <c r="G171" s="106">
        <v>9</v>
      </c>
      <c r="H171" s="107" t="s">
        <v>849</v>
      </c>
    </row>
    <row r="172" spans="1:8" ht="19.8" customHeight="1" x14ac:dyDescent="0.3">
      <c r="A172" s="112">
        <v>45990</v>
      </c>
      <c r="B172" s="104" t="s">
        <v>41</v>
      </c>
      <c r="C172" s="105" t="s">
        <v>777</v>
      </c>
      <c r="D172" s="104" t="s">
        <v>754</v>
      </c>
      <c r="E172" s="113">
        <v>1.3611111111111109</v>
      </c>
      <c r="F172" s="104" t="s">
        <v>769</v>
      </c>
      <c r="G172" s="106">
        <v>2</v>
      </c>
      <c r="H172" s="107" t="s">
        <v>848</v>
      </c>
    </row>
    <row r="173" spans="1:8" ht="19.8" customHeight="1" x14ac:dyDescent="0.3">
      <c r="A173" s="112">
        <v>45990</v>
      </c>
      <c r="B173" s="104" t="s">
        <v>388</v>
      </c>
      <c r="C173" s="105" t="s">
        <v>755</v>
      </c>
      <c r="D173" s="104" t="s">
        <v>754</v>
      </c>
      <c r="E173" s="113">
        <v>1.3611111111111109</v>
      </c>
      <c r="F173" s="104" t="s">
        <v>769</v>
      </c>
      <c r="G173" s="106">
        <v>9</v>
      </c>
      <c r="H173" s="107" t="s">
        <v>850</v>
      </c>
    </row>
    <row r="174" spans="1:8" ht="19.8" customHeight="1" x14ac:dyDescent="0.3">
      <c r="A174" s="112">
        <v>45990</v>
      </c>
      <c r="B174" s="104" t="s">
        <v>41</v>
      </c>
      <c r="C174" s="105" t="s">
        <v>777</v>
      </c>
      <c r="D174" s="104" t="s">
        <v>754</v>
      </c>
      <c r="E174" s="113">
        <v>1.3611111111111109</v>
      </c>
      <c r="F174" s="104" t="s">
        <v>782</v>
      </c>
      <c r="G174" s="106">
        <v>2</v>
      </c>
      <c r="H174" s="107" t="s">
        <v>522</v>
      </c>
    </row>
    <row r="175" spans="1:8" ht="19.8" customHeight="1" x14ac:dyDescent="0.3">
      <c r="A175" s="112">
        <v>45990</v>
      </c>
      <c r="B175" s="104" t="s">
        <v>388</v>
      </c>
      <c r="C175" s="105" t="s">
        <v>755</v>
      </c>
      <c r="D175" s="104" t="s">
        <v>754</v>
      </c>
      <c r="E175" s="113">
        <v>1.3611111111111109</v>
      </c>
      <c r="F175" s="104" t="s">
        <v>46</v>
      </c>
      <c r="G175" s="106">
        <v>9</v>
      </c>
      <c r="H175" s="107" t="s">
        <v>851</v>
      </c>
    </row>
    <row r="176" spans="1:8" ht="19.8" customHeight="1" x14ac:dyDescent="0.3">
      <c r="A176" s="112">
        <v>45990</v>
      </c>
      <c r="B176" s="104" t="s">
        <v>60</v>
      </c>
      <c r="C176" s="105" t="s">
        <v>758</v>
      </c>
      <c r="D176" s="104" t="s">
        <v>754</v>
      </c>
      <c r="E176" s="113">
        <v>1.4513888888888891</v>
      </c>
      <c r="F176" s="104" t="s">
        <v>65</v>
      </c>
      <c r="G176" s="106">
        <v>9</v>
      </c>
      <c r="H176" s="107" t="s">
        <v>842</v>
      </c>
    </row>
    <row r="177" spans="1:8" ht="19.8" customHeight="1" x14ac:dyDescent="0.3">
      <c r="A177" s="112">
        <v>45990</v>
      </c>
      <c r="B177" s="104" t="s">
        <v>60</v>
      </c>
      <c r="C177" s="105" t="s">
        <v>760</v>
      </c>
      <c r="D177" s="104" t="s">
        <v>754</v>
      </c>
      <c r="E177" s="113">
        <v>1.819444444444444</v>
      </c>
      <c r="F177" s="104" t="s">
        <v>65</v>
      </c>
      <c r="G177" s="106">
        <v>9</v>
      </c>
      <c r="H177" s="107" t="s">
        <v>842</v>
      </c>
    </row>
    <row r="178" spans="1:8" ht="19.8" customHeight="1" x14ac:dyDescent="0.3">
      <c r="A178" s="120">
        <v>45990</v>
      </c>
      <c r="B178" s="121" t="s">
        <v>77</v>
      </c>
      <c r="C178" s="122" t="s">
        <v>788</v>
      </c>
      <c r="D178" s="121" t="s">
        <v>754</v>
      </c>
      <c r="E178" s="123">
        <v>1.270833333333333</v>
      </c>
      <c r="F178" s="121" t="s">
        <v>79</v>
      </c>
      <c r="G178" s="121"/>
      <c r="H178" s="125" t="s">
        <v>80</v>
      </c>
    </row>
    <row r="179" spans="1:8" ht="19.8" customHeight="1" x14ac:dyDescent="0.3">
      <c r="A179" s="175"/>
      <c r="B179" s="176"/>
      <c r="C179" s="176"/>
      <c r="D179" s="176"/>
      <c r="E179" s="176"/>
      <c r="F179" s="177" t="s">
        <v>890</v>
      </c>
      <c r="G179" s="176"/>
      <c r="H179" s="178"/>
    </row>
    <row r="180" spans="1:8" ht="19.8" customHeight="1" x14ac:dyDescent="0.3">
      <c r="A180" s="112">
        <v>45990</v>
      </c>
      <c r="B180" s="104" t="s">
        <v>388</v>
      </c>
      <c r="C180" s="105" t="s">
        <v>462</v>
      </c>
      <c r="D180" s="104" t="s">
        <v>335</v>
      </c>
      <c r="E180" s="113">
        <v>1.055555555555556</v>
      </c>
      <c r="F180" s="104" t="s">
        <v>390</v>
      </c>
      <c r="G180" s="106">
        <v>9</v>
      </c>
      <c r="H180" s="107" t="s">
        <v>527</v>
      </c>
    </row>
    <row r="181" spans="1:8" ht="19.8" customHeight="1" x14ac:dyDescent="0.3">
      <c r="A181" s="112">
        <v>45990</v>
      </c>
      <c r="B181" s="104" t="s">
        <v>388</v>
      </c>
      <c r="C181" s="105" t="s">
        <v>389</v>
      </c>
      <c r="D181" s="104" t="s">
        <v>335</v>
      </c>
      <c r="E181" s="113">
        <v>1.1701388888888891</v>
      </c>
      <c r="F181" s="104" t="s">
        <v>390</v>
      </c>
      <c r="G181" s="106">
        <v>9</v>
      </c>
      <c r="H181" s="107" t="s">
        <v>546</v>
      </c>
    </row>
    <row r="182" spans="1:8" ht="19.8" customHeight="1" x14ac:dyDescent="0.3">
      <c r="A182" s="112">
        <v>45990</v>
      </c>
      <c r="B182" s="104" t="s">
        <v>41</v>
      </c>
      <c r="C182" s="105" t="s">
        <v>340</v>
      </c>
      <c r="D182" s="104" t="s">
        <v>335</v>
      </c>
      <c r="E182" s="113">
        <v>1.399305555555556</v>
      </c>
      <c r="F182" s="104" t="s">
        <v>43</v>
      </c>
      <c r="G182" s="106">
        <v>10</v>
      </c>
      <c r="H182" s="107" t="s">
        <v>478</v>
      </c>
    </row>
    <row r="183" spans="1:8" ht="19.8" customHeight="1" x14ac:dyDescent="0.3">
      <c r="A183" s="112">
        <v>45990</v>
      </c>
      <c r="B183" s="104" t="s">
        <v>385</v>
      </c>
      <c r="C183" s="105" t="s">
        <v>435</v>
      </c>
      <c r="D183" s="104" t="s">
        <v>335</v>
      </c>
      <c r="E183" s="113">
        <v>1.041666666666667</v>
      </c>
      <c r="F183" s="104" t="s">
        <v>101</v>
      </c>
      <c r="G183" s="106">
        <v>9</v>
      </c>
      <c r="H183" s="107" t="s">
        <v>548</v>
      </c>
    </row>
    <row r="184" spans="1:8" ht="19.8" customHeight="1" x14ac:dyDescent="0.3">
      <c r="A184" s="112">
        <v>45990</v>
      </c>
      <c r="B184" s="104" t="s">
        <v>41</v>
      </c>
      <c r="C184" s="105" t="s">
        <v>344</v>
      </c>
      <c r="D184" s="104" t="s">
        <v>335</v>
      </c>
      <c r="E184" s="113">
        <v>1.489583333333333</v>
      </c>
      <c r="F184" s="104" t="s">
        <v>43</v>
      </c>
      <c r="G184" s="106">
        <v>7</v>
      </c>
      <c r="H184" s="107" t="s">
        <v>47</v>
      </c>
    </row>
    <row r="185" spans="1:8" ht="19.8" customHeight="1" x14ac:dyDescent="0.3">
      <c r="A185" s="112">
        <v>45990</v>
      </c>
      <c r="B185" s="104" t="s">
        <v>41</v>
      </c>
      <c r="C185" s="105" t="s">
        <v>347</v>
      </c>
      <c r="D185" s="104" t="s">
        <v>335</v>
      </c>
      <c r="E185" s="113">
        <v>1.8888888888888891</v>
      </c>
      <c r="F185" s="104" t="s">
        <v>43</v>
      </c>
      <c r="G185" s="106">
        <v>8</v>
      </c>
      <c r="H185" s="107" t="s">
        <v>47</v>
      </c>
    </row>
    <row r="186" spans="1:8" ht="19.8" customHeight="1" x14ac:dyDescent="0.3">
      <c r="A186" s="112">
        <v>45990</v>
      </c>
      <c r="B186" s="104" t="s">
        <v>41</v>
      </c>
      <c r="C186" s="105" t="s">
        <v>336</v>
      </c>
      <c r="D186" s="104" t="s">
        <v>335</v>
      </c>
      <c r="E186" s="113">
        <v>1.989583333333333</v>
      </c>
      <c r="F186" s="104" t="s">
        <v>43</v>
      </c>
      <c r="G186" s="106">
        <v>10</v>
      </c>
      <c r="H186" s="107" t="s">
        <v>47</v>
      </c>
    </row>
    <row r="187" spans="1:8" ht="19.8" customHeight="1" x14ac:dyDescent="0.3">
      <c r="A187" s="112">
        <v>45990</v>
      </c>
      <c r="B187" s="104" t="s">
        <v>26</v>
      </c>
      <c r="C187" s="105" t="s">
        <v>354</v>
      </c>
      <c r="D187" s="104" t="s">
        <v>335</v>
      </c>
      <c r="E187" s="113">
        <v>1.3472222222222221</v>
      </c>
      <c r="F187" s="104" t="s">
        <v>28</v>
      </c>
      <c r="G187" s="106">
        <v>1</v>
      </c>
      <c r="H187" s="107" t="s">
        <v>47</v>
      </c>
    </row>
    <row r="188" spans="1:8" ht="19.8" customHeight="1" x14ac:dyDescent="0.3">
      <c r="A188" s="112">
        <v>45990</v>
      </c>
      <c r="B188" s="104" t="s">
        <v>388</v>
      </c>
      <c r="C188" s="105" t="s">
        <v>462</v>
      </c>
      <c r="D188" s="104" t="s">
        <v>335</v>
      </c>
      <c r="E188" s="113">
        <v>1.055555555555556</v>
      </c>
      <c r="F188" s="104" t="s">
        <v>46</v>
      </c>
      <c r="G188" s="106">
        <v>9</v>
      </c>
      <c r="H188" s="107" t="s">
        <v>528</v>
      </c>
    </row>
    <row r="189" spans="1:8" ht="19.8" customHeight="1" x14ac:dyDescent="0.3">
      <c r="A189" s="114">
        <v>45990</v>
      </c>
      <c r="B189" s="115" t="s">
        <v>41</v>
      </c>
      <c r="C189" s="116" t="s">
        <v>340</v>
      </c>
      <c r="D189" s="115" t="s">
        <v>335</v>
      </c>
      <c r="E189" s="117">
        <v>1.399305555555556</v>
      </c>
      <c r="F189" s="115" t="s">
        <v>45</v>
      </c>
      <c r="G189" s="118">
        <v>10</v>
      </c>
      <c r="H189" s="119" t="s">
        <v>532</v>
      </c>
    </row>
    <row r="190" spans="1:8" ht="19.8" customHeight="1" x14ac:dyDescent="0.3">
      <c r="A190" s="112">
        <v>45991</v>
      </c>
      <c r="B190" s="104" t="s">
        <v>388</v>
      </c>
      <c r="C190" s="105" t="s">
        <v>755</v>
      </c>
      <c r="D190" s="104" t="s">
        <v>754</v>
      </c>
      <c r="E190" s="113">
        <v>1.3611111111111109</v>
      </c>
      <c r="F190" s="104" t="s">
        <v>756</v>
      </c>
      <c r="G190" s="106">
        <v>9</v>
      </c>
      <c r="H190" s="107" t="s">
        <v>855</v>
      </c>
    </row>
    <row r="191" spans="1:8" ht="19.8" customHeight="1" x14ac:dyDescent="0.3">
      <c r="A191" s="112">
        <v>45991</v>
      </c>
      <c r="B191" s="104" t="s">
        <v>388</v>
      </c>
      <c r="C191" s="105" t="s">
        <v>755</v>
      </c>
      <c r="D191" s="104" t="s">
        <v>754</v>
      </c>
      <c r="E191" s="113">
        <v>1.3611111111111109</v>
      </c>
      <c r="F191" s="104" t="s">
        <v>769</v>
      </c>
      <c r="G191" s="106">
        <v>9</v>
      </c>
      <c r="H191" s="107" t="s">
        <v>856</v>
      </c>
    </row>
    <row r="192" spans="1:8" ht="19.8" customHeight="1" x14ac:dyDescent="0.3">
      <c r="A192" s="112">
        <v>45991</v>
      </c>
      <c r="B192" s="104" t="s">
        <v>60</v>
      </c>
      <c r="C192" s="105" t="s">
        <v>760</v>
      </c>
      <c r="D192" s="104" t="s">
        <v>754</v>
      </c>
      <c r="E192" s="113">
        <v>1.819444444444444</v>
      </c>
      <c r="F192" s="104" t="s">
        <v>65</v>
      </c>
      <c r="G192" s="106">
        <v>9</v>
      </c>
      <c r="H192" s="107" t="s">
        <v>549</v>
      </c>
    </row>
    <row r="193" spans="1:8" ht="19.8" customHeight="1" x14ac:dyDescent="0.3">
      <c r="A193" s="112">
        <v>45991</v>
      </c>
      <c r="B193" s="104" t="s">
        <v>388</v>
      </c>
      <c r="C193" s="105" t="s">
        <v>755</v>
      </c>
      <c r="D193" s="104" t="s">
        <v>754</v>
      </c>
      <c r="E193" s="113">
        <v>1.3611111111111109</v>
      </c>
      <c r="F193" s="104" t="s">
        <v>46</v>
      </c>
      <c r="G193" s="106">
        <v>9</v>
      </c>
      <c r="H193" s="107" t="s">
        <v>857</v>
      </c>
    </row>
    <row r="194" spans="1:8" ht="19.8" customHeight="1" x14ac:dyDescent="0.3">
      <c r="A194" s="120">
        <v>45991</v>
      </c>
      <c r="B194" s="121" t="s">
        <v>77</v>
      </c>
      <c r="C194" s="122" t="s">
        <v>761</v>
      </c>
      <c r="D194" s="121" t="s">
        <v>754</v>
      </c>
      <c r="E194" s="123">
        <v>1.4965277777777779</v>
      </c>
      <c r="F194" s="121" t="s">
        <v>79</v>
      </c>
      <c r="G194" s="121"/>
      <c r="H194" s="125" t="s">
        <v>80</v>
      </c>
    </row>
    <row r="195" spans="1:8" ht="19.8" customHeight="1" x14ac:dyDescent="0.3">
      <c r="A195" s="120">
        <v>45991</v>
      </c>
      <c r="B195" s="121" t="s">
        <v>77</v>
      </c>
      <c r="C195" s="122" t="s">
        <v>788</v>
      </c>
      <c r="D195" s="121" t="s">
        <v>754</v>
      </c>
      <c r="E195" s="123">
        <v>1.5798611111111109</v>
      </c>
      <c r="F195" s="121" t="s">
        <v>79</v>
      </c>
      <c r="G195" s="121"/>
      <c r="H195" s="125" t="s">
        <v>80</v>
      </c>
    </row>
    <row r="196" spans="1:8" ht="19.8" customHeight="1" x14ac:dyDescent="0.3">
      <c r="A196" s="175"/>
      <c r="B196" s="176"/>
      <c r="C196" s="176"/>
      <c r="D196" s="176"/>
      <c r="E196" s="176"/>
      <c r="F196" s="177" t="s">
        <v>890</v>
      </c>
      <c r="G196" s="176"/>
      <c r="H196" s="178"/>
    </row>
    <row r="197" spans="1:8" ht="19.8" customHeight="1" x14ac:dyDescent="0.3">
      <c r="A197" s="112">
        <v>45991</v>
      </c>
      <c r="B197" s="104" t="s">
        <v>388</v>
      </c>
      <c r="C197" s="105" t="s">
        <v>389</v>
      </c>
      <c r="D197" s="104" t="s">
        <v>335</v>
      </c>
      <c r="E197" s="113">
        <v>1.229166666666667</v>
      </c>
      <c r="F197" s="104" t="s">
        <v>390</v>
      </c>
      <c r="G197" s="106">
        <v>9</v>
      </c>
      <c r="H197" s="107" t="s">
        <v>559</v>
      </c>
    </row>
    <row r="198" spans="1:8" ht="19.8" customHeight="1" x14ac:dyDescent="0.3">
      <c r="A198" s="112">
        <v>45991</v>
      </c>
      <c r="B198" s="104" t="s">
        <v>41</v>
      </c>
      <c r="C198" s="105" t="s">
        <v>340</v>
      </c>
      <c r="D198" s="104" t="s">
        <v>335</v>
      </c>
      <c r="E198" s="113">
        <v>1.399305555555556</v>
      </c>
      <c r="F198" s="104" t="s">
        <v>43</v>
      </c>
      <c r="G198" s="106">
        <v>3</v>
      </c>
      <c r="H198" s="107" t="s">
        <v>143</v>
      </c>
    </row>
    <row r="199" spans="1:8" ht="19.8" customHeight="1" x14ac:dyDescent="0.3">
      <c r="A199" s="112">
        <v>45991</v>
      </c>
      <c r="B199" s="104" t="s">
        <v>385</v>
      </c>
      <c r="C199" s="105" t="s">
        <v>386</v>
      </c>
      <c r="D199" s="104" t="s">
        <v>335</v>
      </c>
      <c r="E199" s="113">
        <v>1.493055555555556</v>
      </c>
      <c r="F199" s="104" t="s">
        <v>101</v>
      </c>
      <c r="G199" s="106">
        <v>9</v>
      </c>
      <c r="H199" s="107" t="s">
        <v>564</v>
      </c>
    </row>
    <row r="200" spans="1:8" ht="19.8" customHeight="1" x14ac:dyDescent="0.3">
      <c r="A200" s="112">
        <v>45991</v>
      </c>
      <c r="B200" s="104" t="s">
        <v>26</v>
      </c>
      <c r="C200" s="105" t="s">
        <v>354</v>
      </c>
      <c r="D200" s="104" t="s">
        <v>335</v>
      </c>
      <c r="E200" s="113">
        <v>1.3472222222222221</v>
      </c>
      <c r="F200" s="104" t="s">
        <v>28</v>
      </c>
      <c r="G200" s="106">
        <v>8</v>
      </c>
      <c r="H200" s="107" t="s">
        <v>154</v>
      </c>
    </row>
    <row r="201" spans="1:8" ht="19.8" customHeight="1" x14ac:dyDescent="0.3">
      <c r="A201" s="112">
        <v>45991</v>
      </c>
      <c r="B201" s="104" t="s">
        <v>26</v>
      </c>
      <c r="C201" s="105" t="s">
        <v>350</v>
      </c>
      <c r="D201" s="104" t="s">
        <v>335</v>
      </c>
      <c r="E201" s="113">
        <v>1.993055555555556</v>
      </c>
      <c r="F201" s="104" t="s">
        <v>28</v>
      </c>
      <c r="G201" s="106">
        <v>1</v>
      </c>
      <c r="H201" s="107" t="s">
        <v>154</v>
      </c>
    </row>
    <row r="202" spans="1:8" ht="19.8" customHeight="1" x14ac:dyDescent="0.3">
      <c r="A202" s="112">
        <v>45991</v>
      </c>
      <c r="B202" s="104" t="s">
        <v>26</v>
      </c>
      <c r="C202" s="105" t="s">
        <v>357</v>
      </c>
      <c r="D202" s="104" t="s">
        <v>335</v>
      </c>
      <c r="E202" s="113">
        <v>1.3923611111111109</v>
      </c>
      <c r="F202" s="104" t="s">
        <v>28</v>
      </c>
      <c r="G202" s="106">
        <v>4</v>
      </c>
      <c r="H202" s="107" t="s">
        <v>154</v>
      </c>
    </row>
    <row r="203" spans="1:8" ht="19.8" customHeight="1" x14ac:dyDescent="0.3">
      <c r="A203" s="112">
        <v>45991</v>
      </c>
      <c r="B203" s="104" t="s">
        <v>77</v>
      </c>
      <c r="C203" s="105" t="s">
        <v>419</v>
      </c>
      <c r="D203" s="104" t="s">
        <v>335</v>
      </c>
      <c r="E203" s="113">
        <v>1.333333333333333</v>
      </c>
      <c r="F203" s="104" t="s">
        <v>101</v>
      </c>
      <c r="G203" s="106">
        <v>1</v>
      </c>
      <c r="H203" s="107" t="s">
        <v>379</v>
      </c>
    </row>
    <row r="204" spans="1:8" ht="19.8" customHeight="1" x14ac:dyDescent="0.3">
      <c r="A204" s="112">
        <v>45991</v>
      </c>
      <c r="B204" s="104" t="s">
        <v>385</v>
      </c>
      <c r="C204" s="105" t="s">
        <v>435</v>
      </c>
      <c r="D204" s="104" t="s">
        <v>335</v>
      </c>
      <c r="E204" s="113">
        <v>1.2048611111111109</v>
      </c>
      <c r="F204" s="104" t="s">
        <v>101</v>
      </c>
      <c r="G204" s="106">
        <v>9</v>
      </c>
      <c r="H204" s="107" t="s">
        <v>521</v>
      </c>
    </row>
    <row r="205" spans="1:8" ht="19.8" customHeight="1" x14ac:dyDescent="0.3">
      <c r="A205" s="112">
        <v>45991</v>
      </c>
      <c r="B205" s="104" t="s">
        <v>41</v>
      </c>
      <c r="C205" s="105" t="s">
        <v>344</v>
      </c>
      <c r="D205" s="104" t="s">
        <v>335</v>
      </c>
      <c r="E205" s="113">
        <v>1.489583333333333</v>
      </c>
      <c r="F205" s="104" t="s">
        <v>43</v>
      </c>
      <c r="G205" s="106">
        <v>15</v>
      </c>
      <c r="H205" s="107" t="s">
        <v>478</v>
      </c>
    </row>
    <row r="206" spans="1:8" ht="19.8" customHeight="1" x14ac:dyDescent="0.3">
      <c r="A206" s="114">
        <v>45991</v>
      </c>
      <c r="B206" s="115" t="s">
        <v>41</v>
      </c>
      <c r="C206" s="116" t="s">
        <v>347</v>
      </c>
      <c r="D206" s="115" t="s">
        <v>335</v>
      </c>
      <c r="E206" s="117">
        <v>1.8888888888888891</v>
      </c>
      <c r="F206" s="115" t="s">
        <v>43</v>
      </c>
      <c r="G206" s="118">
        <v>15</v>
      </c>
      <c r="H206" s="119" t="s">
        <v>478</v>
      </c>
    </row>
  </sheetData>
  <pageMargins left="0.75" right="0.75" top="1" bottom="1" header="0.5" footer="0.5"/>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196"/>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8.44140625" bestFit="1" customWidth="1"/>
  </cols>
  <sheetData>
    <row r="1" spans="1:92" ht="28.8" customHeight="1" x14ac:dyDescent="0.3">
      <c r="A1" s="303" t="s">
        <v>0</v>
      </c>
      <c r="B1" s="302"/>
      <c r="C1" s="302"/>
      <c r="D1" s="302"/>
      <c r="E1" s="302"/>
      <c r="F1" s="1" t="s">
        <v>891</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45980.583543588218</v>
      </c>
      <c r="H2" s="302"/>
      <c r="I2" s="302"/>
      <c r="J2" s="302"/>
      <c r="K2" s="311">
        <v>45980.583543588647</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55" t="s">
        <v>77</v>
      </c>
      <c r="B6" s="55" t="s">
        <v>892</v>
      </c>
      <c r="C6" s="56">
        <v>0.3298611111111111</v>
      </c>
      <c r="D6" s="55" t="s">
        <v>101</v>
      </c>
      <c r="E6" s="55" t="s">
        <v>139</v>
      </c>
      <c r="F6" s="55" t="s">
        <v>893</v>
      </c>
      <c r="G6" s="304"/>
      <c r="H6" s="57" t="s">
        <v>894</v>
      </c>
      <c r="I6" s="58">
        <v>0.92779999999999996</v>
      </c>
      <c r="J6" s="59">
        <v>167</v>
      </c>
      <c r="K6" s="60">
        <v>45979</v>
      </c>
      <c r="L6" s="59">
        <v>22</v>
      </c>
      <c r="M6" s="59">
        <v>0</v>
      </c>
      <c r="N6" s="59">
        <v>5</v>
      </c>
      <c r="O6" s="61" t="s">
        <v>376</v>
      </c>
      <c r="P6" s="62">
        <v>0.3298611111111111</v>
      </c>
      <c r="Q6" s="59">
        <v>180</v>
      </c>
      <c r="R6" s="63" t="s">
        <v>895</v>
      </c>
    </row>
    <row r="7" spans="1:92" ht="15" customHeight="1" x14ac:dyDescent="0.3">
      <c r="A7" s="222" t="s">
        <v>77</v>
      </c>
      <c r="B7" s="222" t="s">
        <v>896</v>
      </c>
      <c r="C7" s="223">
        <v>0.54861111111111105</v>
      </c>
      <c r="D7" s="222" t="s">
        <v>101</v>
      </c>
      <c r="E7" s="222" t="s">
        <v>353</v>
      </c>
      <c r="F7" s="222" t="s">
        <v>893</v>
      </c>
      <c r="G7" s="298"/>
      <c r="H7" s="206" t="s">
        <v>897</v>
      </c>
      <c r="I7" s="207">
        <v>0.82779999999999998</v>
      </c>
      <c r="J7" s="208">
        <v>149</v>
      </c>
      <c r="K7" s="209">
        <v>45980</v>
      </c>
      <c r="L7" s="208">
        <v>39</v>
      </c>
      <c r="M7" s="208">
        <v>2</v>
      </c>
      <c r="N7" s="208">
        <v>9</v>
      </c>
      <c r="O7" s="210" t="s">
        <v>368</v>
      </c>
      <c r="P7" s="211">
        <v>0.54861111111111105</v>
      </c>
      <c r="Q7" s="208">
        <v>180</v>
      </c>
      <c r="R7" s="212" t="s">
        <v>898</v>
      </c>
    </row>
    <row r="8" spans="1:92" ht="15" customHeight="1" x14ac:dyDescent="0.3">
      <c r="A8" s="19" t="s">
        <v>48</v>
      </c>
      <c r="B8" s="19" t="s">
        <v>899</v>
      </c>
      <c r="C8" s="20">
        <v>0.3298611111111111</v>
      </c>
      <c r="D8" s="19" t="s">
        <v>50</v>
      </c>
      <c r="E8" s="19" t="s">
        <v>83</v>
      </c>
      <c r="F8" s="19" t="s">
        <v>510</v>
      </c>
      <c r="G8" s="298"/>
      <c r="H8" s="10"/>
      <c r="I8" s="11"/>
      <c r="J8" s="11"/>
      <c r="K8" s="11"/>
      <c r="L8" s="11"/>
      <c r="M8" s="11"/>
      <c r="N8" s="11"/>
      <c r="O8" s="12"/>
      <c r="P8" s="11"/>
      <c r="Q8" s="13"/>
      <c r="R8" s="14"/>
    </row>
    <row r="9" spans="1:92" ht="18" x14ac:dyDescent="0.3">
      <c r="A9" s="312" t="s">
        <v>763</v>
      </c>
      <c r="B9" s="313"/>
      <c r="C9" s="313"/>
      <c r="D9" s="313"/>
      <c r="E9" s="313"/>
      <c r="F9" s="314"/>
      <c r="G9" s="298"/>
      <c r="H9" s="138"/>
      <c r="I9" s="138"/>
      <c r="J9" s="138"/>
      <c r="K9" s="138"/>
      <c r="L9" s="138"/>
      <c r="M9" s="138"/>
      <c r="N9" s="138"/>
      <c r="O9" s="139"/>
      <c r="P9" s="138"/>
      <c r="Q9" s="99"/>
      <c r="R9" s="99"/>
    </row>
    <row r="10" spans="1:92" ht="15" customHeight="1" x14ac:dyDescent="0.3">
      <c r="A10" s="17" t="s">
        <v>41</v>
      </c>
      <c r="B10" s="17" t="s">
        <v>336</v>
      </c>
      <c r="C10" s="18" t="s">
        <v>745</v>
      </c>
      <c r="D10" s="17" t="s">
        <v>337</v>
      </c>
      <c r="E10" s="17" t="s">
        <v>260</v>
      </c>
      <c r="F10" s="17" t="s">
        <v>338</v>
      </c>
      <c r="G10" s="298"/>
      <c r="H10" s="138"/>
      <c r="I10" s="138"/>
      <c r="J10" s="138"/>
      <c r="K10" s="138"/>
      <c r="L10" s="138"/>
      <c r="M10" s="138"/>
      <c r="N10" s="138"/>
      <c r="O10" s="139"/>
      <c r="P10" s="138"/>
      <c r="Q10" s="99"/>
      <c r="R10" s="99"/>
    </row>
    <row r="11" spans="1:92" ht="15" customHeight="1" x14ac:dyDescent="0.3">
      <c r="A11" s="17" t="s">
        <v>41</v>
      </c>
      <c r="B11" s="17" t="s">
        <v>336</v>
      </c>
      <c r="C11" s="18" t="s">
        <v>745</v>
      </c>
      <c r="D11" s="17" t="s">
        <v>43</v>
      </c>
      <c r="E11" s="17" t="s">
        <v>260</v>
      </c>
      <c r="F11" s="17" t="s">
        <v>338</v>
      </c>
      <c r="G11" s="298"/>
      <c r="H11" s="138"/>
      <c r="I11" s="138"/>
      <c r="J11" s="138"/>
      <c r="K11" s="138"/>
      <c r="L11" s="138"/>
      <c r="M11" s="138"/>
      <c r="N11" s="138"/>
      <c r="O11" s="139"/>
      <c r="P11" s="138"/>
      <c r="Q11" s="99"/>
      <c r="R11" s="99"/>
    </row>
    <row r="12" spans="1:92" ht="15" customHeight="1" x14ac:dyDescent="0.3">
      <c r="A12" s="17" t="s">
        <v>41</v>
      </c>
      <c r="B12" s="17" t="s">
        <v>340</v>
      </c>
      <c r="C12" s="18" t="s">
        <v>746</v>
      </c>
      <c r="D12" s="17" t="s">
        <v>337</v>
      </c>
      <c r="E12" s="17" t="s">
        <v>764</v>
      </c>
      <c r="F12" s="17" t="s">
        <v>342</v>
      </c>
      <c r="G12" s="298"/>
      <c r="H12" s="138"/>
      <c r="I12" s="138"/>
      <c r="J12" s="138"/>
      <c r="K12" s="138"/>
      <c r="L12" s="138"/>
      <c r="M12" s="138"/>
      <c r="N12" s="138"/>
      <c r="O12" s="139"/>
      <c r="P12" s="138"/>
      <c r="Q12" s="99"/>
      <c r="R12" s="99"/>
    </row>
    <row r="13" spans="1:92" ht="15" customHeight="1" x14ac:dyDescent="0.3">
      <c r="A13" s="17" t="s">
        <v>41</v>
      </c>
      <c r="B13" s="17" t="s">
        <v>340</v>
      </c>
      <c r="C13" s="18" t="s">
        <v>746</v>
      </c>
      <c r="D13" s="17" t="s">
        <v>43</v>
      </c>
      <c r="E13" s="17" t="s">
        <v>764</v>
      </c>
      <c r="F13" s="17" t="s">
        <v>342</v>
      </c>
      <c r="G13" s="298"/>
      <c r="H13" s="138"/>
      <c r="I13" s="138"/>
      <c r="J13" s="138"/>
      <c r="K13" s="138"/>
      <c r="L13" s="138"/>
      <c r="M13" s="138"/>
      <c r="N13" s="138"/>
      <c r="O13" s="139"/>
      <c r="P13" s="138"/>
      <c r="Q13" s="99"/>
      <c r="R13" s="99"/>
    </row>
    <row r="14" spans="1:92" ht="15" customHeight="1" x14ac:dyDescent="0.3">
      <c r="A14" s="17" t="s">
        <v>41</v>
      </c>
      <c r="B14" s="17" t="s">
        <v>344</v>
      </c>
      <c r="C14" s="18" t="s">
        <v>747</v>
      </c>
      <c r="D14" s="17" t="s">
        <v>337</v>
      </c>
      <c r="E14" s="17" t="s">
        <v>765</v>
      </c>
      <c r="F14" s="17" t="s">
        <v>342</v>
      </c>
      <c r="G14" s="298"/>
      <c r="H14" s="138"/>
      <c r="I14" s="138"/>
      <c r="J14" s="138"/>
      <c r="K14" s="138"/>
      <c r="L14" s="138"/>
      <c r="M14" s="138"/>
      <c r="N14" s="138"/>
      <c r="O14" s="139"/>
      <c r="P14" s="138"/>
      <c r="Q14" s="99"/>
      <c r="R14" s="99"/>
    </row>
    <row r="15" spans="1:92" ht="15" customHeight="1" x14ac:dyDescent="0.3">
      <c r="A15" s="17" t="s">
        <v>41</v>
      </c>
      <c r="B15" s="17" t="s">
        <v>344</v>
      </c>
      <c r="C15" s="18" t="s">
        <v>747</v>
      </c>
      <c r="D15" s="17" t="s">
        <v>43</v>
      </c>
      <c r="E15" s="17" t="s">
        <v>765</v>
      </c>
      <c r="F15" s="17" t="s">
        <v>342</v>
      </c>
      <c r="G15" s="298"/>
      <c r="H15" s="138"/>
      <c r="I15" s="138"/>
      <c r="J15" s="138"/>
      <c r="K15" s="138"/>
      <c r="L15" s="138"/>
      <c r="M15" s="138"/>
      <c r="N15" s="138"/>
      <c r="O15" s="139"/>
      <c r="P15" s="138"/>
      <c r="Q15" s="99"/>
      <c r="R15" s="99"/>
    </row>
    <row r="16" spans="1:92" ht="15" customHeight="1" x14ac:dyDescent="0.3">
      <c r="A16" s="17" t="s">
        <v>41</v>
      </c>
      <c r="B16" s="17" t="s">
        <v>347</v>
      </c>
      <c r="C16" s="18" t="s">
        <v>748</v>
      </c>
      <c r="D16" s="17" t="s">
        <v>337</v>
      </c>
      <c r="E16" s="17" t="s">
        <v>766</v>
      </c>
      <c r="F16" s="17" t="s">
        <v>342</v>
      </c>
      <c r="G16" s="298"/>
      <c r="H16" s="138"/>
      <c r="I16" s="138"/>
      <c r="J16" s="138"/>
      <c r="K16" s="138"/>
      <c r="L16" s="138"/>
      <c r="M16" s="138"/>
      <c r="N16" s="138"/>
      <c r="O16" s="139"/>
      <c r="P16" s="138"/>
      <c r="Q16" s="99"/>
      <c r="R16" s="99"/>
    </row>
    <row r="17" spans="1:18" ht="15" customHeight="1" x14ac:dyDescent="0.3">
      <c r="A17" s="17" t="s">
        <v>41</v>
      </c>
      <c r="B17" s="17" t="s">
        <v>347</v>
      </c>
      <c r="C17" s="18" t="s">
        <v>748</v>
      </c>
      <c r="D17" s="17" t="s">
        <v>43</v>
      </c>
      <c r="E17" s="17" t="s">
        <v>766</v>
      </c>
      <c r="F17" s="17" t="s">
        <v>342</v>
      </c>
      <c r="G17" s="298"/>
      <c r="H17" s="138"/>
      <c r="I17" s="138"/>
      <c r="J17" s="138"/>
      <c r="K17" s="138"/>
      <c r="L17" s="138"/>
      <c r="M17" s="138"/>
      <c r="N17" s="138"/>
      <c r="O17" s="139"/>
      <c r="P17" s="138"/>
      <c r="Q17" s="99"/>
      <c r="R17" s="99"/>
    </row>
    <row r="18" spans="1:18" ht="15" customHeight="1" x14ac:dyDescent="0.3">
      <c r="A18" s="17" t="s">
        <v>26</v>
      </c>
      <c r="B18" s="17" t="s">
        <v>350</v>
      </c>
      <c r="C18" s="18" t="s">
        <v>749</v>
      </c>
      <c r="D18" s="17" t="s">
        <v>351</v>
      </c>
      <c r="E18" s="17" t="s">
        <v>254</v>
      </c>
      <c r="F18" s="17" t="s">
        <v>93</v>
      </c>
      <c r="G18" s="298"/>
      <c r="H18" s="138"/>
      <c r="I18" s="138"/>
      <c r="J18" s="138"/>
      <c r="K18" s="138"/>
      <c r="L18" s="138"/>
      <c r="M18" s="138"/>
      <c r="N18" s="138"/>
      <c r="O18" s="139"/>
      <c r="P18" s="138"/>
      <c r="Q18" s="99"/>
      <c r="R18" s="99"/>
    </row>
    <row r="19" spans="1:18" ht="15" customHeight="1" thickBot="1" x14ac:dyDescent="0.35">
      <c r="A19" s="39" t="s">
        <v>26</v>
      </c>
      <c r="B19" s="39" t="s">
        <v>350</v>
      </c>
      <c r="C19" s="40" t="s">
        <v>749</v>
      </c>
      <c r="D19" s="39" t="s">
        <v>28</v>
      </c>
      <c r="E19" s="39" t="s">
        <v>254</v>
      </c>
      <c r="F19" s="39" t="s">
        <v>93</v>
      </c>
      <c r="G19" s="299"/>
      <c r="H19" s="140"/>
      <c r="I19" s="140"/>
      <c r="J19" s="140"/>
      <c r="K19" s="140"/>
      <c r="L19" s="140"/>
      <c r="M19" s="140"/>
      <c r="N19" s="140"/>
      <c r="O19" s="141"/>
      <c r="P19" s="140"/>
      <c r="Q19" s="142"/>
      <c r="R19" s="142"/>
    </row>
    <row r="20" spans="1:18" ht="17.399999999999999" customHeight="1" thickBot="1" x14ac:dyDescent="0.35">
      <c r="A20" s="329"/>
      <c r="B20" s="330"/>
      <c r="C20" s="330"/>
      <c r="D20" s="330"/>
      <c r="E20" s="330"/>
      <c r="F20" s="330"/>
      <c r="G20" s="330"/>
      <c r="H20" s="330"/>
      <c r="I20" s="330"/>
      <c r="J20" s="330"/>
      <c r="K20" s="330"/>
      <c r="L20" s="330"/>
      <c r="M20" s="330"/>
      <c r="N20" s="330"/>
      <c r="O20" s="330"/>
      <c r="P20" s="330"/>
      <c r="Q20" s="330"/>
      <c r="R20" s="331"/>
    </row>
    <row r="21" spans="1:18" ht="22.05" customHeight="1" thickTop="1" thickBot="1" x14ac:dyDescent="0.35">
      <c r="A21" s="300" t="s">
        <v>6</v>
      </c>
      <c r="B21" s="295"/>
      <c r="C21" s="295"/>
      <c r="D21" s="295"/>
      <c r="E21" s="295"/>
      <c r="F21" s="296"/>
      <c r="G21" s="31">
        <v>45982</v>
      </c>
      <c r="H21" s="294" t="s">
        <v>7</v>
      </c>
      <c r="I21" s="295"/>
      <c r="J21" s="295"/>
      <c r="K21" s="295"/>
      <c r="L21" s="295"/>
      <c r="M21" s="295"/>
      <c r="N21" s="295"/>
      <c r="O21" s="295"/>
      <c r="P21" s="295"/>
      <c r="Q21" s="295"/>
      <c r="R21" s="296"/>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15" customHeight="1" x14ac:dyDescent="0.3">
      <c r="A23" s="164" t="s">
        <v>77</v>
      </c>
      <c r="B23" s="164" t="s">
        <v>900</v>
      </c>
      <c r="C23" s="165">
        <v>0.13541666666666671</v>
      </c>
      <c r="D23" s="164" t="s">
        <v>101</v>
      </c>
      <c r="E23" s="164" t="s">
        <v>63</v>
      </c>
      <c r="F23" s="164" t="s">
        <v>901</v>
      </c>
      <c r="G23" s="304"/>
      <c r="H23" s="167" t="s">
        <v>902</v>
      </c>
      <c r="I23" s="215">
        <v>0.7278</v>
      </c>
      <c r="J23" s="169">
        <v>131</v>
      </c>
      <c r="K23" s="170">
        <v>45980</v>
      </c>
      <c r="L23" s="169">
        <v>102</v>
      </c>
      <c r="M23" s="169">
        <v>0</v>
      </c>
      <c r="N23" s="169">
        <v>4</v>
      </c>
      <c r="O23" s="171" t="s">
        <v>381</v>
      </c>
      <c r="P23" s="172">
        <v>0.13541666666666671</v>
      </c>
      <c r="Q23" s="169">
        <v>180</v>
      </c>
      <c r="R23" s="173" t="s">
        <v>903</v>
      </c>
    </row>
    <row r="24" spans="1:18" ht="18" x14ac:dyDescent="0.3">
      <c r="A24" s="312" t="s">
        <v>763</v>
      </c>
      <c r="B24" s="313"/>
      <c r="C24" s="313"/>
      <c r="D24" s="313"/>
      <c r="E24" s="313"/>
      <c r="F24" s="314"/>
      <c r="G24" s="298"/>
      <c r="H24" s="138"/>
      <c r="I24" s="138"/>
      <c r="J24" s="138"/>
      <c r="K24" s="138"/>
      <c r="L24" s="138"/>
      <c r="M24" s="138"/>
      <c r="N24" s="138"/>
      <c r="O24" s="139"/>
      <c r="P24" s="138"/>
      <c r="Q24" s="99"/>
      <c r="R24" s="99"/>
    </row>
    <row r="25" spans="1:18" ht="15" customHeight="1" x14ac:dyDescent="0.3">
      <c r="A25" s="17" t="s">
        <v>77</v>
      </c>
      <c r="B25" s="17" t="s">
        <v>361</v>
      </c>
      <c r="C25" s="18" t="s">
        <v>615</v>
      </c>
      <c r="D25" s="17" t="s">
        <v>101</v>
      </c>
      <c r="E25" s="17" t="s">
        <v>260</v>
      </c>
      <c r="F25" s="17" t="s">
        <v>416</v>
      </c>
      <c r="G25" s="298"/>
      <c r="H25" s="138"/>
      <c r="I25" s="138"/>
      <c r="J25" s="138"/>
      <c r="K25" s="138"/>
      <c r="L25" s="138"/>
      <c r="M25" s="138"/>
      <c r="N25" s="138"/>
      <c r="O25" s="139"/>
      <c r="P25" s="138"/>
      <c r="Q25" s="99"/>
      <c r="R25" s="99"/>
    </row>
    <row r="26" spans="1:18" ht="15" customHeight="1" x14ac:dyDescent="0.3">
      <c r="A26" s="17" t="s">
        <v>26</v>
      </c>
      <c r="B26" s="17" t="s">
        <v>358</v>
      </c>
      <c r="C26" s="18" t="s">
        <v>748</v>
      </c>
      <c r="D26" s="17" t="s">
        <v>28</v>
      </c>
      <c r="E26" s="17" t="s">
        <v>259</v>
      </c>
      <c r="F26" s="17" t="s">
        <v>93</v>
      </c>
      <c r="G26" s="298"/>
      <c r="H26" s="138"/>
      <c r="I26" s="138"/>
      <c r="J26" s="138"/>
      <c r="K26" s="138"/>
      <c r="L26" s="138"/>
      <c r="M26" s="138"/>
      <c r="N26" s="138"/>
      <c r="O26" s="139"/>
      <c r="P26" s="138"/>
      <c r="Q26" s="99"/>
      <c r="R26" s="99"/>
    </row>
    <row r="27" spans="1:18" ht="15" customHeight="1" x14ac:dyDescent="0.3">
      <c r="A27" s="17" t="s">
        <v>41</v>
      </c>
      <c r="B27" s="17" t="s">
        <v>340</v>
      </c>
      <c r="C27" s="18" t="s">
        <v>746</v>
      </c>
      <c r="D27" s="17" t="s">
        <v>43</v>
      </c>
      <c r="E27" s="17" t="s">
        <v>766</v>
      </c>
      <c r="F27" s="17" t="s">
        <v>431</v>
      </c>
      <c r="G27" s="298"/>
      <c r="H27" s="138"/>
      <c r="I27" s="138"/>
      <c r="J27" s="138"/>
      <c r="K27" s="138"/>
      <c r="L27" s="138"/>
      <c r="M27" s="138"/>
      <c r="N27" s="138"/>
      <c r="O27" s="139"/>
      <c r="P27" s="138"/>
      <c r="Q27" s="99"/>
      <c r="R27" s="99"/>
    </row>
    <row r="28" spans="1:18" ht="15" customHeight="1" x14ac:dyDescent="0.3">
      <c r="A28" s="17" t="s">
        <v>41</v>
      </c>
      <c r="B28" s="17" t="s">
        <v>344</v>
      </c>
      <c r="C28" s="18" t="s">
        <v>747</v>
      </c>
      <c r="D28" s="17" t="s">
        <v>43</v>
      </c>
      <c r="E28" s="17" t="s">
        <v>774</v>
      </c>
      <c r="F28" s="17" t="s">
        <v>431</v>
      </c>
      <c r="G28" s="298"/>
      <c r="H28" s="138"/>
      <c r="I28" s="138"/>
      <c r="J28" s="138"/>
      <c r="K28" s="138"/>
      <c r="L28" s="138"/>
      <c r="M28" s="138"/>
      <c r="N28" s="138"/>
      <c r="O28" s="139"/>
      <c r="P28" s="138"/>
      <c r="Q28" s="99"/>
      <c r="R28" s="99"/>
    </row>
    <row r="29" spans="1:18" ht="15" customHeight="1" x14ac:dyDescent="0.3">
      <c r="A29" s="17" t="s">
        <v>41</v>
      </c>
      <c r="B29" s="17" t="s">
        <v>347</v>
      </c>
      <c r="C29" s="18" t="s">
        <v>748</v>
      </c>
      <c r="D29" s="17" t="s">
        <v>43</v>
      </c>
      <c r="E29" s="17" t="s">
        <v>766</v>
      </c>
      <c r="F29" s="17" t="s">
        <v>431</v>
      </c>
      <c r="G29" s="298"/>
      <c r="H29" s="138"/>
      <c r="I29" s="138"/>
      <c r="J29" s="138"/>
      <c r="K29" s="138"/>
      <c r="L29" s="138"/>
      <c r="M29" s="138"/>
      <c r="N29" s="138"/>
      <c r="O29" s="139"/>
      <c r="P29" s="138"/>
      <c r="Q29" s="99"/>
      <c r="R29" s="99"/>
    </row>
    <row r="30" spans="1:18" ht="15" customHeight="1" x14ac:dyDescent="0.3">
      <c r="A30" s="17" t="s">
        <v>41</v>
      </c>
      <c r="B30" s="17" t="s">
        <v>336</v>
      </c>
      <c r="C30" s="18" t="s">
        <v>745</v>
      </c>
      <c r="D30" s="17" t="s">
        <v>43</v>
      </c>
      <c r="E30" s="17" t="s">
        <v>774</v>
      </c>
      <c r="F30" s="17" t="s">
        <v>431</v>
      </c>
      <c r="G30" s="298"/>
      <c r="H30" s="138"/>
      <c r="I30" s="138"/>
      <c r="J30" s="138"/>
      <c r="K30" s="138"/>
      <c r="L30" s="138"/>
      <c r="M30" s="138"/>
      <c r="N30" s="138"/>
      <c r="O30" s="139"/>
      <c r="P30" s="138"/>
      <c r="Q30" s="99"/>
      <c r="R30" s="99"/>
    </row>
    <row r="31" spans="1:18" ht="15" customHeight="1" x14ac:dyDescent="0.3">
      <c r="A31" s="17" t="s">
        <v>385</v>
      </c>
      <c r="B31" s="17" t="s">
        <v>386</v>
      </c>
      <c r="C31" s="18" t="s">
        <v>775</v>
      </c>
      <c r="D31" s="17" t="s">
        <v>101</v>
      </c>
      <c r="E31" s="17" t="s">
        <v>303</v>
      </c>
      <c r="F31" s="17" t="s">
        <v>434</v>
      </c>
      <c r="G31" s="298"/>
      <c r="H31" s="138"/>
      <c r="I31" s="138"/>
      <c r="J31" s="138"/>
      <c r="K31" s="138"/>
      <c r="L31" s="138"/>
      <c r="M31" s="138"/>
      <c r="N31" s="138"/>
      <c r="O31" s="139"/>
      <c r="P31" s="138"/>
      <c r="Q31" s="99"/>
      <c r="R31" s="99"/>
    </row>
    <row r="32" spans="1:18" ht="15" customHeight="1" x14ac:dyDescent="0.3">
      <c r="A32" s="17" t="s">
        <v>385</v>
      </c>
      <c r="B32" s="17" t="s">
        <v>435</v>
      </c>
      <c r="C32" s="18" t="s">
        <v>776</v>
      </c>
      <c r="D32" s="17" t="s">
        <v>101</v>
      </c>
      <c r="E32" s="17" t="s">
        <v>256</v>
      </c>
      <c r="F32" s="17" t="s">
        <v>434</v>
      </c>
      <c r="G32" s="298"/>
      <c r="H32" s="138"/>
      <c r="I32" s="138"/>
      <c r="J32" s="138"/>
      <c r="K32" s="138"/>
      <c r="L32" s="138"/>
      <c r="M32" s="138"/>
      <c r="N32" s="138"/>
      <c r="O32" s="139"/>
      <c r="P32" s="138"/>
      <c r="Q32" s="99"/>
      <c r="R32" s="99"/>
    </row>
    <row r="33" spans="1:18" ht="15" customHeight="1" x14ac:dyDescent="0.3">
      <c r="A33" s="17" t="s">
        <v>26</v>
      </c>
      <c r="B33" s="17" t="s">
        <v>354</v>
      </c>
      <c r="C33" s="18" t="s">
        <v>751</v>
      </c>
      <c r="D33" s="17" t="s">
        <v>28</v>
      </c>
      <c r="E33" s="17" t="s">
        <v>275</v>
      </c>
      <c r="F33" s="17" t="s">
        <v>44</v>
      </c>
      <c r="G33" s="298"/>
      <c r="H33" s="138"/>
      <c r="I33" s="138"/>
      <c r="J33" s="138"/>
      <c r="K33" s="138"/>
      <c r="L33" s="138"/>
      <c r="M33" s="138"/>
      <c r="N33" s="138"/>
      <c r="O33" s="139"/>
      <c r="P33" s="138"/>
      <c r="Q33" s="99"/>
      <c r="R33" s="99"/>
    </row>
    <row r="34" spans="1:18" ht="15" customHeight="1" thickBot="1" x14ac:dyDescent="0.35">
      <c r="A34" s="39" t="s">
        <v>26</v>
      </c>
      <c r="B34" s="39" t="s">
        <v>350</v>
      </c>
      <c r="C34" s="40" t="s">
        <v>749</v>
      </c>
      <c r="D34" s="39" t="s">
        <v>28</v>
      </c>
      <c r="E34" s="39" t="s">
        <v>259</v>
      </c>
      <c r="F34" s="39" t="s">
        <v>44</v>
      </c>
      <c r="G34" s="299"/>
      <c r="H34" s="140"/>
      <c r="I34" s="140"/>
      <c r="J34" s="140"/>
      <c r="K34" s="140"/>
      <c r="L34" s="140"/>
      <c r="M34" s="140"/>
      <c r="N34" s="140"/>
      <c r="O34" s="141"/>
      <c r="P34" s="140"/>
      <c r="Q34" s="142"/>
      <c r="R34" s="142"/>
    </row>
    <row r="35" spans="1:18" ht="17.399999999999999" customHeight="1" thickBot="1" x14ac:dyDescent="0.35">
      <c r="A35" s="329"/>
      <c r="B35" s="330"/>
      <c r="C35" s="330"/>
      <c r="D35" s="330"/>
      <c r="E35" s="330"/>
      <c r="F35" s="330"/>
      <c r="G35" s="330"/>
      <c r="H35" s="330"/>
      <c r="I35" s="330"/>
      <c r="J35" s="330"/>
      <c r="K35" s="330"/>
      <c r="L35" s="330"/>
      <c r="M35" s="330"/>
      <c r="N35" s="330"/>
      <c r="O35" s="330"/>
      <c r="P35" s="330"/>
      <c r="Q35" s="330"/>
      <c r="R35" s="331"/>
    </row>
    <row r="36" spans="1:18" ht="22.05" customHeight="1" thickTop="1" thickBot="1" x14ac:dyDescent="0.35">
      <c r="A36" s="300" t="s">
        <v>6</v>
      </c>
      <c r="B36" s="295"/>
      <c r="C36" s="295"/>
      <c r="D36" s="295"/>
      <c r="E36" s="295"/>
      <c r="F36" s="296"/>
      <c r="G36" s="31">
        <v>45983</v>
      </c>
      <c r="H36" s="294" t="s">
        <v>7</v>
      </c>
      <c r="I36" s="295"/>
      <c r="J36" s="295"/>
      <c r="K36" s="295"/>
      <c r="L36" s="295"/>
      <c r="M36" s="295"/>
      <c r="N36" s="295"/>
      <c r="O36" s="295"/>
      <c r="P36" s="295"/>
      <c r="Q36" s="295"/>
      <c r="R36" s="296"/>
    </row>
    <row r="37" spans="1:18" ht="24" customHeight="1" x14ac:dyDescent="0.3">
      <c r="A37" s="32" t="s">
        <v>8</v>
      </c>
      <c r="B37" s="32" t="s">
        <v>9</v>
      </c>
      <c r="C37" s="33" t="s">
        <v>10</v>
      </c>
      <c r="D37" s="32" t="s">
        <v>11</v>
      </c>
      <c r="E37" s="32" t="s">
        <v>12</v>
      </c>
      <c r="F37" s="34" t="s">
        <v>13</v>
      </c>
      <c r="G37" s="35" t="s">
        <v>14</v>
      </c>
      <c r="H37" s="32" t="s">
        <v>15</v>
      </c>
      <c r="I37" s="36" t="s">
        <v>16</v>
      </c>
      <c r="J37" s="37" t="s">
        <v>17</v>
      </c>
      <c r="K37" s="38" t="s">
        <v>18</v>
      </c>
      <c r="L37" s="37" t="s">
        <v>19</v>
      </c>
      <c r="M37" s="37" t="s">
        <v>20</v>
      </c>
      <c r="N37" s="37" t="s">
        <v>21</v>
      </c>
      <c r="O37" s="32" t="s">
        <v>22</v>
      </c>
      <c r="P37" s="33" t="s">
        <v>23</v>
      </c>
      <c r="Q37" s="37" t="s">
        <v>24</v>
      </c>
      <c r="R37" s="32" t="s">
        <v>25</v>
      </c>
    </row>
    <row r="38" spans="1:18" ht="15" customHeight="1" x14ac:dyDescent="0.3">
      <c r="A38" s="164" t="s">
        <v>77</v>
      </c>
      <c r="B38" s="164" t="s">
        <v>892</v>
      </c>
      <c r="C38" s="165">
        <v>0.30208333333333331</v>
      </c>
      <c r="D38" s="164" t="s">
        <v>101</v>
      </c>
      <c r="E38" s="164" t="s">
        <v>139</v>
      </c>
      <c r="F38" s="164" t="s">
        <v>904</v>
      </c>
      <c r="G38" s="304"/>
      <c r="H38" s="167" t="s">
        <v>894</v>
      </c>
      <c r="I38" s="168">
        <v>0.88890000000000002</v>
      </c>
      <c r="J38" s="169">
        <v>160</v>
      </c>
      <c r="K38" s="170">
        <v>45980</v>
      </c>
      <c r="L38" s="169">
        <v>37</v>
      </c>
      <c r="M38" s="169">
        <v>2</v>
      </c>
      <c r="N38" s="169">
        <v>5</v>
      </c>
      <c r="O38" s="171" t="s">
        <v>313</v>
      </c>
      <c r="P38" s="172">
        <v>0.30208333333333331</v>
      </c>
      <c r="Q38" s="169">
        <v>180</v>
      </c>
      <c r="R38" s="173" t="s">
        <v>905</v>
      </c>
    </row>
    <row r="39" spans="1:18" ht="15" customHeight="1" x14ac:dyDescent="0.3">
      <c r="A39" s="191" t="s">
        <v>77</v>
      </c>
      <c r="B39" s="191" t="s">
        <v>897</v>
      </c>
      <c r="C39" s="192">
        <v>0.52777777777777779</v>
      </c>
      <c r="D39" s="191" t="s">
        <v>79</v>
      </c>
      <c r="E39" s="228"/>
      <c r="F39" s="191" t="s">
        <v>80</v>
      </c>
      <c r="G39" s="298"/>
      <c r="H39" s="147" t="s">
        <v>897</v>
      </c>
      <c r="I39" s="148">
        <v>0.99439999999999995</v>
      </c>
      <c r="J39" s="149">
        <v>179</v>
      </c>
      <c r="K39" s="150">
        <v>45980</v>
      </c>
      <c r="L39" s="149">
        <v>30</v>
      </c>
      <c r="M39" s="149">
        <v>2</v>
      </c>
      <c r="N39" s="149">
        <v>6</v>
      </c>
      <c r="O39" s="151" t="s">
        <v>81</v>
      </c>
      <c r="P39" s="152">
        <v>0.52777777777777779</v>
      </c>
      <c r="Q39" s="149">
        <v>180</v>
      </c>
      <c r="R39" s="153" t="s">
        <v>906</v>
      </c>
    </row>
    <row r="40" spans="1:18" ht="15" customHeight="1" x14ac:dyDescent="0.3">
      <c r="A40" s="19" t="s">
        <v>48</v>
      </c>
      <c r="B40" s="19" t="s">
        <v>899</v>
      </c>
      <c r="C40" s="20">
        <v>0.30208333333333331</v>
      </c>
      <c r="D40" s="19" t="s">
        <v>50</v>
      </c>
      <c r="E40" s="19" t="s">
        <v>83</v>
      </c>
      <c r="F40" s="19" t="s">
        <v>907</v>
      </c>
      <c r="G40" s="298"/>
      <c r="H40" s="10"/>
      <c r="I40" s="11"/>
      <c r="J40" s="11"/>
      <c r="K40" s="11"/>
      <c r="L40" s="11"/>
      <c r="M40" s="11"/>
      <c r="N40" s="11"/>
      <c r="O40" s="12"/>
      <c r="P40" s="11"/>
      <c r="Q40" s="13"/>
      <c r="R40" s="14"/>
    </row>
    <row r="41" spans="1:18" ht="18" x14ac:dyDescent="0.3">
      <c r="A41" s="312" t="s">
        <v>763</v>
      </c>
      <c r="B41" s="313"/>
      <c r="C41" s="313"/>
      <c r="D41" s="313"/>
      <c r="E41" s="313"/>
      <c r="F41" s="314"/>
      <c r="G41" s="298"/>
      <c r="H41" s="138"/>
      <c r="I41" s="138"/>
      <c r="J41" s="138"/>
      <c r="K41" s="138"/>
      <c r="L41" s="138"/>
      <c r="M41" s="138"/>
      <c r="N41" s="138"/>
      <c r="O41" s="139"/>
      <c r="P41" s="138"/>
      <c r="Q41" s="99"/>
      <c r="R41" s="99"/>
    </row>
    <row r="42" spans="1:18" ht="15" customHeight="1" x14ac:dyDescent="0.3">
      <c r="A42" s="17" t="s">
        <v>77</v>
      </c>
      <c r="B42" s="17" t="s">
        <v>370</v>
      </c>
      <c r="C42" s="18" t="s">
        <v>626</v>
      </c>
      <c r="D42" s="17" t="s">
        <v>101</v>
      </c>
      <c r="E42" s="17" t="s">
        <v>260</v>
      </c>
      <c r="F42" s="17" t="s">
        <v>93</v>
      </c>
      <c r="G42" s="298"/>
      <c r="H42" s="138"/>
      <c r="I42" s="138"/>
      <c r="J42" s="138"/>
      <c r="K42" s="138"/>
      <c r="L42" s="138"/>
      <c r="M42" s="138"/>
      <c r="N42" s="138"/>
      <c r="O42" s="139"/>
      <c r="P42" s="138"/>
      <c r="Q42" s="99"/>
      <c r="R42" s="99"/>
    </row>
    <row r="43" spans="1:18" ht="15" customHeight="1" x14ac:dyDescent="0.3">
      <c r="A43" s="17" t="s">
        <v>41</v>
      </c>
      <c r="B43" s="17" t="s">
        <v>340</v>
      </c>
      <c r="C43" s="18" t="s">
        <v>746</v>
      </c>
      <c r="D43" s="17" t="s">
        <v>337</v>
      </c>
      <c r="E43" s="17" t="s">
        <v>254</v>
      </c>
      <c r="F43" s="17" t="s">
        <v>431</v>
      </c>
      <c r="G43" s="298"/>
      <c r="H43" s="138"/>
      <c r="I43" s="138"/>
      <c r="J43" s="138"/>
      <c r="K43" s="138"/>
      <c r="L43" s="138"/>
      <c r="M43" s="138"/>
      <c r="N43" s="138"/>
      <c r="O43" s="139"/>
      <c r="P43" s="138"/>
      <c r="Q43" s="99"/>
      <c r="R43" s="99"/>
    </row>
    <row r="44" spans="1:18" ht="15" customHeight="1" x14ac:dyDescent="0.3">
      <c r="A44" s="17" t="s">
        <v>41</v>
      </c>
      <c r="B44" s="17" t="s">
        <v>340</v>
      </c>
      <c r="C44" s="18" t="s">
        <v>746</v>
      </c>
      <c r="D44" s="17" t="s">
        <v>43</v>
      </c>
      <c r="E44" s="17" t="s">
        <v>795</v>
      </c>
      <c r="F44" s="17" t="s">
        <v>431</v>
      </c>
      <c r="G44" s="298"/>
      <c r="H44" s="138"/>
      <c r="I44" s="138"/>
      <c r="J44" s="138"/>
      <c r="K44" s="138"/>
      <c r="L44" s="138"/>
      <c r="M44" s="138"/>
      <c r="N44" s="138"/>
      <c r="O44" s="139"/>
      <c r="P44" s="138"/>
      <c r="Q44" s="99"/>
      <c r="R44" s="99"/>
    </row>
    <row r="45" spans="1:18" ht="15" customHeight="1" x14ac:dyDescent="0.3">
      <c r="A45" s="17" t="s">
        <v>41</v>
      </c>
      <c r="B45" s="17" t="s">
        <v>344</v>
      </c>
      <c r="C45" s="18" t="s">
        <v>747</v>
      </c>
      <c r="D45" s="17" t="s">
        <v>337</v>
      </c>
      <c r="E45" s="17" t="s">
        <v>262</v>
      </c>
      <c r="F45" s="17" t="s">
        <v>431</v>
      </c>
      <c r="G45" s="298"/>
      <c r="H45" s="138"/>
      <c r="I45" s="138"/>
      <c r="J45" s="138"/>
      <c r="K45" s="138"/>
      <c r="L45" s="138"/>
      <c r="M45" s="138"/>
      <c r="N45" s="138"/>
      <c r="O45" s="139"/>
      <c r="P45" s="138"/>
      <c r="Q45" s="99"/>
      <c r="R45" s="99"/>
    </row>
    <row r="46" spans="1:18" ht="15" customHeight="1" x14ac:dyDescent="0.3">
      <c r="A46" s="17" t="s">
        <v>41</v>
      </c>
      <c r="B46" s="17" t="s">
        <v>344</v>
      </c>
      <c r="C46" s="18" t="s">
        <v>747</v>
      </c>
      <c r="D46" s="17" t="s">
        <v>43</v>
      </c>
      <c r="E46" s="17" t="s">
        <v>255</v>
      </c>
      <c r="F46" s="17" t="s">
        <v>431</v>
      </c>
      <c r="G46" s="298"/>
      <c r="H46" s="138"/>
      <c r="I46" s="138"/>
      <c r="J46" s="138"/>
      <c r="K46" s="138"/>
      <c r="L46" s="138"/>
      <c r="M46" s="138"/>
      <c r="N46" s="138"/>
      <c r="O46" s="139"/>
      <c r="P46" s="138"/>
      <c r="Q46" s="99"/>
      <c r="R46" s="99"/>
    </row>
    <row r="47" spans="1:18" ht="15" customHeight="1" x14ac:dyDescent="0.3">
      <c r="A47" s="17" t="s">
        <v>41</v>
      </c>
      <c r="B47" s="17" t="s">
        <v>347</v>
      </c>
      <c r="C47" s="18" t="s">
        <v>748</v>
      </c>
      <c r="D47" s="17" t="s">
        <v>337</v>
      </c>
      <c r="E47" s="17" t="s">
        <v>275</v>
      </c>
      <c r="F47" s="17" t="s">
        <v>431</v>
      </c>
      <c r="G47" s="298"/>
      <c r="H47" s="138"/>
      <c r="I47" s="138"/>
      <c r="J47" s="138"/>
      <c r="K47" s="138"/>
      <c r="L47" s="138"/>
      <c r="M47" s="138"/>
      <c r="N47" s="138"/>
      <c r="O47" s="139"/>
      <c r="P47" s="138"/>
      <c r="Q47" s="99"/>
      <c r="R47" s="99"/>
    </row>
    <row r="48" spans="1:18" ht="15" customHeight="1" x14ac:dyDescent="0.3">
      <c r="A48" s="17" t="s">
        <v>41</v>
      </c>
      <c r="B48" s="17" t="s">
        <v>347</v>
      </c>
      <c r="C48" s="18" t="s">
        <v>748</v>
      </c>
      <c r="D48" s="17" t="s">
        <v>43</v>
      </c>
      <c r="E48" s="17" t="s">
        <v>303</v>
      </c>
      <c r="F48" s="17" t="s">
        <v>431</v>
      </c>
      <c r="G48" s="298"/>
      <c r="H48" s="138"/>
      <c r="I48" s="138"/>
      <c r="J48" s="138"/>
      <c r="K48" s="138"/>
      <c r="L48" s="138"/>
      <c r="M48" s="138"/>
      <c r="N48" s="138"/>
      <c r="O48" s="139"/>
      <c r="P48" s="138"/>
      <c r="Q48" s="99"/>
      <c r="R48" s="99"/>
    </row>
    <row r="49" spans="1:18" ht="15" customHeight="1" x14ac:dyDescent="0.3">
      <c r="A49" s="17" t="s">
        <v>41</v>
      </c>
      <c r="B49" s="17" t="s">
        <v>336</v>
      </c>
      <c r="C49" s="18" t="s">
        <v>745</v>
      </c>
      <c r="D49" s="17" t="s">
        <v>337</v>
      </c>
      <c r="E49" s="17" t="s">
        <v>795</v>
      </c>
      <c r="F49" s="17" t="s">
        <v>431</v>
      </c>
      <c r="G49" s="298"/>
      <c r="H49" s="138"/>
      <c r="I49" s="138"/>
      <c r="J49" s="138"/>
      <c r="K49" s="138"/>
      <c r="L49" s="138"/>
      <c r="M49" s="138"/>
      <c r="N49" s="138"/>
      <c r="O49" s="139"/>
      <c r="P49" s="138"/>
      <c r="Q49" s="99"/>
      <c r="R49" s="99"/>
    </row>
    <row r="50" spans="1:18" ht="15" customHeight="1" x14ac:dyDescent="0.3">
      <c r="A50" s="17" t="s">
        <v>41</v>
      </c>
      <c r="B50" s="17" t="s">
        <v>336</v>
      </c>
      <c r="C50" s="18" t="s">
        <v>745</v>
      </c>
      <c r="D50" s="17" t="s">
        <v>43</v>
      </c>
      <c r="E50" s="17" t="s">
        <v>795</v>
      </c>
      <c r="F50" s="17" t="s">
        <v>431</v>
      </c>
      <c r="G50" s="298"/>
      <c r="H50" s="138"/>
      <c r="I50" s="138"/>
      <c r="J50" s="138"/>
      <c r="K50" s="138"/>
      <c r="L50" s="138"/>
      <c r="M50" s="138"/>
      <c r="N50" s="138"/>
      <c r="O50" s="139"/>
      <c r="P50" s="138"/>
      <c r="Q50" s="99"/>
      <c r="R50" s="99"/>
    </row>
    <row r="51" spans="1:18" ht="15" customHeight="1" thickBot="1" x14ac:dyDescent="0.35">
      <c r="A51" s="39" t="s">
        <v>26</v>
      </c>
      <c r="B51" s="39" t="s">
        <v>358</v>
      </c>
      <c r="C51" s="40" t="s">
        <v>748</v>
      </c>
      <c r="D51" s="39" t="s">
        <v>351</v>
      </c>
      <c r="E51" s="39" t="s">
        <v>273</v>
      </c>
      <c r="F51" s="39" t="s">
        <v>44</v>
      </c>
      <c r="G51" s="299"/>
      <c r="H51" s="140"/>
      <c r="I51" s="140"/>
      <c r="J51" s="140"/>
      <c r="K51" s="140"/>
      <c r="L51" s="140"/>
      <c r="M51" s="140"/>
      <c r="N51" s="140"/>
      <c r="O51" s="141"/>
      <c r="P51" s="140"/>
      <c r="Q51" s="142"/>
      <c r="R51" s="142"/>
    </row>
    <row r="52" spans="1:18" ht="17.399999999999999" customHeight="1" thickBot="1" x14ac:dyDescent="0.35">
      <c r="A52" s="329"/>
      <c r="B52" s="330"/>
      <c r="C52" s="330"/>
      <c r="D52" s="330"/>
      <c r="E52" s="330"/>
      <c r="F52" s="330"/>
      <c r="G52" s="330"/>
      <c r="H52" s="330"/>
      <c r="I52" s="330"/>
      <c r="J52" s="330"/>
      <c r="K52" s="330"/>
      <c r="L52" s="330"/>
      <c r="M52" s="330"/>
      <c r="N52" s="330"/>
      <c r="O52" s="330"/>
      <c r="P52" s="330"/>
      <c r="Q52" s="330"/>
      <c r="R52" s="331"/>
    </row>
    <row r="53" spans="1:18" ht="22.05" customHeight="1" thickTop="1" thickBot="1" x14ac:dyDescent="0.35">
      <c r="A53" s="300" t="s">
        <v>6</v>
      </c>
      <c r="B53" s="295"/>
      <c r="C53" s="295"/>
      <c r="D53" s="295"/>
      <c r="E53" s="295"/>
      <c r="F53" s="296"/>
      <c r="G53" s="31">
        <v>45984</v>
      </c>
      <c r="H53" s="294" t="s">
        <v>7</v>
      </c>
      <c r="I53" s="295"/>
      <c r="J53" s="295"/>
      <c r="K53" s="295"/>
      <c r="L53" s="295"/>
      <c r="M53" s="295"/>
      <c r="N53" s="295"/>
      <c r="O53" s="295"/>
      <c r="P53" s="295"/>
      <c r="Q53" s="295"/>
      <c r="R53" s="296"/>
    </row>
    <row r="54" spans="1:18" ht="24" customHeight="1" x14ac:dyDescent="0.3">
      <c r="A54" s="32" t="s">
        <v>8</v>
      </c>
      <c r="B54" s="32" t="s">
        <v>9</v>
      </c>
      <c r="C54" s="33" t="s">
        <v>10</v>
      </c>
      <c r="D54" s="32" t="s">
        <v>11</v>
      </c>
      <c r="E54" s="32" t="s">
        <v>12</v>
      </c>
      <c r="F54" s="34" t="s">
        <v>13</v>
      </c>
      <c r="G54" s="35" t="s">
        <v>14</v>
      </c>
      <c r="H54" s="32" t="s">
        <v>15</v>
      </c>
      <c r="I54" s="36" t="s">
        <v>16</v>
      </c>
      <c r="J54" s="37" t="s">
        <v>17</v>
      </c>
      <c r="K54" s="38" t="s">
        <v>18</v>
      </c>
      <c r="L54" s="37" t="s">
        <v>19</v>
      </c>
      <c r="M54" s="37" t="s">
        <v>20</v>
      </c>
      <c r="N54" s="37" t="s">
        <v>21</v>
      </c>
      <c r="O54" s="32" t="s">
        <v>22</v>
      </c>
      <c r="P54" s="33" t="s">
        <v>23</v>
      </c>
      <c r="Q54" s="37" t="s">
        <v>24</v>
      </c>
      <c r="R54" s="32" t="s">
        <v>25</v>
      </c>
    </row>
    <row r="55" spans="1:18" ht="15" customHeight="1" x14ac:dyDescent="0.3">
      <c r="A55" s="8" t="s">
        <v>41</v>
      </c>
      <c r="B55" s="8" t="s">
        <v>908</v>
      </c>
      <c r="C55" s="9">
        <v>0.36458333333333331</v>
      </c>
      <c r="D55" s="8" t="s">
        <v>778</v>
      </c>
      <c r="E55" s="8" t="s">
        <v>105</v>
      </c>
      <c r="F55" s="8" t="s">
        <v>909</v>
      </c>
      <c r="G55" s="304"/>
      <c r="H55" s="10"/>
      <c r="I55" s="11"/>
      <c r="J55" s="11"/>
      <c r="K55" s="11"/>
      <c r="L55" s="11"/>
      <c r="M55" s="11"/>
      <c r="N55" s="11"/>
      <c r="O55" s="12"/>
      <c r="P55" s="11"/>
      <c r="Q55" s="13"/>
      <c r="R55" s="14"/>
    </row>
    <row r="56" spans="1:18" ht="15" customHeight="1" x14ac:dyDescent="0.3">
      <c r="A56" s="15" t="s">
        <v>41</v>
      </c>
      <c r="B56" s="15" t="s">
        <v>908</v>
      </c>
      <c r="C56" s="16">
        <v>0.36458333333333331</v>
      </c>
      <c r="D56" s="15" t="s">
        <v>756</v>
      </c>
      <c r="E56" s="15" t="s">
        <v>106</v>
      </c>
      <c r="F56" s="15" t="s">
        <v>910</v>
      </c>
      <c r="G56" s="298"/>
      <c r="H56" s="10"/>
      <c r="I56" s="11"/>
      <c r="J56" s="11"/>
      <c r="K56" s="11"/>
      <c r="L56" s="11"/>
      <c r="M56" s="11"/>
      <c r="N56" s="11"/>
      <c r="O56" s="12"/>
      <c r="P56" s="11"/>
      <c r="Q56" s="13"/>
      <c r="R56" s="14"/>
    </row>
    <row r="57" spans="1:18" ht="15" customHeight="1" x14ac:dyDescent="0.3">
      <c r="A57" s="15" t="s">
        <v>41</v>
      </c>
      <c r="B57" s="15" t="s">
        <v>908</v>
      </c>
      <c r="C57" s="16">
        <v>0.36458333333333331</v>
      </c>
      <c r="D57" s="15" t="s">
        <v>769</v>
      </c>
      <c r="E57" s="15" t="s">
        <v>106</v>
      </c>
      <c r="F57" s="15" t="s">
        <v>911</v>
      </c>
      <c r="G57" s="298"/>
      <c r="H57" s="10"/>
      <c r="I57" s="11"/>
      <c r="J57" s="11"/>
      <c r="K57" s="11"/>
      <c r="L57" s="11"/>
      <c r="M57" s="11"/>
      <c r="N57" s="11"/>
      <c r="O57" s="12"/>
      <c r="P57" s="11"/>
      <c r="Q57" s="13"/>
      <c r="R57" s="14"/>
    </row>
    <row r="58" spans="1:18" ht="15" customHeight="1" x14ac:dyDescent="0.3">
      <c r="A58" s="15" t="s">
        <v>41</v>
      </c>
      <c r="B58" s="15" t="s">
        <v>908</v>
      </c>
      <c r="C58" s="16">
        <v>0.36458333333333331</v>
      </c>
      <c r="D58" s="15" t="s">
        <v>782</v>
      </c>
      <c r="E58" s="15" t="s">
        <v>106</v>
      </c>
      <c r="F58" s="15" t="s">
        <v>508</v>
      </c>
      <c r="G58" s="298"/>
      <c r="H58" s="10"/>
      <c r="I58" s="11"/>
      <c r="J58" s="11"/>
      <c r="K58" s="11"/>
      <c r="L58" s="11"/>
      <c r="M58" s="11"/>
      <c r="N58" s="11"/>
      <c r="O58" s="12"/>
      <c r="P58" s="11"/>
      <c r="Q58" s="13"/>
      <c r="R58" s="14"/>
    </row>
    <row r="59" spans="1:18" ht="15" customHeight="1" x14ac:dyDescent="0.3">
      <c r="A59" s="75" t="s">
        <v>77</v>
      </c>
      <c r="B59" s="75" t="s">
        <v>896</v>
      </c>
      <c r="C59" s="76">
        <v>0.69097222222222221</v>
      </c>
      <c r="D59" s="75" t="s">
        <v>101</v>
      </c>
      <c r="E59" s="75" t="s">
        <v>139</v>
      </c>
      <c r="F59" s="75" t="s">
        <v>904</v>
      </c>
      <c r="G59" s="298"/>
      <c r="H59" s="78" t="s">
        <v>897</v>
      </c>
      <c r="I59" s="79">
        <v>0.97219999999999995</v>
      </c>
      <c r="J59" s="80">
        <v>175</v>
      </c>
      <c r="K59" s="81">
        <v>45980</v>
      </c>
      <c r="L59" s="80">
        <v>39</v>
      </c>
      <c r="M59" s="80">
        <v>5</v>
      </c>
      <c r="N59" s="80">
        <v>11</v>
      </c>
      <c r="O59" s="82" t="s">
        <v>644</v>
      </c>
      <c r="P59" s="83">
        <v>0.69097222222222221</v>
      </c>
      <c r="Q59" s="80">
        <v>180</v>
      </c>
      <c r="R59" s="84" t="s">
        <v>912</v>
      </c>
    </row>
    <row r="60" spans="1:18" ht="15" customHeight="1" x14ac:dyDescent="0.3">
      <c r="A60" s="222" t="s">
        <v>77</v>
      </c>
      <c r="B60" s="222" t="s">
        <v>902</v>
      </c>
      <c r="C60" s="223">
        <v>0.3298611111111111</v>
      </c>
      <c r="D60" s="222" t="s">
        <v>79</v>
      </c>
      <c r="E60" s="224"/>
      <c r="F60" s="222" t="s">
        <v>80</v>
      </c>
      <c r="G60" s="298"/>
      <c r="H60" s="206" t="s">
        <v>902</v>
      </c>
      <c r="I60" s="225">
        <v>1</v>
      </c>
      <c r="J60" s="208">
        <v>180</v>
      </c>
      <c r="K60" s="209">
        <v>45980</v>
      </c>
      <c r="L60" s="208">
        <v>23</v>
      </c>
      <c r="M60" s="208">
        <v>3</v>
      </c>
      <c r="N60" s="208">
        <v>4</v>
      </c>
      <c r="O60" s="210" t="s">
        <v>81</v>
      </c>
      <c r="P60" s="211">
        <v>0.3298611111111111</v>
      </c>
      <c r="Q60" s="208">
        <v>180</v>
      </c>
      <c r="R60" s="212" t="s">
        <v>913</v>
      </c>
    </row>
    <row r="61" spans="1:18" ht="18" x14ac:dyDescent="0.3">
      <c r="A61" s="312" t="s">
        <v>763</v>
      </c>
      <c r="B61" s="313"/>
      <c r="C61" s="313"/>
      <c r="D61" s="313"/>
      <c r="E61" s="313"/>
      <c r="F61" s="314"/>
      <c r="G61" s="298"/>
      <c r="H61" s="138"/>
      <c r="I61" s="138"/>
      <c r="J61" s="138"/>
      <c r="K61" s="138"/>
      <c r="L61" s="138"/>
      <c r="M61" s="138"/>
      <c r="N61" s="138"/>
      <c r="O61" s="139"/>
      <c r="P61" s="138"/>
      <c r="Q61" s="99"/>
      <c r="R61" s="99"/>
    </row>
    <row r="62" spans="1:18" ht="15" customHeight="1" x14ac:dyDescent="0.3">
      <c r="A62" s="17" t="s">
        <v>41</v>
      </c>
      <c r="B62" s="17" t="s">
        <v>340</v>
      </c>
      <c r="C62" s="18" t="s">
        <v>746</v>
      </c>
      <c r="D62" s="17" t="s">
        <v>43</v>
      </c>
      <c r="E62" s="17" t="s">
        <v>259</v>
      </c>
      <c r="F62" s="17" t="s">
        <v>342</v>
      </c>
      <c r="G62" s="298"/>
      <c r="H62" s="138"/>
      <c r="I62" s="138"/>
      <c r="J62" s="138"/>
      <c r="K62" s="138"/>
      <c r="L62" s="138"/>
      <c r="M62" s="138"/>
      <c r="N62" s="138"/>
      <c r="O62" s="139"/>
      <c r="P62" s="138"/>
      <c r="Q62" s="99"/>
      <c r="R62" s="99"/>
    </row>
    <row r="63" spans="1:18" ht="15" customHeight="1" x14ac:dyDescent="0.3">
      <c r="A63" s="17" t="s">
        <v>41</v>
      </c>
      <c r="B63" s="17" t="s">
        <v>344</v>
      </c>
      <c r="C63" s="18" t="s">
        <v>747</v>
      </c>
      <c r="D63" s="17" t="s">
        <v>337</v>
      </c>
      <c r="E63" s="17" t="s">
        <v>262</v>
      </c>
      <c r="F63" s="17" t="s">
        <v>342</v>
      </c>
      <c r="G63" s="298"/>
      <c r="H63" s="138"/>
      <c r="I63" s="138"/>
      <c r="J63" s="138"/>
      <c r="K63" s="138"/>
      <c r="L63" s="138"/>
      <c r="M63" s="138"/>
      <c r="N63" s="138"/>
      <c r="O63" s="139"/>
      <c r="P63" s="138"/>
      <c r="Q63" s="99"/>
      <c r="R63" s="99"/>
    </row>
    <row r="64" spans="1:18" ht="15" customHeight="1" x14ac:dyDescent="0.3">
      <c r="A64" s="17" t="s">
        <v>41</v>
      </c>
      <c r="B64" s="17" t="s">
        <v>344</v>
      </c>
      <c r="C64" s="18" t="s">
        <v>747</v>
      </c>
      <c r="D64" s="17" t="s">
        <v>43</v>
      </c>
      <c r="E64" s="17" t="s">
        <v>262</v>
      </c>
      <c r="F64" s="17" t="s">
        <v>342</v>
      </c>
      <c r="G64" s="298"/>
      <c r="H64" s="138"/>
      <c r="I64" s="138"/>
      <c r="J64" s="138"/>
      <c r="K64" s="138"/>
      <c r="L64" s="138"/>
      <c r="M64" s="138"/>
      <c r="N64" s="138"/>
      <c r="O64" s="139"/>
      <c r="P64" s="138"/>
      <c r="Q64" s="99"/>
      <c r="R64" s="99"/>
    </row>
    <row r="65" spans="1:18" ht="15" customHeight="1" x14ac:dyDescent="0.3">
      <c r="A65" s="17" t="s">
        <v>26</v>
      </c>
      <c r="B65" s="17" t="s">
        <v>354</v>
      </c>
      <c r="C65" s="18" t="s">
        <v>751</v>
      </c>
      <c r="D65" s="17" t="s">
        <v>28</v>
      </c>
      <c r="E65" s="17" t="s">
        <v>269</v>
      </c>
      <c r="F65" s="17" t="s">
        <v>93</v>
      </c>
      <c r="G65" s="298"/>
      <c r="H65" s="138"/>
      <c r="I65" s="138"/>
      <c r="J65" s="138"/>
      <c r="K65" s="138"/>
      <c r="L65" s="138"/>
      <c r="M65" s="138"/>
      <c r="N65" s="138"/>
      <c r="O65" s="139"/>
      <c r="P65" s="138"/>
      <c r="Q65" s="99"/>
      <c r="R65" s="99"/>
    </row>
    <row r="66" spans="1:18" ht="15" customHeight="1" x14ac:dyDescent="0.3">
      <c r="A66" s="17" t="s">
        <v>26</v>
      </c>
      <c r="B66" s="17" t="s">
        <v>350</v>
      </c>
      <c r="C66" s="18" t="s">
        <v>749</v>
      </c>
      <c r="D66" s="17" t="s">
        <v>28</v>
      </c>
      <c r="E66" s="17" t="s">
        <v>269</v>
      </c>
      <c r="F66" s="17" t="s">
        <v>93</v>
      </c>
      <c r="G66" s="298"/>
      <c r="H66" s="138"/>
      <c r="I66" s="138"/>
      <c r="J66" s="138"/>
      <c r="K66" s="138"/>
      <c r="L66" s="138"/>
      <c r="M66" s="138"/>
      <c r="N66" s="138"/>
      <c r="O66" s="139"/>
      <c r="P66" s="138"/>
      <c r="Q66" s="99"/>
      <c r="R66" s="99"/>
    </row>
    <row r="67" spans="1:18" ht="15" customHeight="1" x14ac:dyDescent="0.3">
      <c r="A67" s="17" t="s">
        <v>26</v>
      </c>
      <c r="B67" s="17" t="s">
        <v>352</v>
      </c>
      <c r="C67" s="18" t="s">
        <v>750</v>
      </c>
      <c r="D67" s="17" t="s">
        <v>351</v>
      </c>
      <c r="E67" s="17" t="s">
        <v>255</v>
      </c>
      <c r="F67" s="17" t="s">
        <v>93</v>
      </c>
      <c r="G67" s="298"/>
      <c r="H67" s="138"/>
      <c r="I67" s="138"/>
      <c r="J67" s="138"/>
      <c r="K67" s="138"/>
      <c r="L67" s="138"/>
      <c r="M67" s="138"/>
      <c r="N67" s="138"/>
      <c r="O67" s="139"/>
      <c r="P67" s="138"/>
      <c r="Q67" s="99"/>
      <c r="R67" s="99"/>
    </row>
    <row r="68" spans="1:18" ht="15" customHeight="1" x14ac:dyDescent="0.3">
      <c r="A68" s="17" t="s">
        <v>26</v>
      </c>
      <c r="B68" s="17" t="s">
        <v>352</v>
      </c>
      <c r="C68" s="18" t="s">
        <v>750</v>
      </c>
      <c r="D68" s="17" t="s">
        <v>28</v>
      </c>
      <c r="E68" s="17" t="s">
        <v>255</v>
      </c>
      <c r="F68" s="17" t="s">
        <v>93</v>
      </c>
      <c r="G68" s="298"/>
      <c r="H68" s="138"/>
      <c r="I68" s="138"/>
      <c r="J68" s="138"/>
      <c r="K68" s="138"/>
      <c r="L68" s="138"/>
      <c r="M68" s="138"/>
      <c r="N68" s="138"/>
      <c r="O68" s="139"/>
      <c r="P68" s="138"/>
      <c r="Q68" s="99"/>
      <c r="R68" s="99"/>
    </row>
    <row r="69" spans="1:18" ht="15" customHeight="1" x14ac:dyDescent="0.3">
      <c r="A69" s="17" t="s">
        <v>26</v>
      </c>
      <c r="B69" s="17" t="s">
        <v>360</v>
      </c>
      <c r="C69" s="18" t="s">
        <v>801</v>
      </c>
      <c r="D69" s="17" t="s">
        <v>351</v>
      </c>
      <c r="E69" s="17" t="s">
        <v>260</v>
      </c>
      <c r="F69" s="17" t="s">
        <v>93</v>
      </c>
      <c r="G69" s="298"/>
      <c r="H69" s="138"/>
      <c r="I69" s="138"/>
      <c r="J69" s="138"/>
      <c r="K69" s="138"/>
      <c r="L69" s="138"/>
      <c r="M69" s="138"/>
      <c r="N69" s="138"/>
      <c r="O69" s="139"/>
      <c r="P69" s="138"/>
      <c r="Q69" s="99"/>
      <c r="R69" s="99"/>
    </row>
    <row r="70" spans="1:18" ht="15" customHeight="1" x14ac:dyDescent="0.3">
      <c r="A70" s="17" t="s">
        <v>26</v>
      </c>
      <c r="B70" s="17" t="s">
        <v>360</v>
      </c>
      <c r="C70" s="18" t="s">
        <v>801</v>
      </c>
      <c r="D70" s="17" t="s">
        <v>28</v>
      </c>
      <c r="E70" s="17" t="s">
        <v>260</v>
      </c>
      <c r="F70" s="17" t="s">
        <v>93</v>
      </c>
      <c r="G70" s="298"/>
      <c r="H70" s="138"/>
      <c r="I70" s="138"/>
      <c r="J70" s="138"/>
      <c r="K70" s="138"/>
      <c r="L70" s="138"/>
      <c r="M70" s="138"/>
      <c r="N70" s="138"/>
      <c r="O70" s="139"/>
      <c r="P70" s="138"/>
      <c r="Q70" s="99"/>
      <c r="R70" s="99"/>
    </row>
    <row r="71" spans="1:18" ht="15" customHeight="1" thickBot="1" x14ac:dyDescent="0.35">
      <c r="A71" s="39" t="s">
        <v>26</v>
      </c>
      <c r="B71" s="39" t="s">
        <v>358</v>
      </c>
      <c r="C71" s="40" t="s">
        <v>748</v>
      </c>
      <c r="D71" s="39" t="s">
        <v>351</v>
      </c>
      <c r="E71" s="39" t="s">
        <v>260</v>
      </c>
      <c r="F71" s="39" t="s">
        <v>93</v>
      </c>
      <c r="G71" s="299"/>
      <c r="H71" s="140"/>
      <c r="I71" s="140"/>
      <c r="J71" s="140"/>
      <c r="K71" s="140"/>
      <c r="L71" s="140"/>
      <c r="M71" s="140"/>
      <c r="N71" s="140"/>
      <c r="O71" s="141"/>
      <c r="P71" s="140"/>
      <c r="Q71" s="142"/>
      <c r="R71" s="142"/>
    </row>
    <row r="72" spans="1:18" ht="17.399999999999999" customHeight="1" thickBot="1" x14ac:dyDescent="0.35">
      <c r="A72" s="329"/>
      <c r="B72" s="330"/>
      <c r="C72" s="330"/>
      <c r="D72" s="330"/>
      <c r="E72" s="330"/>
      <c r="F72" s="330"/>
      <c r="G72" s="330"/>
      <c r="H72" s="330"/>
      <c r="I72" s="330"/>
      <c r="J72" s="330"/>
      <c r="K72" s="330"/>
      <c r="L72" s="330"/>
      <c r="M72" s="330"/>
      <c r="N72" s="330"/>
      <c r="O72" s="330"/>
      <c r="P72" s="330"/>
      <c r="Q72" s="330"/>
      <c r="R72" s="331"/>
    </row>
    <row r="73" spans="1:18" ht="22.05" customHeight="1" thickTop="1" thickBot="1" x14ac:dyDescent="0.35">
      <c r="A73" s="300" t="s">
        <v>6</v>
      </c>
      <c r="B73" s="295"/>
      <c r="C73" s="295"/>
      <c r="D73" s="295"/>
      <c r="E73" s="295"/>
      <c r="F73" s="296"/>
      <c r="G73" s="31">
        <v>45985</v>
      </c>
      <c r="H73" s="294" t="s">
        <v>7</v>
      </c>
      <c r="I73" s="295"/>
      <c r="J73" s="295"/>
      <c r="K73" s="295"/>
      <c r="L73" s="295"/>
      <c r="M73" s="295"/>
      <c r="N73" s="295"/>
      <c r="O73" s="295"/>
      <c r="P73" s="295"/>
      <c r="Q73" s="295"/>
      <c r="R73" s="296"/>
    </row>
    <row r="74" spans="1:18" ht="24" customHeight="1" x14ac:dyDescent="0.3">
      <c r="A74" s="32" t="s">
        <v>8</v>
      </c>
      <c r="B74" s="32" t="s">
        <v>9</v>
      </c>
      <c r="C74" s="33" t="s">
        <v>10</v>
      </c>
      <c r="D74" s="32" t="s">
        <v>11</v>
      </c>
      <c r="E74" s="32" t="s">
        <v>12</v>
      </c>
      <c r="F74" s="34" t="s">
        <v>13</v>
      </c>
      <c r="G74" s="35" t="s">
        <v>14</v>
      </c>
      <c r="H74" s="32" t="s">
        <v>15</v>
      </c>
      <c r="I74" s="36" t="s">
        <v>16</v>
      </c>
      <c r="J74" s="37" t="s">
        <v>17</v>
      </c>
      <c r="K74" s="38" t="s">
        <v>18</v>
      </c>
      <c r="L74" s="37" t="s">
        <v>19</v>
      </c>
      <c r="M74" s="37" t="s">
        <v>20</v>
      </c>
      <c r="N74" s="37" t="s">
        <v>21</v>
      </c>
      <c r="O74" s="32" t="s">
        <v>22</v>
      </c>
      <c r="P74" s="33" t="s">
        <v>23</v>
      </c>
      <c r="Q74" s="37" t="s">
        <v>24</v>
      </c>
      <c r="R74" s="32" t="s">
        <v>25</v>
      </c>
    </row>
    <row r="75" spans="1:18" ht="15" customHeight="1" x14ac:dyDescent="0.3">
      <c r="A75" s="204" t="s">
        <v>77</v>
      </c>
      <c r="B75" s="204" t="s">
        <v>892</v>
      </c>
      <c r="C75" s="205">
        <v>0.69444444444444453</v>
      </c>
      <c r="D75" s="204" t="s">
        <v>101</v>
      </c>
      <c r="E75" s="204" t="s">
        <v>29</v>
      </c>
      <c r="F75" s="204" t="s">
        <v>904</v>
      </c>
      <c r="G75" s="304"/>
      <c r="H75" s="206" t="s">
        <v>894</v>
      </c>
      <c r="I75" s="207">
        <v>0.66669999999999996</v>
      </c>
      <c r="J75" s="208">
        <v>120</v>
      </c>
      <c r="K75" s="209">
        <v>45980</v>
      </c>
      <c r="L75" s="208">
        <v>48</v>
      </c>
      <c r="M75" s="208">
        <v>3</v>
      </c>
      <c r="N75" s="208">
        <v>8</v>
      </c>
      <c r="O75" s="210" t="s">
        <v>425</v>
      </c>
      <c r="P75" s="211">
        <v>0.69444444444444453</v>
      </c>
      <c r="Q75" s="208">
        <v>180</v>
      </c>
      <c r="R75" s="212" t="s">
        <v>914</v>
      </c>
    </row>
    <row r="76" spans="1:18" ht="15" customHeight="1" x14ac:dyDescent="0.3">
      <c r="A76" s="198" t="s">
        <v>77</v>
      </c>
      <c r="B76" s="198" t="s">
        <v>900</v>
      </c>
      <c r="C76" s="199">
        <v>9.375E-2</v>
      </c>
      <c r="D76" s="198" t="s">
        <v>101</v>
      </c>
      <c r="E76" s="198" t="s">
        <v>121</v>
      </c>
      <c r="F76" s="198" t="s">
        <v>904</v>
      </c>
      <c r="G76" s="298"/>
      <c r="H76" s="131" t="s">
        <v>902</v>
      </c>
      <c r="I76" s="132">
        <v>0.97219999999999995</v>
      </c>
      <c r="J76" s="133">
        <v>175</v>
      </c>
      <c r="K76" s="134">
        <v>45980</v>
      </c>
      <c r="L76" s="133">
        <v>38</v>
      </c>
      <c r="M76" s="133">
        <v>9</v>
      </c>
      <c r="N76" s="133">
        <v>5</v>
      </c>
      <c r="O76" s="135" t="s">
        <v>425</v>
      </c>
      <c r="P76" s="136">
        <v>9.375E-2</v>
      </c>
      <c r="Q76" s="133">
        <v>180</v>
      </c>
      <c r="R76" s="137" t="s">
        <v>915</v>
      </c>
    </row>
    <row r="77" spans="1:18" ht="15" customHeight="1" x14ac:dyDescent="0.3">
      <c r="A77" s="195" t="s">
        <v>77</v>
      </c>
      <c r="B77" s="195" t="s">
        <v>916</v>
      </c>
      <c r="C77" s="196">
        <v>0.34722222222222232</v>
      </c>
      <c r="D77" s="195" t="s">
        <v>79</v>
      </c>
      <c r="E77" s="221"/>
      <c r="F77" s="195" t="s">
        <v>80</v>
      </c>
      <c r="G77" s="298"/>
      <c r="H77" s="181" t="s">
        <v>916</v>
      </c>
      <c r="I77" s="182">
        <v>1</v>
      </c>
      <c r="J77" s="183">
        <v>180</v>
      </c>
      <c r="K77" s="184">
        <v>45978</v>
      </c>
      <c r="L77" s="183">
        <v>74</v>
      </c>
      <c r="M77" s="183">
        <v>0</v>
      </c>
      <c r="N77" s="183">
        <v>0</v>
      </c>
      <c r="O77" s="185" t="s">
        <v>81</v>
      </c>
      <c r="P77" s="186">
        <v>0.34722222222222232</v>
      </c>
      <c r="Q77" s="183">
        <v>180</v>
      </c>
      <c r="R77" s="187" t="s">
        <v>917</v>
      </c>
    </row>
    <row r="78" spans="1:18" ht="15" customHeight="1" x14ac:dyDescent="0.3">
      <c r="A78" s="19" t="s">
        <v>48</v>
      </c>
      <c r="B78" s="19" t="s">
        <v>918</v>
      </c>
      <c r="C78" s="20">
        <v>0.34722222222222232</v>
      </c>
      <c r="D78" s="19" t="s">
        <v>107</v>
      </c>
      <c r="E78" s="19" t="s">
        <v>83</v>
      </c>
      <c r="F78" s="19" t="s">
        <v>919</v>
      </c>
      <c r="G78" s="298"/>
      <c r="H78" s="10"/>
      <c r="I78" s="11"/>
      <c r="J78" s="11"/>
      <c r="K78" s="11"/>
      <c r="L78" s="11"/>
      <c r="M78" s="11"/>
      <c r="N78" s="11"/>
      <c r="O78" s="12"/>
      <c r="P78" s="11"/>
      <c r="Q78" s="13"/>
      <c r="R78" s="14"/>
    </row>
    <row r="79" spans="1:18" ht="15" customHeight="1" x14ac:dyDescent="0.3">
      <c r="A79" s="17" t="s">
        <v>48</v>
      </c>
      <c r="B79" s="17" t="s">
        <v>899</v>
      </c>
      <c r="C79" s="18">
        <v>0.69444444444444453</v>
      </c>
      <c r="D79" s="17" t="s">
        <v>50</v>
      </c>
      <c r="E79" s="17" t="s">
        <v>72</v>
      </c>
      <c r="F79" s="17" t="s">
        <v>920</v>
      </c>
      <c r="G79" s="298"/>
      <c r="H79" s="10"/>
      <c r="I79" s="11"/>
      <c r="J79" s="11"/>
      <c r="K79" s="11"/>
      <c r="L79" s="11"/>
      <c r="M79" s="11"/>
      <c r="N79" s="11"/>
      <c r="O79" s="12"/>
      <c r="P79" s="11"/>
      <c r="Q79" s="13"/>
      <c r="R79" s="14"/>
    </row>
    <row r="80" spans="1:18" ht="18" x14ac:dyDescent="0.3">
      <c r="A80" s="312" t="s">
        <v>763</v>
      </c>
      <c r="B80" s="313"/>
      <c r="C80" s="313"/>
      <c r="D80" s="313"/>
      <c r="E80" s="313"/>
      <c r="F80" s="314"/>
      <c r="G80" s="298"/>
      <c r="H80" s="138"/>
      <c r="I80" s="138"/>
      <c r="J80" s="138"/>
      <c r="K80" s="138"/>
      <c r="L80" s="138"/>
      <c r="M80" s="138"/>
      <c r="N80" s="138"/>
      <c r="O80" s="139"/>
      <c r="P80" s="138"/>
      <c r="Q80" s="99"/>
      <c r="R80" s="99"/>
    </row>
    <row r="81" spans="1:18" ht="15" customHeight="1" x14ac:dyDescent="0.3">
      <c r="A81" s="17" t="s">
        <v>41</v>
      </c>
      <c r="B81" s="17" t="s">
        <v>340</v>
      </c>
      <c r="C81" s="18" t="s">
        <v>746</v>
      </c>
      <c r="D81" s="17" t="s">
        <v>43</v>
      </c>
      <c r="E81" s="17" t="s">
        <v>303</v>
      </c>
      <c r="F81" s="17" t="s">
        <v>431</v>
      </c>
      <c r="G81" s="298"/>
      <c r="H81" s="138"/>
      <c r="I81" s="138"/>
      <c r="J81" s="138"/>
      <c r="K81" s="138"/>
      <c r="L81" s="138"/>
      <c r="M81" s="138"/>
      <c r="N81" s="138"/>
      <c r="O81" s="139"/>
      <c r="P81" s="138"/>
      <c r="Q81" s="99"/>
      <c r="R81" s="99"/>
    </row>
    <row r="82" spans="1:18" ht="15" customHeight="1" x14ac:dyDescent="0.3">
      <c r="A82" s="17" t="s">
        <v>41</v>
      </c>
      <c r="B82" s="17" t="s">
        <v>344</v>
      </c>
      <c r="C82" s="18" t="s">
        <v>747</v>
      </c>
      <c r="D82" s="17" t="s">
        <v>43</v>
      </c>
      <c r="E82" s="17" t="s">
        <v>259</v>
      </c>
      <c r="F82" s="17" t="s">
        <v>431</v>
      </c>
      <c r="G82" s="298"/>
      <c r="H82" s="138"/>
      <c r="I82" s="138"/>
      <c r="J82" s="138"/>
      <c r="K82" s="138"/>
      <c r="L82" s="138"/>
      <c r="M82" s="138"/>
      <c r="N82" s="138"/>
      <c r="O82" s="139"/>
      <c r="P82" s="138"/>
      <c r="Q82" s="99"/>
      <c r="R82" s="99"/>
    </row>
    <row r="83" spans="1:18" ht="15" customHeight="1" x14ac:dyDescent="0.3">
      <c r="A83" s="17" t="s">
        <v>41</v>
      </c>
      <c r="B83" s="17" t="s">
        <v>347</v>
      </c>
      <c r="C83" s="18" t="s">
        <v>748</v>
      </c>
      <c r="D83" s="17" t="s">
        <v>43</v>
      </c>
      <c r="E83" s="17" t="s">
        <v>269</v>
      </c>
      <c r="F83" s="17" t="s">
        <v>431</v>
      </c>
      <c r="G83" s="298"/>
      <c r="H83" s="138"/>
      <c r="I83" s="138"/>
      <c r="J83" s="138"/>
      <c r="K83" s="138"/>
      <c r="L83" s="138"/>
      <c r="M83" s="138"/>
      <c r="N83" s="138"/>
      <c r="O83" s="139"/>
      <c r="P83" s="138"/>
      <c r="Q83" s="99"/>
      <c r="R83" s="99"/>
    </row>
    <row r="84" spans="1:18" ht="15" customHeight="1" x14ac:dyDescent="0.3">
      <c r="A84" s="17" t="s">
        <v>41</v>
      </c>
      <c r="B84" s="17" t="s">
        <v>336</v>
      </c>
      <c r="C84" s="18" t="s">
        <v>745</v>
      </c>
      <c r="D84" s="17" t="s">
        <v>43</v>
      </c>
      <c r="E84" s="17" t="s">
        <v>254</v>
      </c>
      <c r="F84" s="17" t="s">
        <v>431</v>
      </c>
      <c r="G84" s="298"/>
      <c r="H84" s="138"/>
      <c r="I84" s="138"/>
      <c r="J84" s="138"/>
      <c r="K84" s="138"/>
      <c r="L84" s="138"/>
      <c r="M84" s="138"/>
      <c r="N84" s="138"/>
      <c r="O84" s="139"/>
      <c r="P84" s="138"/>
      <c r="Q84" s="99"/>
      <c r="R84" s="99"/>
    </row>
    <row r="85" spans="1:18" ht="15" customHeight="1" x14ac:dyDescent="0.3">
      <c r="A85" s="17" t="s">
        <v>385</v>
      </c>
      <c r="B85" s="17" t="s">
        <v>435</v>
      </c>
      <c r="C85" s="18" t="s">
        <v>808</v>
      </c>
      <c r="D85" s="17" t="s">
        <v>101</v>
      </c>
      <c r="E85" s="17" t="s">
        <v>256</v>
      </c>
      <c r="F85" s="17" t="s">
        <v>434</v>
      </c>
      <c r="G85" s="298"/>
      <c r="H85" s="138"/>
      <c r="I85" s="138"/>
      <c r="J85" s="138"/>
      <c r="K85" s="138"/>
      <c r="L85" s="138"/>
      <c r="M85" s="138"/>
      <c r="N85" s="138"/>
      <c r="O85" s="139"/>
      <c r="P85" s="138"/>
      <c r="Q85" s="99"/>
      <c r="R85" s="99"/>
    </row>
    <row r="86" spans="1:18" ht="15" customHeight="1" x14ac:dyDescent="0.3">
      <c r="A86" s="17" t="s">
        <v>385</v>
      </c>
      <c r="B86" s="17" t="s">
        <v>477</v>
      </c>
      <c r="C86" s="18" t="s">
        <v>208</v>
      </c>
      <c r="D86" s="17" t="s">
        <v>101</v>
      </c>
      <c r="E86" s="17" t="s">
        <v>253</v>
      </c>
      <c r="F86" s="17" t="s">
        <v>434</v>
      </c>
      <c r="G86" s="298"/>
      <c r="H86" s="138"/>
      <c r="I86" s="138"/>
      <c r="J86" s="138"/>
      <c r="K86" s="138"/>
      <c r="L86" s="138"/>
      <c r="M86" s="138"/>
      <c r="N86" s="138"/>
      <c r="O86" s="139"/>
      <c r="P86" s="138"/>
      <c r="Q86" s="99"/>
      <c r="R86" s="99"/>
    </row>
    <row r="87" spans="1:18" ht="15" customHeight="1" x14ac:dyDescent="0.3">
      <c r="A87" s="17" t="s">
        <v>26</v>
      </c>
      <c r="B87" s="17" t="s">
        <v>350</v>
      </c>
      <c r="C87" s="18" t="s">
        <v>749</v>
      </c>
      <c r="D87" s="17" t="s">
        <v>28</v>
      </c>
      <c r="E87" s="17" t="s">
        <v>269</v>
      </c>
      <c r="F87" s="17" t="s">
        <v>44</v>
      </c>
      <c r="G87" s="298"/>
      <c r="H87" s="138"/>
      <c r="I87" s="138"/>
      <c r="J87" s="138"/>
      <c r="K87" s="138"/>
      <c r="L87" s="138"/>
      <c r="M87" s="138"/>
      <c r="N87" s="138"/>
      <c r="O87" s="139"/>
      <c r="P87" s="138"/>
      <c r="Q87" s="99"/>
      <c r="R87" s="99"/>
    </row>
    <row r="88" spans="1:18" ht="15" customHeight="1" x14ac:dyDescent="0.3">
      <c r="A88" s="17" t="s">
        <v>26</v>
      </c>
      <c r="B88" s="17" t="s">
        <v>360</v>
      </c>
      <c r="C88" s="18" t="s">
        <v>801</v>
      </c>
      <c r="D88" s="17" t="s">
        <v>28</v>
      </c>
      <c r="E88" s="17" t="s">
        <v>260</v>
      </c>
      <c r="F88" s="17" t="s">
        <v>44</v>
      </c>
      <c r="G88" s="298"/>
      <c r="H88" s="138"/>
      <c r="I88" s="138"/>
      <c r="J88" s="138"/>
      <c r="K88" s="138"/>
      <c r="L88" s="138"/>
      <c r="M88" s="138"/>
      <c r="N88" s="138"/>
      <c r="O88" s="139"/>
      <c r="P88" s="138"/>
      <c r="Q88" s="99"/>
      <c r="R88" s="99"/>
    </row>
    <row r="89" spans="1:18" ht="15" customHeight="1" x14ac:dyDescent="0.3">
      <c r="A89" s="17" t="s">
        <v>26</v>
      </c>
      <c r="B89" s="17" t="s">
        <v>359</v>
      </c>
      <c r="C89" s="18" t="s">
        <v>809</v>
      </c>
      <c r="D89" s="17" t="s">
        <v>28</v>
      </c>
      <c r="E89" s="17" t="s">
        <v>269</v>
      </c>
      <c r="F89" s="17" t="s">
        <v>339</v>
      </c>
      <c r="G89" s="298"/>
      <c r="H89" s="138"/>
      <c r="I89" s="138"/>
      <c r="J89" s="138"/>
      <c r="K89" s="138"/>
      <c r="L89" s="138"/>
      <c r="M89" s="138"/>
      <c r="N89" s="138"/>
      <c r="O89" s="139"/>
      <c r="P89" s="138"/>
      <c r="Q89" s="99"/>
      <c r="R89" s="99"/>
    </row>
    <row r="90" spans="1:18" ht="15" customHeight="1" thickBot="1" x14ac:dyDescent="0.35">
      <c r="A90" s="39" t="s">
        <v>26</v>
      </c>
      <c r="B90" s="39" t="s">
        <v>356</v>
      </c>
      <c r="C90" s="40" t="s">
        <v>752</v>
      </c>
      <c r="D90" s="39" t="s">
        <v>28</v>
      </c>
      <c r="E90" s="39" t="s">
        <v>255</v>
      </c>
      <c r="F90" s="39" t="s">
        <v>339</v>
      </c>
      <c r="G90" s="299"/>
      <c r="H90" s="140"/>
      <c r="I90" s="140"/>
      <c r="J90" s="140"/>
      <c r="K90" s="140"/>
      <c r="L90" s="140"/>
      <c r="M90" s="140"/>
      <c r="N90" s="140"/>
      <c r="O90" s="141"/>
      <c r="P90" s="140"/>
      <c r="Q90" s="142"/>
      <c r="R90" s="142"/>
    </row>
    <row r="91" spans="1:18" ht="17.399999999999999" customHeight="1" thickBot="1" x14ac:dyDescent="0.35">
      <c r="A91" s="329"/>
      <c r="B91" s="330"/>
      <c r="C91" s="330"/>
      <c r="D91" s="330"/>
      <c r="E91" s="330"/>
      <c r="F91" s="330"/>
      <c r="G91" s="330"/>
      <c r="H91" s="330"/>
      <c r="I91" s="330"/>
      <c r="J91" s="330"/>
      <c r="K91" s="330"/>
      <c r="L91" s="330"/>
      <c r="M91" s="330"/>
      <c r="N91" s="330"/>
      <c r="O91" s="330"/>
      <c r="P91" s="330"/>
      <c r="Q91" s="330"/>
      <c r="R91" s="331"/>
    </row>
    <row r="92" spans="1:18" ht="22.05" customHeight="1" thickTop="1" thickBot="1" x14ac:dyDescent="0.35">
      <c r="A92" s="300" t="s">
        <v>6</v>
      </c>
      <c r="B92" s="295"/>
      <c r="C92" s="295"/>
      <c r="D92" s="295"/>
      <c r="E92" s="295"/>
      <c r="F92" s="296"/>
      <c r="G92" s="31">
        <v>45986</v>
      </c>
      <c r="H92" s="294" t="s">
        <v>7</v>
      </c>
      <c r="I92" s="295"/>
      <c r="J92" s="295"/>
      <c r="K92" s="295"/>
      <c r="L92" s="295"/>
      <c r="M92" s="295"/>
      <c r="N92" s="295"/>
      <c r="O92" s="295"/>
      <c r="P92" s="295"/>
      <c r="Q92" s="295"/>
      <c r="R92" s="296"/>
    </row>
    <row r="93" spans="1:18" ht="24" customHeight="1" x14ac:dyDescent="0.3">
      <c r="A93" s="32" t="s">
        <v>8</v>
      </c>
      <c r="B93" s="32" t="s">
        <v>9</v>
      </c>
      <c r="C93" s="33" t="s">
        <v>10</v>
      </c>
      <c r="D93" s="32" t="s">
        <v>11</v>
      </c>
      <c r="E93" s="32" t="s">
        <v>12</v>
      </c>
      <c r="F93" s="34" t="s">
        <v>13</v>
      </c>
      <c r="G93" s="35" t="s">
        <v>14</v>
      </c>
      <c r="H93" s="32" t="s">
        <v>15</v>
      </c>
      <c r="I93" s="36" t="s">
        <v>16</v>
      </c>
      <c r="J93" s="37" t="s">
        <v>17</v>
      </c>
      <c r="K93" s="38" t="s">
        <v>18</v>
      </c>
      <c r="L93" s="37" t="s">
        <v>19</v>
      </c>
      <c r="M93" s="37" t="s">
        <v>20</v>
      </c>
      <c r="N93" s="37" t="s">
        <v>21</v>
      </c>
      <c r="O93" s="32" t="s">
        <v>22</v>
      </c>
      <c r="P93" s="33" t="s">
        <v>23</v>
      </c>
      <c r="Q93" s="37" t="s">
        <v>24</v>
      </c>
      <c r="R93" s="32" t="s">
        <v>25</v>
      </c>
    </row>
    <row r="94" spans="1:18" ht="15" customHeight="1" x14ac:dyDescent="0.3">
      <c r="A94" s="204" t="s">
        <v>77</v>
      </c>
      <c r="B94" s="204" t="s">
        <v>892</v>
      </c>
      <c r="C94" s="205">
        <v>0.16666666666666671</v>
      </c>
      <c r="D94" s="204" t="s">
        <v>101</v>
      </c>
      <c r="E94" s="204" t="s">
        <v>63</v>
      </c>
      <c r="F94" s="204" t="s">
        <v>904</v>
      </c>
      <c r="G94" s="304"/>
      <c r="H94" s="206" t="s">
        <v>894</v>
      </c>
      <c r="I94" s="207">
        <v>0.69440000000000002</v>
      </c>
      <c r="J94" s="208">
        <v>125</v>
      </c>
      <c r="K94" s="209">
        <v>45980</v>
      </c>
      <c r="L94" s="208">
        <v>47</v>
      </c>
      <c r="M94" s="208">
        <v>4</v>
      </c>
      <c r="N94" s="208">
        <v>9</v>
      </c>
      <c r="O94" s="210" t="s">
        <v>422</v>
      </c>
      <c r="P94" s="211">
        <v>0.16666666666666671</v>
      </c>
      <c r="Q94" s="208">
        <v>180</v>
      </c>
      <c r="R94" s="212" t="s">
        <v>921</v>
      </c>
    </row>
    <row r="95" spans="1:18" ht="15" customHeight="1" x14ac:dyDescent="0.3">
      <c r="A95" s="193" t="s">
        <v>77</v>
      </c>
      <c r="B95" s="193" t="s">
        <v>896</v>
      </c>
      <c r="C95" s="194">
        <v>0.52777777777777779</v>
      </c>
      <c r="D95" s="193" t="s">
        <v>101</v>
      </c>
      <c r="E95" s="193" t="s">
        <v>144</v>
      </c>
      <c r="F95" s="193" t="s">
        <v>904</v>
      </c>
      <c r="G95" s="298"/>
      <c r="H95" s="167" t="s">
        <v>897</v>
      </c>
      <c r="I95" s="215">
        <v>0.7389</v>
      </c>
      <c r="J95" s="169">
        <v>133</v>
      </c>
      <c r="K95" s="170">
        <v>45980</v>
      </c>
      <c r="L95" s="169">
        <v>57</v>
      </c>
      <c r="M95" s="169">
        <v>6</v>
      </c>
      <c r="N95" s="169">
        <v>11</v>
      </c>
      <c r="O95" s="171" t="s">
        <v>631</v>
      </c>
      <c r="P95" s="172">
        <v>0.52777777777777779</v>
      </c>
      <c r="Q95" s="169">
        <v>180</v>
      </c>
      <c r="R95" s="173" t="s">
        <v>922</v>
      </c>
    </row>
    <row r="96" spans="1:18" ht="15" customHeight="1" x14ac:dyDescent="0.3">
      <c r="A96" s="19" t="s">
        <v>48</v>
      </c>
      <c r="B96" s="19" t="s">
        <v>899</v>
      </c>
      <c r="C96" s="20">
        <v>0.16666666666666671</v>
      </c>
      <c r="D96" s="19" t="s">
        <v>50</v>
      </c>
      <c r="E96" s="19" t="s">
        <v>83</v>
      </c>
      <c r="F96" s="19" t="s">
        <v>920</v>
      </c>
      <c r="G96" s="298"/>
      <c r="H96" s="10"/>
      <c r="I96" s="11"/>
      <c r="J96" s="11"/>
      <c r="K96" s="11"/>
      <c r="L96" s="11"/>
      <c r="M96" s="11"/>
      <c r="N96" s="11"/>
      <c r="O96" s="12"/>
      <c r="P96" s="11"/>
      <c r="Q96" s="13"/>
      <c r="R96" s="14"/>
    </row>
    <row r="97" spans="1:18" ht="18" x14ac:dyDescent="0.3">
      <c r="A97" s="312" t="s">
        <v>763</v>
      </c>
      <c r="B97" s="313"/>
      <c r="C97" s="313"/>
      <c r="D97" s="313"/>
      <c r="E97" s="313"/>
      <c r="F97" s="314"/>
      <c r="G97" s="298"/>
      <c r="H97" s="138"/>
      <c r="I97" s="138"/>
      <c r="J97" s="138"/>
      <c r="K97" s="138"/>
      <c r="L97" s="138"/>
      <c r="M97" s="138"/>
      <c r="N97" s="138"/>
      <c r="O97" s="139"/>
      <c r="P97" s="138"/>
      <c r="Q97" s="99"/>
      <c r="R97" s="99"/>
    </row>
    <row r="98" spans="1:18" ht="15" customHeight="1" x14ac:dyDescent="0.3">
      <c r="A98" s="17" t="s">
        <v>41</v>
      </c>
      <c r="B98" s="17" t="s">
        <v>340</v>
      </c>
      <c r="C98" s="18" t="s">
        <v>746</v>
      </c>
      <c r="D98" s="17" t="s">
        <v>43</v>
      </c>
      <c r="E98" s="17" t="s">
        <v>253</v>
      </c>
      <c r="F98" s="17" t="s">
        <v>492</v>
      </c>
      <c r="G98" s="298"/>
      <c r="H98" s="138"/>
      <c r="I98" s="138"/>
      <c r="J98" s="138"/>
      <c r="K98" s="138"/>
      <c r="L98" s="138"/>
      <c r="M98" s="138"/>
      <c r="N98" s="138"/>
      <c r="O98" s="139"/>
      <c r="P98" s="138"/>
      <c r="Q98" s="99"/>
      <c r="R98" s="99"/>
    </row>
    <row r="99" spans="1:18" ht="15" customHeight="1" x14ac:dyDescent="0.3">
      <c r="A99" s="17" t="s">
        <v>41</v>
      </c>
      <c r="B99" s="17" t="s">
        <v>344</v>
      </c>
      <c r="C99" s="18" t="s">
        <v>747</v>
      </c>
      <c r="D99" s="17" t="s">
        <v>43</v>
      </c>
      <c r="E99" s="17" t="s">
        <v>262</v>
      </c>
      <c r="F99" s="17" t="s">
        <v>492</v>
      </c>
      <c r="G99" s="298"/>
      <c r="H99" s="138"/>
      <c r="I99" s="138"/>
      <c r="J99" s="138"/>
      <c r="K99" s="138"/>
      <c r="L99" s="138"/>
      <c r="M99" s="138"/>
      <c r="N99" s="138"/>
      <c r="O99" s="139"/>
      <c r="P99" s="138"/>
      <c r="Q99" s="99"/>
      <c r="R99" s="99"/>
    </row>
    <row r="100" spans="1:18" ht="15" customHeight="1" x14ac:dyDescent="0.3">
      <c r="A100" s="17" t="s">
        <v>41</v>
      </c>
      <c r="B100" s="17" t="s">
        <v>347</v>
      </c>
      <c r="C100" s="18" t="s">
        <v>748</v>
      </c>
      <c r="D100" s="17" t="s">
        <v>43</v>
      </c>
      <c r="E100" s="17" t="s">
        <v>255</v>
      </c>
      <c r="F100" s="17" t="s">
        <v>492</v>
      </c>
      <c r="G100" s="298"/>
      <c r="H100" s="138"/>
      <c r="I100" s="138"/>
      <c r="J100" s="138"/>
      <c r="K100" s="138"/>
      <c r="L100" s="138"/>
      <c r="M100" s="138"/>
      <c r="N100" s="138"/>
      <c r="O100" s="139"/>
      <c r="P100" s="138"/>
      <c r="Q100" s="99"/>
      <c r="R100" s="99"/>
    </row>
    <row r="101" spans="1:18" ht="15" customHeight="1" x14ac:dyDescent="0.3">
      <c r="A101" s="17" t="s">
        <v>41</v>
      </c>
      <c r="B101" s="17" t="s">
        <v>336</v>
      </c>
      <c r="C101" s="18" t="s">
        <v>745</v>
      </c>
      <c r="D101" s="17" t="s">
        <v>43</v>
      </c>
      <c r="E101" s="17" t="s">
        <v>275</v>
      </c>
      <c r="F101" s="17" t="s">
        <v>492</v>
      </c>
      <c r="G101" s="298"/>
      <c r="H101" s="138"/>
      <c r="I101" s="138"/>
      <c r="J101" s="138"/>
      <c r="K101" s="138"/>
      <c r="L101" s="138"/>
      <c r="M101" s="138"/>
      <c r="N101" s="138"/>
      <c r="O101" s="139"/>
      <c r="P101" s="138"/>
      <c r="Q101" s="99"/>
      <c r="R101" s="99"/>
    </row>
    <row r="102" spans="1:18" ht="15" customHeight="1" x14ac:dyDescent="0.3">
      <c r="A102" s="17" t="s">
        <v>26</v>
      </c>
      <c r="B102" s="17" t="s">
        <v>354</v>
      </c>
      <c r="C102" s="18" t="s">
        <v>751</v>
      </c>
      <c r="D102" s="17" t="s">
        <v>28</v>
      </c>
      <c r="E102" s="17" t="s">
        <v>275</v>
      </c>
      <c r="F102" s="17" t="s">
        <v>339</v>
      </c>
      <c r="G102" s="298"/>
      <c r="H102" s="138"/>
      <c r="I102" s="138"/>
      <c r="J102" s="138"/>
      <c r="K102" s="138"/>
      <c r="L102" s="138"/>
      <c r="M102" s="138"/>
      <c r="N102" s="138"/>
      <c r="O102" s="139"/>
      <c r="P102" s="138"/>
      <c r="Q102" s="99"/>
      <c r="R102" s="99"/>
    </row>
    <row r="103" spans="1:18" ht="15" customHeight="1" x14ac:dyDescent="0.3">
      <c r="A103" s="17" t="s">
        <v>26</v>
      </c>
      <c r="B103" s="17" t="s">
        <v>350</v>
      </c>
      <c r="C103" s="18" t="s">
        <v>749</v>
      </c>
      <c r="D103" s="17" t="s">
        <v>28</v>
      </c>
      <c r="E103" s="17" t="s">
        <v>260</v>
      </c>
      <c r="F103" s="17" t="s">
        <v>339</v>
      </c>
      <c r="G103" s="298"/>
      <c r="H103" s="138"/>
      <c r="I103" s="138"/>
      <c r="J103" s="138"/>
      <c r="K103" s="138"/>
      <c r="L103" s="138"/>
      <c r="M103" s="138"/>
      <c r="N103" s="138"/>
      <c r="O103" s="139"/>
      <c r="P103" s="138"/>
      <c r="Q103" s="99"/>
      <c r="R103" s="99"/>
    </row>
    <row r="104" spans="1:18" ht="15" customHeight="1" x14ac:dyDescent="0.3">
      <c r="A104" s="17" t="s">
        <v>26</v>
      </c>
      <c r="B104" s="17" t="s">
        <v>360</v>
      </c>
      <c r="C104" s="18" t="s">
        <v>801</v>
      </c>
      <c r="D104" s="17" t="s">
        <v>28</v>
      </c>
      <c r="E104" s="17" t="s">
        <v>260</v>
      </c>
      <c r="F104" s="17" t="s">
        <v>339</v>
      </c>
      <c r="G104" s="298"/>
      <c r="H104" s="138"/>
      <c r="I104" s="138"/>
      <c r="J104" s="138"/>
      <c r="K104" s="138"/>
      <c r="L104" s="138"/>
      <c r="M104" s="138"/>
      <c r="N104" s="138"/>
      <c r="O104" s="139"/>
      <c r="P104" s="138"/>
      <c r="Q104" s="99"/>
      <c r="R104" s="99"/>
    </row>
    <row r="105" spans="1:18" ht="15" customHeight="1" x14ac:dyDescent="0.3">
      <c r="A105" s="17" t="s">
        <v>26</v>
      </c>
      <c r="B105" s="17" t="s">
        <v>357</v>
      </c>
      <c r="C105" s="18" t="s">
        <v>753</v>
      </c>
      <c r="D105" s="17" t="s">
        <v>28</v>
      </c>
      <c r="E105" s="17" t="s">
        <v>260</v>
      </c>
      <c r="F105" s="17" t="s">
        <v>339</v>
      </c>
      <c r="G105" s="298"/>
      <c r="H105" s="138"/>
      <c r="I105" s="138"/>
      <c r="J105" s="138"/>
      <c r="K105" s="138"/>
      <c r="L105" s="138"/>
      <c r="M105" s="138"/>
      <c r="N105" s="138"/>
      <c r="O105" s="139"/>
      <c r="P105" s="138"/>
      <c r="Q105" s="99"/>
      <c r="R105" s="99"/>
    </row>
    <row r="106" spans="1:18" ht="15" customHeight="1" x14ac:dyDescent="0.3">
      <c r="A106" s="17" t="s">
        <v>385</v>
      </c>
      <c r="B106" s="17" t="s">
        <v>386</v>
      </c>
      <c r="C106" s="18" t="s">
        <v>819</v>
      </c>
      <c r="D106" s="17" t="s">
        <v>101</v>
      </c>
      <c r="E106" s="17" t="s">
        <v>256</v>
      </c>
      <c r="F106" s="17" t="s">
        <v>387</v>
      </c>
      <c r="G106" s="298"/>
      <c r="H106" s="138"/>
      <c r="I106" s="138"/>
      <c r="J106" s="138"/>
      <c r="K106" s="138"/>
      <c r="L106" s="138"/>
      <c r="M106" s="138"/>
      <c r="N106" s="138"/>
      <c r="O106" s="139"/>
      <c r="P106" s="138"/>
      <c r="Q106" s="99"/>
      <c r="R106" s="99"/>
    </row>
    <row r="107" spans="1:18" ht="15" customHeight="1" thickBot="1" x14ac:dyDescent="0.35">
      <c r="A107" s="39" t="s">
        <v>385</v>
      </c>
      <c r="B107" s="39" t="s">
        <v>435</v>
      </c>
      <c r="C107" s="40" t="s">
        <v>584</v>
      </c>
      <c r="D107" s="39" t="s">
        <v>101</v>
      </c>
      <c r="E107" s="39" t="s">
        <v>256</v>
      </c>
      <c r="F107" s="39" t="s">
        <v>387</v>
      </c>
      <c r="G107" s="299"/>
      <c r="H107" s="140"/>
      <c r="I107" s="140"/>
      <c r="J107" s="140"/>
      <c r="K107" s="140"/>
      <c r="L107" s="140"/>
      <c r="M107" s="140"/>
      <c r="N107" s="140"/>
      <c r="O107" s="141"/>
      <c r="P107" s="140"/>
      <c r="Q107" s="142"/>
      <c r="R107" s="142"/>
    </row>
    <row r="108" spans="1:18" ht="17.399999999999999" customHeight="1" thickBot="1" x14ac:dyDescent="0.35">
      <c r="A108" s="329"/>
      <c r="B108" s="330"/>
      <c r="C108" s="330"/>
      <c r="D108" s="330"/>
      <c r="E108" s="330"/>
      <c r="F108" s="330"/>
      <c r="G108" s="330"/>
      <c r="H108" s="330"/>
      <c r="I108" s="330"/>
      <c r="J108" s="330"/>
      <c r="K108" s="330"/>
      <c r="L108" s="330"/>
      <c r="M108" s="330"/>
      <c r="N108" s="330"/>
      <c r="O108" s="330"/>
      <c r="P108" s="330"/>
      <c r="Q108" s="330"/>
      <c r="R108" s="331"/>
    </row>
    <row r="109" spans="1:18" ht="22.05" customHeight="1" thickTop="1" thickBot="1" x14ac:dyDescent="0.35">
      <c r="A109" s="300" t="s">
        <v>6</v>
      </c>
      <c r="B109" s="295"/>
      <c r="C109" s="295"/>
      <c r="D109" s="295"/>
      <c r="E109" s="295"/>
      <c r="F109" s="296"/>
      <c r="G109" s="31">
        <v>45987</v>
      </c>
      <c r="H109" s="294" t="s">
        <v>7</v>
      </c>
      <c r="I109" s="295"/>
      <c r="J109" s="295"/>
      <c r="K109" s="295"/>
      <c r="L109" s="295"/>
      <c r="M109" s="295"/>
      <c r="N109" s="295"/>
      <c r="O109" s="295"/>
      <c r="P109" s="295"/>
      <c r="Q109" s="295"/>
      <c r="R109" s="296"/>
    </row>
    <row r="110" spans="1:18" ht="24" customHeight="1" x14ac:dyDescent="0.3">
      <c r="A110" s="32" t="s">
        <v>8</v>
      </c>
      <c r="B110" s="32" t="s">
        <v>9</v>
      </c>
      <c r="C110" s="33" t="s">
        <v>10</v>
      </c>
      <c r="D110" s="32" t="s">
        <v>11</v>
      </c>
      <c r="E110" s="32" t="s">
        <v>12</v>
      </c>
      <c r="F110" s="34" t="s">
        <v>13</v>
      </c>
      <c r="G110" s="35" t="s">
        <v>14</v>
      </c>
      <c r="H110" s="32" t="s">
        <v>15</v>
      </c>
      <c r="I110" s="36" t="s">
        <v>16</v>
      </c>
      <c r="J110" s="37" t="s">
        <v>17</v>
      </c>
      <c r="K110" s="38" t="s">
        <v>18</v>
      </c>
      <c r="L110" s="37" t="s">
        <v>19</v>
      </c>
      <c r="M110" s="37" t="s">
        <v>20</v>
      </c>
      <c r="N110" s="37" t="s">
        <v>21</v>
      </c>
      <c r="O110" s="32" t="s">
        <v>22</v>
      </c>
      <c r="P110" s="33" t="s">
        <v>23</v>
      </c>
      <c r="Q110" s="37" t="s">
        <v>24</v>
      </c>
      <c r="R110" s="32" t="s">
        <v>25</v>
      </c>
    </row>
    <row r="111" spans="1:18" ht="15" customHeight="1" x14ac:dyDescent="0.3">
      <c r="A111" s="8" t="s">
        <v>41</v>
      </c>
      <c r="B111" s="8" t="s">
        <v>908</v>
      </c>
      <c r="C111" s="9">
        <v>0.36458333333333331</v>
      </c>
      <c r="D111" s="8" t="s">
        <v>778</v>
      </c>
      <c r="E111" s="8" t="s">
        <v>105</v>
      </c>
      <c r="F111" s="8" t="s">
        <v>923</v>
      </c>
      <c r="G111" s="304"/>
      <c r="H111" s="10"/>
      <c r="I111" s="11"/>
      <c r="J111" s="11"/>
      <c r="K111" s="11"/>
      <c r="L111" s="11"/>
      <c r="M111" s="11"/>
      <c r="N111" s="11"/>
      <c r="O111" s="12"/>
      <c r="P111" s="11"/>
      <c r="Q111" s="13"/>
      <c r="R111" s="14"/>
    </row>
    <row r="112" spans="1:18" ht="15" customHeight="1" x14ac:dyDescent="0.3">
      <c r="A112" s="15" t="s">
        <v>41</v>
      </c>
      <c r="B112" s="15" t="s">
        <v>908</v>
      </c>
      <c r="C112" s="16">
        <v>0.36458333333333331</v>
      </c>
      <c r="D112" s="15" t="s">
        <v>756</v>
      </c>
      <c r="E112" s="15" t="s">
        <v>106</v>
      </c>
      <c r="F112" s="15" t="s">
        <v>924</v>
      </c>
      <c r="G112" s="298"/>
      <c r="H112" s="10"/>
      <c r="I112" s="11"/>
      <c r="J112" s="11"/>
      <c r="K112" s="11"/>
      <c r="L112" s="11"/>
      <c r="M112" s="11"/>
      <c r="N112" s="11"/>
      <c r="O112" s="12"/>
      <c r="P112" s="11"/>
      <c r="Q112" s="13"/>
      <c r="R112" s="14"/>
    </row>
    <row r="113" spans="1:18" ht="15" customHeight="1" x14ac:dyDescent="0.3">
      <c r="A113" s="15" t="s">
        <v>41</v>
      </c>
      <c r="B113" s="15" t="s">
        <v>908</v>
      </c>
      <c r="C113" s="16">
        <v>0.36458333333333331</v>
      </c>
      <c r="D113" s="15" t="s">
        <v>769</v>
      </c>
      <c r="E113" s="15" t="s">
        <v>106</v>
      </c>
      <c r="F113" s="15" t="s">
        <v>925</v>
      </c>
      <c r="G113" s="298"/>
      <c r="H113" s="10"/>
      <c r="I113" s="11"/>
      <c r="J113" s="11"/>
      <c r="K113" s="11"/>
      <c r="L113" s="11"/>
      <c r="M113" s="11"/>
      <c r="N113" s="11"/>
      <c r="O113" s="12"/>
      <c r="P113" s="11"/>
      <c r="Q113" s="13"/>
      <c r="R113" s="14"/>
    </row>
    <row r="114" spans="1:18" ht="15" customHeight="1" x14ac:dyDescent="0.3">
      <c r="A114" s="15" t="s">
        <v>41</v>
      </c>
      <c r="B114" s="15" t="s">
        <v>908</v>
      </c>
      <c r="C114" s="16">
        <v>0.36458333333333331</v>
      </c>
      <c r="D114" s="15" t="s">
        <v>782</v>
      </c>
      <c r="E114" s="15" t="s">
        <v>106</v>
      </c>
      <c r="F114" s="15" t="s">
        <v>143</v>
      </c>
      <c r="G114" s="298"/>
      <c r="H114" s="10"/>
      <c r="I114" s="11"/>
      <c r="J114" s="11"/>
      <c r="K114" s="11"/>
      <c r="L114" s="11"/>
      <c r="M114" s="11"/>
      <c r="N114" s="11"/>
      <c r="O114" s="12"/>
      <c r="P114" s="11"/>
      <c r="Q114" s="13"/>
      <c r="R114" s="14"/>
    </row>
    <row r="115" spans="1:18" ht="15" customHeight="1" x14ac:dyDescent="0.3">
      <c r="A115" s="204" t="s">
        <v>77</v>
      </c>
      <c r="B115" s="204" t="s">
        <v>900</v>
      </c>
      <c r="C115" s="205">
        <v>0.5</v>
      </c>
      <c r="D115" s="204" t="s">
        <v>101</v>
      </c>
      <c r="E115" s="204" t="s">
        <v>139</v>
      </c>
      <c r="F115" s="204" t="s">
        <v>901</v>
      </c>
      <c r="G115" s="298"/>
      <c r="H115" s="206" t="s">
        <v>902</v>
      </c>
      <c r="I115" s="225">
        <v>0.9778</v>
      </c>
      <c r="J115" s="208">
        <v>176</v>
      </c>
      <c r="K115" s="209">
        <v>45979</v>
      </c>
      <c r="L115" s="208">
        <v>2</v>
      </c>
      <c r="M115" s="208">
        <v>0</v>
      </c>
      <c r="N115" s="208">
        <v>1</v>
      </c>
      <c r="O115" s="210" t="s">
        <v>294</v>
      </c>
      <c r="P115" s="211">
        <v>0.5</v>
      </c>
      <c r="Q115" s="208">
        <v>180</v>
      </c>
      <c r="R115" s="212" t="s">
        <v>926</v>
      </c>
    </row>
    <row r="116" spans="1:18" ht="15" customHeight="1" x14ac:dyDescent="0.3">
      <c r="A116" s="198" t="s">
        <v>77</v>
      </c>
      <c r="B116" s="198" t="s">
        <v>894</v>
      </c>
      <c r="C116" s="199">
        <v>0.1076388888888889</v>
      </c>
      <c r="D116" s="198" t="s">
        <v>79</v>
      </c>
      <c r="E116" s="226"/>
      <c r="F116" s="198" t="s">
        <v>80</v>
      </c>
      <c r="G116" s="298"/>
      <c r="H116" s="131" t="s">
        <v>894</v>
      </c>
      <c r="I116" s="132">
        <v>1</v>
      </c>
      <c r="J116" s="133">
        <v>180</v>
      </c>
      <c r="K116" s="134">
        <v>45905</v>
      </c>
      <c r="L116" s="133">
        <v>0</v>
      </c>
      <c r="M116" s="133">
        <v>0</v>
      </c>
      <c r="N116" s="133">
        <v>0</v>
      </c>
      <c r="O116" s="135" t="s">
        <v>81</v>
      </c>
      <c r="P116" s="136">
        <v>0.1076388888888889</v>
      </c>
      <c r="Q116" s="133">
        <v>180</v>
      </c>
      <c r="R116" s="137" t="s">
        <v>927</v>
      </c>
    </row>
    <row r="117" spans="1:18" ht="15" customHeight="1" x14ac:dyDescent="0.3">
      <c r="A117" s="193" t="s">
        <v>77</v>
      </c>
      <c r="B117" s="193" t="s">
        <v>916</v>
      </c>
      <c r="C117" s="194">
        <v>0.92361111111111116</v>
      </c>
      <c r="D117" s="193" t="s">
        <v>79</v>
      </c>
      <c r="E117" s="230"/>
      <c r="F117" s="193" t="s">
        <v>80</v>
      </c>
      <c r="G117" s="298"/>
      <c r="H117" s="167" t="s">
        <v>916</v>
      </c>
      <c r="I117" s="168">
        <v>0.99439999999999995</v>
      </c>
      <c r="J117" s="169">
        <v>179</v>
      </c>
      <c r="K117" s="170">
        <v>45980</v>
      </c>
      <c r="L117" s="169">
        <v>22</v>
      </c>
      <c r="M117" s="169">
        <v>1</v>
      </c>
      <c r="N117" s="169">
        <v>6</v>
      </c>
      <c r="O117" s="171" t="s">
        <v>81</v>
      </c>
      <c r="P117" s="172">
        <v>0.92361111111111116</v>
      </c>
      <c r="Q117" s="169">
        <v>180</v>
      </c>
      <c r="R117" s="173" t="s">
        <v>928</v>
      </c>
    </row>
    <row r="118" spans="1:18" ht="15" customHeight="1" x14ac:dyDescent="0.3">
      <c r="A118" s="19" t="s">
        <v>48</v>
      </c>
      <c r="B118" s="19" t="s">
        <v>918</v>
      </c>
      <c r="C118" s="20">
        <v>0.92361111111111116</v>
      </c>
      <c r="D118" s="19" t="s">
        <v>107</v>
      </c>
      <c r="E118" s="19" t="s">
        <v>83</v>
      </c>
      <c r="F118" s="19" t="s">
        <v>919</v>
      </c>
      <c r="G118" s="298"/>
      <c r="H118" s="10"/>
      <c r="I118" s="11"/>
      <c r="J118" s="11"/>
      <c r="K118" s="11"/>
      <c r="L118" s="11"/>
      <c r="M118" s="11"/>
      <c r="N118" s="11"/>
      <c r="O118" s="12"/>
      <c r="P118" s="11"/>
      <c r="Q118" s="13"/>
      <c r="R118" s="14"/>
    </row>
    <row r="119" spans="1:18" ht="18" x14ac:dyDescent="0.3">
      <c r="A119" s="312" t="s">
        <v>763</v>
      </c>
      <c r="B119" s="313"/>
      <c r="C119" s="313"/>
      <c r="D119" s="313"/>
      <c r="E119" s="313"/>
      <c r="F119" s="314"/>
      <c r="G119" s="298"/>
      <c r="H119" s="138"/>
      <c r="I119" s="138"/>
      <c r="J119" s="138"/>
      <c r="K119" s="138"/>
      <c r="L119" s="138"/>
      <c r="M119" s="138"/>
      <c r="N119" s="138"/>
      <c r="O119" s="139"/>
      <c r="P119" s="138"/>
      <c r="Q119" s="99"/>
      <c r="R119" s="99"/>
    </row>
    <row r="120" spans="1:18" ht="15" customHeight="1" x14ac:dyDescent="0.3">
      <c r="A120" s="17" t="s">
        <v>77</v>
      </c>
      <c r="B120" s="17" t="s">
        <v>374</v>
      </c>
      <c r="C120" s="18" t="s">
        <v>678</v>
      </c>
      <c r="D120" s="17" t="s">
        <v>101</v>
      </c>
      <c r="E120" s="17" t="s">
        <v>260</v>
      </c>
      <c r="F120" s="17" t="s">
        <v>362</v>
      </c>
      <c r="G120" s="298"/>
      <c r="H120" s="138"/>
      <c r="I120" s="138"/>
      <c r="J120" s="138"/>
      <c r="K120" s="138"/>
      <c r="L120" s="138"/>
      <c r="M120" s="138"/>
      <c r="N120" s="138"/>
      <c r="O120" s="139"/>
      <c r="P120" s="138"/>
      <c r="Q120" s="99"/>
      <c r="R120" s="99"/>
    </row>
    <row r="121" spans="1:18" ht="15" customHeight="1" x14ac:dyDescent="0.3">
      <c r="A121" s="17" t="s">
        <v>41</v>
      </c>
      <c r="B121" s="17" t="s">
        <v>340</v>
      </c>
      <c r="C121" s="18" t="s">
        <v>746</v>
      </c>
      <c r="D121" s="17" t="s">
        <v>43</v>
      </c>
      <c r="E121" s="17" t="s">
        <v>795</v>
      </c>
      <c r="F121" s="17" t="s">
        <v>492</v>
      </c>
      <c r="G121" s="298"/>
      <c r="H121" s="138"/>
      <c r="I121" s="138"/>
      <c r="J121" s="138"/>
      <c r="K121" s="138"/>
      <c r="L121" s="138"/>
      <c r="M121" s="138"/>
      <c r="N121" s="138"/>
      <c r="O121" s="139"/>
      <c r="P121" s="138"/>
      <c r="Q121" s="99"/>
      <c r="R121" s="99"/>
    </row>
    <row r="122" spans="1:18" ht="15" customHeight="1" x14ac:dyDescent="0.3">
      <c r="A122" s="17" t="s">
        <v>41</v>
      </c>
      <c r="B122" s="17" t="s">
        <v>344</v>
      </c>
      <c r="C122" s="18" t="s">
        <v>747</v>
      </c>
      <c r="D122" s="17" t="s">
        <v>43</v>
      </c>
      <c r="E122" s="17" t="s">
        <v>262</v>
      </c>
      <c r="F122" s="17" t="s">
        <v>492</v>
      </c>
      <c r="G122" s="298"/>
      <c r="H122" s="138"/>
      <c r="I122" s="138"/>
      <c r="J122" s="138"/>
      <c r="K122" s="138"/>
      <c r="L122" s="138"/>
      <c r="M122" s="138"/>
      <c r="N122" s="138"/>
      <c r="O122" s="139"/>
      <c r="P122" s="138"/>
      <c r="Q122" s="99"/>
      <c r="R122" s="99"/>
    </row>
    <row r="123" spans="1:18" ht="15" customHeight="1" x14ac:dyDescent="0.3">
      <c r="A123" s="17" t="s">
        <v>41</v>
      </c>
      <c r="B123" s="17" t="s">
        <v>336</v>
      </c>
      <c r="C123" s="18" t="s">
        <v>745</v>
      </c>
      <c r="D123" s="17" t="s">
        <v>43</v>
      </c>
      <c r="E123" s="17" t="s">
        <v>262</v>
      </c>
      <c r="F123" s="17" t="s">
        <v>492</v>
      </c>
      <c r="G123" s="298"/>
      <c r="H123" s="138"/>
      <c r="I123" s="138"/>
      <c r="J123" s="138"/>
      <c r="K123" s="138"/>
      <c r="L123" s="138"/>
      <c r="M123" s="138"/>
      <c r="N123" s="138"/>
      <c r="O123" s="139"/>
      <c r="P123" s="138"/>
      <c r="Q123" s="99"/>
      <c r="R123" s="99"/>
    </row>
    <row r="124" spans="1:18" ht="15" customHeight="1" x14ac:dyDescent="0.3">
      <c r="A124" s="17" t="s">
        <v>26</v>
      </c>
      <c r="B124" s="17" t="s">
        <v>354</v>
      </c>
      <c r="C124" s="18" t="s">
        <v>751</v>
      </c>
      <c r="D124" s="17" t="s">
        <v>28</v>
      </c>
      <c r="E124" s="17" t="s">
        <v>260</v>
      </c>
      <c r="F124" s="17" t="s">
        <v>339</v>
      </c>
      <c r="G124" s="298"/>
      <c r="H124" s="138"/>
      <c r="I124" s="138"/>
      <c r="J124" s="138"/>
      <c r="K124" s="138"/>
      <c r="L124" s="138"/>
      <c r="M124" s="138"/>
      <c r="N124" s="138"/>
      <c r="O124" s="139"/>
      <c r="P124" s="138"/>
      <c r="Q124" s="99"/>
      <c r="R124" s="99"/>
    </row>
    <row r="125" spans="1:18" ht="15" customHeight="1" x14ac:dyDescent="0.3">
      <c r="A125" s="17" t="s">
        <v>385</v>
      </c>
      <c r="B125" s="17" t="s">
        <v>386</v>
      </c>
      <c r="C125" s="18" t="s">
        <v>819</v>
      </c>
      <c r="D125" s="17" t="s">
        <v>101</v>
      </c>
      <c r="E125" s="17" t="s">
        <v>256</v>
      </c>
      <c r="F125" s="17" t="s">
        <v>387</v>
      </c>
      <c r="G125" s="298"/>
      <c r="H125" s="138"/>
      <c r="I125" s="138"/>
      <c r="J125" s="138"/>
      <c r="K125" s="138"/>
      <c r="L125" s="138"/>
      <c r="M125" s="138"/>
      <c r="N125" s="138"/>
      <c r="O125" s="139"/>
      <c r="P125" s="138"/>
      <c r="Q125" s="99"/>
      <c r="R125" s="99"/>
    </row>
    <row r="126" spans="1:18" ht="15" customHeight="1" x14ac:dyDescent="0.3">
      <c r="A126" s="17" t="s">
        <v>385</v>
      </c>
      <c r="B126" s="17" t="s">
        <v>435</v>
      </c>
      <c r="C126" s="18" t="s">
        <v>827</v>
      </c>
      <c r="D126" s="17" t="s">
        <v>101</v>
      </c>
      <c r="E126" s="17" t="s">
        <v>303</v>
      </c>
      <c r="F126" s="17" t="s">
        <v>387</v>
      </c>
      <c r="G126" s="298"/>
      <c r="H126" s="138"/>
      <c r="I126" s="138"/>
      <c r="J126" s="138"/>
      <c r="K126" s="138"/>
      <c r="L126" s="138"/>
      <c r="M126" s="138"/>
      <c r="N126" s="138"/>
      <c r="O126" s="139"/>
      <c r="P126" s="138"/>
      <c r="Q126" s="99"/>
      <c r="R126" s="99"/>
    </row>
    <row r="127" spans="1:18" ht="15" customHeight="1" x14ac:dyDescent="0.3">
      <c r="A127" s="17" t="s">
        <v>41</v>
      </c>
      <c r="B127" s="17" t="s">
        <v>347</v>
      </c>
      <c r="C127" s="18" t="s">
        <v>748</v>
      </c>
      <c r="D127" s="17" t="s">
        <v>43</v>
      </c>
      <c r="E127" s="17" t="s">
        <v>255</v>
      </c>
      <c r="F127" s="17" t="s">
        <v>508</v>
      </c>
      <c r="G127" s="298"/>
      <c r="H127" s="138"/>
      <c r="I127" s="138"/>
      <c r="J127" s="138"/>
      <c r="K127" s="138"/>
      <c r="L127" s="138"/>
      <c r="M127" s="138"/>
      <c r="N127" s="138"/>
      <c r="O127" s="139"/>
      <c r="P127" s="138"/>
      <c r="Q127" s="99"/>
      <c r="R127" s="99"/>
    </row>
    <row r="128" spans="1:18" ht="15" customHeight="1" x14ac:dyDescent="0.3">
      <c r="A128" s="17" t="s">
        <v>388</v>
      </c>
      <c r="B128" s="17" t="s">
        <v>389</v>
      </c>
      <c r="C128" s="18" t="s">
        <v>828</v>
      </c>
      <c r="D128" s="17" t="s">
        <v>390</v>
      </c>
      <c r="E128" s="17" t="s">
        <v>254</v>
      </c>
      <c r="F128" s="17" t="s">
        <v>509</v>
      </c>
      <c r="G128" s="298"/>
      <c r="H128" s="138"/>
      <c r="I128" s="138"/>
      <c r="J128" s="138"/>
      <c r="K128" s="138"/>
      <c r="L128" s="138"/>
      <c r="M128" s="138"/>
      <c r="N128" s="138"/>
      <c r="O128" s="139"/>
      <c r="P128" s="138"/>
      <c r="Q128" s="99"/>
      <c r="R128" s="99"/>
    </row>
    <row r="129" spans="1:18" ht="15" customHeight="1" thickBot="1" x14ac:dyDescent="0.35">
      <c r="A129" s="39" t="s">
        <v>26</v>
      </c>
      <c r="B129" s="39" t="s">
        <v>350</v>
      </c>
      <c r="C129" s="40" t="s">
        <v>749</v>
      </c>
      <c r="D129" s="39" t="s">
        <v>28</v>
      </c>
      <c r="E129" s="39" t="s">
        <v>254</v>
      </c>
      <c r="F129" s="39" t="s">
        <v>456</v>
      </c>
      <c r="G129" s="299"/>
      <c r="H129" s="140"/>
      <c r="I129" s="140"/>
      <c r="J129" s="140"/>
      <c r="K129" s="140"/>
      <c r="L129" s="140"/>
      <c r="M129" s="140"/>
      <c r="N129" s="140"/>
      <c r="O129" s="141"/>
      <c r="P129" s="140"/>
      <c r="Q129" s="142"/>
      <c r="R129" s="142"/>
    </row>
    <row r="130" spans="1:18" ht="17.399999999999999" customHeight="1" thickBot="1" x14ac:dyDescent="0.35">
      <c r="A130" s="329"/>
      <c r="B130" s="330"/>
      <c r="C130" s="330"/>
      <c r="D130" s="330"/>
      <c r="E130" s="330"/>
      <c r="F130" s="330"/>
      <c r="G130" s="330"/>
      <c r="H130" s="330"/>
      <c r="I130" s="330"/>
      <c r="J130" s="330"/>
      <c r="K130" s="330"/>
      <c r="L130" s="330"/>
      <c r="M130" s="330"/>
      <c r="N130" s="330"/>
      <c r="O130" s="330"/>
      <c r="P130" s="330"/>
      <c r="Q130" s="330"/>
      <c r="R130" s="331"/>
    </row>
    <row r="131" spans="1:18" ht="22.05" customHeight="1" thickTop="1" thickBot="1" x14ac:dyDescent="0.35">
      <c r="A131" s="300" t="s">
        <v>6</v>
      </c>
      <c r="B131" s="295"/>
      <c r="C131" s="295"/>
      <c r="D131" s="295"/>
      <c r="E131" s="295"/>
      <c r="F131" s="296"/>
      <c r="G131" s="31">
        <v>45988</v>
      </c>
      <c r="H131" s="294" t="s">
        <v>7</v>
      </c>
      <c r="I131" s="295"/>
      <c r="J131" s="295"/>
      <c r="K131" s="295"/>
      <c r="L131" s="295"/>
      <c r="M131" s="295"/>
      <c r="N131" s="295"/>
      <c r="O131" s="295"/>
      <c r="P131" s="295"/>
      <c r="Q131" s="295"/>
      <c r="R131" s="296"/>
    </row>
    <row r="132" spans="1:18" ht="24" customHeight="1" x14ac:dyDescent="0.3">
      <c r="A132" s="32" t="s">
        <v>8</v>
      </c>
      <c r="B132" s="32" t="s">
        <v>9</v>
      </c>
      <c r="C132" s="33" t="s">
        <v>10</v>
      </c>
      <c r="D132" s="32" t="s">
        <v>11</v>
      </c>
      <c r="E132" s="32" t="s">
        <v>12</v>
      </c>
      <c r="F132" s="34" t="s">
        <v>13</v>
      </c>
      <c r="G132" s="35" t="s">
        <v>14</v>
      </c>
      <c r="H132" s="32" t="s">
        <v>15</v>
      </c>
      <c r="I132" s="36" t="s">
        <v>16</v>
      </c>
      <c r="J132" s="37" t="s">
        <v>17</v>
      </c>
      <c r="K132" s="38" t="s">
        <v>18</v>
      </c>
      <c r="L132" s="37" t="s">
        <v>19</v>
      </c>
      <c r="M132" s="37" t="s">
        <v>20</v>
      </c>
      <c r="N132" s="37" t="s">
        <v>21</v>
      </c>
      <c r="O132" s="32" t="s">
        <v>22</v>
      </c>
      <c r="P132" s="33" t="s">
        <v>23</v>
      </c>
      <c r="Q132" s="37" t="s">
        <v>24</v>
      </c>
      <c r="R132" s="32" t="s">
        <v>25</v>
      </c>
    </row>
    <row r="133" spans="1:18" ht="15" customHeight="1" x14ac:dyDescent="0.3">
      <c r="A133" s="75" t="s">
        <v>77</v>
      </c>
      <c r="B133" s="75" t="s">
        <v>896</v>
      </c>
      <c r="C133" s="76">
        <v>0.54861111111111105</v>
      </c>
      <c r="D133" s="75" t="s">
        <v>101</v>
      </c>
      <c r="E133" s="75" t="s">
        <v>51</v>
      </c>
      <c r="F133" s="75" t="s">
        <v>904</v>
      </c>
      <c r="G133" s="304"/>
      <c r="H133" s="78" t="s">
        <v>897</v>
      </c>
      <c r="I133" s="79">
        <v>0.95</v>
      </c>
      <c r="J133" s="80">
        <v>171</v>
      </c>
      <c r="K133" s="81">
        <v>45979</v>
      </c>
      <c r="L133" s="80">
        <v>18</v>
      </c>
      <c r="M133" s="80">
        <v>0</v>
      </c>
      <c r="N133" s="80">
        <v>5</v>
      </c>
      <c r="O133" s="82" t="s">
        <v>631</v>
      </c>
      <c r="P133" s="83">
        <v>0.54861111111111105</v>
      </c>
      <c r="Q133" s="80">
        <v>180</v>
      </c>
      <c r="R133" s="84" t="s">
        <v>929</v>
      </c>
    </row>
    <row r="134" spans="1:18" ht="15" customHeight="1" x14ac:dyDescent="0.3">
      <c r="A134" s="195" t="s">
        <v>77</v>
      </c>
      <c r="B134" s="195" t="s">
        <v>894</v>
      </c>
      <c r="C134" s="196">
        <v>0.3298611111111111</v>
      </c>
      <c r="D134" s="195" t="s">
        <v>79</v>
      </c>
      <c r="E134" s="221"/>
      <c r="F134" s="195" t="s">
        <v>80</v>
      </c>
      <c r="G134" s="298"/>
      <c r="H134" s="181" t="s">
        <v>894</v>
      </c>
      <c r="I134" s="182">
        <v>1</v>
      </c>
      <c r="J134" s="183">
        <v>180</v>
      </c>
      <c r="K134" s="184">
        <v>45980</v>
      </c>
      <c r="L134" s="183">
        <v>26</v>
      </c>
      <c r="M134" s="183">
        <v>1</v>
      </c>
      <c r="N134" s="183">
        <v>5</v>
      </c>
      <c r="O134" s="185" t="s">
        <v>81</v>
      </c>
      <c r="P134" s="186">
        <v>0.3298611111111111</v>
      </c>
      <c r="Q134" s="183">
        <v>180</v>
      </c>
      <c r="R134" s="187" t="s">
        <v>930</v>
      </c>
    </row>
    <row r="135" spans="1:18" ht="18" x14ac:dyDescent="0.3">
      <c r="A135" s="312" t="s">
        <v>763</v>
      </c>
      <c r="B135" s="313"/>
      <c r="C135" s="313"/>
      <c r="D135" s="313"/>
      <c r="E135" s="313"/>
      <c r="F135" s="314"/>
      <c r="G135" s="298"/>
      <c r="H135" s="138"/>
      <c r="I135" s="138"/>
      <c r="J135" s="138"/>
      <c r="K135" s="138"/>
      <c r="L135" s="138"/>
      <c r="M135" s="138"/>
      <c r="N135" s="138"/>
      <c r="O135" s="139"/>
      <c r="P135" s="138"/>
      <c r="Q135" s="99"/>
      <c r="R135" s="99"/>
    </row>
    <row r="136" spans="1:18" ht="15" customHeight="1" x14ac:dyDescent="0.3">
      <c r="A136" s="17" t="s">
        <v>41</v>
      </c>
      <c r="B136" s="17" t="s">
        <v>347</v>
      </c>
      <c r="C136" s="18" t="s">
        <v>748</v>
      </c>
      <c r="D136" s="17" t="s">
        <v>43</v>
      </c>
      <c r="E136" s="17" t="s">
        <v>259</v>
      </c>
      <c r="F136" s="17" t="s">
        <v>508</v>
      </c>
      <c r="G136" s="298"/>
      <c r="H136" s="138"/>
      <c r="I136" s="138"/>
      <c r="J136" s="138"/>
      <c r="K136" s="138"/>
      <c r="L136" s="138"/>
      <c r="M136" s="138"/>
      <c r="N136" s="138"/>
      <c r="O136" s="139"/>
      <c r="P136" s="138"/>
      <c r="Q136" s="99"/>
      <c r="R136" s="99"/>
    </row>
    <row r="137" spans="1:18" ht="15" customHeight="1" x14ac:dyDescent="0.3">
      <c r="A137" s="17" t="s">
        <v>41</v>
      </c>
      <c r="B137" s="17" t="s">
        <v>336</v>
      </c>
      <c r="C137" s="18" t="s">
        <v>745</v>
      </c>
      <c r="D137" s="17" t="s">
        <v>43</v>
      </c>
      <c r="E137" s="17" t="s">
        <v>253</v>
      </c>
      <c r="F137" s="17" t="s">
        <v>508</v>
      </c>
      <c r="G137" s="298"/>
      <c r="H137" s="138"/>
      <c r="I137" s="138"/>
      <c r="J137" s="138"/>
      <c r="K137" s="138"/>
      <c r="L137" s="138"/>
      <c r="M137" s="138"/>
      <c r="N137" s="138"/>
      <c r="O137" s="139"/>
      <c r="P137" s="138"/>
      <c r="Q137" s="99"/>
      <c r="R137" s="99"/>
    </row>
    <row r="138" spans="1:18" ht="15" customHeight="1" x14ac:dyDescent="0.3">
      <c r="A138" s="17" t="s">
        <v>41</v>
      </c>
      <c r="B138" s="17" t="s">
        <v>340</v>
      </c>
      <c r="C138" s="18" t="s">
        <v>746</v>
      </c>
      <c r="D138" s="17" t="s">
        <v>43</v>
      </c>
      <c r="E138" s="17" t="s">
        <v>253</v>
      </c>
      <c r="F138" s="17" t="s">
        <v>143</v>
      </c>
      <c r="G138" s="298"/>
      <c r="H138" s="138"/>
      <c r="I138" s="138"/>
      <c r="J138" s="138"/>
      <c r="K138" s="138"/>
      <c r="L138" s="138"/>
      <c r="M138" s="138"/>
      <c r="N138" s="138"/>
      <c r="O138" s="139"/>
      <c r="P138" s="138"/>
      <c r="Q138" s="99"/>
      <c r="R138" s="99"/>
    </row>
    <row r="139" spans="1:18" ht="15" customHeight="1" x14ac:dyDescent="0.3">
      <c r="A139" s="17" t="s">
        <v>41</v>
      </c>
      <c r="B139" s="17" t="s">
        <v>344</v>
      </c>
      <c r="C139" s="18" t="s">
        <v>747</v>
      </c>
      <c r="D139" s="17" t="s">
        <v>43</v>
      </c>
      <c r="E139" s="17" t="s">
        <v>254</v>
      </c>
      <c r="F139" s="17" t="s">
        <v>143</v>
      </c>
      <c r="G139" s="298"/>
      <c r="H139" s="138"/>
      <c r="I139" s="138"/>
      <c r="J139" s="138"/>
      <c r="K139" s="138"/>
      <c r="L139" s="138"/>
      <c r="M139" s="138"/>
      <c r="N139" s="138"/>
      <c r="O139" s="139"/>
      <c r="P139" s="138"/>
      <c r="Q139" s="99"/>
      <c r="R139" s="99"/>
    </row>
    <row r="140" spans="1:18" ht="15" customHeight="1" x14ac:dyDescent="0.3">
      <c r="A140" s="17" t="s">
        <v>77</v>
      </c>
      <c r="B140" s="17" t="s">
        <v>365</v>
      </c>
      <c r="C140" s="18" t="s">
        <v>584</v>
      </c>
      <c r="D140" s="17" t="s">
        <v>101</v>
      </c>
      <c r="E140" s="17" t="s">
        <v>260</v>
      </c>
      <c r="F140" s="17" t="s">
        <v>379</v>
      </c>
      <c r="G140" s="298"/>
      <c r="H140" s="138"/>
      <c r="I140" s="138"/>
      <c r="J140" s="138"/>
      <c r="K140" s="138"/>
      <c r="L140" s="138"/>
      <c r="M140" s="138"/>
      <c r="N140" s="138"/>
      <c r="O140" s="139"/>
      <c r="P140" s="138"/>
      <c r="Q140" s="99"/>
      <c r="R140" s="99"/>
    </row>
    <row r="141" spans="1:18" ht="15" customHeight="1" x14ac:dyDescent="0.3">
      <c r="A141" s="17" t="s">
        <v>77</v>
      </c>
      <c r="B141" s="17" t="s">
        <v>370</v>
      </c>
      <c r="C141" s="18" t="s">
        <v>240</v>
      </c>
      <c r="D141" s="17" t="s">
        <v>101</v>
      </c>
      <c r="E141" s="17" t="s">
        <v>303</v>
      </c>
      <c r="F141" s="17" t="s">
        <v>379</v>
      </c>
      <c r="G141" s="298"/>
      <c r="H141" s="138"/>
      <c r="I141" s="138"/>
      <c r="J141" s="138"/>
      <c r="K141" s="138"/>
      <c r="L141" s="138"/>
      <c r="M141" s="138"/>
      <c r="N141" s="138"/>
      <c r="O141" s="139"/>
      <c r="P141" s="138"/>
      <c r="Q141" s="99"/>
      <c r="R141" s="99"/>
    </row>
    <row r="142" spans="1:18" ht="15" customHeight="1" x14ac:dyDescent="0.3">
      <c r="A142" s="17" t="s">
        <v>77</v>
      </c>
      <c r="B142" s="17" t="s">
        <v>374</v>
      </c>
      <c r="C142" s="18" t="s">
        <v>581</v>
      </c>
      <c r="D142" s="17" t="s">
        <v>101</v>
      </c>
      <c r="E142" s="17" t="s">
        <v>253</v>
      </c>
      <c r="F142" s="17" t="s">
        <v>379</v>
      </c>
      <c r="G142" s="298"/>
      <c r="H142" s="138"/>
      <c r="I142" s="138"/>
      <c r="J142" s="138"/>
      <c r="K142" s="138"/>
      <c r="L142" s="138"/>
      <c r="M142" s="138"/>
      <c r="N142" s="138"/>
      <c r="O142" s="139"/>
      <c r="P142" s="138"/>
      <c r="Q142" s="99"/>
      <c r="R142" s="99"/>
    </row>
    <row r="143" spans="1:18" ht="15" customHeight="1" x14ac:dyDescent="0.3">
      <c r="A143" s="17" t="s">
        <v>385</v>
      </c>
      <c r="B143" s="17" t="s">
        <v>386</v>
      </c>
      <c r="C143" s="18" t="s">
        <v>819</v>
      </c>
      <c r="D143" s="17" t="s">
        <v>101</v>
      </c>
      <c r="E143" s="17" t="s">
        <v>256</v>
      </c>
      <c r="F143" s="17" t="s">
        <v>521</v>
      </c>
      <c r="G143" s="298"/>
      <c r="H143" s="138"/>
      <c r="I143" s="138"/>
      <c r="J143" s="138"/>
      <c r="K143" s="138"/>
      <c r="L143" s="138"/>
      <c r="M143" s="138"/>
      <c r="N143" s="138"/>
      <c r="O143" s="139"/>
      <c r="P143" s="138"/>
      <c r="Q143" s="99"/>
      <c r="R143" s="99"/>
    </row>
    <row r="144" spans="1:18" ht="15" customHeight="1" x14ac:dyDescent="0.3">
      <c r="A144" s="17" t="s">
        <v>41</v>
      </c>
      <c r="B144" s="17" t="s">
        <v>347</v>
      </c>
      <c r="C144" s="18" t="s">
        <v>748</v>
      </c>
      <c r="D144" s="17" t="s">
        <v>45</v>
      </c>
      <c r="E144" s="17" t="s">
        <v>259</v>
      </c>
      <c r="F144" s="17" t="s">
        <v>478</v>
      </c>
      <c r="G144" s="298"/>
      <c r="H144" s="138"/>
      <c r="I144" s="138"/>
      <c r="J144" s="138"/>
      <c r="K144" s="138"/>
      <c r="L144" s="138"/>
      <c r="M144" s="138"/>
      <c r="N144" s="138"/>
      <c r="O144" s="139"/>
      <c r="P144" s="138"/>
      <c r="Q144" s="99"/>
      <c r="R144" s="99"/>
    </row>
    <row r="145" spans="1:18" ht="15" customHeight="1" thickBot="1" x14ac:dyDescent="0.35">
      <c r="A145" s="39" t="s">
        <v>41</v>
      </c>
      <c r="B145" s="39" t="s">
        <v>336</v>
      </c>
      <c r="C145" s="40" t="s">
        <v>745</v>
      </c>
      <c r="D145" s="39" t="s">
        <v>45</v>
      </c>
      <c r="E145" s="39" t="s">
        <v>253</v>
      </c>
      <c r="F145" s="39" t="s">
        <v>478</v>
      </c>
      <c r="G145" s="299"/>
      <c r="H145" s="140"/>
      <c r="I145" s="140"/>
      <c r="J145" s="140"/>
      <c r="K145" s="140"/>
      <c r="L145" s="140"/>
      <c r="M145" s="140"/>
      <c r="N145" s="140"/>
      <c r="O145" s="141"/>
      <c r="P145" s="140"/>
      <c r="Q145" s="142"/>
      <c r="R145" s="142"/>
    </row>
    <row r="146" spans="1:18" ht="17.399999999999999" customHeight="1" thickBot="1" x14ac:dyDescent="0.35">
      <c r="A146" s="329"/>
      <c r="B146" s="330"/>
      <c r="C146" s="330"/>
      <c r="D146" s="330"/>
      <c r="E146" s="330"/>
      <c r="F146" s="330"/>
      <c r="G146" s="330"/>
      <c r="H146" s="330"/>
      <c r="I146" s="330"/>
      <c r="J146" s="330"/>
      <c r="K146" s="330"/>
      <c r="L146" s="330"/>
      <c r="M146" s="330"/>
      <c r="N146" s="330"/>
      <c r="O146" s="330"/>
      <c r="P146" s="330"/>
      <c r="Q146" s="330"/>
      <c r="R146" s="331"/>
    </row>
    <row r="147" spans="1:18" ht="22.05" customHeight="1" thickTop="1" thickBot="1" x14ac:dyDescent="0.35">
      <c r="A147" s="300" t="s">
        <v>6</v>
      </c>
      <c r="B147" s="295"/>
      <c r="C147" s="295"/>
      <c r="D147" s="295"/>
      <c r="E147" s="295"/>
      <c r="F147" s="296"/>
      <c r="G147" s="31">
        <v>45989</v>
      </c>
      <c r="H147" s="294" t="s">
        <v>7</v>
      </c>
      <c r="I147" s="295"/>
      <c r="J147" s="295"/>
      <c r="K147" s="295"/>
      <c r="L147" s="295"/>
      <c r="M147" s="295"/>
      <c r="N147" s="295"/>
      <c r="O147" s="295"/>
      <c r="P147" s="295"/>
      <c r="Q147" s="295"/>
      <c r="R147" s="296"/>
    </row>
    <row r="148" spans="1:18" ht="24" customHeight="1" x14ac:dyDescent="0.3">
      <c r="A148" s="32" t="s">
        <v>8</v>
      </c>
      <c r="B148" s="32" t="s">
        <v>9</v>
      </c>
      <c r="C148" s="33" t="s">
        <v>10</v>
      </c>
      <c r="D148" s="32" t="s">
        <v>11</v>
      </c>
      <c r="E148" s="32" t="s">
        <v>12</v>
      </c>
      <c r="F148" s="34" t="s">
        <v>13</v>
      </c>
      <c r="G148" s="35" t="s">
        <v>14</v>
      </c>
      <c r="H148" s="32" t="s">
        <v>15</v>
      </c>
      <c r="I148" s="36" t="s">
        <v>16</v>
      </c>
      <c r="J148" s="37" t="s">
        <v>17</v>
      </c>
      <c r="K148" s="38" t="s">
        <v>18</v>
      </c>
      <c r="L148" s="37" t="s">
        <v>19</v>
      </c>
      <c r="M148" s="37" t="s">
        <v>20</v>
      </c>
      <c r="N148" s="37" t="s">
        <v>21</v>
      </c>
      <c r="O148" s="32" t="s">
        <v>22</v>
      </c>
      <c r="P148" s="33" t="s">
        <v>23</v>
      </c>
      <c r="Q148" s="37" t="s">
        <v>24</v>
      </c>
      <c r="R148" s="32" t="s">
        <v>25</v>
      </c>
    </row>
    <row r="149" spans="1:18" ht="15" customHeight="1" x14ac:dyDescent="0.3">
      <c r="A149" s="179" t="s">
        <v>77</v>
      </c>
      <c r="B149" s="179" t="s">
        <v>900</v>
      </c>
      <c r="C149" s="180">
        <v>0.13541666666666671</v>
      </c>
      <c r="D149" s="179" t="s">
        <v>101</v>
      </c>
      <c r="E149" s="179" t="s">
        <v>63</v>
      </c>
      <c r="F149" s="179" t="s">
        <v>904</v>
      </c>
      <c r="G149" s="304"/>
      <c r="H149" s="181" t="s">
        <v>902</v>
      </c>
      <c r="I149" s="236">
        <v>0.39439999999999997</v>
      </c>
      <c r="J149" s="183">
        <v>71</v>
      </c>
      <c r="K149" s="184">
        <v>45980</v>
      </c>
      <c r="L149" s="183">
        <v>51</v>
      </c>
      <c r="M149" s="183">
        <v>3</v>
      </c>
      <c r="N149" s="183">
        <v>11</v>
      </c>
      <c r="O149" s="185" t="s">
        <v>422</v>
      </c>
      <c r="P149" s="186">
        <v>0.13541666666666671</v>
      </c>
      <c r="Q149" s="183">
        <v>180</v>
      </c>
      <c r="R149" s="187" t="s">
        <v>931</v>
      </c>
    </row>
    <row r="150" spans="1:18" ht="18" x14ac:dyDescent="0.3">
      <c r="A150" s="312" t="s">
        <v>763</v>
      </c>
      <c r="B150" s="313"/>
      <c r="C150" s="313"/>
      <c r="D150" s="313"/>
      <c r="E150" s="313"/>
      <c r="F150" s="314"/>
      <c r="G150" s="298"/>
      <c r="H150" s="138"/>
      <c r="I150" s="138"/>
      <c r="J150" s="138"/>
      <c r="K150" s="138"/>
      <c r="L150" s="138"/>
      <c r="M150" s="138"/>
      <c r="N150" s="138"/>
      <c r="O150" s="139"/>
      <c r="P150" s="138"/>
      <c r="Q150" s="99"/>
      <c r="R150" s="99"/>
    </row>
    <row r="151" spans="1:18" ht="15" customHeight="1" x14ac:dyDescent="0.3">
      <c r="A151" s="17" t="s">
        <v>388</v>
      </c>
      <c r="B151" s="17" t="s">
        <v>389</v>
      </c>
      <c r="C151" s="18" t="s">
        <v>828</v>
      </c>
      <c r="D151" s="17" t="s">
        <v>390</v>
      </c>
      <c r="E151" s="17" t="s">
        <v>254</v>
      </c>
      <c r="F151" s="17" t="s">
        <v>525</v>
      </c>
      <c r="G151" s="298"/>
      <c r="H151" s="138"/>
      <c r="I151" s="138"/>
      <c r="J151" s="138"/>
      <c r="K151" s="138"/>
      <c r="L151" s="138"/>
      <c r="M151" s="138"/>
      <c r="N151" s="138"/>
      <c r="O151" s="139"/>
      <c r="P151" s="138"/>
      <c r="Q151" s="99"/>
      <c r="R151" s="99"/>
    </row>
    <row r="152" spans="1:18" ht="15" customHeight="1" x14ac:dyDescent="0.3">
      <c r="A152" s="17" t="s">
        <v>388</v>
      </c>
      <c r="B152" s="17" t="s">
        <v>438</v>
      </c>
      <c r="C152" s="18" t="s">
        <v>843</v>
      </c>
      <c r="D152" s="17" t="s">
        <v>390</v>
      </c>
      <c r="E152" s="17" t="s">
        <v>254</v>
      </c>
      <c r="F152" s="17" t="s">
        <v>527</v>
      </c>
      <c r="G152" s="298"/>
      <c r="H152" s="138"/>
      <c r="I152" s="138"/>
      <c r="J152" s="138"/>
      <c r="K152" s="138"/>
      <c r="L152" s="138"/>
      <c r="M152" s="138"/>
      <c r="N152" s="138"/>
      <c r="O152" s="139"/>
      <c r="P152" s="138"/>
      <c r="Q152" s="99"/>
      <c r="R152" s="99"/>
    </row>
    <row r="153" spans="1:18" ht="15" customHeight="1" x14ac:dyDescent="0.3">
      <c r="A153" s="17" t="s">
        <v>41</v>
      </c>
      <c r="B153" s="17" t="s">
        <v>340</v>
      </c>
      <c r="C153" s="18" t="s">
        <v>746</v>
      </c>
      <c r="D153" s="17" t="s">
        <v>43</v>
      </c>
      <c r="E153" s="17" t="s">
        <v>253</v>
      </c>
      <c r="F153" s="17" t="s">
        <v>493</v>
      </c>
      <c r="G153" s="298"/>
      <c r="H153" s="138"/>
      <c r="I153" s="138"/>
      <c r="J153" s="138"/>
      <c r="K153" s="138"/>
      <c r="L153" s="138"/>
      <c r="M153" s="138"/>
      <c r="N153" s="138"/>
      <c r="O153" s="139"/>
      <c r="P153" s="138"/>
      <c r="Q153" s="99"/>
      <c r="R153" s="99"/>
    </row>
    <row r="154" spans="1:18" ht="15" customHeight="1" x14ac:dyDescent="0.3">
      <c r="A154" s="17" t="s">
        <v>41</v>
      </c>
      <c r="B154" s="17" t="s">
        <v>347</v>
      </c>
      <c r="C154" s="18" t="s">
        <v>748</v>
      </c>
      <c r="D154" s="17" t="s">
        <v>43</v>
      </c>
      <c r="E154" s="17" t="s">
        <v>262</v>
      </c>
      <c r="F154" s="17" t="s">
        <v>493</v>
      </c>
      <c r="G154" s="298"/>
      <c r="H154" s="138"/>
      <c r="I154" s="138"/>
      <c r="J154" s="138"/>
      <c r="K154" s="138"/>
      <c r="L154" s="138"/>
      <c r="M154" s="138"/>
      <c r="N154" s="138"/>
      <c r="O154" s="139"/>
      <c r="P154" s="138"/>
      <c r="Q154" s="99"/>
      <c r="R154" s="99"/>
    </row>
    <row r="155" spans="1:18" ht="15" customHeight="1" x14ac:dyDescent="0.3">
      <c r="A155" s="17" t="s">
        <v>41</v>
      </c>
      <c r="B155" s="17" t="s">
        <v>336</v>
      </c>
      <c r="C155" s="18" t="s">
        <v>745</v>
      </c>
      <c r="D155" s="17" t="s">
        <v>43</v>
      </c>
      <c r="E155" s="17" t="s">
        <v>844</v>
      </c>
      <c r="F155" s="17" t="s">
        <v>493</v>
      </c>
      <c r="G155" s="298"/>
      <c r="H155" s="138"/>
      <c r="I155" s="138"/>
      <c r="J155" s="138"/>
      <c r="K155" s="138"/>
      <c r="L155" s="138"/>
      <c r="M155" s="138"/>
      <c r="N155" s="138"/>
      <c r="O155" s="139"/>
      <c r="P155" s="138"/>
      <c r="Q155" s="99"/>
      <c r="R155" s="99"/>
    </row>
    <row r="156" spans="1:18" ht="15" customHeight="1" x14ac:dyDescent="0.3">
      <c r="A156" s="17" t="s">
        <v>385</v>
      </c>
      <c r="B156" s="17" t="s">
        <v>386</v>
      </c>
      <c r="C156" s="18" t="s">
        <v>819</v>
      </c>
      <c r="D156" s="17" t="s">
        <v>101</v>
      </c>
      <c r="E156" s="17" t="s">
        <v>256</v>
      </c>
      <c r="F156" s="17" t="s">
        <v>521</v>
      </c>
      <c r="G156" s="298"/>
      <c r="H156" s="138"/>
      <c r="I156" s="138"/>
      <c r="J156" s="138"/>
      <c r="K156" s="138"/>
      <c r="L156" s="138"/>
      <c r="M156" s="138"/>
      <c r="N156" s="138"/>
      <c r="O156" s="139"/>
      <c r="P156" s="138"/>
      <c r="Q156" s="99"/>
      <c r="R156" s="99"/>
    </row>
    <row r="157" spans="1:18" ht="15" customHeight="1" x14ac:dyDescent="0.3">
      <c r="A157" s="17" t="s">
        <v>41</v>
      </c>
      <c r="B157" s="17" t="s">
        <v>344</v>
      </c>
      <c r="C157" s="18" t="s">
        <v>747</v>
      </c>
      <c r="D157" s="17" t="s">
        <v>43</v>
      </c>
      <c r="E157" s="17" t="s">
        <v>259</v>
      </c>
      <c r="F157" s="17" t="s">
        <v>478</v>
      </c>
      <c r="G157" s="298"/>
      <c r="H157" s="138"/>
      <c r="I157" s="138"/>
      <c r="J157" s="138"/>
      <c r="K157" s="138"/>
      <c r="L157" s="138"/>
      <c r="M157" s="138"/>
      <c r="N157" s="138"/>
      <c r="O157" s="139"/>
      <c r="P157" s="138"/>
      <c r="Q157" s="99"/>
      <c r="R157" s="99"/>
    </row>
    <row r="158" spans="1:18" ht="15" customHeight="1" x14ac:dyDescent="0.3">
      <c r="A158" s="17" t="s">
        <v>26</v>
      </c>
      <c r="B158" s="17" t="s">
        <v>354</v>
      </c>
      <c r="C158" s="18" t="s">
        <v>751</v>
      </c>
      <c r="D158" s="17" t="s">
        <v>28</v>
      </c>
      <c r="E158" s="17" t="s">
        <v>254</v>
      </c>
      <c r="F158" s="17" t="s">
        <v>47</v>
      </c>
      <c r="G158" s="298"/>
      <c r="H158" s="138"/>
      <c r="I158" s="138"/>
      <c r="J158" s="138"/>
      <c r="K158" s="138"/>
      <c r="L158" s="138"/>
      <c r="M158" s="138"/>
      <c r="N158" s="138"/>
      <c r="O158" s="139"/>
      <c r="P158" s="138"/>
      <c r="Q158" s="99"/>
      <c r="R158" s="99"/>
    </row>
    <row r="159" spans="1:18" ht="15" customHeight="1" x14ac:dyDescent="0.3">
      <c r="A159" s="17" t="s">
        <v>26</v>
      </c>
      <c r="B159" s="17" t="s">
        <v>350</v>
      </c>
      <c r="C159" s="18" t="s">
        <v>749</v>
      </c>
      <c r="D159" s="17" t="s">
        <v>28</v>
      </c>
      <c r="E159" s="17" t="s">
        <v>273</v>
      </c>
      <c r="F159" s="17" t="s">
        <v>47</v>
      </c>
      <c r="G159" s="298"/>
      <c r="H159" s="138"/>
      <c r="I159" s="138"/>
      <c r="J159" s="138"/>
      <c r="K159" s="138"/>
      <c r="L159" s="138"/>
      <c r="M159" s="138"/>
      <c r="N159" s="138"/>
      <c r="O159" s="139"/>
      <c r="P159" s="138"/>
      <c r="Q159" s="99"/>
      <c r="R159" s="99"/>
    </row>
    <row r="160" spans="1:18" ht="15" customHeight="1" thickBot="1" x14ac:dyDescent="0.35">
      <c r="A160" s="39" t="s">
        <v>26</v>
      </c>
      <c r="B160" s="39" t="s">
        <v>352</v>
      </c>
      <c r="C160" s="40" t="s">
        <v>750</v>
      </c>
      <c r="D160" s="39" t="s">
        <v>28</v>
      </c>
      <c r="E160" s="39" t="s">
        <v>269</v>
      </c>
      <c r="F160" s="39" t="s">
        <v>47</v>
      </c>
      <c r="G160" s="299"/>
      <c r="H160" s="140"/>
      <c r="I160" s="140"/>
      <c r="J160" s="140"/>
      <c r="K160" s="140"/>
      <c r="L160" s="140"/>
      <c r="M160" s="140"/>
      <c r="N160" s="140"/>
      <c r="O160" s="141"/>
      <c r="P160" s="140"/>
      <c r="Q160" s="142"/>
      <c r="R160" s="142"/>
    </row>
    <row r="161" spans="1:18" ht="17.399999999999999" customHeight="1" thickBot="1" x14ac:dyDescent="0.35">
      <c r="A161" s="329"/>
      <c r="B161" s="330"/>
      <c r="C161" s="330"/>
      <c r="D161" s="330"/>
      <c r="E161" s="330"/>
      <c r="F161" s="330"/>
      <c r="G161" s="330"/>
      <c r="H161" s="330"/>
      <c r="I161" s="330"/>
      <c r="J161" s="330"/>
      <c r="K161" s="330"/>
      <c r="L161" s="330"/>
      <c r="M161" s="330"/>
      <c r="N161" s="330"/>
      <c r="O161" s="330"/>
      <c r="P161" s="330"/>
      <c r="Q161" s="330"/>
      <c r="R161" s="331"/>
    </row>
    <row r="162" spans="1:18" ht="22.05" customHeight="1" thickTop="1" thickBot="1" x14ac:dyDescent="0.35">
      <c r="A162" s="300" t="s">
        <v>6</v>
      </c>
      <c r="B162" s="295"/>
      <c r="C162" s="295"/>
      <c r="D162" s="295"/>
      <c r="E162" s="295"/>
      <c r="F162" s="296"/>
      <c r="G162" s="31">
        <v>45990</v>
      </c>
      <c r="H162" s="294" t="s">
        <v>7</v>
      </c>
      <c r="I162" s="295"/>
      <c r="J162" s="295"/>
      <c r="K162" s="295"/>
      <c r="L162" s="295"/>
      <c r="M162" s="295"/>
      <c r="N162" s="295"/>
      <c r="O162" s="295"/>
      <c r="P162" s="295"/>
      <c r="Q162" s="295"/>
      <c r="R162" s="296"/>
    </row>
    <row r="163" spans="1:18" ht="24" customHeight="1" x14ac:dyDescent="0.3">
      <c r="A163" s="32" t="s">
        <v>8</v>
      </c>
      <c r="B163" s="32" t="s">
        <v>9</v>
      </c>
      <c r="C163" s="33" t="s">
        <v>10</v>
      </c>
      <c r="D163" s="32" t="s">
        <v>11</v>
      </c>
      <c r="E163" s="32" t="s">
        <v>12</v>
      </c>
      <c r="F163" s="34" t="s">
        <v>13</v>
      </c>
      <c r="G163" s="35" t="s">
        <v>14</v>
      </c>
      <c r="H163" s="32" t="s">
        <v>15</v>
      </c>
      <c r="I163" s="36" t="s">
        <v>16</v>
      </c>
      <c r="J163" s="37" t="s">
        <v>17</v>
      </c>
      <c r="K163" s="38" t="s">
        <v>18</v>
      </c>
      <c r="L163" s="37" t="s">
        <v>19</v>
      </c>
      <c r="M163" s="37" t="s">
        <v>20</v>
      </c>
      <c r="N163" s="37" t="s">
        <v>21</v>
      </c>
      <c r="O163" s="32" t="s">
        <v>22</v>
      </c>
      <c r="P163" s="33" t="s">
        <v>23</v>
      </c>
      <c r="Q163" s="37" t="s">
        <v>24</v>
      </c>
      <c r="R163" s="32" t="s">
        <v>25</v>
      </c>
    </row>
    <row r="164" spans="1:18" ht="15" customHeight="1" x14ac:dyDescent="0.3">
      <c r="A164" s="179" t="s">
        <v>77</v>
      </c>
      <c r="B164" s="179" t="s">
        <v>900</v>
      </c>
      <c r="C164" s="180">
        <v>0.1423611111111111</v>
      </c>
      <c r="D164" s="179" t="s">
        <v>101</v>
      </c>
      <c r="E164" s="179" t="s">
        <v>139</v>
      </c>
      <c r="F164" s="179" t="s">
        <v>893</v>
      </c>
      <c r="G164" s="297"/>
      <c r="H164" s="181" t="s">
        <v>902</v>
      </c>
      <c r="I164" s="197">
        <v>0.65559999999999996</v>
      </c>
      <c r="J164" s="183">
        <v>118</v>
      </c>
      <c r="K164" s="184">
        <v>45980</v>
      </c>
      <c r="L164" s="183">
        <v>12</v>
      </c>
      <c r="M164" s="183">
        <v>1</v>
      </c>
      <c r="N164" s="183">
        <v>2</v>
      </c>
      <c r="O164" s="185" t="s">
        <v>376</v>
      </c>
      <c r="P164" s="186">
        <v>0.1423611111111111</v>
      </c>
      <c r="Q164" s="183">
        <v>180</v>
      </c>
      <c r="R164" s="187" t="s">
        <v>932</v>
      </c>
    </row>
    <row r="165" spans="1:18" ht="15" customHeight="1" x14ac:dyDescent="0.3">
      <c r="A165" s="222" t="s">
        <v>77</v>
      </c>
      <c r="B165" s="222" t="s">
        <v>896</v>
      </c>
      <c r="C165" s="223">
        <v>0.52777777777777779</v>
      </c>
      <c r="D165" s="222" t="s">
        <v>101</v>
      </c>
      <c r="E165" s="222" t="s">
        <v>54</v>
      </c>
      <c r="F165" s="222" t="s">
        <v>901</v>
      </c>
      <c r="G165" s="298"/>
      <c r="H165" s="206" t="s">
        <v>897</v>
      </c>
      <c r="I165" s="225">
        <v>0.87219999999999998</v>
      </c>
      <c r="J165" s="208">
        <v>157</v>
      </c>
      <c r="K165" s="209">
        <v>45980</v>
      </c>
      <c r="L165" s="208">
        <v>11</v>
      </c>
      <c r="M165" s="208">
        <v>1</v>
      </c>
      <c r="N165" s="208">
        <v>2</v>
      </c>
      <c r="O165" s="210" t="s">
        <v>381</v>
      </c>
      <c r="P165" s="211">
        <v>0.52777777777777779</v>
      </c>
      <c r="Q165" s="208">
        <v>180</v>
      </c>
      <c r="R165" s="212" t="s">
        <v>933</v>
      </c>
    </row>
    <row r="166" spans="1:18" ht="18" x14ac:dyDescent="0.3">
      <c r="A166" s="312" t="s">
        <v>763</v>
      </c>
      <c r="B166" s="313"/>
      <c r="C166" s="313"/>
      <c r="D166" s="313"/>
      <c r="E166" s="313"/>
      <c r="F166" s="314"/>
      <c r="G166" s="298"/>
      <c r="H166" s="138"/>
      <c r="I166" s="138"/>
      <c r="J166" s="138"/>
      <c r="K166" s="138"/>
      <c r="L166" s="138"/>
      <c r="M166" s="138"/>
      <c r="N166" s="138"/>
      <c r="O166" s="139"/>
      <c r="P166" s="138"/>
      <c r="Q166" s="99"/>
      <c r="R166" s="99"/>
    </row>
    <row r="167" spans="1:18" ht="15" customHeight="1" x14ac:dyDescent="0.3">
      <c r="A167" s="17" t="s">
        <v>388</v>
      </c>
      <c r="B167" s="17" t="s">
        <v>462</v>
      </c>
      <c r="C167" s="18" t="s">
        <v>852</v>
      </c>
      <c r="D167" s="17" t="s">
        <v>390</v>
      </c>
      <c r="E167" s="17" t="s">
        <v>254</v>
      </c>
      <c r="F167" s="17" t="s">
        <v>527</v>
      </c>
      <c r="G167" s="298"/>
      <c r="H167" s="138"/>
      <c r="I167" s="138"/>
      <c r="J167" s="138"/>
      <c r="K167" s="138"/>
      <c r="L167" s="138"/>
      <c r="M167" s="138"/>
      <c r="N167" s="138"/>
      <c r="O167" s="139"/>
      <c r="P167" s="138"/>
      <c r="Q167" s="99"/>
      <c r="R167" s="99"/>
    </row>
    <row r="168" spans="1:18" ht="15" customHeight="1" x14ac:dyDescent="0.3">
      <c r="A168" s="17" t="s">
        <v>388</v>
      </c>
      <c r="B168" s="17" t="s">
        <v>389</v>
      </c>
      <c r="C168" s="18" t="s">
        <v>853</v>
      </c>
      <c r="D168" s="17" t="s">
        <v>390</v>
      </c>
      <c r="E168" s="17" t="s">
        <v>254</v>
      </c>
      <c r="F168" s="17" t="s">
        <v>546</v>
      </c>
      <c r="G168" s="298"/>
      <c r="H168" s="138"/>
      <c r="I168" s="138"/>
      <c r="J168" s="138"/>
      <c r="K168" s="138"/>
      <c r="L168" s="138"/>
      <c r="M168" s="138"/>
      <c r="N168" s="138"/>
      <c r="O168" s="139"/>
      <c r="P168" s="138"/>
      <c r="Q168" s="99"/>
      <c r="R168" s="99"/>
    </row>
    <row r="169" spans="1:18" ht="15" customHeight="1" x14ac:dyDescent="0.3">
      <c r="A169" s="17" t="s">
        <v>41</v>
      </c>
      <c r="B169" s="17" t="s">
        <v>340</v>
      </c>
      <c r="C169" s="18" t="s">
        <v>746</v>
      </c>
      <c r="D169" s="17" t="s">
        <v>43</v>
      </c>
      <c r="E169" s="17" t="s">
        <v>262</v>
      </c>
      <c r="F169" s="17" t="s">
        <v>478</v>
      </c>
      <c r="G169" s="298"/>
      <c r="H169" s="138"/>
      <c r="I169" s="138"/>
      <c r="J169" s="138"/>
      <c r="K169" s="138"/>
      <c r="L169" s="138"/>
      <c r="M169" s="138"/>
      <c r="N169" s="138"/>
      <c r="O169" s="139"/>
      <c r="P169" s="138"/>
      <c r="Q169" s="99"/>
      <c r="R169" s="99"/>
    </row>
    <row r="170" spans="1:18" ht="15" customHeight="1" x14ac:dyDescent="0.3">
      <c r="A170" s="17" t="s">
        <v>385</v>
      </c>
      <c r="B170" s="17" t="s">
        <v>435</v>
      </c>
      <c r="C170" s="18" t="s">
        <v>854</v>
      </c>
      <c r="D170" s="17" t="s">
        <v>101</v>
      </c>
      <c r="E170" s="17" t="s">
        <v>256</v>
      </c>
      <c r="F170" s="17" t="s">
        <v>548</v>
      </c>
      <c r="G170" s="298"/>
      <c r="H170" s="138"/>
      <c r="I170" s="138"/>
      <c r="J170" s="138"/>
      <c r="K170" s="138"/>
      <c r="L170" s="138"/>
      <c r="M170" s="138"/>
      <c r="N170" s="138"/>
      <c r="O170" s="139"/>
      <c r="P170" s="138"/>
      <c r="Q170" s="99"/>
      <c r="R170" s="99"/>
    </row>
    <row r="171" spans="1:18" ht="15" customHeight="1" x14ac:dyDescent="0.3">
      <c r="A171" s="17" t="s">
        <v>41</v>
      </c>
      <c r="B171" s="17" t="s">
        <v>344</v>
      </c>
      <c r="C171" s="18" t="s">
        <v>747</v>
      </c>
      <c r="D171" s="17" t="s">
        <v>43</v>
      </c>
      <c r="E171" s="17" t="s">
        <v>275</v>
      </c>
      <c r="F171" s="17" t="s">
        <v>47</v>
      </c>
      <c r="G171" s="298"/>
      <c r="H171" s="138"/>
      <c r="I171" s="138"/>
      <c r="J171" s="138"/>
      <c r="K171" s="138"/>
      <c r="L171" s="138"/>
      <c r="M171" s="138"/>
      <c r="N171" s="138"/>
      <c r="O171" s="139"/>
      <c r="P171" s="138"/>
      <c r="Q171" s="99"/>
      <c r="R171" s="99"/>
    </row>
    <row r="172" spans="1:18" ht="15" customHeight="1" x14ac:dyDescent="0.3">
      <c r="A172" s="17" t="s">
        <v>41</v>
      </c>
      <c r="B172" s="17" t="s">
        <v>347</v>
      </c>
      <c r="C172" s="18" t="s">
        <v>748</v>
      </c>
      <c r="D172" s="17" t="s">
        <v>43</v>
      </c>
      <c r="E172" s="17" t="s">
        <v>255</v>
      </c>
      <c r="F172" s="17" t="s">
        <v>47</v>
      </c>
      <c r="G172" s="298"/>
      <c r="H172" s="138"/>
      <c r="I172" s="138"/>
      <c r="J172" s="138"/>
      <c r="K172" s="138"/>
      <c r="L172" s="138"/>
      <c r="M172" s="138"/>
      <c r="N172" s="138"/>
      <c r="O172" s="139"/>
      <c r="P172" s="138"/>
      <c r="Q172" s="99"/>
      <c r="R172" s="99"/>
    </row>
    <row r="173" spans="1:18" ht="15" customHeight="1" x14ac:dyDescent="0.3">
      <c r="A173" s="17" t="s">
        <v>41</v>
      </c>
      <c r="B173" s="17" t="s">
        <v>336</v>
      </c>
      <c r="C173" s="18" t="s">
        <v>745</v>
      </c>
      <c r="D173" s="17" t="s">
        <v>43</v>
      </c>
      <c r="E173" s="17" t="s">
        <v>262</v>
      </c>
      <c r="F173" s="17" t="s">
        <v>47</v>
      </c>
      <c r="G173" s="298"/>
      <c r="H173" s="138"/>
      <c r="I173" s="138"/>
      <c r="J173" s="138"/>
      <c r="K173" s="138"/>
      <c r="L173" s="138"/>
      <c r="M173" s="138"/>
      <c r="N173" s="138"/>
      <c r="O173" s="139"/>
      <c r="P173" s="138"/>
      <c r="Q173" s="99"/>
      <c r="R173" s="99"/>
    </row>
    <row r="174" spans="1:18" ht="15" customHeight="1" x14ac:dyDescent="0.3">
      <c r="A174" s="17" t="s">
        <v>26</v>
      </c>
      <c r="B174" s="17" t="s">
        <v>354</v>
      </c>
      <c r="C174" s="18" t="s">
        <v>751</v>
      </c>
      <c r="D174" s="17" t="s">
        <v>28</v>
      </c>
      <c r="E174" s="17" t="s">
        <v>260</v>
      </c>
      <c r="F174" s="17" t="s">
        <v>47</v>
      </c>
      <c r="G174" s="298"/>
      <c r="H174" s="138"/>
      <c r="I174" s="138"/>
      <c r="J174" s="138"/>
      <c r="K174" s="138"/>
      <c r="L174" s="138"/>
      <c r="M174" s="138"/>
      <c r="N174" s="138"/>
      <c r="O174" s="139"/>
      <c r="P174" s="138"/>
      <c r="Q174" s="99"/>
      <c r="R174" s="99"/>
    </row>
    <row r="175" spans="1:18" ht="15" customHeight="1" x14ac:dyDescent="0.3">
      <c r="A175" s="17" t="s">
        <v>388</v>
      </c>
      <c r="B175" s="17" t="s">
        <v>462</v>
      </c>
      <c r="C175" s="18" t="s">
        <v>852</v>
      </c>
      <c r="D175" s="17" t="s">
        <v>46</v>
      </c>
      <c r="E175" s="17" t="s">
        <v>254</v>
      </c>
      <c r="F175" s="17" t="s">
        <v>528</v>
      </c>
      <c r="G175" s="298"/>
      <c r="H175" s="138"/>
      <c r="I175" s="138"/>
      <c r="J175" s="138"/>
      <c r="K175" s="138"/>
      <c r="L175" s="138"/>
      <c r="M175" s="138"/>
      <c r="N175" s="138"/>
      <c r="O175" s="139"/>
      <c r="P175" s="138"/>
      <c r="Q175" s="99"/>
      <c r="R175" s="99"/>
    </row>
    <row r="176" spans="1:18" ht="15" customHeight="1" thickBot="1" x14ac:dyDescent="0.35">
      <c r="A176" s="39" t="s">
        <v>41</v>
      </c>
      <c r="B176" s="39" t="s">
        <v>340</v>
      </c>
      <c r="C176" s="40" t="s">
        <v>746</v>
      </c>
      <c r="D176" s="39" t="s">
        <v>45</v>
      </c>
      <c r="E176" s="39" t="s">
        <v>262</v>
      </c>
      <c r="F176" s="39" t="s">
        <v>532</v>
      </c>
      <c r="G176" s="299"/>
      <c r="H176" s="140"/>
      <c r="I176" s="140"/>
      <c r="J176" s="140"/>
      <c r="K176" s="140"/>
      <c r="L176" s="140"/>
      <c r="M176" s="140"/>
      <c r="N176" s="140"/>
      <c r="O176" s="141"/>
      <c r="P176" s="140"/>
      <c r="Q176" s="142"/>
      <c r="R176" s="142"/>
    </row>
    <row r="177" spans="1:18" ht="17.399999999999999" customHeight="1" thickBot="1" x14ac:dyDescent="0.35">
      <c r="A177" s="329"/>
      <c r="B177" s="330"/>
      <c r="C177" s="330"/>
      <c r="D177" s="330"/>
      <c r="E177" s="330"/>
      <c r="F177" s="330"/>
      <c r="G177" s="330"/>
      <c r="H177" s="330"/>
      <c r="I177" s="330"/>
      <c r="J177" s="330"/>
      <c r="K177" s="330"/>
      <c r="L177" s="330"/>
      <c r="M177" s="330"/>
      <c r="N177" s="330"/>
      <c r="O177" s="330"/>
      <c r="P177" s="330"/>
      <c r="Q177" s="330"/>
      <c r="R177" s="331"/>
    </row>
    <row r="178" spans="1:18" ht="22.05" customHeight="1" thickTop="1" thickBot="1" x14ac:dyDescent="0.35">
      <c r="A178" s="300" t="s">
        <v>6</v>
      </c>
      <c r="B178" s="295"/>
      <c r="C178" s="295"/>
      <c r="D178" s="295"/>
      <c r="E178" s="295"/>
      <c r="F178" s="296"/>
      <c r="G178" s="31">
        <v>45991</v>
      </c>
      <c r="H178" s="294" t="s">
        <v>7</v>
      </c>
      <c r="I178" s="295"/>
      <c r="J178" s="295"/>
      <c r="K178" s="295"/>
      <c r="L178" s="295"/>
      <c r="M178" s="295"/>
      <c r="N178" s="295"/>
      <c r="O178" s="295"/>
      <c r="P178" s="295"/>
      <c r="Q178" s="295"/>
      <c r="R178" s="296"/>
    </row>
    <row r="179" spans="1:18" ht="24" customHeight="1" x14ac:dyDescent="0.3">
      <c r="A179" s="32" t="s">
        <v>8</v>
      </c>
      <c r="B179" s="32" t="s">
        <v>9</v>
      </c>
      <c r="C179" s="33" t="s">
        <v>10</v>
      </c>
      <c r="D179" s="32" t="s">
        <v>11</v>
      </c>
      <c r="E179" s="32" t="s">
        <v>12</v>
      </c>
      <c r="F179" s="34" t="s">
        <v>13</v>
      </c>
      <c r="G179" s="35" t="s">
        <v>14</v>
      </c>
      <c r="H179" s="32" t="s">
        <v>15</v>
      </c>
      <c r="I179" s="36" t="s">
        <v>16</v>
      </c>
      <c r="J179" s="37" t="s">
        <v>17</v>
      </c>
      <c r="K179" s="38" t="s">
        <v>18</v>
      </c>
      <c r="L179" s="37" t="s">
        <v>19</v>
      </c>
      <c r="M179" s="37" t="s">
        <v>20</v>
      </c>
      <c r="N179" s="37" t="s">
        <v>21</v>
      </c>
      <c r="O179" s="32" t="s">
        <v>22</v>
      </c>
      <c r="P179" s="33" t="s">
        <v>23</v>
      </c>
      <c r="Q179" s="37" t="s">
        <v>24</v>
      </c>
      <c r="R179" s="32" t="s">
        <v>25</v>
      </c>
    </row>
    <row r="180" spans="1:18" ht="15" customHeight="1" x14ac:dyDescent="0.3">
      <c r="A180" s="204" t="s">
        <v>77</v>
      </c>
      <c r="B180" s="204" t="s">
        <v>900</v>
      </c>
      <c r="C180" s="205">
        <v>0.3298611111111111</v>
      </c>
      <c r="D180" s="204" t="s">
        <v>101</v>
      </c>
      <c r="E180" s="204" t="s">
        <v>29</v>
      </c>
      <c r="F180" s="204" t="s">
        <v>934</v>
      </c>
      <c r="G180" s="297"/>
      <c r="H180" s="206" t="s">
        <v>902</v>
      </c>
      <c r="I180" s="207">
        <v>0.80559999999999998</v>
      </c>
      <c r="J180" s="208">
        <v>145</v>
      </c>
      <c r="K180" s="209">
        <v>45980</v>
      </c>
      <c r="L180" s="208">
        <v>41</v>
      </c>
      <c r="M180" s="208">
        <v>5</v>
      </c>
      <c r="N180" s="208">
        <v>18</v>
      </c>
      <c r="O180" s="210" t="s">
        <v>205</v>
      </c>
      <c r="P180" s="211">
        <v>0.3298611111111111</v>
      </c>
      <c r="Q180" s="208">
        <v>180</v>
      </c>
      <c r="R180" s="212" t="s">
        <v>935</v>
      </c>
    </row>
    <row r="181" spans="1:18" ht="15" customHeight="1" x14ac:dyDescent="0.3">
      <c r="A181" s="195" t="s">
        <v>77</v>
      </c>
      <c r="B181" s="195" t="s">
        <v>896</v>
      </c>
      <c r="C181" s="196">
        <v>0.69097222222222221</v>
      </c>
      <c r="D181" s="195" t="s">
        <v>101</v>
      </c>
      <c r="E181" s="195" t="s">
        <v>54</v>
      </c>
      <c r="F181" s="195" t="s">
        <v>936</v>
      </c>
      <c r="G181" s="298"/>
      <c r="H181" s="181" t="s">
        <v>897</v>
      </c>
      <c r="I181" s="236">
        <v>0.5222</v>
      </c>
      <c r="J181" s="183">
        <v>94</v>
      </c>
      <c r="K181" s="184">
        <v>45980</v>
      </c>
      <c r="L181" s="183">
        <v>31</v>
      </c>
      <c r="M181" s="183">
        <v>1</v>
      </c>
      <c r="N181" s="183">
        <v>7</v>
      </c>
      <c r="O181" s="185" t="s">
        <v>215</v>
      </c>
      <c r="P181" s="186">
        <v>0.69097222222222221</v>
      </c>
      <c r="Q181" s="183">
        <v>180</v>
      </c>
      <c r="R181" s="187" t="s">
        <v>937</v>
      </c>
    </row>
    <row r="182" spans="1:18" ht="15" customHeight="1" x14ac:dyDescent="0.3">
      <c r="A182" s="19" t="s">
        <v>41</v>
      </c>
      <c r="B182" s="19" t="s">
        <v>908</v>
      </c>
      <c r="C182" s="20">
        <v>0.36458333333333331</v>
      </c>
      <c r="D182" s="19" t="s">
        <v>778</v>
      </c>
      <c r="E182" s="19" t="s">
        <v>83</v>
      </c>
      <c r="F182" s="19" t="s">
        <v>431</v>
      </c>
      <c r="G182" s="298"/>
      <c r="H182" s="10"/>
      <c r="I182" s="11"/>
      <c r="J182" s="11"/>
      <c r="K182" s="11"/>
      <c r="L182" s="11"/>
      <c r="M182" s="11"/>
      <c r="N182" s="11"/>
      <c r="O182" s="12"/>
      <c r="P182" s="11"/>
      <c r="Q182" s="13"/>
      <c r="R182" s="14"/>
    </row>
    <row r="183" spans="1:18" ht="15" customHeight="1" x14ac:dyDescent="0.3">
      <c r="A183" s="15" t="s">
        <v>41</v>
      </c>
      <c r="B183" s="15" t="s">
        <v>908</v>
      </c>
      <c r="C183" s="16">
        <v>0.36458333333333331</v>
      </c>
      <c r="D183" s="15" t="s">
        <v>756</v>
      </c>
      <c r="E183" s="15" t="s">
        <v>84</v>
      </c>
      <c r="F183" s="15" t="s">
        <v>938</v>
      </c>
      <c r="G183" s="298"/>
      <c r="H183" s="10"/>
      <c r="I183" s="11"/>
      <c r="J183" s="11"/>
      <c r="K183" s="11"/>
      <c r="L183" s="11"/>
      <c r="M183" s="11"/>
      <c r="N183" s="11"/>
      <c r="O183" s="12"/>
      <c r="P183" s="11"/>
      <c r="Q183" s="13"/>
      <c r="R183" s="14"/>
    </row>
    <row r="184" spans="1:18" ht="15" customHeight="1" x14ac:dyDescent="0.3">
      <c r="A184" s="15" t="s">
        <v>41</v>
      </c>
      <c r="B184" s="15" t="s">
        <v>908</v>
      </c>
      <c r="C184" s="16">
        <v>0.36458333333333331</v>
      </c>
      <c r="D184" s="15" t="s">
        <v>769</v>
      </c>
      <c r="E184" s="15" t="s">
        <v>84</v>
      </c>
      <c r="F184" s="15" t="s">
        <v>939</v>
      </c>
      <c r="G184" s="298"/>
      <c r="H184" s="10"/>
      <c r="I184" s="11"/>
      <c r="J184" s="11"/>
      <c r="K184" s="11"/>
      <c r="L184" s="11"/>
      <c r="M184" s="11"/>
      <c r="N184" s="11"/>
      <c r="O184" s="12"/>
      <c r="P184" s="11"/>
      <c r="Q184" s="13"/>
      <c r="R184" s="14"/>
    </row>
    <row r="185" spans="1:18" ht="15" customHeight="1" x14ac:dyDescent="0.3">
      <c r="A185" s="15" t="s">
        <v>41</v>
      </c>
      <c r="B185" s="15" t="s">
        <v>908</v>
      </c>
      <c r="C185" s="16">
        <v>0.36458333333333331</v>
      </c>
      <c r="D185" s="15" t="s">
        <v>782</v>
      </c>
      <c r="E185" s="15" t="s">
        <v>84</v>
      </c>
      <c r="F185" s="15" t="s">
        <v>478</v>
      </c>
      <c r="G185" s="298"/>
      <c r="H185" s="10"/>
      <c r="I185" s="11"/>
      <c r="J185" s="11"/>
      <c r="K185" s="11"/>
      <c r="L185" s="11"/>
      <c r="M185" s="11"/>
      <c r="N185" s="11"/>
      <c r="O185" s="12"/>
      <c r="P185" s="11"/>
      <c r="Q185" s="13"/>
      <c r="R185" s="14"/>
    </row>
    <row r="186" spans="1:18" ht="18" x14ac:dyDescent="0.3">
      <c r="A186" s="312" t="s">
        <v>763</v>
      </c>
      <c r="B186" s="313"/>
      <c r="C186" s="313"/>
      <c r="D186" s="313"/>
      <c r="E186" s="313"/>
      <c r="F186" s="314"/>
      <c r="G186" s="298"/>
      <c r="H186" s="138"/>
      <c r="I186" s="138"/>
      <c r="J186" s="138"/>
      <c r="K186" s="138"/>
      <c r="L186" s="138"/>
      <c r="M186" s="138"/>
      <c r="N186" s="138"/>
      <c r="O186" s="139"/>
      <c r="P186" s="138"/>
      <c r="Q186" s="99"/>
      <c r="R186" s="99"/>
    </row>
    <row r="187" spans="1:18" ht="15" customHeight="1" x14ac:dyDescent="0.3">
      <c r="A187" s="17" t="s">
        <v>388</v>
      </c>
      <c r="B187" s="17" t="s">
        <v>389</v>
      </c>
      <c r="C187" s="18" t="s">
        <v>237</v>
      </c>
      <c r="D187" s="17" t="s">
        <v>390</v>
      </c>
      <c r="E187" s="17" t="s">
        <v>254</v>
      </c>
      <c r="F187" s="17" t="s">
        <v>559</v>
      </c>
      <c r="G187" s="298"/>
      <c r="H187" s="138"/>
      <c r="I187" s="138"/>
      <c r="J187" s="138"/>
      <c r="K187" s="138"/>
      <c r="L187" s="138"/>
      <c r="M187" s="138"/>
      <c r="N187" s="138"/>
      <c r="O187" s="139"/>
      <c r="P187" s="138"/>
      <c r="Q187" s="99"/>
      <c r="R187" s="99"/>
    </row>
    <row r="188" spans="1:18" ht="15" customHeight="1" x14ac:dyDescent="0.3">
      <c r="A188" s="17" t="s">
        <v>41</v>
      </c>
      <c r="B188" s="17" t="s">
        <v>340</v>
      </c>
      <c r="C188" s="18" t="s">
        <v>746</v>
      </c>
      <c r="D188" s="17" t="s">
        <v>43</v>
      </c>
      <c r="E188" s="17" t="s">
        <v>269</v>
      </c>
      <c r="F188" s="17" t="s">
        <v>143</v>
      </c>
      <c r="G188" s="298"/>
      <c r="H188" s="138"/>
      <c r="I188" s="138"/>
      <c r="J188" s="138"/>
      <c r="K188" s="138"/>
      <c r="L188" s="138"/>
      <c r="M188" s="138"/>
      <c r="N188" s="138"/>
      <c r="O188" s="139"/>
      <c r="P188" s="138"/>
      <c r="Q188" s="99"/>
      <c r="R188" s="99"/>
    </row>
    <row r="189" spans="1:18" ht="15" customHeight="1" x14ac:dyDescent="0.3">
      <c r="A189" s="17" t="s">
        <v>385</v>
      </c>
      <c r="B189" s="17" t="s">
        <v>386</v>
      </c>
      <c r="C189" s="18" t="s">
        <v>819</v>
      </c>
      <c r="D189" s="17" t="s">
        <v>101</v>
      </c>
      <c r="E189" s="17" t="s">
        <v>256</v>
      </c>
      <c r="F189" s="17" t="s">
        <v>564</v>
      </c>
      <c r="G189" s="298"/>
      <c r="H189" s="138"/>
      <c r="I189" s="138"/>
      <c r="J189" s="138"/>
      <c r="K189" s="138"/>
      <c r="L189" s="138"/>
      <c r="M189" s="138"/>
      <c r="N189" s="138"/>
      <c r="O189" s="139"/>
      <c r="P189" s="138"/>
      <c r="Q189" s="99"/>
      <c r="R189" s="99"/>
    </row>
    <row r="190" spans="1:18" ht="15" customHeight="1" x14ac:dyDescent="0.3">
      <c r="A190" s="17" t="s">
        <v>26</v>
      </c>
      <c r="B190" s="17" t="s">
        <v>354</v>
      </c>
      <c r="C190" s="18" t="s">
        <v>751</v>
      </c>
      <c r="D190" s="17" t="s">
        <v>28</v>
      </c>
      <c r="E190" s="17" t="s">
        <v>255</v>
      </c>
      <c r="F190" s="17" t="s">
        <v>154</v>
      </c>
      <c r="G190" s="298"/>
      <c r="H190" s="138"/>
      <c r="I190" s="138"/>
      <c r="J190" s="138"/>
      <c r="K190" s="138"/>
      <c r="L190" s="138"/>
      <c r="M190" s="138"/>
      <c r="N190" s="138"/>
      <c r="O190" s="139"/>
      <c r="P190" s="138"/>
      <c r="Q190" s="99"/>
      <c r="R190" s="99"/>
    </row>
    <row r="191" spans="1:18" ht="15" customHeight="1" x14ac:dyDescent="0.3">
      <c r="A191" s="17" t="s">
        <v>26</v>
      </c>
      <c r="B191" s="17" t="s">
        <v>350</v>
      </c>
      <c r="C191" s="18" t="s">
        <v>749</v>
      </c>
      <c r="D191" s="17" t="s">
        <v>28</v>
      </c>
      <c r="E191" s="17" t="s">
        <v>260</v>
      </c>
      <c r="F191" s="17" t="s">
        <v>154</v>
      </c>
      <c r="G191" s="298"/>
      <c r="H191" s="138"/>
      <c r="I191" s="138"/>
      <c r="J191" s="138"/>
      <c r="K191" s="138"/>
      <c r="L191" s="138"/>
      <c r="M191" s="138"/>
      <c r="N191" s="138"/>
      <c r="O191" s="139"/>
      <c r="P191" s="138"/>
      <c r="Q191" s="99"/>
      <c r="R191" s="99"/>
    </row>
    <row r="192" spans="1:18" ht="15" customHeight="1" x14ac:dyDescent="0.3">
      <c r="A192" s="17" t="s">
        <v>26</v>
      </c>
      <c r="B192" s="17" t="s">
        <v>357</v>
      </c>
      <c r="C192" s="18" t="s">
        <v>753</v>
      </c>
      <c r="D192" s="17" t="s">
        <v>28</v>
      </c>
      <c r="E192" s="17" t="s">
        <v>259</v>
      </c>
      <c r="F192" s="17" t="s">
        <v>154</v>
      </c>
      <c r="G192" s="298"/>
      <c r="H192" s="138"/>
      <c r="I192" s="138"/>
      <c r="J192" s="138"/>
      <c r="K192" s="138"/>
      <c r="L192" s="138"/>
      <c r="M192" s="138"/>
      <c r="N192" s="138"/>
      <c r="O192" s="139"/>
      <c r="P192" s="138"/>
      <c r="Q192" s="99"/>
      <c r="R192" s="99"/>
    </row>
    <row r="193" spans="1:18" ht="15" customHeight="1" x14ac:dyDescent="0.3">
      <c r="A193" s="17" t="s">
        <v>77</v>
      </c>
      <c r="B193" s="17" t="s">
        <v>419</v>
      </c>
      <c r="C193" s="18" t="s">
        <v>643</v>
      </c>
      <c r="D193" s="17" t="s">
        <v>101</v>
      </c>
      <c r="E193" s="17" t="s">
        <v>260</v>
      </c>
      <c r="F193" s="17" t="s">
        <v>379</v>
      </c>
      <c r="G193" s="298"/>
      <c r="H193" s="138"/>
      <c r="I193" s="138"/>
      <c r="J193" s="138"/>
      <c r="K193" s="138"/>
      <c r="L193" s="138"/>
      <c r="M193" s="138"/>
      <c r="N193" s="138"/>
      <c r="O193" s="139"/>
      <c r="P193" s="138"/>
      <c r="Q193" s="99"/>
      <c r="R193" s="99"/>
    </row>
    <row r="194" spans="1:18" ht="15" customHeight="1" x14ac:dyDescent="0.3">
      <c r="A194" s="17" t="s">
        <v>385</v>
      </c>
      <c r="B194" s="17" t="s">
        <v>435</v>
      </c>
      <c r="C194" s="18" t="s">
        <v>860</v>
      </c>
      <c r="D194" s="17" t="s">
        <v>101</v>
      </c>
      <c r="E194" s="17" t="s">
        <v>256</v>
      </c>
      <c r="F194" s="17" t="s">
        <v>521</v>
      </c>
      <c r="G194" s="298"/>
      <c r="H194" s="138"/>
      <c r="I194" s="138"/>
      <c r="J194" s="138"/>
      <c r="K194" s="138"/>
      <c r="L194" s="138"/>
      <c r="M194" s="138"/>
      <c r="N194" s="138"/>
      <c r="O194" s="139"/>
      <c r="P194" s="138"/>
      <c r="Q194" s="99"/>
      <c r="R194" s="99"/>
    </row>
    <row r="195" spans="1:18" ht="15" customHeight="1" x14ac:dyDescent="0.3">
      <c r="A195" s="17" t="s">
        <v>41</v>
      </c>
      <c r="B195" s="17" t="s">
        <v>344</v>
      </c>
      <c r="C195" s="18" t="s">
        <v>747</v>
      </c>
      <c r="D195" s="17" t="s">
        <v>43</v>
      </c>
      <c r="E195" s="17" t="s">
        <v>861</v>
      </c>
      <c r="F195" s="17" t="s">
        <v>478</v>
      </c>
      <c r="G195" s="298"/>
      <c r="H195" s="138"/>
      <c r="I195" s="138"/>
      <c r="J195" s="138"/>
      <c r="K195" s="138"/>
      <c r="L195" s="138"/>
      <c r="M195" s="138"/>
      <c r="N195" s="138"/>
      <c r="O195" s="139"/>
      <c r="P195" s="138"/>
      <c r="Q195" s="99"/>
      <c r="R195" s="99"/>
    </row>
    <row r="196" spans="1:18" ht="15" customHeight="1" x14ac:dyDescent="0.3">
      <c r="A196" s="39" t="s">
        <v>41</v>
      </c>
      <c r="B196" s="39" t="s">
        <v>347</v>
      </c>
      <c r="C196" s="40" t="s">
        <v>748</v>
      </c>
      <c r="D196" s="39" t="s">
        <v>43</v>
      </c>
      <c r="E196" s="39" t="s">
        <v>861</v>
      </c>
      <c r="F196" s="39" t="s">
        <v>478</v>
      </c>
      <c r="G196" s="299"/>
      <c r="H196" s="140"/>
      <c r="I196" s="140"/>
      <c r="J196" s="140"/>
      <c r="K196" s="140"/>
      <c r="L196" s="140"/>
      <c r="M196" s="140"/>
      <c r="N196" s="140"/>
      <c r="O196" s="141"/>
      <c r="P196" s="140"/>
      <c r="Q196" s="142"/>
      <c r="R196" s="142"/>
    </row>
  </sheetData>
  <mergeCells count="61">
    <mergeCell ref="A178:F178"/>
    <mergeCell ref="G38:G51"/>
    <mergeCell ref="A61:F61"/>
    <mergeCell ref="A119:F119"/>
    <mergeCell ref="G6:G19"/>
    <mergeCell ref="A146:R146"/>
    <mergeCell ref="N1:R1"/>
    <mergeCell ref="G133:G145"/>
    <mergeCell ref="A20:R20"/>
    <mergeCell ref="A147:F147"/>
    <mergeCell ref="G180:G196"/>
    <mergeCell ref="A72:R72"/>
    <mergeCell ref="H109:R109"/>
    <mergeCell ref="A52:R52"/>
    <mergeCell ref="A9:F9"/>
    <mergeCell ref="A161:R161"/>
    <mergeCell ref="A162:F162"/>
    <mergeCell ref="K2:R2"/>
    <mergeCell ref="G55:G71"/>
    <mergeCell ref="G23:G34"/>
    <mergeCell ref="A92:F92"/>
    <mergeCell ref="A186:F186"/>
    <mergeCell ref="A4:F4"/>
    <mergeCell ref="A131:F131"/>
    <mergeCell ref="A135:F135"/>
    <mergeCell ref="H178:R178"/>
    <mergeCell ref="A53:F53"/>
    <mergeCell ref="H36:R36"/>
    <mergeCell ref="A91:R91"/>
    <mergeCell ref="A109:F109"/>
    <mergeCell ref="A35:R35"/>
    <mergeCell ref="A166:F166"/>
    <mergeCell ref="H131:R131"/>
    <mergeCell ref="A24:F24"/>
    <mergeCell ref="A73:F73"/>
    <mergeCell ref="A130:R130"/>
    <mergeCell ref="G164:G176"/>
    <mergeCell ref="A36:F36"/>
    <mergeCell ref="A177:R177"/>
    <mergeCell ref="A108:R108"/>
    <mergeCell ref="H1:L1"/>
    <mergeCell ref="A1:E1"/>
    <mergeCell ref="G94:G107"/>
    <mergeCell ref="A21:F21"/>
    <mergeCell ref="H4:R4"/>
    <mergeCell ref="G111:G129"/>
    <mergeCell ref="A2:F2"/>
    <mergeCell ref="A3:R3"/>
    <mergeCell ref="G75:G90"/>
    <mergeCell ref="G149:G160"/>
    <mergeCell ref="A150:F150"/>
    <mergeCell ref="H21:R21"/>
    <mergeCell ref="H73:R73"/>
    <mergeCell ref="G2:J2"/>
    <mergeCell ref="A41:F41"/>
    <mergeCell ref="H92:R92"/>
    <mergeCell ref="H53:R53"/>
    <mergeCell ref="H162:R162"/>
    <mergeCell ref="A80:F80"/>
    <mergeCell ref="H147:R147"/>
    <mergeCell ref="A97:F9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24"/>
  <sheetViews>
    <sheetView workbookViewId="0"/>
  </sheetViews>
  <sheetFormatPr defaultRowHeight="15.6" outlineLevelCol="1" x14ac:dyDescent="0.3"/>
  <cols>
    <col min="1" max="1" width="11.5546875" style="316" bestFit="1" customWidth="1"/>
    <col min="2" max="2" width="10.44140625" style="316" bestFit="1" customWidth="1"/>
    <col min="3" max="3" width="6.77734375" style="316" bestFit="1" customWidth="1"/>
    <col min="4" max="4" width="5.5546875" style="316" bestFit="1" customWidth="1"/>
    <col min="5" max="5" width="7.77734375" style="316" bestFit="1" customWidth="1"/>
    <col min="6" max="6" width="4.21875" style="316" bestFit="1" customWidth="1"/>
    <col min="7" max="7" width="10" style="316" bestFit="1" customWidth="1"/>
    <col min="8" max="10" width="8.5546875" style="316" bestFit="1" customWidth="1"/>
    <col min="11" max="11" width="10.5546875" style="316" bestFit="1" customWidth="1"/>
    <col min="12" max="12" width="9.109375" style="316" bestFit="1" customWidth="1"/>
    <col min="13" max="13" width="7.6640625" style="316" bestFit="1" customWidth="1" outlineLevel="1"/>
    <col min="14" max="14" width="7" style="316" bestFit="1" customWidth="1" outlineLevel="1"/>
    <col min="15" max="15" width="8" style="316" bestFit="1" customWidth="1" outlineLevel="1"/>
    <col min="16" max="16" width="13.6640625" style="316" bestFit="1" customWidth="1"/>
    <col min="17" max="24" width="3.886718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1" width="4.5546875" style="316" bestFit="1" customWidth="1"/>
    <col min="32" max="32" width="3.88671875" style="316" bestFit="1" customWidth="1"/>
    <col min="33" max="33" width="4.21875" style="316" bestFit="1" customWidth="1"/>
    <col min="34" max="34" width="3.88671875" style="316" bestFit="1" customWidth="1"/>
    <col min="35" max="35" width="5.21875" style="316" bestFit="1" customWidth="1"/>
    <col min="36"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894</v>
      </c>
      <c r="D2" s="320" t="s">
        <v>940</v>
      </c>
      <c r="E2" s="319" t="s">
        <v>891</v>
      </c>
      <c r="F2" s="319" t="s">
        <v>189</v>
      </c>
      <c r="G2" s="321">
        <v>0.92779999999999996</v>
      </c>
      <c r="H2" s="322">
        <v>180</v>
      </c>
      <c r="I2" s="322">
        <v>167</v>
      </c>
      <c r="J2" s="322">
        <v>133</v>
      </c>
      <c r="K2" s="319" t="s">
        <v>190</v>
      </c>
      <c r="L2" s="323">
        <v>45979</v>
      </c>
      <c r="M2" s="322">
        <v>0</v>
      </c>
      <c r="N2" s="322">
        <v>5</v>
      </c>
      <c r="O2" s="322">
        <v>22</v>
      </c>
      <c r="P2" s="319" t="s">
        <v>376</v>
      </c>
      <c r="Q2" s="315"/>
      <c r="R2" s="315"/>
      <c r="S2" s="315"/>
      <c r="T2" s="315"/>
      <c r="U2" s="315"/>
      <c r="V2" s="315"/>
      <c r="W2" s="315"/>
      <c r="X2" s="315"/>
      <c r="Y2" s="315"/>
      <c r="Z2" s="322" t="s">
        <v>494</v>
      </c>
      <c r="AA2" s="322" t="s">
        <v>941</v>
      </c>
      <c r="AB2" s="315"/>
      <c r="AC2" s="322" t="s">
        <v>654</v>
      </c>
      <c r="AD2" s="315"/>
      <c r="AE2" s="315"/>
      <c r="AF2" s="315"/>
      <c r="AG2" s="322" t="s">
        <v>942</v>
      </c>
      <c r="AH2" s="315"/>
      <c r="AI2" s="322" t="s">
        <v>943</v>
      </c>
      <c r="AJ2" s="315"/>
    </row>
    <row r="3" spans="1:36" x14ac:dyDescent="0.3">
      <c r="A3" s="317" t="s">
        <v>187</v>
      </c>
      <c r="B3" s="318">
        <v>45981</v>
      </c>
      <c r="C3" s="319" t="s">
        <v>897</v>
      </c>
      <c r="D3" s="320" t="s">
        <v>944</v>
      </c>
      <c r="E3" s="319" t="s">
        <v>891</v>
      </c>
      <c r="F3" s="319" t="s">
        <v>189</v>
      </c>
      <c r="G3" s="321">
        <v>0.82779999999999998</v>
      </c>
      <c r="H3" s="322">
        <v>180</v>
      </c>
      <c r="I3" s="322">
        <v>149</v>
      </c>
      <c r="J3" s="322">
        <v>94</v>
      </c>
      <c r="K3" s="319" t="s">
        <v>190</v>
      </c>
      <c r="L3" s="323">
        <v>45980</v>
      </c>
      <c r="M3" s="322">
        <v>2</v>
      </c>
      <c r="N3" s="322">
        <v>9</v>
      </c>
      <c r="O3" s="322">
        <v>39</v>
      </c>
      <c r="P3" s="319" t="s">
        <v>368</v>
      </c>
      <c r="Q3" s="315"/>
      <c r="R3" s="315"/>
      <c r="S3" s="315"/>
      <c r="T3" s="315"/>
      <c r="U3" s="315"/>
      <c r="V3" s="315"/>
      <c r="W3" s="315"/>
      <c r="X3" s="315"/>
      <c r="Y3" s="315"/>
      <c r="Z3" s="322" t="s">
        <v>945</v>
      </c>
      <c r="AA3" s="322" t="s">
        <v>946</v>
      </c>
      <c r="AB3" s="315"/>
      <c r="AC3" s="315"/>
      <c r="AD3" s="315"/>
      <c r="AE3" s="315"/>
      <c r="AF3" s="315"/>
      <c r="AG3" s="315"/>
      <c r="AH3" s="315"/>
      <c r="AI3" s="322" t="s">
        <v>663</v>
      </c>
      <c r="AJ3" s="315"/>
    </row>
    <row r="4" spans="1:36" x14ac:dyDescent="0.3">
      <c r="A4" s="317" t="s">
        <v>606</v>
      </c>
      <c r="B4" s="318">
        <v>45982</v>
      </c>
      <c r="C4" s="319" t="s">
        <v>902</v>
      </c>
      <c r="D4" s="320" t="s">
        <v>808</v>
      </c>
      <c r="E4" s="319" t="s">
        <v>891</v>
      </c>
      <c r="F4" s="319" t="s">
        <v>189</v>
      </c>
      <c r="G4" s="321">
        <v>0.7278</v>
      </c>
      <c r="H4" s="322">
        <v>180</v>
      </c>
      <c r="I4" s="322">
        <v>131</v>
      </c>
      <c r="J4" s="322">
        <v>0</v>
      </c>
      <c r="K4" s="319" t="s">
        <v>190</v>
      </c>
      <c r="L4" s="323">
        <v>45980</v>
      </c>
      <c r="M4" s="322">
        <v>0</v>
      </c>
      <c r="N4" s="322">
        <v>4</v>
      </c>
      <c r="O4" s="322">
        <v>102</v>
      </c>
      <c r="P4" s="319" t="s">
        <v>381</v>
      </c>
      <c r="Q4" s="315"/>
      <c r="R4" s="315"/>
      <c r="S4" s="315"/>
      <c r="T4" s="315"/>
      <c r="U4" s="315"/>
      <c r="V4" s="315"/>
      <c r="W4" s="315"/>
      <c r="X4" s="315"/>
      <c r="Y4" s="322" t="s">
        <v>671</v>
      </c>
      <c r="Z4" s="322" t="s">
        <v>687</v>
      </c>
      <c r="AA4" s="322" t="s">
        <v>679</v>
      </c>
      <c r="AB4" s="322" t="s">
        <v>680</v>
      </c>
      <c r="AC4" s="322" t="s">
        <v>324</v>
      </c>
      <c r="AD4" s="322" t="s">
        <v>325</v>
      </c>
      <c r="AE4" s="322" t="s">
        <v>676</v>
      </c>
      <c r="AF4" s="322" t="s">
        <v>677</v>
      </c>
      <c r="AG4" s="315"/>
      <c r="AH4" s="315"/>
      <c r="AI4" s="315"/>
      <c r="AJ4" s="315"/>
    </row>
    <row r="5" spans="1:36" x14ac:dyDescent="0.3">
      <c r="A5" s="317" t="s">
        <v>199</v>
      </c>
      <c r="B5" s="318">
        <v>45983</v>
      </c>
      <c r="C5" s="319" t="s">
        <v>894</v>
      </c>
      <c r="D5" s="320" t="s">
        <v>947</v>
      </c>
      <c r="E5" s="319" t="s">
        <v>891</v>
      </c>
      <c r="F5" s="319" t="s">
        <v>189</v>
      </c>
      <c r="G5" s="321">
        <v>0.88890000000000002</v>
      </c>
      <c r="H5" s="322">
        <v>180</v>
      </c>
      <c r="I5" s="322">
        <v>160</v>
      </c>
      <c r="J5" s="322">
        <v>90</v>
      </c>
      <c r="K5" s="319" t="s">
        <v>190</v>
      </c>
      <c r="L5" s="323">
        <v>45980</v>
      </c>
      <c r="M5" s="322">
        <v>2</v>
      </c>
      <c r="N5" s="322">
        <v>5</v>
      </c>
      <c r="O5" s="322">
        <v>37</v>
      </c>
      <c r="P5" s="319" t="s">
        <v>313</v>
      </c>
      <c r="Q5" s="315"/>
      <c r="R5" s="315"/>
      <c r="S5" s="315"/>
      <c r="T5" s="315"/>
      <c r="U5" s="315"/>
      <c r="V5" s="315"/>
      <c r="W5" s="315"/>
      <c r="X5" s="315"/>
      <c r="Y5" s="315"/>
      <c r="Z5" s="322" t="s">
        <v>192</v>
      </c>
      <c r="AA5" s="322" t="s">
        <v>623</v>
      </c>
      <c r="AB5" s="322" t="s">
        <v>587</v>
      </c>
      <c r="AC5" s="322" t="s">
        <v>193</v>
      </c>
      <c r="AD5" s="322" t="s">
        <v>948</v>
      </c>
      <c r="AE5" s="322" t="s">
        <v>598</v>
      </c>
      <c r="AF5" s="322" t="s">
        <v>599</v>
      </c>
      <c r="AG5" s="315"/>
      <c r="AH5" s="315"/>
      <c r="AI5" s="322" t="s">
        <v>223</v>
      </c>
      <c r="AJ5" s="315"/>
    </row>
    <row r="6" spans="1:36" x14ac:dyDescent="0.3">
      <c r="A6" s="317" t="s">
        <v>199</v>
      </c>
      <c r="B6" s="318">
        <v>45983</v>
      </c>
      <c r="C6" s="319" t="s">
        <v>897</v>
      </c>
      <c r="D6" s="320" t="s">
        <v>949</v>
      </c>
      <c r="E6" s="319" t="s">
        <v>891</v>
      </c>
      <c r="F6" s="319" t="s">
        <v>189</v>
      </c>
      <c r="G6" s="321">
        <v>0.99439999999999995</v>
      </c>
      <c r="H6" s="322">
        <v>180</v>
      </c>
      <c r="I6" s="322">
        <v>179</v>
      </c>
      <c r="J6" s="322">
        <v>100</v>
      </c>
      <c r="K6" s="319" t="s">
        <v>190</v>
      </c>
      <c r="L6" s="323">
        <v>45980</v>
      </c>
      <c r="M6" s="322">
        <v>2</v>
      </c>
      <c r="N6" s="322">
        <v>6</v>
      </c>
      <c r="O6" s="322">
        <v>30</v>
      </c>
      <c r="P6" s="319" t="s">
        <v>81</v>
      </c>
      <c r="Q6" s="322" t="s">
        <v>329</v>
      </c>
      <c r="R6" s="315"/>
      <c r="S6" s="315"/>
      <c r="T6" s="315"/>
      <c r="U6" s="315"/>
      <c r="V6" s="315"/>
      <c r="W6" s="315"/>
      <c r="X6" s="315"/>
      <c r="Y6" s="315"/>
      <c r="Z6" s="322" t="s">
        <v>372</v>
      </c>
      <c r="AA6" s="322" t="s">
        <v>575</v>
      </c>
      <c r="AB6" s="322" t="s">
        <v>576</v>
      </c>
      <c r="AC6" s="322" t="s">
        <v>879</v>
      </c>
      <c r="AD6" s="322" t="s">
        <v>950</v>
      </c>
      <c r="AE6" s="315"/>
      <c r="AF6" s="322" t="s">
        <v>951</v>
      </c>
      <c r="AG6" s="315"/>
      <c r="AH6" s="315"/>
      <c r="AI6" s="322" t="s">
        <v>952</v>
      </c>
      <c r="AJ6" s="315"/>
    </row>
    <row r="7" spans="1:36" x14ac:dyDescent="0.3">
      <c r="A7" s="317" t="s">
        <v>203</v>
      </c>
      <c r="B7" s="318">
        <v>45984</v>
      </c>
      <c r="C7" s="319" t="s">
        <v>902</v>
      </c>
      <c r="D7" s="320" t="s">
        <v>940</v>
      </c>
      <c r="E7" s="319" t="s">
        <v>891</v>
      </c>
      <c r="F7" s="319" t="s">
        <v>189</v>
      </c>
      <c r="G7" s="321">
        <v>1</v>
      </c>
      <c r="H7" s="322">
        <v>180</v>
      </c>
      <c r="I7" s="322">
        <v>180</v>
      </c>
      <c r="J7" s="322">
        <v>120</v>
      </c>
      <c r="K7" s="319" t="s">
        <v>190</v>
      </c>
      <c r="L7" s="323">
        <v>45980</v>
      </c>
      <c r="M7" s="322">
        <v>3</v>
      </c>
      <c r="N7" s="322">
        <v>4</v>
      </c>
      <c r="O7" s="322">
        <v>23</v>
      </c>
      <c r="P7" s="319" t="s">
        <v>81</v>
      </c>
      <c r="Q7" s="315"/>
      <c r="R7" s="315"/>
      <c r="S7" s="315"/>
      <c r="T7" s="315"/>
      <c r="U7" s="315"/>
      <c r="V7" s="315"/>
      <c r="W7" s="315"/>
      <c r="X7" s="315"/>
      <c r="Y7" s="315"/>
      <c r="Z7" s="315"/>
      <c r="AA7" s="322" t="s">
        <v>313</v>
      </c>
      <c r="AB7" s="322" t="s">
        <v>596</v>
      </c>
      <c r="AC7" s="322" t="s">
        <v>577</v>
      </c>
      <c r="AD7" s="322" t="s">
        <v>953</v>
      </c>
      <c r="AE7" s="322" t="s">
        <v>954</v>
      </c>
      <c r="AF7" s="322" t="s">
        <v>196</v>
      </c>
      <c r="AG7" s="315"/>
      <c r="AH7" s="315"/>
      <c r="AI7" s="322" t="s">
        <v>666</v>
      </c>
      <c r="AJ7" s="315"/>
    </row>
    <row r="8" spans="1:36" x14ac:dyDescent="0.3">
      <c r="A8" s="317" t="s">
        <v>203</v>
      </c>
      <c r="B8" s="318">
        <v>45984</v>
      </c>
      <c r="C8" s="319" t="s">
        <v>897</v>
      </c>
      <c r="D8" s="320" t="s">
        <v>955</v>
      </c>
      <c r="E8" s="319" t="s">
        <v>891</v>
      </c>
      <c r="F8" s="319" t="s">
        <v>189</v>
      </c>
      <c r="G8" s="321">
        <v>0.97219999999999995</v>
      </c>
      <c r="H8" s="322">
        <v>180</v>
      </c>
      <c r="I8" s="322">
        <v>175</v>
      </c>
      <c r="J8" s="322">
        <v>90</v>
      </c>
      <c r="K8" s="319" t="s">
        <v>190</v>
      </c>
      <c r="L8" s="323">
        <v>45980</v>
      </c>
      <c r="M8" s="322">
        <v>5</v>
      </c>
      <c r="N8" s="322">
        <v>11</v>
      </c>
      <c r="O8" s="322">
        <v>39</v>
      </c>
      <c r="P8" s="319" t="s">
        <v>644</v>
      </c>
      <c r="Q8" s="322" t="s">
        <v>329</v>
      </c>
      <c r="R8" s="315"/>
      <c r="S8" s="315"/>
      <c r="T8" s="315"/>
      <c r="U8" s="315"/>
      <c r="V8" s="315"/>
      <c r="W8" s="315"/>
      <c r="X8" s="315"/>
      <c r="Y8" s="315"/>
      <c r="Z8" s="315"/>
      <c r="AA8" s="322" t="s">
        <v>422</v>
      </c>
      <c r="AB8" s="322" t="s">
        <v>576</v>
      </c>
      <c r="AC8" s="322" t="s">
        <v>577</v>
      </c>
      <c r="AD8" s="322" t="s">
        <v>956</v>
      </c>
      <c r="AE8" s="322" t="s">
        <v>217</v>
      </c>
      <c r="AF8" s="322" t="s">
        <v>196</v>
      </c>
      <c r="AG8" s="315"/>
      <c r="AH8" s="315"/>
      <c r="AI8" s="322" t="s">
        <v>223</v>
      </c>
      <c r="AJ8" s="315"/>
    </row>
    <row r="9" spans="1:36" x14ac:dyDescent="0.3">
      <c r="A9" s="317" t="s">
        <v>207</v>
      </c>
      <c r="B9" s="318">
        <v>45985</v>
      </c>
      <c r="C9" s="319" t="s">
        <v>902</v>
      </c>
      <c r="D9" s="320" t="s">
        <v>957</v>
      </c>
      <c r="E9" s="319" t="s">
        <v>891</v>
      </c>
      <c r="F9" s="319" t="s">
        <v>189</v>
      </c>
      <c r="G9" s="321">
        <v>0.97219999999999995</v>
      </c>
      <c r="H9" s="322">
        <v>180</v>
      </c>
      <c r="I9" s="322">
        <v>175</v>
      </c>
      <c r="J9" s="322">
        <v>100</v>
      </c>
      <c r="K9" s="319" t="s">
        <v>190</v>
      </c>
      <c r="L9" s="323">
        <v>45980</v>
      </c>
      <c r="M9" s="322">
        <v>9</v>
      </c>
      <c r="N9" s="322">
        <v>5</v>
      </c>
      <c r="O9" s="322">
        <v>38</v>
      </c>
      <c r="P9" s="319" t="s">
        <v>425</v>
      </c>
      <c r="Q9" s="315"/>
      <c r="R9" s="315"/>
      <c r="S9" s="315"/>
      <c r="T9" s="315"/>
      <c r="U9" s="315"/>
      <c r="V9" s="315"/>
      <c r="W9" s="315"/>
      <c r="X9" s="315"/>
      <c r="Y9" s="322" t="s">
        <v>209</v>
      </c>
      <c r="Z9" s="322" t="s">
        <v>372</v>
      </c>
      <c r="AA9" s="322" t="s">
        <v>644</v>
      </c>
      <c r="AB9" s="322" t="s">
        <v>576</v>
      </c>
      <c r="AC9" s="322" t="s">
        <v>193</v>
      </c>
      <c r="AD9" s="322" t="s">
        <v>315</v>
      </c>
      <c r="AE9" s="322" t="s">
        <v>326</v>
      </c>
      <c r="AF9" s="322" t="s">
        <v>684</v>
      </c>
      <c r="AG9" s="315"/>
      <c r="AH9" s="315"/>
      <c r="AI9" s="322" t="s">
        <v>952</v>
      </c>
      <c r="AJ9" s="315"/>
    </row>
    <row r="10" spans="1:36" x14ac:dyDescent="0.3">
      <c r="A10" s="317" t="s">
        <v>207</v>
      </c>
      <c r="B10" s="318">
        <v>45985</v>
      </c>
      <c r="C10" s="319" t="s">
        <v>916</v>
      </c>
      <c r="D10" s="320" t="s">
        <v>751</v>
      </c>
      <c r="E10" s="319" t="s">
        <v>891</v>
      </c>
      <c r="F10" s="319" t="s">
        <v>189</v>
      </c>
      <c r="G10" s="321">
        <v>1</v>
      </c>
      <c r="H10" s="322">
        <v>180</v>
      </c>
      <c r="I10" s="322">
        <v>180</v>
      </c>
      <c r="J10" s="322">
        <v>90</v>
      </c>
      <c r="K10" s="319" t="s">
        <v>190</v>
      </c>
      <c r="L10" s="323">
        <v>45978</v>
      </c>
      <c r="M10" s="322">
        <v>0</v>
      </c>
      <c r="N10" s="322">
        <v>0</v>
      </c>
      <c r="O10" s="322">
        <v>74</v>
      </c>
      <c r="P10" s="319" t="s">
        <v>81</v>
      </c>
      <c r="Q10" s="315"/>
      <c r="R10" s="315"/>
      <c r="S10" s="315"/>
      <c r="T10" s="315"/>
      <c r="U10" s="315"/>
      <c r="V10" s="315"/>
      <c r="W10" s="315"/>
      <c r="X10" s="315"/>
      <c r="Y10" s="315"/>
      <c r="Z10" s="315"/>
      <c r="AA10" s="315"/>
      <c r="AB10" s="315"/>
      <c r="AC10" s="322" t="s">
        <v>654</v>
      </c>
      <c r="AD10" s="322" t="s">
        <v>958</v>
      </c>
      <c r="AE10" s="322" t="s">
        <v>959</v>
      </c>
      <c r="AF10" s="322" t="s">
        <v>677</v>
      </c>
      <c r="AG10" s="315"/>
      <c r="AH10" s="315"/>
      <c r="AI10" s="322" t="s">
        <v>223</v>
      </c>
      <c r="AJ10" s="315"/>
    </row>
    <row r="11" spans="1:36" x14ac:dyDescent="0.3">
      <c r="A11" s="317" t="s">
        <v>207</v>
      </c>
      <c r="B11" s="318">
        <v>45985</v>
      </c>
      <c r="C11" s="319" t="s">
        <v>894</v>
      </c>
      <c r="D11" s="320" t="s">
        <v>960</v>
      </c>
      <c r="E11" s="319" t="s">
        <v>891</v>
      </c>
      <c r="F11" s="319" t="s">
        <v>189</v>
      </c>
      <c r="G11" s="321">
        <v>0.66669999999999996</v>
      </c>
      <c r="H11" s="322">
        <v>180</v>
      </c>
      <c r="I11" s="322">
        <v>120</v>
      </c>
      <c r="J11" s="322">
        <v>52</v>
      </c>
      <c r="K11" s="319" t="s">
        <v>190</v>
      </c>
      <c r="L11" s="323">
        <v>45980</v>
      </c>
      <c r="M11" s="322">
        <v>3</v>
      </c>
      <c r="N11" s="322">
        <v>8</v>
      </c>
      <c r="O11" s="322">
        <v>48</v>
      </c>
      <c r="P11" s="319" t="s">
        <v>425</v>
      </c>
      <c r="Q11" s="315"/>
      <c r="R11" s="315"/>
      <c r="S11" s="315"/>
      <c r="T11" s="315"/>
      <c r="U11" s="315"/>
      <c r="V11" s="315"/>
      <c r="W11" s="315"/>
      <c r="X11" s="322" t="s">
        <v>224</v>
      </c>
      <c r="Y11" s="315"/>
      <c r="Z11" s="322" t="s">
        <v>192</v>
      </c>
      <c r="AA11" s="322" t="s">
        <v>425</v>
      </c>
      <c r="AB11" s="322" t="s">
        <v>587</v>
      </c>
      <c r="AC11" s="322" t="s">
        <v>324</v>
      </c>
      <c r="AD11" s="322" t="s">
        <v>961</v>
      </c>
      <c r="AE11" s="322" t="s">
        <v>598</v>
      </c>
      <c r="AF11" s="322" t="s">
        <v>599</v>
      </c>
      <c r="AG11" s="315"/>
      <c r="AH11" s="315"/>
      <c r="AI11" s="322" t="s">
        <v>962</v>
      </c>
      <c r="AJ11" s="315"/>
    </row>
    <row r="12" spans="1:36" x14ac:dyDescent="0.3">
      <c r="A12" s="317" t="s">
        <v>213</v>
      </c>
      <c r="B12" s="318">
        <v>45986</v>
      </c>
      <c r="C12" s="319" t="s">
        <v>894</v>
      </c>
      <c r="D12" s="320" t="s">
        <v>963</v>
      </c>
      <c r="E12" s="319" t="s">
        <v>891</v>
      </c>
      <c r="F12" s="319" t="s">
        <v>189</v>
      </c>
      <c r="G12" s="321">
        <v>0.69440000000000002</v>
      </c>
      <c r="H12" s="322">
        <v>180</v>
      </c>
      <c r="I12" s="322">
        <v>125</v>
      </c>
      <c r="J12" s="322">
        <v>45</v>
      </c>
      <c r="K12" s="319" t="s">
        <v>190</v>
      </c>
      <c r="L12" s="323">
        <v>45980</v>
      </c>
      <c r="M12" s="322">
        <v>4</v>
      </c>
      <c r="N12" s="322">
        <v>9</v>
      </c>
      <c r="O12" s="322">
        <v>47</v>
      </c>
      <c r="P12" s="319" t="s">
        <v>422</v>
      </c>
      <c r="Q12" s="315"/>
      <c r="R12" s="315"/>
      <c r="S12" s="315"/>
      <c r="T12" s="315"/>
      <c r="U12" s="315"/>
      <c r="V12" s="315"/>
      <c r="W12" s="315"/>
      <c r="X12" s="315"/>
      <c r="Y12" s="315"/>
      <c r="Z12" s="315"/>
      <c r="AA12" s="315"/>
      <c r="AB12" s="322" t="s">
        <v>587</v>
      </c>
      <c r="AC12" s="322" t="s">
        <v>193</v>
      </c>
      <c r="AD12" s="322" t="s">
        <v>964</v>
      </c>
      <c r="AE12" s="322" t="s">
        <v>965</v>
      </c>
      <c r="AF12" s="322" t="s">
        <v>196</v>
      </c>
      <c r="AG12" s="315"/>
      <c r="AH12" s="315"/>
      <c r="AI12" s="322" t="s">
        <v>321</v>
      </c>
      <c r="AJ12" s="315"/>
    </row>
    <row r="13" spans="1:36" x14ac:dyDescent="0.3">
      <c r="A13" s="317" t="s">
        <v>213</v>
      </c>
      <c r="B13" s="318">
        <v>45986</v>
      </c>
      <c r="C13" s="319" t="s">
        <v>897</v>
      </c>
      <c r="D13" s="320" t="s">
        <v>949</v>
      </c>
      <c r="E13" s="319" t="s">
        <v>891</v>
      </c>
      <c r="F13" s="319" t="s">
        <v>189</v>
      </c>
      <c r="G13" s="321">
        <v>0.7389</v>
      </c>
      <c r="H13" s="322">
        <v>180</v>
      </c>
      <c r="I13" s="322">
        <v>133</v>
      </c>
      <c r="J13" s="322">
        <v>50</v>
      </c>
      <c r="K13" s="319" t="s">
        <v>190</v>
      </c>
      <c r="L13" s="323">
        <v>45980</v>
      </c>
      <c r="M13" s="322">
        <v>6</v>
      </c>
      <c r="N13" s="322">
        <v>11</v>
      </c>
      <c r="O13" s="322">
        <v>57</v>
      </c>
      <c r="P13" s="319" t="s">
        <v>631</v>
      </c>
      <c r="Q13" s="315"/>
      <c r="R13" s="315"/>
      <c r="S13" s="315"/>
      <c r="T13" s="315"/>
      <c r="U13" s="315"/>
      <c r="V13" s="315"/>
      <c r="W13" s="315"/>
      <c r="X13" s="315"/>
      <c r="Y13" s="315"/>
      <c r="Z13" s="322" t="s">
        <v>585</v>
      </c>
      <c r="AA13" s="322" t="s">
        <v>448</v>
      </c>
      <c r="AB13" s="322" t="s">
        <v>576</v>
      </c>
      <c r="AC13" s="322" t="s">
        <v>577</v>
      </c>
      <c r="AD13" s="322" t="s">
        <v>966</v>
      </c>
      <c r="AE13" s="322" t="s">
        <v>217</v>
      </c>
      <c r="AF13" s="322" t="s">
        <v>951</v>
      </c>
      <c r="AG13" s="315"/>
      <c r="AH13" s="315"/>
      <c r="AI13" s="322" t="s">
        <v>328</v>
      </c>
      <c r="AJ13" s="315"/>
    </row>
    <row r="14" spans="1:36" x14ac:dyDescent="0.3">
      <c r="A14" s="317" t="s">
        <v>290</v>
      </c>
      <c r="B14" s="318">
        <v>45987</v>
      </c>
      <c r="C14" s="319" t="s">
        <v>894</v>
      </c>
      <c r="D14" s="320" t="s">
        <v>967</v>
      </c>
      <c r="E14" s="319" t="s">
        <v>891</v>
      </c>
      <c r="F14" s="319" t="s">
        <v>189</v>
      </c>
      <c r="G14" s="321">
        <v>1</v>
      </c>
      <c r="H14" s="322">
        <v>180</v>
      </c>
      <c r="I14" s="322">
        <v>180</v>
      </c>
      <c r="J14" s="322">
        <v>180</v>
      </c>
      <c r="K14" s="319" t="s">
        <v>190</v>
      </c>
      <c r="L14" s="323">
        <v>45905</v>
      </c>
      <c r="M14" s="322">
        <v>0</v>
      </c>
      <c r="N14" s="322">
        <v>0</v>
      </c>
      <c r="O14" s="322">
        <v>0</v>
      </c>
      <c r="P14" s="319" t="s">
        <v>81</v>
      </c>
      <c r="Q14" s="315"/>
      <c r="R14" s="315"/>
      <c r="S14" s="315"/>
      <c r="T14" s="315"/>
      <c r="U14" s="315"/>
      <c r="V14" s="315"/>
      <c r="W14" s="315"/>
      <c r="X14" s="315"/>
      <c r="Y14" s="315"/>
      <c r="Z14" s="315"/>
      <c r="AA14" s="315"/>
      <c r="AB14" s="315"/>
      <c r="AC14" s="315"/>
      <c r="AD14" s="315"/>
      <c r="AE14" s="315"/>
      <c r="AF14" s="315"/>
      <c r="AG14" s="322" t="s">
        <v>282</v>
      </c>
      <c r="AH14" s="315"/>
      <c r="AI14" s="322" t="s">
        <v>229</v>
      </c>
      <c r="AJ14" s="315"/>
    </row>
    <row r="15" spans="1:36" x14ac:dyDescent="0.3">
      <c r="A15" s="317" t="s">
        <v>290</v>
      </c>
      <c r="B15" s="318">
        <v>45987</v>
      </c>
      <c r="C15" s="319" t="s">
        <v>902</v>
      </c>
      <c r="D15" s="320" t="s">
        <v>968</v>
      </c>
      <c r="E15" s="319" t="s">
        <v>891</v>
      </c>
      <c r="F15" s="319" t="s">
        <v>189</v>
      </c>
      <c r="G15" s="321">
        <v>0.9778</v>
      </c>
      <c r="H15" s="322">
        <v>180</v>
      </c>
      <c r="I15" s="322">
        <v>176</v>
      </c>
      <c r="J15" s="322">
        <v>134</v>
      </c>
      <c r="K15" s="319" t="s">
        <v>190</v>
      </c>
      <c r="L15" s="323">
        <v>45979</v>
      </c>
      <c r="M15" s="322">
        <v>0</v>
      </c>
      <c r="N15" s="322">
        <v>1</v>
      </c>
      <c r="O15" s="322">
        <v>2</v>
      </c>
      <c r="P15" s="319" t="s">
        <v>294</v>
      </c>
      <c r="Q15" s="315"/>
      <c r="R15" s="315"/>
      <c r="S15" s="315"/>
      <c r="T15" s="315"/>
      <c r="U15" s="315"/>
      <c r="V15" s="315"/>
      <c r="W15" s="315"/>
      <c r="X15" s="315"/>
      <c r="Y15" s="322" t="s">
        <v>227</v>
      </c>
      <c r="Z15" s="315"/>
      <c r="AA15" s="315"/>
      <c r="AB15" s="315"/>
      <c r="AC15" s="322" t="s">
        <v>295</v>
      </c>
      <c r="AD15" s="322" t="s">
        <v>638</v>
      </c>
      <c r="AE15" s="322" t="s">
        <v>217</v>
      </c>
      <c r="AF15" s="322" t="s">
        <v>969</v>
      </c>
      <c r="AG15" s="315"/>
      <c r="AH15" s="315"/>
      <c r="AI15" s="322" t="s">
        <v>869</v>
      </c>
      <c r="AJ15" s="315"/>
    </row>
    <row r="16" spans="1:36" x14ac:dyDescent="0.3">
      <c r="A16" s="317" t="s">
        <v>290</v>
      </c>
      <c r="B16" s="318">
        <v>45987</v>
      </c>
      <c r="C16" s="319" t="s">
        <v>916</v>
      </c>
      <c r="D16" s="320" t="s">
        <v>970</v>
      </c>
      <c r="E16" s="319" t="s">
        <v>891</v>
      </c>
      <c r="F16" s="319" t="s">
        <v>189</v>
      </c>
      <c r="G16" s="321">
        <v>0.99439999999999995</v>
      </c>
      <c r="H16" s="322">
        <v>180</v>
      </c>
      <c r="I16" s="322">
        <v>179</v>
      </c>
      <c r="J16" s="322">
        <v>109</v>
      </c>
      <c r="K16" s="319" t="s">
        <v>190</v>
      </c>
      <c r="L16" s="323">
        <v>45980</v>
      </c>
      <c r="M16" s="322">
        <v>1</v>
      </c>
      <c r="N16" s="322">
        <v>6</v>
      </c>
      <c r="O16" s="322">
        <v>22</v>
      </c>
      <c r="P16" s="319" t="s">
        <v>81</v>
      </c>
      <c r="Q16" s="315"/>
      <c r="R16" s="315"/>
      <c r="S16" s="315"/>
      <c r="T16" s="315"/>
      <c r="U16" s="315"/>
      <c r="V16" s="315"/>
      <c r="W16" s="315"/>
      <c r="X16" s="315"/>
      <c r="Y16" s="315"/>
      <c r="Z16" s="322" t="s">
        <v>283</v>
      </c>
      <c r="AA16" s="322" t="s">
        <v>450</v>
      </c>
      <c r="AB16" s="315"/>
      <c r="AC16" s="322" t="s">
        <v>627</v>
      </c>
      <c r="AD16" s="322" t="s">
        <v>703</v>
      </c>
      <c r="AE16" s="322" t="s">
        <v>676</v>
      </c>
      <c r="AF16" s="322" t="s">
        <v>971</v>
      </c>
      <c r="AG16" s="315"/>
      <c r="AH16" s="315"/>
      <c r="AI16" s="322" t="s">
        <v>972</v>
      </c>
      <c r="AJ16" s="315"/>
    </row>
    <row r="17" spans="1:36" x14ac:dyDescent="0.3">
      <c r="A17" s="317" t="s">
        <v>187</v>
      </c>
      <c r="B17" s="318">
        <v>45988</v>
      </c>
      <c r="C17" s="319" t="s">
        <v>894</v>
      </c>
      <c r="D17" s="320" t="s">
        <v>940</v>
      </c>
      <c r="E17" s="319" t="s">
        <v>891</v>
      </c>
      <c r="F17" s="319" t="s">
        <v>189</v>
      </c>
      <c r="G17" s="321">
        <v>1</v>
      </c>
      <c r="H17" s="322">
        <v>180</v>
      </c>
      <c r="I17" s="322">
        <v>180</v>
      </c>
      <c r="J17" s="322">
        <v>135</v>
      </c>
      <c r="K17" s="319" t="s">
        <v>190</v>
      </c>
      <c r="L17" s="323">
        <v>45980</v>
      </c>
      <c r="M17" s="322">
        <v>1</v>
      </c>
      <c r="N17" s="322">
        <v>5</v>
      </c>
      <c r="O17" s="322">
        <v>26</v>
      </c>
      <c r="P17" s="319" t="s">
        <v>81</v>
      </c>
      <c r="Q17" s="315"/>
      <c r="R17" s="315"/>
      <c r="S17" s="315"/>
      <c r="T17" s="315"/>
      <c r="U17" s="315"/>
      <c r="V17" s="315"/>
      <c r="W17" s="315"/>
      <c r="X17" s="315"/>
      <c r="Y17" s="315"/>
      <c r="Z17" s="322" t="s">
        <v>192</v>
      </c>
      <c r="AA17" s="322" t="s">
        <v>313</v>
      </c>
      <c r="AB17" s="322" t="s">
        <v>215</v>
      </c>
      <c r="AC17" s="322" t="s">
        <v>692</v>
      </c>
      <c r="AD17" s="322" t="s">
        <v>331</v>
      </c>
      <c r="AE17" s="322" t="s">
        <v>225</v>
      </c>
      <c r="AF17" s="322" t="s">
        <v>951</v>
      </c>
      <c r="AG17" s="315"/>
      <c r="AH17" s="315"/>
      <c r="AI17" s="322" t="s">
        <v>229</v>
      </c>
      <c r="AJ17" s="315"/>
    </row>
    <row r="18" spans="1:36" x14ac:dyDescent="0.3">
      <c r="A18" s="317" t="s">
        <v>187</v>
      </c>
      <c r="B18" s="318">
        <v>45988</v>
      </c>
      <c r="C18" s="319" t="s">
        <v>897</v>
      </c>
      <c r="D18" s="320" t="s">
        <v>944</v>
      </c>
      <c r="E18" s="319" t="s">
        <v>891</v>
      </c>
      <c r="F18" s="319" t="s">
        <v>189</v>
      </c>
      <c r="G18" s="321">
        <v>0.95</v>
      </c>
      <c r="H18" s="322">
        <v>180</v>
      </c>
      <c r="I18" s="322">
        <v>171</v>
      </c>
      <c r="J18" s="322">
        <v>140</v>
      </c>
      <c r="K18" s="319" t="s">
        <v>190</v>
      </c>
      <c r="L18" s="323">
        <v>45979</v>
      </c>
      <c r="M18" s="322">
        <v>0</v>
      </c>
      <c r="N18" s="322">
        <v>5</v>
      </c>
      <c r="O18" s="322">
        <v>18</v>
      </c>
      <c r="P18" s="319" t="s">
        <v>631</v>
      </c>
      <c r="Q18" s="315"/>
      <c r="R18" s="315"/>
      <c r="S18" s="315"/>
      <c r="T18" s="315"/>
      <c r="U18" s="315"/>
      <c r="V18" s="315"/>
      <c r="W18" s="315"/>
      <c r="X18" s="315"/>
      <c r="Y18" s="315"/>
      <c r="Z18" s="322" t="s">
        <v>192</v>
      </c>
      <c r="AA18" s="322" t="s">
        <v>425</v>
      </c>
      <c r="AB18" s="322" t="s">
        <v>309</v>
      </c>
      <c r="AC18" s="322" t="s">
        <v>314</v>
      </c>
      <c r="AD18" s="315"/>
      <c r="AE18" s="322" t="s">
        <v>650</v>
      </c>
      <c r="AF18" s="322" t="s">
        <v>973</v>
      </c>
      <c r="AG18" s="315"/>
      <c r="AH18" s="315"/>
      <c r="AI18" s="322" t="s">
        <v>974</v>
      </c>
      <c r="AJ18" s="315"/>
    </row>
    <row r="19" spans="1:36" x14ac:dyDescent="0.3">
      <c r="A19" s="317" t="s">
        <v>606</v>
      </c>
      <c r="B19" s="318">
        <v>45989</v>
      </c>
      <c r="C19" s="319" t="s">
        <v>902</v>
      </c>
      <c r="D19" s="320" t="s">
        <v>808</v>
      </c>
      <c r="E19" s="319" t="s">
        <v>891</v>
      </c>
      <c r="F19" s="319" t="s">
        <v>189</v>
      </c>
      <c r="G19" s="321">
        <v>0.39439999999999997</v>
      </c>
      <c r="H19" s="322">
        <v>180</v>
      </c>
      <c r="I19" s="322">
        <v>71</v>
      </c>
      <c r="J19" s="322">
        <v>0</v>
      </c>
      <c r="K19" s="319" t="s">
        <v>190</v>
      </c>
      <c r="L19" s="323">
        <v>45980</v>
      </c>
      <c r="M19" s="322">
        <v>3</v>
      </c>
      <c r="N19" s="322">
        <v>11</v>
      </c>
      <c r="O19" s="322">
        <v>51</v>
      </c>
      <c r="P19" s="319" t="s">
        <v>422</v>
      </c>
      <c r="Q19" s="315"/>
      <c r="R19" s="315"/>
      <c r="S19" s="315"/>
      <c r="T19" s="315"/>
      <c r="U19" s="315"/>
      <c r="V19" s="315"/>
      <c r="W19" s="315"/>
      <c r="X19" s="315"/>
      <c r="Y19" s="315"/>
      <c r="Z19" s="322" t="s">
        <v>312</v>
      </c>
      <c r="AA19" s="322" t="s">
        <v>422</v>
      </c>
      <c r="AB19" s="322" t="s">
        <v>975</v>
      </c>
      <c r="AC19" s="322" t="s">
        <v>976</v>
      </c>
      <c r="AD19" s="322" t="s">
        <v>977</v>
      </c>
      <c r="AE19" s="322" t="s">
        <v>978</v>
      </c>
      <c r="AF19" s="315"/>
      <c r="AG19" s="315"/>
      <c r="AH19" s="315"/>
      <c r="AI19" s="315"/>
      <c r="AJ19" s="315"/>
    </row>
    <row r="20" spans="1:36" x14ac:dyDescent="0.3">
      <c r="A20" s="317" t="s">
        <v>199</v>
      </c>
      <c r="B20" s="318">
        <v>45990</v>
      </c>
      <c r="C20" s="319" t="s">
        <v>902</v>
      </c>
      <c r="D20" s="320" t="s">
        <v>607</v>
      </c>
      <c r="E20" s="319" t="s">
        <v>891</v>
      </c>
      <c r="F20" s="319" t="s">
        <v>189</v>
      </c>
      <c r="G20" s="321">
        <v>0.65559999999999996</v>
      </c>
      <c r="H20" s="322">
        <v>180</v>
      </c>
      <c r="I20" s="322">
        <v>118</v>
      </c>
      <c r="J20" s="322">
        <v>85</v>
      </c>
      <c r="K20" s="319" t="s">
        <v>190</v>
      </c>
      <c r="L20" s="323">
        <v>45980</v>
      </c>
      <c r="M20" s="322">
        <v>1</v>
      </c>
      <c r="N20" s="322">
        <v>2</v>
      </c>
      <c r="O20" s="322">
        <v>12</v>
      </c>
      <c r="P20" s="319" t="s">
        <v>376</v>
      </c>
      <c r="Q20" s="322" t="s">
        <v>329</v>
      </c>
      <c r="R20" s="315"/>
      <c r="S20" s="315"/>
      <c r="T20" s="315"/>
      <c r="U20" s="315"/>
      <c r="V20" s="315"/>
      <c r="W20" s="315"/>
      <c r="X20" s="315"/>
      <c r="Y20" s="315"/>
      <c r="Z20" s="322" t="s">
        <v>601</v>
      </c>
      <c r="AA20" s="322" t="s">
        <v>602</v>
      </c>
      <c r="AB20" s="322" t="s">
        <v>287</v>
      </c>
      <c r="AC20" s="322" t="s">
        <v>646</v>
      </c>
      <c r="AD20" s="315"/>
      <c r="AE20" s="315"/>
      <c r="AF20" s="315"/>
      <c r="AG20" s="315"/>
      <c r="AH20" s="315"/>
      <c r="AI20" s="322" t="s">
        <v>979</v>
      </c>
      <c r="AJ20" s="315"/>
    </row>
    <row r="21" spans="1:36" x14ac:dyDescent="0.3">
      <c r="A21" s="317" t="s">
        <v>199</v>
      </c>
      <c r="B21" s="318">
        <v>45990</v>
      </c>
      <c r="C21" s="319" t="s">
        <v>897</v>
      </c>
      <c r="D21" s="320" t="s">
        <v>949</v>
      </c>
      <c r="E21" s="319" t="s">
        <v>891</v>
      </c>
      <c r="F21" s="319" t="s">
        <v>189</v>
      </c>
      <c r="G21" s="321">
        <v>0.87219999999999998</v>
      </c>
      <c r="H21" s="322">
        <v>180</v>
      </c>
      <c r="I21" s="322">
        <v>157</v>
      </c>
      <c r="J21" s="322">
        <v>90</v>
      </c>
      <c r="K21" s="319" t="s">
        <v>190</v>
      </c>
      <c r="L21" s="323">
        <v>45980</v>
      </c>
      <c r="M21" s="322">
        <v>1</v>
      </c>
      <c r="N21" s="322">
        <v>2</v>
      </c>
      <c r="O21" s="322">
        <v>11</v>
      </c>
      <c r="P21" s="319" t="s">
        <v>381</v>
      </c>
      <c r="Q21" s="322" t="s">
        <v>980</v>
      </c>
      <c r="R21" s="315"/>
      <c r="S21" s="315"/>
      <c r="T21" s="315"/>
      <c r="U21" s="315"/>
      <c r="V21" s="315"/>
      <c r="W21" s="315"/>
      <c r="X21" s="315"/>
      <c r="Y21" s="322" t="s">
        <v>981</v>
      </c>
      <c r="Z21" s="322" t="s">
        <v>708</v>
      </c>
      <c r="AA21" s="322" t="s">
        <v>982</v>
      </c>
      <c r="AB21" s="322" t="s">
        <v>319</v>
      </c>
      <c r="AC21" s="322" t="s">
        <v>577</v>
      </c>
      <c r="AD21" s="315"/>
      <c r="AE21" s="315"/>
      <c r="AF21" s="315"/>
      <c r="AG21" s="315"/>
      <c r="AH21" s="315"/>
      <c r="AI21" s="322" t="s">
        <v>223</v>
      </c>
      <c r="AJ21" s="315"/>
    </row>
    <row r="22" spans="1:36" x14ac:dyDescent="0.3">
      <c r="A22" s="317" t="s">
        <v>203</v>
      </c>
      <c r="B22" s="318">
        <v>45991</v>
      </c>
      <c r="C22" s="319" t="s">
        <v>902</v>
      </c>
      <c r="D22" s="320" t="s">
        <v>940</v>
      </c>
      <c r="E22" s="319" t="s">
        <v>891</v>
      </c>
      <c r="F22" s="319" t="s">
        <v>189</v>
      </c>
      <c r="G22" s="321">
        <v>0.80559999999999998</v>
      </c>
      <c r="H22" s="322">
        <v>180</v>
      </c>
      <c r="I22" s="322">
        <v>145</v>
      </c>
      <c r="J22" s="322">
        <v>82</v>
      </c>
      <c r="K22" s="319" t="s">
        <v>190</v>
      </c>
      <c r="L22" s="323">
        <v>45980</v>
      </c>
      <c r="M22" s="322">
        <v>5</v>
      </c>
      <c r="N22" s="322">
        <v>18</v>
      </c>
      <c r="O22" s="322">
        <v>41</v>
      </c>
      <c r="P22" s="319" t="s">
        <v>205</v>
      </c>
      <c r="Q22" s="315"/>
      <c r="R22" s="315"/>
      <c r="S22" s="315"/>
      <c r="T22" s="315"/>
      <c r="U22" s="315"/>
      <c r="V22" s="315"/>
      <c r="W22" s="315"/>
      <c r="X22" s="315"/>
      <c r="Y22" s="315"/>
      <c r="Z22" s="315"/>
      <c r="AA22" s="322" t="s">
        <v>450</v>
      </c>
      <c r="AB22" s="322" t="s">
        <v>983</v>
      </c>
      <c r="AC22" s="322" t="s">
        <v>314</v>
      </c>
      <c r="AD22" s="322" t="s">
        <v>984</v>
      </c>
      <c r="AE22" s="322" t="s">
        <v>225</v>
      </c>
      <c r="AF22" s="322" t="s">
        <v>951</v>
      </c>
      <c r="AG22" s="322" t="s">
        <v>985</v>
      </c>
      <c r="AH22" s="315"/>
      <c r="AI22" s="322" t="s">
        <v>321</v>
      </c>
      <c r="AJ22" s="315"/>
    </row>
    <row r="23" spans="1:36" x14ac:dyDescent="0.3">
      <c r="A23" s="317" t="s">
        <v>203</v>
      </c>
      <c r="B23" s="318">
        <v>45991</v>
      </c>
      <c r="C23" s="319" t="s">
        <v>897</v>
      </c>
      <c r="D23" s="320" t="s">
        <v>955</v>
      </c>
      <c r="E23" s="319" t="s">
        <v>891</v>
      </c>
      <c r="F23" s="319" t="s">
        <v>189</v>
      </c>
      <c r="G23" s="321">
        <v>0.5222</v>
      </c>
      <c r="H23" s="322">
        <v>180</v>
      </c>
      <c r="I23" s="322">
        <v>94</v>
      </c>
      <c r="J23" s="322">
        <v>45</v>
      </c>
      <c r="K23" s="319" t="s">
        <v>190</v>
      </c>
      <c r="L23" s="323">
        <v>45980</v>
      </c>
      <c r="M23" s="322">
        <v>1</v>
      </c>
      <c r="N23" s="322">
        <v>7</v>
      </c>
      <c r="O23" s="322">
        <v>31</v>
      </c>
      <c r="P23" s="319" t="s">
        <v>215</v>
      </c>
      <c r="Q23" s="322" t="s">
        <v>329</v>
      </c>
      <c r="R23" s="315"/>
      <c r="S23" s="315"/>
      <c r="T23" s="315"/>
      <c r="U23" s="315"/>
      <c r="V23" s="315"/>
      <c r="W23" s="315"/>
      <c r="X23" s="315"/>
      <c r="Y23" s="315"/>
      <c r="Z23" s="315"/>
      <c r="AA23" s="322" t="s">
        <v>744</v>
      </c>
      <c r="AB23" s="322" t="s">
        <v>309</v>
      </c>
      <c r="AC23" s="322" t="s">
        <v>314</v>
      </c>
      <c r="AD23" s="322" t="s">
        <v>964</v>
      </c>
      <c r="AE23" s="315"/>
      <c r="AF23" s="315"/>
      <c r="AG23" s="315"/>
      <c r="AH23" s="315"/>
      <c r="AI23" s="322" t="s">
        <v>321</v>
      </c>
      <c r="AJ23" s="315"/>
    </row>
    <row r="24" spans="1:36" ht="21" x14ac:dyDescent="0.3">
      <c r="A24" s="324" t="s">
        <v>1638</v>
      </c>
      <c r="B24" s="325"/>
      <c r="C24" s="324">
        <f>SUBTOTAL(103,ATZ_JED_LF_LEGACY[Flt])</f>
        <v>22</v>
      </c>
      <c r="D24" s="324"/>
      <c r="E24" s="324">
        <f>SUBTOTAL(103,ATZ_JED_LF_LEGACY[Brd-Off])</f>
        <v>22</v>
      </c>
      <c r="F24" s="324"/>
      <c r="G24" s="326">
        <f>SUBTOTAL(101,ATZ_JED_LF_LEGACY[LF%])</f>
        <v>0.84469545454545447</v>
      </c>
      <c r="H24" s="327">
        <f>SUBTOTAL(109,ATZ_JED_LF_LEGACY[CAP])</f>
        <v>3960</v>
      </c>
      <c r="I24" s="327">
        <f>SUBTOTAL(109,ATZ_JED_LF_LEGACY[BKG(Y)])</f>
        <v>3345</v>
      </c>
      <c r="J24" s="327">
        <f>SUBTOTAL(109,ATZ_JED_LF_LEGACY[GRP(Y)])</f>
        <v>1964</v>
      </c>
      <c r="K24" s="324"/>
      <c r="L24" s="325"/>
      <c r="M24" s="327">
        <f>SUBTOTAL(109,ATZ_JED_LF_LEGACY[TO-DAY])</f>
        <v>49</v>
      </c>
      <c r="N24" s="327">
        <f>SUBTOTAL(109,ATZ_JED_LF_LEGACY[Y-DAY])</f>
        <v>134</v>
      </c>
      <c r="O24" s="327">
        <f>SUBTOTAL(109,ATZ_JED_LF_LEGACY[WEEKLY])</f>
        <v>770</v>
      </c>
      <c r="P24" s="328"/>
      <c r="Q24" s="327">
        <f>SUBTOTAL(109,ATZ_JED_LF_LEGACY[Y])</f>
        <v>0</v>
      </c>
      <c r="R24" s="327">
        <f>SUBTOTAL(109,ATZ_JED_LF_LEGACY[B])</f>
        <v>0</v>
      </c>
      <c r="S24" s="327">
        <f>SUBTOTAL(109,ATZ_JED_LF_LEGACY[M])</f>
        <v>0</v>
      </c>
      <c r="T24" s="327">
        <f>SUBTOTAL(109,ATZ_JED_LF_LEGACY[H])</f>
        <v>0</v>
      </c>
      <c r="U24" s="327">
        <f>SUBTOTAL(109,ATZ_JED_LF_LEGACY[Q])</f>
        <v>0</v>
      </c>
      <c r="V24" s="327">
        <f>SUBTOTAL(109,ATZ_JED_LF_LEGACY[K])</f>
        <v>0</v>
      </c>
      <c r="W24" s="327">
        <f>SUBTOTAL(109,ATZ_JED_LF_LEGACY[V])</f>
        <v>0</v>
      </c>
      <c r="X24" s="327">
        <f>SUBTOTAL(109,ATZ_JED_LF_LEGACY[L])</f>
        <v>0</v>
      </c>
      <c r="Y24" s="327">
        <f>SUBTOTAL(109,ATZ_JED_LF_LEGACY[G])</f>
        <v>0</v>
      </c>
      <c r="Z24" s="327">
        <f>SUBTOTAL(109,ATZ_JED_LF_LEGACY[S])</f>
        <v>0</v>
      </c>
      <c r="AA24" s="327">
        <f>SUBTOTAL(109,ATZ_JED_LF_LEGACY[W])</f>
        <v>0</v>
      </c>
      <c r="AB24" s="327">
        <f>SUBTOTAL(109,ATZ_JED_LF_LEGACY[T])</f>
        <v>0</v>
      </c>
      <c r="AC24" s="327">
        <f>SUBTOTAL(109,ATZ_JED_LF_LEGACY[X])</f>
        <v>0</v>
      </c>
      <c r="AD24" s="327">
        <f>SUBTOTAL(109,ATZ_JED_LF_LEGACY[U])</f>
        <v>0</v>
      </c>
      <c r="AE24" s="327">
        <f>SUBTOTAL(109,ATZ_JED_LF_LEGACY[O])</f>
        <v>0</v>
      </c>
      <c r="AF24" s="327">
        <f>SUBTOTAL(109,ATZ_JED_LF_LEGACY[I])</f>
        <v>0</v>
      </c>
      <c r="AG24" s="327">
        <f>SUBTOTAL(109,ATZ_JED_LF_LEGACY[E])</f>
        <v>0</v>
      </c>
      <c r="AH24" s="327">
        <f>SUBTOTAL(109,ATZ_JED_LF_LEGACY[A])</f>
        <v>0</v>
      </c>
      <c r="AI24" s="327">
        <f>SUBTOTAL(109,ATZ_JED_LF_LEGACY[P])</f>
        <v>0</v>
      </c>
      <c r="AJ24" s="327">
        <f>SUBTOTAL(103,ATZ_JED_LF_LEGACY[N])</f>
        <v>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62"/>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3.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74" t="s">
        <v>235</v>
      </c>
      <c r="B2" s="121" t="s">
        <v>77</v>
      </c>
      <c r="C2" s="122" t="s">
        <v>892</v>
      </c>
      <c r="D2" s="121" t="s">
        <v>891</v>
      </c>
      <c r="E2" s="121" t="s">
        <v>940</v>
      </c>
      <c r="F2" s="121" t="s">
        <v>101</v>
      </c>
      <c r="G2" s="124">
        <v>3</v>
      </c>
      <c r="H2" s="125" t="s">
        <v>893</v>
      </c>
    </row>
    <row r="3" spans="1:8" ht="19.8" customHeight="1" x14ac:dyDescent="0.3">
      <c r="A3" s="120">
        <v>45981</v>
      </c>
      <c r="B3" s="121" t="s">
        <v>77</v>
      </c>
      <c r="C3" s="122" t="s">
        <v>896</v>
      </c>
      <c r="D3" s="121" t="s">
        <v>891</v>
      </c>
      <c r="E3" s="123">
        <v>1.5486111111111109</v>
      </c>
      <c r="F3" s="121" t="s">
        <v>101</v>
      </c>
      <c r="G3" s="124">
        <v>6</v>
      </c>
      <c r="H3" s="125" t="s">
        <v>893</v>
      </c>
    </row>
    <row r="4" spans="1:8" ht="19.8" customHeight="1" x14ac:dyDescent="0.3">
      <c r="A4" s="112">
        <v>45981</v>
      </c>
      <c r="B4" s="104" t="s">
        <v>48</v>
      </c>
      <c r="C4" s="105" t="s">
        <v>899</v>
      </c>
      <c r="D4" s="104" t="s">
        <v>891</v>
      </c>
      <c r="E4" s="113">
        <v>1.3298611111111109</v>
      </c>
      <c r="F4" s="104" t="s">
        <v>50</v>
      </c>
      <c r="G4" s="106">
        <v>4</v>
      </c>
      <c r="H4" s="107" t="s">
        <v>510</v>
      </c>
    </row>
    <row r="5" spans="1:8" ht="19.8" customHeight="1" x14ac:dyDescent="0.3">
      <c r="A5" s="175"/>
      <c r="B5" s="176"/>
      <c r="C5" s="176"/>
      <c r="D5" s="176"/>
      <c r="E5" s="176"/>
      <c r="F5" s="177" t="s">
        <v>890</v>
      </c>
      <c r="G5" s="176"/>
      <c r="H5" s="178"/>
    </row>
    <row r="6" spans="1:8" ht="19.8" customHeight="1" x14ac:dyDescent="0.3">
      <c r="A6" s="112">
        <v>45981</v>
      </c>
      <c r="B6" s="104" t="s">
        <v>41</v>
      </c>
      <c r="C6" s="105" t="s">
        <v>336</v>
      </c>
      <c r="D6" s="104" t="s">
        <v>335</v>
      </c>
      <c r="E6" s="113">
        <v>1.989583333333333</v>
      </c>
      <c r="F6" s="104" t="s">
        <v>337</v>
      </c>
      <c r="G6" s="106">
        <v>1</v>
      </c>
      <c r="H6" s="107" t="s">
        <v>338</v>
      </c>
    </row>
    <row r="7" spans="1:8" ht="19.8" customHeight="1" x14ac:dyDescent="0.3">
      <c r="A7" s="112">
        <v>45981</v>
      </c>
      <c r="B7" s="104" t="s">
        <v>41</v>
      </c>
      <c r="C7" s="105" t="s">
        <v>336</v>
      </c>
      <c r="D7" s="104" t="s">
        <v>335</v>
      </c>
      <c r="E7" s="113">
        <v>1.989583333333333</v>
      </c>
      <c r="F7" s="104" t="s">
        <v>43</v>
      </c>
      <c r="G7" s="106">
        <v>1</v>
      </c>
      <c r="H7" s="107" t="s">
        <v>338</v>
      </c>
    </row>
    <row r="8" spans="1:8" ht="19.8" customHeight="1" x14ac:dyDescent="0.3">
      <c r="A8" s="112">
        <v>45981</v>
      </c>
      <c r="B8" s="104" t="s">
        <v>41</v>
      </c>
      <c r="C8" s="105" t="s">
        <v>340</v>
      </c>
      <c r="D8" s="104" t="s">
        <v>335</v>
      </c>
      <c r="E8" s="113">
        <v>1.399305555555556</v>
      </c>
      <c r="F8" s="104" t="s">
        <v>337</v>
      </c>
      <c r="G8" s="106">
        <v>38</v>
      </c>
      <c r="H8" s="107" t="s">
        <v>342</v>
      </c>
    </row>
    <row r="9" spans="1:8" ht="19.8" customHeight="1" x14ac:dyDescent="0.3">
      <c r="A9" s="112">
        <v>45981</v>
      </c>
      <c r="B9" s="104" t="s">
        <v>41</v>
      </c>
      <c r="C9" s="105" t="s">
        <v>340</v>
      </c>
      <c r="D9" s="104" t="s">
        <v>335</v>
      </c>
      <c r="E9" s="113">
        <v>1.399305555555556</v>
      </c>
      <c r="F9" s="104" t="s">
        <v>43</v>
      </c>
      <c r="G9" s="106">
        <v>38</v>
      </c>
      <c r="H9" s="107" t="s">
        <v>342</v>
      </c>
    </row>
    <row r="10" spans="1:8" ht="19.8" customHeight="1" x14ac:dyDescent="0.3">
      <c r="A10" s="112">
        <v>45981</v>
      </c>
      <c r="B10" s="104" t="s">
        <v>41</v>
      </c>
      <c r="C10" s="105" t="s">
        <v>344</v>
      </c>
      <c r="D10" s="104" t="s">
        <v>335</v>
      </c>
      <c r="E10" s="113">
        <v>1.489583333333333</v>
      </c>
      <c r="F10" s="104" t="s">
        <v>337</v>
      </c>
      <c r="G10" s="106">
        <v>39</v>
      </c>
      <c r="H10" s="107" t="s">
        <v>342</v>
      </c>
    </row>
    <row r="11" spans="1:8" ht="19.8" customHeight="1" x14ac:dyDescent="0.3">
      <c r="A11" s="112">
        <v>45981</v>
      </c>
      <c r="B11" s="104" t="s">
        <v>41</v>
      </c>
      <c r="C11" s="105" t="s">
        <v>344</v>
      </c>
      <c r="D11" s="104" t="s">
        <v>335</v>
      </c>
      <c r="E11" s="113">
        <v>1.489583333333333</v>
      </c>
      <c r="F11" s="104" t="s">
        <v>43</v>
      </c>
      <c r="G11" s="106">
        <v>39</v>
      </c>
      <c r="H11" s="107" t="s">
        <v>342</v>
      </c>
    </row>
    <row r="12" spans="1:8" ht="19.8" customHeight="1" x14ac:dyDescent="0.3">
      <c r="A12" s="112">
        <v>45981</v>
      </c>
      <c r="B12" s="104" t="s">
        <v>41</v>
      </c>
      <c r="C12" s="105" t="s">
        <v>347</v>
      </c>
      <c r="D12" s="104" t="s">
        <v>335</v>
      </c>
      <c r="E12" s="113">
        <v>1.8888888888888891</v>
      </c>
      <c r="F12" s="104" t="s">
        <v>337</v>
      </c>
      <c r="G12" s="106">
        <v>16</v>
      </c>
      <c r="H12" s="107" t="s">
        <v>342</v>
      </c>
    </row>
    <row r="13" spans="1:8" ht="19.8" customHeight="1" x14ac:dyDescent="0.3">
      <c r="A13" s="112">
        <v>45981</v>
      </c>
      <c r="B13" s="104" t="s">
        <v>41</v>
      </c>
      <c r="C13" s="105" t="s">
        <v>347</v>
      </c>
      <c r="D13" s="104" t="s">
        <v>335</v>
      </c>
      <c r="E13" s="113">
        <v>1.8888888888888891</v>
      </c>
      <c r="F13" s="104" t="s">
        <v>43</v>
      </c>
      <c r="G13" s="106">
        <v>16</v>
      </c>
      <c r="H13" s="107" t="s">
        <v>342</v>
      </c>
    </row>
    <row r="14" spans="1:8" ht="19.8" customHeight="1" x14ac:dyDescent="0.3">
      <c r="A14" s="112">
        <v>45981</v>
      </c>
      <c r="B14" s="104" t="s">
        <v>26</v>
      </c>
      <c r="C14" s="105" t="s">
        <v>350</v>
      </c>
      <c r="D14" s="104" t="s">
        <v>335</v>
      </c>
      <c r="E14" s="113">
        <v>1.993055555555556</v>
      </c>
      <c r="F14" s="104" t="s">
        <v>351</v>
      </c>
      <c r="G14" s="106">
        <v>9</v>
      </c>
      <c r="H14" s="107" t="s">
        <v>93</v>
      </c>
    </row>
    <row r="15" spans="1:8" ht="19.8" customHeight="1" x14ac:dyDescent="0.3">
      <c r="A15" s="114">
        <v>45981</v>
      </c>
      <c r="B15" s="115" t="s">
        <v>26</v>
      </c>
      <c r="C15" s="116" t="s">
        <v>350</v>
      </c>
      <c r="D15" s="115" t="s">
        <v>335</v>
      </c>
      <c r="E15" s="117">
        <v>1.993055555555556</v>
      </c>
      <c r="F15" s="115" t="s">
        <v>28</v>
      </c>
      <c r="G15" s="118">
        <v>9</v>
      </c>
      <c r="H15" s="119" t="s">
        <v>93</v>
      </c>
    </row>
    <row r="16" spans="1:8" ht="19.8" customHeight="1" x14ac:dyDescent="0.3">
      <c r="A16" s="120">
        <v>45982</v>
      </c>
      <c r="B16" s="121" t="s">
        <v>77</v>
      </c>
      <c r="C16" s="122" t="s">
        <v>900</v>
      </c>
      <c r="D16" s="121" t="s">
        <v>891</v>
      </c>
      <c r="E16" s="123">
        <v>1.135416666666667</v>
      </c>
      <c r="F16" s="121" t="s">
        <v>101</v>
      </c>
      <c r="G16" s="124">
        <v>9</v>
      </c>
      <c r="H16" s="125" t="s">
        <v>901</v>
      </c>
    </row>
    <row r="17" spans="1:8" ht="19.8" customHeight="1" x14ac:dyDescent="0.3">
      <c r="A17" s="175"/>
      <c r="B17" s="176"/>
      <c r="C17" s="176"/>
      <c r="D17" s="176"/>
      <c r="E17" s="176"/>
      <c r="F17" s="177" t="s">
        <v>890</v>
      </c>
      <c r="G17" s="176"/>
      <c r="H17" s="178"/>
    </row>
    <row r="18" spans="1:8" ht="19.8" customHeight="1" x14ac:dyDescent="0.3">
      <c r="A18" s="112">
        <v>45982</v>
      </c>
      <c r="B18" s="104" t="s">
        <v>77</v>
      </c>
      <c r="C18" s="105" t="s">
        <v>361</v>
      </c>
      <c r="D18" s="104" t="s">
        <v>335</v>
      </c>
      <c r="E18" s="113">
        <v>1.4375</v>
      </c>
      <c r="F18" s="104" t="s">
        <v>101</v>
      </c>
      <c r="G18" s="106">
        <v>1</v>
      </c>
      <c r="H18" s="107" t="s">
        <v>416</v>
      </c>
    </row>
    <row r="19" spans="1:8" ht="19.8" customHeight="1" x14ac:dyDescent="0.3">
      <c r="A19" s="112">
        <v>45982</v>
      </c>
      <c r="B19" s="104" t="s">
        <v>26</v>
      </c>
      <c r="C19" s="105" t="s">
        <v>358</v>
      </c>
      <c r="D19" s="104" t="s">
        <v>335</v>
      </c>
      <c r="E19" s="113">
        <v>1.8888888888888891</v>
      </c>
      <c r="F19" s="104" t="s">
        <v>28</v>
      </c>
      <c r="G19" s="106">
        <v>4</v>
      </c>
      <c r="H19" s="107" t="s">
        <v>93</v>
      </c>
    </row>
    <row r="20" spans="1:8" ht="19.8" customHeight="1" x14ac:dyDescent="0.3">
      <c r="A20" s="112">
        <v>45982</v>
      </c>
      <c r="B20" s="104" t="s">
        <v>41</v>
      </c>
      <c r="C20" s="105" t="s">
        <v>340</v>
      </c>
      <c r="D20" s="104" t="s">
        <v>335</v>
      </c>
      <c r="E20" s="113">
        <v>1.399305555555556</v>
      </c>
      <c r="F20" s="104" t="s">
        <v>43</v>
      </c>
      <c r="G20" s="106">
        <v>16</v>
      </c>
      <c r="H20" s="107" t="s">
        <v>431</v>
      </c>
    </row>
    <row r="21" spans="1:8" ht="19.8" customHeight="1" x14ac:dyDescent="0.3">
      <c r="A21" s="112">
        <v>45982</v>
      </c>
      <c r="B21" s="104" t="s">
        <v>41</v>
      </c>
      <c r="C21" s="105" t="s">
        <v>344</v>
      </c>
      <c r="D21" s="104" t="s">
        <v>335</v>
      </c>
      <c r="E21" s="113">
        <v>1.489583333333333</v>
      </c>
      <c r="F21" s="104" t="s">
        <v>43</v>
      </c>
      <c r="G21" s="106">
        <v>14</v>
      </c>
      <c r="H21" s="107" t="s">
        <v>431</v>
      </c>
    </row>
    <row r="22" spans="1:8" ht="19.8" customHeight="1" x14ac:dyDescent="0.3">
      <c r="A22" s="112">
        <v>45982</v>
      </c>
      <c r="B22" s="104" t="s">
        <v>41</v>
      </c>
      <c r="C22" s="105" t="s">
        <v>347</v>
      </c>
      <c r="D22" s="104" t="s">
        <v>335</v>
      </c>
      <c r="E22" s="113">
        <v>1.8888888888888891</v>
      </c>
      <c r="F22" s="104" t="s">
        <v>43</v>
      </c>
      <c r="G22" s="106">
        <v>16</v>
      </c>
      <c r="H22" s="107" t="s">
        <v>431</v>
      </c>
    </row>
    <row r="23" spans="1:8" ht="19.8" customHeight="1" x14ac:dyDescent="0.3">
      <c r="A23" s="112">
        <v>45982</v>
      </c>
      <c r="B23" s="104" t="s">
        <v>41</v>
      </c>
      <c r="C23" s="105" t="s">
        <v>336</v>
      </c>
      <c r="D23" s="104" t="s">
        <v>335</v>
      </c>
      <c r="E23" s="113">
        <v>1.989583333333333</v>
      </c>
      <c r="F23" s="104" t="s">
        <v>43</v>
      </c>
      <c r="G23" s="106">
        <v>14</v>
      </c>
      <c r="H23" s="107" t="s">
        <v>431</v>
      </c>
    </row>
    <row r="24" spans="1:8" ht="19.8" customHeight="1" x14ac:dyDescent="0.3">
      <c r="A24" s="112">
        <v>45982</v>
      </c>
      <c r="B24" s="104" t="s">
        <v>385</v>
      </c>
      <c r="C24" s="105" t="s">
        <v>386</v>
      </c>
      <c r="D24" s="104" t="s">
        <v>335</v>
      </c>
      <c r="E24" s="113">
        <v>1.541666666666667</v>
      </c>
      <c r="F24" s="104" t="s">
        <v>101</v>
      </c>
      <c r="G24" s="106">
        <v>6</v>
      </c>
      <c r="H24" s="107" t="s">
        <v>434</v>
      </c>
    </row>
    <row r="25" spans="1:8" ht="19.8" customHeight="1" x14ac:dyDescent="0.3">
      <c r="A25" s="112">
        <v>45982</v>
      </c>
      <c r="B25" s="104" t="s">
        <v>385</v>
      </c>
      <c r="C25" s="105" t="s">
        <v>435</v>
      </c>
      <c r="D25" s="104" t="s">
        <v>335</v>
      </c>
      <c r="E25" s="113">
        <v>1.239583333333333</v>
      </c>
      <c r="F25" s="104" t="s">
        <v>101</v>
      </c>
      <c r="G25" s="106">
        <v>9</v>
      </c>
      <c r="H25" s="107" t="s">
        <v>434</v>
      </c>
    </row>
    <row r="26" spans="1:8" ht="19.8" customHeight="1" x14ac:dyDescent="0.3">
      <c r="A26" s="112">
        <v>45982</v>
      </c>
      <c r="B26" s="104" t="s">
        <v>26</v>
      </c>
      <c r="C26" s="105" t="s">
        <v>354</v>
      </c>
      <c r="D26" s="104" t="s">
        <v>335</v>
      </c>
      <c r="E26" s="113">
        <v>1.3472222222222221</v>
      </c>
      <c r="F26" s="104" t="s">
        <v>28</v>
      </c>
      <c r="G26" s="106">
        <v>7</v>
      </c>
      <c r="H26" s="107" t="s">
        <v>44</v>
      </c>
    </row>
    <row r="27" spans="1:8" ht="19.8" customHeight="1" x14ac:dyDescent="0.3">
      <c r="A27" s="114">
        <v>45982</v>
      </c>
      <c r="B27" s="115" t="s">
        <v>26</v>
      </c>
      <c r="C27" s="116" t="s">
        <v>350</v>
      </c>
      <c r="D27" s="115" t="s">
        <v>335</v>
      </c>
      <c r="E27" s="117">
        <v>1.993055555555556</v>
      </c>
      <c r="F27" s="115" t="s">
        <v>28</v>
      </c>
      <c r="G27" s="118">
        <v>4</v>
      </c>
      <c r="H27" s="119" t="s">
        <v>44</v>
      </c>
    </row>
    <row r="28" spans="1:8" ht="19.8" customHeight="1" x14ac:dyDescent="0.3">
      <c r="A28" s="120">
        <v>45983</v>
      </c>
      <c r="B28" s="121" t="s">
        <v>77</v>
      </c>
      <c r="C28" s="122" t="s">
        <v>892</v>
      </c>
      <c r="D28" s="121" t="s">
        <v>891</v>
      </c>
      <c r="E28" s="123">
        <v>1.302083333333333</v>
      </c>
      <c r="F28" s="121" t="s">
        <v>101</v>
      </c>
      <c r="G28" s="124">
        <v>3</v>
      </c>
      <c r="H28" s="125" t="s">
        <v>904</v>
      </c>
    </row>
    <row r="29" spans="1:8" ht="19.8" customHeight="1" x14ac:dyDescent="0.3">
      <c r="A29" s="112">
        <v>45983</v>
      </c>
      <c r="B29" s="104" t="s">
        <v>48</v>
      </c>
      <c r="C29" s="105" t="s">
        <v>899</v>
      </c>
      <c r="D29" s="104" t="s">
        <v>891</v>
      </c>
      <c r="E29" s="113">
        <v>1.302083333333333</v>
      </c>
      <c r="F29" s="104" t="s">
        <v>50</v>
      </c>
      <c r="G29" s="106">
        <v>4</v>
      </c>
      <c r="H29" s="107" t="s">
        <v>907</v>
      </c>
    </row>
    <row r="30" spans="1:8" ht="19.8" customHeight="1" x14ac:dyDescent="0.3">
      <c r="A30" s="120">
        <v>45983</v>
      </c>
      <c r="B30" s="121" t="s">
        <v>77</v>
      </c>
      <c r="C30" s="122" t="s">
        <v>897</v>
      </c>
      <c r="D30" s="121" t="s">
        <v>891</v>
      </c>
      <c r="E30" s="123">
        <v>1.5277777777777779</v>
      </c>
      <c r="F30" s="121" t="s">
        <v>79</v>
      </c>
      <c r="G30" s="121"/>
      <c r="H30" s="125" t="s">
        <v>80</v>
      </c>
    </row>
    <row r="31" spans="1:8" ht="19.8" customHeight="1" x14ac:dyDescent="0.3">
      <c r="A31" s="175"/>
      <c r="B31" s="176"/>
      <c r="C31" s="176"/>
      <c r="D31" s="176"/>
      <c r="E31" s="176"/>
      <c r="F31" s="177" t="s">
        <v>890</v>
      </c>
      <c r="G31" s="176"/>
      <c r="H31" s="178"/>
    </row>
    <row r="32" spans="1:8" ht="19.8" customHeight="1" x14ac:dyDescent="0.3">
      <c r="A32" s="112">
        <v>45983</v>
      </c>
      <c r="B32" s="104" t="s">
        <v>77</v>
      </c>
      <c r="C32" s="105" t="s">
        <v>370</v>
      </c>
      <c r="D32" s="104" t="s">
        <v>335</v>
      </c>
      <c r="E32" s="113">
        <v>1.0486111111111109</v>
      </c>
      <c r="F32" s="104" t="s">
        <v>101</v>
      </c>
      <c r="G32" s="106">
        <v>1</v>
      </c>
      <c r="H32" s="107" t="s">
        <v>93</v>
      </c>
    </row>
    <row r="33" spans="1:8" ht="19.8" customHeight="1" x14ac:dyDescent="0.3">
      <c r="A33" s="112">
        <v>45983</v>
      </c>
      <c r="B33" s="104" t="s">
        <v>41</v>
      </c>
      <c r="C33" s="105" t="s">
        <v>340</v>
      </c>
      <c r="D33" s="104" t="s">
        <v>335</v>
      </c>
      <c r="E33" s="113">
        <v>1.399305555555556</v>
      </c>
      <c r="F33" s="104" t="s">
        <v>337</v>
      </c>
      <c r="G33" s="106">
        <v>9</v>
      </c>
      <c r="H33" s="107" t="s">
        <v>431</v>
      </c>
    </row>
    <row r="34" spans="1:8" ht="19.8" customHeight="1" x14ac:dyDescent="0.3">
      <c r="A34" s="112">
        <v>45983</v>
      </c>
      <c r="B34" s="104" t="s">
        <v>41</v>
      </c>
      <c r="C34" s="105" t="s">
        <v>340</v>
      </c>
      <c r="D34" s="104" t="s">
        <v>335</v>
      </c>
      <c r="E34" s="113">
        <v>1.399305555555556</v>
      </c>
      <c r="F34" s="104" t="s">
        <v>43</v>
      </c>
      <c r="G34" s="106">
        <v>11</v>
      </c>
      <c r="H34" s="107" t="s">
        <v>431</v>
      </c>
    </row>
    <row r="35" spans="1:8" ht="19.8" customHeight="1" x14ac:dyDescent="0.3">
      <c r="A35" s="112">
        <v>45983</v>
      </c>
      <c r="B35" s="104" t="s">
        <v>41</v>
      </c>
      <c r="C35" s="105" t="s">
        <v>344</v>
      </c>
      <c r="D35" s="104" t="s">
        <v>335</v>
      </c>
      <c r="E35" s="113">
        <v>1.489583333333333</v>
      </c>
      <c r="F35" s="104" t="s">
        <v>337</v>
      </c>
      <c r="G35" s="106">
        <v>10</v>
      </c>
      <c r="H35" s="107" t="s">
        <v>431</v>
      </c>
    </row>
    <row r="36" spans="1:8" ht="19.8" customHeight="1" x14ac:dyDescent="0.3">
      <c r="A36" s="112">
        <v>45983</v>
      </c>
      <c r="B36" s="104" t="s">
        <v>41</v>
      </c>
      <c r="C36" s="105" t="s">
        <v>344</v>
      </c>
      <c r="D36" s="104" t="s">
        <v>335</v>
      </c>
      <c r="E36" s="113">
        <v>1.489583333333333</v>
      </c>
      <c r="F36" s="104" t="s">
        <v>43</v>
      </c>
      <c r="G36" s="106">
        <v>8</v>
      </c>
      <c r="H36" s="107" t="s">
        <v>431</v>
      </c>
    </row>
    <row r="37" spans="1:8" ht="19.8" customHeight="1" x14ac:dyDescent="0.3">
      <c r="A37" s="112">
        <v>45983</v>
      </c>
      <c r="B37" s="104" t="s">
        <v>41</v>
      </c>
      <c r="C37" s="105" t="s">
        <v>347</v>
      </c>
      <c r="D37" s="104" t="s">
        <v>335</v>
      </c>
      <c r="E37" s="113">
        <v>1.8888888888888891</v>
      </c>
      <c r="F37" s="104" t="s">
        <v>337</v>
      </c>
      <c r="G37" s="106">
        <v>7</v>
      </c>
      <c r="H37" s="107" t="s">
        <v>431</v>
      </c>
    </row>
    <row r="38" spans="1:8" ht="19.8" customHeight="1" x14ac:dyDescent="0.3">
      <c r="A38" s="112">
        <v>45983</v>
      </c>
      <c r="B38" s="104" t="s">
        <v>41</v>
      </c>
      <c r="C38" s="105" t="s">
        <v>347</v>
      </c>
      <c r="D38" s="104" t="s">
        <v>335</v>
      </c>
      <c r="E38" s="113">
        <v>1.8888888888888891</v>
      </c>
      <c r="F38" s="104" t="s">
        <v>43</v>
      </c>
      <c r="G38" s="106">
        <v>6</v>
      </c>
      <c r="H38" s="107" t="s">
        <v>431</v>
      </c>
    </row>
    <row r="39" spans="1:8" ht="19.8" customHeight="1" x14ac:dyDescent="0.3">
      <c r="A39" s="112">
        <v>45983</v>
      </c>
      <c r="B39" s="104" t="s">
        <v>41</v>
      </c>
      <c r="C39" s="105" t="s">
        <v>336</v>
      </c>
      <c r="D39" s="104" t="s">
        <v>335</v>
      </c>
      <c r="E39" s="113">
        <v>1.989583333333333</v>
      </c>
      <c r="F39" s="104" t="s">
        <v>337</v>
      </c>
      <c r="G39" s="106">
        <v>11</v>
      </c>
      <c r="H39" s="107" t="s">
        <v>431</v>
      </c>
    </row>
    <row r="40" spans="1:8" ht="19.8" customHeight="1" x14ac:dyDescent="0.3">
      <c r="A40" s="112">
        <v>45983</v>
      </c>
      <c r="B40" s="104" t="s">
        <v>41</v>
      </c>
      <c r="C40" s="105" t="s">
        <v>336</v>
      </c>
      <c r="D40" s="104" t="s">
        <v>335</v>
      </c>
      <c r="E40" s="113">
        <v>1.989583333333333</v>
      </c>
      <c r="F40" s="104" t="s">
        <v>43</v>
      </c>
      <c r="G40" s="106">
        <v>11</v>
      </c>
      <c r="H40" s="107" t="s">
        <v>431</v>
      </c>
    </row>
    <row r="41" spans="1:8" ht="19.8" customHeight="1" x14ac:dyDescent="0.3">
      <c r="A41" s="114">
        <v>45983</v>
      </c>
      <c r="B41" s="115" t="s">
        <v>26</v>
      </c>
      <c r="C41" s="116" t="s">
        <v>358</v>
      </c>
      <c r="D41" s="115" t="s">
        <v>335</v>
      </c>
      <c r="E41" s="117">
        <v>1.8888888888888891</v>
      </c>
      <c r="F41" s="115" t="s">
        <v>351</v>
      </c>
      <c r="G41" s="118">
        <v>2</v>
      </c>
      <c r="H41" s="119" t="s">
        <v>44</v>
      </c>
    </row>
    <row r="42" spans="1:8" ht="19.8" customHeight="1" x14ac:dyDescent="0.3">
      <c r="A42" s="112">
        <v>45984</v>
      </c>
      <c r="B42" s="104" t="s">
        <v>41</v>
      </c>
      <c r="C42" s="105" t="s">
        <v>908</v>
      </c>
      <c r="D42" s="104" t="s">
        <v>891</v>
      </c>
      <c r="E42" s="113">
        <v>1.364583333333333</v>
      </c>
      <c r="F42" s="104" t="s">
        <v>778</v>
      </c>
      <c r="G42" s="106">
        <v>10</v>
      </c>
      <c r="H42" s="107" t="s">
        <v>909</v>
      </c>
    </row>
    <row r="43" spans="1:8" ht="19.8" customHeight="1" x14ac:dyDescent="0.3">
      <c r="A43" s="112">
        <v>45984</v>
      </c>
      <c r="B43" s="104" t="s">
        <v>41</v>
      </c>
      <c r="C43" s="105" t="s">
        <v>908</v>
      </c>
      <c r="D43" s="104" t="s">
        <v>891</v>
      </c>
      <c r="E43" s="113">
        <v>1.364583333333333</v>
      </c>
      <c r="F43" s="104" t="s">
        <v>756</v>
      </c>
      <c r="G43" s="106">
        <v>10</v>
      </c>
      <c r="H43" s="107" t="s">
        <v>910</v>
      </c>
    </row>
    <row r="44" spans="1:8" ht="19.8" customHeight="1" x14ac:dyDescent="0.3">
      <c r="A44" s="112">
        <v>45984</v>
      </c>
      <c r="B44" s="104" t="s">
        <v>41</v>
      </c>
      <c r="C44" s="105" t="s">
        <v>908</v>
      </c>
      <c r="D44" s="104" t="s">
        <v>891</v>
      </c>
      <c r="E44" s="113">
        <v>1.364583333333333</v>
      </c>
      <c r="F44" s="104" t="s">
        <v>769</v>
      </c>
      <c r="G44" s="106">
        <v>10</v>
      </c>
      <c r="H44" s="107" t="s">
        <v>911</v>
      </c>
    </row>
    <row r="45" spans="1:8" ht="19.8" customHeight="1" x14ac:dyDescent="0.3">
      <c r="A45" s="120">
        <v>45984</v>
      </c>
      <c r="B45" s="121" t="s">
        <v>77</v>
      </c>
      <c r="C45" s="122" t="s">
        <v>896</v>
      </c>
      <c r="D45" s="121" t="s">
        <v>891</v>
      </c>
      <c r="E45" s="123">
        <v>1.6909722222222221</v>
      </c>
      <c r="F45" s="121" t="s">
        <v>101</v>
      </c>
      <c r="G45" s="124">
        <v>3</v>
      </c>
      <c r="H45" s="125" t="s">
        <v>904</v>
      </c>
    </row>
    <row r="46" spans="1:8" ht="19.8" customHeight="1" x14ac:dyDescent="0.3">
      <c r="A46" s="112">
        <v>45984</v>
      </c>
      <c r="B46" s="104" t="s">
        <v>41</v>
      </c>
      <c r="C46" s="105" t="s">
        <v>908</v>
      </c>
      <c r="D46" s="104" t="s">
        <v>891</v>
      </c>
      <c r="E46" s="113">
        <v>1.364583333333333</v>
      </c>
      <c r="F46" s="104" t="s">
        <v>782</v>
      </c>
      <c r="G46" s="106">
        <v>10</v>
      </c>
      <c r="H46" s="107" t="s">
        <v>508</v>
      </c>
    </row>
    <row r="47" spans="1:8" ht="19.8" customHeight="1" x14ac:dyDescent="0.3">
      <c r="A47" s="120">
        <v>45984</v>
      </c>
      <c r="B47" s="121" t="s">
        <v>77</v>
      </c>
      <c r="C47" s="122" t="s">
        <v>902</v>
      </c>
      <c r="D47" s="121" t="s">
        <v>891</v>
      </c>
      <c r="E47" s="123">
        <v>1.3298611111111109</v>
      </c>
      <c r="F47" s="121" t="s">
        <v>79</v>
      </c>
      <c r="G47" s="121"/>
      <c r="H47" s="125" t="s">
        <v>80</v>
      </c>
    </row>
    <row r="48" spans="1:8" ht="19.8" customHeight="1" x14ac:dyDescent="0.3">
      <c r="A48" s="175"/>
      <c r="B48" s="176"/>
      <c r="C48" s="176"/>
      <c r="D48" s="176"/>
      <c r="E48" s="176"/>
      <c r="F48" s="177" t="s">
        <v>890</v>
      </c>
      <c r="G48" s="176"/>
      <c r="H48" s="178"/>
    </row>
    <row r="49" spans="1:8" ht="19.8" customHeight="1" x14ac:dyDescent="0.3">
      <c r="A49" s="112">
        <v>45984</v>
      </c>
      <c r="B49" s="104" t="s">
        <v>41</v>
      </c>
      <c r="C49" s="105" t="s">
        <v>340</v>
      </c>
      <c r="D49" s="104" t="s">
        <v>335</v>
      </c>
      <c r="E49" s="113">
        <v>1.399305555555556</v>
      </c>
      <c r="F49" s="104" t="s">
        <v>43</v>
      </c>
      <c r="G49" s="106">
        <v>4</v>
      </c>
      <c r="H49" s="107" t="s">
        <v>342</v>
      </c>
    </row>
    <row r="50" spans="1:8" ht="19.8" customHeight="1" x14ac:dyDescent="0.3">
      <c r="A50" s="112">
        <v>45984</v>
      </c>
      <c r="B50" s="104" t="s">
        <v>41</v>
      </c>
      <c r="C50" s="105" t="s">
        <v>344</v>
      </c>
      <c r="D50" s="104" t="s">
        <v>335</v>
      </c>
      <c r="E50" s="113">
        <v>1.489583333333333</v>
      </c>
      <c r="F50" s="104" t="s">
        <v>337</v>
      </c>
      <c r="G50" s="106">
        <v>10</v>
      </c>
      <c r="H50" s="107" t="s">
        <v>342</v>
      </c>
    </row>
    <row r="51" spans="1:8" ht="19.8" customHeight="1" x14ac:dyDescent="0.3">
      <c r="A51" s="112">
        <v>45984</v>
      </c>
      <c r="B51" s="104" t="s">
        <v>41</v>
      </c>
      <c r="C51" s="105" t="s">
        <v>344</v>
      </c>
      <c r="D51" s="104" t="s">
        <v>335</v>
      </c>
      <c r="E51" s="113">
        <v>1.489583333333333</v>
      </c>
      <c r="F51" s="104" t="s">
        <v>43</v>
      </c>
      <c r="G51" s="106">
        <v>10</v>
      </c>
      <c r="H51" s="107" t="s">
        <v>342</v>
      </c>
    </row>
    <row r="52" spans="1:8" ht="19.8" customHeight="1" x14ac:dyDescent="0.3">
      <c r="A52" s="112">
        <v>45984</v>
      </c>
      <c r="B52" s="104" t="s">
        <v>26</v>
      </c>
      <c r="C52" s="105" t="s">
        <v>354</v>
      </c>
      <c r="D52" s="104" t="s">
        <v>335</v>
      </c>
      <c r="E52" s="113">
        <v>1.3472222222222221</v>
      </c>
      <c r="F52" s="104" t="s">
        <v>28</v>
      </c>
      <c r="G52" s="106">
        <v>3</v>
      </c>
      <c r="H52" s="107" t="s">
        <v>93</v>
      </c>
    </row>
    <row r="53" spans="1:8" ht="19.8" customHeight="1" x14ac:dyDescent="0.3">
      <c r="A53" s="112">
        <v>45984</v>
      </c>
      <c r="B53" s="104" t="s">
        <v>26</v>
      </c>
      <c r="C53" s="105" t="s">
        <v>350</v>
      </c>
      <c r="D53" s="104" t="s">
        <v>335</v>
      </c>
      <c r="E53" s="113">
        <v>1.993055555555556</v>
      </c>
      <c r="F53" s="104" t="s">
        <v>28</v>
      </c>
      <c r="G53" s="106">
        <v>3</v>
      </c>
      <c r="H53" s="107" t="s">
        <v>93</v>
      </c>
    </row>
    <row r="54" spans="1:8" ht="19.8" customHeight="1" x14ac:dyDescent="0.3">
      <c r="A54" s="112">
        <v>45984</v>
      </c>
      <c r="B54" s="104" t="s">
        <v>26</v>
      </c>
      <c r="C54" s="105" t="s">
        <v>352</v>
      </c>
      <c r="D54" s="104" t="s">
        <v>335</v>
      </c>
      <c r="E54" s="113">
        <v>1.944444444444444</v>
      </c>
      <c r="F54" s="104" t="s">
        <v>351</v>
      </c>
      <c r="G54" s="106">
        <v>8</v>
      </c>
      <c r="H54" s="107" t="s">
        <v>93</v>
      </c>
    </row>
    <row r="55" spans="1:8" ht="19.8" customHeight="1" x14ac:dyDescent="0.3">
      <c r="A55" s="112">
        <v>45984</v>
      </c>
      <c r="B55" s="104" t="s">
        <v>26</v>
      </c>
      <c r="C55" s="105" t="s">
        <v>352</v>
      </c>
      <c r="D55" s="104" t="s">
        <v>335</v>
      </c>
      <c r="E55" s="113">
        <v>1.944444444444444</v>
      </c>
      <c r="F55" s="104" t="s">
        <v>28</v>
      </c>
      <c r="G55" s="106">
        <v>8</v>
      </c>
      <c r="H55" s="107" t="s">
        <v>93</v>
      </c>
    </row>
    <row r="56" spans="1:8" ht="19.8" customHeight="1" x14ac:dyDescent="0.3">
      <c r="A56" s="112">
        <v>45984</v>
      </c>
      <c r="B56" s="104" t="s">
        <v>26</v>
      </c>
      <c r="C56" s="105" t="s">
        <v>360</v>
      </c>
      <c r="D56" s="104" t="s">
        <v>335</v>
      </c>
      <c r="E56" s="113">
        <v>1.4861111111111109</v>
      </c>
      <c r="F56" s="104" t="s">
        <v>351</v>
      </c>
      <c r="G56" s="106">
        <v>1</v>
      </c>
      <c r="H56" s="107" t="s">
        <v>93</v>
      </c>
    </row>
    <row r="57" spans="1:8" ht="19.8" customHeight="1" x14ac:dyDescent="0.3">
      <c r="A57" s="112">
        <v>45984</v>
      </c>
      <c r="B57" s="104" t="s">
        <v>26</v>
      </c>
      <c r="C57" s="105" t="s">
        <v>360</v>
      </c>
      <c r="D57" s="104" t="s">
        <v>335</v>
      </c>
      <c r="E57" s="113">
        <v>1.4861111111111109</v>
      </c>
      <c r="F57" s="104" t="s">
        <v>28</v>
      </c>
      <c r="G57" s="106">
        <v>1</v>
      </c>
      <c r="H57" s="107" t="s">
        <v>93</v>
      </c>
    </row>
    <row r="58" spans="1:8" ht="19.8" customHeight="1" x14ac:dyDescent="0.3">
      <c r="A58" s="114">
        <v>45984</v>
      </c>
      <c r="B58" s="115" t="s">
        <v>26</v>
      </c>
      <c r="C58" s="116" t="s">
        <v>358</v>
      </c>
      <c r="D58" s="115" t="s">
        <v>335</v>
      </c>
      <c r="E58" s="117">
        <v>1.8888888888888891</v>
      </c>
      <c r="F58" s="115" t="s">
        <v>351</v>
      </c>
      <c r="G58" s="118">
        <v>1</v>
      </c>
      <c r="H58" s="119" t="s">
        <v>93</v>
      </c>
    </row>
    <row r="59" spans="1:8" ht="19.8" customHeight="1" x14ac:dyDescent="0.3">
      <c r="A59" s="120">
        <v>45985</v>
      </c>
      <c r="B59" s="121" t="s">
        <v>77</v>
      </c>
      <c r="C59" s="122" t="s">
        <v>892</v>
      </c>
      <c r="D59" s="121" t="s">
        <v>891</v>
      </c>
      <c r="E59" s="123">
        <v>1.694444444444444</v>
      </c>
      <c r="F59" s="121" t="s">
        <v>101</v>
      </c>
      <c r="G59" s="124">
        <v>5</v>
      </c>
      <c r="H59" s="125" t="s">
        <v>904</v>
      </c>
    </row>
    <row r="60" spans="1:8" ht="19.8" customHeight="1" x14ac:dyDescent="0.3">
      <c r="A60" s="120">
        <v>45985</v>
      </c>
      <c r="B60" s="121" t="s">
        <v>77</v>
      </c>
      <c r="C60" s="122" t="s">
        <v>900</v>
      </c>
      <c r="D60" s="121" t="s">
        <v>891</v>
      </c>
      <c r="E60" s="123">
        <v>1.09375</v>
      </c>
      <c r="F60" s="121" t="s">
        <v>101</v>
      </c>
      <c r="G60" s="124">
        <v>5</v>
      </c>
      <c r="H60" s="125" t="s">
        <v>904</v>
      </c>
    </row>
    <row r="61" spans="1:8" ht="19.8" customHeight="1" x14ac:dyDescent="0.3">
      <c r="A61" s="112">
        <v>45985</v>
      </c>
      <c r="B61" s="104" t="s">
        <v>48</v>
      </c>
      <c r="C61" s="105" t="s">
        <v>918</v>
      </c>
      <c r="D61" s="104" t="s">
        <v>891</v>
      </c>
      <c r="E61" s="113">
        <v>1.3472222222222221</v>
      </c>
      <c r="F61" s="104" t="s">
        <v>107</v>
      </c>
      <c r="G61" s="106">
        <v>4</v>
      </c>
      <c r="H61" s="107" t="s">
        <v>919</v>
      </c>
    </row>
    <row r="62" spans="1:8" ht="19.8" customHeight="1" x14ac:dyDescent="0.3">
      <c r="A62" s="112">
        <v>45985</v>
      </c>
      <c r="B62" s="104" t="s">
        <v>48</v>
      </c>
      <c r="C62" s="105" t="s">
        <v>899</v>
      </c>
      <c r="D62" s="104" t="s">
        <v>891</v>
      </c>
      <c r="E62" s="113">
        <v>1.694444444444444</v>
      </c>
      <c r="F62" s="104" t="s">
        <v>50</v>
      </c>
      <c r="G62" s="106">
        <v>4</v>
      </c>
      <c r="H62" s="107" t="s">
        <v>920</v>
      </c>
    </row>
    <row r="63" spans="1:8" ht="19.8" customHeight="1" x14ac:dyDescent="0.3">
      <c r="A63" s="120">
        <v>45985</v>
      </c>
      <c r="B63" s="121" t="s">
        <v>77</v>
      </c>
      <c r="C63" s="122" t="s">
        <v>916</v>
      </c>
      <c r="D63" s="121" t="s">
        <v>891</v>
      </c>
      <c r="E63" s="123">
        <v>1.3472222222222221</v>
      </c>
      <c r="F63" s="121" t="s">
        <v>79</v>
      </c>
      <c r="G63" s="121"/>
      <c r="H63" s="125" t="s">
        <v>80</v>
      </c>
    </row>
    <row r="64" spans="1:8" ht="19.8" customHeight="1" x14ac:dyDescent="0.3">
      <c r="A64" s="175"/>
      <c r="B64" s="176"/>
      <c r="C64" s="176"/>
      <c r="D64" s="176"/>
      <c r="E64" s="176"/>
      <c r="F64" s="177" t="s">
        <v>890</v>
      </c>
      <c r="G64" s="176"/>
      <c r="H64" s="178"/>
    </row>
    <row r="65" spans="1:8" ht="19.8" customHeight="1" x14ac:dyDescent="0.3">
      <c r="A65" s="112">
        <v>45985</v>
      </c>
      <c r="B65" s="104" t="s">
        <v>41</v>
      </c>
      <c r="C65" s="105" t="s">
        <v>340</v>
      </c>
      <c r="D65" s="104" t="s">
        <v>335</v>
      </c>
      <c r="E65" s="113">
        <v>1.399305555555556</v>
      </c>
      <c r="F65" s="104" t="s">
        <v>43</v>
      </c>
      <c r="G65" s="106">
        <v>6</v>
      </c>
      <c r="H65" s="107" t="s">
        <v>431</v>
      </c>
    </row>
    <row r="66" spans="1:8" ht="19.8" customHeight="1" x14ac:dyDescent="0.3">
      <c r="A66" s="112">
        <v>45985</v>
      </c>
      <c r="B66" s="104" t="s">
        <v>41</v>
      </c>
      <c r="C66" s="105" t="s">
        <v>344</v>
      </c>
      <c r="D66" s="104" t="s">
        <v>335</v>
      </c>
      <c r="E66" s="113">
        <v>1.489583333333333</v>
      </c>
      <c r="F66" s="104" t="s">
        <v>43</v>
      </c>
      <c r="G66" s="106">
        <v>4</v>
      </c>
      <c r="H66" s="107" t="s">
        <v>431</v>
      </c>
    </row>
    <row r="67" spans="1:8" ht="19.8" customHeight="1" x14ac:dyDescent="0.3">
      <c r="A67" s="112">
        <v>45985</v>
      </c>
      <c r="B67" s="104" t="s">
        <v>41</v>
      </c>
      <c r="C67" s="105" t="s">
        <v>347</v>
      </c>
      <c r="D67" s="104" t="s">
        <v>335</v>
      </c>
      <c r="E67" s="113">
        <v>1.8888888888888891</v>
      </c>
      <c r="F67" s="104" t="s">
        <v>43</v>
      </c>
      <c r="G67" s="106">
        <v>3</v>
      </c>
      <c r="H67" s="107" t="s">
        <v>431</v>
      </c>
    </row>
    <row r="68" spans="1:8" ht="19.8" customHeight="1" x14ac:dyDescent="0.3">
      <c r="A68" s="112">
        <v>45985</v>
      </c>
      <c r="B68" s="104" t="s">
        <v>41</v>
      </c>
      <c r="C68" s="105" t="s">
        <v>336</v>
      </c>
      <c r="D68" s="104" t="s">
        <v>335</v>
      </c>
      <c r="E68" s="113">
        <v>1.989583333333333</v>
      </c>
      <c r="F68" s="104" t="s">
        <v>43</v>
      </c>
      <c r="G68" s="106">
        <v>9</v>
      </c>
      <c r="H68" s="107" t="s">
        <v>431</v>
      </c>
    </row>
    <row r="69" spans="1:8" ht="19.8" customHeight="1" x14ac:dyDescent="0.3">
      <c r="A69" s="112">
        <v>45985</v>
      </c>
      <c r="B69" s="104" t="s">
        <v>385</v>
      </c>
      <c r="C69" s="105" t="s">
        <v>435</v>
      </c>
      <c r="D69" s="104" t="s">
        <v>335</v>
      </c>
      <c r="E69" s="113">
        <v>1.135416666666667</v>
      </c>
      <c r="F69" s="104" t="s">
        <v>101</v>
      </c>
      <c r="G69" s="106">
        <v>9</v>
      </c>
      <c r="H69" s="107" t="s">
        <v>434</v>
      </c>
    </row>
    <row r="70" spans="1:8" ht="19.8" customHeight="1" x14ac:dyDescent="0.3">
      <c r="A70" s="112">
        <v>45985</v>
      </c>
      <c r="B70" s="104" t="s">
        <v>385</v>
      </c>
      <c r="C70" s="105" t="s">
        <v>477</v>
      </c>
      <c r="D70" s="104" t="s">
        <v>335</v>
      </c>
      <c r="E70" s="113">
        <v>1.868055555555556</v>
      </c>
      <c r="F70" s="104" t="s">
        <v>101</v>
      </c>
      <c r="G70" s="106">
        <v>5</v>
      </c>
      <c r="H70" s="107" t="s">
        <v>434</v>
      </c>
    </row>
    <row r="71" spans="1:8" ht="19.8" customHeight="1" x14ac:dyDescent="0.3">
      <c r="A71" s="112">
        <v>45985</v>
      </c>
      <c r="B71" s="104" t="s">
        <v>26</v>
      </c>
      <c r="C71" s="105" t="s">
        <v>350</v>
      </c>
      <c r="D71" s="104" t="s">
        <v>335</v>
      </c>
      <c r="E71" s="113">
        <v>1.993055555555556</v>
      </c>
      <c r="F71" s="104" t="s">
        <v>28</v>
      </c>
      <c r="G71" s="106">
        <v>3</v>
      </c>
      <c r="H71" s="107" t="s">
        <v>44</v>
      </c>
    </row>
    <row r="72" spans="1:8" ht="19.8" customHeight="1" x14ac:dyDescent="0.3">
      <c r="A72" s="112">
        <v>45985</v>
      </c>
      <c r="B72" s="104" t="s">
        <v>26</v>
      </c>
      <c r="C72" s="105" t="s">
        <v>360</v>
      </c>
      <c r="D72" s="104" t="s">
        <v>335</v>
      </c>
      <c r="E72" s="113">
        <v>1.4861111111111109</v>
      </c>
      <c r="F72" s="104" t="s">
        <v>28</v>
      </c>
      <c r="G72" s="106">
        <v>1</v>
      </c>
      <c r="H72" s="107" t="s">
        <v>44</v>
      </c>
    </row>
    <row r="73" spans="1:8" ht="19.8" customHeight="1" x14ac:dyDescent="0.3">
      <c r="A73" s="112">
        <v>45985</v>
      </c>
      <c r="B73" s="104" t="s">
        <v>26</v>
      </c>
      <c r="C73" s="105" t="s">
        <v>359</v>
      </c>
      <c r="D73" s="104" t="s">
        <v>335</v>
      </c>
      <c r="E73" s="113">
        <v>1.7361111111111109</v>
      </c>
      <c r="F73" s="104" t="s">
        <v>28</v>
      </c>
      <c r="G73" s="106">
        <v>3</v>
      </c>
      <c r="H73" s="107" t="s">
        <v>339</v>
      </c>
    </row>
    <row r="74" spans="1:8" ht="19.8" customHeight="1" x14ac:dyDescent="0.3">
      <c r="A74" s="114">
        <v>45985</v>
      </c>
      <c r="B74" s="115" t="s">
        <v>26</v>
      </c>
      <c r="C74" s="116" t="s">
        <v>356</v>
      </c>
      <c r="D74" s="115" t="s">
        <v>335</v>
      </c>
      <c r="E74" s="117">
        <v>1.836805555555556</v>
      </c>
      <c r="F74" s="115" t="s">
        <v>28</v>
      </c>
      <c r="G74" s="118">
        <v>8</v>
      </c>
      <c r="H74" s="119" t="s">
        <v>339</v>
      </c>
    </row>
    <row r="75" spans="1:8" ht="19.8" customHeight="1" x14ac:dyDescent="0.3">
      <c r="A75" s="120">
        <v>45986</v>
      </c>
      <c r="B75" s="121" t="s">
        <v>77</v>
      </c>
      <c r="C75" s="122" t="s">
        <v>892</v>
      </c>
      <c r="D75" s="121" t="s">
        <v>891</v>
      </c>
      <c r="E75" s="123">
        <v>1.166666666666667</v>
      </c>
      <c r="F75" s="121" t="s">
        <v>101</v>
      </c>
      <c r="G75" s="124">
        <v>9</v>
      </c>
      <c r="H75" s="125" t="s">
        <v>904</v>
      </c>
    </row>
    <row r="76" spans="1:8" ht="19.8" customHeight="1" x14ac:dyDescent="0.3">
      <c r="A76" s="120">
        <v>45986</v>
      </c>
      <c r="B76" s="121" t="s">
        <v>77</v>
      </c>
      <c r="C76" s="122" t="s">
        <v>896</v>
      </c>
      <c r="D76" s="121" t="s">
        <v>891</v>
      </c>
      <c r="E76" s="123">
        <v>1.5277777777777779</v>
      </c>
      <c r="F76" s="121" t="s">
        <v>101</v>
      </c>
      <c r="G76" s="124">
        <v>8</v>
      </c>
      <c r="H76" s="125" t="s">
        <v>904</v>
      </c>
    </row>
    <row r="77" spans="1:8" ht="19.8" customHeight="1" x14ac:dyDescent="0.3">
      <c r="A77" s="112">
        <v>45986</v>
      </c>
      <c r="B77" s="104" t="s">
        <v>48</v>
      </c>
      <c r="C77" s="105" t="s">
        <v>899</v>
      </c>
      <c r="D77" s="104" t="s">
        <v>891</v>
      </c>
      <c r="E77" s="113">
        <v>1.166666666666667</v>
      </c>
      <c r="F77" s="104" t="s">
        <v>50</v>
      </c>
      <c r="G77" s="106">
        <v>4</v>
      </c>
      <c r="H77" s="107" t="s">
        <v>920</v>
      </c>
    </row>
    <row r="78" spans="1:8" ht="19.8" customHeight="1" x14ac:dyDescent="0.3">
      <c r="A78" s="175"/>
      <c r="B78" s="176"/>
      <c r="C78" s="176"/>
      <c r="D78" s="176"/>
      <c r="E78" s="176"/>
      <c r="F78" s="177" t="s">
        <v>890</v>
      </c>
      <c r="G78" s="176"/>
      <c r="H78" s="178"/>
    </row>
    <row r="79" spans="1:8" ht="19.8" customHeight="1" x14ac:dyDescent="0.3">
      <c r="A79" s="112">
        <v>45986</v>
      </c>
      <c r="B79" s="104" t="s">
        <v>41</v>
      </c>
      <c r="C79" s="105" t="s">
        <v>340</v>
      </c>
      <c r="D79" s="104" t="s">
        <v>335</v>
      </c>
      <c r="E79" s="113">
        <v>1.399305555555556</v>
      </c>
      <c r="F79" s="104" t="s">
        <v>43</v>
      </c>
      <c r="G79" s="106">
        <v>5</v>
      </c>
      <c r="H79" s="107" t="s">
        <v>492</v>
      </c>
    </row>
    <row r="80" spans="1:8" ht="19.8" customHeight="1" x14ac:dyDescent="0.3">
      <c r="A80" s="112">
        <v>45986</v>
      </c>
      <c r="B80" s="104" t="s">
        <v>41</v>
      </c>
      <c r="C80" s="105" t="s">
        <v>344</v>
      </c>
      <c r="D80" s="104" t="s">
        <v>335</v>
      </c>
      <c r="E80" s="113">
        <v>1.489583333333333</v>
      </c>
      <c r="F80" s="104" t="s">
        <v>43</v>
      </c>
      <c r="G80" s="106">
        <v>10</v>
      </c>
      <c r="H80" s="107" t="s">
        <v>492</v>
      </c>
    </row>
    <row r="81" spans="1:8" ht="19.8" customHeight="1" x14ac:dyDescent="0.3">
      <c r="A81" s="112">
        <v>45986</v>
      </c>
      <c r="B81" s="104" t="s">
        <v>41</v>
      </c>
      <c r="C81" s="105" t="s">
        <v>347</v>
      </c>
      <c r="D81" s="104" t="s">
        <v>335</v>
      </c>
      <c r="E81" s="113">
        <v>1.8888888888888891</v>
      </c>
      <c r="F81" s="104" t="s">
        <v>43</v>
      </c>
      <c r="G81" s="106">
        <v>8</v>
      </c>
      <c r="H81" s="107" t="s">
        <v>492</v>
      </c>
    </row>
    <row r="82" spans="1:8" ht="19.8" customHeight="1" x14ac:dyDescent="0.3">
      <c r="A82" s="112">
        <v>45986</v>
      </c>
      <c r="B82" s="104" t="s">
        <v>41</v>
      </c>
      <c r="C82" s="105" t="s">
        <v>336</v>
      </c>
      <c r="D82" s="104" t="s">
        <v>335</v>
      </c>
      <c r="E82" s="113">
        <v>1.989583333333333</v>
      </c>
      <c r="F82" s="104" t="s">
        <v>43</v>
      </c>
      <c r="G82" s="106">
        <v>7</v>
      </c>
      <c r="H82" s="107" t="s">
        <v>492</v>
      </c>
    </row>
    <row r="83" spans="1:8" ht="19.8" customHeight="1" x14ac:dyDescent="0.3">
      <c r="A83" s="112">
        <v>45986</v>
      </c>
      <c r="B83" s="104" t="s">
        <v>26</v>
      </c>
      <c r="C83" s="105" t="s">
        <v>354</v>
      </c>
      <c r="D83" s="104" t="s">
        <v>335</v>
      </c>
      <c r="E83" s="113">
        <v>1.3472222222222221</v>
      </c>
      <c r="F83" s="104" t="s">
        <v>28</v>
      </c>
      <c r="G83" s="106">
        <v>7</v>
      </c>
      <c r="H83" s="107" t="s">
        <v>339</v>
      </c>
    </row>
    <row r="84" spans="1:8" ht="19.8" customHeight="1" x14ac:dyDescent="0.3">
      <c r="A84" s="112">
        <v>45986</v>
      </c>
      <c r="B84" s="104" t="s">
        <v>26</v>
      </c>
      <c r="C84" s="105" t="s">
        <v>350</v>
      </c>
      <c r="D84" s="104" t="s">
        <v>335</v>
      </c>
      <c r="E84" s="113">
        <v>1.993055555555556</v>
      </c>
      <c r="F84" s="104" t="s">
        <v>28</v>
      </c>
      <c r="G84" s="106">
        <v>1</v>
      </c>
      <c r="H84" s="107" t="s">
        <v>339</v>
      </c>
    </row>
    <row r="85" spans="1:8" ht="19.8" customHeight="1" x14ac:dyDescent="0.3">
      <c r="A85" s="112">
        <v>45986</v>
      </c>
      <c r="B85" s="104" t="s">
        <v>26</v>
      </c>
      <c r="C85" s="105" t="s">
        <v>360</v>
      </c>
      <c r="D85" s="104" t="s">
        <v>335</v>
      </c>
      <c r="E85" s="113">
        <v>1.4861111111111109</v>
      </c>
      <c r="F85" s="104" t="s">
        <v>28</v>
      </c>
      <c r="G85" s="106">
        <v>1</v>
      </c>
      <c r="H85" s="107" t="s">
        <v>339</v>
      </c>
    </row>
    <row r="86" spans="1:8" ht="19.8" customHeight="1" x14ac:dyDescent="0.3">
      <c r="A86" s="112">
        <v>45986</v>
      </c>
      <c r="B86" s="104" t="s">
        <v>26</v>
      </c>
      <c r="C86" s="105" t="s">
        <v>357</v>
      </c>
      <c r="D86" s="104" t="s">
        <v>335</v>
      </c>
      <c r="E86" s="113">
        <v>1.3923611111111109</v>
      </c>
      <c r="F86" s="104" t="s">
        <v>28</v>
      </c>
      <c r="G86" s="106">
        <v>1</v>
      </c>
      <c r="H86" s="107" t="s">
        <v>339</v>
      </c>
    </row>
    <row r="87" spans="1:8" ht="19.8" customHeight="1" x14ac:dyDescent="0.3">
      <c r="A87" s="112">
        <v>45986</v>
      </c>
      <c r="B87" s="104" t="s">
        <v>385</v>
      </c>
      <c r="C87" s="105" t="s">
        <v>386</v>
      </c>
      <c r="D87" s="104" t="s">
        <v>335</v>
      </c>
      <c r="E87" s="113">
        <v>1.493055555555556</v>
      </c>
      <c r="F87" s="104" t="s">
        <v>101</v>
      </c>
      <c r="G87" s="106">
        <v>9</v>
      </c>
      <c r="H87" s="107" t="s">
        <v>387</v>
      </c>
    </row>
    <row r="88" spans="1:8" ht="19.8" customHeight="1" x14ac:dyDescent="0.3">
      <c r="A88" s="114">
        <v>45986</v>
      </c>
      <c r="B88" s="115" t="s">
        <v>385</v>
      </c>
      <c r="C88" s="116" t="s">
        <v>435</v>
      </c>
      <c r="D88" s="115" t="s">
        <v>335</v>
      </c>
      <c r="E88" s="117">
        <v>1.1875</v>
      </c>
      <c r="F88" s="115" t="s">
        <v>101</v>
      </c>
      <c r="G88" s="118">
        <v>9</v>
      </c>
      <c r="H88" s="119" t="s">
        <v>387</v>
      </c>
    </row>
    <row r="89" spans="1:8" ht="19.8" customHeight="1" x14ac:dyDescent="0.3">
      <c r="A89" s="112">
        <v>45987</v>
      </c>
      <c r="B89" s="104" t="s">
        <v>41</v>
      </c>
      <c r="C89" s="105" t="s">
        <v>908</v>
      </c>
      <c r="D89" s="104" t="s">
        <v>891</v>
      </c>
      <c r="E89" s="113">
        <v>1.364583333333333</v>
      </c>
      <c r="F89" s="104" t="s">
        <v>778</v>
      </c>
      <c r="G89" s="106">
        <v>10</v>
      </c>
      <c r="H89" s="107" t="s">
        <v>923</v>
      </c>
    </row>
    <row r="90" spans="1:8" ht="19.8" customHeight="1" x14ac:dyDescent="0.3">
      <c r="A90" s="112">
        <v>45987</v>
      </c>
      <c r="B90" s="104" t="s">
        <v>41</v>
      </c>
      <c r="C90" s="105" t="s">
        <v>908</v>
      </c>
      <c r="D90" s="104" t="s">
        <v>891</v>
      </c>
      <c r="E90" s="113">
        <v>1.364583333333333</v>
      </c>
      <c r="F90" s="104" t="s">
        <v>756</v>
      </c>
      <c r="G90" s="106">
        <v>10</v>
      </c>
      <c r="H90" s="107" t="s">
        <v>924</v>
      </c>
    </row>
    <row r="91" spans="1:8" ht="19.8" customHeight="1" x14ac:dyDescent="0.3">
      <c r="A91" s="112">
        <v>45987</v>
      </c>
      <c r="B91" s="104" t="s">
        <v>41</v>
      </c>
      <c r="C91" s="105" t="s">
        <v>908</v>
      </c>
      <c r="D91" s="104" t="s">
        <v>891</v>
      </c>
      <c r="E91" s="113">
        <v>1.364583333333333</v>
      </c>
      <c r="F91" s="104" t="s">
        <v>769</v>
      </c>
      <c r="G91" s="106">
        <v>10</v>
      </c>
      <c r="H91" s="107" t="s">
        <v>925</v>
      </c>
    </row>
    <row r="92" spans="1:8" ht="19.8" customHeight="1" x14ac:dyDescent="0.3">
      <c r="A92" s="120">
        <v>45987</v>
      </c>
      <c r="B92" s="121" t="s">
        <v>77</v>
      </c>
      <c r="C92" s="122" t="s">
        <v>900</v>
      </c>
      <c r="D92" s="121" t="s">
        <v>891</v>
      </c>
      <c r="E92" s="123">
        <v>1.5</v>
      </c>
      <c r="F92" s="121" t="s">
        <v>101</v>
      </c>
      <c r="G92" s="124">
        <v>3</v>
      </c>
      <c r="H92" s="125" t="s">
        <v>901</v>
      </c>
    </row>
    <row r="93" spans="1:8" ht="19.8" customHeight="1" x14ac:dyDescent="0.3">
      <c r="A93" s="112">
        <v>45987</v>
      </c>
      <c r="B93" s="104" t="s">
        <v>48</v>
      </c>
      <c r="C93" s="105" t="s">
        <v>918</v>
      </c>
      <c r="D93" s="104" t="s">
        <v>891</v>
      </c>
      <c r="E93" s="113">
        <v>1.9236111111111109</v>
      </c>
      <c r="F93" s="104" t="s">
        <v>107</v>
      </c>
      <c r="G93" s="106">
        <v>4</v>
      </c>
      <c r="H93" s="107" t="s">
        <v>919</v>
      </c>
    </row>
    <row r="94" spans="1:8" ht="19.8" customHeight="1" x14ac:dyDescent="0.3">
      <c r="A94" s="112">
        <v>45987</v>
      </c>
      <c r="B94" s="104" t="s">
        <v>41</v>
      </c>
      <c r="C94" s="105" t="s">
        <v>908</v>
      </c>
      <c r="D94" s="104" t="s">
        <v>891</v>
      </c>
      <c r="E94" s="113">
        <v>1.364583333333333</v>
      </c>
      <c r="F94" s="104" t="s">
        <v>782</v>
      </c>
      <c r="G94" s="106">
        <v>10</v>
      </c>
      <c r="H94" s="107" t="s">
        <v>143</v>
      </c>
    </row>
    <row r="95" spans="1:8" ht="19.8" customHeight="1" x14ac:dyDescent="0.3">
      <c r="A95" s="120">
        <v>45987</v>
      </c>
      <c r="B95" s="121" t="s">
        <v>77</v>
      </c>
      <c r="C95" s="122" t="s">
        <v>894</v>
      </c>
      <c r="D95" s="121" t="s">
        <v>891</v>
      </c>
      <c r="E95" s="123">
        <v>1.1076388888888891</v>
      </c>
      <c r="F95" s="121" t="s">
        <v>79</v>
      </c>
      <c r="G95" s="121"/>
      <c r="H95" s="125" t="s">
        <v>80</v>
      </c>
    </row>
    <row r="96" spans="1:8" ht="19.8" customHeight="1" x14ac:dyDescent="0.3">
      <c r="A96" s="120">
        <v>45987</v>
      </c>
      <c r="B96" s="121" t="s">
        <v>77</v>
      </c>
      <c r="C96" s="122" t="s">
        <v>916</v>
      </c>
      <c r="D96" s="121" t="s">
        <v>891</v>
      </c>
      <c r="E96" s="123">
        <v>1.9236111111111109</v>
      </c>
      <c r="F96" s="121" t="s">
        <v>79</v>
      </c>
      <c r="G96" s="121"/>
      <c r="H96" s="125" t="s">
        <v>80</v>
      </c>
    </row>
    <row r="97" spans="1:8" ht="19.8" customHeight="1" x14ac:dyDescent="0.3">
      <c r="A97" s="175"/>
      <c r="B97" s="176"/>
      <c r="C97" s="176"/>
      <c r="D97" s="176"/>
      <c r="E97" s="176"/>
      <c r="F97" s="177" t="s">
        <v>890</v>
      </c>
      <c r="G97" s="176"/>
      <c r="H97" s="178"/>
    </row>
    <row r="98" spans="1:8" ht="19.8" customHeight="1" x14ac:dyDescent="0.3">
      <c r="A98" s="112">
        <v>45987</v>
      </c>
      <c r="B98" s="104" t="s">
        <v>77</v>
      </c>
      <c r="C98" s="105" t="s">
        <v>374</v>
      </c>
      <c r="D98" s="104" t="s">
        <v>335</v>
      </c>
      <c r="E98" s="113">
        <v>1.3402777777777779</v>
      </c>
      <c r="F98" s="104" t="s">
        <v>101</v>
      </c>
      <c r="G98" s="106">
        <v>1</v>
      </c>
      <c r="H98" s="107" t="s">
        <v>362</v>
      </c>
    </row>
    <row r="99" spans="1:8" ht="19.8" customHeight="1" x14ac:dyDescent="0.3">
      <c r="A99" s="112">
        <v>45987</v>
      </c>
      <c r="B99" s="104" t="s">
        <v>41</v>
      </c>
      <c r="C99" s="105" t="s">
        <v>340</v>
      </c>
      <c r="D99" s="104" t="s">
        <v>335</v>
      </c>
      <c r="E99" s="113">
        <v>1.399305555555556</v>
      </c>
      <c r="F99" s="104" t="s">
        <v>43</v>
      </c>
      <c r="G99" s="106">
        <v>11</v>
      </c>
      <c r="H99" s="107" t="s">
        <v>492</v>
      </c>
    </row>
    <row r="100" spans="1:8" ht="19.8" customHeight="1" x14ac:dyDescent="0.3">
      <c r="A100" s="112">
        <v>45987</v>
      </c>
      <c r="B100" s="104" t="s">
        <v>41</v>
      </c>
      <c r="C100" s="105" t="s">
        <v>344</v>
      </c>
      <c r="D100" s="104" t="s">
        <v>335</v>
      </c>
      <c r="E100" s="113">
        <v>1.489583333333333</v>
      </c>
      <c r="F100" s="104" t="s">
        <v>43</v>
      </c>
      <c r="G100" s="106">
        <v>10</v>
      </c>
      <c r="H100" s="107" t="s">
        <v>492</v>
      </c>
    </row>
    <row r="101" spans="1:8" ht="19.8" customHeight="1" x14ac:dyDescent="0.3">
      <c r="A101" s="112">
        <v>45987</v>
      </c>
      <c r="B101" s="104" t="s">
        <v>41</v>
      </c>
      <c r="C101" s="105" t="s">
        <v>336</v>
      </c>
      <c r="D101" s="104" t="s">
        <v>335</v>
      </c>
      <c r="E101" s="113">
        <v>1.989583333333333</v>
      </c>
      <c r="F101" s="104" t="s">
        <v>43</v>
      </c>
      <c r="G101" s="106">
        <v>10</v>
      </c>
      <c r="H101" s="107" t="s">
        <v>492</v>
      </c>
    </row>
    <row r="102" spans="1:8" ht="19.8" customHeight="1" x14ac:dyDescent="0.3">
      <c r="A102" s="112">
        <v>45987</v>
      </c>
      <c r="B102" s="104" t="s">
        <v>26</v>
      </c>
      <c r="C102" s="105" t="s">
        <v>354</v>
      </c>
      <c r="D102" s="104" t="s">
        <v>335</v>
      </c>
      <c r="E102" s="113">
        <v>1.3472222222222221</v>
      </c>
      <c r="F102" s="104" t="s">
        <v>28</v>
      </c>
      <c r="G102" s="106">
        <v>1</v>
      </c>
      <c r="H102" s="107" t="s">
        <v>339</v>
      </c>
    </row>
    <row r="103" spans="1:8" ht="19.8" customHeight="1" x14ac:dyDescent="0.3">
      <c r="A103" s="112">
        <v>45987</v>
      </c>
      <c r="B103" s="104" t="s">
        <v>385</v>
      </c>
      <c r="C103" s="105" t="s">
        <v>386</v>
      </c>
      <c r="D103" s="104" t="s">
        <v>335</v>
      </c>
      <c r="E103" s="113">
        <v>1.493055555555556</v>
      </c>
      <c r="F103" s="104" t="s">
        <v>101</v>
      </c>
      <c r="G103" s="106">
        <v>9</v>
      </c>
      <c r="H103" s="107" t="s">
        <v>387</v>
      </c>
    </row>
    <row r="104" spans="1:8" ht="19.8" customHeight="1" x14ac:dyDescent="0.3">
      <c r="A104" s="112">
        <v>45987</v>
      </c>
      <c r="B104" s="104" t="s">
        <v>385</v>
      </c>
      <c r="C104" s="105" t="s">
        <v>435</v>
      </c>
      <c r="D104" s="104" t="s">
        <v>335</v>
      </c>
      <c r="E104" s="113">
        <v>1.194444444444444</v>
      </c>
      <c r="F104" s="104" t="s">
        <v>101</v>
      </c>
      <c r="G104" s="106">
        <v>6</v>
      </c>
      <c r="H104" s="107" t="s">
        <v>387</v>
      </c>
    </row>
    <row r="105" spans="1:8" ht="19.8" customHeight="1" x14ac:dyDescent="0.3">
      <c r="A105" s="112">
        <v>45987</v>
      </c>
      <c r="B105" s="104" t="s">
        <v>41</v>
      </c>
      <c r="C105" s="105" t="s">
        <v>347</v>
      </c>
      <c r="D105" s="104" t="s">
        <v>335</v>
      </c>
      <c r="E105" s="113">
        <v>1.8888888888888891</v>
      </c>
      <c r="F105" s="104" t="s">
        <v>43</v>
      </c>
      <c r="G105" s="106">
        <v>8</v>
      </c>
      <c r="H105" s="107" t="s">
        <v>508</v>
      </c>
    </row>
    <row r="106" spans="1:8" ht="19.8" customHeight="1" x14ac:dyDescent="0.3">
      <c r="A106" s="112">
        <v>45987</v>
      </c>
      <c r="B106" s="104" t="s">
        <v>388</v>
      </c>
      <c r="C106" s="105" t="s">
        <v>389</v>
      </c>
      <c r="D106" s="104" t="s">
        <v>335</v>
      </c>
      <c r="E106" s="113">
        <v>1.225694444444444</v>
      </c>
      <c r="F106" s="104" t="s">
        <v>390</v>
      </c>
      <c r="G106" s="106">
        <v>9</v>
      </c>
      <c r="H106" s="107" t="s">
        <v>509</v>
      </c>
    </row>
    <row r="107" spans="1:8" ht="19.8" customHeight="1" x14ac:dyDescent="0.3">
      <c r="A107" s="114">
        <v>45987</v>
      </c>
      <c r="B107" s="115" t="s">
        <v>26</v>
      </c>
      <c r="C107" s="116" t="s">
        <v>350</v>
      </c>
      <c r="D107" s="115" t="s">
        <v>335</v>
      </c>
      <c r="E107" s="117">
        <v>1.993055555555556</v>
      </c>
      <c r="F107" s="115" t="s">
        <v>28</v>
      </c>
      <c r="G107" s="118">
        <v>9</v>
      </c>
      <c r="H107" s="119" t="s">
        <v>456</v>
      </c>
    </row>
    <row r="108" spans="1:8" ht="19.8" customHeight="1" x14ac:dyDescent="0.3">
      <c r="A108" s="120">
        <v>45988</v>
      </c>
      <c r="B108" s="121" t="s">
        <v>77</v>
      </c>
      <c r="C108" s="122" t="s">
        <v>896</v>
      </c>
      <c r="D108" s="121" t="s">
        <v>891</v>
      </c>
      <c r="E108" s="123">
        <v>1.5486111111111109</v>
      </c>
      <c r="F108" s="121" t="s">
        <v>101</v>
      </c>
      <c r="G108" s="124">
        <v>8</v>
      </c>
      <c r="H108" s="125" t="s">
        <v>904</v>
      </c>
    </row>
    <row r="109" spans="1:8" ht="19.8" customHeight="1" x14ac:dyDescent="0.3">
      <c r="A109" s="120">
        <v>45988</v>
      </c>
      <c r="B109" s="121" t="s">
        <v>77</v>
      </c>
      <c r="C109" s="122" t="s">
        <v>894</v>
      </c>
      <c r="D109" s="121" t="s">
        <v>891</v>
      </c>
      <c r="E109" s="123">
        <v>1.3298611111111109</v>
      </c>
      <c r="F109" s="121" t="s">
        <v>79</v>
      </c>
      <c r="G109" s="121"/>
      <c r="H109" s="125" t="s">
        <v>80</v>
      </c>
    </row>
    <row r="110" spans="1:8" ht="19.8" customHeight="1" x14ac:dyDescent="0.3">
      <c r="A110" s="175"/>
      <c r="B110" s="176"/>
      <c r="C110" s="176"/>
      <c r="D110" s="176"/>
      <c r="E110" s="176"/>
      <c r="F110" s="177" t="s">
        <v>890</v>
      </c>
      <c r="G110" s="176"/>
      <c r="H110" s="178"/>
    </row>
    <row r="111" spans="1:8" ht="19.8" customHeight="1" x14ac:dyDescent="0.3">
      <c r="A111" s="112">
        <v>45988</v>
      </c>
      <c r="B111" s="104" t="s">
        <v>41</v>
      </c>
      <c r="C111" s="105" t="s">
        <v>347</v>
      </c>
      <c r="D111" s="104" t="s">
        <v>335</v>
      </c>
      <c r="E111" s="113">
        <v>1.8888888888888891</v>
      </c>
      <c r="F111" s="104" t="s">
        <v>43</v>
      </c>
      <c r="G111" s="106">
        <v>4</v>
      </c>
      <c r="H111" s="107" t="s">
        <v>508</v>
      </c>
    </row>
    <row r="112" spans="1:8" ht="19.8" customHeight="1" x14ac:dyDescent="0.3">
      <c r="A112" s="112">
        <v>45988</v>
      </c>
      <c r="B112" s="104" t="s">
        <v>41</v>
      </c>
      <c r="C112" s="105" t="s">
        <v>336</v>
      </c>
      <c r="D112" s="104" t="s">
        <v>335</v>
      </c>
      <c r="E112" s="113">
        <v>1.989583333333333</v>
      </c>
      <c r="F112" s="104" t="s">
        <v>43</v>
      </c>
      <c r="G112" s="106">
        <v>5</v>
      </c>
      <c r="H112" s="107" t="s">
        <v>508</v>
      </c>
    </row>
    <row r="113" spans="1:8" ht="19.8" customHeight="1" x14ac:dyDescent="0.3">
      <c r="A113" s="112">
        <v>45988</v>
      </c>
      <c r="B113" s="104" t="s">
        <v>41</v>
      </c>
      <c r="C113" s="105" t="s">
        <v>340</v>
      </c>
      <c r="D113" s="104" t="s">
        <v>335</v>
      </c>
      <c r="E113" s="113">
        <v>1.399305555555556</v>
      </c>
      <c r="F113" s="104" t="s">
        <v>43</v>
      </c>
      <c r="G113" s="106">
        <v>5</v>
      </c>
      <c r="H113" s="107" t="s">
        <v>143</v>
      </c>
    </row>
    <row r="114" spans="1:8" ht="19.8" customHeight="1" x14ac:dyDescent="0.3">
      <c r="A114" s="112">
        <v>45988</v>
      </c>
      <c r="B114" s="104" t="s">
        <v>41</v>
      </c>
      <c r="C114" s="105" t="s">
        <v>344</v>
      </c>
      <c r="D114" s="104" t="s">
        <v>335</v>
      </c>
      <c r="E114" s="113">
        <v>1.489583333333333</v>
      </c>
      <c r="F114" s="104" t="s">
        <v>43</v>
      </c>
      <c r="G114" s="106">
        <v>9</v>
      </c>
      <c r="H114" s="107" t="s">
        <v>143</v>
      </c>
    </row>
    <row r="115" spans="1:8" ht="19.8" customHeight="1" x14ac:dyDescent="0.3">
      <c r="A115" s="112">
        <v>45988</v>
      </c>
      <c r="B115" s="104" t="s">
        <v>77</v>
      </c>
      <c r="C115" s="105" t="s">
        <v>365</v>
      </c>
      <c r="D115" s="104" t="s">
        <v>335</v>
      </c>
      <c r="E115" s="113">
        <v>1.1875</v>
      </c>
      <c r="F115" s="104" t="s">
        <v>101</v>
      </c>
      <c r="G115" s="106">
        <v>1</v>
      </c>
      <c r="H115" s="107" t="s">
        <v>379</v>
      </c>
    </row>
    <row r="116" spans="1:8" ht="19.8" customHeight="1" x14ac:dyDescent="0.3">
      <c r="A116" s="112">
        <v>45988</v>
      </c>
      <c r="B116" s="104" t="s">
        <v>77</v>
      </c>
      <c r="C116" s="105" t="s">
        <v>370</v>
      </c>
      <c r="D116" s="104" t="s">
        <v>335</v>
      </c>
      <c r="E116" s="113">
        <v>1.0659722222222221</v>
      </c>
      <c r="F116" s="104" t="s">
        <v>101</v>
      </c>
      <c r="G116" s="106">
        <v>6</v>
      </c>
      <c r="H116" s="107" t="s">
        <v>379</v>
      </c>
    </row>
    <row r="117" spans="1:8" ht="19.8" customHeight="1" x14ac:dyDescent="0.3">
      <c r="A117" s="112">
        <v>45988</v>
      </c>
      <c r="B117" s="104" t="s">
        <v>77</v>
      </c>
      <c r="C117" s="105" t="s">
        <v>374</v>
      </c>
      <c r="D117" s="104" t="s">
        <v>335</v>
      </c>
      <c r="E117" s="113">
        <v>1.15625</v>
      </c>
      <c r="F117" s="104" t="s">
        <v>101</v>
      </c>
      <c r="G117" s="106">
        <v>5</v>
      </c>
      <c r="H117" s="107" t="s">
        <v>379</v>
      </c>
    </row>
    <row r="118" spans="1:8" ht="19.8" customHeight="1" x14ac:dyDescent="0.3">
      <c r="A118" s="112">
        <v>45988</v>
      </c>
      <c r="B118" s="104" t="s">
        <v>385</v>
      </c>
      <c r="C118" s="105" t="s">
        <v>386</v>
      </c>
      <c r="D118" s="104" t="s">
        <v>335</v>
      </c>
      <c r="E118" s="113">
        <v>1.493055555555556</v>
      </c>
      <c r="F118" s="104" t="s">
        <v>101</v>
      </c>
      <c r="G118" s="106">
        <v>9</v>
      </c>
      <c r="H118" s="107" t="s">
        <v>521</v>
      </c>
    </row>
    <row r="119" spans="1:8" ht="19.8" customHeight="1" x14ac:dyDescent="0.3">
      <c r="A119" s="112">
        <v>45988</v>
      </c>
      <c r="B119" s="104" t="s">
        <v>41</v>
      </c>
      <c r="C119" s="105" t="s">
        <v>347</v>
      </c>
      <c r="D119" s="104" t="s">
        <v>335</v>
      </c>
      <c r="E119" s="113">
        <v>1.8888888888888891</v>
      </c>
      <c r="F119" s="104" t="s">
        <v>45</v>
      </c>
      <c r="G119" s="106">
        <v>4</v>
      </c>
      <c r="H119" s="107" t="s">
        <v>478</v>
      </c>
    </row>
    <row r="120" spans="1:8" ht="19.8" customHeight="1" x14ac:dyDescent="0.3">
      <c r="A120" s="114">
        <v>45988</v>
      </c>
      <c r="B120" s="115" t="s">
        <v>41</v>
      </c>
      <c r="C120" s="116" t="s">
        <v>336</v>
      </c>
      <c r="D120" s="115" t="s">
        <v>335</v>
      </c>
      <c r="E120" s="117">
        <v>1.989583333333333</v>
      </c>
      <c r="F120" s="115" t="s">
        <v>45</v>
      </c>
      <c r="G120" s="118">
        <v>5</v>
      </c>
      <c r="H120" s="119" t="s">
        <v>478</v>
      </c>
    </row>
    <row r="121" spans="1:8" ht="19.8" customHeight="1" x14ac:dyDescent="0.3">
      <c r="A121" s="120">
        <v>45989</v>
      </c>
      <c r="B121" s="121" t="s">
        <v>77</v>
      </c>
      <c r="C121" s="122" t="s">
        <v>900</v>
      </c>
      <c r="D121" s="121" t="s">
        <v>891</v>
      </c>
      <c r="E121" s="123">
        <v>1.135416666666667</v>
      </c>
      <c r="F121" s="121" t="s">
        <v>101</v>
      </c>
      <c r="G121" s="124">
        <v>9</v>
      </c>
      <c r="H121" s="125" t="s">
        <v>904</v>
      </c>
    </row>
    <row r="122" spans="1:8" ht="19.8" customHeight="1" x14ac:dyDescent="0.3">
      <c r="A122" s="175"/>
      <c r="B122" s="176"/>
      <c r="C122" s="176"/>
      <c r="D122" s="176"/>
      <c r="E122" s="176"/>
      <c r="F122" s="177" t="s">
        <v>890</v>
      </c>
      <c r="G122" s="176"/>
      <c r="H122" s="178"/>
    </row>
    <row r="123" spans="1:8" ht="19.8" customHeight="1" x14ac:dyDescent="0.3">
      <c r="A123" s="112">
        <v>45989</v>
      </c>
      <c r="B123" s="104" t="s">
        <v>388</v>
      </c>
      <c r="C123" s="105" t="s">
        <v>389</v>
      </c>
      <c r="D123" s="104" t="s">
        <v>335</v>
      </c>
      <c r="E123" s="113">
        <v>1.225694444444444</v>
      </c>
      <c r="F123" s="104" t="s">
        <v>390</v>
      </c>
      <c r="G123" s="106">
        <v>9</v>
      </c>
      <c r="H123" s="107" t="s">
        <v>525</v>
      </c>
    </row>
    <row r="124" spans="1:8" ht="19.8" customHeight="1" x14ac:dyDescent="0.3">
      <c r="A124" s="112">
        <v>45989</v>
      </c>
      <c r="B124" s="104" t="s">
        <v>388</v>
      </c>
      <c r="C124" s="105" t="s">
        <v>438</v>
      </c>
      <c r="D124" s="104" t="s">
        <v>335</v>
      </c>
      <c r="E124" s="113">
        <v>1.8090277777777779</v>
      </c>
      <c r="F124" s="104" t="s">
        <v>390</v>
      </c>
      <c r="G124" s="106">
        <v>9</v>
      </c>
      <c r="H124" s="107" t="s">
        <v>527</v>
      </c>
    </row>
    <row r="125" spans="1:8" ht="19.8" customHeight="1" x14ac:dyDescent="0.3">
      <c r="A125" s="112">
        <v>45989</v>
      </c>
      <c r="B125" s="104" t="s">
        <v>41</v>
      </c>
      <c r="C125" s="105" t="s">
        <v>340</v>
      </c>
      <c r="D125" s="104" t="s">
        <v>335</v>
      </c>
      <c r="E125" s="113">
        <v>1.399305555555556</v>
      </c>
      <c r="F125" s="104" t="s">
        <v>43</v>
      </c>
      <c r="G125" s="106">
        <v>5</v>
      </c>
      <c r="H125" s="107" t="s">
        <v>493</v>
      </c>
    </row>
    <row r="126" spans="1:8" ht="19.8" customHeight="1" x14ac:dyDescent="0.3">
      <c r="A126" s="112">
        <v>45989</v>
      </c>
      <c r="B126" s="104" t="s">
        <v>41</v>
      </c>
      <c r="C126" s="105" t="s">
        <v>347</v>
      </c>
      <c r="D126" s="104" t="s">
        <v>335</v>
      </c>
      <c r="E126" s="113">
        <v>1.8888888888888891</v>
      </c>
      <c r="F126" s="104" t="s">
        <v>43</v>
      </c>
      <c r="G126" s="106">
        <v>10</v>
      </c>
      <c r="H126" s="107" t="s">
        <v>493</v>
      </c>
    </row>
    <row r="127" spans="1:8" ht="19.8" customHeight="1" x14ac:dyDescent="0.3">
      <c r="A127" s="112">
        <v>45989</v>
      </c>
      <c r="B127" s="104" t="s">
        <v>41</v>
      </c>
      <c r="C127" s="105" t="s">
        <v>336</v>
      </c>
      <c r="D127" s="104" t="s">
        <v>335</v>
      </c>
      <c r="E127" s="113">
        <v>1.989583333333333</v>
      </c>
      <c r="F127" s="104" t="s">
        <v>43</v>
      </c>
      <c r="G127" s="106">
        <v>13</v>
      </c>
      <c r="H127" s="107" t="s">
        <v>493</v>
      </c>
    </row>
    <row r="128" spans="1:8" ht="19.8" customHeight="1" x14ac:dyDescent="0.3">
      <c r="A128" s="112">
        <v>45989</v>
      </c>
      <c r="B128" s="104" t="s">
        <v>385</v>
      </c>
      <c r="C128" s="105" t="s">
        <v>386</v>
      </c>
      <c r="D128" s="104" t="s">
        <v>335</v>
      </c>
      <c r="E128" s="113">
        <v>1.493055555555556</v>
      </c>
      <c r="F128" s="104" t="s">
        <v>101</v>
      </c>
      <c r="G128" s="106">
        <v>9</v>
      </c>
      <c r="H128" s="107" t="s">
        <v>521</v>
      </c>
    </row>
    <row r="129" spans="1:8" ht="19.8" customHeight="1" x14ac:dyDescent="0.3">
      <c r="A129" s="112">
        <v>45989</v>
      </c>
      <c r="B129" s="104" t="s">
        <v>41</v>
      </c>
      <c r="C129" s="105" t="s">
        <v>344</v>
      </c>
      <c r="D129" s="104" t="s">
        <v>335</v>
      </c>
      <c r="E129" s="113">
        <v>1.489583333333333</v>
      </c>
      <c r="F129" s="104" t="s">
        <v>43</v>
      </c>
      <c r="G129" s="106">
        <v>4</v>
      </c>
      <c r="H129" s="107" t="s">
        <v>478</v>
      </c>
    </row>
    <row r="130" spans="1:8" ht="19.8" customHeight="1" x14ac:dyDescent="0.3">
      <c r="A130" s="112">
        <v>45989</v>
      </c>
      <c r="B130" s="104" t="s">
        <v>26</v>
      </c>
      <c r="C130" s="105" t="s">
        <v>354</v>
      </c>
      <c r="D130" s="104" t="s">
        <v>335</v>
      </c>
      <c r="E130" s="113">
        <v>1.3472222222222221</v>
      </c>
      <c r="F130" s="104" t="s">
        <v>28</v>
      </c>
      <c r="G130" s="106">
        <v>9</v>
      </c>
      <c r="H130" s="107" t="s">
        <v>47</v>
      </c>
    </row>
    <row r="131" spans="1:8" ht="19.8" customHeight="1" x14ac:dyDescent="0.3">
      <c r="A131" s="112">
        <v>45989</v>
      </c>
      <c r="B131" s="104" t="s">
        <v>26</v>
      </c>
      <c r="C131" s="105" t="s">
        <v>350</v>
      </c>
      <c r="D131" s="104" t="s">
        <v>335</v>
      </c>
      <c r="E131" s="113">
        <v>1.993055555555556</v>
      </c>
      <c r="F131" s="104" t="s">
        <v>28</v>
      </c>
      <c r="G131" s="106">
        <v>2</v>
      </c>
      <c r="H131" s="107" t="s">
        <v>47</v>
      </c>
    </row>
    <row r="132" spans="1:8" ht="19.8" customHeight="1" x14ac:dyDescent="0.3">
      <c r="A132" s="114">
        <v>45989</v>
      </c>
      <c r="B132" s="115" t="s">
        <v>26</v>
      </c>
      <c r="C132" s="116" t="s">
        <v>352</v>
      </c>
      <c r="D132" s="115" t="s">
        <v>335</v>
      </c>
      <c r="E132" s="117">
        <v>1.944444444444444</v>
      </c>
      <c r="F132" s="115" t="s">
        <v>28</v>
      </c>
      <c r="G132" s="118">
        <v>3</v>
      </c>
      <c r="H132" s="119" t="s">
        <v>47</v>
      </c>
    </row>
    <row r="133" spans="1:8" ht="19.8" customHeight="1" x14ac:dyDescent="0.3">
      <c r="A133" s="120">
        <v>45990</v>
      </c>
      <c r="B133" s="121" t="s">
        <v>77</v>
      </c>
      <c r="C133" s="122" t="s">
        <v>900</v>
      </c>
      <c r="D133" s="121" t="s">
        <v>891</v>
      </c>
      <c r="E133" s="123">
        <v>1.1423611111111109</v>
      </c>
      <c r="F133" s="121" t="s">
        <v>101</v>
      </c>
      <c r="G133" s="124">
        <v>3</v>
      </c>
      <c r="H133" s="125" t="s">
        <v>893</v>
      </c>
    </row>
    <row r="134" spans="1:8" ht="19.8" customHeight="1" x14ac:dyDescent="0.3">
      <c r="A134" s="120">
        <v>45990</v>
      </c>
      <c r="B134" s="121" t="s">
        <v>77</v>
      </c>
      <c r="C134" s="122" t="s">
        <v>896</v>
      </c>
      <c r="D134" s="121" t="s">
        <v>891</v>
      </c>
      <c r="E134" s="123">
        <v>1.5277777777777779</v>
      </c>
      <c r="F134" s="121" t="s">
        <v>101</v>
      </c>
      <c r="G134" s="124">
        <v>9</v>
      </c>
      <c r="H134" s="125" t="s">
        <v>901</v>
      </c>
    </row>
    <row r="135" spans="1:8" ht="19.8" customHeight="1" x14ac:dyDescent="0.3">
      <c r="A135" s="175"/>
      <c r="B135" s="176"/>
      <c r="C135" s="176"/>
      <c r="D135" s="176"/>
      <c r="E135" s="176"/>
      <c r="F135" s="177" t="s">
        <v>890</v>
      </c>
      <c r="G135" s="176"/>
      <c r="H135" s="178"/>
    </row>
    <row r="136" spans="1:8" ht="19.8" customHeight="1" x14ac:dyDescent="0.3">
      <c r="A136" s="112">
        <v>45990</v>
      </c>
      <c r="B136" s="104" t="s">
        <v>388</v>
      </c>
      <c r="C136" s="105" t="s">
        <v>462</v>
      </c>
      <c r="D136" s="104" t="s">
        <v>335</v>
      </c>
      <c r="E136" s="113">
        <v>1.055555555555556</v>
      </c>
      <c r="F136" s="104" t="s">
        <v>390</v>
      </c>
      <c r="G136" s="106">
        <v>9</v>
      </c>
      <c r="H136" s="107" t="s">
        <v>527</v>
      </c>
    </row>
    <row r="137" spans="1:8" ht="19.8" customHeight="1" x14ac:dyDescent="0.3">
      <c r="A137" s="112">
        <v>45990</v>
      </c>
      <c r="B137" s="104" t="s">
        <v>388</v>
      </c>
      <c r="C137" s="105" t="s">
        <v>389</v>
      </c>
      <c r="D137" s="104" t="s">
        <v>335</v>
      </c>
      <c r="E137" s="113">
        <v>1.1701388888888891</v>
      </c>
      <c r="F137" s="104" t="s">
        <v>390</v>
      </c>
      <c r="G137" s="106">
        <v>9</v>
      </c>
      <c r="H137" s="107" t="s">
        <v>546</v>
      </c>
    </row>
    <row r="138" spans="1:8" ht="19.8" customHeight="1" x14ac:dyDescent="0.3">
      <c r="A138" s="112">
        <v>45990</v>
      </c>
      <c r="B138" s="104" t="s">
        <v>41</v>
      </c>
      <c r="C138" s="105" t="s">
        <v>340</v>
      </c>
      <c r="D138" s="104" t="s">
        <v>335</v>
      </c>
      <c r="E138" s="113">
        <v>1.399305555555556</v>
      </c>
      <c r="F138" s="104" t="s">
        <v>43</v>
      </c>
      <c r="G138" s="106">
        <v>10</v>
      </c>
      <c r="H138" s="107" t="s">
        <v>478</v>
      </c>
    </row>
    <row r="139" spans="1:8" ht="19.8" customHeight="1" x14ac:dyDescent="0.3">
      <c r="A139" s="112">
        <v>45990</v>
      </c>
      <c r="B139" s="104" t="s">
        <v>385</v>
      </c>
      <c r="C139" s="105" t="s">
        <v>435</v>
      </c>
      <c r="D139" s="104" t="s">
        <v>335</v>
      </c>
      <c r="E139" s="113">
        <v>1.041666666666667</v>
      </c>
      <c r="F139" s="104" t="s">
        <v>101</v>
      </c>
      <c r="G139" s="106">
        <v>9</v>
      </c>
      <c r="H139" s="107" t="s">
        <v>548</v>
      </c>
    </row>
    <row r="140" spans="1:8" ht="19.8" customHeight="1" x14ac:dyDescent="0.3">
      <c r="A140" s="112">
        <v>45990</v>
      </c>
      <c r="B140" s="104" t="s">
        <v>41</v>
      </c>
      <c r="C140" s="105" t="s">
        <v>344</v>
      </c>
      <c r="D140" s="104" t="s">
        <v>335</v>
      </c>
      <c r="E140" s="113">
        <v>1.489583333333333</v>
      </c>
      <c r="F140" s="104" t="s">
        <v>43</v>
      </c>
      <c r="G140" s="106">
        <v>7</v>
      </c>
      <c r="H140" s="107" t="s">
        <v>47</v>
      </c>
    </row>
    <row r="141" spans="1:8" ht="19.8" customHeight="1" x14ac:dyDescent="0.3">
      <c r="A141" s="112">
        <v>45990</v>
      </c>
      <c r="B141" s="104" t="s">
        <v>41</v>
      </c>
      <c r="C141" s="105" t="s">
        <v>347</v>
      </c>
      <c r="D141" s="104" t="s">
        <v>335</v>
      </c>
      <c r="E141" s="113">
        <v>1.8888888888888891</v>
      </c>
      <c r="F141" s="104" t="s">
        <v>43</v>
      </c>
      <c r="G141" s="106">
        <v>8</v>
      </c>
      <c r="H141" s="107" t="s">
        <v>47</v>
      </c>
    </row>
    <row r="142" spans="1:8" ht="19.8" customHeight="1" x14ac:dyDescent="0.3">
      <c r="A142" s="112">
        <v>45990</v>
      </c>
      <c r="B142" s="104" t="s">
        <v>41</v>
      </c>
      <c r="C142" s="105" t="s">
        <v>336</v>
      </c>
      <c r="D142" s="104" t="s">
        <v>335</v>
      </c>
      <c r="E142" s="113">
        <v>1.989583333333333</v>
      </c>
      <c r="F142" s="104" t="s">
        <v>43</v>
      </c>
      <c r="G142" s="106">
        <v>10</v>
      </c>
      <c r="H142" s="107" t="s">
        <v>47</v>
      </c>
    </row>
    <row r="143" spans="1:8" ht="19.8" customHeight="1" x14ac:dyDescent="0.3">
      <c r="A143" s="112">
        <v>45990</v>
      </c>
      <c r="B143" s="104" t="s">
        <v>26</v>
      </c>
      <c r="C143" s="105" t="s">
        <v>354</v>
      </c>
      <c r="D143" s="104" t="s">
        <v>335</v>
      </c>
      <c r="E143" s="113">
        <v>1.3472222222222221</v>
      </c>
      <c r="F143" s="104" t="s">
        <v>28</v>
      </c>
      <c r="G143" s="106">
        <v>1</v>
      </c>
      <c r="H143" s="107" t="s">
        <v>47</v>
      </c>
    </row>
    <row r="144" spans="1:8" ht="19.8" customHeight="1" x14ac:dyDescent="0.3">
      <c r="A144" s="112">
        <v>45990</v>
      </c>
      <c r="B144" s="104" t="s">
        <v>388</v>
      </c>
      <c r="C144" s="105" t="s">
        <v>462</v>
      </c>
      <c r="D144" s="104" t="s">
        <v>335</v>
      </c>
      <c r="E144" s="113">
        <v>1.055555555555556</v>
      </c>
      <c r="F144" s="104" t="s">
        <v>46</v>
      </c>
      <c r="G144" s="106">
        <v>9</v>
      </c>
      <c r="H144" s="107" t="s">
        <v>528</v>
      </c>
    </row>
    <row r="145" spans="1:8" ht="19.8" customHeight="1" x14ac:dyDescent="0.3">
      <c r="A145" s="114">
        <v>45990</v>
      </c>
      <c r="B145" s="115" t="s">
        <v>41</v>
      </c>
      <c r="C145" s="116" t="s">
        <v>340</v>
      </c>
      <c r="D145" s="115" t="s">
        <v>335</v>
      </c>
      <c r="E145" s="117">
        <v>1.399305555555556</v>
      </c>
      <c r="F145" s="115" t="s">
        <v>45</v>
      </c>
      <c r="G145" s="118">
        <v>10</v>
      </c>
      <c r="H145" s="119" t="s">
        <v>532</v>
      </c>
    </row>
    <row r="146" spans="1:8" ht="19.8" customHeight="1" x14ac:dyDescent="0.3">
      <c r="A146" s="120">
        <v>45991</v>
      </c>
      <c r="B146" s="121" t="s">
        <v>77</v>
      </c>
      <c r="C146" s="122" t="s">
        <v>900</v>
      </c>
      <c r="D146" s="121" t="s">
        <v>891</v>
      </c>
      <c r="E146" s="123">
        <v>1.3298611111111109</v>
      </c>
      <c r="F146" s="121" t="s">
        <v>101</v>
      </c>
      <c r="G146" s="124">
        <v>5</v>
      </c>
      <c r="H146" s="125" t="s">
        <v>934</v>
      </c>
    </row>
    <row r="147" spans="1:8" ht="19.8" customHeight="1" x14ac:dyDescent="0.3">
      <c r="A147" s="120">
        <v>45991</v>
      </c>
      <c r="B147" s="121" t="s">
        <v>77</v>
      </c>
      <c r="C147" s="122" t="s">
        <v>896</v>
      </c>
      <c r="D147" s="121" t="s">
        <v>891</v>
      </c>
      <c r="E147" s="123">
        <v>1.6909722222222221</v>
      </c>
      <c r="F147" s="121" t="s">
        <v>101</v>
      </c>
      <c r="G147" s="124">
        <v>9</v>
      </c>
      <c r="H147" s="125" t="s">
        <v>936</v>
      </c>
    </row>
    <row r="148" spans="1:8" ht="19.8" customHeight="1" x14ac:dyDescent="0.3">
      <c r="A148" s="112">
        <v>45991</v>
      </c>
      <c r="B148" s="104" t="s">
        <v>41</v>
      </c>
      <c r="C148" s="105" t="s">
        <v>908</v>
      </c>
      <c r="D148" s="104" t="s">
        <v>891</v>
      </c>
      <c r="E148" s="113">
        <v>1.364583333333333</v>
      </c>
      <c r="F148" s="104" t="s">
        <v>778</v>
      </c>
      <c r="G148" s="106">
        <v>4</v>
      </c>
      <c r="H148" s="107" t="s">
        <v>431</v>
      </c>
    </row>
    <row r="149" spans="1:8" ht="19.8" customHeight="1" x14ac:dyDescent="0.3">
      <c r="A149" s="112">
        <v>45991</v>
      </c>
      <c r="B149" s="104" t="s">
        <v>41</v>
      </c>
      <c r="C149" s="105" t="s">
        <v>908</v>
      </c>
      <c r="D149" s="104" t="s">
        <v>891</v>
      </c>
      <c r="E149" s="113">
        <v>1.364583333333333</v>
      </c>
      <c r="F149" s="104" t="s">
        <v>756</v>
      </c>
      <c r="G149" s="106">
        <v>4</v>
      </c>
      <c r="H149" s="107" t="s">
        <v>938</v>
      </c>
    </row>
    <row r="150" spans="1:8" ht="19.8" customHeight="1" x14ac:dyDescent="0.3">
      <c r="A150" s="112">
        <v>45991</v>
      </c>
      <c r="B150" s="104" t="s">
        <v>41</v>
      </c>
      <c r="C150" s="105" t="s">
        <v>908</v>
      </c>
      <c r="D150" s="104" t="s">
        <v>891</v>
      </c>
      <c r="E150" s="113">
        <v>1.364583333333333</v>
      </c>
      <c r="F150" s="104" t="s">
        <v>769</v>
      </c>
      <c r="G150" s="106">
        <v>4</v>
      </c>
      <c r="H150" s="107" t="s">
        <v>939</v>
      </c>
    </row>
    <row r="151" spans="1:8" ht="19.8" customHeight="1" x14ac:dyDescent="0.3">
      <c r="A151" s="112">
        <v>45991</v>
      </c>
      <c r="B151" s="104" t="s">
        <v>41</v>
      </c>
      <c r="C151" s="105" t="s">
        <v>908</v>
      </c>
      <c r="D151" s="104" t="s">
        <v>891</v>
      </c>
      <c r="E151" s="113">
        <v>1.364583333333333</v>
      </c>
      <c r="F151" s="104" t="s">
        <v>782</v>
      </c>
      <c r="G151" s="106">
        <v>4</v>
      </c>
      <c r="H151" s="107" t="s">
        <v>478</v>
      </c>
    </row>
    <row r="152" spans="1:8" ht="19.8" customHeight="1" x14ac:dyDescent="0.3">
      <c r="A152" s="175"/>
      <c r="B152" s="176"/>
      <c r="C152" s="176"/>
      <c r="D152" s="176"/>
      <c r="E152" s="176"/>
      <c r="F152" s="177" t="s">
        <v>890</v>
      </c>
      <c r="G152" s="176"/>
      <c r="H152" s="178"/>
    </row>
    <row r="153" spans="1:8" ht="19.8" customHeight="1" x14ac:dyDescent="0.3">
      <c r="A153" s="112">
        <v>45991</v>
      </c>
      <c r="B153" s="104" t="s">
        <v>388</v>
      </c>
      <c r="C153" s="105" t="s">
        <v>389</v>
      </c>
      <c r="D153" s="104" t="s">
        <v>335</v>
      </c>
      <c r="E153" s="113">
        <v>1.229166666666667</v>
      </c>
      <c r="F153" s="104" t="s">
        <v>390</v>
      </c>
      <c r="G153" s="106">
        <v>9</v>
      </c>
      <c r="H153" s="107" t="s">
        <v>559</v>
      </c>
    </row>
    <row r="154" spans="1:8" ht="19.8" customHeight="1" x14ac:dyDescent="0.3">
      <c r="A154" s="112">
        <v>45991</v>
      </c>
      <c r="B154" s="104" t="s">
        <v>41</v>
      </c>
      <c r="C154" s="105" t="s">
        <v>340</v>
      </c>
      <c r="D154" s="104" t="s">
        <v>335</v>
      </c>
      <c r="E154" s="113">
        <v>1.399305555555556</v>
      </c>
      <c r="F154" s="104" t="s">
        <v>43</v>
      </c>
      <c r="G154" s="106">
        <v>3</v>
      </c>
      <c r="H154" s="107" t="s">
        <v>143</v>
      </c>
    </row>
    <row r="155" spans="1:8" ht="19.8" customHeight="1" x14ac:dyDescent="0.3">
      <c r="A155" s="112">
        <v>45991</v>
      </c>
      <c r="B155" s="104" t="s">
        <v>385</v>
      </c>
      <c r="C155" s="105" t="s">
        <v>386</v>
      </c>
      <c r="D155" s="104" t="s">
        <v>335</v>
      </c>
      <c r="E155" s="113">
        <v>1.493055555555556</v>
      </c>
      <c r="F155" s="104" t="s">
        <v>101</v>
      </c>
      <c r="G155" s="106">
        <v>9</v>
      </c>
      <c r="H155" s="107" t="s">
        <v>564</v>
      </c>
    </row>
    <row r="156" spans="1:8" ht="19.8" customHeight="1" x14ac:dyDescent="0.3">
      <c r="A156" s="112">
        <v>45991</v>
      </c>
      <c r="B156" s="104" t="s">
        <v>26</v>
      </c>
      <c r="C156" s="105" t="s">
        <v>354</v>
      </c>
      <c r="D156" s="104" t="s">
        <v>335</v>
      </c>
      <c r="E156" s="113">
        <v>1.3472222222222221</v>
      </c>
      <c r="F156" s="104" t="s">
        <v>28</v>
      </c>
      <c r="G156" s="106">
        <v>8</v>
      </c>
      <c r="H156" s="107" t="s">
        <v>154</v>
      </c>
    </row>
    <row r="157" spans="1:8" ht="19.8" customHeight="1" x14ac:dyDescent="0.3">
      <c r="A157" s="112">
        <v>45991</v>
      </c>
      <c r="B157" s="104" t="s">
        <v>26</v>
      </c>
      <c r="C157" s="105" t="s">
        <v>350</v>
      </c>
      <c r="D157" s="104" t="s">
        <v>335</v>
      </c>
      <c r="E157" s="113">
        <v>1.993055555555556</v>
      </c>
      <c r="F157" s="104" t="s">
        <v>28</v>
      </c>
      <c r="G157" s="106">
        <v>1</v>
      </c>
      <c r="H157" s="107" t="s">
        <v>154</v>
      </c>
    </row>
    <row r="158" spans="1:8" ht="19.8" customHeight="1" x14ac:dyDescent="0.3">
      <c r="A158" s="112">
        <v>45991</v>
      </c>
      <c r="B158" s="104" t="s">
        <v>26</v>
      </c>
      <c r="C158" s="105" t="s">
        <v>357</v>
      </c>
      <c r="D158" s="104" t="s">
        <v>335</v>
      </c>
      <c r="E158" s="113">
        <v>1.3923611111111109</v>
      </c>
      <c r="F158" s="104" t="s">
        <v>28</v>
      </c>
      <c r="G158" s="106">
        <v>4</v>
      </c>
      <c r="H158" s="107" t="s">
        <v>154</v>
      </c>
    </row>
    <row r="159" spans="1:8" ht="19.8" customHeight="1" x14ac:dyDescent="0.3">
      <c r="A159" s="112">
        <v>45991</v>
      </c>
      <c r="B159" s="104" t="s">
        <v>77</v>
      </c>
      <c r="C159" s="105" t="s">
        <v>419</v>
      </c>
      <c r="D159" s="104" t="s">
        <v>335</v>
      </c>
      <c r="E159" s="113">
        <v>1.333333333333333</v>
      </c>
      <c r="F159" s="104" t="s">
        <v>101</v>
      </c>
      <c r="G159" s="106">
        <v>1</v>
      </c>
      <c r="H159" s="107" t="s">
        <v>379</v>
      </c>
    </row>
    <row r="160" spans="1:8" ht="19.8" customHeight="1" x14ac:dyDescent="0.3">
      <c r="A160" s="112">
        <v>45991</v>
      </c>
      <c r="B160" s="104" t="s">
        <v>385</v>
      </c>
      <c r="C160" s="105" t="s">
        <v>435</v>
      </c>
      <c r="D160" s="104" t="s">
        <v>335</v>
      </c>
      <c r="E160" s="113">
        <v>1.2048611111111109</v>
      </c>
      <c r="F160" s="104" t="s">
        <v>101</v>
      </c>
      <c r="G160" s="106">
        <v>9</v>
      </c>
      <c r="H160" s="107" t="s">
        <v>521</v>
      </c>
    </row>
    <row r="161" spans="1:8" ht="19.8" customHeight="1" x14ac:dyDescent="0.3">
      <c r="A161" s="112">
        <v>45991</v>
      </c>
      <c r="B161" s="104" t="s">
        <v>41</v>
      </c>
      <c r="C161" s="105" t="s">
        <v>344</v>
      </c>
      <c r="D161" s="104" t="s">
        <v>335</v>
      </c>
      <c r="E161" s="113">
        <v>1.489583333333333</v>
      </c>
      <c r="F161" s="104" t="s">
        <v>43</v>
      </c>
      <c r="G161" s="106">
        <v>15</v>
      </c>
      <c r="H161" s="107" t="s">
        <v>478</v>
      </c>
    </row>
    <row r="162" spans="1:8" ht="19.8" customHeight="1" x14ac:dyDescent="0.3">
      <c r="A162" s="114">
        <v>45991</v>
      </c>
      <c r="B162" s="115" t="s">
        <v>41</v>
      </c>
      <c r="C162" s="116" t="s">
        <v>347</v>
      </c>
      <c r="D162" s="115" t="s">
        <v>335</v>
      </c>
      <c r="E162" s="117">
        <v>1.8888888888888891</v>
      </c>
      <c r="F162" s="115" t="s">
        <v>43</v>
      </c>
      <c r="G162" s="118">
        <v>15</v>
      </c>
      <c r="H162" s="119" t="s">
        <v>478</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21"/>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8.33203125" bestFit="1" customWidth="1"/>
    <col min="8" max="8" width="9.44140625" bestFit="1" customWidth="1"/>
    <col min="9" max="9" width="6.77734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0.77734375" bestFit="1" customWidth="1"/>
  </cols>
  <sheetData>
    <row r="1" spans="1:92" ht="28.8" customHeight="1" x14ac:dyDescent="0.3">
      <c r="A1" s="303" t="s">
        <v>0</v>
      </c>
      <c r="B1" s="302"/>
      <c r="C1" s="302"/>
      <c r="D1" s="302"/>
      <c r="E1" s="302"/>
      <c r="F1" s="1" t="s">
        <v>986</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45980.583598367011</v>
      </c>
      <c r="H2" s="302"/>
      <c r="I2" s="302"/>
      <c r="J2" s="302"/>
      <c r="K2" s="311">
        <v>45980.583598367783</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45985</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54" t="s">
        <v>77</v>
      </c>
      <c r="B6" s="154" t="s">
        <v>987</v>
      </c>
      <c r="C6" s="155">
        <v>0.96180555555555547</v>
      </c>
      <c r="D6" s="154" t="s">
        <v>79</v>
      </c>
      <c r="E6" s="156"/>
      <c r="F6" s="154" t="s">
        <v>80</v>
      </c>
      <c r="G6" s="297"/>
      <c r="H6" s="237" t="s">
        <v>987</v>
      </c>
      <c r="I6" s="238">
        <v>0</v>
      </c>
      <c r="J6" s="239">
        <v>0</v>
      </c>
      <c r="K6" s="240" t="s">
        <v>988</v>
      </c>
      <c r="L6" s="239">
        <v>0</v>
      </c>
      <c r="M6" s="239">
        <v>0</v>
      </c>
      <c r="N6" s="239">
        <v>0</v>
      </c>
      <c r="O6" s="241" t="s">
        <v>81</v>
      </c>
      <c r="P6" s="242">
        <v>0.96180555555555547</v>
      </c>
      <c r="Q6" s="239">
        <v>180</v>
      </c>
      <c r="R6" s="243" t="s">
        <v>988</v>
      </c>
    </row>
    <row r="7" spans="1:92" ht="17.399999999999999" customHeight="1" thickBot="1" x14ac:dyDescent="0.35">
      <c r="A7" s="329"/>
      <c r="B7" s="330"/>
      <c r="C7" s="330"/>
      <c r="D7" s="330"/>
      <c r="E7" s="330"/>
      <c r="F7" s="330"/>
      <c r="G7" s="330"/>
      <c r="H7" s="330"/>
      <c r="I7" s="330"/>
      <c r="J7" s="330"/>
      <c r="K7" s="330"/>
      <c r="L7" s="330"/>
      <c r="M7" s="330"/>
      <c r="N7" s="330"/>
      <c r="O7" s="330"/>
      <c r="P7" s="330"/>
      <c r="Q7" s="330"/>
      <c r="R7" s="331"/>
    </row>
    <row r="8" spans="1:92" ht="22.05" customHeight="1" thickTop="1" thickBot="1" x14ac:dyDescent="0.35">
      <c r="A8" s="300" t="s">
        <v>6</v>
      </c>
      <c r="B8" s="295"/>
      <c r="C8" s="295"/>
      <c r="D8" s="295"/>
      <c r="E8" s="295"/>
      <c r="F8" s="296"/>
      <c r="G8" s="31">
        <v>45986</v>
      </c>
      <c r="H8" s="294" t="s">
        <v>7</v>
      </c>
      <c r="I8" s="295"/>
      <c r="J8" s="295"/>
      <c r="K8" s="295"/>
      <c r="L8" s="295"/>
      <c r="M8" s="295"/>
      <c r="N8" s="295"/>
      <c r="O8" s="295"/>
      <c r="P8" s="295"/>
      <c r="Q8" s="295"/>
      <c r="R8" s="296"/>
    </row>
    <row r="9" spans="1:92" ht="24" customHeight="1" x14ac:dyDescent="0.3">
      <c r="A9" s="32" t="s">
        <v>8</v>
      </c>
      <c r="B9" s="32" t="s">
        <v>9</v>
      </c>
      <c r="C9" s="33" t="s">
        <v>10</v>
      </c>
      <c r="D9" s="32" t="s">
        <v>11</v>
      </c>
      <c r="E9" s="32" t="s">
        <v>12</v>
      </c>
      <c r="F9" s="34" t="s">
        <v>13</v>
      </c>
      <c r="G9" s="35" t="s">
        <v>14</v>
      </c>
      <c r="H9" s="32" t="s">
        <v>15</v>
      </c>
      <c r="I9" s="36" t="s">
        <v>16</v>
      </c>
      <c r="J9" s="37" t="s">
        <v>17</v>
      </c>
      <c r="K9" s="38" t="s">
        <v>18</v>
      </c>
      <c r="L9" s="37" t="s">
        <v>19</v>
      </c>
      <c r="M9" s="37" t="s">
        <v>20</v>
      </c>
      <c r="N9" s="37" t="s">
        <v>21</v>
      </c>
      <c r="O9" s="32" t="s">
        <v>22</v>
      </c>
      <c r="P9" s="33" t="s">
        <v>23</v>
      </c>
      <c r="Q9" s="37" t="s">
        <v>24</v>
      </c>
      <c r="R9" s="32" t="s">
        <v>25</v>
      </c>
    </row>
    <row r="10" spans="1:92" ht="49.95" customHeight="1" x14ac:dyDescent="0.3">
      <c r="A10" s="129" t="s">
        <v>77</v>
      </c>
      <c r="B10" s="129" t="s">
        <v>989</v>
      </c>
      <c r="C10" s="130">
        <v>0.2638888888888889</v>
      </c>
      <c r="D10" s="129" t="s">
        <v>79</v>
      </c>
      <c r="E10" s="143"/>
      <c r="F10" s="129" t="s">
        <v>80</v>
      </c>
      <c r="G10" s="304"/>
      <c r="H10" s="131" t="s">
        <v>989</v>
      </c>
      <c r="I10" s="244">
        <v>0</v>
      </c>
      <c r="J10" s="133">
        <v>0</v>
      </c>
      <c r="K10" s="134" t="s">
        <v>988</v>
      </c>
      <c r="L10" s="133">
        <v>0</v>
      </c>
      <c r="M10" s="133">
        <v>0</v>
      </c>
      <c r="N10" s="133">
        <v>0</v>
      </c>
      <c r="O10" s="135" t="s">
        <v>81</v>
      </c>
      <c r="P10" s="136">
        <v>0.2638888888888889</v>
      </c>
      <c r="Q10" s="133">
        <v>180</v>
      </c>
      <c r="R10" s="137" t="s">
        <v>988</v>
      </c>
    </row>
    <row r="11" spans="1:92" ht="49.95" customHeight="1" x14ac:dyDescent="0.3">
      <c r="A11" s="193" t="s">
        <v>77</v>
      </c>
      <c r="B11" s="193" t="s">
        <v>990</v>
      </c>
      <c r="C11" s="194">
        <v>0.63888888888888895</v>
      </c>
      <c r="D11" s="193" t="s">
        <v>79</v>
      </c>
      <c r="E11" s="230"/>
      <c r="F11" s="193" t="s">
        <v>80</v>
      </c>
      <c r="G11" s="298"/>
      <c r="H11" s="167" t="s">
        <v>990</v>
      </c>
      <c r="I11" s="188">
        <v>0</v>
      </c>
      <c r="J11" s="169">
        <v>0</v>
      </c>
      <c r="K11" s="170" t="s">
        <v>988</v>
      </c>
      <c r="L11" s="169">
        <v>0</v>
      </c>
      <c r="M11" s="169">
        <v>0</v>
      </c>
      <c r="N11" s="169">
        <v>0</v>
      </c>
      <c r="O11" s="171" t="s">
        <v>81</v>
      </c>
      <c r="P11" s="172">
        <v>0.63888888888888895</v>
      </c>
      <c r="Q11" s="169">
        <v>180</v>
      </c>
      <c r="R11" s="173" t="s">
        <v>988</v>
      </c>
    </row>
    <row r="12" spans="1:92" ht="49.95" customHeight="1" thickBot="1" x14ac:dyDescent="0.35">
      <c r="A12" s="85" t="s">
        <v>77</v>
      </c>
      <c r="B12" s="85" t="s">
        <v>991</v>
      </c>
      <c r="C12" s="86">
        <v>0.79166666666666663</v>
      </c>
      <c r="D12" s="85" t="s">
        <v>79</v>
      </c>
      <c r="E12" s="87"/>
      <c r="F12" s="85" t="s">
        <v>80</v>
      </c>
      <c r="G12" s="299"/>
      <c r="H12" s="24" t="s">
        <v>991</v>
      </c>
      <c r="I12" s="245">
        <v>0</v>
      </c>
      <c r="J12" s="26">
        <v>0</v>
      </c>
      <c r="K12" s="27" t="s">
        <v>988</v>
      </c>
      <c r="L12" s="26">
        <v>0</v>
      </c>
      <c r="M12" s="26">
        <v>0</v>
      </c>
      <c r="N12" s="26">
        <v>0</v>
      </c>
      <c r="O12" s="28" t="s">
        <v>81</v>
      </c>
      <c r="P12" s="29">
        <v>0.79166666666666663</v>
      </c>
      <c r="Q12" s="26">
        <v>180</v>
      </c>
      <c r="R12" s="30" t="s">
        <v>988</v>
      </c>
    </row>
    <row r="13" spans="1:92" ht="17.399999999999999" customHeight="1" thickBot="1" x14ac:dyDescent="0.35">
      <c r="A13" s="329"/>
      <c r="B13" s="330"/>
      <c r="C13" s="330"/>
      <c r="D13" s="330"/>
      <c r="E13" s="330"/>
      <c r="F13" s="330"/>
      <c r="G13" s="330"/>
      <c r="H13" s="330"/>
      <c r="I13" s="330"/>
      <c r="J13" s="330"/>
      <c r="K13" s="330"/>
      <c r="L13" s="330"/>
      <c r="M13" s="330"/>
      <c r="N13" s="330"/>
      <c r="O13" s="330"/>
      <c r="P13" s="330"/>
      <c r="Q13" s="330"/>
      <c r="R13" s="331"/>
    </row>
    <row r="14" spans="1:92" ht="22.05" customHeight="1" thickTop="1" thickBot="1" x14ac:dyDescent="0.35">
      <c r="A14" s="300" t="s">
        <v>6</v>
      </c>
      <c r="B14" s="295"/>
      <c r="C14" s="295"/>
      <c r="D14" s="295"/>
      <c r="E14" s="295"/>
      <c r="F14" s="296"/>
      <c r="G14" s="31">
        <v>45987</v>
      </c>
      <c r="H14" s="294" t="s">
        <v>7</v>
      </c>
      <c r="I14" s="295"/>
      <c r="J14" s="295"/>
      <c r="K14" s="295"/>
      <c r="L14" s="295"/>
      <c r="M14" s="295"/>
      <c r="N14" s="295"/>
      <c r="O14" s="295"/>
      <c r="P14" s="295"/>
      <c r="Q14" s="295"/>
      <c r="R14" s="296"/>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3">
      <c r="A16" s="8" t="s">
        <v>385</v>
      </c>
      <c r="B16" s="8" t="s">
        <v>992</v>
      </c>
      <c r="C16" s="9">
        <v>0.77777777777777779</v>
      </c>
      <c r="D16" s="8" t="s">
        <v>101</v>
      </c>
      <c r="E16" s="8" t="s">
        <v>111</v>
      </c>
      <c r="F16" s="8" t="s">
        <v>993</v>
      </c>
      <c r="G16" s="297"/>
      <c r="H16" s="10"/>
      <c r="I16" s="11"/>
      <c r="J16" s="11"/>
      <c r="K16" s="11"/>
      <c r="L16" s="11"/>
      <c r="M16" s="11"/>
      <c r="N16" s="11"/>
      <c r="O16" s="12"/>
      <c r="P16" s="11"/>
      <c r="Q16" s="13"/>
      <c r="R16" s="14"/>
    </row>
    <row r="17" spans="1:18" ht="49.95" customHeight="1" thickTop="1" thickBot="1" x14ac:dyDescent="0.35">
      <c r="A17" s="231" t="s">
        <v>458</v>
      </c>
      <c r="B17" s="231" t="s">
        <v>994</v>
      </c>
      <c r="C17" s="232">
        <v>0.71180555555555547</v>
      </c>
      <c r="D17" s="231" t="s">
        <v>101</v>
      </c>
      <c r="E17" s="231" t="s">
        <v>139</v>
      </c>
      <c r="F17" s="231" t="s">
        <v>995</v>
      </c>
      <c r="G17" s="299"/>
      <c r="H17" s="41"/>
      <c r="I17" s="42"/>
      <c r="J17" s="42"/>
      <c r="K17" s="42"/>
      <c r="L17" s="42"/>
      <c r="M17" s="42"/>
      <c r="N17" s="42"/>
      <c r="O17" s="43"/>
      <c r="P17" s="42"/>
      <c r="Q17" s="44"/>
      <c r="R17" s="45"/>
    </row>
    <row r="18" spans="1:18" ht="17.399999999999999" customHeight="1" thickBot="1" x14ac:dyDescent="0.35">
      <c r="A18" s="329"/>
      <c r="B18" s="330"/>
      <c r="C18" s="330"/>
      <c r="D18" s="330"/>
      <c r="E18" s="330"/>
      <c r="F18" s="330"/>
      <c r="G18" s="330"/>
      <c r="H18" s="330"/>
      <c r="I18" s="330"/>
      <c r="J18" s="330"/>
      <c r="K18" s="330"/>
      <c r="L18" s="330"/>
      <c r="M18" s="330"/>
      <c r="N18" s="330"/>
      <c r="O18" s="330"/>
      <c r="P18" s="330"/>
      <c r="Q18" s="330"/>
      <c r="R18" s="331"/>
    </row>
    <row r="19" spans="1:18" ht="22.05" customHeight="1" thickTop="1" thickBot="1" x14ac:dyDescent="0.35">
      <c r="A19" s="300" t="s">
        <v>6</v>
      </c>
      <c r="B19" s="295"/>
      <c r="C19" s="295"/>
      <c r="D19" s="295"/>
      <c r="E19" s="295"/>
      <c r="F19" s="296"/>
      <c r="G19" s="31">
        <v>45991</v>
      </c>
      <c r="H19" s="294" t="s">
        <v>7</v>
      </c>
      <c r="I19" s="295"/>
      <c r="J19" s="295"/>
      <c r="K19" s="295"/>
      <c r="L19" s="295"/>
      <c r="M19" s="295"/>
      <c r="N19" s="295"/>
      <c r="O19" s="295"/>
      <c r="P19" s="295"/>
      <c r="Q19" s="295"/>
      <c r="R19" s="296"/>
    </row>
    <row r="20" spans="1:18" ht="24" customHeight="1" x14ac:dyDescent="0.3">
      <c r="A20" s="32" t="s">
        <v>8</v>
      </c>
      <c r="B20" s="32" t="s">
        <v>9</v>
      </c>
      <c r="C20" s="33" t="s">
        <v>10</v>
      </c>
      <c r="D20" s="32" t="s">
        <v>11</v>
      </c>
      <c r="E20" s="32" t="s">
        <v>12</v>
      </c>
      <c r="F20" s="34" t="s">
        <v>13</v>
      </c>
      <c r="G20" s="35" t="s">
        <v>14</v>
      </c>
      <c r="H20" s="32" t="s">
        <v>15</v>
      </c>
      <c r="I20" s="36" t="s">
        <v>16</v>
      </c>
      <c r="J20" s="37" t="s">
        <v>17</v>
      </c>
      <c r="K20" s="38" t="s">
        <v>18</v>
      </c>
      <c r="L20" s="37" t="s">
        <v>19</v>
      </c>
      <c r="M20" s="37" t="s">
        <v>20</v>
      </c>
      <c r="N20" s="37" t="s">
        <v>21</v>
      </c>
      <c r="O20" s="32" t="s">
        <v>22</v>
      </c>
      <c r="P20" s="33" t="s">
        <v>23</v>
      </c>
      <c r="Q20" s="37" t="s">
        <v>24</v>
      </c>
      <c r="R20" s="32" t="s">
        <v>25</v>
      </c>
    </row>
    <row r="21" spans="1:18" ht="49.95" customHeight="1" x14ac:dyDescent="0.45">
      <c r="A21" s="246" t="s">
        <v>458</v>
      </c>
      <c r="B21" s="246" t="s">
        <v>994</v>
      </c>
      <c r="C21" s="247">
        <v>3.8194444444444441E-2</v>
      </c>
      <c r="D21" s="246" t="s">
        <v>101</v>
      </c>
      <c r="E21" s="246" t="s">
        <v>83</v>
      </c>
      <c r="F21" s="246" t="s">
        <v>996</v>
      </c>
      <c r="G21" s="297"/>
      <c r="H21" s="41"/>
      <c r="I21" s="42"/>
      <c r="J21" s="42"/>
      <c r="K21" s="42"/>
      <c r="L21" s="42"/>
      <c r="M21" s="42"/>
      <c r="N21" s="42"/>
      <c r="O21" s="43"/>
      <c r="P21" s="42"/>
      <c r="Q21" s="44"/>
      <c r="R21" s="45"/>
    </row>
  </sheetData>
  <mergeCells count="22">
    <mergeCell ref="A18:R18"/>
    <mergeCell ref="A2:F2"/>
    <mergeCell ref="A3:R3"/>
    <mergeCell ref="A14:F14"/>
    <mergeCell ref="G21"/>
    <mergeCell ref="A8:F8"/>
    <mergeCell ref="G2:J2"/>
    <mergeCell ref="A4:F4"/>
    <mergeCell ref="A19:F19"/>
    <mergeCell ref="A13:R13"/>
    <mergeCell ref="K2:R2"/>
    <mergeCell ref="H19:R19"/>
    <mergeCell ref="G16:G17"/>
    <mergeCell ref="G6"/>
    <mergeCell ref="G10:G12"/>
    <mergeCell ref="H14:R14"/>
    <mergeCell ref="H8:R8"/>
    <mergeCell ref="A7:R7"/>
    <mergeCell ref="H1:L1"/>
    <mergeCell ref="A1:E1"/>
    <mergeCell ref="H4:R4"/>
    <mergeCell ref="N1:R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6"/>
  <sheetViews>
    <sheetView workbookViewId="0"/>
  </sheetViews>
  <sheetFormatPr defaultRowHeight="15.6" outlineLevelCol="1" x14ac:dyDescent="0.3"/>
  <cols>
    <col min="1" max="1" width="8.6640625" style="316" bestFit="1" customWidth="1"/>
    <col min="2" max="2" width="10.44140625" style="316" bestFit="1" customWidth="1"/>
    <col min="3" max="3" width="6.77734375" style="316" bestFit="1" customWidth="1"/>
    <col min="4" max="4" width="5.5546875" style="316" bestFit="1" customWidth="1"/>
    <col min="5" max="5" width="7.77734375" style="316" bestFit="1" customWidth="1"/>
    <col min="6" max="6" width="4.21875" style="316" bestFit="1" customWidth="1"/>
    <col min="7" max="7" width="8.44140625" style="316" bestFit="1" customWidth="1"/>
    <col min="8" max="10" width="7" style="316" bestFit="1" customWidth="1"/>
    <col min="11" max="11" width="10.5546875" style="316" bestFit="1" customWidth="1"/>
    <col min="12" max="12" width="9"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207</v>
      </c>
      <c r="B2" s="318">
        <v>45985</v>
      </c>
      <c r="C2" s="319" t="s">
        <v>987</v>
      </c>
      <c r="D2" s="320" t="s">
        <v>997</v>
      </c>
      <c r="E2" s="319" t="s">
        <v>986</v>
      </c>
      <c r="F2" s="319" t="s">
        <v>189</v>
      </c>
      <c r="G2" s="321">
        <v>0</v>
      </c>
      <c r="H2" s="322">
        <v>180</v>
      </c>
      <c r="I2" s="322">
        <v>0</v>
      </c>
      <c r="J2" s="322">
        <v>0</v>
      </c>
      <c r="K2" s="319" t="s">
        <v>190</v>
      </c>
      <c r="L2" s="323" t="s">
        <v>988</v>
      </c>
      <c r="M2" s="322">
        <v>0</v>
      </c>
      <c r="N2" s="322">
        <v>0</v>
      </c>
      <c r="O2" s="322">
        <v>0</v>
      </c>
      <c r="P2" s="319" t="s">
        <v>81</v>
      </c>
      <c r="Q2" s="315"/>
      <c r="R2" s="315"/>
      <c r="S2" s="315"/>
      <c r="T2" s="315"/>
      <c r="U2" s="315"/>
      <c r="V2" s="315"/>
      <c r="W2" s="315"/>
      <c r="X2" s="315"/>
      <c r="Y2" s="315"/>
      <c r="Z2" s="315"/>
      <c r="AA2" s="315"/>
      <c r="AB2" s="315"/>
      <c r="AC2" s="315"/>
      <c r="AD2" s="315"/>
      <c r="AE2" s="315"/>
      <c r="AF2" s="315"/>
      <c r="AG2" s="315"/>
      <c r="AH2" s="315"/>
      <c r="AI2" s="315"/>
      <c r="AJ2" s="315"/>
    </row>
    <row r="3" spans="1:36" x14ac:dyDescent="0.3">
      <c r="A3" s="317" t="s">
        <v>213</v>
      </c>
      <c r="B3" s="318">
        <v>45986</v>
      </c>
      <c r="C3" s="319" t="s">
        <v>989</v>
      </c>
      <c r="D3" s="320" t="s">
        <v>998</v>
      </c>
      <c r="E3" s="319" t="s">
        <v>986</v>
      </c>
      <c r="F3" s="319" t="s">
        <v>189</v>
      </c>
      <c r="G3" s="321">
        <v>0</v>
      </c>
      <c r="H3" s="322">
        <v>180</v>
      </c>
      <c r="I3" s="322">
        <v>0</v>
      </c>
      <c r="J3" s="322">
        <v>0</v>
      </c>
      <c r="K3" s="319" t="s">
        <v>190</v>
      </c>
      <c r="L3" s="323" t="s">
        <v>988</v>
      </c>
      <c r="M3" s="322">
        <v>0</v>
      </c>
      <c r="N3" s="322">
        <v>0</v>
      </c>
      <c r="O3" s="322">
        <v>0</v>
      </c>
      <c r="P3" s="319" t="s">
        <v>81</v>
      </c>
      <c r="Q3" s="315"/>
      <c r="R3" s="315"/>
      <c r="S3" s="315"/>
      <c r="T3" s="315"/>
      <c r="U3" s="315"/>
      <c r="V3" s="315"/>
      <c r="W3" s="315"/>
      <c r="X3" s="315"/>
      <c r="Y3" s="315"/>
      <c r="Z3" s="315"/>
      <c r="AA3" s="315"/>
      <c r="AB3" s="315"/>
      <c r="AC3" s="315"/>
      <c r="AD3" s="315"/>
      <c r="AE3" s="315"/>
      <c r="AF3" s="315"/>
      <c r="AG3" s="315"/>
      <c r="AH3" s="315"/>
      <c r="AI3" s="315"/>
      <c r="AJ3" s="315"/>
    </row>
    <row r="4" spans="1:36" x14ac:dyDescent="0.3">
      <c r="A4" s="317" t="s">
        <v>213</v>
      </c>
      <c r="B4" s="318">
        <v>45986</v>
      </c>
      <c r="C4" s="319" t="s">
        <v>990</v>
      </c>
      <c r="D4" s="320" t="s">
        <v>999</v>
      </c>
      <c r="E4" s="319" t="s">
        <v>986</v>
      </c>
      <c r="F4" s="319" t="s">
        <v>189</v>
      </c>
      <c r="G4" s="321">
        <v>0</v>
      </c>
      <c r="H4" s="322">
        <v>180</v>
      </c>
      <c r="I4" s="322">
        <v>0</v>
      </c>
      <c r="J4" s="322">
        <v>0</v>
      </c>
      <c r="K4" s="319" t="s">
        <v>190</v>
      </c>
      <c r="L4" s="323" t="s">
        <v>988</v>
      </c>
      <c r="M4" s="322">
        <v>0</v>
      </c>
      <c r="N4" s="322">
        <v>0</v>
      </c>
      <c r="O4" s="322">
        <v>0</v>
      </c>
      <c r="P4" s="319" t="s">
        <v>81</v>
      </c>
      <c r="Q4" s="315"/>
      <c r="R4" s="315"/>
      <c r="S4" s="315"/>
      <c r="T4" s="315"/>
      <c r="U4" s="315"/>
      <c r="V4" s="315"/>
      <c r="W4" s="315"/>
      <c r="X4" s="315"/>
      <c r="Y4" s="315"/>
      <c r="Z4" s="315"/>
      <c r="AA4" s="315"/>
      <c r="AB4" s="315"/>
      <c r="AC4" s="315"/>
      <c r="AD4" s="315"/>
      <c r="AE4" s="315"/>
      <c r="AF4" s="315"/>
      <c r="AG4" s="315"/>
      <c r="AH4" s="315"/>
      <c r="AI4" s="315"/>
      <c r="AJ4" s="315"/>
    </row>
    <row r="5" spans="1:36" x14ac:dyDescent="0.3">
      <c r="A5" s="317" t="s">
        <v>213</v>
      </c>
      <c r="B5" s="318">
        <v>45986</v>
      </c>
      <c r="C5" s="319" t="s">
        <v>991</v>
      </c>
      <c r="D5" s="320" t="s">
        <v>670</v>
      </c>
      <c r="E5" s="319" t="s">
        <v>986</v>
      </c>
      <c r="F5" s="319" t="s">
        <v>189</v>
      </c>
      <c r="G5" s="321">
        <v>0</v>
      </c>
      <c r="H5" s="322">
        <v>180</v>
      </c>
      <c r="I5" s="322">
        <v>0</v>
      </c>
      <c r="J5" s="322">
        <v>0</v>
      </c>
      <c r="K5" s="319" t="s">
        <v>190</v>
      </c>
      <c r="L5" s="323" t="s">
        <v>988</v>
      </c>
      <c r="M5" s="322">
        <v>0</v>
      </c>
      <c r="N5" s="322">
        <v>0</v>
      </c>
      <c r="O5" s="322">
        <v>0</v>
      </c>
      <c r="P5" s="319" t="s">
        <v>81</v>
      </c>
      <c r="Q5" s="315"/>
      <c r="R5" s="315"/>
      <c r="S5" s="315"/>
      <c r="T5" s="315"/>
      <c r="U5" s="315"/>
      <c r="V5" s="315"/>
      <c r="W5" s="315"/>
      <c r="X5" s="315"/>
      <c r="Y5" s="315"/>
      <c r="Z5" s="315"/>
      <c r="AA5" s="315"/>
      <c r="AB5" s="315"/>
      <c r="AC5" s="315"/>
      <c r="AD5" s="315"/>
      <c r="AE5" s="315"/>
      <c r="AF5" s="315"/>
      <c r="AG5" s="315"/>
      <c r="AH5" s="315"/>
      <c r="AI5" s="315"/>
      <c r="AJ5" s="315"/>
    </row>
    <row r="6" spans="1:36" ht="21" x14ac:dyDescent="0.3">
      <c r="A6" s="324" t="s">
        <v>1638</v>
      </c>
      <c r="B6" s="325"/>
      <c r="C6" s="324">
        <f>SUBTOTAL(103,LXR_JED_LF_LEGACY[Flt])</f>
        <v>4</v>
      </c>
      <c r="D6" s="324"/>
      <c r="E6" s="324">
        <f>SUBTOTAL(103,LXR_JED_LF_LEGACY[Brd-Off])</f>
        <v>4</v>
      </c>
      <c r="F6" s="324"/>
      <c r="G6" s="326">
        <f>SUBTOTAL(101,LXR_JED_LF_LEGACY[LF%])</f>
        <v>0</v>
      </c>
      <c r="H6" s="327">
        <f>SUBTOTAL(109,LXR_JED_LF_LEGACY[CAP])</f>
        <v>720</v>
      </c>
      <c r="I6" s="327">
        <f>SUBTOTAL(109,LXR_JED_LF_LEGACY[BKG(Y)])</f>
        <v>0</v>
      </c>
      <c r="J6" s="327">
        <f>SUBTOTAL(109,LXR_JED_LF_LEGACY[GRP(Y)])</f>
        <v>0</v>
      </c>
      <c r="K6" s="324"/>
      <c r="L6" s="325"/>
      <c r="M6" s="327">
        <f>SUBTOTAL(109,LXR_JED_LF_LEGACY[TO-DAY])</f>
        <v>0</v>
      </c>
      <c r="N6" s="327">
        <f>SUBTOTAL(109,LXR_JED_LF_LEGACY[Y-DAY])</f>
        <v>0</v>
      </c>
      <c r="O6" s="327">
        <f>SUBTOTAL(109,LXR_JED_LF_LEGACY[WEEKLY])</f>
        <v>0</v>
      </c>
      <c r="P6" s="328"/>
      <c r="Q6" s="327">
        <f>SUBTOTAL(109,LXR_JED_LF_LEGACY[Y])</f>
        <v>0</v>
      </c>
      <c r="R6" s="327">
        <f>SUBTOTAL(109,LXR_JED_LF_LEGACY[B])</f>
        <v>0</v>
      </c>
      <c r="S6" s="327">
        <f>SUBTOTAL(109,LXR_JED_LF_LEGACY[M])</f>
        <v>0</v>
      </c>
      <c r="T6" s="327">
        <f>SUBTOTAL(109,LXR_JED_LF_LEGACY[H])</f>
        <v>0</v>
      </c>
      <c r="U6" s="327">
        <f>SUBTOTAL(109,LXR_JED_LF_LEGACY[Q])</f>
        <v>0</v>
      </c>
      <c r="V6" s="327">
        <f>SUBTOTAL(109,LXR_JED_LF_LEGACY[K])</f>
        <v>0</v>
      </c>
      <c r="W6" s="327">
        <f>SUBTOTAL(109,LXR_JED_LF_LEGACY[V])</f>
        <v>0</v>
      </c>
      <c r="X6" s="327">
        <f>SUBTOTAL(109,LXR_JED_LF_LEGACY[L])</f>
        <v>0</v>
      </c>
      <c r="Y6" s="327">
        <f>SUBTOTAL(109,LXR_JED_LF_LEGACY[G])</f>
        <v>0</v>
      </c>
      <c r="Z6" s="327">
        <f>SUBTOTAL(109,LXR_JED_LF_LEGACY[S])</f>
        <v>0</v>
      </c>
      <c r="AA6" s="327">
        <f>SUBTOTAL(109,LXR_JED_LF_LEGACY[W])</f>
        <v>0</v>
      </c>
      <c r="AB6" s="327">
        <f>SUBTOTAL(109,LXR_JED_LF_LEGACY[T])</f>
        <v>0</v>
      </c>
      <c r="AC6" s="327">
        <f>SUBTOTAL(109,LXR_JED_LF_LEGACY[X])</f>
        <v>0</v>
      </c>
      <c r="AD6" s="327">
        <f>SUBTOTAL(109,LXR_JED_LF_LEGACY[U])</f>
        <v>0</v>
      </c>
      <c r="AE6" s="327">
        <f>SUBTOTAL(109,LXR_JED_LF_LEGACY[O])</f>
        <v>0</v>
      </c>
      <c r="AF6" s="327">
        <f>SUBTOTAL(109,LXR_JED_LF_LEGACY[I])</f>
        <v>0</v>
      </c>
      <c r="AG6" s="327">
        <f>SUBTOTAL(109,LXR_JED_LF_LEGACY[E])</f>
        <v>0</v>
      </c>
      <c r="AH6" s="327">
        <f>SUBTOTAL(109,LXR_JED_LF_LEGACY[A])</f>
        <v>0</v>
      </c>
      <c r="AI6" s="327">
        <f>SUBTOTAL(109,LXR_JED_LF_LEGACY[P])</f>
        <v>0</v>
      </c>
      <c r="AJ6" s="327">
        <f>SUBTOTAL(103,LXR_JED_LF_LEGACY[N])</f>
        <v>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8"/>
  <sheetViews>
    <sheetView workbookViewId="0"/>
  </sheetViews>
  <sheetFormatPr defaultRowHeight="14.4" x14ac:dyDescent="0.3"/>
  <cols>
    <col min="1" max="1" width="11.21875" bestFit="1" customWidth="1"/>
    <col min="2" max="2" width="15.5546875" bestFit="1" customWidth="1"/>
    <col min="3" max="3" width="19.21875" bestFit="1" customWidth="1"/>
    <col min="4" max="4" width="12.77734375" bestFit="1" customWidth="1"/>
    <col min="5" max="5" width="18.33203125" bestFit="1" customWidth="1"/>
    <col min="6" max="6" width="28.5546875" bestFit="1" customWidth="1"/>
    <col min="7" max="7" width="20" bestFit="1" customWidth="1"/>
    <col min="8" max="8" width="23.6640625" bestFit="1" customWidth="1"/>
    <col min="9" max="9" width="140"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8" t="s">
        <v>1000</v>
      </c>
      <c r="B2" s="109" t="s">
        <v>77</v>
      </c>
      <c r="C2" s="110" t="s">
        <v>1001</v>
      </c>
      <c r="D2" s="109" t="s">
        <v>986</v>
      </c>
      <c r="E2" s="109" t="s">
        <v>997</v>
      </c>
      <c r="F2" s="109"/>
      <c r="G2" s="109"/>
      <c r="H2" s="111" t="s">
        <v>80</v>
      </c>
    </row>
    <row r="3" spans="1:8" ht="19.8" customHeight="1" x14ac:dyDescent="0.3">
      <c r="A3" s="120">
        <v>45986</v>
      </c>
      <c r="B3" s="121" t="s">
        <v>77</v>
      </c>
      <c r="C3" s="122" t="s">
        <v>1002</v>
      </c>
      <c r="D3" s="121" t="s">
        <v>986</v>
      </c>
      <c r="E3" s="123">
        <v>1.2638888888888891</v>
      </c>
      <c r="F3" s="121"/>
      <c r="G3" s="121"/>
      <c r="H3" s="125" t="s">
        <v>80</v>
      </c>
    </row>
    <row r="4" spans="1:8" ht="19.8" customHeight="1" x14ac:dyDescent="0.3">
      <c r="A4" s="120">
        <v>45986</v>
      </c>
      <c r="B4" s="121" t="s">
        <v>77</v>
      </c>
      <c r="C4" s="122" t="s">
        <v>1003</v>
      </c>
      <c r="D4" s="121" t="s">
        <v>986</v>
      </c>
      <c r="E4" s="123">
        <v>1.6388888888888891</v>
      </c>
      <c r="F4" s="121"/>
      <c r="G4" s="121"/>
      <c r="H4" s="125" t="s">
        <v>80</v>
      </c>
    </row>
    <row r="5" spans="1:8" ht="19.8" customHeight="1" x14ac:dyDescent="0.3">
      <c r="A5" s="126">
        <v>45986</v>
      </c>
      <c r="B5" s="109" t="s">
        <v>77</v>
      </c>
      <c r="C5" s="110" t="s">
        <v>1004</v>
      </c>
      <c r="D5" s="109" t="s">
        <v>986</v>
      </c>
      <c r="E5" s="127">
        <v>1.791666666666667</v>
      </c>
      <c r="F5" s="109"/>
      <c r="G5" s="109"/>
      <c r="H5" s="111" t="s">
        <v>80</v>
      </c>
    </row>
    <row r="6" spans="1:8" ht="19.8" customHeight="1" x14ac:dyDescent="0.3">
      <c r="A6" s="112">
        <v>45987</v>
      </c>
      <c r="B6" s="104" t="s">
        <v>385</v>
      </c>
      <c r="C6" s="105" t="s">
        <v>992</v>
      </c>
      <c r="D6" s="104" t="s">
        <v>986</v>
      </c>
      <c r="E6" s="113">
        <v>1.7777777777777779</v>
      </c>
      <c r="F6" s="104" t="s">
        <v>101</v>
      </c>
      <c r="G6" s="106">
        <v>2</v>
      </c>
      <c r="H6" s="107" t="s">
        <v>993</v>
      </c>
    </row>
    <row r="7" spans="1:8" ht="19.8" customHeight="1" x14ac:dyDescent="0.3">
      <c r="A7" s="114">
        <v>45987</v>
      </c>
      <c r="B7" s="115" t="s">
        <v>458</v>
      </c>
      <c r="C7" s="116" t="s">
        <v>994</v>
      </c>
      <c r="D7" s="115" t="s">
        <v>986</v>
      </c>
      <c r="E7" s="117">
        <v>1.711805555555556</v>
      </c>
      <c r="F7" s="115" t="s">
        <v>101</v>
      </c>
      <c r="G7" s="118">
        <v>3</v>
      </c>
      <c r="H7" s="119" t="s">
        <v>995</v>
      </c>
    </row>
    <row r="8" spans="1:8" ht="19.8" customHeight="1" x14ac:dyDescent="0.3">
      <c r="A8" s="114">
        <v>45991</v>
      </c>
      <c r="B8" s="115" t="s">
        <v>458</v>
      </c>
      <c r="C8" s="116" t="s">
        <v>994</v>
      </c>
      <c r="D8" s="115" t="s">
        <v>986</v>
      </c>
      <c r="E8" s="117">
        <v>1.038194444444444</v>
      </c>
      <c r="F8" s="115" t="s">
        <v>101</v>
      </c>
      <c r="G8" s="118">
        <v>4</v>
      </c>
      <c r="H8" s="119" t="s">
        <v>996</v>
      </c>
    </row>
  </sheetData>
  <pageMargins left="0.75" right="0.75" top="1" bottom="1" header="0.5" footer="0.5"/>
  <legacy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303" t="s">
        <v>0</v>
      </c>
      <c r="B1" s="302"/>
      <c r="C1" s="302"/>
      <c r="D1" s="302"/>
      <c r="E1" s="302"/>
      <c r="F1" s="1" t="s">
        <v>1005</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45980.583604736552</v>
      </c>
      <c r="H2" s="302"/>
      <c r="I2" s="302"/>
      <c r="J2" s="302"/>
      <c r="K2" s="311">
        <v>45980.583604736938</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1.6" customHeight="1" x14ac:dyDescent="0.5">
      <c r="A4" s="248"/>
      <c r="B4" s="248"/>
      <c r="C4" s="248"/>
      <c r="D4" s="248"/>
      <c r="E4" s="248"/>
      <c r="F4" s="248"/>
      <c r="G4" s="248"/>
      <c r="H4" s="249"/>
      <c r="I4" s="250"/>
      <c r="J4" s="250"/>
      <c r="K4" s="250"/>
      <c r="L4" s="250"/>
      <c r="M4" s="250"/>
      <c r="N4" s="250"/>
      <c r="O4" s="250"/>
      <c r="P4" s="250"/>
      <c r="Q4" s="250"/>
      <c r="R4" s="250"/>
      <c r="CA4" s="3"/>
      <c r="CB4" s="3"/>
      <c r="CC4" s="3"/>
      <c r="CD4" s="3"/>
      <c r="CE4" s="3"/>
      <c r="CF4" s="3"/>
      <c r="CG4" s="3"/>
      <c r="CH4" s="3"/>
      <c r="CI4" s="3"/>
      <c r="CJ4" s="3"/>
      <c r="CK4" s="3"/>
      <c r="CL4" s="3"/>
      <c r="CM4" s="3"/>
      <c r="CN4" s="3"/>
    </row>
    <row r="5" spans="1:92" ht="18.600000000000001" customHeight="1" x14ac:dyDescent="0.3">
      <c r="A5" s="250"/>
      <c r="B5" s="250"/>
      <c r="C5" s="250"/>
      <c r="D5" s="250"/>
      <c r="E5" s="250"/>
      <c r="F5" s="250"/>
      <c r="G5" s="250"/>
      <c r="H5" s="250"/>
      <c r="I5" s="250"/>
      <c r="J5" s="250"/>
      <c r="K5" s="250"/>
      <c r="L5" s="250"/>
      <c r="M5" s="250"/>
      <c r="N5" s="250"/>
      <c r="O5" s="250"/>
      <c r="P5" s="250"/>
      <c r="Q5" s="250"/>
      <c r="R5" s="250"/>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1"/>
  <sheetViews>
    <sheetView workbookViewId="0"/>
  </sheetViews>
  <sheetFormatPr defaultRowHeight="15.6" outlineLevelCol="1" x14ac:dyDescent="0.3"/>
  <cols>
    <col min="1" max="1" width="4.109375" style="316" bestFit="1" customWidth="1"/>
    <col min="2" max="2" width="5.33203125" style="316" bestFit="1" customWidth="1"/>
    <col min="3" max="3" width="3" style="316" bestFit="1" customWidth="1"/>
    <col min="4" max="4" width="4.21875" style="316" bestFit="1" customWidth="1"/>
    <col min="5" max="5" width="7.109375" style="316" bestFit="1" customWidth="1"/>
    <col min="6" max="6" width="4" style="316" bestFit="1" customWidth="1"/>
    <col min="7" max="8" width="4.21875" style="316" bestFit="1" customWidth="1"/>
    <col min="9" max="10" width="6.44140625" style="316" bestFit="1" customWidth="1"/>
    <col min="11" max="11" width="6.109375" style="316" bestFit="1" customWidth="1"/>
    <col min="12" max="12" width="8.77734375" style="316" bestFit="1" customWidth="1"/>
    <col min="13" max="13" width="7.33203125" style="316" bestFit="1" customWidth="1" outlineLevel="1"/>
    <col min="14" max="14" width="6" style="316" bestFit="1" customWidth="1" outlineLevel="1"/>
    <col min="15" max="15" width="7.6640625" style="316" bestFit="1" customWidth="1" outlineLevel="1"/>
    <col min="16" max="16" width="13.21875" style="316" bestFit="1" customWidth="1"/>
    <col min="17" max="17" width="2" style="316" bestFit="1" customWidth="1"/>
    <col min="18" max="18" width="2.109375" style="316" bestFit="1" customWidth="1"/>
    <col min="19" max="19" width="2.6640625" style="316" bestFit="1" customWidth="1"/>
    <col min="20" max="20" width="2.21875" style="316" bestFit="1" customWidth="1"/>
    <col min="21" max="21" width="2.33203125" style="316" bestFit="1" customWidth="1"/>
    <col min="22" max="22" width="2" style="316" bestFit="1" customWidth="1"/>
    <col min="23" max="23" width="2.109375" style="316" bestFit="1" customWidth="1"/>
    <col min="24" max="24" width="1.88671875" style="316" bestFit="1" customWidth="1"/>
    <col min="25" max="25" width="2.21875" style="316" bestFit="1" customWidth="1"/>
    <col min="26" max="26" width="1.88671875" style="316" bestFit="1" customWidth="1"/>
    <col min="27" max="27" width="2.77734375" style="316" bestFit="1" customWidth="1"/>
    <col min="28" max="29" width="2" style="316" bestFit="1" customWidth="1"/>
    <col min="30" max="31" width="2.33203125" style="316" bestFit="1" customWidth="1"/>
    <col min="32" max="32" width="1.5546875" style="316" bestFit="1" customWidth="1"/>
    <col min="33" max="33" width="2" style="316" bestFit="1" customWidth="1"/>
    <col min="34" max="34" width="2.109375" style="316" bestFit="1" customWidth="1"/>
    <col min="35" max="35" width="2" style="316" bestFit="1" customWidth="1"/>
    <col min="36" max="36" width="2.3320312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51" t="s">
        <v>233</v>
      </c>
      <c r="B1" s="251" t="s">
        <v>8</v>
      </c>
      <c r="C1" s="251" t="s">
        <v>9</v>
      </c>
      <c r="D1" s="251" t="s">
        <v>234</v>
      </c>
      <c r="E1" s="251" t="s">
        <v>10</v>
      </c>
      <c r="F1" s="251" t="s">
        <v>11</v>
      </c>
      <c r="G1" s="251" t="s">
        <v>12</v>
      </c>
      <c r="H1" s="251" t="s">
        <v>13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N27"/>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303" t="s">
        <v>0</v>
      </c>
      <c r="B1" s="302"/>
      <c r="C1" s="302"/>
      <c r="D1" s="302"/>
      <c r="E1" s="302"/>
      <c r="F1" s="1" t="s">
        <v>1006</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45980.583606257467</v>
      </c>
      <c r="H2" s="302"/>
      <c r="I2" s="302"/>
      <c r="J2" s="302"/>
      <c r="K2" s="311">
        <v>45980.583606257882</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60</v>
      </c>
      <c r="B6" s="8" t="s">
        <v>1007</v>
      </c>
      <c r="C6" s="9">
        <v>0.69097222222222221</v>
      </c>
      <c r="D6" s="8" t="s">
        <v>62</v>
      </c>
      <c r="E6" s="8" t="s">
        <v>63</v>
      </c>
      <c r="F6" s="8" t="s">
        <v>149</v>
      </c>
      <c r="G6" s="304"/>
      <c r="H6" s="10"/>
      <c r="I6" s="11"/>
      <c r="J6" s="11"/>
      <c r="K6" s="11"/>
      <c r="L6" s="11"/>
      <c r="M6" s="11"/>
      <c r="N6" s="11"/>
      <c r="O6" s="12"/>
      <c r="P6" s="11"/>
      <c r="Q6" s="13"/>
      <c r="R6" s="14"/>
    </row>
    <row r="7" spans="1:92" ht="49.95" customHeight="1" thickTop="1" thickBot="1" x14ac:dyDescent="0.35">
      <c r="A7" s="64" t="s">
        <v>60</v>
      </c>
      <c r="B7" s="64" t="s">
        <v>1007</v>
      </c>
      <c r="C7" s="65">
        <v>0.69097222222222221</v>
      </c>
      <c r="D7" s="64" t="s">
        <v>65</v>
      </c>
      <c r="E7" s="64" t="s">
        <v>66</v>
      </c>
      <c r="F7" s="64" t="s">
        <v>1008</v>
      </c>
      <c r="G7" s="299"/>
      <c r="H7" s="41"/>
      <c r="I7" s="42"/>
      <c r="J7" s="42"/>
      <c r="K7" s="42"/>
      <c r="L7" s="42"/>
      <c r="M7" s="42"/>
      <c r="N7" s="42"/>
      <c r="O7" s="43"/>
      <c r="P7" s="42"/>
      <c r="Q7" s="44"/>
      <c r="R7" s="45"/>
    </row>
    <row r="8" spans="1:92" ht="17.399999999999999" customHeight="1" thickBot="1" x14ac:dyDescent="0.35">
      <c r="A8" s="329"/>
      <c r="B8" s="330"/>
      <c r="C8" s="330"/>
      <c r="D8" s="330"/>
      <c r="E8" s="330"/>
      <c r="F8" s="330"/>
      <c r="G8" s="330"/>
      <c r="H8" s="330"/>
      <c r="I8" s="330"/>
      <c r="J8" s="330"/>
      <c r="K8" s="330"/>
      <c r="L8" s="330"/>
      <c r="M8" s="330"/>
      <c r="N8" s="330"/>
      <c r="O8" s="330"/>
      <c r="P8" s="330"/>
      <c r="Q8" s="330"/>
      <c r="R8" s="331"/>
    </row>
    <row r="9" spans="1:92" ht="22.05" customHeight="1" thickTop="1" thickBot="1" x14ac:dyDescent="0.35">
      <c r="A9" s="300" t="s">
        <v>6</v>
      </c>
      <c r="B9" s="295"/>
      <c r="C9" s="295"/>
      <c r="D9" s="295"/>
      <c r="E9" s="295"/>
      <c r="F9" s="296"/>
      <c r="G9" s="31">
        <v>45983</v>
      </c>
      <c r="H9" s="294" t="s">
        <v>7</v>
      </c>
      <c r="I9" s="295"/>
      <c r="J9" s="295"/>
      <c r="K9" s="295"/>
      <c r="L9" s="295"/>
      <c r="M9" s="295"/>
      <c r="N9" s="295"/>
      <c r="O9" s="295"/>
      <c r="P9" s="295"/>
      <c r="Q9" s="295"/>
      <c r="R9" s="296"/>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thickTop="1" thickBot="1" x14ac:dyDescent="0.35">
      <c r="A11" s="246" t="s">
        <v>60</v>
      </c>
      <c r="B11" s="246" t="s">
        <v>1007</v>
      </c>
      <c r="C11" s="247">
        <v>0.69097222222222221</v>
      </c>
      <c r="D11" s="246" t="s">
        <v>65</v>
      </c>
      <c r="E11" s="246" t="s">
        <v>139</v>
      </c>
      <c r="F11" s="246" t="s">
        <v>1009</v>
      </c>
      <c r="G11" s="304"/>
      <c r="H11" s="41"/>
      <c r="I11" s="42"/>
      <c r="J11" s="42"/>
      <c r="K11" s="42"/>
      <c r="L11" s="42"/>
      <c r="M11" s="42"/>
      <c r="N11" s="42"/>
      <c r="O11" s="43"/>
      <c r="P11" s="42"/>
      <c r="Q11" s="44"/>
      <c r="R11" s="45"/>
    </row>
    <row r="12" spans="1:92" ht="17.399999999999999" customHeight="1" thickBot="1" x14ac:dyDescent="0.35">
      <c r="A12" s="329"/>
      <c r="B12" s="330"/>
      <c r="C12" s="330"/>
      <c r="D12" s="330"/>
      <c r="E12" s="330"/>
      <c r="F12" s="330"/>
      <c r="G12" s="330"/>
      <c r="H12" s="330"/>
      <c r="I12" s="330"/>
      <c r="J12" s="330"/>
      <c r="K12" s="330"/>
      <c r="L12" s="330"/>
      <c r="M12" s="330"/>
      <c r="N12" s="330"/>
      <c r="O12" s="330"/>
      <c r="P12" s="330"/>
      <c r="Q12" s="330"/>
      <c r="R12" s="331"/>
    </row>
    <row r="13" spans="1:92" ht="22.05" customHeight="1" thickTop="1" thickBot="1" x14ac:dyDescent="0.35">
      <c r="A13" s="300" t="s">
        <v>6</v>
      </c>
      <c r="B13" s="295"/>
      <c r="C13" s="295"/>
      <c r="D13" s="295"/>
      <c r="E13" s="295"/>
      <c r="F13" s="296"/>
      <c r="G13" s="31">
        <v>45984</v>
      </c>
      <c r="H13" s="294" t="s">
        <v>7</v>
      </c>
      <c r="I13" s="295"/>
      <c r="J13" s="295"/>
      <c r="K13" s="295"/>
      <c r="L13" s="295"/>
      <c r="M13" s="295"/>
      <c r="N13" s="295"/>
      <c r="O13" s="295"/>
      <c r="P13" s="295"/>
      <c r="Q13" s="295"/>
      <c r="R13" s="296"/>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thickTop="1" thickBot="1" x14ac:dyDescent="0.5">
      <c r="A15" s="246" t="s">
        <v>60</v>
      </c>
      <c r="B15" s="246" t="s">
        <v>1007</v>
      </c>
      <c r="C15" s="247">
        <v>0.69097222222222221</v>
      </c>
      <c r="D15" s="246" t="s">
        <v>65</v>
      </c>
      <c r="E15" s="246" t="s">
        <v>83</v>
      </c>
      <c r="F15" s="246" t="s">
        <v>1009</v>
      </c>
      <c r="G15" s="297"/>
      <c r="H15" s="41"/>
      <c r="I15" s="42"/>
      <c r="J15" s="42"/>
      <c r="K15" s="42"/>
      <c r="L15" s="42"/>
      <c r="M15" s="42"/>
      <c r="N15" s="42"/>
      <c r="O15" s="43"/>
      <c r="P15" s="42"/>
      <c r="Q15" s="44"/>
      <c r="R15" s="45"/>
    </row>
    <row r="16" spans="1:92" ht="17.399999999999999" customHeight="1" thickBot="1" x14ac:dyDescent="0.35">
      <c r="A16" s="329"/>
      <c r="B16" s="330"/>
      <c r="C16" s="330"/>
      <c r="D16" s="330"/>
      <c r="E16" s="330"/>
      <c r="F16" s="330"/>
      <c r="G16" s="330"/>
      <c r="H16" s="330"/>
      <c r="I16" s="330"/>
      <c r="J16" s="330"/>
      <c r="K16" s="330"/>
      <c r="L16" s="330"/>
      <c r="M16" s="330"/>
      <c r="N16" s="330"/>
      <c r="O16" s="330"/>
      <c r="P16" s="330"/>
      <c r="Q16" s="330"/>
      <c r="R16" s="331"/>
    </row>
    <row r="17" spans="1:18" ht="22.05" customHeight="1" thickTop="1" thickBot="1" x14ac:dyDescent="0.35">
      <c r="A17" s="300" t="s">
        <v>6</v>
      </c>
      <c r="B17" s="295"/>
      <c r="C17" s="295"/>
      <c r="D17" s="295"/>
      <c r="E17" s="295"/>
      <c r="F17" s="296"/>
      <c r="G17" s="31">
        <v>45986</v>
      </c>
      <c r="H17" s="294" t="s">
        <v>7</v>
      </c>
      <c r="I17" s="295"/>
      <c r="J17" s="295"/>
      <c r="K17" s="295"/>
      <c r="L17" s="295"/>
      <c r="M17" s="295"/>
      <c r="N17" s="295"/>
      <c r="O17" s="295"/>
      <c r="P17" s="295"/>
      <c r="Q17" s="295"/>
      <c r="R17" s="296"/>
    </row>
    <row r="18" spans="1:18" ht="24" customHeight="1" x14ac:dyDescent="0.3">
      <c r="A18" s="32" t="s">
        <v>8</v>
      </c>
      <c r="B18" s="32" t="s">
        <v>9</v>
      </c>
      <c r="C18" s="33" t="s">
        <v>10</v>
      </c>
      <c r="D18" s="32" t="s">
        <v>11</v>
      </c>
      <c r="E18" s="32" t="s">
        <v>12</v>
      </c>
      <c r="F18" s="34" t="s">
        <v>13</v>
      </c>
      <c r="G18" s="35" t="s">
        <v>14</v>
      </c>
      <c r="H18" s="32" t="s">
        <v>15</v>
      </c>
      <c r="I18" s="36" t="s">
        <v>16</v>
      </c>
      <c r="J18" s="37" t="s">
        <v>17</v>
      </c>
      <c r="K18" s="38" t="s">
        <v>18</v>
      </c>
      <c r="L18" s="37" t="s">
        <v>19</v>
      </c>
      <c r="M18" s="37" t="s">
        <v>20</v>
      </c>
      <c r="N18" s="37" t="s">
        <v>21</v>
      </c>
      <c r="O18" s="32" t="s">
        <v>22</v>
      </c>
      <c r="P18" s="33" t="s">
        <v>23</v>
      </c>
      <c r="Q18" s="37" t="s">
        <v>24</v>
      </c>
      <c r="R18" s="32" t="s">
        <v>25</v>
      </c>
    </row>
    <row r="19" spans="1:18" ht="49.95" customHeight="1" thickTop="1" thickBot="1" x14ac:dyDescent="0.5">
      <c r="A19" s="246" t="s">
        <v>60</v>
      </c>
      <c r="B19" s="246" t="s">
        <v>1007</v>
      </c>
      <c r="C19" s="247">
        <v>0.69097222222222221</v>
      </c>
      <c r="D19" s="246" t="s">
        <v>65</v>
      </c>
      <c r="E19" s="246" t="s">
        <v>139</v>
      </c>
      <c r="F19" s="246" t="s">
        <v>1009</v>
      </c>
      <c r="G19" s="297"/>
      <c r="H19" s="41"/>
      <c r="I19" s="42"/>
      <c r="J19" s="42"/>
      <c r="K19" s="42"/>
      <c r="L19" s="42"/>
      <c r="M19" s="42"/>
      <c r="N19" s="42"/>
      <c r="O19" s="43"/>
      <c r="P19" s="42"/>
      <c r="Q19" s="44"/>
      <c r="R19" s="45"/>
    </row>
    <row r="20" spans="1:18" ht="17.399999999999999" customHeight="1" thickBot="1" x14ac:dyDescent="0.35">
      <c r="A20" s="329"/>
      <c r="B20" s="330"/>
      <c r="C20" s="330"/>
      <c r="D20" s="330"/>
      <c r="E20" s="330"/>
      <c r="F20" s="330"/>
      <c r="G20" s="330"/>
      <c r="H20" s="330"/>
      <c r="I20" s="330"/>
      <c r="J20" s="330"/>
      <c r="K20" s="330"/>
      <c r="L20" s="330"/>
      <c r="M20" s="330"/>
      <c r="N20" s="330"/>
      <c r="O20" s="330"/>
      <c r="P20" s="330"/>
      <c r="Q20" s="330"/>
      <c r="R20" s="331"/>
    </row>
    <row r="21" spans="1:18" ht="22.05" customHeight="1" thickTop="1" thickBot="1" x14ac:dyDescent="0.35">
      <c r="A21" s="300" t="s">
        <v>6</v>
      </c>
      <c r="B21" s="295"/>
      <c r="C21" s="295"/>
      <c r="D21" s="295"/>
      <c r="E21" s="295"/>
      <c r="F21" s="296"/>
      <c r="G21" s="31">
        <v>45987</v>
      </c>
      <c r="H21" s="294" t="s">
        <v>7</v>
      </c>
      <c r="I21" s="295"/>
      <c r="J21" s="295"/>
      <c r="K21" s="295"/>
      <c r="L21" s="295"/>
      <c r="M21" s="295"/>
      <c r="N21" s="295"/>
      <c r="O21" s="295"/>
      <c r="P21" s="295"/>
      <c r="Q21" s="295"/>
      <c r="R21" s="296"/>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49.95" customHeight="1" thickTop="1" thickBot="1" x14ac:dyDescent="0.5">
      <c r="A23" s="246" t="s">
        <v>60</v>
      </c>
      <c r="B23" s="246" t="s">
        <v>1007</v>
      </c>
      <c r="C23" s="247">
        <v>0.69097222222222221</v>
      </c>
      <c r="D23" s="246" t="s">
        <v>65</v>
      </c>
      <c r="E23" s="246" t="s">
        <v>111</v>
      </c>
      <c r="F23" s="246" t="s">
        <v>1010</v>
      </c>
      <c r="G23" s="297"/>
      <c r="H23" s="41"/>
      <c r="I23" s="42"/>
      <c r="J23" s="42"/>
      <c r="K23" s="42"/>
      <c r="L23" s="42"/>
      <c r="M23" s="42"/>
      <c r="N23" s="42"/>
      <c r="O23" s="43"/>
      <c r="P23" s="42"/>
      <c r="Q23" s="44"/>
      <c r="R23" s="45"/>
    </row>
    <row r="24" spans="1:18" ht="17.399999999999999" customHeight="1" thickBot="1" x14ac:dyDescent="0.35">
      <c r="A24" s="329"/>
      <c r="B24" s="330"/>
      <c r="C24" s="330"/>
      <c r="D24" s="330"/>
      <c r="E24" s="330"/>
      <c r="F24" s="330"/>
      <c r="G24" s="330"/>
      <c r="H24" s="330"/>
      <c r="I24" s="330"/>
      <c r="J24" s="330"/>
      <c r="K24" s="330"/>
      <c r="L24" s="330"/>
      <c r="M24" s="330"/>
      <c r="N24" s="330"/>
      <c r="O24" s="330"/>
      <c r="P24" s="330"/>
      <c r="Q24" s="330"/>
      <c r="R24" s="331"/>
    </row>
    <row r="25" spans="1:18" ht="22.05" customHeight="1" thickTop="1" thickBot="1" x14ac:dyDescent="0.35">
      <c r="A25" s="300" t="s">
        <v>6</v>
      </c>
      <c r="B25" s="295"/>
      <c r="C25" s="295"/>
      <c r="D25" s="295"/>
      <c r="E25" s="295"/>
      <c r="F25" s="296"/>
      <c r="G25" s="31">
        <v>45991</v>
      </c>
      <c r="H25" s="294" t="s">
        <v>7</v>
      </c>
      <c r="I25" s="295"/>
      <c r="J25" s="295"/>
      <c r="K25" s="295"/>
      <c r="L25" s="295"/>
      <c r="M25" s="295"/>
      <c r="N25" s="295"/>
      <c r="O25" s="295"/>
      <c r="P25" s="295"/>
      <c r="Q25" s="295"/>
      <c r="R25" s="296"/>
    </row>
    <row r="26" spans="1:18" ht="24" customHeight="1" x14ac:dyDescent="0.3">
      <c r="A26" s="32" t="s">
        <v>8</v>
      </c>
      <c r="B26" s="32" t="s">
        <v>9</v>
      </c>
      <c r="C26" s="33" t="s">
        <v>10</v>
      </c>
      <c r="D26" s="32" t="s">
        <v>11</v>
      </c>
      <c r="E26" s="32" t="s">
        <v>12</v>
      </c>
      <c r="F26" s="34" t="s">
        <v>13</v>
      </c>
      <c r="G26" s="35" t="s">
        <v>14</v>
      </c>
      <c r="H26" s="32" t="s">
        <v>15</v>
      </c>
      <c r="I26" s="36" t="s">
        <v>16</v>
      </c>
      <c r="J26" s="37" t="s">
        <v>17</v>
      </c>
      <c r="K26" s="38" t="s">
        <v>18</v>
      </c>
      <c r="L26" s="37" t="s">
        <v>19</v>
      </c>
      <c r="M26" s="37" t="s">
        <v>20</v>
      </c>
      <c r="N26" s="37" t="s">
        <v>21</v>
      </c>
      <c r="O26" s="32" t="s">
        <v>22</v>
      </c>
      <c r="P26" s="33" t="s">
        <v>23</v>
      </c>
      <c r="Q26" s="37" t="s">
        <v>24</v>
      </c>
      <c r="R26" s="32" t="s">
        <v>25</v>
      </c>
    </row>
    <row r="27" spans="1:18" ht="49.95" customHeight="1" x14ac:dyDescent="0.45">
      <c r="A27" s="246" t="s">
        <v>60</v>
      </c>
      <c r="B27" s="246" t="s">
        <v>1007</v>
      </c>
      <c r="C27" s="247">
        <v>0.69097222222222221</v>
      </c>
      <c r="D27" s="246" t="s">
        <v>65</v>
      </c>
      <c r="E27" s="246" t="s">
        <v>118</v>
      </c>
      <c r="F27" s="246" t="s">
        <v>1010</v>
      </c>
      <c r="G27" s="297"/>
      <c r="H27" s="41"/>
      <c r="I27" s="42"/>
      <c r="J27" s="42"/>
      <c r="K27" s="42"/>
      <c r="L27" s="42"/>
      <c r="M27" s="42"/>
      <c r="N27" s="42"/>
      <c r="O27" s="43"/>
      <c r="P27" s="42"/>
      <c r="Q27" s="44"/>
      <c r="R27" s="45"/>
    </row>
  </sheetData>
  <mergeCells count="30">
    <mergeCell ref="G27"/>
    <mergeCell ref="N1:R1"/>
    <mergeCell ref="A20:R20"/>
    <mergeCell ref="G23"/>
    <mergeCell ref="H17:R17"/>
    <mergeCell ref="A13:F13"/>
    <mergeCell ref="A9:F9"/>
    <mergeCell ref="K2:R2"/>
    <mergeCell ref="G19"/>
    <mergeCell ref="H13:R13"/>
    <mergeCell ref="A24:R24"/>
    <mergeCell ref="G15"/>
    <mergeCell ref="A25:F25"/>
    <mergeCell ref="H25:R25"/>
    <mergeCell ref="H21:R21"/>
    <mergeCell ref="G6:G7"/>
    <mergeCell ref="G2:J2"/>
    <mergeCell ref="G11"/>
    <mergeCell ref="A8:R8"/>
    <mergeCell ref="A16:R16"/>
    <mergeCell ref="H1:L1"/>
    <mergeCell ref="A1:E1"/>
    <mergeCell ref="A21:F21"/>
    <mergeCell ref="H4:R4"/>
    <mergeCell ref="A12:R12"/>
    <mergeCell ref="A2:F2"/>
    <mergeCell ref="A3:R3"/>
    <mergeCell ref="H9:R9"/>
    <mergeCell ref="A4:F4"/>
    <mergeCell ref="A17:F17"/>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1"/>
  <sheetViews>
    <sheetView workbookViewId="0"/>
  </sheetViews>
  <sheetFormatPr defaultRowHeight="15.6" outlineLevelCol="1" x14ac:dyDescent="0.3"/>
  <cols>
    <col min="1" max="1" width="4.109375" style="316" bestFit="1" customWidth="1"/>
    <col min="2" max="2" width="5.33203125" style="316" bestFit="1" customWidth="1"/>
    <col min="3" max="3" width="3" style="316" bestFit="1" customWidth="1"/>
    <col min="4" max="4" width="4.21875" style="316" bestFit="1" customWidth="1"/>
    <col min="5" max="5" width="7.109375" style="316" bestFit="1" customWidth="1"/>
    <col min="6" max="6" width="4" style="316" bestFit="1" customWidth="1"/>
    <col min="7" max="8" width="4.21875" style="316" bestFit="1" customWidth="1"/>
    <col min="9" max="10" width="6.44140625" style="316" bestFit="1" customWidth="1"/>
    <col min="11" max="11" width="6.109375" style="316" bestFit="1" customWidth="1"/>
    <col min="12" max="12" width="8.77734375" style="316" bestFit="1" customWidth="1"/>
    <col min="13" max="13" width="7.33203125" style="316" bestFit="1" customWidth="1" outlineLevel="1"/>
    <col min="14" max="14" width="6" style="316" bestFit="1" customWidth="1" outlineLevel="1"/>
    <col min="15" max="15" width="7.6640625" style="316" bestFit="1" customWidth="1" outlineLevel="1"/>
    <col min="16" max="16" width="13.21875" style="316" bestFit="1" customWidth="1"/>
    <col min="17" max="17" width="2" style="316" bestFit="1" customWidth="1"/>
    <col min="18" max="18" width="2.109375" style="316" bestFit="1" customWidth="1"/>
    <col min="19" max="19" width="2.6640625" style="316" bestFit="1" customWidth="1"/>
    <col min="20" max="20" width="2.21875" style="316" bestFit="1" customWidth="1"/>
    <col min="21" max="21" width="2.33203125" style="316" bestFit="1" customWidth="1"/>
    <col min="22" max="22" width="2" style="316" bestFit="1" customWidth="1"/>
    <col min="23" max="23" width="2.109375" style="316" bestFit="1" customWidth="1"/>
    <col min="24" max="24" width="1.88671875" style="316" bestFit="1" customWidth="1"/>
    <col min="25" max="25" width="2.21875" style="316" bestFit="1" customWidth="1"/>
    <col min="26" max="26" width="1.88671875" style="316" bestFit="1" customWidth="1"/>
    <col min="27" max="27" width="2.77734375" style="316" bestFit="1" customWidth="1"/>
    <col min="28" max="29" width="2" style="316" bestFit="1" customWidth="1"/>
    <col min="30" max="31" width="2.33203125" style="316" bestFit="1" customWidth="1"/>
    <col min="32" max="32" width="1.5546875" style="316" bestFit="1" customWidth="1"/>
    <col min="33" max="33" width="2" style="316" bestFit="1" customWidth="1"/>
    <col min="34" max="34" width="2.109375" style="316" bestFit="1" customWidth="1"/>
    <col min="35" max="35" width="2" style="316" bestFit="1" customWidth="1"/>
    <col min="36" max="36" width="2.3320312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8"/>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60</v>
      </c>
      <c r="C2" s="105" t="s">
        <v>1007</v>
      </c>
      <c r="D2" s="104" t="s">
        <v>1006</v>
      </c>
      <c r="E2" s="104" t="s">
        <v>955</v>
      </c>
      <c r="F2" s="104" t="s">
        <v>62</v>
      </c>
      <c r="G2" s="106">
        <v>9</v>
      </c>
      <c r="H2" s="107" t="s">
        <v>149</v>
      </c>
    </row>
    <row r="3" spans="1:8" ht="19.8" customHeight="1" x14ac:dyDescent="0.3">
      <c r="A3" s="190" t="s">
        <v>235</v>
      </c>
      <c r="B3" s="115" t="s">
        <v>60</v>
      </c>
      <c r="C3" s="116" t="s">
        <v>1007</v>
      </c>
      <c r="D3" s="115" t="s">
        <v>1006</v>
      </c>
      <c r="E3" s="115" t="s">
        <v>955</v>
      </c>
      <c r="F3" s="115" t="s">
        <v>65</v>
      </c>
      <c r="G3" s="118">
        <v>9</v>
      </c>
      <c r="H3" s="119" t="s">
        <v>1008</v>
      </c>
    </row>
    <row r="4" spans="1:8" ht="19.8" customHeight="1" x14ac:dyDescent="0.3">
      <c r="A4" s="190" t="s">
        <v>334</v>
      </c>
      <c r="B4" s="115" t="s">
        <v>60</v>
      </c>
      <c r="C4" s="116" t="s">
        <v>1007</v>
      </c>
      <c r="D4" s="115" t="s">
        <v>1006</v>
      </c>
      <c r="E4" s="115" t="s">
        <v>955</v>
      </c>
      <c r="F4" s="115" t="s">
        <v>65</v>
      </c>
      <c r="G4" s="118">
        <v>3</v>
      </c>
      <c r="H4" s="119" t="s">
        <v>1009</v>
      </c>
    </row>
    <row r="5" spans="1:8" ht="19.8" customHeight="1" x14ac:dyDescent="0.3">
      <c r="A5" s="190" t="s">
        <v>1011</v>
      </c>
      <c r="B5" s="115" t="s">
        <v>60</v>
      </c>
      <c r="C5" s="116" t="s">
        <v>1007</v>
      </c>
      <c r="D5" s="115" t="s">
        <v>1006</v>
      </c>
      <c r="E5" s="115" t="s">
        <v>955</v>
      </c>
      <c r="F5" s="115" t="s">
        <v>65</v>
      </c>
      <c r="G5" s="118">
        <v>4</v>
      </c>
      <c r="H5" s="119" t="s">
        <v>1009</v>
      </c>
    </row>
    <row r="6" spans="1:8" ht="19.8" customHeight="1" x14ac:dyDescent="0.3">
      <c r="A6" s="190" t="s">
        <v>1012</v>
      </c>
      <c r="B6" s="115" t="s">
        <v>60</v>
      </c>
      <c r="C6" s="116" t="s">
        <v>1007</v>
      </c>
      <c r="D6" s="115" t="s">
        <v>1006</v>
      </c>
      <c r="E6" s="115" t="s">
        <v>955</v>
      </c>
      <c r="F6" s="115" t="s">
        <v>65</v>
      </c>
      <c r="G6" s="118">
        <v>3</v>
      </c>
      <c r="H6" s="119" t="s">
        <v>1009</v>
      </c>
    </row>
    <row r="7" spans="1:8" ht="19.8" customHeight="1" x14ac:dyDescent="0.3">
      <c r="A7" s="190" t="s">
        <v>1013</v>
      </c>
      <c r="B7" s="115" t="s">
        <v>60</v>
      </c>
      <c r="C7" s="116" t="s">
        <v>1007</v>
      </c>
      <c r="D7" s="115" t="s">
        <v>1006</v>
      </c>
      <c r="E7" s="115" t="s">
        <v>955</v>
      </c>
      <c r="F7" s="115" t="s">
        <v>65</v>
      </c>
      <c r="G7" s="118">
        <v>2</v>
      </c>
      <c r="H7" s="119" t="s">
        <v>1010</v>
      </c>
    </row>
    <row r="8" spans="1:8" ht="19.8" customHeight="1" x14ac:dyDescent="0.3">
      <c r="A8" s="190" t="s">
        <v>1014</v>
      </c>
      <c r="B8" s="115" t="s">
        <v>60</v>
      </c>
      <c r="C8" s="116" t="s">
        <v>1007</v>
      </c>
      <c r="D8" s="115" t="s">
        <v>1006</v>
      </c>
      <c r="E8" s="115" t="s">
        <v>955</v>
      </c>
      <c r="F8" s="115" t="s">
        <v>65</v>
      </c>
      <c r="G8" s="118">
        <v>7</v>
      </c>
      <c r="H8" s="119" t="s">
        <v>1010</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303" t="s">
        <v>0</v>
      </c>
      <c r="B1" s="302"/>
      <c r="C1" s="302"/>
      <c r="D1" s="302"/>
      <c r="E1" s="302"/>
      <c r="F1" s="1" t="s">
        <v>1015</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45980.583613243813</v>
      </c>
      <c r="H2" s="302"/>
      <c r="I2" s="302"/>
      <c r="J2" s="302"/>
      <c r="K2" s="311">
        <v>45980.583613245057</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1.6" customHeight="1" x14ac:dyDescent="0.5">
      <c r="A4" s="248"/>
      <c r="B4" s="248"/>
      <c r="C4" s="248"/>
      <c r="D4" s="248"/>
      <c r="E4" s="248"/>
      <c r="F4" s="248"/>
      <c r="G4" s="248"/>
      <c r="H4" s="249"/>
      <c r="I4" s="250"/>
      <c r="J4" s="250"/>
      <c r="K4" s="250"/>
      <c r="L4" s="250"/>
      <c r="M4" s="250"/>
      <c r="N4" s="250"/>
      <c r="O4" s="250"/>
      <c r="P4" s="250"/>
      <c r="Q4" s="250"/>
      <c r="R4" s="250"/>
      <c r="CA4" s="3"/>
      <c r="CB4" s="3"/>
      <c r="CC4" s="3"/>
      <c r="CD4" s="3"/>
      <c r="CE4" s="3"/>
      <c r="CF4" s="3"/>
      <c r="CG4" s="3"/>
      <c r="CH4" s="3"/>
      <c r="CI4" s="3"/>
      <c r="CJ4" s="3"/>
      <c r="CK4" s="3"/>
      <c r="CL4" s="3"/>
      <c r="CM4" s="3"/>
      <c r="CN4" s="3"/>
    </row>
    <row r="5" spans="1:92" ht="18.600000000000001" customHeight="1" x14ac:dyDescent="0.3">
      <c r="A5" s="250"/>
      <c r="B5" s="250"/>
      <c r="C5" s="250"/>
      <c r="D5" s="250"/>
      <c r="E5" s="250"/>
      <c r="F5" s="250"/>
      <c r="G5" s="250"/>
      <c r="H5" s="250"/>
      <c r="I5" s="250"/>
      <c r="J5" s="250"/>
      <c r="K5" s="250"/>
      <c r="L5" s="250"/>
      <c r="M5" s="250"/>
      <c r="N5" s="250"/>
      <c r="O5" s="250"/>
      <c r="P5" s="250"/>
      <c r="Q5" s="250"/>
      <c r="R5" s="250"/>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1"/>
  <sheetViews>
    <sheetView workbookViewId="0"/>
  </sheetViews>
  <sheetFormatPr defaultRowHeight="15.6" outlineLevelCol="1" x14ac:dyDescent="0.3"/>
  <cols>
    <col min="1" max="1" width="4.109375" style="316" bestFit="1" customWidth="1"/>
    <col min="2" max="2" width="5.33203125" style="316" bestFit="1" customWidth="1"/>
    <col min="3" max="3" width="3" style="316" bestFit="1" customWidth="1"/>
    <col min="4" max="4" width="4.21875" style="316" bestFit="1" customWidth="1"/>
    <col min="5" max="5" width="7.109375" style="316" bestFit="1" customWidth="1"/>
    <col min="6" max="6" width="4" style="316" bestFit="1" customWidth="1"/>
    <col min="7" max="8" width="4.21875" style="316" bestFit="1" customWidth="1"/>
    <col min="9" max="10" width="6.44140625" style="316" bestFit="1" customWidth="1"/>
    <col min="11" max="11" width="6.109375" style="316" bestFit="1" customWidth="1"/>
    <col min="12" max="12" width="8.77734375" style="316" bestFit="1" customWidth="1"/>
    <col min="13" max="13" width="7.33203125" style="316" bestFit="1" customWidth="1" outlineLevel="1"/>
    <col min="14" max="14" width="6" style="316" bestFit="1" customWidth="1" outlineLevel="1"/>
    <col min="15" max="15" width="7.6640625" style="316" bestFit="1" customWidth="1" outlineLevel="1"/>
    <col min="16" max="16" width="13.21875" style="316" bestFit="1" customWidth="1"/>
    <col min="17" max="17" width="2" style="316" bestFit="1" customWidth="1"/>
    <col min="18" max="18" width="2.109375" style="316" bestFit="1" customWidth="1"/>
    <col min="19" max="19" width="2.6640625" style="316" bestFit="1" customWidth="1"/>
    <col min="20" max="20" width="2.21875" style="316" bestFit="1" customWidth="1"/>
    <col min="21" max="21" width="2.33203125" style="316" bestFit="1" customWidth="1"/>
    <col min="22" max="22" width="2" style="316" bestFit="1" customWidth="1"/>
    <col min="23" max="23" width="2.109375" style="316" bestFit="1" customWidth="1"/>
    <col min="24" max="24" width="1.88671875" style="316" bestFit="1" customWidth="1"/>
    <col min="25" max="25" width="2.21875" style="316" bestFit="1" customWidth="1"/>
    <col min="26" max="26" width="1.88671875" style="316" bestFit="1" customWidth="1"/>
    <col min="27" max="27" width="2.77734375" style="316" bestFit="1" customWidth="1"/>
    <col min="28" max="29" width="2" style="316" bestFit="1" customWidth="1"/>
    <col min="30" max="31" width="2.33203125" style="316" bestFit="1" customWidth="1"/>
    <col min="32" max="32" width="1.5546875" style="316" bestFit="1" customWidth="1"/>
    <col min="33" max="33" width="2" style="316" bestFit="1" customWidth="1"/>
    <col min="34" max="34" width="2.109375" style="316" bestFit="1" customWidth="1"/>
    <col min="35" max="35" width="2" style="316" bestFit="1" customWidth="1"/>
    <col min="36" max="36" width="2.3320312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51" t="s">
        <v>233</v>
      </c>
      <c r="B1" s="251" t="s">
        <v>8</v>
      </c>
      <c r="C1" s="251" t="s">
        <v>9</v>
      </c>
      <c r="D1" s="251" t="s">
        <v>234</v>
      </c>
      <c r="E1" s="251" t="s">
        <v>10</v>
      </c>
      <c r="F1" s="251" t="s">
        <v>11</v>
      </c>
      <c r="G1" s="251" t="s">
        <v>12</v>
      </c>
      <c r="H1" s="251"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619"/>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80.44140625" bestFit="1" customWidth="1"/>
  </cols>
  <sheetData>
    <row r="1" spans="1:92" ht="28.8" customHeight="1" x14ac:dyDescent="0.3">
      <c r="A1" s="303" t="s">
        <v>0</v>
      </c>
      <c r="B1" s="302"/>
      <c r="C1" s="302"/>
      <c r="D1" s="302"/>
      <c r="E1" s="302"/>
      <c r="F1" s="1" t="s">
        <v>1016</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45980.583615004951</v>
      </c>
      <c r="H2" s="302"/>
      <c r="I2" s="302"/>
      <c r="J2" s="302"/>
      <c r="K2" s="311">
        <v>45980.583615005336</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1017</v>
      </c>
      <c r="C6" s="9">
        <v>0.95833333333333337</v>
      </c>
      <c r="D6" s="8" t="s">
        <v>351</v>
      </c>
      <c r="E6" s="8" t="s">
        <v>51</v>
      </c>
      <c r="F6" s="8" t="s">
        <v>1018</v>
      </c>
      <c r="G6" s="297"/>
      <c r="H6" s="10"/>
      <c r="I6" s="11"/>
      <c r="J6" s="11"/>
      <c r="K6" s="11"/>
      <c r="L6" s="11"/>
      <c r="M6" s="11"/>
      <c r="N6" s="11"/>
      <c r="O6" s="12"/>
      <c r="P6" s="11"/>
      <c r="Q6" s="13"/>
      <c r="R6" s="14"/>
    </row>
    <row r="7" spans="1:92" ht="15" customHeight="1" x14ac:dyDescent="0.3">
      <c r="A7" s="15" t="s">
        <v>26</v>
      </c>
      <c r="B7" s="15" t="s">
        <v>1017</v>
      </c>
      <c r="C7" s="16">
        <v>0.95833333333333337</v>
      </c>
      <c r="D7" s="15" t="s">
        <v>28</v>
      </c>
      <c r="E7" s="15" t="s">
        <v>133</v>
      </c>
      <c r="F7" s="15" t="s">
        <v>1018</v>
      </c>
      <c r="G7" s="298"/>
      <c r="H7" s="10"/>
      <c r="I7" s="11"/>
      <c r="J7" s="11"/>
      <c r="K7" s="11"/>
      <c r="L7" s="11"/>
      <c r="M7" s="11"/>
      <c r="N7" s="11"/>
      <c r="O7" s="12"/>
      <c r="P7" s="11"/>
      <c r="Q7" s="13"/>
      <c r="R7" s="14"/>
    </row>
    <row r="8" spans="1:92" ht="15" customHeight="1" x14ac:dyDescent="0.3">
      <c r="A8" s="15" t="s">
        <v>26</v>
      </c>
      <c r="B8" s="15" t="s">
        <v>1017</v>
      </c>
      <c r="C8" s="16">
        <v>0.95833333333333337</v>
      </c>
      <c r="D8" s="15" t="s">
        <v>31</v>
      </c>
      <c r="E8" s="15" t="s">
        <v>133</v>
      </c>
      <c r="F8" s="15" t="s">
        <v>1019</v>
      </c>
      <c r="G8" s="298"/>
      <c r="H8" s="10"/>
      <c r="I8" s="11"/>
      <c r="J8" s="11"/>
      <c r="K8" s="11"/>
      <c r="L8" s="11"/>
      <c r="M8" s="11"/>
      <c r="N8" s="11"/>
      <c r="O8" s="12"/>
      <c r="P8" s="11"/>
      <c r="Q8" s="13"/>
      <c r="R8" s="14"/>
    </row>
    <row r="9" spans="1:92" ht="15" customHeight="1" x14ac:dyDescent="0.3">
      <c r="A9" s="15" t="s">
        <v>26</v>
      </c>
      <c r="B9" s="15" t="s">
        <v>1017</v>
      </c>
      <c r="C9" s="16">
        <v>0.95833333333333337</v>
      </c>
      <c r="D9" s="15" t="s">
        <v>34</v>
      </c>
      <c r="E9" s="15" t="s">
        <v>133</v>
      </c>
      <c r="F9" s="15" t="s">
        <v>1020</v>
      </c>
      <c r="G9" s="298"/>
      <c r="H9" s="10"/>
      <c r="I9" s="11"/>
      <c r="J9" s="11"/>
      <c r="K9" s="11"/>
      <c r="L9" s="11"/>
      <c r="M9" s="11"/>
      <c r="N9" s="11"/>
      <c r="O9" s="12"/>
      <c r="P9" s="11"/>
      <c r="Q9" s="13"/>
      <c r="R9" s="14"/>
    </row>
    <row r="10" spans="1:92" ht="15" customHeight="1" x14ac:dyDescent="0.3">
      <c r="A10" s="17" t="s">
        <v>26</v>
      </c>
      <c r="B10" s="17" t="s">
        <v>1021</v>
      </c>
      <c r="C10" s="18">
        <v>0.63194444444444442</v>
      </c>
      <c r="D10" s="17" t="s">
        <v>351</v>
      </c>
      <c r="E10" s="17" t="s">
        <v>58</v>
      </c>
      <c r="F10" s="17" t="s">
        <v>1022</v>
      </c>
      <c r="G10" s="298"/>
      <c r="H10" s="10"/>
      <c r="I10" s="11"/>
      <c r="J10" s="11"/>
      <c r="K10" s="11"/>
      <c r="L10" s="11"/>
      <c r="M10" s="11"/>
      <c r="N10" s="11"/>
      <c r="O10" s="12"/>
      <c r="P10" s="11"/>
      <c r="Q10" s="13"/>
      <c r="R10" s="14"/>
    </row>
    <row r="11" spans="1:92" ht="15" customHeight="1" x14ac:dyDescent="0.3">
      <c r="A11" s="15" t="s">
        <v>26</v>
      </c>
      <c r="B11" s="15" t="s">
        <v>1021</v>
      </c>
      <c r="C11" s="16">
        <v>0.63194444444444442</v>
      </c>
      <c r="D11" s="15" t="s">
        <v>28</v>
      </c>
      <c r="E11" s="15" t="s">
        <v>119</v>
      </c>
      <c r="F11" s="15" t="s">
        <v>1022</v>
      </c>
      <c r="G11" s="298"/>
      <c r="H11" s="10"/>
      <c r="I11" s="11"/>
      <c r="J11" s="11"/>
      <c r="K11" s="11"/>
      <c r="L11" s="11"/>
      <c r="M11" s="11"/>
      <c r="N11" s="11"/>
      <c r="O11" s="12"/>
      <c r="P11" s="11"/>
      <c r="Q11" s="13"/>
      <c r="R11" s="14"/>
    </row>
    <row r="12" spans="1:92" ht="15" customHeight="1" x14ac:dyDescent="0.3">
      <c r="A12" s="15" t="s">
        <v>26</v>
      </c>
      <c r="B12" s="15" t="s">
        <v>1021</v>
      </c>
      <c r="C12" s="16">
        <v>0.63194444444444442</v>
      </c>
      <c r="D12" s="15" t="s">
        <v>31</v>
      </c>
      <c r="E12" s="15" t="s">
        <v>119</v>
      </c>
      <c r="F12" s="15" t="s">
        <v>923</v>
      </c>
      <c r="G12" s="298"/>
      <c r="H12" s="10"/>
      <c r="I12" s="11"/>
      <c r="J12" s="11"/>
      <c r="K12" s="11"/>
      <c r="L12" s="11"/>
      <c r="M12" s="11"/>
      <c r="N12" s="11"/>
      <c r="O12" s="12"/>
      <c r="P12" s="11"/>
      <c r="Q12" s="13"/>
      <c r="R12" s="14"/>
    </row>
    <row r="13" spans="1:92" ht="15" customHeight="1" x14ac:dyDescent="0.3">
      <c r="A13" s="15" t="s">
        <v>26</v>
      </c>
      <c r="B13" s="15" t="s">
        <v>1021</v>
      </c>
      <c r="C13" s="16">
        <v>0.63194444444444442</v>
      </c>
      <c r="D13" s="15" t="s">
        <v>34</v>
      </c>
      <c r="E13" s="15" t="s">
        <v>119</v>
      </c>
      <c r="F13" s="15" t="s">
        <v>30</v>
      </c>
      <c r="G13" s="298"/>
      <c r="H13" s="10"/>
      <c r="I13" s="11"/>
      <c r="J13" s="11"/>
      <c r="K13" s="11"/>
      <c r="L13" s="11"/>
      <c r="M13" s="11"/>
      <c r="N13" s="11"/>
      <c r="O13" s="12"/>
      <c r="P13" s="11"/>
      <c r="Q13" s="13"/>
      <c r="R13" s="14"/>
    </row>
    <row r="14" spans="1:92" ht="15" customHeight="1" x14ac:dyDescent="0.3">
      <c r="A14" s="17" t="s">
        <v>26</v>
      </c>
      <c r="B14" s="17" t="s">
        <v>1023</v>
      </c>
      <c r="C14" s="18">
        <v>0.55902777777777779</v>
      </c>
      <c r="D14" s="17" t="s">
        <v>351</v>
      </c>
      <c r="E14" s="17" t="s">
        <v>121</v>
      </c>
      <c r="F14" s="17" t="s">
        <v>1022</v>
      </c>
      <c r="G14" s="298"/>
      <c r="H14" s="10"/>
      <c r="I14" s="11"/>
      <c r="J14" s="11"/>
      <c r="K14" s="11"/>
      <c r="L14" s="11"/>
      <c r="M14" s="11"/>
      <c r="N14" s="11"/>
      <c r="O14" s="12"/>
      <c r="P14" s="11"/>
      <c r="Q14" s="13"/>
      <c r="R14" s="14"/>
    </row>
    <row r="15" spans="1:92" ht="15" customHeight="1" x14ac:dyDescent="0.3">
      <c r="A15" s="15" t="s">
        <v>26</v>
      </c>
      <c r="B15" s="15" t="s">
        <v>1023</v>
      </c>
      <c r="C15" s="16">
        <v>0.55902777777777779</v>
      </c>
      <c r="D15" s="15" t="s">
        <v>28</v>
      </c>
      <c r="E15" s="15" t="s">
        <v>32</v>
      </c>
      <c r="F15" s="15" t="s">
        <v>1022</v>
      </c>
      <c r="G15" s="298"/>
      <c r="H15" s="10"/>
      <c r="I15" s="11"/>
      <c r="J15" s="11"/>
      <c r="K15" s="11"/>
      <c r="L15" s="11"/>
      <c r="M15" s="11"/>
      <c r="N15" s="11"/>
      <c r="O15" s="12"/>
      <c r="P15" s="11"/>
      <c r="Q15" s="13"/>
      <c r="R15" s="14"/>
    </row>
    <row r="16" spans="1:92" ht="15" customHeight="1" x14ac:dyDescent="0.3">
      <c r="A16" s="15" t="s">
        <v>26</v>
      </c>
      <c r="B16" s="15" t="s">
        <v>1023</v>
      </c>
      <c r="C16" s="16">
        <v>0.55902777777777779</v>
      </c>
      <c r="D16" s="15" t="s">
        <v>31</v>
      </c>
      <c r="E16" s="15" t="s">
        <v>32</v>
      </c>
      <c r="F16" s="15" t="s">
        <v>923</v>
      </c>
      <c r="G16" s="298"/>
      <c r="H16" s="10"/>
      <c r="I16" s="11"/>
      <c r="J16" s="11"/>
      <c r="K16" s="11"/>
      <c r="L16" s="11"/>
      <c r="M16" s="11"/>
      <c r="N16" s="11"/>
      <c r="O16" s="12"/>
      <c r="P16" s="11"/>
      <c r="Q16" s="13"/>
      <c r="R16" s="14"/>
    </row>
    <row r="17" spans="1:18" ht="15" customHeight="1" x14ac:dyDescent="0.3">
      <c r="A17" s="15" t="s">
        <v>26</v>
      </c>
      <c r="B17" s="15" t="s">
        <v>1023</v>
      </c>
      <c r="C17" s="16">
        <v>0.55902777777777779</v>
      </c>
      <c r="D17" s="15" t="s">
        <v>34</v>
      </c>
      <c r="E17" s="15" t="s">
        <v>32</v>
      </c>
      <c r="F17" s="15" t="s">
        <v>30</v>
      </c>
      <c r="G17" s="298"/>
      <c r="H17" s="10"/>
      <c r="I17" s="11"/>
      <c r="J17" s="11"/>
      <c r="K17" s="11"/>
      <c r="L17" s="11"/>
      <c r="M17" s="11"/>
      <c r="N17" s="11"/>
      <c r="O17" s="12"/>
      <c r="P17" s="11"/>
      <c r="Q17" s="13"/>
      <c r="R17" s="14"/>
    </row>
    <row r="18" spans="1:18" ht="15" customHeight="1" x14ac:dyDescent="0.3">
      <c r="A18" s="17" t="s">
        <v>26</v>
      </c>
      <c r="B18" s="17" t="s">
        <v>1024</v>
      </c>
      <c r="C18" s="18">
        <v>0.81944444444444453</v>
      </c>
      <c r="D18" s="17" t="s">
        <v>351</v>
      </c>
      <c r="E18" s="17" t="s">
        <v>37</v>
      </c>
      <c r="F18" s="17" t="s">
        <v>1022</v>
      </c>
      <c r="G18" s="298"/>
      <c r="H18" s="10"/>
      <c r="I18" s="11"/>
      <c r="J18" s="11"/>
      <c r="K18" s="11"/>
      <c r="L18" s="11"/>
      <c r="M18" s="11"/>
      <c r="N18" s="11"/>
      <c r="O18" s="12"/>
      <c r="P18" s="11"/>
      <c r="Q18" s="13"/>
      <c r="R18" s="14"/>
    </row>
    <row r="19" spans="1:18" ht="15" customHeight="1" x14ac:dyDescent="0.3">
      <c r="A19" s="15" t="s">
        <v>26</v>
      </c>
      <c r="B19" s="15" t="s">
        <v>1024</v>
      </c>
      <c r="C19" s="16">
        <v>0.81944444444444453</v>
      </c>
      <c r="D19" s="15" t="s">
        <v>28</v>
      </c>
      <c r="E19" s="15" t="s">
        <v>38</v>
      </c>
      <c r="F19" s="15" t="s">
        <v>1022</v>
      </c>
      <c r="G19" s="298"/>
      <c r="H19" s="10"/>
      <c r="I19" s="11"/>
      <c r="J19" s="11"/>
      <c r="K19" s="11"/>
      <c r="L19" s="11"/>
      <c r="M19" s="11"/>
      <c r="N19" s="11"/>
      <c r="O19" s="12"/>
      <c r="P19" s="11"/>
      <c r="Q19" s="13"/>
      <c r="R19" s="14"/>
    </row>
    <row r="20" spans="1:18" ht="15" customHeight="1" x14ac:dyDescent="0.3">
      <c r="A20" s="15" t="s">
        <v>26</v>
      </c>
      <c r="B20" s="15" t="s">
        <v>1024</v>
      </c>
      <c r="C20" s="16">
        <v>0.81944444444444453</v>
      </c>
      <c r="D20" s="15" t="s">
        <v>31</v>
      </c>
      <c r="E20" s="15" t="s">
        <v>38</v>
      </c>
      <c r="F20" s="15" t="s">
        <v>923</v>
      </c>
      <c r="G20" s="298"/>
      <c r="H20" s="10"/>
      <c r="I20" s="11"/>
      <c r="J20" s="11"/>
      <c r="K20" s="11"/>
      <c r="L20" s="11"/>
      <c r="M20" s="11"/>
      <c r="N20" s="11"/>
      <c r="O20" s="12"/>
      <c r="P20" s="11"/>
      <c r="Q20" s="13"/>
      <c r="R20" s="14"/>
    </row>
    <row r="21" spans="1:18" ht="15" customHeight="1" x14ac:dyDescent="0.3">
      <c r="A21" s="15" t="s">
        <v>26</v>
      </c>
      <c r="B21" s="15" t="s">
        <v>1024</v>
      </c>
      <c r="C21" s="16">
        <v>0.81944444444444453</v>
      </c>
      <c r="D21" s="15" t="s">
        <v>34</v>
      </c>
      <c r="E21" s="15" t="s">
        <v>38</v>
      </c>
      <c r="F21" s="15" t="s">
        <v>30</v>
      </c>
      <c r="G21" s="298"/>
      <c r="H21" s="10"/>
      <c r="I21" s="11"/>
      <c r="J21" s="11"/>
      <c r="K21" s="11"/>
      <c r="L21" s="11"/>
      <c r="M21" s="11"/>
      <c r="N21" s="11"/>
      <c r="O21" s="12"/>
      <c r="P21" s="11"/>
      <c r="Q21" s="13"/>
      <c r="R21" s="14"/>
    </row>
    <row r="22" spans="1:18" ht="15" customHeight="1" x14ac:dyDescent="0.3">
      <c r="A22" s="17" t="s">
        <v>26</v>
      </c>
      <c r="B22" s="17" t="s">
        <v>1025</v>
      </c>
      <c r="C22" s="18">
        <v>0.69791666666666663</v>
      </c>
      <c r="D22" s="17" t="s">
        <v>351</v>
      </c>
      <c r="E22" s="17" t="s">
        <v>72</v>
      </c>
      <c r="F22" s="17" t="s">
        <v>1022</v>
      </c>
      <c r="G22" s="298"/>
      <c r="H22" s="10"/>
      <c r="I22" s="11"/>
      <c r="J22" s="11"/>
      <c r="K22" s="11"/>
      <c r="L22" s="11"/>
      <c r="M22" s="11"/>
      <c r="N22" s="11"/>
      <c r="O22" s="12"/>
      <c r="P22" s="11"/>
      <c r="Q22" s="13"/>
      <c r="R22" s="14"/>
    </row>
    <row r="23" spans="1:18" ht="15" customHeight="1" x14ac:dyDescent="0.3">
      <c r="A23" s="15" t="s">
        <v>26</v>
      </c>
      <c r="B23" s="15" t="s">
        <v>1025</v>
      </c>
      <c r="C23" s="16">
        <v>0.69791666666666663</v>
      </c>
      <c r="D23" s="15" t="s">
        <v>28</v>
      </c>
      <c r="E23" s="15" t="s">
        <v>84</v>
      </c>
      <c r="F23" s="15" t="s">
        <v>1022</v>
      </c>
      <c r="G23" s="298"/>
      <c r="H23" s="10"/>
      <c r="I23" s="11"/>
      <c r="J23" s="11"/>
      <c r="K23" s="11"/>
      <c r="L23" s="11"/>
      <c r="M23" s="11"/>
      <c r="N23" s="11"/>
      <c r="O23" s="12"/>
      <c r="P23" s="11"/>
      <c r="Q23" s="13"/>
      <c r="R23" s="14"/>
    </row>
    <row r="24" spans="1:18" ht="15" customHeight="1" x14ac:dyDescent="0.3">
      <c r="A24" s="15" t="s">
        <v>26</v>
      </c>
      <c r="B24" s="15" t="s">
        <v>1025</v>
      </c>
      <c r="C24" s="16">
        <v>0.69791666666666663</v>
      </c>
      <c r="D24" s="15" t="s">
        <v>31</v>
      </c>
      <c r="E24" s="15" t="s">
        <v>84</v>
      </c>
      <c r="F24" s="15" t="s">
        <v>923</v>
      </c>
      <c r="G24" s="298"/>
      <c r="H24" s="10"/>
      <c r="I24" s="11"/>
      <c r="J24" s="11"/>
      <c r="K24" s="11"/>
      <c r="L24" s="11"/>
      <c r="M24" s="11"/>
      <c r="N24" s="11"/>
      <c r="O24" s="12"/>
      <c r="P24" s="11"/>
      <c r="Q24" s="13"/>
      <c r="R24" s="14"/>
    </row>
    <row r="25" spans="1:18" ht="15" customHeight="1" x14ac:dyDescent="0.3">
      <c r="A25" s="15" t="s">
        <v>26</v>
      </c>
      <c r="B25" s="15" t="s">
        <v>1025</v>
      </c>
      <c r="C25" s="16">
        <v>0.69791666666666663</v>
      </c>
      <c r="D25" s="15" t="s">
        <v>34</v>
      </c>
      <c r="E25" s="15" t="s">
        <v>84</v>
      </c>
      <c r="F25" s="15" t="s">
        <v>30</v>
      </c>
      <c r="G25" s="298"/>
      <c r="H25" s="10"/>
      <c r="I25" s="11"/>
      <c r="J25" s="11"/>
      <c r="K25" s="11"/>
      <c r="L25" s="11"/>
      <c r="M25" s="11"/>
      <c r="N25" s="11"/>
      <c r="O25" s="12"/>
      <c r="P25" s="11"/>
      <c r="Q25" s="13"/>
      <c r="R25" s="14"/>
    </row>
    <row r="26" spans="1:18" ht="15" customHeight="1" x14ac:dyDescent="0.3">
      <c r="A26" s="17" t="s">
        <v>26</v>
      </c>
      <c r="B26" s="17" t="s">
        <v>1026</v>
      </c>
      <c r="C26" s="18">
        <v>0.4375</v>
      </c>
      <c r="D26" s="17" t="s">
        <v>351</v>
      </c>
      <c r="E26" s="17" t="s">
        <v>37</v>
      </c>
      <c r="F26" s="17" t="s">
        <v>1027</v>
      </c>
      <c r="G26" s="298"/>
      <c r="H26" s="10"/>
      <c r="I26" s="11"/>
      <c r="J26" s="11"/>
      <c r="K26" s="11"/>
      <c r="L26" s="11"/>
      <c r="M26" s="11"/>
      <c r="N26" s="11"/>
      <c r="O26" s="12"/>
      <c r="P26" s="11"/>
      <c r="Q26" s="13"/>
      <c r="R26" s="14"/>
    </row>
    <row r="27" spans="1:18" ht="15" customHeight="1" x14ac:dyDescent="0.3">
      <c r="A27" s="15" t="s">
        <v>26</v>
      </c>
      <c r="B27" s="15" t="s">
        <v>1026</v>
      </c>
      <c r="C27" s="16">
        <v>0.4375</v>
      </c>
      <c r="D27" s="15" t="s">
        <v>28</v>
      </c>
      <c r="E27" s="15" t="s">
        <v>38</v>
      </c>
      <c r="F27" s="15" t="s">
        <v>1027</v>
      </c>
      <c r="G27" s="298"/>
      <c r="H27" s="10"/>
      <c r="I27" s="11"/>
      <c r="J27" s="11"/>
      <c r="K27" s="11"/>
      <c r="L27" s="11"/>
      <c r="M27" s="11"/>
      <c r="N27" s="11"/>
      <c r="O27" s="12"/>
      <c r="P27" s="11"/>
      <c r="Q27" s="13"/>
      <c r="R27" s="14"/>
    </row>
    <row r="28" spans="1:18" ht="15" customHeight="1" x14ac:dyDescent="0.3">
      <c r="A28" s="15" t="s">
        <v>26</v>
      </c>
      <c r="B28" s="15" t="s">
        <v>1026</v>
      </c>
      <c r="C28" s="16">
        <v>0.4375</v>
      </c>
      <c r="D28" s="15" t="s">
        <v>31</v>
      </c>
      <c r="E28" s="15" t="s">
        <v>38</v>
      </c>
      <c r="F28" s="15" t="s">
        <v>1028</v>
      </c>
      <c r="G28" s="298"/>
      <c r="H28" s="10"/>
      <c r="I28" s="11"/>
      <c r="J28" s="11"/>
      <c r="K28" s="11"/>
      <c r="L28" s="11"/>
      <c r="M28" s="11"/>
      <c r="N28" s="11"/>
      <c r="O28" s="12"/>
      <c r="P28" s="11"/>
      <c r="Q28" s="13"/>
      <c r="R28" s="14"/>
    </row>
    <row r="29" spans="1:18" ht="15" customHeight="1" x14ac:dyDescent="0.3">
      <c r="A29" s="15" t="s">
        <v>26</v>
      </c>
      <c r="B29" s="15" t="s">
        <v>1026</v>
      </c>
      <c r="C29" s="16">
        <v>0.4375</v>
      </c>
      <c r="D29" s="15" t="s">
        <v>34</v>
      </c>
      <c r="E29" s="15" t="s">
        <v>38</v>
      </c>
      <c r="F29" s="15" t="s">
        <v>44</v>
      </c>
      <c r="G29" s="298"/>
      <c r="H29" s="10"/>
      <c r="I29" s="11"/>
      <c r="J29" s="11"/>
      <c r="K29" s="11"/>
      <c r="L29" s="11"/>
      <c r="M29" s="11"/>
      <c r="N29" s="11"/>
      <c r="O29" s="12"/>
      <c r="P29" s="11"/>
      <c r="Q29" s="13"/>
      <c r="R29" s="14"/>
    </row>
    <row r="30" spans="1:18" ht="15" customHeight="1" x14ac:dyDescent="0.3">
      <c r="A30" s="17" t="s">
        <v>26</v>
      </c>
      <c r="B30" s="17" t="s">
        <v>1029</v>
      </c>
      <c r="C30" s="18">
        <v>0.50694444444444442</v>
      </c>
      <c r="D30" s="17" t="s">
        <v>351</v>
      </c>
      <c r="E30" s="17" t="s">
        <v>37</v>
      </c>
      <c r="F30" s="17" t="s">
        <v>1027</v>
      </c>
      <c r="G30" s="298"/>
      <c r="H30" s="10"/>
      <c r="I30" s="11"/>
      <c r="J30" s="11"/>
      <c r="K30" s="11"/>
      <c r="L30" s="11"/>
      <c r="M30" s="11"/>
      <c r="N30" s="11"/>
      <c r="O30" s="12"/>
      <c r="P30" s="11"/>
      <c r="Q30" s="13"/>
      <c r="R30" s="14"/>
    </row>
    <row r="31" spans="1:18" ht="15" customHeight="1" x14ac:dyDescent="0.3">
      <c r="A31" s="15" t="s">
        <v>26</v>
      </c>
      <c r="B31" s="15" t="s">
        <v>1029</v>
      </c>
      <c r="C31" s="16">
        <v>0.50694444444444442</v>
      </c>
      <c r="D31" s="15" t="s">
        <v>28</v>
      </c>
      <c r="E31" s="15" t="s">
        <v>38</v>
      </c>
      <c r="F31" s="15" t="s">
        <v>1027</v>
      </c>
      <c r="G31" s="298"/>
      <c r="H31" s="10"/>
      <c r="I31" s="11"/>
      <c r="J31" s="11"/>
      <c r="K31" s="11"/>
      <c r="L31" s="11"/>
      <c r="M31" s="11"/>
      <c r="N31" s="11"/>
      <c r="O31" s="12"/>
      <c r="P31" s="11"/>
      <c r="Q31" s="13"/>
      <c r="R31" s="14"/>
    </row>
    <row r="32" spans="1:18" ht="15" customHeight="1" x14ac:dyDescent="0.3">
      <c r="A32" s="15" t="s">
        <v>26</v>
      </c>
      <c r="B32" s="15" t="s">
        <v>1029</v>
      </c>
      <c r="C32" s="16">
        <v>0.50694444444444442</v>
      </c>
      <c r="D32" s="15" t="s">
        <v>31</v>
      </c>
      <c r="E32" s="15" t="s">
        <v>38</v>
      </c>
      <c r="F32" s="15" t="s">
        <v>1028</v>
      </c>
      <c r="G32" s="298"/>
      <c r="H32" s="10"/>
      <c r="I32" s="11"/>
      <c r="J32" s="11"/>
      <c r="K32" s="11"/>
      <c r="L32" s="11"/>
      <c r="M32" s="11"/>
      <c r="N32" s="11"/>
      <c r="O32" s="12"/>
      <c r="P32" s="11"/>
      <c r="Q32" s="13"/>
      <c r="R32" s="14"/>
    </row>
    <row r="33" spans="1:18" ht="15" customHeight="1" x14ac:dyDescent="0.3">
      <c r="A33" s="15" t="s">
        <v>26</v>
      </c>
      <c r="B33" s="15" t="s">
        <v>1029</v>
      </c>
      <c r="C33" s="16">
        <v>0.50694444444444442</v>
      </c>
      <c r="D33" s="15" t="s">
        <v>34</v>
      </c>
      <c r="E33" s="15" t="s">
        <v>38</v>
      </c>
      <c r="F33" s="15" t="s">
        <v>44</v>
      </c>
      <c r="G33" s="298"/>
      <c r="H33" s="10"/>
      <c r="I33" s="11"/>
      <c r="J33" s="11"/>
      <c r="K33" s="11"/>
      <c r="L33" s="11"/>
      <c r="M33" s="11"/>
      <c r="N33" s="11"/>
      <c r="O33" s="12"/>
      <c r="P33" s="11"/>
      <c r="Q33" s="13"/>
      <c r="R33" s="14"/>
    </row>
    <row r="34" spans="1:18" ht="15" customHeight="1" x14ac:dyDescent="0.3">
      <c r="A34" s="19" t="s">
        <v>41</v>
      </c>
      <c r="B34" s="19" t="s">
        <v>1030</v>
      </c>
      <c r="C34" s="20">
        <v>0.57638888888888895</v>
      </c>
      <c r="D34" s="19" t="s">
        <v>337</v>
      </c>
      <c r="E34" s="19" t="s">
        <v>1031</v>
      </c>
      <c r="F34" s="19" t="s">
        <v>1032</v>
      </c>
      <c r="G34" s="298"/>
      <c r="H34" s="10"/>
      <c r="I34" s="11"/>
      <c r="J34" s="11"/>
      <c r="K34" s="11"/>
      <c r="L34" s="11"/>
      <c r="M34" s="11"/>
      <c r="N34" s="11"/>
      <c r="O34" s="12"/>
      <c r="P34" s="11"/>
      <c r="Q34" s="13"/>
      <c r="R34" s="14"/>
    </row>
    <row r="35" spans="1:18" ht="15" customHeight="1" x14ac:dyDescent="0.3">
      <c r="A35" s="15" t="s">
        <v>41</v>
      </c>
      <c r="B35" s="15" t="s">
        <v>1030</v>
      </c>
      <c r="C35" s="16">
        <v>0.57638888888888895</v>
      </c>
      <c r="D35" s="15" t="s">
        <v>43</v>
      </c>
      <c r="E35" s="15" t="s">
        <v>1033</v>
      </c>
      <c r="F35" s="15" t="s">
        <v>1032</v>
      </c>
      <c r="G35" s="298"/>
      <c r="H35" s="10"/>
      <c r="I35" s="11"/>
      <c r="J35" s="11"/>
      <c r="K35" s="11"/>
      <c r="L35" s="11"/>
      <c r="M35" s="11"/>
      <c r="N35" s="11"/>
      <c r="O35" s="12"/>
      <c r="P35" s="11"/>
      <c r="Q35" s="13"/>
      <c r="R35" s="14"/>
    </row>
    <row r="36" spans="1:18" ht="15" customHeight="1" x14ac:dyDescent="0.3">
      <c r="A36" s="15" t="s">
        <v>41</v>
      </c>
      <c r="B36" s="15" t="s">
        <v>1030</v>
      </c>
      <c r="C36" s="16">
        <v>0.57638888888888895</v>
      </c>
      <c r="D36" s="15" t="s">
        <v>45</v>
      </c>
      <c r="E36" s="15" t="s">
        <v>1033</v>
      </c>
      <c r="F36" s="15" t="s">
        <v>338</v>
      </c>
      <c r="G36" s="298"/>
      <c r="H36" s="10"/>
      <c r="I36" s="11"/>
      <c r="J36" s="11"/>
      <c r="K36" s="11"/>
      <c r="L36" s="11"/>
      <c r="M36" s="11"/>
      <c r="N36" s="11"/>
      <c r="O36" s="12"/>
      <c r="P36" s="11"/>
      <c r="Q36" s="13"/>
      <c r="R36" s="14"/>
    </row>
    <row r="37" spans="1:18" ht="15" customHeight="1" x14ac:dyDescent="0.3">
      <c r="A37" s="15" t="s">
        <v>41</v>
      </c>
      <c r="B37" s="15" t="s">
        <v>1030</v>
      </c>
      <c r="C37" s="16">
        <v>0.57638888888888895</v>
      </c>
      <c r="D37" s="15" t="s">
        <v>46</v>
      </c>
      <c r="E37" s="15" t="s">
        <v>1033</v>
      </c>
      <c r="F37" s="15" t="s">
        <v>532</v>
      </c>
      <c r="G37" s="298"/>
      <c r="H37" s="10"/>
      <c r="I37" s="11"/>
      <c r="J37" s="11"/>
      <c r="K37" s="11"/>
      <c r="L37" s="11"/>
      <c r="M37" s="11"/>
      <c r="N37" s="11"/>
      <c r="O37" s="12"/>
      <c r="P37" s="11"/>
      <c r="Q37" s="13"/>
      <c r="R37" s="14"/>
    </row>
    <row r="38" spans="1:18" ht="15" customHeight="1" x14ac:dyDescent="0.3">
      <c r="A38" s="17" t="s">
        <v>41</v>
      </c>
      <c r="B38" s="17" t="s">
        <v>1034</v>
      </c>
      <c r="C38" s="18">
        <v>0.62847222222222221</v>
      </c>
      <c r="D38" s="17" t="s">
        <v>337</v>
      </c>
      <c r="E38" s="17" t="s">
        <v>1035</v>
      </c>
      <c r="F38" s="17" t="s">
        <v>1032</v>
      </c>
      <c r="G38" s="298"/>
      <c r="H38" s="10"/>
      <c r="I38" s="11"/>
      <c r="J38" s="11"/>
      <c r="K38" s="11"/>
      <c r="L38" s="11"/>
      <c r="M38" s="11"/>
      <c r="N38" s="11"/>
      <c r="O38" s="12"/>
      <c r="P38" s="11"/>
      <c r="Q38" s="13"/>
      <c r="R38" s="14"/>
    </row>
    <row r="39" spans="1:18" ht="15" customHeight="1" x14ac:dyDescent="0.3">
      <c r="A39" s="15" t="s">
        <v>41</v>
      </c>
      <c r="B39" s="15" t="s">
        <v>1034</v>
      </c>
      <c r="C39" s="16">
        <v>0.62847222222222221</v>
      </c>
      <c r="D39" s="15" t="s">
        <v>43</v>
      </c>
      <c r="E39" s="15" t="s">
        <v>1036</v>
      </c>
      <c r="F39" s="15" t="s">
        <v>1032</v>
      </c>
      <c r="G39" s="298"/>
      <c r="H39" s="10"/>
      <c r="I39" s="11"/>
      <c r="J39" s="11"/>
      <c r="K39" s="11"/>
      <c r="L39" s="11"/>
      <c r="M39" s="11"/>
      <c r="N39" s="11"/>
      <c r="O39" s="12"/>
      <c r="P39" s="11"/>
      <c r="Q39" s="13"/>
      <c r="R39" s="14"/>
    </row>
    <row r="40" spans="1:18" ht="15" customHeight="1" x14ac:dyDescent="0.3">
      <c r="A40" s="15" t="s">
        <v>41</v>
      </c>
      <c r="B40" s="15" t="s">
        <v>1034</v>
      </c>
      <c r="C40" s="16">
        <v>0.62847222222222221</v>
      </c>
      <c r="D40" s="15" t="s">
        <v>45</v>
      </c>
      <c r="E40" s="15" t="s">
        <v>1036</v>
      </c>
      <c r="F40" s="15" t="s">
        <v>338</v>
      </c>
      <c r="G40" s="298"/>
      <c r="H40" s="10"/>
      <c r="I40" s="11"/>
      <c r="J40" s="11"/>
      <c r="K40" s="11"/>
      <c r="L40" s="11"/>
      <c r="M40" s="11"/>
      <c r="N40" s="11"/>
      <c r="O40" s="12"/>
      <c r="P40" s="11"/>
      <c r="Q40" s="13"/>
      <c r="R40" s="14"/>
    </row>
    <row r="41" spans="1:18" ht="15" customHeight="1" x14ac:dyDescent="0.3">
      <c r="A41" s="15" t="s">
        <v>41</v>
      </c>
      <c r="B41" s="15" t="s">
        <v>1034</v>
      </c>
      <c r="C41" s="16">
        <v>0.62847222222222221</v>
      </c>
      <c r="D41" s="15" t="s">
        <v>46</v>
      </c>
      <c r="E41" s="15" t="s">
        <v>1036</v>
      </c>
      <c r="F41" s="15" t="s">
        <v>532</v>
      </c>
      <c r="G41" s="298"/>
      <c r="H41" s="10"/>
      <c r="I41" s="11"/>
      <c r="J41" s="11"/>
      <c r="K41" s="11"/>
      <c r="L41" s="11"/>
      <c r="M41" s="11"/>
      <c r="N41" s="11"/>
      <c r="O41" s="12"/>
      <c r="P41" s="11"/>
      <c r="Q41" s="13"/>
      <c r="R41" s="14"/>
    </row>
    <row r="42" spans="1:18" ht="15" customHeight="1" x14ac:dyDescent="0.3">
      <c r="A42" s="17" t="s">
        <v>41</v>
      </c>
      <c r="B42" s="17" t="s">
        <v>1037</v>
      </c>
      <c r="C42" s="18">
        <v>0.88888888888888884</v>
      </c>
      <c r="D42" s="17" t="s">
        <v>43</v>
      </c>
      <c r="E42" s="17" t="s">
        <v>1038</v>
      </c>
      <c r="F42" s="17" t="s">
        <v>1032</v>
      </c>
      <c r="G42" s="298"/>
      <c r="H42" s="10"/>
      <c r="I42" s="11"/>
      <c r="J42" s="11"/>
      <c r="K42" s="11"/>
      <c r="L42" s="11"/>
      <c r="M42" s="11"/>
      <c r="N42" s="11"/>
      <c r="O42" s="12"/>
      <c r="P42" s="11"/>
      <c r="Q42" s="13"/>
      <c r="R42" s="14"/>
    </row>
    <row r="43" spans="1:18" ht="15" customHeight="1" x14ac:dyDescent="0.3">
      <c r="A43" s="15" t="s">
        <v>41</v>
      </c>
      <c r="B43" s="15" t="s">
        <v>1037</v>
      </c>
      <c r="C43" s="16">
        <v>0.88888888888888884</v>
      </c>
      <c r="D43" s="15" t="s">
        <v>45</v>
      </c>
      <c r="E43" s="15" t="s">
        <v>1039</v>
      </c>
      <c r="F43" s="15" t="s">
        <v>338</v>
      </c>
      <c r="G43" s="298"/>
      <c r="H43" s="10"/>
      <c r="I43" s="11"/>
      <c r="J43" s="11"/>
      <c r="K43" s="11"/>
      <c r="L43" s="11"/>
      <c r="M43" s="11"/>
      <c r="N43" s="11"/>
      <c r="O43" s="12"/>
      <c r="P43" s="11"/>
      <c r="Q43" s="13"/>
      <c r="R43" s="14"/>
    </row>
    <row r="44" spans="1:18" ht="15" customHeight="1" x14ac:dyDescent="0.3">
      <c r="A44" s="15" t="s">
        <v>41</v>
      </c>
      <c r="B44" s="15" t="s">
        <v>1037</v>
      </c>
      <c r="C44" s="16">
        <v>0.88888888888888884</v>
      </c>
      <c r="D44" s="15" t="s">
        <v>46</v>
      </c>
      <c r="E44" s="15" t="s">
        <v>1039</v>
      </c>
      <c r="F44" s="15" t="s">
        <v>532</v>
      </c>
      <c r="G44" s="298"/>
      <c r="H44" s="10"/>
      <c r="I44" s="11"/>
      <c r="J44" s="11"/>
      <c r="K44" s="11"/>
      <c r="L44" s="11"/>
      <c r="M44" s="11"/>
      <c r="N44" s="11"/>
      <c r="O44" s="12"/>
      <c r="P44" s="11"/>
      <c r="Q44" s="13"/>
      <c r="R44" s="14"/>
    </row>
    <row r="45" spans="1:18" ht="15" customHeight="1" x14ac:dyDescent="0.3">
      <c r="A45" s="17" t="s">
        <v>41</v>
      </c>
      <c r="B45" s="17" t="s">
        <v>1040</v>
      </c>
      <c r="C45" s="18">
        <v>0.94444444444444453</v>
      </c>
      <c r="D45" s="17" t="s">
        <v>337</v>
      </c>
      <c r="E45" s="17" t="s">
        <v>1041</v>
      </c>
      <c r="F45" s="17" t="s">
        <v>1032</v>
      </c>
      <c r="G45" s="298"/>
      <c r="H45" s="10"/>
      <c r="I45" s="11"/>
      <c r="J45" s="11"/>
      <c r="K45" s="11"/>
      <c r="L45" s="11"/>
      <c r="M45" s="11"/>
      <c r="N45" s="11"/>
      <c r="O45" s="12"/>
      <c r="P45" s="11"/>
      <c r="Q45" s="13"/>
      <c r="R45" s="14"/>
    </row>
    <row r="46" spans="1:18" ht="15" customHeight="1" x14ac:dyDescent="0.3">
      <c r="A46" s="15" t="s">
        <v>41</v>
      </c>
      <c r="B46" s="15" t="s">
        <v>1040</v>
      </c>
      <c r="C46" s="16">
        <v>0.94444444444444453</v>
      </c>
      <c r="D46" s="15" t="s">
        <v>43</v>
      </c>
      <c r="E46" s="15" t="s">
        <v>1042</v>
      </c>
      <c r="F46" s="15" t="s">
        <v>1032</v>
      </c>
      <c r="G46" s="298"/>
      <c r="H46" s="10"/>
      <c r="I46" s="11"/>
      <c r="J46" s="11"/>
      <c r="K46" s="11"/>
      <c r="L46" s="11"/>
      <c r="M46" s="11"/>
      <c r="N46" s="11"/>
      <c r="O46" s="12"/>
      <c r="P46" s="11"/>
      <c r="Q46" s="13"/>
      <c r="R46" s="14"/>
    </row>
    <row r="47" spans="1:18" ht="15" customHeight="1" x14ac:dyDescent="0.3">
      <c r="A47" s="15" t="s">
        <v>41</v>
      </c>
      <c r="B47" s="15" t="s">
        <v>1040</v>
      </c>
      <c r="C47" s="16">
        <v>0.94444444444444453</v>
      </c>
      <c r="D47" s="15" t="s">
        <v>45</v>
      </c>
      <c r="E47" s="15" t="s">
        <v>1042</v>
      </c>
      <c r="F47" s="15" t="s">
        <v>338</v>
      </c>
      <c r="G47" s="298"/>
      <c r="H47" s="10"/>
      <c r="I47" s="11"/>
      <c r="J47" s="11"/>
      <c r="K47" s="11"/>
      <c r="L47" s="11"/>
      <c r="M47" s="11"/>
      <c r="N47" s="11"/>
      <c r="O47" s="12"/>
      <c r="P47" s="11"/>
      <c r="Q47" s="13"/>
      <c r="R47" s="14"/>
    </row>
    <row r="48" spans="1:18" ht="15" customHeight="1" x14ac:dyDescent="0.3">
      <c r="A48" s="15" t="s">
        <v>41</v>
      </c>
      <c r="B48" s="15" t="s">
        <v>1040</v>
      </c>
      <c r="C48" s="16">
        <v>0.94444444444444453</v>
      </c>
      <c r="D48" s="15" t="s">
        <v>46</v>
      </c>
      <c r="E48" s="15" t="s">
        <v>1042</v>
      </c>
      <c r="F48" s="15" t="s">
        <v>532</v>
      </c>
      <c r="G48" s="298"/>
      <c r="H48" s="10"/>
      <c r="I48" s="11"/>
      <c r="J48" s="11"/>
      <c r="K48" s="11"/>
      <c r="L48" s="11"/>
      <c r="M48" s="11"/>
      <c r="N48" s="11"/>
      <c r="O48" s="12"/>
      <c r="P48" s="11"/>
      <c r="Q48" s="13"/>
      <c r="R48" s="14"/>
    </row>
    <row r="49" spans="1:18" ht="15" customHeight="1" x14ac:dyDescent="0.3">
      <c r="A49" s="19" t="s">
        <v>385</v>
      </c>
      <c r="B49" s="19" t="s">
        <v>1043</v>
      </c>
      <c r="C49" s="20">
        <v>0.1701388888888889</v>
      </c>
      <c r="D49" s="19" t="s">
        <v>101</v>
      </c>
      <c r="E49" s="19" t="s">
        <v>63</v>
      </c>
      <c r="F49" s="19" t="s">
        <v>1044</v>
      </c>
      <c r="G49" s="298"/>
      <c r="H49" s="10"/>
      <c r="I49" s="11"/>
      <c r="J49" s="11"/>
      <c r="K49" s="11"/>
      <c r="L49" s="11"/>
      <c r="M49" s="11"/>
      <c r="N49" s="11"/>
      <c r="O49" s="12"/>
      <c r="P49" s="11"/>
      <c r="Q49" s="13"/>
      <c r="R49" s="14"/>
    </row>
    <row r="50" spans="1:18" ht="15" customHeight="1" x14ac:dyDescent="0.3">
      <c r="A50" s="17" t="s">
        <v>385</v>
      </c>
      <c r="B50" s="17" t="s">
        <v>1045</v>
      </c>
      <c r="C50" s="18">
        <v>0.80208333333333337</v>
      </c>
      <c r="D50" s="17" t="s">
        <v>101</v>
      </c>
      <c r="E50" s="17" t="s">
        <v>54</v>
      </c>
      <c r="F50" s="17" t="s">
        <v>1044</v>
      </c>
      <c r="G50" s="298"/>
      <c r="H50" s="10"/>
      <c r="I50" s="11"/>
      <c r="J50" s="11"/>
      <c r="K50" s="11"/>
      <c r="L50" s="11"/>
      <c r="M50" s="11"/>
      <c r="N50" s="11"/>
      <c r="O50" s="12"/>
      <c r="P50" s="11"/>
      <c r="Q50" s="13"/>
      <c r="R50" s="14"/>
    </row>
    <row r="51" spans="1:18" ht="15" customHeight="1" x14ac:dyDescent="0.3">
      <c r="A51" s="17" t="s">
        <v>385</v>
      </c>
      <c r="B51" s="17" t="s">
        <v>1046</v>
      </c>
      <c r="C51" s="18">
        <v>0.61458333333333337</v>
      </c>
      <c r="D51" s="17" t="s">
        <v>101</v>
      </c>
      <c r="E51" s="17" t="s">
        <v>54</v>
      </c>
      <c r="F51" s="17" t="s">
        <v>1047</v>
      </c>
      <c r="G51" s="298"/>
      <c r="H51" s="10"/>
      <c r="I51" s="11"/>
      <c r="J51" s="11"/>
      <c r="K51" s="11"/>
      <c r="L51" s="11"/>
      <c r="M51" s="11"/>
      <c r="N51" s="11"/>
      <c r="O51" s="12"/>
      <c r="P51" s="11"/>
      <c r="Q51" s="13"/>
      <c r="R51" s="14"/>
    </row>
    <row r="52" spans="1:18" ht="15" customHeight="1" x14ac:dyDescent="0.3">
      <c r="A52" s="19" t="s">
        <v>458</v>
      </c>
      <c r="B52" s="19" t="s">
        <v>1048</v>
      </c>
      <c r="C52" s="20">
        <v>9.0277777777777776E-2</v>
      </c>
      <c r="D52" s="19" t="s">
        <v>101</v>
      </c>
      <c r="E52" s="19" t="s">
        <v>63</v>
      </c>
      <c r="F52" s="19" t="s">
        <v>1049</v>
      </c>
      <c r="G52" s="298"/>
      <c r="H52" s="10"/>
      <c r="I52" s="11"/>
      <c r="J52" s="11"/>
      <c r="K52" s="11"/>
      <c r="L52" s="11"/>
      <c r="M52" s="11"/>
      <c r="N52" s="11"/>
      <c r="O52" s="12"/>
      <c r="P52" s="11"/>
      <c r="Q52" s="13"/>
      <c r="R52" s="14"/>
    </row>
    <row r="53" spans="1:18" ht="15" customHeight="1" x14ac:dyDescent="0.3">
      <c r="A53" s="17" t="s">
        <v>458</v>
      </c>
      <c r="B53" s="17" t="s">
        <v>1050</v>
      </c>
      <c r="C53" s="18">
        <v>0.69097222222222221</v>
      </c>
      <c r="D53" s="17" t="s">
        <v>101</v>
      </c>
      <c r="E53" s="17" t="s">
        <v>54</v>
      </c>
      <c r="F53" s="17" t="s">
        <v>1051</v>
      </c>
      <c r="G53" s="298"/>
      <c r="H53" s="10"/>
      <c r="I53" s="11"/>
      <c r="J53" s="11"/>
      <c r="K53" s="11"/>
      <c r="L53" s="11"/>
      <c r="M53" s="11"/>
      <c r="N53" s="11"/>
      <c r="O53" s="12"/>
      <c r="P53" s="11"/>
      <c r="Q53" s="13"/>
      <c r="R53" s="14"/>
    </row>
    <row r="54" spans="1:18" ht="15" customHeight="1" x14ac:dyDescent="0.3">
      <c r="A54" s="144" t="s">
        <v>77</v>
      </c>
      <c r="B54" s="144" t="s">
        <v>1052</v>
      </c>
      <c r="C54" s="145">
        <v>0.41319444444444442</v>
      </c>
      <c r="D54" s="144" t="s">
        <v>101</v>
      </c>
      <c r="E54" s="144" t="s">
        <v>63</v>
      </c>
      <c r="F54" s="144" t="s">
        <v>1053</v>
      </c>
      <c r="G54" s="298"/>
      <c r="H54" s="147" t="s">
        <v>1054</v>
      </c>
      <c r="I54" s="216">
        <v>0.57540000000000002</v>
      </c>
      <c r="J54" s="149">
        <v>103</v>
      </c>
      <c r="K54" s="150">
        <v>45980</v>
      </c>
      <c r="L54" s="149">
        <v>45</v>
      </c>
      <c r="M54" s="149">
        <v>1</v>
      </c>
      <c r="N54" s="149">
        <v>5</v>
      </c>
      <c r="O54" s="151" t="s">
        <v>881</v>
      </c>
      <c r="P54" s="152">
        <v>0.41319444444444442</v>
      </c>
      <c r="Q54" s="149">
        <v>179</v>
      </c>
      <c r="R54" s="153" t="s">
        <v>1055</v>
      </c>
    </row>
    <row r="55" spans="1:18" ht="15" customHeight="1" x14ac:dyDescent="0.3">
      <c r="A55" s="19" t="s">
        <v>388</v>
      </c>
      <c r="B55" s="19" t="s">
        <v>1056</v>
      </c>
      <c r="C55" s="20">
        <v>0.4375</v>
      </c>
      <c r="D55" s="19" t="s">
        <v>390</v>
      </c>
      <c r="E55" s="19" t="s">
        <v>29</v>
      </c>
      <c r="F55" s="19" t="s">
        <v>1057</v>
      </c>
      <c r="G55" s="298"/>
      <c r="H55" s="10"/>
      <c r="I55" s="11"/>
      <c r="J55" s="11"/>
      <c r="K55" s="11"/>
      <c r="L55" s="11"/>
      <c r="M55" s="11"/>
      <c r="N55" s="11"/>
      <c r="O55" s="12"/>
      <c r="P55" s="11"/>
      <c r="Q55" s="13"/>
      <c r="R55" s="14"/>
    </row>
    <row r="56" spans="1:18" ht="15" customHeight="1" x14ac:dyDescent="0.3">
      <c r="A56" s="15" t="s">
        <v>388</v>
      </c>
      <c r="B56" s="15" t="s">
        <v>1056</v>
      </c>
      <c r="C56" s="16">
        <v>0.4375</v>
      </c>
      <c r="D56" s="15" t="s">
        <v>46</v>
      </c>
      <c r="E56" s="15" t="s">
        <v>32</v>
      </c>
      <c r="F56" s="15" t="s">
        <v>1058</v>
      </c>
      <c r="G56" s="298"/>
      <c r="H56" s="10"/>
      <c r="I56" s="11"/>
      <c r="J56" s="11"/>
      <c r="K56" s="11"/>
      <c r="L56" s="11"/>
      <c r="M56" s="11"/>
      <c r="N56" s="11"/>
      <c r="O56" s="12"/>
      <c r="P56" s="11"/>
      <c r="Q56" s="13"/>
      <c r="R56" s="14"/>
    </row>
    <row r="57" spans="1:18" ht="15" customHeight="1" x14ac:dyDescent="0.3">
      <c r="A57" s="19" t="s">
        <v>48</v>
      </c>
      <c r="B57" s="19" t="s">
        <v>1059</v>
      </c>
      <c r="C57" s="20">
        <v>0.98263888888888884</v>
      </c>
      <c r="D57" s="19" t="s">
        <v>50</v>
      </c>
      <c r="E57" s="19" t="s">
        <v>63</v>
      </c>
      <c r="F57" s="19" t="s">
        <v>1060</v>
      </c>
      <c r="G57" s="298"/>
      <c r="H57" s="10"/>
      <c r="I57" s="11"/>
      <c r="J57" s="11"/>
      <c r="K57" s="11"/>
      <c r="L57" s="11"/>
      <c r="M57" s="11"/>
      <c r="N57" s="11"/>
      <c r="O57" s="12"/>
      <c r="P57" s="11"/>
      <c r="Q57" s="13"/>
      <c r="R57" s="14"/>
    </row>
    <row r="58" spans="1:18" ht="15" customHeight="1" x14ac:dyDescent="0.3">
      <c r="A58" s="17" t="s">
        <v>48</v>
      </c>
      <c r="B58" s="17" t="s">
        <v>1061</v>
      </c>
      <c r="C58" s="18">
        <v>0.35416666666666669</v>
      </c>
      <c r="D58" s="17" t="s">
        <v>50</v>
      </c>
      <c r="E58" s="17" t="s">
        <v>121</v>
      </c>
      <c r="F58" s="17" t="s">
        <v>1060</v>
      </c>
      <c r="G58" s="298"/>
      <c r="H58" s="10"/>
      <c r="I58" s="11"/>
      <c r="J58" s="11"/>
      <c r="K58" s="11"/>
      <c r="L58" s="11"/>
      <c r="M58" s="11"/>
      <c r="N58" s="11"/>
      <c r="O58" s="12"/>
      <c r="P58" s="11"/>
      <c r="Q58" s="13"/>
      <c r="R58" s="14"/>
    </row>
    <row r="59" spans="1:18" ht="15" customHeight="1" x14ac:dyDescent="0.3">
      <c r="A59" s="17" t="s">
        <v>48</v>
      </c>
      <c r="B59" s="17" t="s">
        <v>1062</v>
      </c>
      <c r="C59" s="18">
        <v>0.72916666666666663</v>
      </c>
      <c r="D59" s="17" t="s">
        <v>50</v>
      </c>
      <c r="E59" s="17" t="s">
        <v>75</v>
      </c>
      <c r="F59" s="17" t="s">
        <v>1063</v>
      </c>
      <c r="G59" s="298"/>
      <c r="H59" s="10"/>
      <c r="I59" s="11"/>
      <c r="J59" s="11"/>
      <c r="K59" s="11"/>
      <c r="L59" s="11"/>
      <c r="M59" s="11"/>
      <c r="N59" s="11"/>
      <c r="O59" s="12"/>
      <c r="P59" s="11"/>
      <c r="Q59" s="13"/>
      <c r="R59" s="14"/>
    </row>
    <row r="60" spans="1:18" ht="15" customHeight="1" x14ac:dyDescent="0.3">
      <c r="A60" s="19" t="s">
        <v>60</v>
      </c>
      <c r="B60" s="19" t="s">
        <v>1064</v>
      </c>
      <c r="C60" s="20">
        <v>0.98263888888888884</v>
      </c>
      <c r="D60" s="19" t="s">
        <v>107</v>
      </c>
      <c r="E60" s="19" t="s">
        <v>63</v>
      </c>
      <c r="F60" s="19" t="s">
        <v>1065</v>
      </c>
      <c r="G60" s="298"/>
      <c r="H60" s="10"/>
      <c r="I60" s="11"/>
      <c r="J60" s="11"/>
      <c r="K60" s="11"/>
      <c r="L60" s="11"/>
      <c r="M60" s="11"/>
      <c r="N60" s="11"/>
      <c r="O60" s="12"/>
      <c r="P60" s="11"/>
      <c r="Q60" s="13"/>
      <c r="R60" s="14"/>
    </row>
    <row r="61" spans="1:18" ht="15" customHeight="1" x14ac:dyDescent="0.3">
      <c r="A61" s="15" t="s">
        <v>60</v>
      </c>
      <c r="B61" s="15" t="s">
        <v>1064</v>
      </c>
      <c r="C61" s="16">
        <v>0.98263888888888884</v>
      </c>
      <c r="D61" s="15" t="s">
        <v>62</v>
      </c>
      <c r="E61" s="15" t="s">
        <v>66</v>
      </c>
      <c r="F61" s="15" t="s">
        <v>1065</v>
      </c>
      <c r="G61" s="298"/>
      <c r="H61" s="10"/>
      <c r="I61" s="11"/>
      <c r="J61" s="11"/>
      <c r="K61" s="11"/>
      <c r="L61" s="11"/>
      <c r="M61" s="11"/>
      <c r="N61" s="11"/>
      <c r="O61" s="12"/>
      <c r="P61" s="11"/>
      <c r="Q61" s="13"/>
      <c r="R61" s="14"/>
    </row>
    <row r="62" spans="1:18" ht="15" customHeight="1" x14ac:dyDescent="0.3">
      <c r="A62" s="15" t="s">
        <v>60</v>
      </c>
      <c r="B62" s="15" t="s">
        <v>1064</v>
      </c>
      <c r="C62" s="16">
        <v>0.98263888888888884</v>
      </c>
      <c r="D62" s="15" t="s">
        <v>65</v>
      </c>
      <c r="E62" s="15" t="s">
        <v>66</v>
      </c>
      <c r="F62" s="15" t="s">
        <v>1066</v>
      </c>
      <c r="G62" s="298"/>
      <c r="H62" s="10"/>
      <c r="I62" s="11"/>
      <c r="J62" s="11"/>
      <c r="K62" s="11"/>
      <c r="L62" s="11"/>
      <c r="M62" s="11"/>
      <c r="N62" s="11"/>
      <c r="O62" s="12"/>
      <c r="P62" s="11"/>
      <c r="Q62" s="13"/>
      <c r="R62" s="14"/>
    </row>
    <row r="63" spans="1:18" ht="15" customHeight="1" x14ac:dyDescent="0.3">
      <c r="A63" s="17" t="s">
        <v>60</v>
      </c>
      <c r="B63" s="17" t="s">
        <v>1067</v>
      </c>
      <c r="C63" s="18">
        <v>0.88888888888888884</v>
      </c>
      <c r="D63" s="17" t="s">
        <v>50</v>
      </c>
      <c r="E63" s="17" t="s">
        <v>72</v>
      </c>
      <c r="F63" s="17" t="s">
        <v>1068</v>
      </c>
      <c r="G63" s="298"/>
      <c r="H63" s="10"/>
      <c r="I63" s="11"/>
      <c r="J63" s="11"/>
      <c r="K63" s="11"/>
      <c r="L63" s="11"/>
      <c r="M63" s="11"/>
      <c r="N63" s="11"/>
      <c r="O63" s="12"/>
      <c r="P63" s="11"/>
      <c r="Q63" s="13"/>
      <c r="R63" s="14"/>
    </row>
    <row r="64" spans="1:18" ht="15" customHeight="1" x14ac:dyDescent="0.3">
      <c r="A64" s="15" t="s">
        <v>60</v>
      </c>
      <c r="B64" s="15" t="s">
        <v>1067</v>
      </c>
      <c r="C64" s="16">
        <v>0.88888888888888884</v>
      </c>
      <c r="D64" s="15" t="s">
        <v>65</v>
      </c>
      <c r="E64" s="15" t="s">
        <v>84</v>
      </c>
      <c r="F64" s="15" t="s">
        <v>1068</v>
      </c>
      <c r="G64" s="298"/>
      <c r="H64" s="10"/>
      <c r="I64" s="11"/>
      <c r="J64" s="11"/>
      <c r="K64" s="11"/>
      <c r="L64" s="11"/>
      <c r="M64" s="11"/>
      <c r="N64" s="11"/>
      <c r="O64" s="12"/>
      <c r="P64" s="11"/>
      <c r="Q64" s="13"/>
      <c r="R64" s="14"/>
    </row>
    <row r="65" spans="1:18" ht="15" customHeight="1" x14ac:dyDescent="0.3">
      <c r="A65" s="17" t="s">
        <v>60</v>
      </c>
      <c r="B65" s="17" t="s">
        <v>1069</v>
      </c>
      <c r="C65" s="18">
        <v>0.62847222222222221</v>
      </c>
      <c r="D65" s="17" t="s">
        <v>50</v>
      </c>
      <c r="E65" s="17" t="s">
        <v>72</v>
      </c>
      <c r="F65" s="17" t="s">
        <v>1068</v>
      </c>
      <c r="G65" s="298"/>
      <c r="H65" s="10"/>
      <c r="I65" s="11"/>
      <c r="J65" s="11"/>
      <c r="K65" s="11"/>
      <c r="L65" s="11"/>
      <c r="M65" s="11"/>
      <c r="N65" s="11"/>
      <c r="O65" s="12"/>
      <c r="P65" s="11"/>
      <c r="Q65" s="13"/>
      <c r="R65" s="14"/>
    </row>
    <row r="66" spans="1:18" ht="15" customHeight="1" x14ac:dyDescent="0.3">
      <c r="A66" s="15" t="s">
        <v>60</v>
      </c>
      <c r="B66" s="15" t="s">
        <v>1069</v>
      </c>
      <c r="C66" s="16">
        <v>0.62847222222222221</v>
      </c>
      <c r="D66" s="15" t="s">
        <v>65</v>
      </c>
      <c r="E66" s="15" t="s">
        <v>84</v>
      </c>
      <c r="F66" s="15" t="s">
        <v>1068</v>
      </c>
      <c r="G66" s="298"/>
      <c r="H66" s="10"/>
      <c r="I66" s="11"/>
      <c r="J66" s="11"/>
      <c r="K66" s="11"/>
      <c r="L66" s="11"/>
      <c r="M66" s="11"/>
      <c r="N66" s="11"/>
      <c r="O66" s="12"/>
      <c r="P66" s="11"/>
      <c r="Q66" s="13"/>
      <c r="R66" s="14"/>
    </row>
    <row r="67" spans="1:18" ht="15" customHeight="1" x14ac:dyDescent="0.3">
      <c r="A67" s="17" t="s">
        <v>60</v>
      </c>
      <c r="B67" s="17" t="s">
        <v>1070</v>
      </c>
      <c r="C67" s="18">
        <v>0.94444444444444453</v>
      </c>
      <c r="D67" s="17" t="s">
        <v>50</v>
      </c>
      <c r="E67" s="17" t="s">
        <v>72</v>
      </c>
      <c r="F67" s="17" t="s">
        <v>1068</v>
      </c>
      <c r="G67" s="298"/>
      <c r="H67" s="10"/>
      <c r="I67" s="11"/>
      <c r="J67" s="11"/>
      <c r="K67" s="11"/>
      <c r="L67" s="11"/>
      <c r="M67" s="11"/>
      <c r="N67" s="11"/>
      <c r="O67" s="12"/>
      <c r="P67" s="11"/>
      <c r="Q67" s="13"/>
      <c r="R67" s="14"/>
    </row>
    <row r="68" spans="1:18" ht="15" customHeight="1" x14ac:dyDescent="0.3">
      <c r="A68" s="15" t="s">
        <v>60</v>
      </c>
      <c r="B68" s="15" t="s">
        <v>1070</v>
      </c>
      <c r="C68" s="16">
        <v>0.94444444444444453</v>
      </c>
      <c r="D68" s="15" t="s">
        <v>65</v>
      </c>
      <c r="E68" s="15" t="s">
        <v>84</v>
      </c>
      <c r="F68" s="15" t="s">
        <v>1068</v>
      </c>
      <c r="G68" s="298"/>
      <c r="H68" s="10"/>
      <c r="I68" s="11"/>
      <c r="J68" s="11"/>
      <c r="K68" s="11"/>
      <c r="L68" s="11"/>
      <c r="M68" s="11"/>
      <c r="N68" s="11"/>
      <c r="O68" s="12"/>
      <c r="P68" s="11"/>
      <c r="Q68" s="13"/>
      <c r="R68" s="14"/>
    </row>
    <row r="69" spans="1:18" ht="15" customHeight="1" x14ac:dyDescent="0.3">
      <c r="A69" s="17" t="s">
        <v>60</v>
      </c>
      <c r="B69" s="17" t="s">
        <v>1071</v>
      </c>
      <c r="C69" s="18">
        <v>0.44444444444444442</v>
      </c>
      <c r="D69" s="17" t="s">
        <v>50</v>
      </c>
      <c r="E69" s="17" t="s">
        <v>58</v>
      </c>
      <c r="F69" s="17" t="s">
        <v>1072</v>
      </c>
      <c r="G69" s="298"/>
      <c r="H69" s="10"/>
      <c r="I69" s="11"/>
      <c r="J69" s="11"/>
      <c r="K69" s="11"/>
      <c r="L69" s="11"/>
      <c r="M69" s="11"/>
      <c r="N69" s="11"/>
      <c r="O69" s="12"/>
      <c r="P69" s="11"/>
      <c r="Q69" s="13"/>
      <c r="R69" s="14"/>
    </row>
    <row r="70" spans="1:18" ht="15" customHeight="1" x14ac:dyDescent="0.3">
      <c r="A70" s="15" t="s">
        <v>60</v>
      </c>
      <c r="B70" s="15" t="s">
        <v>1071</v>
      </c>
      <c r="C70" s="16">
        <v>0.44444444444444442</v>
      </c>
      <c r="D70" s="15" t="s">
        <v>65</v>
      </c>
      <c r="E70" s="15" t="s">
        <v>119</v>
      </c>
      <c r="F70" s="15" t="s">
        <v>1072</v>
      </c>
      <c r="G70" s="298"/>
      <c r="H70" s="10"/>
      <c r="I70" s="11"/>
      <c r="J70" s="11"/>
      <c r="K70" s="11"/>
      <c r="L70" s="11"/>
      <c r="M70" s="11"/>
      <c r="N70" s="11"/>
      <c r="O70" s="12"/>
      <c r="P70" s="11"/>
      <c r="Q70" s="13"/>
      <c r="R70" s="14"/>
    </row>
    <row r="71" spans="1:18" ht="15" customHeight="1" x14ac:dyDescent="0.3">
      <c r="A71" s="17" t="s">
        <v>60</v>
      </c>
      <c r="B71" s="17" t="s">
        <v>1073</v>
      </c>
      <c r="C71" s="18">
        <v>0.82986111111111116</v>
      </c>
      <c r="D71" s="17" t="s">
        <v>50</v>
      </c>
      <c r="E71" s="17" t="s">
        <v>54</v>
      </c>
      <c r="F71" s="17" t="s">
        <v>1072</v>
      </c>
      <c r="G71" s="298"/>
      <c r="H71" s="10"/>
      <c r="I71" s="11"/>
      <c r="J71" s="11"/>
      <c r="K71" s="11"/>
      <c r="L71" s="11"/>
      <c r="M71" s="11"/>
      <c r="N71" s="11"/>
      <c r="O71" s="12"/>
      <c r="P71" s="11"/>
      <c r="Q71" s="13"/>
      <c r="R71" s="14"/>
    </row>
    <row r="72" spans="1:18" ht="15" customHeight="1" x14ac:dyDescent="0.3">
      <c r="A72" s="15" t="s">
        <v>60</v>
      </c>
      <c r="B72" s="15" t="s">
        <v>1073</v>
      </c>
      <c r="C72" s="16">
        <v>0.82986111111111116</v>
      </c>
      <c r="D72" s="15" t="s">
        <v>65</v>
      </c>
      <c r="E72" s="15" t="s">
        <v>66</v>
      </c>
      <c r="F72" s="15" t="s">
        <v>1072</v>
      </c>
      <c r="G72" s="298"/>
      <c r="H72" s="10"/>
      <c r="I72" s="11"/>
      <c r="J72" s="11"/>
      <c r="K72" s="11"/>
      <c r="L72" s="11"/>
      <c r="M72" s="11"/>
      <c r="N72" s="11"/>
      <c r="O72" s="12"/>
      <c r="P72" s="11"/>
      <c r="Q72" s="13"/>
      <c r="R72" s="14"/>
    </row>
    <row r="73" spans="1:18" ht="15" customHeight="1" x14ac:dyDescent="0.3">
      <c r="A73" s="17" t="s">
        <v>60</v>
      </c>
      <c r="B73" s="17" t="s">
        <v>1074</v>
      </c>
      <c r="C73" s="18">
        <v>0.62847222222222221</v>
      </c>
      <c r="D73" s="17" t="s">
        <v>50</v>
      </c>
      <c r="E73" s="17" t="s">
        <v>54</v>
      </c>
      <c r="F73" s="17" t="s">
        <v>1072</v>
      </c>
      <c r="G73" s="298"/>
      <c r="H73" s="10"/>
      <c r="I73" s="11"/>
      <c r="J73" s="11"/>
      <c r="K73" s="11"/>
      <c r="L73" s="11"/>
      <c r="M73" s="11"/>
      <c r="N73" s="11"/>
      <c r="O73" s="12"/>
      <c r="P73" s="11"/>
      <c r="Q73" s="13"/>
      <c r="R73" s="14"/>
    </row>
    <row r="74" spans="1:18" ht="15" customHeight="1" thickBot="1" x14ac:dyDescent="0.35">
      <c r="A74" s="64" t="s">
        <v>60</v>
      </c>
      <c r="B74" s="64" t="s">
        <v>1074</v>
      </c>
      <c r="C74" s="65">
        <v>0.62847222222222221</v>
      </c>
      <c r="D74" s="64" t="s">
        <v>65</v>
      </c>
      <c r="E74" s="64" t="s">
        <v>66</v>
      </c>
      <c r="F74" s="64" t="s">
        <v>1072</v>
      </c>
      <c r="G74" s="299"/>
      <c r="H74" s="41"/>
      <c r="I74" s="42"/>
      <c r="J74" s="42"/>
      <c r="K74" s="42"/>
      <c r="L74" s="42"/>
      <c r="M74" s="42"/>
      <c r="N74" s="42"/>
      <c r="O74" s="43"/>
      <c r="P74" s="42"/>
      <c r="Q74" s="44"/>
      <c r="R74" s="45"/>
    </row>
    <row r="75" spans="1:18" ht="17.399999999999999" customHeight="1" thickBot="1" x14ac:dyDescent="0.35">
      <c r="A75" s="329"/>
      <c r="B75" s="330"/>
      <c r="C75" s="330"/>
      <c r="D75" s="330"/>
      <c r="E75" s="330"/>
      <c r="F75" s="330"/>
      <c r="G75" s="330"/>
      <c r="H75" s="330"/>
      <c r="I75" s="330"/>
      <c r="J75" s="330"/>
      <c r="K75" s="330"/>
      <c r="L75" s="330"/>
      <c r="M75" s="330"/>
      <c r="N75" s="330"/>
      <c r="O75" s="330"/>
      <c r="P75" s="330"/>
      <c r="Q75" s="330"/>
      <c r="R75" s="331"/>
    </row>
    <row r="76" spans="1:18" ht="22.05" customHeight="1" thickTop="1" thickBot="1" x14ac:dyDescent="0.35">
      <c r="A76" s="300" t="s">
        <v>6</v>
      </c>
      <c r="B76" s="295"/>
      <c r="C76" s="295"/>
      <c r="D76" s="295"/>
      <c r="E76" s="295"/>
      <c r="F76" s="296"/>
      <c r="G76" s="31">
        <v>45982</v>
      </c>
      <c r="H76" s="294" t="s">
        <v>7</v>
      </c>
      <c r="I76" s="295"/>
      <c r="J76" s="295"/>
      <c r="K76" s="295"/>
      <c r="L76" s="295"/>
      <c r="M76" s="295"/>
      <c r="N76" s="295"/>
      <c r="O76" s="295"/>
      <c r="P76" s="295"/>
      <c r="Q76" s="295"/>
      <c r="R76" s="296"/>
    </row>
    <row r="77" spans="1:18" ht="24" customHeight="1" x14ac:dyDescent="0.3">
      <c r="A77" s="32" t="s">
        <v>8</v>
      </c>
      <c r="B77" s="32" t="s">
        <v>9</v>
      </c>
      <c r="C77" s="33" t="s">
        <v>10</v>
      </c>
      <c r="D77" s="32" t="s">
        <v>11</v>
      </c>
      <c r="E77" s="32" t="s">
        <v>12</v>
      </c>
      <c r="F77" s="34" t="s">
        <v>13</v>
      </c>
      <c r="G77" s="35" t="s">
        <v>14</v>
      </c>
      <c r="H77" s="32" t="s">
        <v>15</v>
      </c>
      <c r="I77" s="36" t="s">
        <v>16</v>
      </c>
      <c r="J77" s="37" t="s">
        <v>17</v>
      </c>
      <c r="K77" s="38" t="s">
        <v>18</v>
      </c>
      <c r="L77" s="37" t="s">
        <v>19</v>
      </c>
      <c r="M77" s="37" t="s">
        <v>20</v>
      </c>
      <c r="N77" s="37" t="s">
        <v>21</v>
      </c>
      <c r="O77" s="32" t="s">
        <v>22</v>
      </c>
      <c r="P77" s="33" t="s">
        <v>23</v>
      </c>
      <c r="Q77" s="37" t="s">
        <v>24</v>
      </c>
      <c r="R77" s="32" t="s">
        <v>25</v>
      </c>
    </row>
    <row r="78" spans="1:18" ht="15" customHeight="1" x14ac:dyDescent="0.3">
      <c r="A78" s="8" t="s">
        <v>41</v>
      </c>
      <c r="B78" s="8" t="s">
        <v>1030</v>
      </c>
      <c r="C78" s="9">
        <v>0.57638888888888895</v>
      </c>
      <c r="D78" s="8" t="s">
        <v>337</v>
      </c>
      <c r="E78" s="8" t="s">
        <v>430</v>
      </c>
      <c r="F78" s="8" t="s">
        <v>1032</v>
      </c>
      <c r="G78" s="304"/>
      <c r="H78" s="10"/>
      <c r="I78" s="11"/>
      <c r="J78" s="11"/>
      <c r="K78" s="11"/>
      <c r="L78" s="11"/>
      <c r="M78" s="11"/>
      <c r="N78" s="11"/>
      <c r="O78" s="12"/>
      <c r="P78" s="11"/>
      <c r="Q78" s="13"/>
      <c r="R78" s="14"/>
    </row>
    <row r="79" spans="1:18" ht="15" customHeight="1" x14ac:dyDescent="0.3">
      <c r="A79" s="15" t="s">
        <v>41</v>
      </c>
      <c r="B79" s="15" t="s">
        <v>1030</v>
      </c>
      <c r="C79" s="16">
        <v>0.57638888888888895</v>
      </c>
      <c r="D79" s="15" t="s">
        <v>43</v>
      </c>
      <c r="E79" s="15" t="s">
        <v>349</v>
      </c>
      <c r="F79" s="15" t="s">
        <v>1032</v>
      </c>
      <c r="G79" s="298"/>
      <c r="H79" s="10"/>
      <c r="I79" s="11"/>
      <c r="J79" s="11"/>
      <c r="K79" s="11"/>
      <c r="L79" s="11"/>
      <c r="M79" s="11"/>
      <c r="N79" s="11"/>
      <c r="O79" s="12"/>
      <c r="P79" s="11"/>
      <c r="Q79" s="13"/>
      <c r="R79" s="14"/>
    </row>
    <row r="80" spans="1:18" ht="15" customHeight="1" x14ac:dyDescent="0.3">
      <c r="A80" s="15" t="s">
        <v>41</v>
      </c>
      <c r="B80" s="15" t="s">
        <v>1030</v>
      </c>
      <c r="C80" s="16">
        <v>0.57638888888888895</v>
      </c>
      <c r="D80" s="15" t="s">
        <v>45</v>
      </c>
      <c r="E80" s="15" t="s">
        <v>349</v>
      </c>
      <c r="F80" s="15" t="s">
        <v>338</v>
      </c>
      <c r="G80" s="298"/>
      <c r="H80" s="10"/>
      <c r="I80" s="11"/>
      <c r="J80" s="11"/>
      <c r="K80" s="11"/>
      <c r="L80" s="11"/>
      <c r="M80" s="11"/>
      <c r="N80" s="11"/>
      <c r="O80" s="12"/>
      <c r="P80" s="11"/>
      <c r="Q80" s="13"/>
      <c r="R80" s="14"/>
    </row>
    <row r="81" spans="1:18" ht="15" customHeight="1" x14ac:dyDescent="0.3">
      <c r="A81" s="15" t="s">
        <v>41</v>
      </c>
      <c r="B81" s="15" t="s">
        <v>1030</v>
      </c>
      <c r="C81" s="16">
        <v>0.57638888888888895</v>
      </c>
      <c r="D81" s="15" t="s">
        <v>46</v>
      </c>
      <c r="E81" s="15" t="s">
        <v>349</v>
      </c>
      <c r="F81" s="15" t="s">
        <v>532</v>
      </c>
      <c r="G81" s="298"/>
      <c r="H81" s="10"/>
      <c r="I81" s="11"/>
      <c r="J81" s="11"/>
      <c r="K81" s="11"/>
      <c r="L81" s="11"/>
      <c r="M81" s="11"/>
      <c r="N81" s="11"/>
      <c r="O81" s="12"/>
      <c r="P81" s="11"/>
      <c r="Q81" s="13"/>
      <c r="R81" s="14"/>
    </row>
    <row r="82" spans="1:18" ht="15" customHeight="1" x14ac:dyDescent="0.3">
      <c r="A82" s="17" t="s">
        <v>41</v>
      </c>
      <c r="B82" s="17" t="s">
        <v>1034</v>
      </c>
      <c r="C82" s="18">
        <v>0.62847222222222221</v>
      </c>
      <c r="D82" s="17" t="s">
        <v>337</v>
      </c>
      <c r="E82" s="17" t="s">
        <v>1075</v>
      </c>
      <c r="F82" s="17" t="s">
        <v>1032</v>
      </c>
      <c r="G82" s="298"/>
      <c r="H82" s="10"/>
      <c r="I82" s="11"/>
      <c r="J82" s="11"/>
      <c r="K82" s="11"/>
      <c r="L82" s="11"/>
      <c r="M82" s="11"/>
      <c r="N82" s="11"/>
      <c r="O82" s="12"/>
      <c r="P82" s="11"/>
      <c r="Q82" s="13"/>
      <c r="R82" s="14"/>
    </row>
    <row r="83" spans="1:18" ht="15" customHeight="1" x14ac:dyDescent="0.3">
      <c r="A83" s="15" t="s">
        <v>41</v>
      </c>
      <c r="B83" s="15" t="s">
        <v>1034</v>
      </c>
      <c r="C83" s="16">
        <v>0.62847222222222221</v>
      </c>
      <c r="D83" s="15" t="s">
        <v>43</v>
      </c>
      <c r="E83" s="15" t="s">
        <v>1076</v>
      </c>
      <c r="F83" s="15" t="s">
        <v>1032</v>
      </c>
      <c r="G83" s="298"/>
      <c r="H83" s="10"/>
      <c r="I83" s="11"/>
      <c r="J83" s="11"/>
      <c r="K83" s="11"/>
      <c r="L83" s="11"/>
      <c r="M83" s="11"/>
      <c r="N83" s="11"/>
      <c r="O83" s="12"/>
      <c r="P83" s="11"/>
      <c r="Q83" s="13"/>
      <c r="R83" s="14"/>
    </row>
    <row r="84" spans="1:18" ht="15" customHeight="1" x14ac:dyDescent="0.3">
      <c r="A84" s="15" t="s">
        <v>41</v>
      </c>
      <c r="B84" s="15" t="s">
        <v>1034</v>
      </c>
      <c r="C84" s="16">
        <v>0.62847222222222221</v>
      </c>
      <c r="D84" s="15" t="s">
        <v>45</v>
      </c>
      <c r="E84" s="15" t="s">
        <v>1076</v>
      </c>
      <c r="F84" s="15" t="s">
        <v>338</v>
      </c>
      <c r="G84" s="298"/>
      <c r="H84" s="10"/>
      <c r="I84" s="11"/>
      <c r="J84" s="11"/>
      <c r="K84" s="11"/>
      <c r="L84" s="11"/>
      <c r="M84" s="11"/>
      <c r="N84" s="11"/>
      <c r="O84" s="12"/>
      <c r="P84" s="11"/>
      <c r="Q84" s="13"/>
      <c r="R84" s="14"/>
    </row>
    <row r="85" spans="1:18" ht="15" customHeight="1" x14ac:dyDescent="0.3">
      <c r="A85" s="15" t="s">
        <v>41</v>
      </c>
      <c r="B85" s="15" t="s">
        <v>1034</v>
      </c>
      <c r="C85" s="16">
        <v>0.62847222222222221</v>
      </c>
      <c r="D85" s="15" t="s">
        <v>46</v>
      </c>
      <c r="E85" s="15" t="s">
        <v>1076</v>
      </c>
      <c r="F85" s="15" t="s">
        <v>1077</v>
      </c>
      <c r="G85" s="298"/>
      <c r="H85" s="10"/>
      <c r="I85" s="11"/>
      <c r="J85" s="11"/>
      <c r="K85" s="11"/>
      <c r="L85" s="11"/>
      <c r="M85" s="11"/>
      <c r="N85" s="11"/>
      <c r="O85" s="12"/>
      <c r="P85" s="11"/>
      <c r="Q85" s="13"/>
      <c r="R85" s="14"/>
    </row>
    <row r="86" spans="1:18" ht="15" customHeight="1" x14ac:dyDescent="0.3">
      <c r="A86" s="17" t="s">
        <v>41</v>
      </c>
      <c r="B86" s="17" t="s">
        <v>1037</v>
      </c>
      <c r="C86" s="18">
        <v>0.88888888888888884</v>
      </c>
      <c r="D86" s="17" t="s">
        <v>337</v>
      </c>
      <c r="E86" s="17" t="s">
        <v>1078</v>
      </c>
      <c r="F86" s="17" t="s">
        <v>1079</v>
      </c>
      <c r="G86" s="298"/>
      <c r="H86" s="10"/>
      <c r="I86" s="11"/>
      <c r="J86" s="11"/>
      <c r="K86" s="11"/>
      <c r="L86" s="11"/>
      <c r="M86" s="11"/>
      <c r="N86" s="11"/>
      <c r="O86" s="12"/>
      <c r="P86" s="11"/>
      <c r="Q86" s="13"/>
      <c r="R86" s="14"/>
    </row>
    <row r="87" spans="1:18" ht="15" customHeight="1" x14ac:dyDescent="0.3">
      <c r="A87" s="15" t="s">
        <v>41</v>
      </c>
      <c r="B87" s="15" t="s">
        <v>1037</v>
      </c>
      <c r="C87" s="16">
        <v>0.88888888888888884</v>
      </c>
      <c r="D87" s="15" t="s">
        <v>43</v>
      </c>
      <c r="E87" s="15" t="s">
        <v>1080</v>
      </c>
      <c r="F87" s="15" t="s">
        <v>1079</v>
      </c>
      <c r="G87" s="298"/>
      <c r="H87" s="10"/>
      <c r="I87" s="11"/>
      <c r="J87" s="11"/>
      <c r="K87" s="11"/>
      <c r="L87" s="11"/>
      <c r="M87" s="11"/>
      <c r="N87" s="11"/>
      <c r="O87" s="12"/>
      <c r="P87" s="11"/>
      <c r="Q87" s="13"/>
      <c r="R87" s="14"/>
    </row>
    <row r="88" spans="1:18" ht="15" customHeight="1" x14ac:dyDescent="0.3">
      <c r="A88" s="15" t="s">
        <v>41</v>
      </c>
      <c r="B88" s="15" t="s">
        <v>1037</v>
      </c>
      <c r="C88" s="16">
        <v>0.88888888888888884</v>
      </c>
      <c r="D88" s="15" t="s">
        <v>45</v>
      </c>
      <c r="E88" s="15" t="s">
        <v>1080</v>
      </c>
      <c r="F88" s="15" t="s">
        <v>342</v>
      </c>
      <c r="G88" s="298"/>
      <c r="H88" s="10"/>
      <c r="I88" s="11"/>
      <c r="J88" s="11"/>
      <c r="K88" s="11"/>
      <c r="L88" s="11"/>
      <c r="M88" s="11"/>
      <c r="N88" s="11"/>
      <c r="O88" s="12"/>
      <c r="P88" s="11"/>
      <c r="Q88" s="13"/>
      <c r="R88" s="14"/>
    </row>
    <row r="89" spans="1:18" ht="15" customHeight="1" x14ac:dyDescent="0.3">
      <c r="A89" s="15" t="s">
        <v>41</v>
      </c>
      <c r="B89" s="15" t="s">
        <v>1037</v>
      </c>
      <c r="C89" s="16">
        <v>0.88888888888888884</v>
      </c>
      <c r="D89" s="15" t="s">
        <v>46</v>
      </c>
      <c r="E89" s="15" t="s">
        <v>1080</v>
      </c>
      <c r="F89" s="15" t="s">
        <v>1081</v>
      </c>
      <c r="G89" s="298"/>
      <c r="H89" s="10"/>
      <c r="I89" s="11"/>
      <c r="J89" s="11"/>
      <c r="K89" s="11"/>
      <c r="L89" s="11"/>
      <c r="M89" s="11"/>
      <c r="N89" s="11"/>
      <c r="O89" s="12"/>
      <c r="P89" s="11"/>
      <c r="Q89" s="13"/>
      <c r="R89" s="14"/>
    </row>
    <row r="90" spans="1:18" ht="15" customHeight="1" x14ac:dyDescent="0.3">
      <c r="A90" s="17" t="s">
        <v>41</v>
      </c>
      <c r="B90" s="17" t="s">
        <v>1040</v>
      </c>
      <c r="C90" s="18">
        <v>0.94444444444444453</v>
      </c>
      <c r="D90" s="17" t="s">
        <v>337</v>
      </c>
      <c r="E90" s="17" t="s">
        <v>1082</v>
      </c>
      <c r="F90" s="17" t="s">
        <v>1079</v>
      </c>
      <c r="G90" s="298"/>
      <c r="H90" s="10"/>
      <c r="I90" s="11"/>
      <c r="J90" s="11"/>
      <c r="K90" s="11"/>
      <c r="L90" s="11"/>
      <c r="M90" s="11"/>
      <c r="N90" s="11"/>
      <c r="O90" s="12"/>
      <c r="P90" s="11"/>
      <c r="Q90" s="13"/>
      <c r="R90" s="14"/>
    </row>
    <row r="91" spans="1:18" ht="15" customHeight="1" x14ac:dyDescent="0.3">
      <c r="A91" s="15" t="s">
        <v>41</v>
      </c>
      <c r="B91" s="15" t="s">
        <v>1040</v>
      </c>
      <c r="C91" s="16">
        <v>0.94444444444444453</v>
      </c>
      <c r="D91" s="15" t="s">
        <v>43</v>
      </c>
      <c r="E91" s="15" t="s">
        <v>1083</v>
      </c>
      <c r="F91" s="15" t="s">
        <v>1079</v>
      </c>
      <c r="G91" s="298"/>
      <c r="H91" s="10"/>
      <c r="I91" s="11"/>
      <c r="J91" s="11"/>
      <c r="K91" s="11"/>
      <c r="L91" s="11"/>
      <c r="M91" s="11"/>
      <c r="N91" s="11"/>
      <c r="O91" s="12"/>
      <c r="P91" s="11"/>
      <c r="Q91" s="13"/>
      <c r="R91" s="14"/>
    </row>
    <row r="92" spans="1:18" ht="15" customHeight="1" x14ac:dyDescent="0.3">
      <c r="A92" s="15" t="s">
        <v>41</v>
      </c>
      <c r="B92" s="15" t="s">
        <v>1040</v>
      </c>
      <c r="C92" s="16">
        <v>0.94444444444444453</v>
      </c>
      <c r="D92" s="15" t="s">
        <v>45</v>
      </c>
      <c r="E92" s="15" t="s">
        <v>1083</v>
      </c>
      <c r="F92" s="15" t="s">
        <v>342</v>
      </c>
      <c r="G92" s="298"/>
      <c r="H92" s="10"/>
      <c r="I92" s="11"/>
      <c r="J92" s="11"/>
      <c r="K92" s="11"/>
      <c r="L92" s="11"/>
      <c r="M92" s="11"/>
      <c r="N92" s="11"/>
      <c r="O92" s="12"/>
      <c r="P92" s="11"/>
      <c r="Q92" s="13"/>
      <c r="R92" s="14"/>
    </row>
    <row r="93" spans="1:18" ht="15" customHeight="1" x14ac:dyDescent="0.3">
      <c r="A93" s="15" t="s">
        <v>41</v>
      </c>
      <c r="B93" s="15" t="s">
        <v>1040</v>
      </c>
      <c r="C93" s="16">
        <v>0.94444444444444453</v>
      </c>
      <c r="D93" s="15" t="s">
        <v>46</v>
      </c>
      <c r="E93" s="15" t="s">
        <v>1083</v>
      </c>
      <c r="F93" s="15" t="s">
        <v>532</v>
      </c>
      <c r="G93" s="298"/>
      <c r="H93" s="10"/>
      <c r="I93" s="11"/>
      <c r="J93" s="11"/>
      <c r="K93" s="11"/>
      <c r="L93" s="11"/>
      <c r="M93" s="11"/>
      <c r="N93" s="11"/>
      <c r="O93" s="12"/>
      <c r="P93" s="11"/>
      <c r="Q93" s="13"/>
      <c r="R93" s="14"/>
    </row>
    <row r="94" spans="1:18" ht="15" customHeight="1" x14ac:dyDescent="0.3">
      <c r="A94" s="19" t="s">
        <v>26</v>
      </c>
      <c r="B94" s="19" t="s">
        <v>1023</v>
      </c>
      <c r="C94" s="20">
        <v>0.55902777777777779</v>
      </c>
      <c r="D94" s="19" t="s">
        <v>351</v>
      </c>
      <c r="E94" s="19" t="s">
        <v>111</v>
      </c>
      <c r="F94" s="19" t="s">
        <v>1022</v>
      </c>
      <c r="G94" s="298"/>
      <c r="H94" s="10"/>
      <c r="I94" s="11"/>
      <c r="J94" s="11"/>
      <c r="K94" s="11"/>
      <c r="L94" s="11"/>
      <c r="M94" s="11"/>
      <c r="N94" s="11"/>
      <c r="O94" s="12"/>
      <c r="P94" s="11"/>
      <c r="Q94" s="13"/>
      <c r="R94" s="14"/>
    </row>
    <row r="95" spans="1:18" ht="15" customHeight="1" x14ac:dyDescent="0.3">
      <c r="A95" s="15" t="s">
        <v>26</v>
      </c>
      <c r="B95" s="15" t="s">
        <v>1023</v>
      </c>
      <c r="C95" s="16">
        <v>0.55902777777777779</v>
      </c>
      <c r="D95" s="15" t="s">
        <v>28</v>
      </c>
      <c r="E95" s="15" t="s">
        <v>115</v>
      </c>
      <c r="F95" s="15" t="s">
        <v>1022</v>
      </c>
      <c r="G95" s="298"/>
      <c r="H95" s="10"/>
      <c r="I95" s="11"/>
      <c r="J95" s="11"/>
      <c r="K95" s="11"/>
      <c r="L95" s="11"/>
      <c r="M95" s="11"/>
      <c r="N95" s="11"/>
      <c r="O95" s="12"/>
      <c r="P95" s="11"/>
      <c r="Q95" s="13"/>
      <c r="R95" s="14"/>
    </row>
    <row r="96" spans="1:18" ht="15" customHeight="1" x14ac:dyDescent="0.3">
      <c r="A96" s="15" t="s">
        <v>26</v>
      </c>
      <c r="B96" s="15" t="s">
        <v>1023</v>
      </c>
      <c r="C96" s="16">
        <v>0.55902777777777779</v>
      </c>
      <c r="D96" s="15" t="s">
        <v>31</v>
      </c>
      <c r="E96" s="15" t="s">
        <v>115</v>
      </c>
      <c r="F96" s="15" t="s">
        <v>923</v>
      </c>
      <c r="G96" s="298"/>
      <c r="H96" s="10"/>
      <c r="I96" s="11"/>
      <c r="J96" s="11"/>
      <c r="K96" s="11"/>
      <c r="L96" s="11"/>
      <c r="M96" s="11"/>
      <c r="N96" s="11"/>
      <c r="O96" s="12"/>
      <c r="P96" s="11"/>
      <c r="Q96" s="13"/>
      <c r="R96" s="14"/>
    </row>
    <row r="97" spans="1:18" ht="15" customHeight="1" x14ac:dyDescent="0.3">
      <c r="A97" s="15" t="s">
        <v>26</v>
      </c>
      <c r="B97" s="15" t="s">
        <v>1023</v>
      </c>
      <c r="C97" s="16">
        <v>0.55902777777777779</v>
      </c>
      <c r="D97" s="15" t="s">
        <v>34</v>
      </c>
      <c r="E97" s="15" t="s">
        <v>115</v>
      </c>
      <c r="F97" s="15" t="s">
        <v>30</v>
      </c>
      <c r="G97" s="298"/>
      <c r="H97" s="10"/>
      <c r="I97" s="11"/>
      <c r="J97" s="11"/>
      <c r="K97" s="11"/>
      <c r="L97" s="11"/>
      <c r="M97" s="11"/>
      <c r="N97" s="11"/>
      <c r="O97" s="12"/>
      <c r="P97" s="11"/>
      <c r="Q97" s="13"/>
      <c r="R97" s="14"/>
    </row>
    <row r="98" spans="1:18" ht="15" customHeight="1" x14ac:dyDescent="0.3">
      <c r="A98" s="17" t="s">
        <v>26</v>
      </c>
      <c r="B98" s="17" t="s">
        <v>1029</v>
      </c>
      <c r="C98" s="18">
        <v>0.50694444444444442</v>
      </c>
      <c r="D98" s="17" t="s">
        <v>351</v>
      </c>
      <c r="E98" s="17" t="s">
        <v>69</v>
      </c>
      <c r="F98" s="17" t="s">
        <v>1022</v>
      </c>
      <c r="G98" s="298"/>
      <c r="H98" s="10"/>
      <c r="I98" s="11"/>
      <c r="J98" s="11"/>
      <c r="K98" s="11"/>
      <c r="L98" s="11"/>
      <c r="M98" s="11"/>
      <c r="N98" s="11"/>
      <c r="O98" s="12"/>
      <c r="P98" s="11"/>
      <c r="Q98" s="13"/>
      <c r="R98" s="14"/>
    </row>
    <row r="99" spans="1:18" ht="15" customHeight="1" x14ac:dyDescent="0.3">
      <c r="A99" s="15" t="s">
        <v>26</v>
      </c>
      <c r="B99" s="15" t="s">
        <v>1029</v>
      </c>
      <c r="C99" s="16">
        <v>0.50694444444444442</v>
      </c>
      <c r="D99" s="15" t="s">
        <v>28</v>
      </c>
      <c r="E99" s="15" t="s">
        <v>87</v>
      </c>
      <c r="F99" s="15" t="s">
        <v>1022</v>
      </c>
      <c r="G99" s="298"/>
      <c r="H99" s="10"/>
      <c r="I99" s="11"/>
      <c r="J99" s="11"/>
      <c r="K99" s="11"/>
      <c r="L99" s="11"/>
      <c r="M99" s="11"/>
      <c r="N99" s="11"/>
      <c r="O99" s="12"/>
      <c r="P99" s="11"/>
      <c r="Q99" s="13"/>
      <c r="R99" s="14"/>
    </row>
    <row r="100" spans="1:18" ht="15" customHeight="1" x14ac:dyDescent="0.3">
      <c r="A100" s="15" t="s">
        <v>26</v>
      </c>
      <c r="B100" s="15" t="s">
        <v>1029</v>
      </c>
      <c r="C100" s="16">
        <v>0.50694444444444442</v>
      </c>
      <c r="D100" s="15" t="s">
        <v>31</v>
      </c>
      <c r="E100" s="15" t="s">
        <v>87</v>
      </c>
      <c r="F100" s="15" t="s">
        <v>923</v>
      </c>
      <c r="G100" s="298"/>
      <c r="H100" s="10"/>
      <c r="I100" s="11"/>
      <c r="J100" s="11"/>
      <c r="K100" s="11"/>
      <c r="L100" s="11"/>
      <c r="M100" s="11"/>
      <c r="N100" s="11"/>
      <c r="O100" s="12"/>
      <c r="P100" s="11"/>
      <c r="Q100" s="13"/>
      <c r="R100" s="14"/>
    </row>
    <row r="101" spans="1:18" ht="15" customHeight="1" x14ac:dyDescent="0.3">
      <c r="A101" s="15" t="s">
        <v>26</v>
      </c>
      <c r="B101" s="15" t="s">
        <v>1029</v>
      </c>
      <c r="C101" s="16">
        <v>0.50694444444444442</v>
      </c>
      <c r="D101" s="15" t="s">
        <v>34</v>
      </c>
      <c r="E101" s="15" t="s">
        <v>87</v>
      </c>
      <c r="F101" s="15" t="s">
        <v>30</v>
      </c>
      <c r="G101" s="298"/>
      <c r="H101" s="10"/>
      <c r="I101" s="11"/>
      <c r="J101" s="11"/>
      <c r="K101" s="11"/>
      <c r="L101" s="11"/>
      <c r="M101" s="11"/>
      <c r="N101" s="11"/>
      <c r="O101" s="12"/>
      <c r="P101" s="11"/>
      <c r="Q101" s="13"/>
      <c r="R101" s="14"/>
    </row>
    <row r="102" spans="1:18" ht="15" customHeight="1" x14ac:dyDescent="0.3">
      <c r="A102" s="17" t="s">
        <v>26</v>
      </c>
      <c r="B102" s="17" t="s">
        <v>1026</v>
      </c>
      <c r="C102" s="18">
        <v>0.4375</v>
      </c>
      <c r="D102" s="17" t="s">
        <v>351</v>
      </c>
      <c r="E102" s="17" t="s">
        <v>72</v>
      </c>
      <c r="F102" s="17" t="s">
        <v>1027</v>
      </c>
      <c r="G102" s="298"/>
      <c r="H102" s="10"/>
      <c r="I102" s="11"/>
      <c r="J102" s="11"/>
      <c r="K102" s="11"/>
      <c r="L102" s="11"/>
      <c r="M102" s="11"/>
      <c r="N102" s="11"/>
      <c r="O102" s="12"/>
      <c r="P102" s="11"/>
      <c r="Q102" s="13"/>
      <c r="R102" s="14"/>
    </row>
    <row r="103" spans="1:18" ht="15" customHeight="1" x14ac:dyDescent="0.3">
      <c r="A103" s="15" t="s">
        <v>26</v>
      </c>
      <c r="B103" s="15" t="s">
        <v>1026</v>
      </c>
      <c r="C103" s="16">
        <v>0.4375</v>
      </c>
      <c r="D103" s="15" t="s">
        <v>28</v>
      </c>
      <c r="E103" s="15" t="s">
        <v>84</v>
      </c>
      <c r="F103" s="15" t="s">
        <v>1027</v>
      </c>
      <c r="G103" s="298"/>
      <c r="H103" s="10"/>
      <c r="I103" s="11"/>
      <c r="J103" s="11"/>
      <c r="K103" s="11"/>
      <c r="L103" s="11"/>
      <c r="M103" s="11"/>
      <c r="N103" s="11"/>
      <c r="O103" s="12"/>
      <c r="P103" s="11"/>
      <c r="Q103" s="13"/>
      <c r="R103" s="14"/>
    </row>
    <row r="104" spans="1:18" ht="15" customHeight="1" x14ac:dyDescent="0.3">
      <c r="A104" s="15" t="s">
        <v>26</v>
      </c>
      <c r="B104" s="15" t="s">
        <v>1026</v>
      </c>
      <c r="C104" s="16">
        <v>0.4375</v>
      </c>
      <c r="D104" s="15" t="s">
        <v>31</v>
      </c>
      <c r="E104" s="15" t="s">
        <v>84</v>
      </c>
      <c r="F104" s="15" t="s">
        <v>1028</v>
      </c>
      <c r="G104" s="298"/>
      <c r="H104" s="10"/>
      <c r="I104" s="11"/>
      <c r="J104" s="11"/>
      <c r="K104" s="11"/>
      <c r="L104" s="11"/>
      <c r="M104" s="11"/>
      <c r="N104" s="11"/>
      <c r="O104" s="12"/>
      <c r="P104" s="11"/>
      <c r="Q104" s="13"/>
      <c r="R104" s="14"/>
    </row>
    <row r="105" spans="1:18" ht="15" customHeight="1" x14ac:dyDescent="0.3">
      <c r="A105" s="15" t="s">
        <v>26</v>
      </c>
      <c r="B105" s="15" t="s">
        <v>1026</v>
      </c>
      <c r="C105" s="16">
        <v>0.4375</v>
      </c>
      <c r="D105" s="15" t="s">
        <v>34</v>
      </c>
      <c r="E105" s="15" t="s">
        <v>84</v>
      </c>
      <c r="F105" s="15" t="s">
        <v>44</v>
      </c>
      <c r="G105" s="298"/>
      <c r="H105" s="10"/>
      <c r="I105" s="11"/>
      <c r="J105" s="11"/>
      <c r="K105" s="11"/>
      <c r="L105" s="11"/>
      <c r="M105" s="11"/>
      <c r="N105" s="11"/>
      <c r="O105" s="12"/>
      <c r="P105" s="11"/>
      <c r="Q105" s="13"/>
      <c r="R105" s="14"/>
    </row>
    <row r="106" spans="1:18" ht="15" customHeight="1" x14ac:dyDescent="0.3">
      <c r="A106" s="17" t="s">
        <v>26</v>
      </c>
      <c r="B106" s="17" t="s">
        <v>1017</v>
      </c>
      <c r="C106" s="18">
        <v>0.95833333333333337</v>
      </c>
      <c r="D106" s="17" t="s">
        <v>351</v>
      </c>
      <c r="E106" s="17" t="s">
        <v>355</v>
      </c>
      <c r="F106" s="17" t="s">
        <v>1027</v>
      </c>
      <c r="G106" s="298"/>
      <c r="H106" s="10"/>
      <c r="I106" s="11"/>
      <c r="J106" s="11"/>
      <c r="K106" s="11"/>
      <c r="L106" s="11"/>
      <c r="M106" s="11"/>
      <c r="N106" s="11"/>
      <c r="O106" s="12"/>
      <c r="P106" s="11"/>
      <c r="Q106" s="13"/>
      <c r="R106" s="14"/>
    </row>
    <row r="107" spans="1:18" ht="15" customHeight="1" x14ac:dyDescent="0.3">
      <c r="A107" s="15" t="s">
        <v>26</v>
      </c>
      <c r="B107" s="15" t="s">
        <v>1017</v>
      </c>
      <c r="C107" s="16">
        <v>0.95833333333333337</v>
      </c>
      <c r="D107" s="15" t="s">
        <v>28</v>
      </c>
      <c r="E107" s="15" t="s">
        <v>115</v>
      </c>
      <c r="F107" s="15" t="s">
        <v>1027</v>
      </c>
      <c r="G107" s="298"/>
      <c r="H107" s="10"/>
      <c r="I107" s="11"/>
      <c r="J107" s="11"/>
      <c r="K107" s="11"/>
      <c r="L107" s="11"/>
      <c r="M107" s="11"/>
      <c r="N107" s="11"/>
      <c r="O107" s="12"/>
      <c r="P107" s="11"/>
      <c r="Q107" s="13"/>
      <c r="R107" s="14"/>
    </row>
    <row r="108" spans="1:18" ht="15" customHeight="1" x14ac:dyDescent="0.3">
      <c r="A108" s="15" t="s">
        <v>26</v>
      </c>
      <c r="B108" s="15" t="s">
        <v>1017</v>
      </c>
      <c r="C108" s="16">
        <v>0.95833333333333337</v>
      </c>
      <c r="D108" s="15" t="s">
        <v>31</v>
      </c>
      <c r="E108" s="15" t="s">
        <v>115</v>
      </c>
      <c r="F108" s="15" t="s">
        <v>1028</v>
      </c>
      <c r="G108" s="298"/>
      <c r="H108" s="10"/>
      <c r="I108" s="11"/>
      <c r="J108" s="11"/>
      <c r="K108" s="11"/>
      <c r="L108" s="11"/>
      <c r="M108" s="11"/>
      <c r="N108" s="11"/>
      <c r="O108" s="12"/>
      <c r="P108" s="11"/>
      <c r="Q108" s="13"/>
      <c r="R108" s="14"/>
    </row>
    <row r="109" spans="1:18" ht="15" customHeight="1" x14ac:dyDescent="0.3">
      <c r="A109" s="15" t="s">
        <v>26</v>
      </c>
      <c r="B109" s="15" t="s">
        <v>1017</v>
      </c>
      <c r="C109" s="16">
        <v>0.95833333333333337</v>
      </c>
      <c r="D109" s="15" t="s">
        <v>34</v>
      </c>
      <c r="E109" s="15" t="s">
        <v>115</v>
      </c>
      <c r="F109" s="15" t="s">
        <v>44</v>
      </c>
      <c r="G109" s="298"/>
      <c r="H109" s="10"/>
      <c r="I109" s="11"/>
      <c r="J109" s="11"/>
      <c r="K109" s="11"/>
      <c r="L109" s="11"/>
      <c r="M109" s="11"/>
      <c r="N109" s="11"/>
      <c r="O109" s="12"/>
      <c r="P109" s="11"/>
      <c r="Q109" s="13"/>
      <c r="R109" s="14"/>
    </row>
    <row r="110" spans="1:18" ht="15" customHeight="1" x14ac:dyDescent="0.3">
      <c r="A110" s="17" t="s">
        <v>26</v>
      </c>
      <c r="B110" s="17" t="s">
        <v>1021</v>
      </c>
      <c r="C110" s="18">
        <v>0.63194444444444442</v>
      </c>
      <c r="D110" s="17" t="s">
        <v>351</v>
      </c>
      <c r="E110" s="17" t="s">
        <v>37</v>
      </c>
      <c r="F110" s="17" t="s">
        <v>1027</v>
      </c>
      <c r="G110" s="298"/>
      <c r="H110" s="10"/>
      <c r="I110" s="11"/>
      <c r="J110" s="11"/>
      <c r="K110" s="11"/>
      <c r="L110" s="11"/>
      <c r="M110" s="11"/>
      <c r="N110" s="11"/>
      <c r="O110" s="12"/>
      <c r="P110" s="11"/>
      <c r="Q110" s="13"/>
      <c r="R110" s="14"/>
    </row>
    <row r="111" spans="1:18" ht="15" customHeight="1" x14ac:dyDescent="0.3">
      <c r="A111" s="15" t="s">
        <v>26</v>
      </c>
      <c r="B111" s="15" t="s">
        <v>1021</v>
      </c>
      <c r="C111" s="16">
        <v>0.63194444444444442</v>
      </c>
      <c r="D111" s="15" t="s">
        <v>28</v>
      </c>
      <c r="E111" s="15" t="s">
        <v>38</v>
      </c>
      <c r="F111" s="15" t="s">
        <v>1027</v>
      </c>
      <c r="G111" s="298"/>
      <c r="H111" s="10"/>
      <c r="I111" s="11"/>
      <c r="J111" s="11"/>
      <c r="K111" s="11"/>
      <c r="L111" s="11"/>
      <c r="M111" s="11"/>
      <c r="N111" s="11"/>
      <c r="O111" s="12"/>
      <c r="P111" s="11"/>
      <c r="Q111" s="13"/>
      <c r="R111" s="14"/>
    </row>
    <row r="112" spans="1:18" ht="15" customHeight="1" x14ac:dyDescent="0.3">
      <c r="A112" s="15" t="s">
        <v>26</v>
      </c>
      <c r="B112" s="15" t="s">
        <v>1021</v>
      </c>
      <c r="C112" s="16">
        <v>0.63194444444444442</v>
      </c>
      <c r="D112" s="15" t="s">
        <v>31</v>
      </c>
      <c r="E112" s="15" t="s">
        <v>38</v>
      </c>
      <c r="F112" s="15" t="s">
        <v>1028</v>
      </c>
      <c r="G112" s="298"/>
      <c r="H112" s="10"/>
      <c r="I112" s="11"/>
      <c r="J112" s="11"/>
      <c r="K112" s="11"/>
      <c r="L112" s="11"/>
      <c r="M112" s="11"/>
      <c r="N112" s="11"/>
      <c r="O112" s="12"/>
      <c r="P112" s="11"/>
      <c r="Q112" s="13"/>
      <c r="R112" s="14"/>
    </row>
    <row r="113" spans="1:18" ht="15" customHeight="1" x14ac:dyDescent="0.3">
      <c r="A113" s="15" t="s">
        <v>26</v>
      </c>
      <c r="B113" s="15" t="s">
        <v>1021</v>
      </c>
      <c r="C113" s="16">
        <v>0.63194444444444442</v>
      </c>
      <c r="D113" s="15" t="s">
        <v>34</v>
      </c>
      <c r="E113" s="15" t="s">
        <v>38</v>
      </c>
      <c r="F113" s="15" t="s">
        <v>44</v>
      </c>
      <c r="G113" s="298"/>
      <c r="H113" s="10"/>
      <c r="I113" s="11"/>
      <c r="J113" s="11"/>
      <c r="K113" s="11"/>
      <c r="L113" s="11"/>
      <c r="M113" s="11"/>
      <c r="N113" s="11"/>
      <c r="O113" s="12"/>
      <c r="P113" s="11"/>
      <c r="Q113" s="13"/>
      <c r="R113" s="14"/>
    </row>
    <row r="114" spans="1:18" ht="15" customHeight="1" x14ac:dyDescent="0.3">
      <c r="A114" s="17" t="s">
        <v>26</v>
      </c>
      <c r="B114" s="17" t="s">
        <v>1024</v>
      </c>
      <c r="C114" s="18">
        <v>0.81944444444444453</v>
      </c>
      <c r="D114" s="17" t="s">
        <v>351</v>
      </c>
      <c r="E114" s="17" t="s">
        <v>72</v>
      </c>
      <c r="F114" s="17" t="s">
        <v>1027</v>
      </c>
      <c r="G114" s="298"/>
      <c r="H114" s="10"/>
      <c r="I114" s="11"/>
      <c r="J114" s="11"/>
      <c r="K114" s="11"/>
      <c r="L114" s="11"/>
      <c r="M114" s="11"/>
      <c r="N114" s="11"/>
      <c r="O114" s="12"/>
      <c r="P114" s="11"/>
      <c r="Q114" s="13"/>
      <c r="R114" s="14"/>
    </row>
    <row r="115" spans="1:18" ht="15" customHeight="1" x14ac:dyDescent="0.3">
      <c r="A115" s="15" t="s">
        <v>26</v>
      </c>
      <c r="B115" s="15" t="s">
        <v>1024</v>
      </c>
      <c r="C115" s="16">
        <v>0.81944444444444453</v>
      </c>
      <c r="D115" s="15" t="s">
        <v>28</v>
      </c>
      <c r="E115" s="15" t="s">
        <v>84</v>
      </c>
      <c r="F115" s="15" t="s">
        <v>1027</v>
      </c>
      <c r="G115" s="298"/>
      <c r="H115" s="10"/>
      <c r="I115" s="11"/>
      <c r="J115" s="11"/>
      <c r="K115" s="11"/>
      <c r="L115" s="11"/>
      <c r="M115" s="11"/>
      <c r="N115" s="11"/>
      <c r="O115" s="12"/>
      <c r="P115" s="11"/>
      <c r="Q115" s="13"/>
      <c r="R115" s="14"/>
    </row>
    <row r="116" spans="1:18" ht="15" customHeight="1" x14ac:dyDescent="0.3">
      <c r="A116" s="15" t="s">
        <v>26</v>
      </c>
      <c r="B116" s="15" t="s">
        <v>1024</v>
      </c>
      <c r="C116" s="16">
        <v>0.81944444444444453</v>
      </c>
      <c r="D116" s="15" t="s">
        <v>31</v>
      </c>
      <c r="E116" s="15" t="s">
        <v>84</v>
      </c>
      <c r="F116" s="15" t="s">
        <v>1028</v>
      </c>
      <c r="G116" s="298"/>
      <c r="H116" s="10"/>
      <c r="I116" s="11"/>
      <c r="J116" s="11"/>
      <c r="K116" s="11"/>
      <c r="L116" s="11"/>
      <c r="M116" s="11"/>
      <c r="N116" s="11"/>
      <c r="O116" s="12"/>
      <c r="P116" s="11"/>
      <c r="Q116" s="13"/>
      <c r="R116" s="14"/>
    </row>
    <row r="117" spans="1:18" ht="15" customHeight="1" x14ac:dyDescent="0.3">
      <c r="A117" s="15" t="s">
        <v>26</v>
      </c>
      <c r="B117" s="15" t="s">
        <v>1024</v>
      </c>
      <c r="C117" s="16">
        <v>0.81944444444444453</v>
      </c>
      <c r="D117" s="15" t="s">
        <v>34</v>
      </c>
      <c r="E117" s="15" t="s">
        <v>84</v>
      </c>
      <c r="F117" s="15" t="s">
        <v>44</v>
      </c>
      <c r="G117" s="298"/>
      <c r="H117" s="10"/>
      <c r="I117" s="11"/>
      <c r="J117" s="11"/>
      <c r="K117" s="11"/>
      <c r="L117" s="11"/>
      <c r="M117" s="11"/>
      <c r="N117" s="11"/>
      <c r="O117" s="12"/>
      <c r="P117" s="11"/>
      <c r="Q117" s="13"/>
      <c r="R117" s="14"/>
    </row>
    <row r="118" spans="1:18" ht="15" customHeight="1" x14ac:dyDescent="0.3">
      <c r="A118" s="17" t="s">
        <v>26</v>
      </c>
      <c r="B118" s="17" t="s">
        <v>1025</v>
      </c>
      <c r="C118" s="18">
        <v>0.69791666666666663</v>
      </c>
      <c r="D118" s="17" t="s">
        <v>351</v>
      </c>
      <c r="E118" s="17" t="s">
        <v>37</v>
      </c>
      <c r="F118" s="17" t="s">
        <v>1027</v>
      </c>
      <c r="G118" s="298"/>
      <c r="H118" s="10"/>
      <c r="I118" s="11"/>
      <c r="J118" s="11"/>
      <c r="K118" s="11"/>
      <c r="L118" s="11"/>
      <c r="M118" s="11"/>
      <c r="N118" s="11"/>
      <c r="O118" s="12"/>
      <c r="P118" s="11"/>
      <c r="Q118" s="13"/>
      <c r="R118" s="14"/>
    </row>
    <row r="119" spans="1:18" ht="15" customHeight="1" x14ac:dyDescent="0.3">
      <c r="A119" s="15" t="s">
        <v>26</v>
      </c>
      <c r="B119" s="15" t="s">
        <v>1025</v>
      </c>
      <c r="C119" s="16">
        <v>0.69791666666666663</v>
      </c>
      <c r="D119" s="15" t="s">
        <v>28</v>
      </c>
      <c r="E119" s="15" t="s">
        <v>38</v>
      </c>
      <c r="F119" s="15" t="s">
        <v>1027</v>
      </c>
      <c r="G119" s="298"/>
      <c r="H119" s="10"/>
      <c r="I119" s="11"/>
      <c r="J119" s="11"/>
      <c r="K119" s="11"/>
      <c r="L119" s="11"/>
      <c r="M119" s="11"/>
      <c r="N119" s="11"/>
      <c r="O119" s="12"/>
      <c r="P119" s="11"/>
      <c r="Q119" s="13"/>
      <c r="R119" s="14"/>
    </row>
    <row r="120" spans="1:18" ht="15" customHeight="1" x14ac:dyDescent="0.3">
      <c r="A120" s="15" t="s">
        <v>26</v>
      </c>
      <c r="B120" s="15" t="s">
        <v>1025</v>
      </c>
      <c r="C120" s="16">
        <v>0.69791666666666663</v>
      </c>
      <c r="D120" s="15" t="s">
        <v>31</v>
      </c>
      <c r="E120" s="15" t="s">
        <v>38</v>
      </c>
      <c r="F120" s="15" t="s">
        <v>1028</v>
      </c>
      <c r="G120" s="298"/>
      <c r="H120" s="10"/>
      <c r="I120" s="11"/>
      <c r="J120" s="11"/>
      <c r="K120" s="11"/>
      <c r="L120" s="11"/>
      <c r="M120" s="11"/>
      <c r="N120" s="11"/>
      <c r="O120" s="12"/>
      <c r="P120" s="11"/>
      <c r="Q120" s="13"/>
      <c r="R120" s="14"/>
    </row>
    <row r="121" spans="1:18" ht="15" customHeight="1" x14ac:dyDescent="0.3">
      <c r="A121" s="15" t="s">
        <v>26</v>
      </c>
      <c r="B121" s="15" t="s">
        <v>1025</v>
      </c>
      <c r="C121" s="16">
        <v>0.69791666666666663</v>
      </c>
      <c r="D121" s="15" t="s">
        <v>34</v>
      </c>
      <c r="E121" s="15" t="s">
        <v>38</v>
      </c>
      <c r="F121" s="15" t="s">
        <v>44</v>
      </c>
      <c r="G121" s="298"/>
      <c r="H121" s="10"/>
      <c r="I121" s="11"/>
      <c r="J121" s="11"/>
      <c r="K121" s="11"/>
      <c r="L121" s="11"/>
      <c r="M121" s="11"/>
      <c r="N121" s="11"/>
      <c r="O121" s="12"/>
      <c r="P121" s="11"/>
      <c r="Q121" s="13"/>
      <c r="R121" s="14"/>
    </row>
    <row r="122" spans="1:18" ht="15" customHeight="1" x14ac:dyDescent="0.3">
      <c r="A122" s="19" t="s">
        <v>385</v>
      </c>
      <c r="B122" s="19" t="s">
        <v>1043</v>
      </c>
      <c r="C122" s="20">
        <v>0.21180555555555561</v>
      </c>
      <c r="D122" s="19" t="s">
        <v>101</v>
      </c>
      <c r="E122" s="19" t="s">
        <v>118</v>
      </c>
      <c r="F122" s="19" t="s">
        <v>1047</v>
      </c>
      <c r="G122" s="298"/>
      <c r="H122" s="10"/>
      <c r="I122" s="11"/>
      <c r="J122" s="11"/>
      <c r="K122" s="11"/>
      <c r="L122" s="11"/>
      <c r="M122" s="11"/>
      <c r="N122" s="11"/>
      <c r="O122" s="12"/>
      <c r="P122" s="11"/>
      <c r="Q122" s="13"/>
      <c r="R122" s="14"/>
    </row>
    <row r="123" spans="1:18" ht="15" customHeight="1" x14ac:dyDescent="0.3">
      <c r="A123" s="19" t="s">
        <v>458</v>
      </c>
      <c r="B123" s="19" t="s">
        <v>1048</v>
      </c>
      <c r="C123" s="20">
        <v>9.0277777777777776E-2</v>
      </c>
      <c r="D123" s="19" t="s">
        <v>101</v>
      </c>
      <c r="E123" s="19" t="s">
        <v>63</v>
      </c>
      <c r="F123" s="19" t="s">
        <v>1051</v>
      </c>
      <c r="G123" s="298"/>
      <c r="H123" s="10"/>
      <c r="I123" s="11"/>
      <c r="J123" s="11"/>
      <c r="K123" s="11"/>
      <c r="L123" s="11"/>
      <c r="M123" s="11"/>
      <c r="N123" s="11"/>
      <c r="O123" s="12"/>
      <c r="P123" s="11"/>
      <c r="Q123" s="13"/>
      <c r="R123" s="14"/>
    </row>
    <row r="124" spans="1:18" ht="15" customHeight="1" x14ac:dyDescent="0.3">
      <c r="A124" s="144" t="s">
        <v>77</v>
      </c>
      <c r="B124" s="144" t="s">
        <v>1052</v>
      </c>
      <c r="C124" s="145">
        <v>0.40625</v>
      </c>
      <c r="D124" s="144" t="s">
        <v>101</v>
      </c>
      <c r="E124" s="144" t="s">
        <v>63</v>
      </c>
      <c r="F124" s="144" t="s">
        <v>338</v>
      </c>
      <c r="G124" s="298"/>
      <c r="H124" s="147" t="s">
        <v>1054</v>
      </c>
      <c r="I124" s="252">
        <v>0.51959999999999995</v>
      </c>
      <c r="J124" s="149">
        <v>93</v>
      </c>
      <c r="K124" s="150">
        <v>45980</v>
      </c>
      <c r="L124" s="149">
        <v>46</v>
      </c>
      <c r="M124" s="149">
        <v>2</v>
      </c>
      <c r="N124" s="149">
        <v>6</v>
      </c>
      <c r="O124" s="151" t="s">
        <v>215</v>
      </c>
      <c r="P124" s="152">
        <v>0.40625</v>
      </c>
      <c r="Q124" s="149">
        <v>179</v>
      </c>
      <c r="R124" s="153" t="s">
        <v>1084</v>
      </c>
    </row>
    <row r="125" spans="1:18" ht="15" customHeight="1" x14ac:dyDescent="0.3">
      <c r="A125" s="222" t="s">
        <v>77</v>
      </c>
      <c r="B125" s="222" t="s">
        <v>1085</v>
      </c>
      <c r="C125" s="223">
        <v>0.72569444444444453</v>
      </c>
      <c r="D125" s="222" t="s">
        <v>101</v>
      </c>
      <c r="E125" s="222" t="s">
        <v>54</v>
      </c>
      <c r="F125" s="222" t="s">
        <v>338</v>
      </c>
      <c r="G125" s="298"/>
      <c r="H125" s="206" t="s">
        <v>1086</v>
      </c>
      <c r="I125" s="253">
        <v>0.44130000000000003</v>
      </c>
      <c r="J125" s="208">
        <v>79</v>
      </c>
      <c r="K125" s="209">
        <v>45980</v>
      </c>
      <c r="L125" s="208">
        <v>28</v>
      </c>
      <c r="M125" s="208">
        <v>1</v>
      </c>
      <c r="N125" s="208">
        <v>6</v>
      </c>
      <c r="O125" s="210" t="s">
        <v>215</v>
      </c>
      <c r="P125" s="211">
        <v>0.72569444444444453</v>
      </c>
      <c r="Q125" s="208">
        <v>179</v>
      </c>
      <c r="R125" s="212" t="s">
        <v>1087</v>
      </c>
    </row>
    <row r="126" spans="1:18" ht="15" customHeight="1" x14ac:dyDescent="0.3">
      <c r="A126" s="19" t="s">
        <v>60</v>
      </c>
      <c r="B126" s="19" t="s">
        <v>1073</v>
      </c>
      <c r="C126" s="20">
        <v>0.82986111111111116</v>
      </c>
      <c r="D126" s="19" t="s">
        <v>62</v>
      </c>
      <c r="E126" s="19" t="s">
        <v>118</v>
      </c>
      <c r="F126" s="19" t="s">
        <v>1065</v>
      </c>
      <c r="G126" s="298"/>
      <c r="H126" s="10"/>
      <c r="I126" s="11"/>
      <c r="J126" s="11"/>
      <c r="K126" s="11"/>
      <c r="L126" s="11"/>
      <c r="M126" s="11"/>
      <c r="N126" s="11"/>
      <c r="O126" s="12"/>
      <c r="P126" s="11"/>
      <c r="Q126" s="13"/>
      <c r="R126" s="14"/>
    </row>
    <row r="127" spans="1:18" ht="15" customHeight="1" x14ac:dyDescent="0.3">
      <c r="A127" s="15" t="s">
        <v>60</v>
      </c>
      <c r="B127" s="15" t="s">
        <v>1073</v>
      </c>
      <c r="C127" s="16">
        <v>0.82986111111111116</v>
      </c>
      <c r="D127" s="15" t="s">
        <v>65</v>
      </c>
      <c r="E127" s="15" t="s">
        <v>119</v>
      </c>
      <c r="F127" s="15" t="s">
        <v>1066</v>
      </c>
      <c r="G127" s="298"/>
      <c r="H127" s="10"/>
      <c r="I127" s="11"/>
      <c r="J127" s="11"/>
      <c r="K127" s="11"/>
      <c r="L127" s="11"/>
      <c r="M127" s="11"/>
      <c r="N127" s="11"/>
      <c r="O127" s="12"/>
      <c r="P127" s="11"/>
      <c r="Q127" s="13"/>
      <c r="R127" s="14"/>
    </row>
    <row r="128" spans="1:18" ht="15" customHeight="1" x14ac:dyDescent="0.3">
      <c r="A128" s="17" t="s">
        <v>60</v>
      </c>
      <c r="B128" s="17" t="s">
        <v>1067</v>
      </c>
      <c r="C128" s="18">
        <v>0.88888888888888884</v>
      </c>
      <c r="D128" s="17" t="s">
        <v>50</v>
      </c>
      <c r="E128" s="17" t="s">
        <v>72</v>
      </c>
      <c r="F128" s="17" t="s">
        <v>1068</v>
      </c>
      <c r="G128" s="298"/>
      <c r="H128" s="10"/>
      <c r="I128" s="11"/>
      <c r="J128" s="11"/>
      <c r="K128" s="11"/>
      <c r="L128" s="11"/>
      <c r="M128" s="11"/>
      <c r="N128" s="11"/>
      <c r="O128" s="12"/>
      <c r="P128" s="11"/>
      <c r="Q128" s="13"/>
      <c r="R128" s="14"/>
    </row>
    <row r="129" spans="1:18" ht="15" customHeight="1" x14ac:dyDescent="0.3">
      <c r="A129" s="15" t="s">
        <v>60</v>
      </c>
      <c r="B129" s="15" t="s">
        <v>1067</v>
      </c>
      <c r="C129" s="16">
        <v>0.88888888888888884</v>
      </c>
      <c r="D129" s="15" t="s">
        <v>65</v>
      </c>
      <c r="E129" s="15" t="s">
        <v>84</v>
      </c>
      <c r="F129" s="15" t="s">
        <v>1068</v>
      </c>
      <c r="G129" s="298"/>
      <c r="H129" s="10"/>
      <c r="I129" s="11"/>
      <c r="J129" s="11"/>
      <c r="K129" s="11"/>
      <c r="L129" s="11"/>
      <c r="M129" s="11"/>
      <c r="N129" s="11"/>
      <c r="O129" s="12"/>
      <c r="P129" s="11"/>
      <c r="Q129" s="13"/>
      <c r="R129" s="14"/>
    </row>
    <row r="130" spans="1:18" ht="15" customHeight="1" x14ac:dyDescent="0.3">
      <c r="A130" s="17" t="s">
        <v>60</v>
      </c>
      <c r="B130" s="17" t="s">
        <v>1069</v>
      </c>
      <c r="C130" s="18">
        <v>0.62847222222222221</v>
      </c>
      <c r="D130" s="17" t="s">
        <v>65</v>
      </c>
      <c r="E130" s="17" t="s">
        <v>72</v>
      </c>
      <c r="F130" s="17" t="s">
        <v>1068</v>
      </c>
      <c r="G130" s="298"/>
      <c r="H130" s="10"/>
      <c r="I130" s="11"/>
      <c r="J130" s="11"/>
      <c r="K130" s="11"/>
      <c r="L130" s="11"/>
      <c r="M130" s="11"/>
      <c r="N130" s="11"/>
      <c r="O130" s="12"/>
      <c r="P130" s="11"/>
      <c r="Q130" s="13"/>
      <c r="R130" s="14"/>
    </row>
    <row r="131" spans="1:18" ht="15" customHeight="1" x14ac:dyDescent="0.3">
      <c r="A131" s="17" t="s">
        <v>60</v>
      </c>
      <c r="B131" s="17" t="s">
        <v>1070</v>
      </c>
      <c r="C131" s="18">
        <v>0.94444444444444453</v>
      </c>
      <c r="D131" s="17" t="s">
        <v>65</v>
      </c>
      <c r="E131" s="17" t="s">
        <v>72</v>
      </c>
      <c r="F131" s="17" t="s">
        <v>1068</v>
      </c>
      <c r="G131" s="298"/>
      <c r="H131" s="10"/>
      <c r="I131" s="11"/>
      <c r="J131" s="11"/>
      <c r="K131" s="11"/>
      <c r="L131" s="11"/>
      <c r="M131" s="11"/>
      <c r="N131" s="11"/>
      <c r="O131" s="12"/>
      <c r="P131" s="11"/>
      <c r="Q131" s="13"/>
      <c r="R131" s="14"/>
    </row>
    <row r="132" spans="1:18" ht="15" customHeight="1" x14ac:dyDescent="0.3">
      <c r="A132" s="17" t="s">
        <v>60</v>
      </c>
      <c r="B132" s="17" t="s">
        <v>1064</v>
      </c>
      <c r="C132" s="18">
        <v>0.98263888888888884</v>
      </c>
      <c r="D132" s="17" t="s">
        <v>65</v>
      </c>
      <c r="E132" s="17" t="s">
        <v>54</v>
      </c>
      <c r="F132" s="17" t="s">
        <v>1072</v>
      </c>
      <c r="G132" s="298"/>
      <c r="H132" s="10"/>
      <c r="I132" s="11"/>
      <c r="J132" s="11"/>
      <c r="K132" s="11"/>
      <c r="L132" s="11"/>
      <c r="M132" s="11"/>
      <c r="N132" s="11"/>
      <c r="O132" s="12"/>
      <c r="P132" s="11"/>
      <c r="Q132" s="13"/>
      <c r="R132" s="14"/>
    </row>
    <row r="133" spans="1:18" ht="15" customHeight="1" x14ac:dyDescent="0.3">
      <c r="A133" s="17" t="s">
        <v>60</v>
      </c>
      <c r="B133" s="17" t="s">
        <v>1074</v>
      </c>
      <c r="C133" s="18">
        <v>0.62847222222222221</v>
      </c>
      <c r="D133" s="17" t="s">
        <v>65</v>
      </c>
      <c r="E133" s="17" t="s">
        <v>54</v>
      </c>
      <c r="F133" s="17" t="s">
        <v>1072</v>
      </c>
      <c r="G133" s="298"/>
      <c r="H133" s="10"/>
      <c r="I133" s="11"/>
      <c r="J133" s="11"/>
      <c r="K133" s="11"/>
      <c r="L133" s="11"/>
      <c r="M133" s="11"/>
      <c r="N133" s="11"/>
      <c r="O133" s="12"/>
      <c r="P133" s="11"/>
      <c r="Q133" s="13"/>
      <c r="R133" s="14"/>
    </row>
    <row r="134" spans="1:18" ht="15" customHeight="1" x14ac:dyDescent="0.3">
      <c r="A134" s="17" t="s">
        <v>60</v>
      </c>
      <c r="B134" s="17" t="s">
        <v>1071</v>
      </c>
      <c r="C134" s="18">
        <v>0.44444444444444442</v>
      </c>
      <c r="D134" s="17" t="s">
        <v>65</v>
      </c>
      <c r="E134" s="17" t="s">
        <v>54</v>
      </c>
      <c r="F134" s="17" t="s">
        <v>1088</v>
      </c>
      <c r="G134" s="298"/>
      <c r="H134" s="10"/>
      <c r="I134" s="11"/>
      <c r="J134" s="11"/>
      <c r="K134" s="11"/>
      <c r="L134" s="11"/>
      <c r="M134" s="11"/>
      <c r="N134" s="11"/>
      <c r="O134" s="12"/>
      <c r="P134" s="11"/>
      <c r="Q134" s="13"/>
      <c r="R134" s="14"/>
    </row>
    <row r="135" spans="1:18" ht="15" customHeight="1" x14ac:dyDescent="0.3">
      <c r="A135" s="19" t="s">
        <v>48</v>
      </c>
      <c r="B135" s="19" t="s">
        <v>1059</v>
      </c>
      <c r="C135" s="20">
        <v>0.98263888888888884</v>
      </c>
      <c r="D135" s="19" t="s">
        <v>50</v>
      </c>
      <c r="E135" s="19" t="s">
        <v>83</v>
      </c>
      <c r="F135" s="19" t="s">
        <v>1089</v>
      </c>
      <c r="G135" s="298"/>
      <c r="H135" s="10"/>
      <c r="I135" s="11"/>
      <c r="J135" s="11"/>
      <c r="K135" s="11"/>
      <c r="L135" s="11"/>
      <c r="M135" s="11"/>
      <c r="N135" s="11"/>
      <c r="O135" s="12"/>
      <c r="P135" s="11"/>
      <c r="Q135" s="13"/>
      <c r="R135" s="14"/>
    </row>
    <row r="136" spans="1:18" ht="15" customHeight="1" x14ac:dyDescent="0.3">
      <c r="A136" s="17" t="s">
        <v>48</v>
      </c>
      <c r="B136" s="17" t="s">
        <v>1061</v>
      </c>
      <c r="C136" s="18">
        <v>0.35416666666666669</v>
      </c>
      <c r="D136" s="17" t="s">
        <v>50</v>
      </c>
      <c r="E136" s="17" t="s">
        <v>75</v>
      </c>
      <c r="F136" s="17" t="s">
        <v>1089</v>
      </c>
      <c r="G136" s="298"/>
      <c r="H136" s="10"/>
      <c r="I136" s="11"/>
      <c r="J136" s="11"/>
      <c r="K136" s="11"/>
      <c r="L136" s="11"/>
      <c r="M136" s="11"/>
      <c r="N136" s="11"/>
      <c r="O136" s="12"/>
      <c r="P136" s="11"/>
      <c r="Q136" s="13"/>
      <c r="R136" s="14"/>
    </row>
    <row r="137" spans="1:18" ht="15" customHeight="1" thickBot="1" x14ac:dyDescent="0.35">
      <c r="A137" s="39" t="s">
        <v>48</v>
      </c>
      <c r="B137" s="39" t="s">
        <v>1062</v>
      </c>
      <c r="C137" s="40">
        <v>0.72916666666666663</v>
      </c>
      <c r="D137" s="39" t="s">
        <v>50</v>
      </c>
      <c r="E137" s="39" t="s">
        <v>69</v>
      </c>
      <c r="F137" s="39" t="s">
        <v>1090</v>
      </c>
      <c r="G137" s="299"/>
      <c r="H137" s="41"/>
      <c r="I137" s="42"/>
      <c r="J137" s="42"/>
      <c r="K137" s="42"/>
      <c r="L137" s="42"/>
      <c r="M137" s="42"/>
      <c r="N137" s="42"/>
      <c r="O137" s="43"/>
      <c r="P137" s="42"/>
      <c r="Q137" s="44"/>
      <c r="R137" s="45"/>
    </row>
    <row r="138" spans="1:18" ht="17.399999999999999" customHeight="1" thickBot="1" x14ac:dyDescent="0.35">
      <c r="A138" s="329"/>
      <c r="B138" s="330"/>
      <c r="C138" s="330"/>
      <c r="D138" s="330"/>
      <c r="E138" s="330"/>
      <c r="F138" s="330"/>
      <c r="G138" s="330"/>
      <c r="H138" s="330"/>
      <c r="I138" s="330"/>
      <c r="J138" s="330"/>
      <c r="K138" s="330"/>
      <c r="L138" s="330"/>
      <c r="M138" s="330"/>
      <c r="N138" s="330"/>
      <c r="O138" s="330"/>
      <c r="P138" s="330"/>
      <c r="Q138" s="330"/>
      <c r="R138" s="331"/>
    </row>
    <row r="139" spans="1:18" ht="22.05" customHeight="1" thickTop="1" thickBot="1" x14ac:dyDescent="0.35">
      <c r="A139" s="300" t="s">
        <v>6</v>
      </c>
      <c r="B139" s="295"/>
      <c r="C139" s="295"/>
      <c r="D139" s="295"/>
      <c r="E139" s="295"/>
      <c r="F139" s="296"/>
      <c r="G139" s="31">
        <v>45983</v>
      </c>
      <c r="H139" s="294" t="s">
        <v>7</v>
      </c>
      <c r="I139" s="295"/>
      <c r="J139" s="295"/>
      <c r="K139" s="295"/>
      <c r="L139" s="295"/>
      <c r="M139" s="295"/>
      <c r="N139" s="295"/>
      <c r="O139" s="295"/>
      <c r="P139" s="295"/>
      <c r="Q139" s="295"/>
      <c r="R139" s="296"/>
    </row>
    <row r="140" spans="1:18" ht="24" customHeight="1" x14ac:dyDescent="0.3">
      <c r="A140" s="32" t="s">
        <v>8</v>
      </c>
      <c r="B140" s="32" t="s">
        <v>9</v>
      </c>
      <c r="C140" s="33" t="s">
        <v>10</v>
      </c>
      <c r="D140" s="32" t="s">
        <v>11</v>
      </c>
      <c r="E140" s="32" t="s">
        <v>12</v>
      </c>
      <c r="F140" s="34" t="s">
        <v>13</v>
      </c>
      <c r="G140" s="35" t="s">
        <v>14</v>
      </c>
      <c r="H140" s="32" t="s">
        <v>15</v>
      </c>
      <c r="I140" s="36" t="s">
        <v>16</v>
      </c>
      <c r="J140" s="37" t="s">
        <v>17</v>
      </c>
      <c r="K140" s="38" t="s">
        <v>18</v>
      </c>
      <c r="L140" s="37" t="s">
        <v>19</v>
      </c>
      <c r="M140" s="37" t="s">
        <v>20</v>
      </c>
      <c r="N140" s="37" t="s">
        <v>21</v>
      </c>
      <c r="O140" s="32" t="s">
        <v>22</v>
      </c>
      <c r="P140" s="33" t="s">
        <v>23</v>
      </c>
      <c r="Q140" s="37" t="s">
        <v>24</v>
      </c>
      <c r="R140" s="32" t="s">
        <v>25</v>
      </c>
    </row>
    <row r="141" spans="1:18" ht="15" customHeight="1" x14ac:dyDescent="0.3">
      <c r="A141" s="8" t="s">
        <v>26</v>
      </c>
      <c r="B141" s="8" t="s">
        <v>1026</v>
      </c>
      <c r="C141" s="9">
        <v>0.4375</v>
      </c>
      <c r="D141" s="8" t="s">
        <v>351</v>
      </c>
      <c r="E141" s="8" t="s">
        <v>138</v>
      </c>
      <c r="F141" s="8" t="s">
        <v>1091</v>
      </c>
      <c r="G141" s="304"/>
      <c r="H141" s="10"/>
      <c r="I141" s="11"/>
      <c r="J141" s="11"/>
      <c r="K141" s="11"/>
      <c r="L141" s="11"/>
      <c r="M141" s="11"/>
      <c r="N141" s="11"/>
      <c r="O141" s="12"/>
      <c r="P141" s="11"/>
      <c r="Q141" s="13"/>
      <c r="R141" s="14"/>
    </row>
    <row r="142" spans="1:18" ht="15" customHeight="1" x14ac:dyDescent="0.3">
      <c r="A142" s="15" t="s">
        <v>26</v>
      </c>
      <c r="B142" s="15" t="s">
        <v>1026</v>
      </c>
      <c r="C142" s="16">
        <v>0.4375</v>
      </c>
      <c r="D142" s="15" t="s">
        <v>28</v>
      </c>
      <c r="E142" s="15" t="s">
        <v>38</v>
      </c>
      <c r="F142" s="15" t="s">
        <v>1091</v>
      </c>
      <c r="G142" s="298"/>
      <c r="H142" s="10"/>
      <c r="I142" s="11"/>
      <c r="J142" s="11"/>
      <c r="K142" s="11"/>
      <c r="L142" s="11"/>
      <c r="M142" s="11"/>
      <c r="N142" s="11"/>
      <c r="O142" s="12"/>
      <c r="P142" s="11"/>
      <c r="Q142" s="13"/>
      <c r="R142" s="14"/>
    </row>
    <row r="143" spans="1:18" ht="15" customHeight="1" x14ac:dyDescent="0.3">
      <c r="A143" s="15" t="s">
        <v>26</v>
      </c>
      <c r="B143" s="15" t="s">
        <v>1026</v>
      </c>
      <c r="C143" s="16">
        <v>0.4375</v>
      </c>
      <c r="D143" s="15" t="s">
        <v>31</v>
      </c>
      <c r="E143" s="15" t="s">
        <v>38</v>
      </c>
      <c r="F143" s="15" t="s">
        <v>30</v>
      </c>
      <c r="G143" s="298"/>
      <c r="H143" s="10"/>
      <c r="I143" s="11"/>
      <c r="J143" s="11"/>
      <c r="K143" s="11"/>
      <c r="L143" s="11"/>
      <c r="M143" s="11"/>
      <c r="N143" s="11"/>
      <c r="O143" s="12"/>
      <c r="P143" s="11"/>
      <c r="Q143" s="13"/>
      <c r="R143" s="14"/>
    </row>
    <row r="144" spans="1:18" ht="15" customHeight="1" x14ac:dyDescent="0.3">
      <c r="A144" s="15" t="s">
        <v>26</v>
      </c>
      <c r="B144" s="15" t="s">
        <v>1026</v>
      </c>
      <c r="C144" s="16">
        <v>0.4375</v>
      </c>
      <c r="D144" s="15" t="s">
        <v>34</v>
      </c>
      <c r="E144" s="15" t="s">
        <v>38</v>
      </c>
      <c r="F144" s="15" t="s">
        <v>339</v>
      </c>
      <c r="G144" s="298"/>
      <c r="H144" s="10"/>
      <c r="I144" s="11"/>
      <c r="J144" s="11"/>
      <c r="K144" s="11"/>
      <c r="L144" s="11"/>
      <c r="M144" s="11"/>
      <c r="N144" s="11"/>
      <c r="O144" s="12"/>
      <c r="P144" s="11"/>
      <c r="Q144" s="13"/>
      <c r="R144" s="14"/>
    </row>
    <row r="145" spans="1:18" ht="15" customHeight="1" x14ac:dyDescent="0.3">
      <c r="A145" s="17" t="s">
        <v>26</v>
      </c>
      <c r="B145" s="17" t="s">
        <v>1029</v>
      </c>
      <c r="C145" s="18">
        <v>0.50694444444444442</v>
      </c>
      <c r="D145" s="17" t="s">
        <v>351</v>
      </c>
      <c r="E145" s="17" t="s">
        <v>37</v>
      </c>
      <c r="F145" s="17" t="s">
        <v>1091</v>
      </c>
      <c r="G145" s="298"/>
      <c r="H145" s="10"/>
      <c r="I145" s="11"/>
      <c r="J145" s="11"/>
      <c r="K145" s="11"/>
      <c r="L145" s="11"/>
      <c r="M145" s="11"/>
      <c r="N145" s="11"/>
      <c r="O145" s="12"/>
      <c r="P145" s="11"/>
      <c r="Q145" s="13"/>
      <c r="R145" s="14"/>
    </row>
    <row r="146" spans="1:18" ht="15" customHeight="1" x14ac:dyDescent="0.3">
      <c r="A146" s="15" t="s">
        <v>26</v>
      </c>
      <c r="B146" s="15" t="s">
        <v>1029</v>
      </c>
      <c r="C146" s="16">
        <v>0.50694444444444442</v>
      </c>
      <c r="D146" s="15" t="s">
        <v>28</v>
      </c>
      <c r="E146" s="15" t="s">
        <v>38</v>
      </c>
      <c r="F146" s="15" t="s">
        <v>1091</v>
      </c>
      <c r="G146" s="298"/>
      <c r="H146" s="10"/>
      <c r="I146" s="11"/>
      <c r="J146" s="11"/>
      <c r="K146" s="11"/>
      <c r="L146" s="11"/>
      <c r="M146" s="11"/>
      <c r="N146" s="11"/>
      <c r="O146" s="12"/>
      <c r="P146" s="11"/>
      <c r="Q146" s="13"/>
      <c r="R146" s="14"/>
    </row>
    <row r="147" spans="1:18" ht="15" customHeight="1" x14ac:dyDescent="0.3">
      <c r="A147" s="15" t="s">
        <v>26</v>
      </c>
      <c r="B147" s="15" t="s">
        <v>1029</v>
      </c>
      <c r="C147" s="16">
        <v>0.50694444444444442</v>
      </c>
      <c r="D147" s="15" t="s">
        <v>31</v>
      </c>
      <c r="E147" s="15" t="s">
        <v>38</v>
      </c>
      <c r="F147" s="15" t="s">
        <v>30</v>
      </c>
      <c r="G147" s="298"/>
      <c r="H147" s="10"/>
      <c r="I147" s="11"/>
      <c r="J147" s="11"/>
      <c r="K147" s="11"/>
      <c r="L147" s="11"/>
      <c r="M147" s="11"/>
      <c r="N147" s="11"/>
      <c r="O147" s="12"/>
      <c r="P147" s="11"/>
      <c r="Q147" s="13"/>
      <c r="R147" s="14"/>
    </row>
    <row r="148" spans="1:18" ht="15" customHeight="1" x14ac:dyDescent="0.3">
      <c r="A148" s="15" t="s">
        <v>26</v>
      </c>
      <c r="B148" s="15" t="s">
        <v>1029</v>
      </c>
      <c r="C148" s="16">
        <v>0.50694444444444442</v>
      </c>
      <c r="D148" s="15" t="s">
        <v>34</v>
      </c>
      <c r="E148" s="15" t="s">
        <v>38</v>
      </c>
      <c r="F148" s="15" t="s">
        <v>339</v>
      </c>
      <c r="G148" s="298"/>
      <c r="H148" s="10"/>
      <c r="I148" s="11"/>
      <c r="J148" s="11"/>
      <c r="K148" s="11"/>
      <c r="L148" s="11"/>
      <c r="M148" s="11"/>
      <c r="N148" s="11"/>
      <c r="O148" s="12"/>
      <c r="P148" s="11"/>
      <c r="Q148" s="13"/>
      <c r="R148" s="14"/>
    </row>
    <row r="149" spans="1:18" ht="15" customHeight="1" x14ac:dyDescent="0.3">
      <c r="A149" s="17" t="s">
        <v>26</v>
      </c>
      <c r="B149" s="17" t="s">
        <v>1021</v>
      </c>
      <c r="C149" s="18">
        <v>0.63194444444444442</v>
      </c>
      <c r="D149" s="17" t="s">
        <v>351</v>
      </c>
      <c r="E149" s="17" t="s">
        <v>37</v>
      </c>
      <c r="F149" s="17" t="s">
        <v>1028</v>
      </c>
      <c r="G149" s="298"/>
      <c r="H149" s="10"/>
      <c r="I149" s="11"/>
      <c r="J149" s="11"/>
      <c r="K149" s="11"/>
      <c r="L149" s="11"/>
      <c r="M149" s="11"/>
      <c r="N149" s="11"/>
      <c r="O149" s="12"/>
      <c r="P149" s="11"/>
      <c r="Q149" s="13"/>
      <c r="R149" s="14"/>
    </row>
    <row r="150" spans="1:18" ht="15" customHeight="1" x14ac:dyDescent="0.3">
      <c r="A150" s="15" t="s">
        <v>26</v>
      </c>
      <c r="B150" s="15" t="s">
        <v>1021</v>
      </c>
      <c r="C150" s="16">
        <v>0.63194444444444442</v>
      </c>
      <c r="D150" s="15" t="s">
        <v>28</v>
      </c>
      <c r="E150" s="15" t="s">
        <v>38</v>
      </c>
      <c r="F150" s="15" t="s">
        <v>1028</v>
      </c>
      <c r="G150" s="298"/>
      <c r="H150" s="10"/>
      <c r="I150" s="11"/>
      <c r="J150" s="11"/>
      <c r="K150" s="11"/>
      <c r="L150" s="11"/>
      <c r="M150" s="11"/>
      <c r="N150" s="11"/>
      <c r="O150" s="12"/>
      <c r="P150" s="11"/>
      <c r="Q150" s="13"/>
      <c r="R150" s="14"/>
    </row>
    <row r="151" spans="1:18" ht="15" customHeight="1" x14ac:dyDescent="0.3">
      <c r="A151" s="15" t="s">
        <v>26</v>
      </c>
      <c r="B151" s="15" t="s">
        <v>1021</v>
      </c>
      <c r="C151" s="16">
        <v>0.63194444444444442</v>
      </c>
      <c r="D151" s="15" t="s">
        <v>31</v>
      </c>
      <c r="E151" s="15" t="s">
        <v>38</v>
      </c>
      <c r="F151" s="15" t="s">
        <v>86</v>
      </c>
      <c r="G151" s="298"/>
      <c r="H151" s="10"/>
      <c r="I151" s="11"/>
      <c r="J151" s="11"/>
      <c r="K151" s="11"/>
      <c r="L151" s="11"/>
      <c r="M151" s="11"/>
      <c r="N151" s="11"/>
      <c r="O151" s="12"/>
      <c r="P151" s="11"/>
      <c r="Q151" s="13"/>
      <c r="R151" s="14"/>
    </row>
    <row r="152" spans="1:18" ht="15" customHeight="1" x14ac:dyDescent="0.3">
      <c r="A152" s="15" t="s">
        <v>26</v>
      </c>
      <c r="B152" s="15" t="s">
        <v>1021</v>
      </c>
      <c r="C152" s="16">
        <v>0.63194444444444442</v>
      </c>
      <c r="D152" s="15" t="s">
        <v>34</v>
      </c>
      <c r="E152" s="15" t="s">
        <v>38</v>
      </c>
      <c r="F152" s="15" t="s">
        <v>95</v>
      </c>
      <c r="G152" s="298"/>
      <c r="H152" s="10"/>
      <c r="I152" s="11"/>
      <c r="J152" s="11"/>
      <c r="K152" s="11"/>
      <c r="L152" s="11"/>
      <c r="M152" s="11"/>
      <c r="N152" s="11"/>
      <c r="O152" s="12"/>
      <c r="P152" s="11"/>
      <c r="Q152" s="13"/>
      <c r="R152" s="14"/>
    </row>
    <row r="153" spans="1:18" ht="15" customHeight="1" x14ac:dyDescent="0.3">
      <c r="A153" s="17" t="s">
        <v>26</v>
      </c>
      <c r="B153" s="17" t="s">
        <v>1023</v>
      </c>
      <c r="C153" s="18">
        <v>0.55902777777777779</v>
      </c>
      <c r="D153" s="17" t="s">
        <v>351</v>
      </c>
      <c r="E153" s="17" t="s">
        <v>37</v>
      </c>
      <c r="F153" s="17" t="s">
        <v>1028</v>
      </c>
      <c r="G153" s="298"/>
      <c r="H153" s="10"/>
      <c r="I153" s="11"/>
      <c r="J153" s="11"/>
      <c r="K153" s="11"/>
      <c r="L153" s="11"/>
      <c r="M153" s="11"/>
      <c r="N153" s="11"/>
      <c r="O153" s="12"/>
      <c r="P153" s="11"/>
      <c r="Q153" s="13"/>
      <c r="R153" s="14"/>
    </row>
    <row r="154" spans="1:18" ht="15" customHeight="1" x14ac:dyDescent="0.3">
      <c r="A154" s="15" t="s">
        <v>26</v>
      </c>
      <c r="B154" s="15" t="s">
        <v>1023</v>
      </c>
      <c r="C154" s="16">
        <v>0.55902777777777779</v>
      </c>
      <c r="D154" s="15" t="s">
        <v>28</v>
      </c>
      <c r="E154" s="15" t="s">
        <v>38</v>
      </c>
      <c r="F154" s="15" t="s">
        <v>1028</v>
      </c>
      <c r="G154" s="298"/>
      <c r="H154" s="10"/>
      <c r="I154" s="11"/>
      <c r="J154" s="11"/>
      <c r="K154" s="11"/>
      <c r="L154" s="11"/>
      <c r="M154" s="11"/>
      <c r="N154" s="11"/>
      <c r="O154" s="12"/>
      <c r="P154" s="11"/>
      <c r="Q154" s="13"/>
      <c r="R154" s="14"/>
    </row>
    <row r="155" spans="1:18" ht="15" customHeight="1" x14ac:dyDescent="0.3">
      <c r="A155" s="15" t="s">
        <v>26</v>
      </c>
      <c r="B155" s="15" t="s">
        <v>1023</v>
      </c>
      <c r="C155" s="16">
        <v>0.55902777777777779</v>
      </c>
      <c r="D155" s="15" t="s">
        <v>31</v>
      </c>
      <c r="E155" s="15" t="s">
        <v>38</v>
      </c>
      <c r="F155" s="15" t="s">
        <v>86</v>
      </c>
      <c r="G155" s="298"/>
      <c r="H155" s="10"/>
      <c r="I155" s="11"/>
      <c r="J155" s="11"/>
      <c r="K155" s="11"/>
      <c r="L155" s="11"/>
      <c r="M155" s="11"/>
      <c r="N155" s="11"/>
      <c r="O155" s="12"/>
      <c r="P155" s="11"/>
      <c r="Q155" s="13"/>
      <c r="R155" s="14"/>
    </row>
    <row r="156" spans="1:18" ht="15" customHeight="1" x14ac:dyDescent="0.3">
      <c r="A156" s="15" t="s">
        <v>26</v>
      </c>
      <c r="B156" s="15" t="s">
        <v>1023</v>
      </c>
      <c r="C156" s="16">
        <v>0.55902777777777779</v>
      </c>
      <c r="D156" s="15" t="s">
        <v>34</v>
      </c>
      <c r="E156" s="15" t="s">
        <v>38</v>
      </c>
      <c r="F156" s="15" t="s">
        <v>95</v>
      </c>
      <c r="G156" s="298"/>
      <c r="H156" s="10"/>
      <c r="I156" s="11"/>
      <c r="J156" s="11"/>
      <c r="K156" s="11"/>
      <c r="L156" s="11"/>
      <c r="M156" s="11"/>
      <c r="N156" s="11"/>
      <c r="O156" s="12"/>
      <c r="P156" s="11"/>
      <c r="Q156" s="13"/>
      <c r="R156" s="14"/>
    </row>
    <row r="157" spans="1:18" ht="15" customHeight="1" x14ac:dyDescent="0.3">
      <c r="A157" s="17" t="s">
        <v>26</v>
      </c>
      <c r="B157" s="17" t="s">
        <v>1017</v>
      </c>
      <c r="C157" s="18">
        <v>0.95833333333333337</v>
      </c>
      <c r="D157" s="17" t="s">
        <v>28</v>
      </c>
      <c r="E157" s="17" t="s">
        <v>355</v>
      </c>
      <c r="F157" s="17" t="s">
        <v>431</v>
      </c>
      <c r="G157" s="298"/>
      <c r="H157" s="10"/>
      <c r="I157" s="11"/>
      <c r="J157" s="11"/>
      <c r="K157" s="11"/>
      <c r="L157" s="11"/>
      <c r="M157" s="11"/>
      <c r="N157" s="11"/>
      <c r="O157" s="12"/>
      <c r="P157" s="11"/>
      <c r="Q157" s="13"/>
      <c r="R157" s="14"/>
    </row>
    <row r="158" spans="1:18" ht="15" customHeight="1" x14ac:dyDescent="0.3">
      <c r="A158" s="15" t="s">
        <v>26</v>
      </c>
      <c r="B158" s="15" t="s">
        <v>1017</v>
      </c>
      <c r="C158" s="16">
        <v>0.95833333333333337</v>
      </c>
      <c r="D158" s="15" t="s">
        <v>31</v>
      </c>
      <c r="E158" s="15" t="s">
        <v>115</v>
      </c>
      <c r="F158" s="15" t="s">
        <v>508</v>
      </c>
      <c r="G158" s="298"/>
      <c r="H158" s="10"/>
      <c r="I158" s="11"/>
      <c r="J158" s="11"/>
      <c r="K158" s="11"/>
      <c r="L158" s="11"/>
      <c r="M158" s="11"/>
      <c r="N158" s="11"/>
      <c r="O158" s="12"/>
      <c r="P158" s="11"/>
      <c r="Q158" s="13"/>
      <c r="R158" s="14"/>
    </row>
    <row r="159" spans="1:18" ht="15" customHeight="1" x14ac:dyDescent="0.3">
      <c r="A159" s="15" t="s">
        <v>26</v>
      </c>
      <c r="B159" s="15" t="s">
        <v>1017</v>
      </c>
      <c r="C159" s="16">
        <v>0.95833333333333337</v>
      </c>
      <c r="D159" s="15" t="s">
        <v>34</v>
      </c>
      <c r="E159" s="15" t="s">
        <v>115</v>
      </c>
      <c r="F159" s="15" t="s">
        <v>39</v>
      </c>
      <c r="G159" s="298"/>
      <c r="H159" s="10"/>
      <c r="I159" s="11"/>
      <c r="J159" s="11"/>
      <c r="K159" s="11"/>
      <c r="L159" s="11"/>
      <c r="M159" s="11"/>
      <c r="N159" s="11"/>
      <c r="O159" s="12"/>
      <c r="P159" s="11"/>
      <c r="Q159" s="13"/>
      <c r="R159" s="14"/>
    </row>
    <row r="160" spans="1:18" ht="15" customHeight="1" x14ac:dyDescent="0.3">
      <c r="A160" s="17" t="s">
        <v>26</v>
      </c>
      <c r="B160" s="17" t="s">
        <v>1024</v>
      </c>
      <c r="C160" s="18">
        <v>0.81944444444444453</v>
      </c>
      <c r="D160" s="17" t="s">
        <v>351</v>
      </c>
      <c r="E160" s="17" t="s">
        <v>144</v>
      </c>
      <c r="F160" s="17" t="s">
        <v>1092</v>
      </c>
      <c r="G160" s="298"/>
      <c r="H160" s="10"/>
      <c r="I160" s="11"/>
      <c r="J160" s="11"/>
      <c r="K160" s="11"/>
      <c r="L160" s="11"/>
      <c r="M160" s="11"/>
      <c r="N160" s="11"/>
      <c r="O160" s="12"/>
      <c r="P160" s="11"/>
      <c r="Q160" s="13"/>
      <c r="R160" s="14"/>
    </row>
    <row r="161" spans="1:18" ht="15" customHeight="1" x14ac:dyDescent="0.3">
      <c r="A161" s="15" t="s">
        <v>26</v>
      </c>
      <c r="B161" s="15" t="s">
        <v>1024</v>
      </c>
      <c r="C161" s="16">
        <v>0.81944444444444453</v>
      </c>
      <c r="D161" s="15" t="s">
        <v>28</v>
      </c>
      <c r="E161" s="15" t="s">
        <v>133</v>
      </c>
      <c r="F161" s="15" t="s">
        <v>1092</v>
      </c>
      <c r="G161" s="298"/>
      <c r="H161" s="10"/>
      <c r="I161" s="11"/>
      <c r="J161" s="11"/>
      <c r="K161" s="11"/>
      <c r="L161" s="11"/>
      <c r="M161" s="11"/>
      <c r="N161" s="11"/>
      <c r="O161" s="12"/>
      <c r="P161" s="11"/>
      <c r="Q161" s="13"/>
      <c r="R161" s="14"/>
    </row>
    <row r="162" spans="1:18" ht="15" customHeight="1" x14ac:dyDescent="0.3">
      <c r="A162" s="15" t="s">
        <v>26</v>
      </c>
      <c r="B162" s="15" t="s">
        <v>1024</v>
      </c>
      <c r="C162" s="16">
        <v>0.81944444444444453</v>
      </c>
      <c r="D162" s="15" t="s">
        <v>31</v>
      </c>
      <c r="E162" s="15" t="s">
        <v>133</v>
      </c>
      <c r="F162" s="15" t="s">
        <v>456</v>
      </c>
      <c r="G162" s="298"/>
      <c r="H162" s="10"/>
      <c r="I162" s="11"/>
      <c r="J162" s="11"/>
      <c r="K162" s="11"/>
      <c r="L162" s="11"/>
      <c r="M162" s="11"/>
      <c r="N162" s="11"/>
      <c r="O162" s="12"/>
      <c r="P162" s="11"/>
      <c r="Q162" s="13"/>
      <c r="R162" s="14"/>
    </row>
    <row r="163" spans="1:18" ht="15" customHeight="1" x14ac:dyDescent="0.3">
      <c r="A163" s="15" t="s">
        <v>26</v>
      </c>
      <c r="B163" s="15" t="s">
        <v>1024</v>
      </c>
      <c r="C163" s="16">
        <v>0.81944444444444453</v>
      </c>
      <c r="D163" s="15" t="s">
        <v>34</v>
      </c>
      <c r="E163" s="15" t="s">
        <v>133</v>
      </c>
      <c r="F163" s="15" t="s">
        <v>478</v>
      </c>
      <c r="G163" s="298"/>
      <c r="H163" s="10"/>
      <c r="I163" s="11"/>
      <c r="J163" s="11"/>
      <c r="K163" s="11"/>
      <c r="L163" s="11"/>
      <c r="M163" s="11"/>
      <c r="N163" s="11"/>
      <c r="O163" s="12"/>
      <c r="P163" s="11"/>
      <c r="Q163" s="13"/>
      <c r="R163" s="14"/>
    </row>
    <row r="164" spans="1:18" ht="15" customHeight="1" x14ac:dyDescent="0.3">
      <c r="A164" s="17" t="s">
        <v>26</v>
      </c>
      <c r="B164" s="17" t="s">
        <v>1025</v>
      </c>
      <c r="C164" s="18">
        <v>0.69791666666666663</v>
      </c>
      <c r="D164" s="17" t="s">
        <v>351</v>
      </c>
      <c r="E164" s="17" t="s">
        <v>37</v>
      </c>
      <c r="F164" s="17" t="s">
        <v>1092</v>
      </c>
      <c r="G164" s="298"/>
      <c r="H164" s="10"/>
      <c r="I164" s="11"/>
      <c r="J164" s="11"/>
      <c r="K164" s="11"/>
      <c r="L164" s="11"/>
      <c r="M164" s="11"/>
      <c r="N164" s="11"/>
      <c r="O164" s="12"/>
      <c r="P164" s="11"/>
      <c r="Q164" s="13"/>
      <c r="R164" s="14"/>
    </row>
    <row r="165" spans="1:18" ht="15" customHeight="1" x14ac:dyDescent="0.3">
      <c r="A165" s="15" t="s">
        <v>26</v>
      </c>
      <c r="B165" s="15" t="s">
        <v>1025</v>
      </c>
      <c r="C165" s="16">
        <v>0.69791666666666663</v>
      </c>
      <c r="D165" s="15" t="s">
        <v>28</v>
      </c>
      <c r="E165" s="15" t="s">
        <v>38</v>
      </c>
      <c r="F165" s="15" t="s">
        <v>1092</v>
      </c>
      <c r="G165" s="298"/>
      <c r="H165" s="10"/>
      <c r="I165" s="11"/>
      <c r="J165" s="11"/>
      <c r="K165" s="11"/>
      <c r="L165" s="11"/>
      <c r="M165" s="11"/>
      <c r="N165" s="11"/>
      <c r="O165" s="12"/>
      <c r="P165" s="11"/>
      <c r="Q165" s="13"/>
      <c r="R165" s="14"/>
    </row>
    <row r="166" spans="1:18" ht="15" customHeight="1" x14ac:dyDescent="0.3">
      <c r="A166" s="15" t="s">
        <v>26</v>
      </c>
      <c r="B166" s="15" t="s">
        <v>1025</v>
      </c>
      <c r="C166" s="16">
        <v>0.69791666666666663</v>
      </c>
      <c r="D166" s="15" t="s">
        <v>31</v>
      </c>
      <c r="E166" s="15" t="s">
        <v>38</v>
      </c>
      <c r="F166" s="15" t="s">
        <v>456</v>
      </c>
      <c r="G166" s="298"/>
      <c r="H166" s="10"/>
      <c r="I166" s="11"/>
      <c r="J166" s="11"/>
      <c r="K166" s="11"/>
      <c r="L166" s="11"/>
      <c r="M166" s="11"/>
      <c r="N166" s="11"/>
      <c r="O166" s="12"/>
      <c r="P166" s="11"/>
      <c r="Q166" s="13"/>
      <c r="R166" s="14"/>
    </row>
    <row r="167" spans="1:18" ht="15" customHeight="1" x14ac:dyDescent="0.3">
      <c r="A167" s="15" t="s">
        <v>26</v>
      </c>
      <c r="B167" s="15" t="s">
        <v>1025</v>
      </c>
      <c r="C167" s="16">
        <v>0.69791666666666663</v>
      </c>
      <c r="D167" s="15" t="s">
        <v>34</v>
      </c>
      <c r="E167" s="15" t="s">
        <v>38</v>
      </c>
      <c r="F167" s="15" t="s">
        <v>478</v>
      </c>
      <c r="G167" s="298"/>
      <c r="H167" s="10"/>
      <c r="I167" s="11"/>
      <c r="J167" s="11"/>
      <c r="K167" s="11"/>
      <c r="L167" s="11"/>
      <c r="M167" s="11"/>
      <c r="N167" s="11"/>
      <c r="O167" s="12"/>
      <c r="P167" s="11"/>
      <c r="Q167" s="13"/>
      <c r="R167" s="14"/>
    </row>
    <row r="168" spans="1:18" ht="15" customHeight="1" x14ac:dyDescent="0.3">
      <c r="A168" s="19" t="s">
        <v>41</v>
      </c>
      <c r="B168" s="19" t="s">
        <v>1030</v>
      </c>
      <c r="C168" s="20">
        <v>0.57638888888888895</v>
      </c>
      <c r="D168" s="19" t="s">
        <v>337</v>
      </c>
      <c r="E168" s="19" t="s">
        <v>118</v>
      </c>
      <c r="F168" s="19" t="s">
        <v>1093</v>
      </c>
      <c r="G168" s="298"/>
      <c r="H168" s="10"/>
      <c r="I168" s="11"/>
      <c r="J168" s="11"/>
      <c r="K168" s="11"/>
      <c r="L168" s="11"/>
      <c r="M168" s="11"/>
      <c r="N168" s="11"/>
      <c r="O168" s="12"/>
      <c r="P168" s="11"/>
      <c r="Q168" s="13"/>
      <c r="R168" s="14"/>
    </row>
    <row r="169" spans="1:18" ht="15" customHeight="1" x14ac:dyDescent="0.3">
      <c r="A169" s="15" t="s">
        <v>41</v>
      </c>
      <c r="B169" s="15" t="s">
        <v>1030</v>
      </c>
      <c r="C169" s="16">
        <v>0.57638888888888895</v>
      </c>
      <c r="D169" s="15" t="s">
        <v>43</v>
      </c>
      <c r="E169" s="15" t="s">
        <v>119</v>
      </c>
      <c r="F169" s="15" t="s">
        <v>1093</v>
      </c>
      <c r="G169" s="298"/>
      <c r="H169" s="10"/>
      <c r="I169" s="11"/>
      <c r="J169" s="11"/>
      <c r="K169" s="11"/>
      <c r="L169" s="11"/>
      <c r="M169" s="11"/>
      <c r="N169" s="11"/>
      <c r="O169" s="12"/>
      <c r="P169" s="11"/>
      <c r="Q169" s="13"/>
      <c r="R169" s="14"/>
    </row>
    <row r="170" spans="1:18" ht="15" customHeight="1" x14ac:dyDescent="0.3">
      <c r="A170" s="15" t="s">
        <v>41</v>
      </c>
      <c r="B170" s="15" t="s">
        <v>1030</v>
      </c>
      <c r="C170" s="16">
        <v>0.57638888888888895</v>
      </c>
      <c r="D170" s="15" t="s">
        <v>45</v>
      </c>
      <c r="E170" s="15" t="s">
        <v>119</v>
      </c>
      <c r="F170" s="15" t="s">
        <v>1092</v>
      </c>
      <c r="G170" s="298"/>
      <c r="H170" s="10"/>
      <c r="I170" s="11"/>
      <c r="J170" s="11"/>
      <c r="K170" s="11"/>
      <c r="L170" s="11"/>
      <c r="M170" s="11"/>
      <c r="N170" s="11"/>
      <c r="O170" s="12"/>
      <c r="P170" s="11"/>
      <c r="Q170" s="13"/>
      <c r="R170" s="14"/>
    </row>
    <row r="171" spans="1:18" ht="15" customHeight="1" x14ac:dyDescent="0.3">
      <c r="A171" s="15" t="s">
        <v>41</v>
      </c>
      <c r="B171" s="15" t="s">
        <v>1030</v>
      </c>
      <c r="C171" s="16">
        <v>0.57638888888888895</v>
      </c>
      <c r="D171" s="15" t="s">
        <v>46</v>
      </c>
      <c r="E171" s="15" t="s">
        <v>119</v>
      </c>
      <c r="F171" s="15" t="s">
        <v>1081</v>
      </c>
      <c r="G171" s="298"/>
      <c r="H171" s="10"/>
      <c r="I171" s="11"/>
      <c r="J171" s="11"/>
      <c r="K171" s="11"/>
      <c r="L171" s="11"/>
      <c r="M171" s="11"/>
      <c r="N171" s="11"/>
      <c r="O171" s="12"/>
      <c r="P171" s="11"/>
      <c r="Q171" s="13"/>
      <c r="R171" s="14"/>
    </row>
    <row r="172" spans="1:18" ht="15" customHeight="1" x14ac:dyDescent="0.3">
      <c r="A172" s="17" t="s">
        <v>41</v>
      </c>
      <c r="B172" s="17" t="s">
        <v>1034</v>
      </c>
      <c r="C172" s="18">
        <v>0.62847222222222221</v>
      </c>
      <c r="D172" s="17" t="s">
        <v>337</v>
      </c>
      <c r="E172" s="17" t="s">
        <v>1094</v>
      </c>
      <c r="F172" s="17" t="s">
        <v>1093</v>
      </c>
      <c r="G172" s="298"/>
      <c r="H172" s="10"/>
      <c r="I172" s="11"/>
      <c r="J172" s="11"/>
      <c r="K172" s="11"/>
      <c r="L172" s="11"/>
      <c r="M172" s="11"/>
      <c r="N172" s="11"/>
      <c r="O172" s="12"/>
      <c r="P172" s="11"/>
      <c r="Q172" s="13"/>
      <c r="R172" s="14"/>
    </row>
    <row r="173" spans="1:18" ht="15" customHeight="1" x14ac:dyDescent="0.3">
      <c r="A173" s="15" t="s">
        <v>41</v>
      </c>
      <c r="B173" s="15" t="s">
        <v>1034</v>
      </c>
      <c r="C173" s="16">
        <v>0.62847222222222221</v>
      </c>
      <c r="D173" s="15" t="s">
        <v>43</v>
      </c>
      <c r="E173" s="15" t="s">
        <v>1095</v>
      </c>
      <c r="F173" s="15" t="s">
        <v>1093</v>
      </c>
      <c r="G173" s="298"/>
      <c r="H173" s="10"/>
      <c r="I173" s="11"/>
      <c r="J173" s="11"/>
      <c r="K173" s="11"/>
      <c r="L173" s="11"/>
      <c r="M173" s="11"/>
      <c r="N173" s="11"/>
      <c r="O173" s="12"/>
      <c r="P173" s="11"/>
      <c r="Q173" s="13"/>
      <c r="R173" s="14"/>
    </row>
    <row r="174" spans="1:18" ht="15" customHeight="1" x14ac:dyDescent="0.3">
      <c r="A174" s="15" t="s">
        <v>41</v>
      </c>
      <c r="B174" s="15" t="s">
        <v>1034</v>
      </c>
      <c r="C174" s="16">
        <v>0.62847222222222221</v>
      </c>
      <c r="D174" s="15" t="s">
        <v>45</v>
      </c>
      <c r="E174" s="15" t="s">
        <v>1095</v>
      </c>
      <c r="F174" s="15" t="s">
        <v>1092</v>
      </c>
      <c r="G174" s="298"/>
      <c r="H174" s="10"/>
      <c r="I174" s="11"/>
      <c r="J174" s="11"/>
      <c r="K174" s="11"/>
      <c r="L174" s="11"/>
      <c r="M174" s="11"/>
      <c r="N174" s="11"/>
      <c r="O174" s="12"/>
      <c r="P174" s="11"/>
      <c r="Q174" s="13"/>
      <c r="R174" s="14"/>
    </row>
    <row r="175" spans="1:18" ht="15" customHeight="1" x14ac:dyDescent="0.3">
      <c r="A175" s="15" t="s">
        <v>41</v>
      </c>
      <c r="B175" s="15" t="s">
        <v>1034</v>
      </c>
      <c r="C175" s="16">
        <v>0.62847222222222221</v>
      </c>
      <c r="D175" s="15" t="s">
        <v>46</v>
      </c>
      <c r="E175" s="15" t="s">
        <v>1095</v>
      </c>
      <c r="F175" s="15" t="s">
        <v>1081</v>
      </c>
      <c r="G175" s="298"/>
      <c r="H175" s="10"/>
      <c r="I175" s="11"/>
      <c r="J175" s="11"/>
      <c r="K175" s="11"/>
      <c r="L175" s="11"/>
      <c r="M175" s="11"/>
      <c r="N175" s="11"/>
      <c r="O175" s="12"/>
      <c r="P175" s="11"/>
      <c r="Q175" s="13"/>
      <c r="R175" s="14"/>
    </row>
    <row r="176" spans="1:18" ht="15" customHeight="1" x14ac:dyDescent="0.3">
      <c r="A176" s="17" t="s">
        <v>41</v>
      </c>
      <c r="B176" s="17" t="s">
        <v>1037</v>
      </c>
      <c r="C176" s="18">
        <v>0.88888888888888884</v>
      </c>
      <c r="D176" s="17" t="s">
        <v>337</v>
      </c>
      <c r="E176" s="17" t="s">
        <v>348</v>
      </c>
      <c r="F176" s="17" t="s">
        <v>1028</v>
      </c>
      <c r="G176" s="298"/>
      <c r="H176" s="10"/>
      <c r="I176" s="11"/>
      <c r="J176" s="11"/>
      <c r="K176" s="11"/>
      <c r="L176" s="11"/>
      <c r="M176" s="11"/>
      <c r="N176" s="11"/>
      <c r="O176" s="12"/>
      <c r="P176" s="11"/>
      <c r="Q176" s="13"/>
      <c r="R176" s="14"/>
    </row>
    <row r="177" spans="1:18" ht="15" customHeight="1" x14ac:dyDescent="0.3">
      <c r="A177" s="15" t="s">
        <v>41</v>
      </c>
      <c r="B177" s="15" t="s">
        <v>1037</v>
      </c>
      <c r="C177" s="16">
        <v>0.88888888888888884</v>
      </c>
      <c r="D177" s="15" t="s">
        <v>43</v>
      </c>
      <c r="E177" s="15" t="s">
        <v>349</v>
      </c>
      <c r="F177" s="15" t="s">
        <v>1028</v>
      </c>
      <c r="G177" s="298"/>
      <c r="H177" s="10"/>
      <c r="I177" s="11"/>
      <c r="J177" s="11"/>
      <c r="K177" s="11"/>
      <c r="L177" s="11"/>
      <c r="M177" s="11"/>
      <c r="N177" s="11"/>
      <c r="O177" s="12"/>
      <c r="P177" s="11"/>
      <c r="Q177" s="13"/>
      <c r="R177" s="14"/>
    </row>
    <row r="178" spans="1:18" ht="15" customHeight="1" x14ac:dyDescent="0.3">
      <c r="A178" s="15" t="s">
        <v>41</v>
      </c>
      <c r="B178" s="15" t="s">
        <v>1037</v>
      </c>
      <c r="C178" s="16">
        <v>0.88888888888888884</v>
      </c>
      <c r="D178" s="15" t="s">
        <v>45</v>
      </c>
      <c r="E178" s="15" t="s">
        <v>349</v>
      </c>
      <c r="F178" s="15" t="s">
        <v>33</v>
      </c>
      <c r="G178" s="298"/>
      <c r="H178" s="10"/>
      <c r="I178" s="11"/>
      <c r="J178" s="11"/>
      <c r="K178" s="11"/>
      <c r="L178" s="11"/>
      <c r="M178" s="11"/>
      <c r="N178" s="11"/>
      <c r="O178" s="12"/>
      <c r="P178" s="11"/>
      <c r="Q178" s="13"/>
      <c r="R178" s="14"/>
    </row>
    <row r="179" spans="1:18" ht="15" customHeight="1" x14ac:dyDescent="0.3">
      <c r="A179" s="15" t="s">
        <v>41</v>
      </c>
      <c r="B179" s="15" t="s">
        <v>1037</v>
      </c>
      <c r="C179" s="16">
        <v>0.88888888888888884</v>
      </c>
      <c r="D179" s="15" t="s">
        <v>46</v>
      </c>
      <c r="E179" s="15" t="s">
        <v>349</v>
      </c>
      <c r="F179" s="15" t="s">
        <v>532</v>
      </c>
      <c r="G179" s="298"/>
      <c r="H179" s="10"/>
      <c r="I179" s="11"/>
      <c r="J179" s="11"/>
      <c r="K179" s="11"/>
      <c r="L179" s="11"/>
      <c r="M179" s="11"/>
      <c r="N179" s="11"/>
      <c r="O179" s="12"/>
      <c r="P179" s="11"/>
      <c r="Q179" s="13"/>
      <c r="R179" s="14"/>
    </row>
    <row r="180" spans="1:18" ht="15" customHeight="1" x14ac:dyDescent="0.3">
      <c r="A180" s="17" t="s">
        <v>41</v>
      </c>
      <c r="B180" s="17" t="s">
        <v>1040</v>
      </c>
      <c r="C180" s="18">
        <v>0.94444444444444453</v>
      </c>
      <c r="D180" s="17" t="s">
        <v>337</v>
      </c>
      <c r="E180" s="17" t="s">
        <v>1096</v>
      </c>
      <c r="F180" s="17" t="s">
        <v>779</v>
      </c>
      <c r="G180" s="298"/>
      <c r="H180" s="10"/>
      <c r="I180" s="11"/>
      <c r="J180" s="11"/>
      <c r="K180" s="11"/>
      <c r="L180" s="11"/>
      <c r="M180" s="11"/>
      <c r="N180" s="11"/>
      <c r="O180" s="12"/>
      <c r="P180" s="11"/>
      <c r="Q180" s="13"/>
      <c r="R180" s="14"/>
    </row>
    <row r="181" spans="1:18" ht="15" customHeight="1" x14ac:dyDescent="0.3">
      <c r="A181" s="15" t="s">
        <v>41</v>
      </c>
      <c r="B181" s="15" t="s">
        <v>1040</v>
      </c>
      <c r="C181" s="16">
        <v>0.94444444444444453</v>
      </c>
      <c r="D181" s="15" t="s">
        <v>43</v>
      </c>
      <c r="E181" s="15" t="s">
        <v>131</v>
      </c>
      <c r="F181" s="15" t="s">
        <v>779</v>
      </c>
      <c r="G181" s="298"/>
      <c r="H181" s="10"/>
      <c r="I181" s="11"/>
      <c r="J181" s="11"/>
      <c r="K181" s="11"/>
      <c r="L181" s="11"/>
      <c r="M181" s="11"/>
      <c r="N181" s="11"/>
      <c r="O181" s="12"/>
      <c r="P181" s="11"/>
      <c r="Q181" s="13"/>
      <c r="R181" s="14"/>
    </row>
    <row r="182" spans="1:18" ht="15" customHeight="1" x14ac:dyDescent="0.3">
      <c r="A182" s="15" t="s">
        <v>41</v>
      </c>
      <c r="B182" s="15" t="s">
        <v>1040</v>
      </c>
      <c r="C182" s="16">
        <v>0.94444444444444453</v>
      </c>
      <c r="D182" s="15" t="s">
        <v>45</v>
      </c>
      <c r="E182" s="15" t="s">
        <v>131</v>
      </c>
      <c r="F182" s="15" t="s">
        <v>1097</v>
      </c>
      <c r="G182" s="298"/>
      <c r="H182" s="10"/>
      <c r="I182" s="11"/>
      <c r="J182" s="11"/>
      <c r="K182" s="11"/>
      <c r="L182" s="11"/>
      <c r="M182" s="11"/>
      <c r="N182" s="11"/>
      <c r="O182" s="12"/>
      <c r="P182" s="11"/>
      <c r="Q182" s="13"/>
      <c r="R182" s="14"/>
    </row>
    <row r="183" spans="1:18" ht="15" customHeight="1" x14ac:dyDescent="0.3">
      <c r="A183" s="15" t="s">
        <v>41</v>
      </c>
      <c r="B183" s="15" t="s">
        <v>1040</v>
      </c>
      <c r="C183" s="16">
        <v>0.94444444444444453</v>
      </c>
      <c r="D183" s="15" t="s">
        <v>46</v>
      </c>
      <c r="E183" s="15" t="s">
        <v>131</v>
      </c>
      <c r="F183" s="15" t="s">
        <v>532</v>
      </c>
      <c r="G183" s="298"/>
      <c r="H183" s="10"/>
      <c r="I183" s="11"/>
      <c r="J183" s="11"/>
      <c r="K183" s="11"/>
      <c r="L183" s="11"/>
      <c r="M183" s="11"/>
      <c r="N183" s="11"/>
      <c r="O183" s="12"/>
      <c r="P183" s="11"/>
      <c r="Q183" s="13"/>
      <c r="R183" s="14"/>
    </row>
    <row r="184" spans="1:18" ht="15" customHeight="1" x14ac:dyDescent="0.3">
      <c r="A184" s="19" t="s">
        <v>458</v>
      </c>
      <c r="B184" s="19" t="s">
        <v>1048</v>
      </c>
      <c r="C184" s="20">
        <v>8.6805555555555566E-2</v>
      </c>
      <c r="D184" s="19" t="s">
        <v>101</v>
      </c>
      <c r="E184" s="19" t="s">
        <v>63</v>
      </c>
      <c r="F184" s="19" t="s">
        <v>1098</v>
      </c>
      <c r="G184" s="298"/>
      <c r="H184" s="10"/>
      <c r="I184" s="11"/>
      <c r="J184" s="11"/>
      <c r="K184" s="11"/>
      <c r="L184" s="11"/>
      <c r="M184" s="11"/>
      <c r="N184" s="11"/>
      <c r="O184" s="12"/>
      <c r="P184" s="11"/>
      <c r="Q184" s="13"/>
      <c r="R184" s="14"/>
    </row>
    <row r="185" spans="1:18" ht="15" customHeight="1" x14ac:dyDescent="0.3">
      <c r="A185" s="129" t="s">
        <v>77</v>
      </c>
      <c r="B185" s="129" t="s">
        <v>1052</v>
      </c>
      <c r="C185" s="130">
        <v>0.41319444444444442</v>
      </c>
      <c r="D185" s="129" t="s">
        <v>101</v>
      </c>
      <c r="E185" s="129" t="s">
        <v>29</v>
      </c>
      <c r="F185" s="129" t="s">
        <v>779</v>
      </c>
      <c r="G185" s="298"/>
      <c r="H185" s="131" t="s">
        <v>1054</v>
      </c>
      <c r="I185" s="200">
        <v>0.5978</v>
      </c>
      <c r="J185" s="133">
        <v>107</v>
      </c>
      <c r="K185" s="134">
        <v>45980</v>
      </c>
      <c r="L185" s="133">
        <v>60</v>
      </c>
      <c r="M185" s="133">
        <v>3</v>
      </c>
      <c r="N185" s="133">
        <v>17</v>
      </c>
      <c r="O185" s="135" t="s">
        <v>425</v>
      </c>
      <c r="P185" s="136">
        <v>0.41319444444444442</v>
      </c>
      <c r="Q185" s="133">
        <v>179</v>
      </c>
      <c r="R185" s="137" t="s">
        <v>1099</v>
      </c>
    </row>
    <row r="186" spans="1:18" ht="15" customHeight="1" x14ac:dyDescent="0.3">
      <c r="A186" s="19" t="s">
        <v>385</v>
      </c>
      <c r="B186" s="19" t="s">
        <v>1100</v>
      </c>
      <c r="C186" s="20">
        <v>0.47916666666666669</v>
      </c>
      <c r="D186" s="19" t="s">
        <v>101</v>
      </c>
      <c r="E186" s="19" t="s">
        <v>118</v>
      </c>
      <c r="F186" s="19" t="s">
        <v>1101</v>
      </c>
      <c r="G186" s="298"/>
      <c r="H186" s="10"/>
      <c r="I186" s="11"/>
      <c r="J186" s="11"/>
      <c r="K186" s="11"/>
      <c r="L186" s="11"/>
      <c r="M186" s="11"/>
      <c r="N186" s="11"/>
      <c r="O186" s="12"/>
      <c r="P186" s="11"/>
      <c r="Q186" s="13"/>
      <c r="R186" s="14"/>
    </row>
    <row r="187" spans="1:18" ht="15" customHeight="1" x14ac:dyDescent="0.3">
      <c r="A187" s="19" t="s">
        <v>60</v>
      </c>
      <c r="B187" s="19" t="s">
        <v>1064</v>
      </c>
      <c r="C187" s="20">
        <v>0.98263888888888884</v>
      </c>
      <c r="D187" s="19" t="s">
        <v>107</v>
      </c>
      <c r="E187" s="19" t="s">
        <v>139</v>
      </c>
      <c r="F187" s="19" t="s">
        <v>1065</v>
      </c>
      <c r="G187" s="298"/>
      <c r="H187" s="10"/>
      <c r="I187" s="11"/>
      <c r="J187" s="11"/>
      <c r="K187" s="11"/>
      <c r="L187" s="11"/>
      <c r="M187" s="11"/>
      <c r="N187" s="11"/>
      <c r="O187" s="12"/>
      <c r="P187" s="11"/>
      <c r="Q187" s="13"/>
      <c r="R187" s="14"/>
    </row>
    <row r="188" spans="1:18" ht="15" customHeight="1" x14ac:dyDescent="0.3">
      <c r="A188" s="15" t="s">
        <v>60</v>
      </c>
      <c r="B188" s="15" t="s">
        <v>1064</v>
      </c>
      <c r="C188" s="16">
        <v>0.98263888888888884</v>
      </c>
      <c r="D188" s="15" t="s">
        <v>62</v>
      </c>
      <c r="E188" s="15" t="s">
        <v>98</v>
      </c>
      <c r="F188" s="15" t="s">
        <v>1065</v>
      </c>
      <c r="G188" s="298"/>
      <c r="H188" s="10"/>
      <c r="I188" s="11"/>
      <c r="J188" s="11"/>
      <c r="K188" s="11"/>
      <c r="L188" s="11"/>
      <c r="M188" s="11"/>
      <c r="N188" s="11"/>
      <c r="O188" s="12"/>
      <c r="P188" s="11"/>
      <c r="Q188" s="13"/>
      <c r="R188" s="14"/>
    </row>
    <row r="189" spans="1:18" ht="15" customHeight="1" x14ac:dyDescent="0.3">
      <c r="A189" s="15" t="s">
        <v>60</v>
      </c>
      <c r="B189" s="15" t="s">
        <v>1064</v>
      </c>
      <c r="C189" s="16">
        <v>0.98263888888888884</v>
      </c>
      <c r="D189" s="15" t="s">
        <v>65</v>
      </c>
      <c r="E189" s="15" t="s">
        <v>98</v>
      </c>
      <c r="F189" s="15" t="s">
        <v>1066</v>
      </c>
      <c r="G189" s="298"/>
      <c r="H189" s="10"/>
      <c r="I189" s="11"/>
      <c r="J189" s="11"/>
      <c r="K189" s="11"/>
      <c r="L189" s="11"/>
      <c r="M189" s="11"/>
      <c r="N189" s="11"/>
      <c r="O189" s="12"/>
      <c r="P189" s="11"/>
      <c r="Q189" s="13"/>
      <c r="R189" s="14"/>
    </row>
    <row r="190" spans="1:18" ht="15" customHeight="1" x14ac:dyDescent="0.3">
      <c r="A190" s="17" t="s">
        <v>60</v>
      </c>
      <c r="B190" s="17" t="s">
        <v>1073</v>
      </c>
      <c r="C190" s="18">
        <v>0.82986111111111116</v>
      </c>
      <c r="D190" s="17" t="s">
        <v>50</v>
      </c>
      <c r="E190" s="17" t="s">
        <v>54</v>
      </c>
      <c r="F190" s="17" t="s">
        <v>1102</v>
      </c>
      <c r="G190" s="298"/>
      <c r="H190" s="10"/>
      <c r="I190" s="11"/>
      <c r="J190" s="11"/>
      <c r="K190" s="11"/>
      <c r="L190" s="11"/>
      <c r="M190" s="11"/>
      <c r="N190" s="11"/>
      <c r="O190" s="12"/>
      <c r="P190" s="11"/>
      <c r="Q190" s="13"/>
      <c r="R190" s="14"/>
    </row>
    <row r="191" spans="1:18" ht="15" customHeight="1" x14ac:dyDescent="0.3">
      <c r="A191" s="15" t="s">
        <v>60</v>
      </c>
      <c r="B191" s="15" t="s">
        <v>1073</v>
      </c>
      <c r="C191" s="16">
        <v>0.82986111111111116</v>
      </c>
      <c r="D191" s="15" t="s">
        <v>65</v>
      </c>
      <c r="E191" s="15" t="s">
        <v>66</v>
      </c>
      <c r="F191" s="15" t="s">
        <v>1102</v>
      </c>
      <c r="G191" s="298"/>
      <c r="H191" s="10"/>
      <c r="I191" s="11"/>
      <c r="J191" s="11"/>
      <c r="K191" s="11"/>
      <c r="L191" s="11"/>
      <c r="M191" s="11"/>
      <c r="N191" s="11"/>
      <c r="O191" s="12"/>
      <c r="P191" s="11"/>
      <c r="Q191" s="13"/>
      <c r="R191" s="14"/>
    </row>
    <row r="192" spans="1:18" ht="15" customHeight="1" x14ac:dyDescent="0.3">
      <c r="A192" s="17" t="s">
        <v>60</v>
      </c>
      <c r="B192" s="17" t="s">
        <v>1071</v>
      </c>
      <c r="C192" s="18">
        <v>0.44444444444444442</v>
      </c>
      <c r="D192" s="17" t="s">
        <v>65</v>
      </c>
      <c r="E192" s="17" t="s">
        <v>72</v>
      </c>
      <c r="F192" s="17" t="s">
        <v>1072</v>
      </c>
      <c r="G192" s="298"/>
      <c r="H192" s="10"/>
      <c r="I192" s="11"/>
      <c r="J192" s="11"/>
      <c r="K192" s="11"/>
      <c r="L192" s="11"/>
      <c r="M192" s="11"/>
      <c r="N192" s="11"/>
      <c r="O192" s="12"/>
      <c r="P192" s="11"/>
      <c r="Q192" s="13"/>
      <c r="R192" s="14"/>
    </row>
    <row r="193" spans="1:18" ht="15" customHeight="1" x14ac:dyDescent="0.3">
      <c r="A193" s="15" t="s">
        <v>60</v>
      </c>
      <c r="B193" s="15" t="s">
        <v>1071</v>
      </c>
      <c r="C193" s="16">
        <v>0.44444444444444442</v>
      </c>
      <c r="D193" s="15" t="s">
        <v>50</v>
      </c>
      <c r="E193" s="15" t="s">
        <v>84</v>
      </c>
      <c r="F193" s="15" t="s">
        <v>1103</v>
      </c>
      <c r="G193" s="298"/>
      <c r="H193" s="10"/>
      <c r="I193" s="11"/>
      <c r="J193" s="11"/>
      <c r="K193" s="11"/>
      <c r="L193" s="11"/>
      <c r="M193" s="11"/>
      <c r="N193" s="11"/>
      <c r="O193" s="12"/>
      <c r="P193" s="11"/>
      <c r="Q193" s="13"/>
      <c r="R193" s="14"/>
    </row>
    <row r="194" spans="1:18" ht="15" customHeight="1" x14ac:dyDescent="0.3">
      <c r="A194" s="17" t="s">
        <v>60</v>
      </c>
      <c r="B194" s="17" t="s">
        <v>1069</v>
      </c>
      <c r="C194" s="18">
        <v>0.62847222222222221</v>
      </c>
      <c r="D194" s="17" t="s">
        <v>50</v>
      </c>
      <c r="E194" s="17" t="s">
        <v>72</v>
      </c>
      <c r="F194" s="17" t="s">
        <v>1104</v>
      </c>
      <c r="G194" s="298"/>
      <c r="H194" s="10"/>
      <c r="I194" s="11"/>
      <c r="J194" s="11"/>
      <c r="K194" s="11"/>
      <c r="L194" s="11"/>
      <c r="M194" s="11"/>
      <c r="N194" s="11"/>
      <c r="O194" s="12"/>
      <c r="P194" s="11"/>
      <c r="Q194" s="13"/>
      <c r="R194" s="14"/>
    </row>
    <row r="195" spans="1:18" ht="15" customHeight="1" x14ac:dyDescent="0.3">
      <c r="A195" s="15" t="s">
        <v>60</v>
      </c>
      <c r="B195" s="15" t="s">
        <v>1069</v>
      </c>
      <c r="C195" s="16">
        <v>0.62847222222222221</v>
      </c>
      <c r="D195" s="15" t="s">
        <v>65</v>
      </c>
      <c r="E195" s="15" t="s">
        <v>84</v>
      </c>
      <c r="F195" s="15" t="s">
        <v>1104</v>
      </c>
      <c r="G195" s="298"/>
      <c r="H195" s="10"/>
      <c r="I195" s="11"/>
      <c r="J195" s="11"/>
      <c r="K195" s="11"/>
      <c r="L195" s="11"/>
      <c r="M195" s="11"/>
      <c r="N195" s="11"/>
      <c r="O195" s="12"/>
      <c r="P195" s="11"/>
      <c r="Q195" s="13"/>
      <c r="R195" s="14"/>
    </row>
    <row r="196" spans="1:18" ht="15" customHeight="1" x14ac:dyDescent="0.3">
      <c r="A196" s="17" t="s">
        <v>60</v>
      </c>
      <c r="B196" s="17" t="s">
        <v>1067</v>
      </c>
      <c r="C196" s="18">
        <v>0.88888888888888884</v>
      </c>
      <c r="D196" s="17" t="s">
        <v>50</v>
      </c>
      <c r="E196" s="17" t="s">
        <v>72</v>
      </c>
      <c r="F196" s="17" t="s">
        <v>1105</v>
      </c>
      <c r="G196" s="298"/>
      <c r="H196" s="10"/>
      <c r="I196" s="11"/>
      <c r="J196" s="11"/>
      <c r="K196" s="11"/>
      <c r="L196" s="11"/>
      <c r="M196" s="11"/>
      <c r="N196" s="11"/>
      <c r="O196" s="12"/>
      <c r="P196" s="11"/>
      <c r="Q196" s="13"/>
      <c r="R196" s="14"/>
    </row>
    <row r="197" spans="1:18" ht="15" customHeight="1" x14ac:dyDescent="0.3">
      <c r="A197" s="15" t="s">
        <v>60</v>
      </c>
      <c r="B197" s="15" t="s">
        <v>1067</v>
      </c>
      <c r="C197" s="16">
        <v>0.88888888888888884</v>
      </c>
      <c r="D197" s="15" t="s">
        <v>65</v>
      </c>
      <c r="E197" s="15" t="s">
        <v>84</v>
      </c>
      <c r="F197" s="15" t="s">
        <v>1105</v>
      </c>
      <c r="G197" s="298"/>
      <c r="H197" s="10"/>
      <c r="I197" s="11"/>
      <c r="J197" s="11"/>
      <c r="K197" s="11"/>
      <c r="L197" s="11"/>
      <c r="M197" s="11"/>
      <c r="N197" s="11"/>
      <c r="O197" s="12"/>
      <c r="P197" s="11"/>
      <c r="Q197" s="13"/>
      <c r="R197" s="14"/>
    </row>
    <row r="198" spans="1:18" ht="15" customHeight="1" x14ac:dyDescent="0.3">
      <c r="A198" s="17" t="s">
        <v>60</v>
      </c>
      <c r="B198" s="17" t="s">
        <v>1070</v>
      </c>
      <c r="C198" s="18">
        <v>0.94444444444444453</v>
      </c>
      <c r="D198" s="17" t="s">
        <v>50</v>
      </c>
      <c r="E198" s="17" t="s">
        <v>72</v>
      </c>
      <c r="F198" s="17" t="s">
        <v>1106</v>
      </c>
      <c r="G198" s="298"/>
      <c r="H198" s="10"/>
      <c r="I198" s="11"/>
      <c r="J198" s="11"/>
      <c r="K198" s="11"/>
      <c r="L198" s="11"/>
      <c r="M198" s="11"/>
      <c r="N198" s="11"/>
      <c r="O198" s="12"/>
      <c r="P198" s="11"/>
      <c r="Q198" s="13"/>
      <c r="R198" s="14"/>
    </row>
    <row r="199" spans="1:18" ht="15" customHeight="1" x14ac:dyDescent="0.3">
      <c r="A199" s="15" t="s">
        <v>60</v>
      </c>
      <c r="B199" s="15" t="s">
        <v>1070</v>
      </c>
      <c r="C199" s="16">
        <v>0.94444444444444453</v>
      </c>
      <c r="D199" s="15" t="s">
        <v>65</v>
      </c>
      <c r="E199" s="15" t="s">
        <v>84</v>
      </c>
      <c r="F199" s="15" t="s">
        <v>1106</v>
      </c>
      <c r="G199" s="298"/>
      <c r="H199" s="10"/>
      <c r="I199" s="11"/>
      <c r="J199" s="11"/>
      <c r="K199" s="11"/>
      <c r="L199" s="11"/>
      <c r="M199" s="11"/>
      <c r="N199" s="11"/>
      <c r="O199" s="12"/>
      <c r="P199" s="11"/>
      <c r="Q199" s="13"/>
      <c r="R199" s="14"/>
    </row>
    <row r="200" spans="1:18" ht="15" customHeight="1" x14ac:dyDescent="0.3">
      <c r="A200" s="17" t="s">
        <v>60</v>
      </c>
      <c r="B200" s="17" t="s">
        <v>1074</v>
      </c>
      <c r="C200" s="18">
        <v>0.62847222222222221</v>
      </c>
      <c r="D200" s="17" t="s">
        <v>50</v>
      </c>
      <c r="E200" s="17" t="s">
        <v>69</v>
      </c>
      <c r="F200" s="17" t="s">
        <v>1107</v>
      </c>
      <c r="G200" s="298"/>
      <c r="H200" s="10"/>
      <c r="I200" s="11"/>
      <c r="J200" s="11"/>
      <c r="K200" s="11"/>
      <c r="L200" s="11"/>
      <c r="M200" s="11"/>
      <c r="N200" s="11"/>
      <c r="O200" s="12"/>
      <c r="P200" s="11"/>
      <c r="Q200" s="13"/>
      <c r="R200" s="14"/>
    </row>
    <row r="201" spans="1:18" ht="15" customHeight="1" x14ac:dyDescent="0.3">
      <c r="A201" s="15" t="s">
        <v>60</v>
      </c>
      <c r="B201" s="15" t="s">
        <v>1074</v>
      </c>
      <c r="C201" s="16">
        <v>0.62847222222222221</v>
      </c>
      <c r="D201" s="15" t="s">
        <v>65</v>
      </c>
      <c r="E201" s="15" t="s">
        <v>87</v>
      </c>
      <c r="F201" s="15" t="s">
        <v>1107</v>
      </c>
      <c r="G201" s="298"/>
      <c r="H201" s="10"/>
      <c r="I201" s="11"/>
      <c r="J201" s="11"/>
      <c r="K201" s="11"/>
      <c r="L201" s="11"/>
      <c r="M201" s="11"/>
      <c r="N201" s="11"/>
      <c r="O201" s="12"/>
      <c r="P201" s="11"/>
      <c r="Q201" s="13"/>
      <c r="R201" s="14"/>
    </row>
    <row r="202" spans="1:18" ht="15" customHeight="1" x14ac:dyDescent="0.3">
      <c r="A202" s="19" t="s">
        <v>48</v>
      </c>
      <c r="B202" s="19" t="s">
        <v>1061</v>
      </c>
      <c r="C202" s="20">
        <v>0.35416666666666669</v>
      </c>
      <c r="D202" s="19" t="s">
        <v>50</v>
      </c>
      <c r="E202" s="19" t="s">
        <v>63</v>
      </c>
      <c r="F202" s="19" t="s">
        <v>1108</v>
      </c>
      <c r="G202" s="298"/>
      <c r="H202" s="10"/>
      <c r="I202" s="11"/>
      <c r="J202" s="11"/>
      <c r="K202" s="11"/>
      <c r="L202" s="11"/>
      <c r="M202" s="11"/>
      <c r="N202" s="11"/>
      <c r="O202" s="12"/>
      <c r="P202" s="11"/>
      <c r="Q202" s="13"/>
      <c r="R202" s="14"/>
    </row>
    <row r="203" spans="1:18" ht="15" customHeight="1" thickBot="1" x14ac:dyDescent="0.35">
      <c r="A203" s="39" t="s">
        <v>48</v>
      </c>
      <c r="B203" s="39" t="s">
        <v>1059</v>
      </c>
      <c r="C203" s="40">
        <v>0.98263888888888884</v>
      </c>
      <c r="D203" s="39" t="s">
        <v>50</v>
      </c>
      <c r="E203" s="39" t="s">
        <v>353</v>
      </c>
      <c r="F203" s="39" t="s">
        <v>491</v>
      </c>
      <c r="G203" s="299"/>
      <c r="H203" s="41"/>
      <c r="I203" s="42"/>
      <c r="J203" s="42"/>
      <c r="K203" s="42"/>
      <c r="L203" s="42"/>
      <c r="M203" s="42"/>
      <c r="N203" s="42"/>
      <c r="O203" s="43"/>
      <c r="P203" s="42"/>
      <c r="Q203" s="44"/>
      <c r="R203" s="45"/>
    </row>
    <row r="204" spans="1:18" ht="17.399999999999999" customHeight="1" thickBot="1" x14ac:dyDescent="0.35">
      <c r="A204" s="329"/>
      <c r="B204" s="330"/>
      <c r="C204" s="330"/>
      <c r="D204" s="330"/>
      <c r="E204" s="330"/>
      <c r="F204" s="330"/>
      <c r="G204" s="330"/>
      <c r="H204" s="330"/>
      <c r="I204" s="330"/>
      <c r="J204" s="330"/>
      <c r="K204" s="330"/>
      <c r="L204" s="330"/>
      <c r="M204" s="330"/>
      <c r="N204" s="330"/>
      <c r="O204" s="330"/>
      <c r="P204" s="330"/>
      <c r="Q204" s="330"/>
      <c r="R204" s="331"/>
    </row>
    <row r="205" spans="1:18" ht="22.05" customHeight="1" thickTop="1" thickBot="1" x14ac:dyDescent="0.35">
      <c r="A205" s="300" t="s">
        <v>6</v>
      </c>
      <c r="B205" s="295"/>
      <c r="C205" s="295"/>
      <c r="D205" s="295"/>
      <c r="E205" s="295"/>
      <c r="F205" s="296"/>
      <c r="G205" s="31">
        <v>45984</v>
      </c>
      <c r="H205" s="294" t="s">
        <v>7</v>
      </c>
      <c r="I205" s="295"/>
      <c r="J205" s="295"/>
      <c r="K205" s="295"/>
      <c r="L205" s="295"/>
      <c r="M205" s="295"/>
      <c r="N205" s="295"/>
      <c r="O205" s="295"/>
      <c r="P205" s="295"/>
      <c r="Q205" s="295"/>
      <c r="R205" s="296"/>
    </row>
    <row r="206" spans="1:18" ht="24" customHeight="1" x14ac:dyDescent="0.3">
      <c r="A206" s="32" t="s">
        <v>8</v>
      </c>
      <c r="B206" s="32" t="s">
        <v>9</v>
      </c>
      <c r="C206" s="33" t="s">
        <v>10</v>
      </c>
      <c r="D206" s="32" t="s">
        <v>11</v>
      </c>
      <c r="E206" s="32" t="s">
        <v>12</v>
      </c>
      <c r="F206" s="34" t="s">
        <v>13</v>
      </c>
      <c r="G206" s="35" t="s">
        <v>14</v>
      </c>
      <c r="H206" s="32" t="s">
        <v>15</v>
      </c>
      <c r="I206" s="36" t="s">
        <v>16</v>
      </c>
      <c r="J206" s="37" t="s">
        <v>17</v>
      </c>
      <c r="K206" s="38" t="s">
        <v>18</v>
      </c>
      <c r="L206" s="37" t="s">
        <v>19</v>
      </c>
      <c r="M206" s="37" t="s">
        <v>20</v>
      </c>
      <c r="N206" s="37" t="s">
        <v>21</v>
      </c>
      <c r="O206" s="32" t="s">
        <v>22</v>
      </c>
      <c r="P206" s="33" t="s">
        <v>23</v>
      </c>
      <c r="Q206" s="37" t="s">
        <v>24</v>
      </c>
      <c r="R206" s="32" t="s">
        <v>25</v>
      </c>
    </row>
    <row r="207" spans="1:18" ht="15" customHeight="1" x14ac:dyDescent="0.3">
      <c r="A207" s="8" t="s">
        <v>41</v>
      </c>
      <c r="B207" s="8" t="s">
        <v>1030</v>
      </c>
      <c r="C207" s="9">
        <v>0.57638888888888895</v>
      </c>
      <c r="D207" s="8" t="s">
        <v>337</v>
      </c>
      <c r="E207" s="8" t="s">
        <v>83</v>
      </c>
      <c r="F207" s="8" t="s">
        <v>1079</v>
      </c>
      <c r="G207" s="304"/>
      <c r="H207" s="10"/>
      <c r="I207" s="11"/>
      <c r="J207" s="11"/>
      <c r="K207" s="11"/>
      <c r="L207" s="11"/>
      <c r="M207" s="11"/>
      <c r="N207" s="11"/>
      <c r="O207" s="12"/>
      <c r="P207" s="11"/>
      <c r="Q207" s="13"/>
      <c r="R207" s="14"/>
    </row>
    <row r="208" spans="1:18" ht="15" customHeight="1" x14ac:dyDescent="0.3">
      <c r="A208" s="15" t="s">
        <v>41</v>
      </c>
      <c r="B208" s="15" t="s">
        <v>1030</v>
      </c>
      <c r="C208" s="16">
        <v>0.57638888888888895</v>
      </c>
      <c r="D208" s="15" t="s">
        <v>43</v>
      </c>
      <c r="E208" s="15" t="s">
        <v>84</v>
      </c>
      <c r="F208" s="15" t="s">
        <v>1079</v>
      </c>
      <c r="G208" s="298"/>
      <c r="H208" s="10"/>
      <c r="I208" s="11"/>
      <c r="J208" s="11"/>
      <c r="K208" s="11"/>
      <c r="L208" s="11"/>
      <c r="M208" s="11"/>
      <c r="N208" s="11"/>
      <c r="O208" s="12"/>
      <c r="P208" s="11"/>
      <c r="Q208" s="13"/>
      <c r="R208" s="14"/>
    </row>
    <row r="209" spans="1:18" ht="15" customHeight="1" x14ac:dyDescent="0.3">
      <c r="A209" s="15" t="s">
        <v>41</v>
      </c>
      <c r="B209" s="15" t="s">
        <v>1030</v>
      </c>
      <c r="C209" s="16">
        <v>0.57638888888888895</v>
      </c>
      <c r="D209" s="15" t="s">
        <v>45</v>
      </c>
      <c r="E209" s="15" t="s">
        <v>84</v>
      </c>
      <c r="F209" s="15" t="s">
        <v>342</v>
      </c>
      <c r="G209" s="298"/>
      <c r="H209" s="10"/>
      <c r="I209" s="11"/>
      <c r="J209" s="11"/>
      <c r="K209" s="11"/>
      <c r="L209" s="11"/>
      <c r="M209" s="11"/>
      <c r="N209" s="11"/>
      <c r="O209" s="12"/>
      <c r="P209" s="11"/>
      <c r="Q209" s="13"/>
      <c r="R209" s="14"/>
    </row>
    <row r="210" spans="1:18" ht="15" customHeight="1" x14ac:dyDescent="0.3">
      <c r="A210" s="15" t="s">
        <v>41</v>
      </c>
      <c r="B210" s="15" t="s">
        <v>1030</v>
      </c>
      <c r="C210" s="16">
        <v>0.57638888888888895</v>
      </c>
      <c r="D210" s="15" t="s">
        <v>46</v>
      </c>
      <c r="E210" s="15" t="s">
        <v>84</v>
      </c>
      <c r="F210" s="15" t="s">
        <v>532</v>
      </c>
      <c r="G210" s="298"/>
      <c r="H210" s="10"/>
      <c r="I210" s="11"/>
      <c r="J210" s="11"/>
      <c r="K210" s="11"/>
      <c r="L210" s="11"/>
      <c r="M210" s="11"/>
      <c r="N210" s="11"/>
      <c r="O210" s="12"/>
      <c r="P210" s="11"/>
      <c r="Q210" s="13"/>
      <c r="R210" s="14"/>
    </row>
    <row r="211" spans="1:18" ht="15" customHeight="1" x14ac:dyDescent="0.3">
      <c r="A211" s="17" t="s">
        <v>41</v>
      </c>
      <c r="B211" s="17" t="s">
        <v>1034</v>
      </c>
      <c r="C211" s="18">
        <v>0.62847222222222221</v>
      </c>
      <c r="D211" s="17" t="s">
        <v>43</v>
      </c>
      <c r="E211" s="17" t="s">
        <v>1109</v>
      </c>
      <c r="F211" s="17" t="s">
        <v>909</v>
      </c>
      <c r="G211" s="298"/>
      <c r="H211" s="10"/>
      <c r="I211" s="11"/>
      <c r="J211" s="11"/>
      <c r="K211" s="11"/>
      <c r="L211" s="11"/>
      <c r="M211" s="11"/>
      <c r="N211" s="11"/>
      <c r="O211" s="12"/>
      <c r="P211" s="11"/>
      <c r="Q211" s="13"/>
      <c r="R211" s="14"/>
    </row>
    <row r="212" spans="1:18" ht="15" customHeight="1" x14ac:dyDescent="0.3">
      <c r="A212" s="15" t="s">
        <v>41</v>
      </c>
      <c r="B212" s="15" t="s">
        <v>1034</v>
      </c>
      <c r="C212" s="16">
        <v>0.62847222222222221</v>
      </c>
      <c r="D212" s="15" t="s">
        <v>45</v>
      </c>
      <c r="E212" s="15" t="s">
        <v>1110</v>
      </c>
      <c r="F212" s="15" t="s">
        <v>431</v>
      </c>
      <c r="G212" s="298"/>
      <c r="H212" s="10"/>
      <c r="I212" s="11"/>
      <c r="J212" s="11"/>
      <c r="K212" s="11"/>
      <c r="L212" s="11"/>
      <c r="M212" s="11"/>
      <c r="N212" s="11"/>
      <c r="O212" s="12"/>
      <c r="P212" s="11"/>
      <c r="Q212" s="13"/>
      <c r="R212" s="14"/>
    </row>
    <row r="213" spans="1:18" ht="15" customHeight="1" x14ac:dyDescent="0.3">
      <c r="A213" s="15" t="s">
        <v>41</v>
      </c>
      <c r="B213" s="15" t="s">
        <v>1034</v>
      </c>
      <c r="C213" s="16">
        <v>0.62847222222222221</v>
      </c>
      <c r="D213" s="15" t="s">
        <v>46</v>
      </c>
      <c r="E213" s="15" t="s">
        <v>1110</v>
      </c>
      <c r="F213" s="15" t="s">
        <v>532</v>
      </c>
      <c r="G213" s="298"/>
      <c r="H213" s="10"/>
      <c r="I213" s="11"/>
      <c r="J213" s="11"/>
      <c r="K213" s="11"/>
      <c r="L213" s="11"/>
      <c r="M213" s="11"/>
      <c r="N213" s="11"/>
      <c r="O213" s="12"/>
      <c r="P213" s="11"/>
      <c r="Q213" s="13"/>
      <c r="R213" s="14"/>
    </row>
    <row r="214" spans="1:18" ht="15" customHeight="1" x14ac:dyDescent="0.3">
      <c r="A214" s="17" t="s">
        <v>41</v>
      </c>
      <c r="B214" s="17" t="s">
        <v>1037</v>
      </c>
      <c r="C214" s="18">
        <v>0.88888888888888884</v>
      </c>
      <c r="D214" s="17" t="s">
        <v>43</v>
      </c>
      <c r="E214" s="17" t="s">
        <v>1096</v>
      </c>
      <c r="F214" s="17" t="s">
        <v>909</v>
      </c>
      <c r="G214" s="298"/>
      <c r="H214" s="10"/>
      <c r="I214" s="11"/>
      <c r="J214" s="11"/>
      <c r="K214" s="11"/>
      <c r="L214" s="11"/>
      <c r="M214" s="11"/>
      <c r="N214" s="11"/>
      <c r="O214" s="12"/>
      <c r="P214" s="11"/>
      <c r="Q214" s="13"/>
      <c r="R214" s="14"/>
    </row>
    <row r="215" spans="1:18" ht="15" customHeight="1" x14ac:dyDescent="0.3">
      <c r="A215" s="15" t="s">
        <v>41</v>
      </c>
      <c r="B215" s="15" t="s">
        <v>1037</v>
      </c>
      <c r="C215" s="16">
        <v>0.88888888888888884</v>
      </c>
      <c r="D215" s="15" t="s">
        <v>45</v>
      </c>
      <c r="E215" s="15" t="s">
        <v>131</v>
      </c>
      <c r="F215" s="15" t="s">
        <v>431</v>
      </c>
      <c r="G215" s="298"/>
      <c r="H215" s="10"/>
      <c r="I215" s="11"/>
      <c r="J215" s="11"/>
      <c r="K215" s="11"/>
      <c r="L215" s="11"/>
      <c r="M215" s="11"/>
      <c r="N215" s="11"/>
      <c r="O215" s="12"/>
      <c r="P215" s="11"/>
      <c r="Q215" s="13"/>
      <c r="R215" s="14"/>
    </row>
    <row r="216" spans="1:18" ht="15" customHeight="1" x14ac:dyDescent="0.3">
      <c r="A216" s="15" t="s">
        <v>41</v>
      </c>
      <c r="B216" s="15" t="s">
        <v>1037</v>
      </c>
      <c r="C216" s="16">
        <v>0.88888888888888884</v>
      </c>
      <c r="D216" s="15" t="s">
        <v>46</v>
      </c>
      <c r="E216" s="15" t="s">
        <v>131</v>
      </c>
      <c r="F216" s="15" t="s">
        <v>532</v>
      </c>
      <c r="G216" s="298"/>
      <c r="H216" s="10"/>
      <c r="I216" s="11"/>
      <c r="J216" s="11"/>
      <c r="K216" s="11"/>
      <c r="L216" s="11"/>
      <c r="M216" s="11"/>
      <c r="N216" s="11"/>
      <c r="O216" s="12"/>
      <c r="P216" s="11"/>
      <c r="Q216" s="13"/>
      <c r="R216" s="14"/>
    </row>
    <row r="217" spans="1:18" ht="15" customHeight="1" x14ac:dyDescent="0.3">
      <c r="A217" s="17" t="s">
        <v>41</v>
      </c>
      <c r="B217" s="17" t="s">
        <v>1040</v>
      </c>
      <c r="C217" s="18">
        <v>0.94444444444444453</v>
      </c>
      <c r="D217" s="17" t="s">
        <v>337</v>
      </c>
      <c r="E217" s="17" t="s">
        <v>348</v>
      </c>
      <c r="F217" s="17" t="s">
        <v>909</v>
      </c>
      <c r="G217" s="298"/>
      <c r="H217" s="10"/>
      <c r="I217" s="11"/>
      <c r="J217" s="11"/>
      <c r="K217" s="11"/>
      <c r="L217" s="11"/>
      <c r="M217" s="11"/>
      <c r="N217" s="11"/>
      <c r="O217" s="12"/>
      <c r="P217" s="11"/>
      <c r="Q217" s="13"/>
      <c r="R217" s="14"/>
    </row>
    <row r="218" spans="1:18" ht="15" customHeight="1" x14ac:dyDescent="0.3">
      <c r="A218" s="15" t="s">
        <v>41</v>
      </c>
      <c r="B218" s="15" t="s">
        <v>1040</v>
      </c>
      <c r="C218" s="16">
        <v>0.94444444444444453</v>
      </c>
      <c r="D218" s="15" t="s">
        <v>43</v>
      </c>
      <c r="E218" s="15" t="s">
        <v>349</v>
      </c>
      <c r="F218" s="15" t="s">
        <v>909</v>
      </c>
      <c r="G218" s="298"/>
      <c r="H218" s="10"/>
      <c r="I218" s="11"/>
      <c r="J218" s="11"/>
      <c r="K218" s="11"/>
      <c r="L218" s="11"/>
      <c r="M218" s="11"/>
      <c r="N218" s="11"/>
      <c r="O218" s="12"/>
      <c r="P218" s="11"/>
      <c r="Q218" s="13"/>
      <c r="R218" s="14"/>
    </row>
    <row r="219" spans="1:18" ht="15" customHeight="1" x14ac:dyDescent="0.3">
      <c r="A219" s="15" t="s">
        <v>41</v>
      </c>
      <c r="B219" s="15" t="s">
        <v>1040</v>
      </c>
      <c r="C219" s="16">
        <v>0.94444444444444453</v>
      </c>
      <c r="D219" s="15" t="s">
        <v>45</v>
      </c>
      <c r="E219" s="15" t="s">
        <v>349</v>
      </c>
      <c r="F219" s="15" t="s">
        <v>431</v>
      </c>
      <c r="G219" s="298"/>
      <c r="H219" s="10"/>
      <c r="I219" s="11"/>
      <c r="J219" s="11"/>
      <c r="K219" s="11"/>
      <c r="L219" s="11"/>
      <c r="M219" s="11"/>
      <c r="N219" s="11"/>
      <c r="O219" s="12"/>
      <c r="P219" s="11"/>
      <c r="Q219" s="13"/>
      <c r="R219" s="14"/>
    </row>
    <row r="220" spans="1:18" ht="15" customHeight="1" x14ac:dyDescent="0.3">
      <c r="A220" s="15" t="s">
        <v>41</v>
      </c>
      <c r="B220" s="15" t="s">
        <v>1040</v>
      </c>
      <c r="C220" s="16">
        <v>0.94444444444444453</v>
      </c>
      <c r="D220" s="15" t="s">
        <v>46</v>
      </c>
      <c r="E220" s="15" t="s">
        <v>349</v>
      </c>
      <c r="F220" s="15" t="s">
        <v>532</v>
      </c>
      <c r="G220" s="298"/>
      <c r="H220" s="10"/>
      <c r="I220" s="11"/>
      <c r="J220" s="11"/>
      <c r="K220" s="11"/>
      <c r="L220" s="11"/>
      <c r="M220" s="11"/>
      <c r="N220" s="11"/>
      <c r="O220" s="12"/>
      <c r="P220" s="11"/>
      <c r="Q220" s="13"/>
      <c r="R220" s="14"/>
    </row>
    <row r="221" spans="1:18" ht="15" customHeight="1" x14ac:dyDescent="0.3">
      <c r="A221" s="19" t="s">
        <v>26</v>
      </c>
      <c r="B221" s="19" t="s">
        <v>1026</v>
      </c>
      <c r="C221" s="20">
        <v>0.4375</v>
      </c>
      <c r="D221" s="19" t="s">
        <v>351</v>
      </c>
      <c r="E221" s="19" t="s">
        <v>83</v>
      </c>
      <c r="F221" s="19" t="s">
        <v>1027</v>
      </c>
      <c r="G221" s="298"/>
      <c r="H221" s="10"/>
      <c r="I221" s="11"/>
      <c r="J221" s="11"/>
      <c r="K221" s="11"/>
      <c r="L221" s="11"/>
      <c r="M221" s="11"/>
      <c r="N221" s="11"/>
      <c r="O221" s="12"/>
      <c r="P221" s="11"/>
      <c r="Q221" s="13"/>
      <c r="R221" s="14"/>
    </row>
    <row r="222" spans="1:18" ht="15" customHeight="1" x14ac:dyDescent="0.3">
      <c r="A222" s="15" t="s">
        <v>26</v>
      </c>
      <c r="B222" s="15" t="s">
        <v>1026</v>
      </c>
      <c r="C222" s="16">
        <v>0.4375</v>
      </c>
      <c r="D222" s="15" t="s">
        <v>28</v>
      </c>
      <c r="E222" s="15" t="s">
        <v>84</v>
      </c>
      <c r="F222" s="15" t="s">
        <v>1027</v>
      </c>
      <c r="G222" s="298"/>
      <c r="H222" s="10"/>
      <c r="I222" s="11"/>
      <c r="J222" s="11"/>
      <c r="K222" s="11"/>
      <c r="L222" s="11"/>
      <c r="M222" s="11"/>
      <c r="N222" s="11"/>
      <c r="O222" s="12"/>
      <c r="P222" s="11"/>
      <c r="Q222" s="13"/>
      <c r="R222" s="14"/>
    </row>
    <row r="223" spans="1:18" ht="15" customHeight="1" x14ac:dyDescent="0.3">
      <c r="A223" s="15" t="s">
        <v>26</v>
      </c>
      <c r="B223" s="15" t="s">
        <v>1026</v>
      </c>
      <c r="C223" s="16">
        <v>0.4375</v>
      </c>
      <c r="D223" s="15" t="s">
        <v>31</v>
      </c>
      <c r="E223" s="15" t="s">
        <v>84</v>
      </c>
      <c r="F223" s="15" t="s">
        <v>1028</v>
      </c>
      <c r="G223" s="298"/>
      <c r="H223" s="10"/>
      <c r="I223" s="11"/>
      <c r="J223" s="11"/>
      <c r="K223" s="11"/>
      <c r="L223" s="11"/>
      <c r="M223" s="11"/>
      <c r="N223" s="11"/>
      <c r="O223" s="12"/>
      <c r="P223" s="11"/>
      <c r="Q223" s="13"/>
      <c r="R223" s="14"/>
    </row>
    <row r="224" spans="1:18" ht="15" customHeight="1" x14ac:dyDescent="0.3">
      <c r="A224" s="15" t="s">
        <v>26</v>
      </c>
      <c r="B224" s="15" t="s">
        <v>1026</v>
      </c>
      <c r="C224" s="16">
        <v>0.4375</v>
      </c>
      <c r="D224" s="15" t="s">
        <v>34</v>
      </c>
      <c r="E224" s="15" t="s">
        <v>84</v>
      </c>
      <c r="F224" s="15" t="s">
        <v>44</v>
      </c>
      <c r="G224" s="298"/>
      <c r="H224" s="10"/>
      <c r="I224" s="11"/>
      <c r="J224" s="11"/>
      <c r="K224" s="11"/>
      <c r="L224" s="11"/>
      <c r="M224" s="11"/>
      <c r="N224" s="11"/>
      <c r="O224" s="12"/>
      <c r="P224" s="11"/>
      <c r="Q224" s="13"/>
      <c r="R224" s="14"/>
    </row>
    <row r="225" spans="1:18" ht="15" customHeight="1" x14ac:dyDescent="0.3">
      <c r="A225" s="17" t="s">
        <v>26</v>
      </c>
      <c r="B225" s="17" t="s">
        <v>1023</v>
      </c>
      <c r="C225" s="18">
        <v>0.55902777777777779</v>
      </c>
      <c r="D225" s="17" t="s">
        <v>351</v>
      </c>
      <c r="E225" s="17" t="s">
        <v>37</v>
      </c>
      <c r="F225" s="17" t="s">
        <v>1027</v>
      </c>
      <c r="G225" s="298"/>
      <c r="H225" s="10"/>
      <c r="I225" s="11"/>
      <c r="J225" s="11"/>
      <c r="K225" s="11"/>
      <c r="L225" s="11"/>
      <c r="M225" s="11"/>
      <c r="N225" s="11"/>
      <c r="O225" s="12"/>
      <c r="P225" s="11"/>
      <c r="Q225" s="13"/>
      <c r="R225" s="14"/>
    </row>
    <row r="226" spans="1:18" ht="15" customHeight="1" x14ac:dyDescent="0.3">
      <c r="A226" s="15" t="s">
        <v>26</v>
      </c>
      <c r="B226" s="15" t="s">
        <v>1023</v>
      </c>
      <c r="C226" s="16">
        <v>0.55902777777777779</v>
      </c>
      <c r="D226" s="15" t="s">
        <v>28</v>
      </c>
      <c r="E226" s="15" t="s">
        <v>38</v>
      </c>
      <c r="F226" s="15" t="s">
        <v>1027</v>
      </c>
      <c r="G226" s="298"/>
      <c r="H226" s="10"/>
      <c r="I226" s="11"/>
      <c r="J226" s="11"/>
      <c r="K226" s="11"/>
      <c r="L226" s="11"/>
      <c r="M226" s="11"/>
      <c r="N226" s="11"/>
      <c r="O226" s="12"/>
      <c r="P226" s="11"/>
      <c r="Q226" s="13"/>
      <c r="R226" s="14"/>
    </row>
    <row r="227" spans="1:18" ht="15" customHeight="1" x14ac:dyDescent="0.3">
      <c r="A227" s="15" t="s">
        <v>26</v>
      </c>
      <c r="B227" s="15" t="s">
        <v>1023</v>
      </c>
      <c r="C227" s="16">
        <v>0.55902777777777779</v>
      </c>
      <c r="D227" s="15" t="s">
        <v>31</v>
      </c>
      <c r="E227" s="15" t="s">
        <v>38</v>
      </c>
      <c r="F227" s="15" t="s">
        <v>1028</v>
      </c>
      <c r="G227" s="298"/>
      <c r="H227" s="10"/>
      <c r="I227" s="11"/>
      <c r="J227" s="11"/>
      <c r="K227" s="11"/>
      <c r="L227" s="11"/>
      <c r="M227" s="11"/>
      <c r="N227" s="11"/>
      <c r="O227" s="12"/>
      <c r="P227" s="11"/>
      <c r="Q227" s="13"/>
      <c r="R227" s="14"/>
    </row>
    <row r="228" spans="1:18" ht="15" customHeight="1" x14ac:dyDescent="0.3">
      <c r="A228" s="15" t="s">
        <v>26</v>
      </c>
      <c r="B228" s="15" t="s">
        <v>1023</v>
      </c>
      <c r="C228" s="16">
        <v>0.55902777777777779</v>
      </c>
      <c r="D228" s="15" t="s">
        <v>34</v>
      </c>
      <c r="E228" s="15" t="s">
        <v>38</v>
      </c>
      <c r="F228" s="15" t="s">
        <v>44</v>
      </c>
      <c r="G228" s="298"/>
      <c r="H228" s="10"/>
      <c r="I228" s="11"/>
      <c r="J228" s="11"/>
      <c r="K228" s="11"/>
      <c r="L228" s="11"/>
      <c r="M228" s="11"/>
      <c r="N228" s="11"/>
      <c r="O228" s="12"/>
      <c r="P228" s="11"/>
      <c r="Q228" s="13"/>
      <c r="R228" s="14"/>
    </row>
    <row r="229" spans="1:18" ht="15" customHeight="1" x14ac:dyDescent="0.3">
      <c r="A229" s="17" t="s">
        <v>26</v>
      </c>
      <c r="B229" s="17" t="s">
        <v>1021</v>
      </c>
      <c r="C229" s="18">
        <v>0.63194444444444442</v>
      </c>
      <c r="D229" s="17" t="s">
        <v>351</v>
      </c>
      <c r="E229" s="17" t="s">
        <v>144</v>
      </c>
      <c r="F229" s="17" t="s">
        <v>1091</v>
      </c>
      <c r="G229" s="298"/>
      <c r="H229" s="10"/>
      <c r="I229" s="11"/>
      <c r="J229" s="11"/>
      <c r="K229" s="11"/>
      <c r="L229" s="11"/>
      <c r="M229" s="11"/>
      <c r="N229" s="11"/>
      <c r="O229" s="12"/>
      <c r="P229" s="11"/>
      <c r="Q229" s="13"/>
      <c r="R229" s="14"/>
    </row>
    <row r="230" spans="1:18" ht="15" customHeight="1" x14ac:dyDescent="0.3">
      <c r="A230" s="15" t="s">
        <v>26</v>
      </c>
      <c r="B230" s="15" t="s">
        <v>1021</v>
      </c>
      <c r="C230" s="16">
        <v>0.63194444444444442</v>
      </c>
      <c r="D230" s="15" t="s">
        <v>28</v>
      </c>
      <c r="E230" s="15" t="s">
        <v>133</v>
      </c>
      <c r="F230" s="15" t="s">
        <v>1091</v>
      </c>
      <c r="G230" s="298"/>
      <c r="H230" s="10"/>
      <c r="I230" s="11"/>
      <c r="J230" s="11"/>
      <c r="K230" s="11"/>
      <c r="L230" s="11"/>
      <c r="M230" s="11"/>
      <c r="N230" s="11"/>
      <c r="O230" s="12"/>
      <c r="P230" s="11"/>
      <c r="Q230" s="13"/>
      <c r="R230" s="14"/>
    </row>
    <row r="231" spans="1:18" ht="15" customHeight="1" x14ac:dyDescent="0.3">
      <c r="A231" s="15" t="s">
        <v>26</v>
      </c>
      <c r="B231" s="15" t="s">
        <v>1021</v>
      </c>
      <c r="C231" s="16">
        <v>0.63194444444444442</v>
      </c>
      <c r="D231" s="15" t="s">
        <v>31</v>
      </c>
      <c r="E231" s="15" t="s">
        <v>133</v>
      </c>
      <c r="F231" s="15" t="s">
        <v>30</v>
      </c>
      <c r="G231" s="298"/>
      <c r="H231" s="10"/>
      <c r="I231" s="11"/>
      <c r="J231" s="11"/>
      <c r="K231" s="11"/>
      <c r="L231" s="11"/>
      <c r="M231" s="11"/>
      <c r="N231" s="11"/>
      <c r="O231" s="12"/>
      <c r="P231" s="11"/>
      <c r="Q231" s="13"/>
      <c r="R231" s="14"/>
    </row>
    <row r="232" spans="1:18" ht="15" customHeight="1" x14ac:dyDescent="0.3">
      <c r="A232" s="15" t="s">
        <v>26</v>
      </c>
      <c r="B232" s="15" t="s">
        <v>1021</v>
      </c>
      <c r="C232" s="16">
        <v>0.63194444444444442</v>
      </c>
      <c r="D232" s="15" t="s">
        <v>34</v>
      </c>
      <c r="E232" s="15" t="s">
        <v>133</v>
      </c>
      <c r="F232" s="15" t="s">
        <v>339</v>
      </c>
      <c r="G232" s="298"/>
      <c r="H232" s="10"/>
      <c r="I232" s="11"/>
      <c r="J232" s="11"/>
      <c r="K232" s="11"/>
      <c r="L232" s="11"/>
      <c r="M232" s="11"/>
      <c r="N232" s="11"/>
      <c r="O232" s="12"/>
      <c r="P232" s="11"/>
      <c r="Q232" s="13"/>
      <c r="R232" s="14"/>
    </row>
    <row r="233" spans="1:18" ht="15" customHeight="1" x14ac:dyDescent="0.3">
      <c r="A233" s="17" t="s">
        <v>26</v>
      </c>
      <c r="B233" s="17" t="s">
        <v>1029</v>
      </c>
      <c r="C233" s="18">
        <v>0.50694444444444442</v>
      </c>
      <c r="D233" s="17" t="s">
        <v>351</v>
      </c>
      <c r="E233" s="17" t="s">
        <v>37</v>
      </c>
      <c r="F233" s="17" t="s">
        <v>1091</v>
      </c>
      <c r="G233" s="298"/>
      <c r="H233" s="10"/>
      <c r="I233" s="11"/>
      <c r="J233" s="11"/>
      <c r="K233" s="11"/>
      <c r="L233" s="11"/>
      <c r="M233" s="11"/>
      <c r="N233" s="11"/>
      <c r="O233" s="12"/>
      <c r="P233" s="11"/>
      <c r="Q233" s="13"/>
      <c r="R233" s="14"/>
    </row>
    <row r="234" spans="1:18" ht="15" customHeight="1" x14ac:dyDescent="0.3">
      <c r="A234" s="15" t="s">
        <v>26</v>
      </c>
      <c r="B234" s="15" t="s">
        <v>1029</v>
      </c>
      <c r="C234" s="16">
        <v>0.50694444444444442</v>
      </c>
      <c r="D234" s="15" t="s">
        <v>28</v>
      </c>
      <c r="E234" s="15" t="s">
        <v>38</v>
      </c>
      <c r="F234" s="15" t="s">
        <v>1091</v>
      </c>
      <c r="G234" s="298"/>
      <c r="H234" s="10"/>
      <c r="I234" s="11"/>
      <c r="J234" s="11"/>
      <c r="K234" s="11"/>
      <c r="L234" s="11"/>
      <c r="M234" s="11"/>
      <c r="N234" s="11"/>
      <c r="O234" s="12"/>
      <c r="P234" s="11"/>
      <c r="Q234" s="13"/>
      <c r="R234" s="14"/>
    </row>
    <row r="235" spans="1:18" ht="15" customHeight="1" x14ac:dyDescent="0.3">
      <c r="A235" s="15" t="s">
        <v>26</v>
      </c>
      <c r="B235" s="15" t="s">
        <v>1029</v>
      </c>
      <c r="C235" s="16">
        <v>0.50694444444444442</v>
      </c>
      <c r="D235" s="15" t="s">
        <v>31</v>
      </c>
      <c r="E235" s="15" t="s">
        <v>38</v>
      </c>
      <c r="F235" s="15" t="s">
        <v>30</v>
      </c>
      <c r="G235" s="298"/>
      <c r="H235" s="10"/>
      <c r="I235" s="11"/>
      <c r="J235" s="11"/>
      <c r="K235" s="11"/>
      <c r="L235" s="11"/>
      <c r="M235" s="11"/>
      <c r="N235" s="11"/>
      <c r="O235" s="12"/>
      <c r="P235" s="11"/>
      <c r="Q235" s="13"/>
      <c r="R235" s="14"/>
    </row>
    <row r="236" spans="1:18" ht="15" customHeight="1" x14ac:dyDescent="0.3">
      <c r="A236" s="15" t="s">
        <v>26</v>
      </c>
      <c r="B236" s="15" t="s">
        <v>1029</v>
      </c>
      <c r="C236" s="16">
        <v>0.50694444444444442</v>
      </c>
      <c r="D236" s="15" t="s">
        <v>34</v>
      </c>
      <c r="E236" s="15" t="s">
        <v>38</v>
      </c>
      <c r="F236" s="15" t="s">
        <v>339</v>
      </c>
      <c r="G236" s="298"/>
      <c r="H236" s="10"/>
      <c r="I236" s="11"/>
      <c r="J236" s="11"/>
      <c r="K236" s="11"/>
      <c r="L236" s="11"/>
      <c r="M236" s="11"/>
      <c r="N236" s="11"/>
      <c r="O236" s="12"/>
      <c r="P236" s="11"/>
      <c r="Q236" s="13"/>
      <c r="R236" s="14"/>
    </row>
    <row r="237" spans="1:18" ht="15" customHeight="1" x14ac:dyDescent="0.3">
      <c r="A237" s="17" t="s">
        <v>26</v>
      </c>
      <c r="B237" s="17" t="s">
        <v>1025</v>
      </c>
      <c r="C237" s="18">
        <v>0.69791666666666663</v>
      </c>
      <c r="D237" s="17" t="s">
        <v>351</v>
      </c>
      <c r="E237" s="17" t="s">
        <v>37</v>
      </c>
      <c r="F237" s="17" t="s">
        <v>1091</v>
      </c>
      <c r="G237" s="298"/>
      <c r="H237" s="10"/>
      <c r="I237" s="11"/>
      <c r="J237" s="11"/>
      <c r="K237" s="11"/>
      <c r="L237" s="11"/>
      <c r="M237" s="11"/>
      <c r="N237" s="11"/>
      <c r="O237" s="12"/>
      <c r="P237" s="11"/>
      <c r="Q237" s="13"/>
      <c r="R237" s="14"/>
    </row>
    <row r="238" spans="1:18" ht="15" customHeight="1" x14ac:dyDescent="0.3">
      <c r="A238" s="15" t="s">
        <v>26</v>
      </c>
      <c r="B238" s="15" t="s">
        <v>1025</v>
      </c>
      <c r="C238" s="16">
        <v>0.69791666666666663</v>
      </c>
      <c r="D238" s="15" t="s">
        <v>28</v>
      </c>
      <c r="E238" s="15" t="s">
        <v>38</v>
      </c>
      <c r="F238" s="15" t="s">
        <v>1091</v>
      </c>
      <c r="G238" s="298"/>
      <c r="H238" s="10"/>
      <c r="I238" s="11"/>
      <c r="J238" s="11"/>
      <c r="K238" s="11"/>
      <c r="L238" s="11"/>
      <c r="M238" s="11"/>
      <c r="N238" s="11"/>
      <c r="O238" s="12"/>
      <c r="P238" s="11"/>
      <c r="Q238" s="13"/>
      <c r="R238" s="14"/>
    </row>
    <row r="239" spans="1:18" ht="15" customHeight="1" x14ac:dyDescent="0.3">
      <c r="A239" s="15" t="s">
        <v>26</v>
      </c>
      <c r="B239" s="15" t="s">
        <v>1025</v>
      </c>
      <c r="C239" s="16">
        <v>0.69791666666666663</v>
      </c>
      <c r="D239" s="15" t="s">
        <v>31</v>
      </c>
      <c r="E239" s="15" t="s">
        <v>38</v>
      </c>
      <c r="F239" s="15" t="s">
        <v>30</v>
      </c>
      <c r="G239" s="298"/>
      <c r="H239" s="10"/>
      <c r="I239" s="11"/>
      <c r="J239" s="11"/>
      <c r="K239" s="11"/>
      <c r="L239" s="11"/>
      <c r="M239" s="11"/>
      <c r="N239" s="11"/>
      <c r="O239" s="12"/>
      <c r="P239" s="11"/>
      <c r="Q239" s="13"/>
      <c r="R239" s="14"/>
    </row>
    <row r="240" spans="1:18" ht="15" customHeight="1" x14ac:dyDescent="0.3">
      <c r="A240" s="15" t="s">
        <v>26</v>
      </c>
      <c r="B240" s="15" t="s">
        <v>1025</v>
      </c>
      <c r="C240" s="16">
        <v>0.69791666666666663</v>
      </c>
      <c r="D240" s="15" t="s">
        <v>34</v>
      </c>
      <c r="E240" s="15" t="s">
        <v>38</v>
      </c>
      <c r="F240" s="15" t="s">
        <v>339</v>
      </c>
      <c r="G240" s="298"/>
      <c r="H240" s="10"/>
      <c r="I240" s="11"/>
      <c r="J240" s="11"/>
      <c r="K240" s="11"/>
      <c r="L240" s="11"/>
      <c r="M240" s="11"/>
      <c r="N240" s="11"/>
      <c r="O240" s="12"/>
      <c r="P240" s="11"/>
      <c r="Q240" s="13"/>
      <c r="R240" s="14"/>
    </row>
    <row r="241" spans="1:18" ht="15" customHeight="1" x14ac:dyDescent="0.3">
      <c r="A241" s="17" t="s">
        <v>26</v>
      </c>
      <c r="B241" s="17" t="s">
        <v>1017</v>
      </c>
      <c r="C241" s="18">
        <v>0.95833333333333337</v>
      </c>
      <c r="D241" s="17" t="s">
        <v>351</v>
      </c>
      <c r="E241" s="17" t="s">
        <v>37</v>
      </c>
      <c r="F241" s="17" t="s">
        <v>431</v>
      </c>
      <c r="G241" s="298"/>
      <c r="H241" s="10"/>
      <c r="I241" s="11"/>
      <c r="J241" s="11"/>
      <c r="K241" s="11"/>
      <c r="L241" s="11"/>
      <c r="M241" s="11"/>
      <c r="N241" s="11"/>
      <c r="O241" s="12"/>
      <c r="P241" s="11"/>
      <c r="Q241" s="13"/>
      <c r="R241" s="14"/>
    </row>
    <row r="242" spans="1:18" ht="15" customHeight="1" x14ac:dyDescent="0.3">
      <c r="A242" s="15" t="s">
        <v>26</v>
      </c>
      <c r="B242" s="15" t="s">
        <v>1017</v>
      </c>
      <c r="C242" s="16">
        <v>0.95833333333333337</v>
      </c>
      <c r="D242" s="15" t="s">
        <v>28</v>
      </c>
      <c r="E242" s="15" t="s">
        <v>38</v>
      </c>
      <c r="F242" s="15" t="s">
        <v>431</v>
      </c>
      <c r="G242" s="298"/>
      <c r="H242" s="10"/>
      <c r="I242" s="11"/>
      <c r="J242" s="11"/>
      <c r="K242" s="11"/>
      <c r="L242" s="11"/>
      <c r="M242" s="11"/>
      <c r="N242" s="11"/>
      <c r="O242" s="12"/>
      <c r="P242" s="11"/>
      <c r="Q242" s="13"/>
      <c r="R242" s="14"/>
    </row>
    <row r="243" spans="1:18" ht="15" customHeight="1" x14ac:dyDescent="0.3">
      <c r="A243" s="15" t="s">
        <v>26</v>
      </c>
      <c r="B243" s="15" t="s">
        <v>1017</v>
      </c>
      <c r="C243" s="16">
        <v>0.95833333333333337</v>
      </c>
      <c r="D243" s="15" t="s">
        <v>31</v>
      </c>
      <c r="E243" s="15" t="s">
        <v>38</v>
      </c>
      <c r="F243" s="15" t="s">
        <v>508</v>
      </c>
      <c r="G243" s="298"/>
      <c r="H243" s="10"/>
      <c r="I243" s="11"/>
      <c r="J243" s="11"/>
      <c r="K243" s="11"/>
      <c r="L243" s="11"/>
      <c r="M243" s="11"/>
      <c r="N243" s="11"/>
      <c r="O243" s="12"/>
      <c r="P243" s="11"/>
      <c r="Q243" s="13"/>
      <c r="R243" s="14"/>
    </row>
    <row r="244" spans="1:18" ht="15" customHeight="1" x14ac:dyDescent="0.3">
      <c r="A244" s="15" t="s">
        <v>26</v>
      </c>
      <c r="B244" s="15" t="s">
        <v>1017</v>
      </c>
      <c r="C244" s="16">
        <v>0.95833333333333337</v>
      </c>
      <c r="D244" s="15" t="s">
        <v>34</v>
      </c>
      <c r="E244" s="15" t="s">
        <v>38</v>
      </c>
      <c r="F244" s="15" t="s">
        <v>39</v>
      </c>
      <c r="G244" s="298"/>
      <c r="H244" s="10"/>
      <c r="I244" s="11"/>
      <c r="J244" s="11"/>
      <c r="K244" s="11"/>
      <c r="L244" s="11"/>
      <c r="M244" s="11"/>
      <c r="N244" s="11"/>
      <c r="O244" s="12"/>
      <c r="P244" s="11"/>
      <c r="Q244" s="13"/>
      <c r="R244" s="14"/>
    </row>
    <row r="245" spans="1:18" ht="15" customHeight="1" x14ac:dyDescent="0.3">
      <c r="A245" s="17" t="s">
        <v>26</v>
      </c>
      <c r="B245" s="17" t="s">
        <v>1024</v>
      </c>
      <c r="C245" s="18">
        <v>0.81944444444444453</v>
      </c>
      <c r="D245" s="17" t="s">
        <v>351</v>
      </c>
      <c r="E245" s="17" t="s">
        <v>37</v>
      </c>
      <c r="F245" s="17" t="s">
        <v>431</v>
      </c>
      <c r="G245" s="298"/>
      <c r="H245" s="10"/>
      <c r="I245" s="11"/>
      <c r="J245" s="11"/>
      <c r="K245" s="11"/>
      <c r="L245" s="11"/>
      <c r="M245" s="11"/>
      <c r="N245" s="11"/>
      <c r="O245" s="12"/>
      <c r="P245" s="11"/>
      <c r="Q245" s="13"/>
      <c r="R245" s="14"/>
    </row>
    <row r="246" spans="1:18" ht="15" customHeight="1" x14ac:dyDescent="0.3">
      <c r="A246" s="15" t="s">
        <v>26</v>
      </c>
      <c r="B246" s="15" t="s">
        <v>1024</v>
      </c>
      <c r="C246" s="16">
        <v>0.81944444444444453</v>
      </c>
      <c r="D246" s="15" t="s">
        <v>28</v>
      </c>
      <c r="E246" s="15" t="s">
        <v>38</v>
      </c>
      <c r="F246" s="15" t="s">
        <v>431</v>
      </c>
      <c r="G246" s="298"/>
      <c r="H246" s="10"/>
      <c r="I246" s="11"/>
      <c r="J246" s="11"/>
      <c r="K246" s="11"/>
      <c r="L246" s="11"/>
      <c r="M246" s="11"/>
      <c r="N246" s="11"/>
      <c r="O246" s="12"/>
      <c r="P246" s="11"/>
      <c r="Q246" s="13"/>
      <c r="R246" s="14"/>
    </row>
    <row r="247" spans="1:18" ht="15" customHeight="1" x14ac:dyDescent="0.3">
      <c r="A247" s="15" t="s">
        <v>26</v>
      </c>
      <c r="B247" s="15" t="s">
        <v>1024</v>
      </c>
      <c r="C247" s="16">
        <v>0.81944444444444453</v>
      </c>
      <c r="D247" s="15" t="s">
        <v>31</v>
      </c>
      <c r="E247" s="15" t="s">
        <v>38</v>
      </c>
      <c r="F247" s="15" t="s">
        <v>508</v>
      </c>
      <c r="G247" s="298"/>
      <c r="H247" s="10"/>
      <c r="I247" s="11"/>
      <c r="J247" s="11"/>
      <c r="K247" s="11"/>
      <c r="L247" s="11"/>
      <c r="M247" s="11"/>
      <c r="N247" s="11"/>
      <c r="O247" s="12"/>
      <c r="P247" s="11"/>
      <c r="Q247" s="13"/>
      <c r="R247" s="14"/>
    </row>
    <row r="248" spans="1:18" ht="15" customHeight="1" x14ac:dyDescent="0.3">
      <c r="A248" s="15" t="s">
        <v>26</v>
      </c>
      <c r="B248" s="15" t="s">
        <v>1024</v>
      </c>
      <c r="C248" s="16">
        <v>0.81944444444444453</v>
      </c>
      <c r="D248" s="15" t="s">
        <v>34</v>
      </c>
      <c r="E248" s="15" t="s">
        <v>38</v>
      </c>
      <c r="F248" s="15" t="s">
        <v>39</v>
      </c>
      <c r="G248" s="298"/>
      <c r="H248" s="10"/>
      <c r="I248" s="11"/>
      <c r="J248" s="11"/>
      <c r="K248" s="11"/>
      <c r="L248" s="11"/>
      <c r="M248" s="11"/>
      <c r="N248" s="11"/>
      <c r="O248" s="12"/>
      <c r="P248" s="11"/>
      <c r="Q248" s="13"/>
      <c r="R248" s="14"/>
    </row>
    <row r="249" spans="1:18" ht="15" customHeight="1" x14ac:dyDescent="0.3">
      <c r="A249" s="19" t="s">
        <v>458</v>
      </c>
      <c r="B249" s="19" t="s">
        <v>1111</v>
      </c>
      <c r="C249" s="20">
        <v>0.39930555555555558</v>
      </c>
      <c r="D249" s="19" t="s">
        <v>101</v>
      </c>
      <c r="E249" s="19" t="s">
        <v>96</v>
      </c>
      <c r="F249" s="19" t="s">
        <v>1051</v>
      </c>
      <c r="G249" s="298"/>
      <c r="H249" s="10"/>
      <c r="I249" s="11"/>
      <c r="J249" s="11"/>
      <c r="K249" s="11"/>
      <c r="L249" s="11"/>
      <c r="M249" s="11"/>
      <c r="N249" s="11"/>
      <c r="O249" s="12"/>
      <c r="P249" s="11"/>
      <c r="Q249" s="13"/>
      <c r="R249" s="14"/>
    </row>
    <row r="250" spans="1:18" ht="15" customHeight="1" x14ac:dyDescent="0.3">
      <c r="A250" s="129" t="s">
        <v>77</v>
      </c>
      <c r="B250" s="129" t="s">
        <v>1052</v>
      </c>
      <c r="C250" s="130">
        <v>0.42708333333333331</v>
      </c>
      <c r="D250" s="129" t="s">
        <v>101</v>
      </c>
      <c r="E250" s="129" t="s">
        <v>85</v>
      </c>
      <c r="F250" s="129" t="s">
        <v>1112</v>
      </c>
      <c r="G250" s="298"/>
      <c r="H250" s="131" t="s">
        <v>1054</v>
      </c>
      <c r="I250" s="244">
        <v>0.52510000000000001</v>
      </c>
      <c r="J250" s="133">
        <v>94</v>
      </c>
      <c r="K250" s="134">
        <v>45980</v>
      </c>
      <c r="L250" s="133">
        <v>50</v>
      </c>
      <c r="M250" s="133">
        <v>9</v>
      </c>
      <c r="N250" s="133">
        <v>7</v>
      </c>
      <c r="O250" s="135" t="s">
        <v>654</v>
      </c>
      <c r="P250" s="136">
        <v>0.42708333333333331</v>
      </c>
      <c r="Q250" s="133">
        <v>179</v>
      </c>
      <c r="R250" s="137" t="s">
        <v>1113</v>
      </c>
    </row>
    <row r="251" spans="1:18" ht="15" customHeight="1" x14ac:dyDescent="0.3">
      <c r="A251" s="19" t="s">
        <v>385</v>
      </c>
      <c r="B251" s="19" t="s">
        <v>1043</v>
      </c>
      <c r="C251" s="20">
        <v>0.1736111111111111</v>
      </c>
      <c r="D251" s="19" t="s">
        <v>101</v>
      </c>
      <c r="E251" s="19" t="s">
        <v>118</v>
      </c>
      <c r="F251" s="19" t="s">
        <v>434</v>
      </c>
      <c r="G251" s="298"/>
      <c r="H251" s="10"/>
      <c r="I251" s="11"/>
      <c r="J251" s="11"/>
      <c r="K251" s="11"/>
      <c r="L251" s="11"/>
      <c r="M251" s="11"/>
      <c r="N251" s="11"/>
      <c r="O251" s="12"/>
      <c r="P251" s="11"/>
      <c r="Q251" s="13"/>
      <c r="R251" s="14"/>
    </row>
    <row r="252" spans="1:18" ht="15" customHeight="1" x14ac:dyDescent="0.3">
      <c r="A252" s="19" t="s">
        <v>48</v>
      </c>
      <c r="B252" s="19" t="s">
        <v>1059</v>
      </c>
      <c r="C252" s="20">
        <v>0.98263888888888884</v>
      </c>
      <c r="D252" s="19" t="s">
        <v>50</v>
      </c>
      <c r="E252" s="19" t="s">
        <v>96</v>
      </c>
      <c r="F252" s="19" t="s">
        <v>1060</v>
      </c>
      <c r="G252" s="298"/>
      <c r="H252" s="10"/>
      <c r="I252" s="11"/>
      <c r="J252" s="11"/>
      <c r="K252" s="11"/>
      <c r="L252" s="11"/>
      <c r="M252" s="11"/>
      <c r="N252" s="11"/>
      <c r="O252" s="12"/>
      <c r="P252" s="11"/>
      <c r="Q252" s="13"/>
      <c r="R252" s="14"/>
    </row>
    <row r="253" spans="1:18" ht="15" customHeight="1" x14ac:dyDescent="0.3">
      <c r="A253" s="17" t="s">
        <v>48</v>
      </c>
      <c r="B253" s="17" t="s">
        <v>1062</v>
      </c>
      <c r="C253" s="18">
        <v>0.73263888888888884</v>
      </c>
      <c r="D253" s="17" t="s">
        <v>50</v>
      </c>
      <c r="E253" s="17" t="s">
        <v>72</v>
      </c>
      <c r="F253" s="17" t="s">
        <v>491</v>
      </c>
      <c r="G253" s="298"/>
      <c r="H253" s="10"/>
      <c r="I253" s="11"/>
      <c r="J253" s="11"/>
      <c r="K253" s="11"/>
      <c r="L253" s="11"/>
      <c r="M253" s="11"/>
      <c r="N253" s="11"/>
      <c r="O253" s="12"/>
      <c r="P253" s="11"/>
      <c r="Q253" s="13"/>
      <c r="R253" s="14"/>
    </row>
    <row r="254" spans="1:18" ht="15" customHeight="1" x14ac:dyDescent="0.3">
      <c r="A254" s="19" t="s">
        <v>60</v>
      </c>
      <c r="B254" s="19" t="s">
        <v>1073</v>
      </c>
      <c r="C254" s="20">
        <v>0.82986111111111116</v>
      </c>
      <c r="D254" s="19" t="s">
        <v>107</v>
      </c>
      <c r="E254" s="19" t="s">
        <v>63</v>
      </c>
      <c r="F254" s="19" t="s">
        <v>1114</v>
      </c>
      <c r="G254" s="298"/>
      <c r="H254" s="10"/>
      <c r="I254" s="11"/>
      <c r="J254" s="11"/>
      <c r="K254" s="11"/>
      <c r="L254" s="11"/>
      <c r="M254" s="11"/>
      <c r="N254" s="11"/>
      <c r="O254" s="12"/>
      <c r="P254" s="11"/>
      <c r="Q254" s="13"/>
      <c r="R254" s="14"/>
    </row>
    <row r="255" spans="1:18" ht="15" customHeight="1" x14ac:dyDescent="0.3">
      <c r="A255" s="15" t="s">
        <v>60</v>
      </c>
      <c r="B255" s="15" t="s">
        <v>1073</v>
      </c>
      <c r="C255" s="16">
        <v>0.82986111111111116</v>
      </c>
      <c r="D255" s="15" t="s">
        <v>62</v>
      </c>
      <c r="E255" s="15" t="s">
        <v>66</v>
      </c>
      <c r="F255" s="15" t="s">
        <v>1114</v>
      </c>
      <c r="G255" s="298"/>
      <c r="H255" s="10"/>
      <c r="I255" s="11"/>
      <c r="J255" s="11"/>
      <c r="K255" s="11"/>
      <c r="L255" s="11"/>
      <c r="M255" s="11"/>
      <c r="N255" s="11"/>
      <c r="O255" s="12"/>
      <c r="P255" s="11"/>
      <c r="Q255" s="13"/>
      <c r="R255" s="14"/>
    </row>
    <row r="256" spans="1:18" ht="15" customHeight="1" x14ac:dyDescent="0.3">
      <c r="A256" s="15" t="s">
        <v>60</v>
      </c>
      <c r="B256" s="15" t="s">
        <v>1073</v>
      </c>
      <c r="C256" s="16">
        <v>0.82986111111111116</v>
      </c>
      <c r="D256" s="15" t="s">
        <v>65</v>
      </c>
      <c r="E256" s="15" t="s">
        <v>66</v>
      </c>
      <c r="F256" s="15" t="s">
        <v>1115</v>
      </c>
      <c r="G256" s="298"/>
      <c r="H256" s="10"/>
      <c r="I256" s="11"/>
      <c r="J256" s="11"/>
      <c r="K256" s="11"/>
      <c r="L256" s="11"/>
      <c r="M256" s="11"/>
      <c r="N256" s="11"/>
      <c r="O256" s="12"/>
      <c r="P256" s="11"/>
      <c r="Q256" s="13"/>
      <c r="R256" s="14"/>
    </row>
    <row r="257" spans="1:18" ht="15" customHeight="1" x14ac:dyDescent="0.3">
      <c r="A257" s="17" t="s">
        <v>60</v>
      </c>
      <c r="B257" s="17" t="s">
        <v>1116</v>
      </c>
      <c r="C257" s="18">
        <v>0.69791666666666663</v>
      </c>
      <c r="D257" s="17" t="s">
        <v>107</v>
      </c>
      <c r="E257" s="17" t="s">
        <v>54</v>
      </c>
      <c r="F257" s="17" t="s">
        <v>1114</v>
      </c>
      <c r="G257" s="298"/>
      <c r="H257" s="10"/>
      <c r="I257" s="11"/>
      <c r="J257" s="11"/>
      <c r="K257" s="11"/>
      <c r="L257" s="11"/>
      <c r="M257" s="11"/>
      <c r="N257" s="11"/>
      <c r="O257" s="12"/>
      <c r="P257" s="11"/>
      <c r="Q257" s="13"/>
      <c r="R257" s="14"/>
    </row>
    <row r="258" spans="1:18" ht="15" customHeight="1" x14ac:dyDescent="0.3">
      <c r="A258" s="15" t="s">
        <v>60</v>
      </c>
      <c r="B258" s="15" t="s">
        <v>1116</v>
      </c>
      <c r="C258" s="16">
        <v>0.69791666666666663</v>
      </c>
      <c r="D258" s="15" t="s">
        <v>62</v>
      </c>
      <c r="E258" s="15" t="s">
        <v>66</v>
      </c>
      <c r="F258" s="15" t="s">
        <v>1114</v>
      </c>
      <c r="G258" s="298"/>
      <c r="H258" s="10"/>
      <c r="I258" s="11"/>
      <c r="J258" s="11"/>
      <c r="K258" s="11"/>
      <c r="L258" s="11"/>
      <c r="M258" s="11"/>
      <c r="N258" s="11"/>
      <c r="O258" s="12"/>
      <c r="P258" s="11"/>
      <c r="Q258" s="13"/>
      <c r="R258" s="14"/>
    </row>
    <row r="259" spans="1:18" ht="15" customHeight="1" x14ac:dyDescent="0.3">
      <c r="A259" s="15" t="s">
        <v>60</v>
      </c>
      <c r="B259" s="15" t="s">
        <v>1116</v>
      </c>
      <c r="C259" s="16">
        <v>0.69791666666666663</v>
      </c>
      <c r="D259" s="15" t="s">
        <v>65</v>
      </c>
      <c r="E259" s="15" t="s">
        <v>66</v>
      </c>
      <c r="F259" s="15" t="s">
        <v>1115</v>
      </c>
      <c r="G259" s="298"/>
      <c r="H259" s="10"/>
      <c r="I259" s="11"/>
      <c r="J259" s="11"/>
      <c r="K259" s="11"/>
      <c r="L259" s="11"/>
      <c r="M259" s="11"/>
      <c r="N259" s="11"/>
      <c r="O259" s="12"/>
      <c r="P259" s="11"/>
      <c r="Q259" s="13"/>
      <c r="R259" s="14"/>
    </row>
    <row r="260" spans="1:18" ht="15" customHeight="1" x14ac:dyDescent="0.3">
      <c r="A260" s="17" t="s">
        <v>60</v>
      </c>
      <c r="B260" s="17" t="s">
        <v>1074</v>
      </c>
      <c r="C260" s="18">
        <v>0.62847222222222221</v>
      </c>
      <c r="D260" s="17" t="s">
        <v>107</v>
      </c>
      <c r="E260" s="17" t="s">
        <v>54</v>
      </c>
      <c r="F260" s="17" t="s">
        <v>1114</v>
      </c>
      <c r="G260" s="298"/>
      <c r="H260" s="10"/>
      <c r="I260" s="11"/>
      <c r="J260" s="11"/>
      <c r="K260" s="11"/>
      <c r="L260" s="11"/>
      <c r="M260" s="11"/>
      <c r="N260" s="11"/>
      <c r="O260" s="12"/>
      <c r="P260" s="11"/>
      <c r="Q260" s="13"/>
      <c r="R260" s="14"/>
    </row>
    <row r="261" spans="1:18" ht="15" customHeight="1" x14ac:dyDescent="0.3">
      <c r="A261" s="15" t="s">
        <v>60</v>
      </c>
      <c r="B261" s="15" t="s">
        <v>1074</v>
      </c>
      <c r="C261" s="16">
        <v>0.62847222222222221</v>
      </c>
      <c r="D261" s="15" t="s">
        <v>62</v>
      </c>
      <c r="E261" s="15" t="s">
        <v>66</v>
      </c>
      <c r="F261" s="15" t="s">
        <v>1114</v>
      </c>
      <c r="G261" s="298"/>
      <c r="H261" s="10"/>
      <c r="I261" s="11"/>
      <c r="J261" s="11"/>
      <c r="K261" s="11"/>
      <c r="L261" s="11"/>
      <c r="M261" s="11"/>
      <c r="N261" s="11"/>
      <c r="O261" s="12"/>
      <c r="P261" s="11"/>
      <c r="Q261" s="13"/>
      <c r="R261" s="14"/>
    </row>
    <row r="262" spans="1:18" ht="15" customHeight="1" x14ac:dyDescent="0.3">
      <c r="A262" s="15" t="s">
        <v>60</v>
      </c>
      <c r="B262" s="15" t="s">
        <v>1074</v>
      </c>
      <c r="C262" s="16">
        <v>0.62847222222222221</v>
      </c>
      <c r="D262" s="15" t="s">
        <v>65</v>
      </c>
      <c r="E262" s="15" t="s">
        <v>66</v>
      </c>
      <c r="F262" s="15" t="s">
        <v>1115</v>
      </c>
      <c r="G262" s="298"/>
      <c r="H262" s="10"/>
      <c r="I262" s="11"/>
      <c r="J262" s="11"/>
      <c r="K262" s="11"/>
      <c r="L262" s="11"/>
      <c r="M262" s="11"/>
      <c r="N262" s="11"/>
      <c r="O262" s="12"/>
      <c r="P262" s="11"/>
      <c r="Q262" s="13"/>
      <c r="R262" s="14"/>
    </row>
    <row r="263" spans="1:18" ht="15" customHeight="1" x14ac:dyDescent="0.3">
      <c r="A263" s="17" t="s">
        <v>60</v>
      </c>
      <c r="B263" s="17" t="s">
        <v>1071</v>
      </c>
      <c r="C263" s="18">
        <v>0.44444444444444442</v>
      </c>
      <c r="D263" s="17" t="s">
        <v>107</v>
      </c>
      <c r="E263" s="17" t="s">
        <v>144</v>
      </c>
      <c r="F263" s="17" t="s">
        <v>1065</v>
      </c>
      <c r="G263" s="298"/>
      <c r="H263" s="10"/>
      <c r="I263" s="11"/>
      <c r="J263" s="11"/>
      <c r="K263" s="11"/>
      <c r="L263" s="11"/>
      <c r="M263" s="11"/>
      <c r="N263" s="11"/>
      <c r="O263" s="12"/>
      <c r="P263" s="11"/>
      <c r="Q263" s="13"/>
      <c r="R263" s="14"/>
    </row>
    <row r="264" spans="1:18" ht="15" customHeight="1" x14ac:dyDescent="0.3">
      <c r="A264" s="15" t="s">
        <v>60</v>
      </c>
      <c r="B264" s="15" t="s">
        <v>1071</v>
      </c>
      <c r="C264" s="16">
        <v>0.44444444444444442</v>
      </c>
      <c r="D264" s="15" t="s">
        <v>62</v>
      </c>
      <c r="E264" s="15" t="s">
        <v>133</v>
      </c>
      <c r="F264" s="15" t="s">
        <v>1065</v>
      </c>
      <c r="G264" s="298"/>
      <c r="H264" s="10"/>
      <c r="I264" s="11"/>
      <c r="J264" s="11"/>
      <c r="K264" s="11"/>
      <c r="L264" s="11"/>
      <c r="M264" s="11"/>
      <c r="N264" s="11"/>
      <c r="O264" s="12"/>
      <c r="P264" s="11"/>
      <c r="Q264" s="13"/>
      <c r="R264" s="14"/>
    </row>
    <row r="265" spans="1:18" ht="15" customHeight="1" x14ac:dyDescent="0.3">
      <c r="A265" s="15" t="s">
        <v>60</v>
      </c>
      <c r="B265" s="15" t="s">
        <v>1071</v>
      </c>
      <c r="C265" s="16">
        <v>0.44444444444444442</v>
      </c>
      <c r="D265" s="15" t="s">
        <v>65</v>
      </c>
      <c r="E265" s="15" t="s">
        <v>133</v>
      </c>
      <c r="F265" s="15" t="s">
        <v>1066</v>
      </c>
      <c r="G265" s="298"/>
      <c r="H265" s="10"/>
      <c r="I265" s="11"/>
      <c r="J265" s="11"/>
      <c r="K265" s="11"/>
      <c r="L265" s="11"/>
      <c r="M265" s="11"/>
      <c r="N265" s="11"/>
      <c r="O265" s="12"/>
      <c r="P265" s="11"/>
      <c r="Q265" s="13"/>
      <c r="R265" s="14"/>
    </row>
    <row r="266" spans="1:18" ht="15" customHeight="1" x14ac:dyDescent="0.3">
      <c r="A266" s="17" t="s">
        <v>60</v>
      </c>
      <c r="B266" s="17" t="s">
        <v>1064</v>
      </c>
      <c r="C266" s="18">
        <v>0.98263888888888884</v>
      </c>
      <c r="D266" s="17" t="s">
        <v>107</v>
      </c>
      <c r="E266" s="17" t="s">
        <v>54</v>
      </c>
      <c r="F266" s="17" t="s">
        <v>1065</v>
      </c>
      <c r="G266" s="298"/>
      <c r="H266" s="10"/>
      <c r="I266" s="11"/>
      <c r="J266" s="11"/>
      <c r="K266" s="11"/>
      <c r="L266" s="11"/>
      <c r="M266" s="11"/>
      <c r="N266" s="11"/>
      <c r="O266" s="12"/>
      <c r="P266" s="11"/>
      <c r="Q266" s="13"/>
      <c r="R266" s="14"/>
    </row>
    <row r="267" spans="1:18" ht="15" customHeight="1" x14ac:dyDescent="0.3">
      <c r="A267" s="15" t="s">
        <v>60</v>
      </c>
      <c r="B267" s="15" t="s">
        <v>1064</v>
      </c>
      <c r="C267" s="16">
        <v>0.98263888888888884</v>
      </c>
      <c r="D267" s="15" t="s">
        <v>62</v>
      </c>
      <c r="E267" s="15" t="s">
        <v>66</v>
      </c>
      <c r="F267" s="15" t="s">
        <v>1065</v>
      </c>
      <c r="G267" s="298"/>
      <c r="H267" s="10"/>
      <c r="I267" s="11"/>
      <c r="J267" s="11"/>
      <c r="K267" s="11"/>
      <c r="L267" s="11"/>
      <c r="M267" s="11"/>
      <c r="N267" s="11"/>
      <c r="O267" s="12"/>
      <c r="P267" s="11"/>
      <c r="Q267" s="13"/>
      <c r="R267" s="14"/>
    </row>
    <row r="268" spans="1:18" ht="15" customHeight="1" x14ac:dyDescent="0.3">
      <c r="A268" s="15" t="s">
        <v>60</v>
      </c>
      <c r="B268" s="15" t="s">
        <v>1064</v>
      </c>
      <c r="C268" s="16">
        <v>0.98263888888888884</v>
      </c>
      <c r="D268" s="15" t="s">
        <v>65</v>
      </c>
      <c r="E268" s="15" t="s">
        <v>66</v>
      </c>
      <c r="F268" s="15" t="s">
        <v>1066</v>
      </c>
      <c r="G268" s="298"/>
      <c r="H268" s="10"/>
      <c r="I268" s="11"/>
      <c r="J268" s="11"/>
      <c r="K268" s="11"/>
      <c r="L268" s="11"/>
      <c r="M268" s="11"/>
      <c r="N268" s="11"/>
      <c r="O268" s="12"/>
      <c r="P268" s="11"/>
      <c r="Q268" s="13"/>
      <c r="R268" s="14"/>
    </row>
    <row r="269" spans="1:18" ht="15" customHeight="1" x14ac:dyDescent="0.3">
      <c r="A269" s="17" t="s">
        <v>60</v>
      </c>
      <c r="B269" s="17" t="s">
        <v>1067</v>
      </c>
      <c r="C269" s="18">
        <v>0.88888888888888884</v>
      </c>
      <c r="D269" s="17" t="s">
        <v>50</v>
      </c>
      <c r="E269" s="17" t="s">
        <v>72</v>
      </c>
      <c r="F269" s="17" t="s">
        <v>1068</v>
      </c>
      <c r="G269" s="298"/>
      <c r="H269" s="10"/>
      <c r="I269" s="11"/>
      <c r="J269" s="11"/>
      <c r="K269" s="11"/>
      <c r="L269" s="11"/>
      <c r="M269" s="11"/>
      <c r="N269" s="11"/>
      <c r="O269" s="12"/>
      <c r="P269" s="11"/>
      <c r="Q269" s="13"/>
      <c r="R269" s="14"/>
    </row>
    <row r="270" spans="1:18" ht="15" customHeight="1" x14ac:dyDescent="0.3">
      <c r="A270" s="15" t="s">
        <v>60</v>
      </c>
      <c r="B270" s="15" t="s">
        <v>1067</v>
      </c>
      <c r="C270" s="16">
        <v>0.88888888888888884</v>
      </c>
      <c r="D270" s="15" t="s">
        <v>65</v>
      </c>
      <c r="E270" s="15" t="s">
        <v>84</v>
      </c>
      <c r="F270" s="15" t="s">
        <v>1068</v>
      </c>
      <c r="G270" s="298"/>
      <c r="H270" s="10"/>
      <c r="I270" s="11"/>
      <c r="J270" s="11"/>
      <c r="K270" s="11"/>
      <c r="L270" s="11"/>
      <c r="M270" s="11"/>
      <c r="N270" s="11"/>
      <c r="O270" s="12"/>
      <c r="P270" s="11"/>
      <c r="Q270" s="13"/>
      <c r="R270" s="14"/>
    </row>
    <row r="271" spans="1:18" ht="15" customHeight="1" x14ac:dyDescent="0.3">
      <c r="A271" s="17" t="s">
        <v>60</v>
      </c>
      <c r="B271" s="17" t="s">
        <v>1069</v>
      </c>
      <c r="C271" s="18">
        <v>0.62847222222222221</v>
      </c>
      <c r="D271" s="17" t="s">
        <v>50</v>
      </c>
      <c r="E271" s="17" t="s">
        <v>72</v>
      </c>
      <c r="F271" s="17" t="s">
        <v>1068</v>
      </c>
      <c r="G271" s="298"/>
      <c r="H271" s="10"/>
      <c r="I271" s="11"/>
      <c r="J271" s="11"/>
      <c r="K271" s="11"/>
      <c r="L271" s="11"/>
      <c r="M271" s="11"/>
      <c r="N271" s="11"/>
      <c r="O271" s="12"/>
      <c r="P271" s="11"/>
      <c r="Q271" s="13"/>
      <c r="R271" s="14"/>
    </row>
    <row r="272" spans="1:18" ht="15" customHeight="1" x14ac:dyDescent="0.3">
      <c r="A272" s="15" t="s">
        <v>60</v>
      </c>
      <c r="B272" s="15" t="s">
        <v>1069</v>
      </c>
      <c r="C272" s="16">
        <v>0.62847222222222221</v>
      </c>
      <c r="D272" s="15" t="s">
        <v>65</v>
      </c>
      <c r="E272" s="15" t="s">
        <v>84</v>
      </c>
      <c r="F272" s="15" t="s">
        <v>1068</v>
      </c>
      <c r="G272" s="298"/>
      <c r="H272" s="10"/>
      <c r="I272" s="11"/>
      <c r="J272" s="11"/>
      <c r="K272" s="11"/>
      <c r="L272" s="11"/>
      <c r="M272" s="11"/>
      <c r="N272" s="11"/>
      <c r="O272" s="12"/>
      <c r="P272" s="11"/>
      <c r="Q272" s="13"/>
      <c r="R272" s="14"/>
    </row>
    <row r="273" spans="1:18" ht="15" customHeight="1" x14ac:dyDescent="0.3">
      <c r="A273" s="17" t="s">
        <v>60</v>
      </c>
      <c r="B273" s="17" t="s">
        <v>1070</v>
      </c>
      <c r="C273" s="18">
        <v>0.94444444444444453</v>
      </c>
      <c r="D273" s="17" t="s">
        <v>50</v>
      </c>
      <c r="E273" s="17" t="s">
        <v>72</v>
      </c>
      <c r="F273" s="17" t="s">
        <v>1068</v>
      </c>
      <c r="G273" s="298"/>
      <c r="H273" s="10"/>
      <c r="I273" s="11"/>
      <c r="J273" s="11"/>
      <c r="K273" s="11"/>
      <c r="L273" s="11"/>
      <c r="M273" s="11"/>
      <c r="N273" s="11"/>
      <c r="O273" s="12"/>
      <c r="P273" s="11"/>
      <c r="Q273" s="13"/>
      <c r="R273" s="14"/>
    </row>
    <row r="274" spans="1:18" ht="15" customHeight="1" thickBot="1" x14ac:dyDescent="0.35">
      <c r="A274" s="64" t="s">
        <v>60</v>
      </c>
      <c r="B274" s="64" t="s">
        <v>1070</v>
      </c>
      <c r="C274" s="65">
        <v>0.94444444444444453</v>
      </c>
      <c r="D274" s="64" t="s">
        <v>65</v>
      </c>
      <c r="E274" s="64" t="s">
        <v>84</v>
      </c>
      <c r="F274" s="64" t="s">
        <v>1068</v>
      </c>
      <c r="G274" s="299"/>
      <c r="H274" s="41"/>
      <c r="I274" s="42"/>
      <c r="J274" s="42"/>
      <c r="K274" s="42"/>
      <c r="L274" s="42"/>
      <c r="M274" s="42"/>
      <c r="N274" s="42"/>
      <c r="O274" s="43"/>
      <c r="P274" s="42"/>
      <c r="Q274" s="44"/>
      <c r="R274" s="45"/>
    </row>
    <row r="275" spans="1:18" ht="17.399999999999999" customHeight="1" thickBot="1" x14ac:dyDescent="0.35">
      <c r="A275" s="329"/>
      <c r="B275" s="330"/>
      <c r="C275" s="330"/>
      <c r="D275" s="330"/>
      <c r="E275" s="330"/>
      <c r="F275" s="330"/>
      <c r="G275" s="330"/>
      <c r="H275" s="330"/>
      <c r="I275" s="330"/>
      <c r="J275" s="330"/>
      <c r="K275" s="330"/>
      <c r="L275" s="330"/>
      <c r="M275" s="330"/>
      <c r="N275" s="330"/>
      <c r="O275" s="330"/>
      <c r="P275" s="330"/>
      <c r="Q275" s="330"/>
      <c r="R275" s="331"/>
    </row>
    <row r="276" spans="1:18" ht="22.05" customHeight="1" thickTop="1" thickBot="1" x14ac:dyDescent="0.35">
      <c r="A276" s="300" t="s">
        <v>6</v>
      </c>
      <c r="B276" s="295"/>
      <c r="C276" s="295"/>
      <c r="D276" s="295"/>
      <c r="E276" s="295"/>
      <c r="F276" s="296"/>
      <c r="G276" s="31">
        <v>45985</v>
      </c>
      <c r="H276" s="294" t="s">
        <v>7</v>
      </c>
      <c r="I276" s="295"/>
      <c r="J276" s="295"/>
      <c r="K276" s="295"/>
      <c r="L276" s="295"/>
      <c r="M276" s="295"/>
      <c r="N276" s="295"/>
      <c r="O276" s="295"/>
      <c r="P276" s="295"/>
      <c r="Q276" s="295"/>
      <c r="R276" s="296"/>
    </row>
    <row r="277" spans="1:18" ht="24" customHeight="1" x14ac:dyDescent="0.3">
      <c r="A277" s="32" t="s">
        <v>8</v>
      </c>
      <c r="B277" s="32" t="s">
        <v>9</v>
      </c>
      <c r="C277" s="33" t="s">
        <v>10</v>
      </c>
      <c r="D277" s="32" t="s">
        <v>11</v>
      </c>
      <c r="E277" s="32" t="s">
        <v>12</v>
      </c>
      <c r="F277" s="34" t="s">
        <v>13</v>
      </c>
      <c r="G277" s="35" t="s">
        <v>14</v>
      </c>
      <c r="H277" s="32" t="s">
        <v>15</v>
      </c>
      <c r="I277" s="36" t="s">
        <v>16</v>
      </c>
      <c r="J277" s="37" t="s">
        <v>17</v>
      </c>
      <c r="K277" s="38" t="s">
        <v>18</v>
      </c>
      <c r="L277" s="37" t="s">
        <v>19</v>
      </c>
      <c r="M277" s="37" t="s">
        <v>20</v>
      </c>
      <c r="N277" s="37" t="s">
        <v>21</v>
      </c>
      <c r="O277" s="32" t="s">
        <v>22</v>
      </c>
      <c r="P277" s="33" t="s">
        <v>23</v>
      </c>
      <c r="Q277" s="37" t="s">
        <v>24</v>
      </c>
      <c r="R277" s="32" t="s">
        <v>25</v>
      </c>
    </row>
    <row r="278" spans="1:18" ht="15" customHeight="1" x14ac:dyDescent="0.3">
      <c r="A278" s="8" t="s">
        <v>26</v>
      </c>
      <c r="B278" s="8" t="s">
        <v>1025</v>
      </c>
      <c r="C278" s="9">
        <v>0.69791666666666663</v>
      </c>
      <c r="D278" s="8" t="s">
        <v>28</v>
      </c>
      <c r="E278" s="8" t="s">
        <v>29</v>
      </c>
      <c r="F278" s="8" t="s">
        <v>1027</v>
      </c>
      <c r="G278" s="304"/>
      <c r="H278" s="10"/>
      <c r="I278" s="11"/>
      <c r="J278" s="11"/>
      <c r="K278" s="11"/>
      <c r="L278" s="11"/>
      <c r="M278" s="11"/>
      <c r="N278" s="11"/>
      <c r="O278" s="12"/>
      <c r="P278" s="11"/>
      <c r="Q278" s="13"/>
      <c r="R278" s="14"/>
    </row>
    <row r="279" spans="1:18" ht="15" customHeight="1" x14ac:dyDescent="0.3">
      <c r="A279" s="15" t="s">
        <v>26</v>
      </c>
      <c r="B279" s="15" t="s">
        <v>1025</v>
      </c>
      <c r="C279" s="16">
        <v>0.69791666666666663</v>
      </c>
      <c r="D279" s="15" t="s">
        <v>31</v>
      </c>
      <c r="E279" s="15" t="s">
        <v>32</v>
      </c>
      <c r="F279" s="15" t="s">
        <v>1028</v>
      </c>
      <c r="G279" s="298"/>
      <c r="H279" s="10"/>
      <c r="I279" s="11"/>
      <c r="J279" s="11"/>
      <c r="K279" s="11"/>
      <c r="L279" s="11"/>
      <c r="M279" s="11"/>
      <c r="N279" s="11"/>
      <c r="O279" s="12"/>
      <c r="P279" s="11"/>
      <c r="Q279" s="13"/>
      <c r="R279" s="14"/>
    </row>
    <row r="280" spans="1:18" ht="15" customHeight="1" x14ac:dyDescent="0.3">
      <c r="A280" s="15" t="s">
        <v>26</v>
      </c>
      <c r="B280" s="15" t="s">
        <v>1025</v>
      </c>
      <c r="C280" s="16">
        <v>0.69791666666666663</v>
      </c>
      <c r="D280" s="15" t="s">
        <v>34</v>
      </c>
      <c r="E280" s="15" t="s">
        <v>32</v>
      </c>
      <c r="F280" s="15" t="s">
        <v>44</v>
      </c>
      <c r="G280" s="298"/>
      <c r="H280" s="10"/>
      <c r="I280" s="11"/>
      <c r="J280" s="11"/>
      <c r="K280" s="11"/>
      <c r="L280" s="11"/>
      <c r="M280" s="11"/>
      <c r="N280" s="11"/>
      <c r="O280" s="12"/>
      <c r="P280" s="11"/>
      <c r="Q280" s="13"/>
      <c r="R280" s="14"/>
    </row>
    <row r="281" spans="1:18" ht="15" customHeight="1" x14ac:dyDescent="0.3">
      <c r="A281" s="17" t="s">
        <v>26</v>
      </c>
      <c r="B281" s="17" t="s">
        <v>1026</v>
      </c>
      <c r="C281" s="18">
        <v>0.4375</v>
      </c>
      <c r="D281" s="17" t="s">
        <v>351</v>
      </c>
      <c r="E281" s="17" t="s">
        <v>37</v>
      </c>
      <c r="F281" s="17" t="s">
        <v>1091</v>
      </c>
      <c r="G281" s="298"/>
      <c r="H281" s="10"/>
      <c r="I281" s="11"/>
      <c r="J281" s="11"/>
      <c r="K281" s="11"/>
      <c r="L281" s="11"/>
      <c r="M281" s="11"/>
      <c r="N281" s="11"/>
      <c r="O281" s="12"/>
      <c r="P281" s="11"/>
      <c r="Q281" s="13"/>
      <c r="R281" s="14"/>
    </row>
    <row r="282" spans="1:18" ht="15" customHeight="1" x14ac:dyDescent="0.3">
      <c r="A282" s="15" t="s">
        <v>26</v>
      </c>
      <c r="B282" s="15" t="s">
        <v>1026</v>
      </c>
      <c r="C282" s="16">
        <v>0.4375</v>
      </c>
      <c r="D282" s="15" t="s">
        <v>28</v>
      </c>
      <c r="E282" s="15" t="s">
        <v>38</v>
      </c>
      <c r="F282" s="15" t="s">
        <v>1091</v>
      </c>
      <c r="G282" s="298"/>
      <c r="H282" s="10"/>
      <c r="I282" s="11"/>
      <c r="J282" s="11"/>
      <c r="K282" s="11"/>
      <c r="L282" s="11"/>
      <c r="M282" s="11"/>
      <c r="N282" s="11"/>
      <c r="O282" s="12"/>
      <c r="P282" s="11"/>
      <c r="Q282" s="13"/>
      <c r="R282" s="14"/>
    </row>
    <row r="283" spans="1:18" ht="15" customHeight="1" x14ac:dyDescent="0.3">
      <c r="A283" s="15" t="s">
        <v>26</v>
      </c>
      <c r="B283" s="15" t="s">
        <v>1026</v>
      </c>
      <c r="C283" s="16">
        <v>0.4375</v>
      </c>
      <c r="D283" s="15" t="s">
        <v>31</v>
      </c>
      <c r="E283" s="15" t="s">
        <v>38</v>
      </c>
      <c r="F283" s="15" t="s">
        <v>30</v>
      </c>
      <c r="G283" s="298"/>
      <c r="H283" s="10"/>
      <c r="I283" s="11"/>
      <c r="J283" s="11"/>
      <c r="K283" s="11"/>
      <c r="L283" s="11"/>
      <c r="M283" s="11"/>
      <c r="N283" s="11"/>
      <c r="O283" s="12"/>
      <c r="P283" s="11"/>
      <c r="Q283" s="13"/>
      <c r="R283" s="14"/>
    </row>
    <row r="284" spans="1:18" ht="15" customHeight="1" x14ac:dyDescent="0.3">
      <c r="A284" s="15" t="s">
        <v>26</v>
      </c>
      <c r="B284" s="15" t="s">
        <v>1026</v>
      </c>
      <c r="C284" s="16">
        <v>0.4375</v>
      </c>
      <c r="D284" s="15" t="s">
        <v>34</v>
      </c>
      <c r="E284" s="15" t="s">
        <v>38</v>
      </c>
      <c r="F284" s="15" t="s">
        <v>339</v>
      </c>
      <c r="G284" s="298"/>
      <c r="H284" s="10"/>
      <c r="I284" s="11"/>
      <c r="J284" s="11"/>
      <c r="K284" s="11"/>
      <c r="L284" s="11"/>
      <c r="M284" s="11"/>
      <c r="N284" s="11"/>
      <c r="O284" s="12"/>
      <c r="P284" s="11"/>
      <c r="Q284" s="13"/>
      <c r="R284" s="14"/>
    </row>
    <row r="285" spans="1:18" ht="15" customHeight="1" x14ac:dyDescent="0.3">
      <c r="A285" s="17" t="s">
        <v>26</v>
      </c>
      <c r="B285" s="17" t="s">
        <v>1021</v>
      </c>
      <c r="C285" s="18">
        <v>0.63194444444444442</v>
      </c>
      <c r="D285" s="17" t="s">
        <v>351</v>
      </c>
      <c r="E285" s="17" t="s">
        <v>37</v>
      </c>
      <c r="F285" s="17" t="s">
        <v>1091</v>
      </c>
      <c r="G285" s="298"/>
      <c r="H285" s="10"/>
      <c r="I285" s="11"/>
      <c r="J285" s="11"/>
      <c r="K285" s="11"/>
      <c r="L285" s="11"/>
      <c r="M285" s="11"/>
      <c r="N285" s="11"/>
      <c r="O285" s="12"/>
      <c r="P285" s="11"/>
      <c r="Q285" s="13"/>
      <c r="R285" s="14"/>
    </row>
    <row r="286" spans="1:18" ht="15" customHeight="1" x14ac:dyDescent="0.3">
      <c r="A286" s="15" t="s">
        <v>26</v>
      </c>
      <c r="B286" s="15" t="s">
        <v>1021</v>
      </c>
      <c r="C286" s="16">
        <v>0.63194444444444442</v>
      </c>
      <c r="D286" s="15" t="s">
        <v>28</v>
      </c>
      <c r="E286" s="15" t="s">
        <v>38</v>
      </c>
      <c r="F286" s="15" t="s">
        <v>1091</v>
      </c>
      <c r="G286" s="298"/>
      <c r="H286" s="10"/>
      <c r="I286" s="11"/>
      <c r="J286" s="11"/>
      <c r="K286" s="11"/>
      <c r="L286" s="11"/>
      <c r="M286" s="11"/>
      <c r="N286" s="11"/>
      <c r="O286" s="12"/>
      <c r="P286" s="11"/>
      <c r="Q286" s="13"/>
      <c r="R286" s="14"/>
    </row>
    <row r="287" spans="1:18" ht="15" customHeight="1" x14ac:dyDescent="0.3">
      <c r="A287" s="15" t="s">
        <v>26</v>
      </c>
      <c r="B287" s="15" t="s">
        <v>1021</v>
      </c>
      <c r="C287" s="16">
        <v>0.63194444444444442</v>
      </c>
      <c r="D287" s="15" t="s">
        <v>31</v>
      </c>
      <c r="E287" s="15" t="s">
        <v>38</v>
      </c>
      <c r="F287" s="15" t="s">
        <v>30</v>
      </c>
      <c r="G287" s="298"/>
      <c r="H287" s="10"/>
      <c r="I287" s="11"/>
      <c r="J287" s="11"/>
      <c r="K287" s="11"/>
      <c r="L287" s="11"/>
      <c r="M287" s="11"/>
      <c r="N287" s="11"/>
      <c r="O287" s="12"/>
      <c r="P287" s="11"/>
      <c r="Q287" s="13"/>
      <c r="R287" s="14"/>
    </row>
    <row r="288" spans="1:18" ht="15" customHeight="1" x14ac:dyDescent="0.3">
      <c r="A288" s="15" t="s">
        <v>26</v>
      </c>
      <c r="B288" s="15" t="s">
        <v>1021</v>
      </c>
      <c r="C288" s="16">
        <v>0.63194444444444442</v>
      </c>
      <c r="D288" s="15" t="s">
        <v>34</v>
      </c>
      <c r="E288" s="15" t="s">
        <v>38</v>
      </c>
      <c r="F288" s="15" t="s">
        <v>339</v>
      </c>
      <c r="G288" s="298"/>
      <c r="H288" s="10"/>
      <c r="I288" s="11"/>
      <c r="J288" s="11"/>
      <c r="K288" s="11"/>
      <c r="L288" s="11"/>
      <c r="M288" s="11"/>
      <c r="N288" s="11"/>
      <c r="O288" s="12"/>
      <c r="P288" s="11"/>
      <c r="Q288" s="13"/>
      <c r="R288" s="14"/>
    </row>
    <row r="289" spans="1:18" ht="15" customHeight="1" x14ac:dyDescent="0.3">
      <c r="A289" s="17" t="s">
        <v>26</v>
      </c>
      <c r="B289" s="17" t="s">
        <v>1023</v>
      </c>
      <c r="C289" s="18">
        <v>0.55902777777777779</v>
      </c>
      <c r="D289" s="17" t="s">
        <v>351</v>
      </c>
      <c r="E289" s="17" t="s">
        <v>37</v>
      </c>
      <c r="F289" s="17" t="s">
        <v>1091</v>
      </c>
      <c r="G289" s="298"/>
      <c r="H289" s="10"/>
      <c r="I289" s="11"/>
      <c r="J289" s="11"/>
      <c r="K289" s="11"/>
      <c r="L289" s="11"/>
      <c r="M289" s="11"/>
      <c r="N289" s="11"/>
      <c r="O289" s="12"/>
      <c r="P289" s="11"/>
      <c r="Q289" s="13"/>
      <c r="R289" s="14"/>
    </row>
    <row r="290" spans="1:18" ht="15" customHeight="1" x14ac:dyDescent="0.3">
      <c r="A290" s="15" t="s">
        <v>26</v>
      </c>
      <c r="B290" s="15" t="s">
        <v>1023</v>
      </c>
      <c r="C290" s="16">
        <v>0.55902777777777779</v>
      </c>
      <c r="D290" s="15" t="s">
        <v>28</v>
      </c>
      <c r="E290" s="15" t="s">
        <v>38</v>
      </c>
      <c r="F290" s="15" t="s">
        <v>1091</v>
      </c>
      <c r="G290" s="298"/>
      <c r="H290" s="10"/>
      <c r="I290" s="11"/>
      <c r="J290" s="11"/>
      <c r="K290" s="11"/>
      <c r="L290" s="11"/>
      <c r="M290" s="11"/>
      <c r="N290" s="11"/>
      <c r="O290" s="12"/>
      <c r="P290" s="11"/>
      <c r="Q290" s="13"/>
      <c r="R290" s="14"/>
    </row>
    <row r="291" spans="1:18" ht="15" customHeight="1" x14ac:dyDescent="0.3">
      <c r="A291" s="15" t="s">
        <v>26</v>
      </c>
      <c r="B291" s="15" t="s">
        <v>1023</v>
      </c>
      <c r="C291" s="16">
        <v>0.55902777777777779</v>
      </c>
      <c r="D291" s="15" t="s">
        <v>31</v>
      </c>
      <c r="E291" s="15" t="s">
        <v>38</v>
      </c>
      <c r="F291" s="15" t="s">
        <v>30</v>
      </c>
      <c r="G291" s="298"/>
      <c r="H291" s="10"/>
      <c r="I291" s="11"/>
      <c r="J291" s="11"/>
      <c r="K291" s="11"/>
      <c r="L291" s="11"/>
      <c r="M291" s="11"/>
      <c r="N291" s="11"/>
      <c r="O291" s="12"/>
      <c r="P291" s="11"/>
      <c r="Q291" s="13"/>
      <c r="R291" s="14"/>
    </row>
    <row r="292" spans="1:18" ht="15" customHeight="1" x14ac:dyDescent="0.3">
      <c r="A292" s="15" t="s">
        <v>26</v>
      </c>
      <c r="B292" s="15" t="s">
        <v>1023</v>
      </c>
      <c r="C292" s="16">
        <v>0.55902777777777779</v>
      </c>
      <c r="D292" s="15" t="s">
        <v>34</v>
      </c>
      <c r="E292" s="15" t="s">
        <v>38</v>
      </c>
      <c r="F292" s="15" t="s">
        <v>339</v>
      </c>
      <c r="G292" s="298"/>
      <c r="H292" s="10"/>
      <c r="I292" s="11"/>
      <c r="J292" s="11"/>
      <c r="K292" s="11"/>
      <c r="L292" s="11"/>
      <c r="M292" s="11"/>
      <c r="N292" s="11"/>
      <c r="O292" s="12"/>
      <c r="P292" s="11"/>
      <c r="Q292" s="13"/>
      <c r="R292" s="14"/>
    </row>
    <row r="293" spans="1:18" ht="15" customHeight="1" x14ac:dyDescent="0.3">
      <c r="A293" s="17" t="s">
        <v>26</v>
      </c>
      <c r="B293" s="17" t="s">
        <v>1029</v>
      </c>
      <c r="C293" s="18">
        <v>0.50694444444444442</v>
      </c>
      <c r="D293" s="17" t="s">
        <v>351</v>
      </c>
      <c r="E293" s="17" t="s">
        <v>37</v>
      </c>
      <c r="F293" s="17" t="s">
        <v>1091</v>
      </c>
      <c r="G293" s="298"/>
      <c r="H293" s="10"/>
      <c r="I293" s="11"/>
      <c r="J293" s="11"/>
      <c r="K293" s="11"/>
      <c r="L293" s="11"/>
      <c r="M293" s="11"/>
      <c r="N293" s="11"/>
      <c r="O293" s="12"/>
      <c r="P293" s="11"/>
      <c r="Q293" s="13"/>
      <c r="R293" s="14"/>
    </row>
    <row r="294" spans="1:18" ht="15" customHeight="1" x14ac:dyDescent="0.3">
      <c r="A294" s="15" t="s">
        <v>26</v>
      </c>
      <c r="B294" s="15" t="s">
        <v>1029</v>
      </c>
      <c r="C294" s="16">
        <v>0.50694444444444442</v>
      </c>
      <c r="D294" s="15" t="s">
        <v>28</v>
      </c>
      <c r="E294" s="15" t="s">
        <v>38</v>
      </c>
      <c r="F294" s="15" t="s">
        <v>1091</v>
      </c>
      <c r="G294" s="298"/>
      <c r="H294" s="10"/>
      <c r="I294" s="11"/>
      <c r="J294" s="11"/>
      <c r="K294" s="11"/>
      <c r="L294" s="11"/>
      <c r="M294" s="11"/>
      <c r="N294" s="11"/>
      <c r="O294" s="12"/>
      <c r="P294" s="11"/>
      <c r="Q294" s="13"/>
      <c r="R294" s="14"/>
    </row>
    <row r="295" spans="1:18" ht="15" customHeight="1" x14ac:dyDescent="0.3">
      <c r="A295" s="15" t="s">
        <v>26</v>
      </c>
      <c r="B295" s="15" t="s">
        <v>1029</v>
      </c>
      <c r="C295" s="16">
        <v>0.50694444444444442</v>
      </c>
      <c r="D295" s="15" t="s">
        <v>31</v>
      </c>
      <c r="E295" s="15" t="s">
        <v>38</v>
      </c>
      <c r="F295" s="15" t="s">
        <v>30</v>
      </c>
      <c r="G295" s="298"/>
      <c r="H295" s="10"/>
      <c r="I295" s="11"/>
      <c r="J295" s="11"/>
      <c r="K295" s="11"/>
      <c r="L295" s="11"/>
      <c r="M295" s="11"/>
      <c r="N295" s="11"/>
      <c r="O295" s="12"/>
      <c r="P295" s="11"/>
      <c r="Q295" s="13"/>
      <c r="R295" s="14"/>
    </row>
    <row r="296" spans="1:18" ht="15" customHeight="1" x14ac:dyDescent="0.3">
      <c r="A296" s="15" t="s">
        <v>26</v>
      </c>
      <c r="B296" s="15" t="s">
        <v>1029</v>
      </c>
      <c r="C296" s="16">
        <v>0.50694444444444442</v>
      </c>
      <c r="D296" s="15" t="s">
        <v>34</v>
      </c>
      <c r="E296" s="15" t="s">
        <v>38</v>
      </c>
      <c r="F296" s="15" t="s">
        <v>339</v>
      </c>
      <c r="G296" s="298"/>
      <c r="H296" s="10"/>
      <c r="I296" s="11"/>
      <c r="J296" s="11"/>
      <c r="K296" s="11"/>
      <c r="L296" s="11"/>
      <c r="M296" s="11"/>
      <c r="N296" s="11"/>
      <c r="O296" s="12"/>
      <c r="P296" s="11"/>
      <c r="Q296" s="13"/>
      <c r="R296" s="14"/>
    </row>
    <row r="297" spans="1:18" ht="15" customHeight="1" x14ac:dyDescent="0.3">
      <c r="A297" s="17" t="s">
        <v>26</v>
      </c>
      <c r="B297" s="17" t="s">
        <v>1017</v>
      </c>
      <c r="C297" s="18">
        <v>0.95833333333333337</v>
      </c>
      <c r="D297" s="17" t="s">
        <v>351</v>
      </c>
      <c r="E297" s="17" t="s">
        <v>37</v>
      </c>
      <c r="F297" s="17" t="s">
        <v>1028</v>
      </c>
      <c r="G297" s="298"/>
      <c r="H297" s="10"/>
      <c r="I297" s="11"/>
      <c r="J297" s="11"/>
      <c r="K297" s="11"/>
      <c r="L297" s="11"/>
      <c r="M297" s="11"/>
      <c r="N297" s="11"/>
      <c r="O297" s="12"/>
      <c r="P297" s="11"/>
      <c r="Q297" s="13"/>
      <c r="R297" s="14"/>
    </row>
    <row r="298" spans="1:18" ht="15" customHeight="1" x14ac:dyDescent="0.3">
      <c r="A298" s="15" t="s">
        <v>26</v>
      </c>
      <c r="B298" s="15" t="s">
        <v>1017</v>
      </c>
      <c r="C298" s="16">
        <v>0.95833333333333337</v>
      </c>
      <c r="D298" s="15" t="s">
        <v>28</v>
      </c>
      <c r="E298" s="15" t="s">
        <v>38</v>
      </c>
      <c r="F298" s="15" t="s">
        <v>1028</v>
      </c>
      <c r="G298" s="298"/>
      <c r="H298" s="10"/>
      <c r="I298" s="11"/>
      <c r="J298" s="11"/>
      <c r="K298" s="11"/>
      <c r="L298" s="11"/>
      <c r="M298" s="11"/>
      <c r="N298" s="11"/>
      <c r="O298" s="12"/>
      <c r="P298" s="11"/>
      <c r="Q298" s="13"/>
      <c r="R298" s="14"/>
    </row>
    <row r="299" spans="1:18" ht="15" customHeight="1" x14ac:dyDescent="0.3">
      <c r="A299" s="15" t="s">
        <v>26</v>
      </c>
      <c r="B299" s="15" t="s">
        <v>1017</v>
      </c>
      <c r="C299" s="16">
        <v>0.95833333333333337</v>
      </c>
      <c r="D299" s="15" t="s">
        <v>31</v>
      </c>
      <c r="E299" s="15" t="s">
        <v>38</v>
      </c>
      <c r="F299" s="15" t="s">
        <v>86</v>
      </c>
      <c r="G299" s="298"/>
      <c r="H299" s="10"/>
      <c r="I299" s="11"/>
      <c r="J299" s="11"/>
      <c r="K299" s="11"/>
      <c r="L299" s="11"/>
      <c r="M299" s="11"/>
      <c r="N299" s="11"/>
      <c r="O299" s="12"/>
      <c r="P299" s="11"/>
      <c r="Q299" s="13"/>
      <c r="R299" s="14"/>
    </row>
    <row r="300" spans="1:18" ht="15" customHeight="1" x14ac:dyDescent="0.3">
      <c r="A300" s="15" t="s">
        <v>26</v>
      </c>
      <c r="B300" s="15" t="s">
        <v>1017</v>
      </c>
      <c r="C300" s="16">
        <v>0.95833333333333337</v>
      </c>
      <c r="D300" s="15" t="s">
        <v>34</v>
      </c>
      <c r="E300" s="15" t="s">
        <v>38</v>
      </c>
      <c r="F300" s="15" t="s">
        <v>95</v>
      </c>
      <c r="G300" s="298"/>
      <c r="H300" s="10"/>
      <c r="I300" s="11"/>
      <c r="J300" s="11"/>
      <c r="K300" s="11"/>
      <c r="L300" s="11"/>
      <c r="M300" s="11"/>
      <c r="N300" s="11"/>
      <c r="O300" s="12"/>
      <c r="P300" s="11"/>
      <c r="Q300" s="13"/>
      <c r="R300" s="14"/>
    </row>
    <row r="301" spans="1:18" ht="15" customHeight="1" x14ac:dyDescent="0.3">
      <c r="A301" s="17" t="s">
        <v>26</v>
      </c>
      <c r="B301" s="17" t="s">
        <v>1024</v>
      </c>
      <c r="C301" s="18">
        <v>0.81944444444444453</v>
      </c>
      <c r="D301" s="17" t="s">
        <v>351</v>
      </c>
      <c r="E301" s="17" t="s">
        <v>37</v>
      </c>
      <c r="F301" s="17" t="s">
        <v>1028</v>
      </c>
      <c r="G301" s="298"/>
      <c r="H301" s="10"/>
      <c r="I301" s="11"/>
      <c r="J301" s="11"/>
      <c r="K301" s="11"/>
      <c r="L301" s="11"/>
      <c r="M301" s="11"/>
      <c r="N301" s="11"/>
      <c r="O301" s="12"/>
      <c r="P301" s="11"/>
      <c r="Q301" s="13"/>
      <c r="R301" s="14"/>
    </row>
    <row r="302" spans="1:18" ht="15" customHeight="1" x14ac:dyDescent="0.3">
      <c r="A302" s="15" t="s">
        <v>26</v>
      </c>
      <c r="B302" s="15" t="s">
        <v>1024</v>
      </c>
      <c r="C302" s="16">
        <v>0.81944444444444453</v>
      </c>
      <c r="D302" s="15" t="s">
        <v>28</v>
      </c>
      <c r="E302" s="15" t="s">
        <v>38</v>
      </c>
      <c r="F302" s="15" t="s">
        <v>1028</v>
      </c>
      <c r="G302" s="298"/>
      <c r="H302" s="10"/>
      <c r="I302" s="11"/>
      <c r="J302" s="11"/>
      <c r="K302" s="11"/>
      <c r="L302" s="11"/>
      <c r="M302" s="11"/>
      <c r="N302" s="11"/>
      <c r="O302" s="12"/>
      <c r="P302" s="11"/>
      <c r="Q302" s="13"/>
      <c r="R302" s="14"/>
    </row>
    <row r="303" spans="1:18" ht="15" customHeight="1" x14ac:dyDescent="0.3">
      <c r="A303" s="15" t="s">
        <v>26</v>
      </c>
      <c r="B303" s="15" t="s">
        <v>1024</v>
      </c>
      <c r="C303" s="16">
        <v>0.81944444444444453</v>
      </c>
      <c r="D303" s="15" t="s">
        <v>31</v>
      </c>
      <c r="E303" s="15" t="s">
        <v>38</v>
      </c>
      <c r="F303" s="15" t="s">
        <v>86</v>
      </c>
      <c r="G303" s="298"/>
      <c r="H303" s="10"/>
      <c r="I303" s="11"/>
      <c r="J303" s="11"/>
      <c r="K303" s="11"/>
      <c r="L303" s="11"/>
      <c r="M303" s="11"/>
      <c r="N303" s="11"/>
      <c r="O303" s="12"/>
      <c r="P303" s="11"/>
      <c r="Q303" s="13"/>
      <c r="R303" s="14"/>
    </row>
    <row r="304" spans="1:18" ht="15" customHeight="1" x14ac:dyDescent="0.3">
      <c r="A304" s="15" t="s">
        <v>26</v>
      </c>
      <c r="B304" s="15" t="s">
        <v>1024</v>
      </c>
      <c r="C304" s="16">
        <v>0.81944444444444453</v>
      </c>
      <c r="D304" s="15" t="s">
        <v>34</v>
      </c>
      <c r="E304" s="15" t="s">
        <v>38</v>
      </c>
      <c r="F304" s="15" t="s">
        <v>95</v>
      </c>
      <c r="G304" s="298"/>
      <c r="H304" s="10"/>
      <c r="I304" s="11"/>
      <c r="J304" s="11"/>
      <c r="K304" s="11"/>
      <c r="L304" s="11"/>
      <c r="M304" s="11"/>
      <c r="N304" s="11"/>
      <c r="O304" s="12"/>
      <c r="P304" s="11"/>
      <c r="Q304" s="13"/>
      <c r="R304" s="14"/>
    </row>
    <row r="305" spans="1:18" ht="15" customHeight="1" x14ac:dyDescent="0.3">
      <c r="A305" s="19" t="s">
        <v>41</v>
      </c>
      <c r="B305" s="19" t="s">
        <v>1030</v>
      </c>
      <c r="C305" s="20">
        <v>0.57638888888888895</v>
      </c>
      <c r="D305" s="19" t="s">
        <v>337</v>
      </c>
      <c r="E305" s="19" t="s">
        <v>138</v>
      </c>
      <c r="F305" s="19" t="s">
        <v>909</v>
      </c>
      <c r="G305" s="298"/>
      <c r="H305" s="10"/>
      <c r="I305" s="11"/>
      <c r="J305" s="11"/>
      <c r="K305" s="11"/>
      <c r="L305" s="11"/>
      <c r="M305" s="11"/>
      <c r="N305" s="11"/>
      <c r="O305" s="12"/>
      <c r="P305" s="11"/>
      <c r="Q305" s="13"/>
      <c r="R305" s="14"/>
    </row>
    <row r="306" spans="1:18" ht="15" customHeight="1" x14ac:dyDescent="0.3">
      <c r="A306" s="15" t="s">
        <v>41</v>
      </c>
      <c r="B306" s="15" t="s">
        <v>1030</v>
      </c>
      <c r="C306" s="16">
        <v>0.57638888888888895</v>
      </c>
      <c r="D306" s="15" t="s">
        <v>43</v>
      </c>
      <c r="E306" s="15" t="s">
        <v>38</v>
      </c>
      <c r="F306" s="15" t="s">
        <v>909</v>
      </c>
      <c r="G306" s="298"/>
      <c r="H306" s="10"/>
      <c r="I306" s="11"/>
      <c r="J306" s="11"/>
      <c r="K306" s="11"/>
      <c r="L306" s="11"/>
      <c r="M306" s="11"/>
      <c r="N306" s="11"/>
      <c r="O306" s="12"/>
      <c r="P306" s="11"/>
      <c r="Q306" s="13"/>
      <c r="R306" s="14"/>
    </row>
    <row r="307" spans="1:18" ht="15" customHeight="1" x14ac:dyDescent="0.3">
      <c r="A307" s="15" t="s">
        <v>41</v>
      </c>
      <c r="B307" s="15" t="s">
        <v>1030</v>
      </c>
      <c r="C307" s="16">
        <v>0.57638888888888895</v>
      </c>
      <c r="D307" s="15" t="s">
        <v>45</v>
      </c>
      <c r="E307" s="15" t="s">
        <v>38</v>
      </c>
      <c r="F307" s="15" t="s">
        <v>431</v>
      </c>
      <c r="G307" s="298"/>
      <c r="H307" s="10"/>
      <c r="I307" s="11"/>
      <c r="J307" s="11"/>
      <c r="K307" s="11"/>
      <c r="L307" s="11"/>
      <c r="M307" s="11"/>
      <c r="N307" s="11"/>
      <c r="O307" s="12"/>
      <c r="P307" s="11"/>
      <c r="Q307" s="13"/>
      <c r="R307" s="14"/>
    </row>
    <row r="308" spans="1:18" ht="15" customHeight="1" x14ac:dyDescent="0.3">
      <c r="A308" s="15" t="s">
        <v>41</v>
      </c>
      <c r="B308" s="15" t="s">
        <v>1030</v>
      </c>
      <c r="C308" s="16">
        <v>0.57638888888888895</v>
      </c>
      <c r="D308" s="15" t="s">
        <v>46</v>
      </c>
      <c r="E308" s="15" t="s">
        <v>38</v>
      </c>
      <c r="F308" s="15" t="s">
        <v>532</v>
      </c>
      <c r="G308" s="298"/>
      <c r="H308" s="10"/>
      <c r="I308" s="11"/>
      <c r="J308" s="11"/>
      <c r="K308" s="11"/>
      <c r="L308" s="11"/>
      <c r="M308" s="11"/>
      <c r="N308" s="11"/>
      <c r="O308" s="12"/>
      <c r="P308" s="11"/>
      <c r="Q308" s="13"/>
      <c r="R308" s="14"/>
    </row>
    <row r="309" spans="1:18" ht="15" customHeight="1" x14ac:dyDescent="0.3">
      <c r="A309" s="17" t="s">
        <v>41</v>
      </c>
      <c r="B309" s="17" t="s">
        <v>1034</v>
      </c>
      <c r="C309" s="18">
        <v>0.62847222222222221</v>
      </c>
      <c r="D309" s="17" t="s">
        <v>337</v>
      </c>
      <c r="E309" s="17" t="s">
        <v>454</v>
      </c>
      <c r="F309" s="17" t="s">
        <v>909</v>
      </c>
      <c r="G309" s="298"/>
      <c r="H309" s="10"/>
      <c r="I309" s="11"/>
      <c r="J309" s="11"/>
      <c r="K309" s="11"/>
      <c r="L309" s="11"/>
      <c r="M309" s="11"/>
      <c r="N309" s="11"/>
      <c r="O309" s="12"/>
      <c r="P309" s="11"/>
      <c r="Q309" s="13"/>
      <c r="R309" s="14"/>
    </row>
    <row r="310" spans="1:18" ht="15" customHeight="1" x14ac:dyDescent="0.3">
      <c r="A310" s="15" t="s">
        <v>41</v>
      </c>
      <c r="B310" s="15" t="s">
        <v>1034</v>
      </c>
      <c r="C310" s="16">
        <v>0.62847222222222221</v>
      </c>
      <c r="D310" s="15" t="s">
        <v>43</v>
      </c>
      <c r="E310" s="15" t="s">
        <v>106</v>
      </c>
      <c r="F310" s="15" t="s">
        <v>909</v>
      </c>
      <c r="G310" s="298"/>
      <c r="H310" s="10"/>
      <c r="I310" s="11"/>
      <c r="J310" s="11"/>
      <c r="K310" s="11"/>
      <c r="L310" s="11"/>
      <c r="M310" s="11"/>
      <c r="N310" s="11"/>
      <c r="O310" s="12"/>
      <c r="P310" s="11"/>
      <c r="Q310" s="13"/>
      <c r="R310" s="14"/>
    </row>
    <row r="311" spans="1:18" ht="15" customHeight="1" x14ac:dyDescent="0.3">
      <c r="A311" s="15" t="s">
        <v>41</v>
      </c>
      <c r="B311" s="15" t="s">
        <v>1034</v>
      </c>
      <c r="C311" s="16">
        <v>0.62847222222222221</v>
      </c>
      <c r="D311" s="15" t="s">
        <v>45</v>
      </c>
      <c r="E311" s="15" t="s">
        <v>106</v>
      </c>
      <c r="F311" s="15" t="s">
        <v>431</v>
      </c>
      <c r="G311" s="298"/>
      <c r="H311" s="10"/>
      <c r="I311" s="11"/>
      <c r="J311" s="11"/>
      <c r="K311" s="11"/>
      <c r="L311" s="11"/>
      <c r="M311" s="11"/>
      <c r="N311" s="11"/>
      <c r="O311" s="12"/>
      <c r="P311" s="11"/>
      <c r="Q311" s="13"/>
      <c r="R311" s="14"/>
    </row>
    <row r="312" spans="1:18" ht="15" customHeight="1" x14ac:dyDescent="0.3">
      <c r="A312" s="15" t="s">
        <v>41</v>
      </c>
      <c r="B312" s="15" t="s">
        <v>1034</v>
      </c>
      <c r="C312" s="16">
        <v>0.62847222222222221</v>
      </c>
      <c r="D312" s="15" t="s">
        <v>46</v>
      </c>
      <c r="E312" s="15" t="s">
        <v>106</v>
      </c>
      <c r="F312" s="15" t="s">
        <v>532</v>
      </c>
      <c r="G312" s="298"/>
      <c r="H312" s="10"/>
      <c r="I312" s="11"/>
      <c r="J312" s="11"/>
      <c r="K312" s="11"/>
      <c r="L312" s="11"/>
      <c r="M312" s="11"/>
      <c r="N312" s="11"/>
      <c r="O312" s="12"/>
      <c r="P312" s="11"/>
      <c r="Q312" s="13"/>
      <c r="R312" s="14"/>
    </row>
    <row r="313" spans="1:18" ht="15" customHeight="1" x14ac:dyDescent="0.3">
      <c r="A313" s="17" t="s">
        <v>41</v>
      </c>
      <c r="B313" s="17" t="s">
        <v>1037</v>
      </c>
      <c r="C313" s="18">
        <v>0.88888888888888884</v>
      </c>
      <c r="D313" s="17" t="s">
        <v>337</v>
      </c>
      <c r="E313" s="17" t="s">
        <v>432</v>
      </c>
      <c r="F313" s="17" t="s">
        <v>909</v>
      </c>
      <c r="G313" s="298"/>
      <c r="H313" s="10"/>
      <c r="I313" s="11"/>
      <c r="J313" s="11"/>
      <c r="K313" s="11"/>
      <c r="L313" s="11"/>
      <c r="M313" s="11"/>
      <c r="N313" s="11"/>
      <c r="O313" s="12"/>
      <c r="P313" s="11"/>
      <c r="Q313" s="13"/>
      <c r="R313" s="14"/>
    </row>
    <row r="314" spans="1:18" ht="15" customHeight="1" x14ac:dyDescent="0.3">
      <c r="A314" s="15" t="s">
        <v>41</v>
      </c>
      <c r="B314" s="15" t="s">
        <v>1037</v>
      </c>
      <c r="C314" s="16">
        <v>0.88888888888888884</v>
      </c>
      <c r="D314" s="15" t="s">
        <v>43</v>
      </c>
      <c r="E314" s="15" t="s">
        <v>433</v>
      </c>
      <c r="F314" s="15" t="s">
        <v>909</v>
      </c>
      <c r="G314" s="298"/>
      <c r="H314" s="10"/>
      <c r="I314" s="11"/>
      <c r="J314" s="11"/>
      <c r="K314" s="11"/>
      <c r="L314" s="11"/>
      <c r="M314" s="11"/>
      <c r="N314" s="11"/>
      <c r="O314" s="12"/>
      <c r="P314" s="11"/>
      <c r="Q314" s="13"/>
      <c r="R314" s="14"/>
    </row>
    <row r="315" spans="1:18" ht="15" customHeight="1" x14ac:dyDescent="0.3">
      <c r="A315" s="15" t="s">
        <v>41</v>
      </c>
      <c r="B315" s="15" t="s">
        <v>1037</v>
      </c>
      <c r="C315" s="16">
        <v>0.88888888888888884</v>
      </c>
      <c r="D315" s="15" t="s">
        <v>45</v>
      </c>
      <c r="E315" s="15" t="s">
        <v>433</v>
      </c>
      <c r="F315" s="15" t="s">
        <v>431</v>
      </c>
      <c r="G315" s="298"/>
      <c r="H315" s="10"/>
      <c r="I315" s="11"/>
      <c r="J315" s="11"/>
      <c r="K315" s="11"/>
      <c r="L315" s="11"/>
      <c r="M315" s="11"/>
      <c r="N315" s="11"/>
      <c r="O315" s="12"/>
      <c r="P315" s="11"/>
      <c r="Q315" s="13"/>
      <c r="R315" s="14"/>
    </row>
    <row r="316" spans="1:18" ht="15" customHeight="1" x14ac:dyDescent="0.3">
      <c r="A316" s="15" t="s">
        <v>41</v>
      </c>
      <c r="B316" s="15" t="s">
        <v>1037</v>
      </c>
      <c r="C316" s="16">
        <v>0.88888888888888884</v>
      </c>
      <c r="D316" s="15" t="s">
        <v>46</v>
      </c>
      <c r="E316" s="15" t="s">
        <v>433</v>
      </c>
      <c r="F316" s="15" t="s">
        <v>532</v>
      </c>
      <c r="G316" s="298"/>
      <c r="H316" s="10"/>
      <c r="I316" s="11"/>
      <c r="J316" s="11"/>
      <c r="K316" s="11"/>
      <c r="L316" s="11"/>
      <c r="M316" s="11"/>
      <c r="N316" s="11"/>
      <c r="O316" s="12"/>
      <c r="P316" s="11"/>
      <c r="Q316" s="13"/>
      <c r="R316" s="14"/>
    </row>
    <row r="317" spans="1:18" ht="15" customHeight="1" x14ac:dyDescent="0.3">
      <c r="A317" s="17" t="s">
        <v>41</v>
      </c>
      <c r="B317" s="17" t="s">
        <v>1040</v>
      </c>
      <c r="C317" s="18">
        <v>0.94444444444444453</v>
      </c>
      <c r="D317" s="17" t="s">
        <v>337</v>
      </c>
      <c r="E317" s="17" t="s">
        <v>455</v>
      </c>
      <c r="F317" s="17" t="s">
        <v>909</v>
      </c>
      <c r="G317" s="298"/>
      <c r="H317" s="10"/>
      <c r="I317" s="11"/>
      <c r="J317" s="11"/>
      <c r="K317" s="11"/>
      <c r="L317" s="11"/>
      <c r="M317" s="11"/>
      <c r="N317" s="11"/>
      <c r="O317" s="12"/>
      <c r="P317" s="11"/>
      <c r="Q317" s="13"/>
      <c r="R317" s="14"/>
    </row>
    <row r="318" spans="1:18" ht="15" customHeight="1" x14ac:dyDescent="0.3">
      <c r="A318" s="15" t="s">
        <v>41</v>
      </c>
      <c r="B318" s="15" t="s">
        <v>1040</v>
      </c>
      <c r="C318" s="16">
        <v>0.94444444444444453</v>
      </c>
      <c r="D318" s="15" t="s">
        <v>43</v>
      </c>
      <c r="E318" s="15" t="s">
        <v>453</v>
      </c>
      <c r="F318" s="15" t="s">
        <v>909</v>
      </c>
      <c r="G318" s="298"/>
      <c r="H318" s="10"/>
      <c r="I318" s="11"/>
      <c r="J318" s="11"/>
      <c r="K318" s="11"/>
      <c r="L318" s="11"/>
      <c r="M318" s="11"/>
      <c r="N318" s="11"/>
      <c r="O318" s="12"/>
      <c r="P318" s="11"/>
      <c r="Q318" s="13"/>
      <c r="R318" s="14"/>
    </row>
    <row r="319" spans="1:18" ht="15" customHeight="1" x14ac:dyDescent="0.3">
      <c r="A319" s="15" t="s">
        <v>41</v>
      </c>
      <c r="B319" s="15" t="s">
        <v>1040</v>
      </c>
      <c r="C319" s="16">
        <v>0.94444444444444453</v>
      </c>
      <c r="D319" s="15" t="s">
        <v>45</v>
      </c>
      <c r="E319" s="15" t="s">
        <v>453</v>
      </c>
      <c r="F319" s="15" t="s">
        <v>431</v>
      </c>
      <c r="G319" s="298"/>
      <c r="H319" s="10"/>
      <c r="I319" s="11"/>
      <c r="J319" s="11"/>
      <c r="K319" s="11"/>
      <c r="L319" s="11"/>
      <c r="M319" s="11"/>
      <c r="N319" s="11"/>
      <c r="O319" s="12"/>
      <c r="P319" s="11"/>
      <c r="Q319" s="13"/>
      <c r="R319" s="14"/>
    </row>
    <row r="320" spans="1:18" ht="15" customHeight="1" x14ac:dyDescent="0.3">
      <c r="A320" s="15" t="s">
        <v>41</v>
      </c>
      <c r="B320" s="15" t="s">
        <v>1040</v>
      </c>
      <c r="C320" s="16">
        <v>0.94444444444444453</v>
      </c>
      <c r="D320" s="15" t="s">
        <v>46</v>
      </c>
      <c r="E320" s="15" t="s">
        <v>453</v>
      </c>
      <c r="F320" s="15" t="s">
        <v>532</v>
      </c>
      <c r="G320" s="298"/>
      <c r="H320" s="10"/>
      <c r="I320" s="11"/>
      <c r="J320" s="11"/>
      <c r="K320" s="11"/>
      <c r="L320" s="11"/>
      <c r="M320" s="11"/>
      <c r="N320" s="11"/>
      <c r="O320" s="12"/>
      <c r="P320" s="11"/>
      <c r="Q320" s="13"/>
      <c r="R320" s="14"/>
    </row>
    <row r="321" spans="1:18" ht="15" customHeight="1" x14ac:dyDescent="0.3">
      <c r="A321" s="19" t="s">
        <v>385</v>
      </c>
      <c r="B321" s="19" t="s">
        <v>1046</v>
      </c>
      <c r="C321" s="20">
        <v>0.55208333333333337</v>
      </c>
      <c r="D321" s="19" t="s">
        <v>101</v>
      </c>
      <c r="E321" s="19" t="s">
        <v>63</v>
      </c>
      <c r="F321" s="19" t="s">
        <v>1117</v>
      </c>
      <c r="G321" s="298"/>
      <c r="H321" s="10"/>
      <c r="I321" s="11"/>
      <c r="J321" s="11"/>
      <c r="K321" s="11"/>
      <c r="L321" s="11"/>
      <c r="M321" s="11"/>
      <c r="N321" s="11"/>
      <c r="O321" s="12"/>
      <c r="P321" s="11"/>
      <c r="Q321" s="13"/>
      <c r="R321" s="14"/>
    </row>
    <row r="322" spans="1:18" ht="15" customHeight="1" x14ac:dyDescent="0.3">
      <c r="A322" s="179" t="s">
        <v>77</v>
      </c>
      <c r="B322" s="179" t="s">
        <v>1085</v>
      </c>
      <c r="C322" s="180">
        <v>0.72569444444444453</v>
      </c>
      <c r="D322" s="179" t="s">
        <v>101</v>
      </c>
      <c r="E322" s="179" t="s">
        <v>63</v>
      </c>
      <c r="F322" s="179" t="s">
        <v>338</v>
      </c>
      <c r="G322" s="298"/>
      <c r="H322" s="181" t="s">
        <v>1086</v>
      </c>
      <c r="I322" s="236">
        <v>0.44690000000000002</v>
      </c>
      <c r="J322" s="183">
        <v>80</v>
      </c>
      <c r="K322" s="184">
        <v>45980</v>
      </c>
      <c r="L322" s="183">
        <v>31</v>
      </c>
      <c r="M322" s="183">
        <v>3</v>
      </c>
      <c r="N322" s="183">
        <v>7</v>
      </c>
      <c r="O322" s="185" t="s">
        <v>215</v>
      </c>
      <c r="P322" s="186">
        <v>0.72569444444444453</v>
      </c>
      <c r="Q322" s="183">
        <v>179</v>
      </c>
      <c r="R322" s="187" t="s">
        <v>1118</v>
      </c>
    </row>
    <row r="323" spans="1:18" ht="15" customHeight="1" x14ac:dyDescent="0.3">
      <c r="A323" s="19" t="s">
        <v>388</v>
      </c>
      <c r="B323" s="19" t="s">
        <v>1056</v>
      </c>
      <c r="C323" s="20">
        <v>0.3298611111111111</v>
      </c>
      <c r="D323" s="19" t="s">
        <v>390</v>
      </c>
      <c r="E323" s="19" t="s">
        <v>138</v>
      </c>
      <c r="F323" s="19" t="s">
        <v>803</v>
      </c>
      <c r="G323" s="298"/>
      <c r="H323" s="10"/>
      <c r="I323" s="11"/>
      <c r="J323" s="11"/>
      <c r="K323" s="11"/>
      <c r="L323" s="11"/>
      <c r="M323" s="11"/>
      <c r="N323" s="11"/>
      <c r="O323" s="12"/>
      <c r="P323" s="11"/>
      <c r="Q323" s="13"/>
      <c r="R323" s="14"/>
    </row>
    <row r="324" spans="1:18" ht="15" customHeight="1" x14ac:dyDescent="0.3">
      <c r="A324" s="15" t="s">
        <v>388</v>
      </c>
      <c r="B324" s="15" t="s">
        <v>1056</v>
      </c>
      <c r="C324" s="16">
        <v>0.3298611111111111</v>
      </c>
      <c r="D324" s="15" t="s">
        <v>46</v>
      </c>
      <c r="E324" s="15" t="s">
        <v>38</v>
      </c>
      <c r="F324" s="15" t="s">
        <v>1119</v>
      </c>
      <c r="G324" s="298"/>
      <c r="H324" s="10"/>
      <c r="I324" s="11"/>
      <c r="J324" s="11"/>
      <c r="K324" s="11"/>
      <c r="L324" s="11"/>
      <c r="M324" s="11"/>
      <c r="N324" s="11"/>
      <c r="O324" s="12"/>
      <c r="P324" s="11"/>
      <c r="Q324" s="13"/>
      <c r="R324" s="14"/>
    </row>
    <row r="325" spans="1:18" ht="15" customHeight="1" x14ac:dyDescent="0.3">
      <c r="A325" s="19" t="s">
        <v>60</v>
      </c>
      <c r="B325" s="19" t="s">
        <v>1120</v>
      </c>
      <c r="C325" s="20">
        <v>0.20833333333333329</v>
      </c>
      <c r="D325" s="19" t="s">
        <v>107</v>
      </c>
      <c r="E325" s="19" t="s">
        <v>83</v>
      </c>
      <c r="F325" s="19" t="s">
        <v>904</v>
      </c>
      <c r="G325" s="298"/>
      <c r="H325" s="10"/>
      <c r="I325" s="11"/>
      <c r="J325" s="11"/>
      <c r="K325" s="11"/>
      <c r="L325" s="11"/>
      <c r="M325" s="11"/>
      <c r="N325" s="11"/>
      <c r="O325" s="12"/>
      <c r="P325" s="11"/>
      <c r="Q325" s="13"/>
      <c r="R325" s="14"/>
    </row>
    <row r="326" spans="1:18" ht="15" customHeight="1" x14ac:dyDescent="0.3">
      <c r="A326" s="15" t="s">
        <v>60</v>
      </c>
      <c r="B326" s="15" t="s">
        <v>1120</v>
      </c>
      <c r="C326" s="16">
        <v>0.20833333333333329</v>
      </c>
      <c r="D326" s="15" t="s">
        <v>62</v>
      </c>
      <c r="E326" s="15" t="s">
        <v>84</v>
      </c>
      <c r="F326" s="15" t="s">
        <v>904</v>
      </c>
      <c r="G326" s="298"/>
      <c r="H326" s="10"/>
      <c r="I326" s="11"/>
      <c r="J326" s="11"/>
      <c r="K326" s="11"/>
      <c r="L326" s="11"/>
      <c r="M326" s="11"/>
      <c r="N326" s="11"/>
      <c r="O326" s="12"/>
      <c r="P326" s="11"/>
      <c r="Q326" s="13"/>
      <c r="R326" s="14"/>
    </row>
    <row r="327" spans="1:18" ht="15" customHeight="1" x14ac:dyDescent="0.3">
      <c r="A327" s="15" t="s">
        <v>60</v>
      </c>
      <c r="B327" s="15" t="s">
        <v>1120</v>
      </c>
      <c r="C327" s="16">
        <v>0.20833333333333329</v>
      </c>
      <c r="D327" s="15" t="s">
        <v>65</v>
      </c>
      <c r="E327" s="15" t="s">
        <v>84</v>
      </c>
      <c r="F327" s="15" t="s">
        <v>1121</v>
      </c>
      <c r="G327" s="298"/>
      <c r="H327" s="10"/>
      <c r="I327" s="11"/>
      <c r="J327" s="11"/>
      <c r="K327" s="11"/>
      <c r="L327" s="11"/>
      <c r="M327" s="11"/>
      <c r="N327" s="11"/>
      <c r="O327" s="12"/>
      <c r="P327" s="11"/>
      <c r="Q327" s="13"/>
      <c r="R327" s="14"/>
    </row>
    <row r="328" spans="1:18" ht="15" customHeight="1" x14ac:dyDescent="0.3">
      <c r="A328" s="17" t="s">
        <v>60</v>
      </c>
      <c r="B328" s="17" t="s">
        <v>1064</v>
      </c>
      <c r="C328" s="18">
        <v>0.98263888888888884</v>
      </c>
      <c r="D328" s="17" t="s">
        <v>107</v>
      </c>
      <c r="E328" s="17" t="s">
        <v>54</v>
      </c>
      <c r="F328" s="17" t="s">
        <v>904</v>
      </c>
      <c r="G328" s="298"/>
      <c r="H328" s="10"/>
      <c r="I328" s="11"/>
      <c r="J328" s="11"/>
      <c r="K328" s="11"/>
      <c r="L328" s="11"/>
      <c r="M328" s="11"/>
      <c r="N328" s="11"/>
      <c r="O328" s="12"/>
      <c r="P328" s="11"/>
      <c r="Q328" s="13"/>
      <c r="R328" s="14"/>
    </row>
    <row r="329" spans="1:18" ht="15" customHeight="1" x14ac:dyDescent="0.3">
      <c r="A329" s="15" t="s">
        <v>60</v>
      </c>
      <c r="B329" s="15" t="s">
        <v>1064</v>
      </c>
      <c r="C329" s="16">
        <v>0.98263888888888884</v>
      </c>
      <c r="D329" s="15" t="s">
        <v>62</v>
      </c>
      <c r="E329" s="15" t="s">
        <v>66</v>
      </c>
      <c r="F329" s="15" t="s">
        <v>904</v>
      </c>
      <c r="G329" s="298"/>
      <c r="H329" s="10"/>
      <c r="I329" s="11"/>
      <c r="J329" s="11"/>
      <c r="K329" s="11"/>
      <c r="L329" s="11"/>
      <c r="M329" s="11"/>
      <c r="N329" s="11"/>
      <c r="O329" s="12"/>
      <c r="P329" s="11"/>
      <c r="Q329" s="13"/>
      <c r="R329" s="14"/>
    </row>
    <row r="330" spans="1:18" ht="15" customHeight="1" x14ac:dyDescent="0.3">
      <c r="A330" s="15" t="s">
        <v>60</v>
      </c>
      <c r="B330" s="15" t="s">
        <v>1064</v>
      </c>
      <c r="C330" s="16">
        <v>0.98263888888888884</v>
      </c>
      <c r="D330" s="15" t="s">
        <v>65</v>
      </c>
      <c r="E330" s="15" t="s">
        <v>66</v>
      </c>
      <c r="F330" s="15" t="s">
        <v>1121</v>
      </c>
      <c r="G330" s="298"/>
      <c r="H330" s="10"/>
      <c r="I330" s="11"/>
      <c r="J330" s="11"/>
      <c r="K330" s="11"/>
      <c r="L330" s="11"/>
      <c r="M330" s="11"/>
      <c r="N330" s="11"/>
      <c r="O330" s="12"/>
      <c r="P330" s="11"/>
      <c r="Q330" s="13"/>
      <c r="R330" s="14"/>
    </row>
    <row r="331" spans="1:18" ht="15" customHeight="1" x14ac:dyDescent="0.3">
      <c r="A331" s="17" t="s">
        <v>60</v>
      </c>
      <c r="B331" s="17" t="s">
        <v>1073</v>
      </c>
      <c r="C331" s="18">
        <v>0.82986111111111116</v>
      </c>
      <c r="D331" s="17" t="s">
        <v>107</v>
      </c>
      <c r="E331" s="17" t="s">
        <v>54</v>
      </c>
      <c r="F331" s="17" t="s">
        <v>1114</v>
      </c>
      <c r="G331" s="298"/>
      <c r="H331" s="10"/>
      <c r="I331" s="11"/>
      <c r="J331" s="11"/>
      <c r="K331" s="11"/>
      <c r="L331" s="11"/>
      <c r="M331" s="11"/>
      <c r="N331" s="11"/>
      <c r="O331" s="12"/>
      <c r="P331" s="11"/>
      <c r="Q331" s="13"/>
      <c r="R331" s="14"/>
    </row>
    <row r="332" spans="1:18" ht="15" customHeight="1" x14ac:dyDescent="0.3">
      <c r="A332" s="15" t="s">
        <v>60</v>
      </c>
      <c r="B332" s="15" t="s">
        <v>1073</v>
      </c>
      <c r="C332" s="16">
        <v>0.82986111111111116</v>
      </c>
      <c r="D332" s="15" t="s">
        <v>62</v>
      </c>
      <c r="E332" s="15" t="s">
        <v>66</v>
      </c>
      <c r="F332" s="15" t="s">
        <v>1114</v>
      </c>
      <c r="G332" s="298"/>
      <c r="H332" s="10"/>
      <c r="I332" s="11"/>
      <c r="J332" s="11"/>
      <c r="K332" s="11"/>
      <c r="L332" s="11"/>
      <c r="M332" s="11"/>
      <c r="N332" s="11"/>
      <c r="O332" s="12"/>
      <c r="P332" s="11"/>
      <c r="Q332" s="13"/>
      <c r="R332" s="14"/>
    </row>
    <row r="333" spans="1:18" ht="15" customHeight="1" x14ac:dyDescent="0.3">
      <c r="A333" s="15" t="s">
        <v>60</v>
      </c>
      <c r="B333" s="15" t="s">
        <v>1073</v>
      </c>
      <c r="C333" s="16">
        <v>0.82986111111111116</v>
      </c>
      <c r="D333" s="15" t="s">
        <v>65</v>
      </c>
      <c r="E333" s="15" t="s">
        <v>66</v>
      </c>
      <c r="F333" s="15" t="s">
        <v>1115</v>
      </c>
      <c r="G333" s="298"/>
      <c r="H333" s="10"/>
      <c r="I333" s="11"/>
      <c r="J333" s="11"/>
      <c r="K333" s="11"/>
      <c r="L333" s="11"/>
      <c r="M333" s="11"/>
      <c r="N333" s="11"/>
      <c r="O333" s="12"/>
      <c r="P333" s="11"/>
      <c r="Q333" s="13"/>
      <c r="R333" s="14"/>
    </row>
    <row r="334" spans="1:18" ht="15" customHeight="1" x14ac:dyDescent="0.3">
      <c r="A334" s="17" t="s">
        <v>60</v>
      </c>
      <c r="B334" s="17" t="s">
        <v>1074</v>
      </c>
      <c r="C334" s="18">
        <v>0.62847222222222221</v>
      </c>
      <c r="D334" s="17" t="s">
        <v>107</v>
      </c>
      <c r="E334" s="17" t="s">
        <v>54</v>
      </c>
      <c r="F334" s="17" t="s">
        <v>1114</v>
      </c>
      <c r="G334" s="298"/>
      <c r="H334" s="10"/>
      <c r="I334" s="11"/>
      <c r="J334" s="11"/>
      <c r="K334" s="11"/>
      <c r="L334" s="11"/>
      <c r="M334" s="11"/>
      <c r="N334" s="11"/>
      <c r="O334" s="12"/>
      <c r="P334" s="11"/>
      <c r="Q334" s="13"/>
      <c r="R334" s="14"/>
    </row>
    <row r="335" spans="1:18" ht="15" customHeight="1" x14ac:dyDescent="0.3">
      <c r="A335" s="15" t="s">
        <v>60</v>
      </c>
      <c r="B335" s="15" t="s">
        <v>1074</v>
      </c>
      <c r="C335" s="16">
        <v>0.62847222222222221</v>
      </c>
      <c r="D335" s="15" t="s">
        <v>62</v>
      </c>
      <c r="E335" s="15" t="s">
        <v>66</v>
      </c>
      <c r="F335" s="15" t="s">
        <v>1114</v>
      </c>
      <c r="G335" s="298"/>
      <c r="H335" s="10"/>
      <c r="I335" s="11"/>
      <c r="J335" s="11"/>
      <c r="K335" s="11"/>
      <c r="L335" s="11"/>
      <c r="M335" s="11"/>
      <c r="N335" s="11"/>
      <c r="O335" s="12"/>
      <c r="P335" s="11"/>
      <c r="Q335" s="13"/>
      <c r="R335" s="14"/>
    </row>
    <row r="336" spans="1:18" ht="15" customHeight="1" x14ac:dyDescent="0.3">
      <c r="A336" s="15" t="s">
        <v>60</v>
      </c>
      <c r="B336" s="15" t="s">
        <v>1074</v>
      </c>
      <c r="C336" s="16">
        <v>0.62847222222222221</v>
      </c>
      <c r="D336" s="15" t="s">
        <v>65</v>
      </c>
      <c r="E336" s="15" t="s">
        <v>66</v>
      </c>
      <c r="F336" s="15" t="s">
        <v>1115</v>
      </c>
      <c r="G336" s="298"/>
      <c r="H336" s="10"/>
      <c r="I336" s="11"/>
      <c r="J336" s="11"/>
      <c r="K336" s="11"/>
      <c r="L336" s="11"/>
      <c r="M336" s="11"/>
      <c r="N336" s="11"/>
      <c r="O336" s="12"/>
      <c r="P336" s="11"/>
      <c r="Q336" s="13"/>
      <c r="R336" s="14"/>
    </row>
    <row r="337" spans="1:18" ht="15" customHeight="1" x14ac:dyDescent="0.3">
      <c r="A337" s="17" t="s">
        <v>60</v>
      </c>
      <c r="B337" s="17" t="s">
        <v>1071</v>
      </c>
      <c r="C337" s="18">
        <v>0.44444444444444442</v>
      </c>
      <c r="D337" s="17" t="s">
        <v>107</v>
      </c>
      <c r="E337" s="17" t="s">
        <v>54</v>
      </c>
      <c r="F337" s="17" t="s">
        <v>1065</v>
      </c>
      <c r="G337" s="298"/>
      <c r="H337" s="10"/>
      <c r="I337" s="11"/>
      <c r="J337" s="11"/>
      <c r="K337" s="11"/>
      <c r="L337" s="11"/>
      <c r="M337" s="11"/>
      <c r="N337" s="11"/>
      <c r="O337" s="12"/>
      <c r="P337" s="11"/>
      <c r="Q337" s="13"/>
      <c r="R337" s="14"/>
    </row>
    <row r="338" spans="1:18" ht="15" customHeight="1" x14ac:dyDescent="0.3">
      <c r="A338" s="15" t="s">
        <v>60</v>
      </c>
      <c r="B338" s="15" t="s">
        <v>1071</v>
      </c>
      <c r="C338" s="16">
        <v>0.44444444444444442</v>
      </c>
      <c r="D338" s="15" t="s">
        <v>62</v>
      </c>
      <c r="E338" s="15" t="s">
        <v>66</v>
      </c>
      <c r="F338" s="15" t="s">
        <v>1065</v>
      </c>
      <c r="G338" s="298"/>
      <c r="H338" s="10"/>
      <c r="I338" s="11"/>
      <c r="J338" s="11"/>
      <c r="K338" s="11"/>
      <c r="L338" s="11"/>
      <c r="M338" s="11"/>
      <c r="N338" s="11"/>
      <c r="O338" s="12"/>
      <c r="P338" s="11"/>
      <c r="Q338" s="13"/>
      <c r="R338" s="14"/>
    </row>
    <row r="339" spans="1:18" ht="15" customHeight="1" x14ac:dyDescent="0.3">
      <c r="A339" s="15" t="s">
        <v>60</v>
      </c>
      <c r="B339" s="15" t="s">
        <v>1071</v>
      </c>
      <c r="C339" s="16">
        <v>0.44444444444444442</v>
      </c>
      <c r="D339" s="15" t="s">
        <v>65</v>
      </c>
      <c r="E339" s="15" t="s">
        <v>66</v>
      </c>
      <c r="F339" s="15" t="s">
        <v>1066</v>
      </c>
      <c r="G339" s="298"/>
      <c r="H339" s="10"/>
      <c r="I339" s="11"/>
      <c r="J339" s="11"/>
      <c r="K339" s="11"/>
      <c r="L339" s="11"/>
      <c r="M339" s="11"/>
      <c r="N339" s="11"/>
      <c r="O339" s="12"/>
      <c r="P339" s="11"/>
      <c r="Q339" s="13"/>
      <c r="R339" s="14"/>
    </row>
    <row r="340" spans="1:18" ht="15" customHeight="1" x14ac:dyDescent="0.3">
      <c r="A340" s="17" t="s">
        <v>60</v>
      </c>
      <c r="B340" s="17" t="s">
        <v>1067</v>
      </c>
      <c r="C340" s="18">
        <v>0.88888888888888884</v>
      </c>
      <c r="D340" s="17" t="s">
        <v>50</v>
      </c>
      <c r="E340" s="17" t="s">
        <v>72</v>
      </c>
      <c r="F340" s="17" t="s">
        <v>1068</v>
      </c>
      <c r="G340" s="298"/>
      <c r="H340" s="10"/>
      <c r="I340" s="11"/>
      <c r="J340" s="11"/>
      <c r="K340" s="11"/>
      <c r="L340" s="11"/>
      <c r="M340" s="11"/>
      <c r="N340" s="11"/>
      <c r="O340" s="12"/>
      <c r="P340" s="11"/>
      <c r="Q340" s="13"/>
      <c r="R340" s="14"/>
    </row>
    <row r="341" spans="1:18" ht="15" customHeight="1" x14ac:dyDescent="0.3">
      <c r="A341" s="15" t="s">
        <v>60</v>
      </c>
      <c r="B341" s="15" t="s">
        <v>1067</v>
      </c>
      <c r="C341" s="16">
        <v>0.88888888888888884</v>
      </c>
      <c r="D341" s="15" t="s">
        <v>65</v>
      </c>
      <c r="E341" s="15" t="s">
        <v>84</v>
      </c>
      <c r="F341" s="15" t="s">
        <v>1068</v>
      </c>
      <c r="G341" s="298"/>
      <c r="H341" s="10"/>
      <c r="I341" s="11"/>
      <c r="J341" s="11"/>
      <c r="K341" s="11"/>
      <c r="L341" s="11"/>
      <c r="M341" s="11"/>
      <c r="N341" s="11"/>
      <c r="O341" s="12"/>
      <c r="P341" s="11"/>
      <c r="Q341" s="13"/>
      <c r="R341" s="14"/>
    </row>
    <row r="342" spans="1:18" ht="15" customHeight="1" x14ac:dyDescent="0.3">
      <c r="A342" s="17" t="s">
        <v>60</v>
      </c>
      <c r="B342" s="17" t="s">
        <v>1069</v>
      </c>
      <c r="C342" s="18">
        <v>0.62847222222222221</v>
      </c>
      <c r="D342" s="17" t="s">
        <v>50</v>
      </c>
      <c r="E342" s="17" t="s">
        <v>72</v>
      </c>
      <c r="F342" s="17" t="s">
        <v>1068</v>
      </c>
      <c r="G342" s="298"/>
      <c r="H342" s="10"/>
      <c r="I342" s="11"/>
      <c r="J342" s="11"/>
      <c r="K342" s="11"/>
      <c r="L342" s="11"/>
      <c r="M342" s="11"/>
      <c r="N342" s="11"/>
      <c r="O342" s="12"/>
      <c r="P342" s="11"/>
      <c r="Q342" s="13"/>
      <c r="R342" s="14"/>
    </row>
    <row r="343" spans="1:18" ht="15" customHeight="1" x14ac:dyDescent="0.3">
      <c r="A343" s="15" t="s">
        <v>60</v>
      </c>
      <c r="B343" s="15" t="s">
        <v>1069</v>
      </c>
      <c r="C343" s="16">
        <v>0.62847222222222221</v>
      </c>
      <c r="D343" s="15" t="s">
        <v>65</v>
      </c>
      <c r="E343" s="15" t="s">
        <v>84</v>
      </c>
      <c r="F343" s="15" t="s">
        <v>1068</v>
      </c>
      <c r="G343" s="298"/>
      <c r="H343" s="10"/>
      <c r="I343" s="11"/>
      <c r="J343" s="11"/>
      <c r="K343" s="11"/>
      <c r="L343" s="11"/>
      <c r="M343" s="11"/>
      <c r="N343" s="11"/>
      <c r="O343" s="12"/>
      <c r="P343" s="11"/>
      <c r="Q343" s="13"/>
      <c r="R343" s="14"/>
    </row>
    <row r="344" spans="1:18" ht="15" customHeight="1" x14ac:dyDescent="0.3">
      <c r="A344" s="17" t="s">
        <v>60</v>
      </c>
      <c r="B344" s="17" t="s">
        <v>1070</v>
      </c>
      <c r="C344" s="18">
        <v>0.94444444444444453</v>
      </c>
      <c r="D344" s="17" t="s">
        <v>50</v>
      </c>
      <c r="E344" s="17" t="s">
        <v>72</v>
      </c>
      <c r="F344" s="17" t="s">
        <v>1068</v>
      </c>
      <c r="G344" s="298"/>
      <c r="H344" s="10"/>
      <c r="I344" s="11"/>
      <c r="J344" s="11"/>
      <c r="K344" s="11"/>
      <c r="L344" s="11"/>
      <c r="M344" s="11"/>
      <c r="N344" s="11"/>
      <c r="O344" s="12"/>
      <c r="P344" s="11"/>
      <c r="Q344" s="13"/>
      <c r="R344" s="14"/>
    </row>
    <row r="345" spans="1:18" ht="15" customHeight="1" x14ac:dyDescent="0.3">
      <c r="A345" s="15" t="s">
        <v>60</v>
      </c>
      <c r="B345" s="15" t="s">
        <v>1070</v>
      </c>
      <c r="C345" s="16">
        <v>0.94444444444444453</v>
      </c>
      <c r="D345" s="15" t="s">
        <v>65</v>
      </c>
      <c r="E345" s="15" t="s">
        <v>84</v>
      </c>
      <c r="F345" s="15" t="s">
        <v>1068</v>
      </c>
      <c r="G345" s="298"/>
      <c r="H345" s="10"/>
      <c r="I345" s="11"/>
      <c r="J345" s="11"/>
      <c r="K345" s="11"/>
      <c r="L345" s="11"/>
      <c r="M345" s="11"/>
      <c r="N345" s="11"/>
      <c r="O345" s="12"/>
      <c r="P345" s="11"/>
      <c r="Q345" s="13"/>
      <c r="R345" s="14"/>
    </row>
    <row r="346" spans="1:18" ht="15" customHeight="1" x14ac:dyDescent="0.3">
      <c r="A346" s="19" t="s">
        <v>48</v>
      </c>
      <c r="B346" s="19" t="s">
        <v>1059</v>
      </c>
      <c r="C346" s="20">
        <v>0.98263888888888884</v>
      </c>
      <c r="D346" s="19" t="s">
        <v>50</v>
      </c>
      <c r="E346" s="19" t="s">
        <v>63</v>
      </c>
      <c r="F346" s="19" t="s">
        <v>1060</v>
      </c>
      <c r="G346" s="298"/>
      <c r="H346" s="10"/>
      <c r="I346" s="11"/>
      <c r="J346" s="11"/>
      <c r="K346" s="11"/>
      <c r="L346" s="11"/>
      <c r="M346" s="11"/>
      <c r="N346" s="11"/>
      <c r="O346" s="12"/>
      <c r="P346" s="11"/>
      <c r="Q346" s="13"/>
      <c r="R346" s="14"/>
    </row>
    <row r="347" spans="1:18" ht="15" customHeight="1" x14ac:dyDescent="0.3">
      <c r="A347" s="17" t="s">
        <v>48</v>
      </c>
      <c r="B347" s="17" t="s">
        <v>1061</v>
      </c>
      <c r="C347" s="18">
        <v>0.35416666666666669</v>
      </c>
      <c r="D347" s="17" t="s">
        <v>50</v>
      </c>
      <c r="E347" s="17" t="s">
        <v>69</v>
      </c>
      <c r="F347" s="17" t="s">
        <v>1060</v>
      </c>
      <c r="G347" s="298"/>
      <c r="H347" s="10"/>
      <c r="I347" s="11"/>
      <c r="J347" s="11"/>
      <c r="K347" s="11"/>
      <c r="L347" s="11"/>
      <c r="M347" s="11"/>
      <c r="N347" s="11"/>
      <c r="O347" s="12"/>
      <c r="P347" s="11"/>
      <c r="Q347" s="13"/>
      <c r="R347" s="14"/>
    </row>
    <row r="348" spans="1:18" ht="15" customHeight="1" thickBot="1" x14ac:dyDescent="0.35">
      <c r="A348" s="39" t="s">
        <v>48</v>
      </c>
      <c r="B348" s="39" t="s">
        <v>1062</v>
      </c>
      <c r="C348" s="40">
        <v>0.73263888888888884</v>
      </c>
      <c r="D348" s="39" t="s">
        <v>50</v>
      </c>
      <c r="E348" s="39" t="s">
        <v>69</v>
      </c>
      <c r="F348" s="39" t="s">
        <v>1122</v>
      </c>
      <c r="G348" s="299"/>
      <c r="H348" s="41"/>
      <c r="I348" s="42"/>
      <c r="J348" s="42"/>
      <c r="K348" s="42"/>
      <c r="L348" s="42"/>
      <c r="M348" s="42"/>
      <c r="N348" s="42"/>
      <c r="O348" s="43"/>
      <c r="P348" s="42"/>
      <c r="Q348" s="44"/>
      <c r="R348" s="45"/>
    </row>
    <row r="349" spans="1:18" ht="17.399999999999999" customHeight="1" thickBot="1" x14ac:dyDescent="0.35">
      <c r="A349" s="329"/>
      <c r="B349" s="330"/>
      <c r="C349" s="330"/>
      <c r="D349" s="330"/>
      <c r="E349" s="330"/>
      <c r="F349" s="330"/>
      <c r="G349" s="330"/>
      <c r="H349" s="330"/>
      <c r="I349" s="330"/>
      <c r="J349" s="330"/>
      <c r="K349" s="330"/>
      <c r="L349" s="330"/>
      <c r="M349" s="330"/>
      <c r="N349" s="330"/>
      <c r="O349" s="330"/>
      <c r="P349" s="330"/>
      <c r="Q349" s="330"/>
      <c r="R349" s="331"/>
    </row>
    <row r="350" spans="1:18" ht="22.05" customHeight="1" thickTop="1" thickBot="1" x14ac:dyDescent="0.35">
      <c r="A350" s="300" t="s">
        <v>6</v>
      </c>
      <c r="B350" s="295"/>
      <c r="C350" s="295"/>
      <c r="D350" s="295"/>
      <c r="E350" s="295"/>
      <c r="F350" s="296"/>
      <c r="G350" s="31">
        <v>45986</v>
      </c>
      <c r="H350" s="294" t="s">
        <v>7</v>
      </c>
      <c r="I350" s="295"/>
      <c r="J350" s="295"/>
      <c r="K350" s="295"/>
      <c r="L350" s="295"/>
      <c r="M350" s="295"/>
      <c r="N350" s="295"/>
      <c r="O350" s="295"/>
      <c r="P350" s="295"/>
      <c r="Q350" s="295"/>
      <c r="R350" s="296"/>
    </row>
    <row r="351" spans="1:18" ht="24" customHeight="1" x14ac:dyDescent="0.3">
      <c r="A351" s="32" t="s">
        <v>8</v>
      </c>
      <c r="B351" s="32" t="s">
        <v>9</v>
      </c>
      <c r="C351" s="33" t="s">
        <v>10</v>
      </c>
      <c r="D351" s="32" t="s">
        <v>11</v>
      </c>
      <c r="E351" s="32" t="s">
        <v>12</v>
      </c>
      <c r="F351" s="34" t="s">
        <v>13</v>
      </c>
      <c r="G351" s="35" t="s">
        <v>14</v>
      </c>
      <c r="H351" s="32" t="s">
        <v>15</v>
      </c>
      <c r="I351" s="36" t="s">
        <v>16</v>
      </c>
      <c r="J351" s="37" t="s">
        <v>17</v>
      </c>
      <c r="K351" s="38" t="s">
        <v>18</v>
      </c>
      <c r="L351" s="37" t="s">
        <v>19</v>
      </c>
      <c r="M351" s="37" t="s">
        <v>20</v>
      </c>
      <c r="N351" s="37" t="s">
        <v>21</v>
      </c>
      <c r="O351" s="32" t="s">
        <v>22</v>
      </c>
      <c r="P351" s="33" t="s">
        <v>23</v>
      </c>
      <c r="Q351" s="37" t="s">
        <v>24</v>
      </c>
      <c r="R351" s="32" t="s">
        <v>25</v>
      </c>
    </row>
    <row r="352" spans="1:18" ht="15" customHeight="1" x14ac:dyDescent="0.3">
      <c r="A352" s="8" t="s">
        <v>41</v>
      </c>
      <c r="B352" s="8" t="s">
        <v>1030</v>
      </c>
      <c r="C352" s="9">
        <v>0.57638888888888895</v>
      </c>
      <c r="D352" s="8" t="s">
        <v>43</v>
      </c>
      <c r="E352" s="8" t="s">
        <v>83</v>
      </c>
      <c r="F352" s="8" t="s">
        <v>909</v>
      </c>
      <c r="G352" s="304"/>
      <c r="H352" s="10"/>
      <c r="I352" s="11"/>
      <c r="J352" s="11"/>
      <c r="K352" s="11"/>
      <c r="L352" s="11"/>
      <c r="M352" s="11"/>
      <c r="N352" s="11"/>
      <c r="O352" s="12"/>
      <c r="P352" s="11"/>
      <c r="Q352" s="13"/>
      <c r="R352" s="14"/>
    </row>
    <row r="353" spans="1:18" ht="15" customHeight="1" x14ac:dyDescent="0.3">
      <c r="A353" s="15" t="s">
        <v>41</v>
      </c>
      <c r="B353" s="15" t="s">
        <v>1030</v>
      </c>
      <c r="C353" s="16">
        <v>0.57638888888888895</v>
      </c>
      <c r="D353" s="15" t="s">
        <v>45</v>
      </c>
      <c r="E353" s="15" t="s">
        <v>84</v>
      </c>
      <c r="F353" s="15" t="s">
        <v>431</v>
      </c>
      <c r="G353" s="298"/>
      <c r="H353" s="10"/>
      <c r="I353" s="11"/>
      <c r="J353" s="11"/>
      <c r="K353" s="11"/>
      <c r="L353" s="11"/>
      <c r="M353" s="11"/>
      <c r="N353" s="11"/>
      <c r="O353" s="12"/>
      <c r="P353" s="11"/>
      <c r="Q353" s="13"/>
      <c r="R353" s="14"/>
    </row>
    <row r="354" spans="1:18" ht="15" customHeight="1" x14ac:dyDescent="0.3">
      <c r="A354" s="15" t="s">
        <v>41</v>
      </c>
      <c r="B354" s="15" t="s">
        <v>1030</v>
      </c>
      <c r="C354" s="16">
        <v>0.57638888888888895</v>
      </c>
      <c r="D354" s="15" t="s">
        <v>46</v>
      </c>
      <c r="E354" s="15" t="s">
        <v>84</v>
      </c>
      <c r="F354" s="15" t="s">
        <v>532</v>
      </c>
      <c r="G354" s="298"/>
      <c r="H354" s="10"/>
      <c r="I354" s="11"/>
      <c r="J354" s="11"/>
      <c r="K354" s="11"/>
      <c r="L354" s="11"/>
      <c r="M354" s="11"/>
      <c r="N354" s="11"/>
      <c r="O354" s="12"/>
      <c r="P354" s="11"/>
      <c r="Q354" s="13"/>
      <c r="R354" s="14"/>
    </row>
    <row r="355" spans="1:18" ht="15" customHeight="1" x14ac:dyDescent="0.3">
      <c r="A355" s="17" t="s">
        <v>41</v>
      </c>
      <c r="B355" s="17" t="s">
        <v>1034</v>
      </c>
      <c r="C355" s="18">
        <v>0.62847222222222221</v>
      </c>
      <c r="D355" s="17" t="s">
        <v>43</v>
      </c>
      <c r="E355" s="17" t="s">
        <v>144</v>
      </c>
      <c r="F355" s="17" t="s">
        <v>909</v>
      </c>
      <c r="G355" s="298"/>
      <c r="H355" s="10"/>
      <c r="I355" s="11"/>
      <c r="J355" s="11"/>
      <c r="K355" s="11"/>
      <c r="L355" s="11"/>
      <c r="M355" s="11"/>
      <c r="N355" s="11"/>
      <c r="O355" s="12"/>
      <c r="P355" s="11"/>
      <c r="Q355" s="13"/>
      <c r="R355" s="14"/>
    </row>
    <row r="356" spans="1:18" ht="15" customHeight="1" x14ac:dyDescent="0.3">
      <c r="A356" s="15" t="s">
        <v>41</v>
      </c>
      <c r="B356" s="15" t="s">
        <v>1034</v>
      </c>
      <c r="C356" s="16">
        <v>0.62847222222222221</v>
      </c>
      <c r="D356" s="15" t="s">
        <v>45</v>
      </c>
      <c r="E356" s="15" t="s">
        <v>133</v>
      </c>
      <c r="F356" s="15" t="s">
        <v>431</v>
      </c>
      <c r="G356" s="298"/>
      <c r="H356" s="10"/>
      <c r="I356" s="11"/>
      <c r="J356" s="11"/>
      <c r="K356" s="11"/>
      <c r="L356" s="11"/>
      <c r="M356" s="11"/>
      <c r="N356" s="11"/>
      <c r="O356" s="12"/>
      <c r="P356" s="11"/>
      <c r="Q356" s="13"/>
      <c r="R356" s="14"/>
    </row>
    <row r="357" spans="1:18" ht="15" customHeight="1" x14ac:dyDescent="0.3">
      <c r="A357" s="15" t="s">
        <v>41</v>
      </c>
      <c r="B357" s="15" t="s">
        <v>1034</v>
      </c>
      <c r="C357" s="16">
        <v>0.62847222222222221</v>
      </c>
      <c r="D357" s="15" t="s">
        <v>46</v>
      </c>
      <c r="E357" s="15" t="s">
        <v>133</v>
      </c>
      <c r="F357" s="15" t="s">
        <v>532</v>
      </c>
      <c r="G357" s="298"/>
      <c r="H357" s="10"/>
      <c r="I357" s="11"/>
      <c r="J357" s="11"/>
      <c r="K357" s="11"/>
      <c r="L357" s="11"/>
      <c r="M357" s="11"/>
      <c r="N357" s="11"/>
      <c r="O357" s="12"/>
      <c r="P357" s="11"/>
      <c r="Q357" s="13"/>
      <c r="R357" s="14"/>
    </row>
    <row r="358" spans="1:18" ht="15" customHeight="1" x14ac:dyDescent="0.3">
      <c r="A358" s="17" t="s">
        <v>41</v>
      </c>
      <c r="B358" s="17" t="s">
        <v>1037</v>
      </c>
      <c r="C358" s="18">
        <v>0.88888888888888884</v>
      </c>
      <c r="D358" s="17" t="s">
        <v>43</v>
      </c>
      <c r="E358" s="17" t="s">
        <v>455</v>
      </c>
      <c r="F358" s="17" t="s">
        <v>909</v>
      </c>
      <c r="G358" s="298"/>
      <c r="H358" s="10"/>
      <c r="I358" s="11"/>
      <c r="J358" s="11"/>
      <c r="K358" s="11"/>
      <c r="L358" s="11"/>
      <c r="M358" s="11"/>
      <c r="N358" s="11"/>
      <c r="O358" s="12"/>
      <c r="P358" s="11"/>
      <c r="Q358" s="13"/>
      <c r="R358" s="14"/>
    </row>
    <row r="359" spans="1:18" ht="15" customHeight="1" x14ac:dyDescent="0.3">
      <c r="A359" s="15" t="s">
        <v>41</v>
      </c>
      <c r="B359" s="15" t="s">
        <v>1037</v>
      </c>
      <c r="C359" s="16">
        <v>0.88888888888888884</v>
      </c>
      <c r="D359" s="15" t="s">
        <v>45</v>
      </c>
      <c r="E359" s="15" t="s">
        <v>453</v>
      </c>
      <c r="F359" s="15" t="s">
        <v>431</v>
      </c>
      <c r="G359" s="298"/>
      <c r="H359" s="10"/>
      <c r="I359" s="11"/>
      <c r="J359" s="11"/>
      <c r="K359" s="11"/>
      <c r="L359" s="11"/>
      <c r="M359" s="11"/>
      <c r="N359" s="11"/>
      <c r="O359" s="12"/>
      <c r="P359" s="11"/>
      <c r="Q359" s="13"/>
      <c r="R359" s="14"/>
    </row>
    <row r="360" spans="1:18" ht="15" customHeight="1" x14ac:dyDescent="0.3">
      <c r="A360" s="15" t="s">
        <v>41</v>
      </c>
      <c r="B360" s="15" t="s">
        <v>1037</v>
      </c>
      <c r="C360" s="16">
        <v>0.88888888888888884</v>
      </c>
      <c r="D360" s="15" t="s">
        <v>46</v>
      </c>
      <c r="E360" s="15" t="s">
        <v>453</v>
      </c>
      <c r="F360" s="15" t="s">
        <v>532</v>
      </c>
      <c r="G360" s="298"/>
      <c r="H360" s="10"/>
      <c r="I360" s="11"/>
      <c r="J360" s="11"/>
      <c r="K360" s="11"/>
      <c r="L360" s="11"/>
      <c r="M360" s="11"/>
      <c r="N360" s="11"/>
      <c r="O360" s="12"/>
      <c r="P360" s="11"/>
      <c r="Q360" s="13"/>
      <c r="R360" s="14"/>
    </row>
    <row r="361" spans="1:18" ht="15" customHeight="1" x14ac:dyDescent="0.3">
      <c r="A361" s="17" t="s">
        <v>41</v>
      </c>
      <c r="B361" s="17" t="s">
        <v>1040</v>
      </c>
      <c r="C361" s="18">
        <v>0.94444444444444453</v>
      </c>
      <c r="D361" s="17" t="s">
        <v>43</v>
      </c>
      <c r="E361" s="17" t="s">
        <v>432</v>
      </c>
      <c r="F361" s="17" t="s">
        <v>909</v>
      </c>
      <c r="G361" s="298"/>
      <c r="H361" s="10"/>
      <c r="I361" s="11"/>
      <c r="J361" s="11"/>
      <c r="K361" s="11"/>
      <c r="L361" s="11"/>
      <c r="M361" s="11"/>
      <c r="N361" s="11"/>
      <c r="O361" s="12"/>
      <c r="P361" s="11"/>
      <c r="Q361" s="13"/>
      <c r="R361" s="14"/>
    </row>
    <row r="362" spans="1:18" ht="15" customHeight="1" x14ac:dyDescent="0.3">
      <c r="A362" s="15" t="s">
        <v>41</v>
      </c>
      <c r="B362" s="15" t="s">
        <v>1040</v>
      </c>
      <c r="C362" s="16">
        <v>0.94444444444444453</v>
      </c>
      <c r="D362" s="15" t="s">
        <v>45</v>
      </c>
      <c r="E362" s="15" t="s">
        <v>433</v>
      </c>
      <c r="F362" s="15" t="s">
        <v>431</v>
      </c>
      <c r="G362" s="298"/>
      <c r="H362" s="10"/>
      <c r="I362" s="11"/>
      <c r="J362" s="11"/>
      <c r="K362" s="11"/>
      <c r="L362" s="11"/>
      <c r="M362" s="11"/>
      <c r="N362" s="11"/>
      <c r="O362" s="12"/>
      <c r="P362" s="11"/>
      <c r="Q362" s="13"/>
      <c r="R362" s="14"/>
    </row>
    <row r="363" spans="1:18" ht="15" customHeight="1" x14ac:dyDescent="0.3">
      <c r="A363" s="15" t="s">
        <v>41</v>
      </c>
      <c r="B363" s="15" t="s">
        <v>1040</v>
      </c>
      <c r="C363" s="16">
        <v>0.94444444444444453</v>
      </c>
      <c r="D363" s="15" t="s">
        <v>46</v>
      </c>
      <c r="E363" s="15" t="s">
        <v>433</v>
      </c>
      <c r="F363" s="15" t="s">
        <v>532</v>
      </c>
      <c r="G363" s="298"/>
      <c r="H363" s="10"/>
      <c r="I363" s="11"/>
      <c r="J363" s="11"/>
      <c r="K363" s="11"/>
      <c r="L363" s="11"/>
      <c r="M363" s="11"/>
      <c r="N363" s="11"/>
      <c r="O363" s="12"/>
      <c r="P363" s="11"/>
      <c r="Q363" s="13"/>
      <c r="R363" s="14"/>
    </row>
    <row r="364" spans="1:18" ht="15" customHeight="1" x14ac:dyDescent="0.3">
      <c r="A364" s="19" t="s">
        <v>26</v>
      </c>
      <c r="B364" s="19" t="s">
        <v>1026</v>
      </c>
      <c r="C364" s="20">
        <v>0.4375</v>
      </c>
      <c r="D364" s="19" t="s">
        <v>28</v>
      </c>
      <c r="E364" s="19" t="s">
        <v>138</v>
      </c>
      <c r="F364" s="19" t="s">
        <v>1091</v>
      </c>
      <c r="G364" s="298"/>
      <c r="H364" s="10"/>
      <c r="I364" s="11"/>
      <c r="J364" s="11"/>
      <c r="K364" s="11"/>
      <c r="L364" s="11"/>
      <c r="M364" s="11"/>
      <c r="N364" s="11"/>
      <c r="O364" s="12"/>
      <c r="P364" s="11"/>
      <c r="Q364" s="13"/>
      <c r="R364" s="14"/>
    </row>
    <row r="365" spans="1:18" ht="15" customHeight="1" x14ac:dyDescent="0.3">
      <c r="A365" s="15" t="s">
        <v>26</v>
      </c>
      <c r="B365" s="15" t="s">
        <v>1026</v>
      </c>
      <c r="C365" s="16">
        <v>0.4375</v>
      </c>
      <c r="D365" s="15" t="s">
        <v>31</v>
      </c>
      <c r="E365" s="15" t="s">
        <v>38</v>
      </c>
      <c r="F365" s="15" t="s">
        <v>30</v>
      </c>
      <c r="G365" s="298"/>
      <c r="H365" s="10"/>
      <c r="I365" s="11"/>
      <c r="J365" s="11"/>
      <c r="K365" s="11"/>
      <c r="L365" s="11"/>
      <c r="M365" s="11"/>
      <c r="N365" s="11"/>
      <c r="O365" s="12"/>
      <c r="P365" s="11"/>
      <c r="Q365" s="13"/>
      <c r="R365" s="14"/>
    </row>
    <row r="366" spans="1:18" ht="15" customHeight="1" x14ac:dyDescent="0.3">
      <c r="A366" s="15" t="s">
        <v>26</v>
      </c>
      <c r="B366" s="15" t="s">
        <v>1026</v>
      </c>
      <c r="C366" s="16">
        <v>0.4375</v>
      </c>
      <c r="D366" s="15" t="s">
        <v>34</v>
      </c>
      <c r="E366" s="15" t="s">
        <v>38</v>
      </c>
      <c r="F366" s="15" t="s">
        <v>339</v>
      </c>
      <c r="G366" s="298"/>
      <c r="H366" s="10"/>
      <c r="I366" s="11"/>
      <c r="J366" s="11"/>
      <c r="K366" s="11"/>
      <c r="L366" s="11"/>
      <c r="M366" s="11"/>
      <c r="N366" s="11"/>
      <c r="O366" s="12"/>
      <c r="P366" s="11"/>
      <c r="Q366" s="13"/>
      <c r="R366" s="14"/>
    </row>
    <row r="367" spans="1:18" ht="15" customHeight="1" x14ac:dyDescent="0.3">
      <c r="A367" s="17" t="s">
        <v>26</v>
      </c>
      <c r="B367" s="17" t="s">
        <v>1017</v>
      </c>
      <c r="C367" s="18">
        <v>0.95833333333333337</v>
      </c>
      <c r="D367" s="17" t="s">
        <v>28</v>
      </c>
      <c r="E367" s="17" t="s">
        <v>144</v>
      </c>
      <c r="F367" s="17" t="s">
        <v>1091</v>
      </c>
      <c r="G367" s="298"/>
      <c r="H367" s="10"/>
      <c r="I367" s="11"/>
      <c r="J367" s="11"/>
      <c r="K367" s="11"/>
      <c r="L367" s="11"/>
      <c r="M367" s="11"/>
      <c r="N367" s="11"/>
      <c r="O367" s="12"/>
      <c r="P367" s="11"/>
      <c r="Q367" s="13"/>
      <c r="R367" s="14"/>
    </row>
    <row r="368" spans="1:18" ht="15" customHeight="1" x14ac:dyDescent="0.3">
      <c r="A368" s="15" t="s">
        <v>26</v>
      </c>
      <c r="B368" s="15" t="s">
        <v>1017</v>
      </c>
      <c r="C368" s="16">
        <v>0.95833333333333337</v>
      </c>
      <c r="D368" s="15" t="s">
        <v>31</v>
      </c>
      <c r="E368" s="15" t="s">
        <v>133</v>
      </c>
      <c r="F368" s="15" t="s">
        <v>30</v>
      </c>
      <c r="G368" s="298"/>
      <c r="H368" s="10"/>
      <c r="I368" s="11"/>
      <c r="J368" s="11"/>
      <c r="K368" s="11"/>
      <c r="L368" s="11"/>
      <c r="M368" s="11"/>
      <c r="N368" s="11"/>
      <c r="O368" s="12"/>
      <c r="P368" s="11"/>
      <c r="Q368" s="13"/>
      <c r="R368" s="14"/>
    </row>
    <row r="369" spans="1:18" ht="15" customHeight="1" x14ac:dyDescent="0.3">
      <c r="A369" s="15" t="s">
        <v>26</v>
      </c>
      <c r="B369" s="15" t="s">
        <v>1017</v>
      </c>
      <c r="C369" s="16">
        <v>0.95833333333333337</v>
      </c>
      <c r="D369" s="15" t="s">
        <v>34</v>
      </c>
      <c r="E369" s="15" t="s">
        <v>133</v>
      </c>
      <c r="F369" s="15" t="s">
        <v>339</v>
      </c>
      <c r="G369" s="298"/>
      <c r="H369" s="10"/>
      <c r="I369" s="11"/>
      <c r="J369" s="11"/>
      <c r="K369" s="11"/>
      <c r="L369" s="11"/>
      <c r="M369" s="11"/>
      <c r="N369" s="11"/>
      <c r="O369" s="12"/>
      <c r="P369" s="11"/>
      <c r="Q369" s="13"/>
      <c r="R369" s="14"/>
    </row>
    <row r="370" spans="1:18" ht="15" customHeight="1" x14ac:dyDescent="0.3">
      <c r="A370" s="17" t="s">
        <v>26</v>
      </c>
      <c r="B370" s="17" t="s">
        <v>1021</v>
      </c>
      <c r="C370" s="18">
        <v>0.63194444444444442</v>
      </c>
      <c r="D370" s="17" t="s">
        <v>28</v>
      </c>
      <c r="E370" s="17" t="s">
        <v>37</v>
      </c>
      <c r="F370" s="17" t="s">
        <v>1091</v>
      </c>
      <c r="G370" s="298"/>
      <c r="H370" s="10"/>
      <c r="I370" s="11"/>
      <c r="J370" s="11"/>
      <c r="K370" s="11"/>
      <c r="L370" s="11"/>
      <c r="M370" s="11"/>
      <c r="N370" s="11"/>
      <c r="O370" s="12"/>
      <c r="P370" s="11"/>
      <c r="Q370" s="13"/>
      <c r="R370" s="14"/>
    </row>
    <row r="371" spans="1:18" ht="15" customHeight="1" x14ac:dyDescent="0.3">
      <c r="A371" s="15" t="s">
        <v>26</v>
      </c>
      <c r="B371" s="15" t="s">
        <v>1021</v>
      </c>
      <c r="C371" s="16">
        <v>0.63194444444444442</v>
      </c>
      <c r="D371" s="15" t="s">
        <v>31</v>
      </c>
      <c r="E371" s="15" t="s">
        <v>38</v>
      </c>
      <c r="F371" s="15" t="s">
        <v>30</v>
      </c>
      <c r="G371" s="298"/>
      <c r="H371" s="10"/>
      <c r="I371" s="11"/>
      <c r="J371" s="11"/>
      <c r="K371" s="11"/>
      <c r="L371" s="11"/>
      <c r="M371" s="11"/>
      <c r="N371" s="11"/>
      <c r="O371" s="12"/>
      <c r="P371" s="11"/>
      <c r="Q371" s="13"/>
      <c r="R371" s="14"/>
    </row>
    <row r="372" spans="1:18" ht="15" customHeight="1" x14ac:dyDescent="0.3">
      <c r="A372" s="15" t="s">
        <v>26</v>
      </c>
      <c r="B372" s="15" t="s">
        <v>1021</v>
      </c>
      <c r="C372" s="16">
        <v>0.63194444444444442</v>
      </c>
      <c r="D372" s="15" t="s">
        <v>34</v>
      </c>
      <c r="E372" s="15" t="s">
        <v>38</v>
      </c>
      <c r="F372" s="15" t="s">
        <v>339</v>
      </c>
      <c r="G372" s="298"/>
      <c r="H372" s="10"/>
      <c r="I372" s="11"/>
      <c r="J372" s="11"/>
      <c r="K372" s="11"/>
      <c r="L372" s="11"/>
      <c r="M372" s="11"/>
      <c r="N372" s="11"/>
      <c r="O372" s="12"/>
      <c r="P372" s="11"/>
      <c r="Q372" s="13"/>
      <c r="R372" s="14"/>
    </row>
    <row r="373" spans="1:18" ht="15" customHeight="1" x14ac:dyDescent="0.3">
      <c r="A373" s="17" t="s">
        <v>26</v>
      </c>
      <c r="B373" s="17" t="s">
        <v>1029</v>
      </c>
      <c r="C373" s="18">
        <v>0.50694444444444442</v>
      </c>
      <c r="D373" s="17" t="s">
        <v>28</v>
      </c>
      <c r="E373" s="17" t="s">
        <v>37</v>
      </c>
      <c r="F373" s="17" t="s">
        <v>1091</v>
      </c>
      <c r="G373" s="298"/>
      <c r="H373" s="10"/>
      <c r="I373" s="11"/>
      <c r="J373" s="11"/>
      <c r="K373" s="11"/>
      <c r="L373" s="11"/>
      <c r="M373" s="11"/>
      <c r="N373" s="11"/>
      <c r="O373" s="12"/>
      <c r="P373" s="11"/>
      <c r="Q373" s="13"/>
      <c r="R373" s="14"/>
    </row>
    <row r="374" spans="1:18" ht="15" customHeight="1" x14ac:dyDescent="0.3">
      <c r="A374" s="15" t="s">
        <v>26</v>
      </c>
      <c r="B374" s="15" t="s">
        <v>1029</v>
      </c>
      <c r="C374" s="16">
        <v>0.50694444444444442</v>
      </c>
      <c r="D374" s="15" t="s">
        <v>31</v>
      </c>
      <c r="E374" s="15" t="s">
        <v>38</v>
      </c>
      <c r="F374" s="15" t="s">
        <v>30</v>
      </c>
      <c r="G374" s="298"/>
      <c r="H374" s="10"/>
      <c r="I374" s="11"/>
      <c r="J374" s="11"/>
      <c r="K374" s="11"/>
      <c r="L374" s="11"/>
      <c r="M374" s="11"/>
      <c r="N374" s="11"/>
      <c r="O374" s="12"/>
      <c r="P374" s="11"/>
      <c r="Q374" s="13"/>
      <c r="R374" s="14"/>
    </row>
    <row r="375" spans="1:18" ht="15" customHeight="1" x14ac:dyDescent="0.3">
      <c r="A375" s="15" t="s">
        <v>26</v>
      </c>
      <c r="B375" s="15" t="s">
        <v>1029</v>
      </c>
      <c r="C375" s="16">
        <v>0.50694444444444442</v>
      </c>
      <c r="D375" s="15" t="s">
        <v>34</v>
      </c>
      <c r="E375" s="15" t="s">
        <v>38</v>
      </c>
      <c r="F375" s="15" t="s">
        <v>339</v>
      </c>
      <c r="G375" s="298"/>
      <c r="H375" s="10"/>
      <c r="I375" s="11"/>
      <c r="J375" s="11"/>
      <c r="K375" s="11"/>
      <c r="L375" s="11"/>
      <c r="M375" s="11"/>
      <c r="N375" s="11"/>
      <c r="O375" s="12"/>
      <c r="P375" s="11"/>
      <c r="Q375" s="13"/>
      <c r="R375" s="14"/>
    </row>
    <row r="376" spans="1:18" ht="15" customHeight="1" x14ac:dyDescent="0.3">
      <c r="A376" s="17" t="s">
        <v>26</v>
      </c>
      <c r="B376" s="17" t="s">
        <v>1023</v>
      </c>
      <c r="C376" s="18">
        <v>0.55902777777777779</v>
      </c>
      <c r="D376" s="17" t="s">
        <v>28</v>
      </c>
      <c r="E376" s="17" t="s">
        <v>37</v>
      </c>
      <c r="F376" s="17" t="s">
        <v>1028</v>
      </c>
      <c r="G376" s="298"/>
      <c r="H376" s="10"/>
      <c r="I376" s="11"/>
      <c r="J376" s="11"/>
      <c r="K376" s="11"/>
      <c r="L376" s="11"/>
      <c r="M376" s="11"/>
      <c r="N376" s="11"/>
      <c r="O376" s="12"/>
      <c r="P376" s="11"/>
      <c r="Q376" s="13"/>
      <c r="R376" s="14"/>
    </row>
    <row r="377" spans="1:18" ht="15" customHeight="1" x14ac:dyDescent="0.3">
      <c r="A377" s="15" t="s">
        <v>26</v>
      </c>
      <c r="B377" s="15" t="s">
        <v>1023</v>
      </c>
      <c r="C377" s="16">
        <v>0.55902777777777779</v>
      </c>
      <c r="D377" s="15" t="s">
        <v>31</v>
      </c>
      <c r="E377" s="15" t="s">
        <v>38</v>
      </c>
      <c r="F377" s="15" t="s">
        <v>86</v>
      </c>
      <c r="G377" s="298"/>
      <c r="H377" s="10"/>
      <c r="I377" s="11"/>
      <c r="J377" s="11"/>
      <c r="K377" s="11"/>
      <c r="L377" s="11"/>
      <c r="M377" s="11"/>
      <c r="N377" s="11"/>
      <c r="O377" s="12"/>
      <c r="P377" s="11"/>
      <c r="Q377" s="13"/>
      <c r="R377" s="14"/>
    </row>
    <row r="378" spans="1:18" ht="15" customHeight="1" x14ac:dyDescent="0.3">
      <c r="A378" s="15" t="s">
        <v>26</v>
      </c>
      <c r="B378" s="15" t="s">
        <v>1023</v>
      </c>
      <c r="C378" s="16">
        <v>0.55902777777777779</v>
      </c>
      <c r="D378" s="15" t="s">
        <v>34</v>
      </c>
      <c r="E378" s="15" t="s">
        <v>38</v>
      </c>
      <c r="F378" s="15" t="s">
        <v>95</v>
      </c>
      <c r="G378" s="298"/>
      <c r="H378" s="10"/>
      <c r="I378" s="11"/>
      <c r="J378" s="11"/>
      <c r="K378" s="11"/>
      <c r="L378" s="11"/>
      <c r="M378" s="11"/>
      <c r="N378" s="11"/>
      <c r="O378" s="12"/>
      <c r="P378" s="11"/>
      <c r="Q378" s="13"/>
      <c r="R378" s="14"/>
    </row>
    <row r="379" spans="1:18" ht="15" customHeight="1" x14ac:dyDescent="0.3">
      <c r="A379" s="17" t="s">
        <v>26</v>
      </c>
      <c r="B379" s="17" t="s">
        <v>1024</v>
      </c>
      <c r="C379" s="18">
        <v>0.81944444444444453</v>
      </c>
      <c r="D379" s="17" t="s">
        <v>28</v>
      </c>
      <c r="E379" s="17" t="s">
        <v>144</v>
      </c>
      <c r="F379" s="17" t="s">
        <v>1028</v>
      </c>
      <c r="G379" s="298"/>
      <c r="H379" s="10"/>
      <c r="I379" s="11"/>
      <c r="J379" s="11"/>
      <c r="K379" s="11"/>
      <c r="L379" s="11"/>
      <c r="M379" s="11"/>
      <c r="N379" s="11"/>
      <c r="O379" s="12"/>
      <c r="P379" s="11"/>
      <c r="Q379" s="13"/>
      <c r="R379" s="14"/>
    </row>
    <row r="380" spans="1:18" ht="15" customHeight="1" x14ac:dyDescent="0.3">
      <c r="A380" s="15" t="s">
        <v>26</v>
      </c>
      <c r="B380" s="15" t="s">
        <v>1024</v>
      </c>
      <c r="C380" s="16">
        <v>0.81944444444444453</v>
      </c>
      <c r="D380" s="15" t="s">
        <v>31</v>
      </c>
      <c r="E380" s="15" t="s">
        <v>133</v>
      </c>
      <c r="F380" s="15" t="s">
        <v>86</v>
      </c>
      <c r="G380" s="298"/>
      <c r="H380" s="10"/>
      <c r="I380" s="11"/>
      <c r="J380" s="11"/>
      <c r="K380" s="11"/>
      <c r="L380" s="11"/>
      <c r="M380" s="11"/>
      <c r="N380" s="11"/>
      <c r="O380" s="12"/>
      <c r="P380" s="11"/>
      <c r="Q380" s="13"/>
      <c r="R380" s="14"/>
    </row>
    <row r="381" spans="1:18" ht="15" customHeight="1" x14ac:dyDescent="0.3">
      <c r="A381" s="15" t="s">
        <v>26</v>
      </c>
      <c r="B381" s="15" t="s">
        <v>1024</v>
      </c>
      <c r="C381" s="16">
        <v>0.81944444444444453</v>
      </c>
      <c r="D381" s="15" t="s">
        <v>34</v>
      </c>
      <c r="E381" s="15" t="s">
        <v>133</v>
      </c>
      <c r="F381" s="15" t="s">
        <v>95</v>
      </c>
      <c r="G381" s="298"/>
      <c r="H381" s="10"/>
      <c r="I381" s="11"/>
      <c r="J381" s="11"/>
      <c r="K381" s="11"/>
      <c r="L381" s="11"/>
      <c r="M381" s="11"/>
      <c r="N381" s="11"/>
      <c r="O381" s="12"/>
      <c r="P381" s="11"/>
      <c r="Q381" s="13"/>
      <c r="R381" s="14"/>
    </row>
    <row r="382" spans="1:18" ht="15" customHeight="1" x14ac:dyDescent="0.3">
      <c r="A382" s="17" t="s">
        <v>26</v>
      </c>
      <c r="B382" s="17" t="s">
        <v>1025</v>
      </c>
      <c r="C382" s="18">
        <v>0.69791666666666663</v>
      </c>
      <c r="D382" s="17" t="s">
        <v>28</v>
      </c>
      <c r="E382" s="17" t="s">
        <v>37</v>
      </c>
      <c r="F382" s="17" t="s">
        <v>1028</v>
      </c>
      <c r="G382" s="298"/>
      <c r="H382" s="10"/>
      <c r="I382" s="11"/>
      <c r="J382" s="11"/>
      <c r="K382" s="11"/>
      <c r="L382" s="11"/>
      <c r="M382" s="11"/>
      <c r="N382" s="11"/>
      <c r="O382" s="12"/>
      <c r="P382" s="11"/>
      <c r="Q382" s="13"/>
      <c r="R382" s="14"/>
    </row>
    <row r="383" spans="1:18" ht="15" customHeight="1" x14ac:dyDescent="0.3">
      <c r="A383" s="15" t="s">
        <v>26</v>
      </c>
      <c r="B383" s="15" t="s">
        <v>1025</v>
      </c>
      <c r="C383" s="16">
        <v>0.69791666666666663</v>
      </c>
      <c r="D383" s="15" t="s">
        <v>31</v>
      </c>
      <c r="E383" s="15" t="s">
        <v>38</v>
      </c>
      <c r="F383" s="15" t="s">
        <v>86</v>
      </c>
      <c r="G383" s="298"/>
      <c r="H383" s="10"/>
      <c r="I383" s="11"/>
      <c r="J383" s="11"/>
      <c r="K383" s="11"/>
      <c r="L383" s="11"/>
      <c r="M383" s="11"/>
      <c r="N383" s="11"/>
      <c r="O383" s="12"/>
      <c r="P383" s="11"/>
      <c r="Q383" s="13"/>
      <c r="R383" s="14"/>
    </row>
    <row r="384" spans="1:18" ht="15" customHeight="1" x14ac:dyDescent="0.3">
      <c r="A384" s="15" t="s">
        <v>26</v>
      </c>
      <c r="B384" s="15" t="s">
        <v>1025</v>
      </c>
      <c r="C384" s="16">
        <v>0.69791666666666663</v>
      </c>
      <c r="D384" s="15" t="s">
        <v>34</v>
      </c>
      <c r="E384" s="15" t="s">
        <v>38</v>
      </c>
      <c r="F384" s="15" t="s">
        <v>95</v>
      </c>
      <c r="G384" s="298"/>
      <c r="H384" s="10"/>
      <c r="I384" s="11"/>
      <c r="J384" s="11"/>
      <c r="K384" s="11"/>
      <c r="L384" s="11"/>
      <c r="M384" s="11"/>
      <c r="N384" s="11"/>
      <c r="O384" s="12"/>
      <c r="P384" s="11"/>
      <c r="Q384" s="13"/>
      <c r="R384" s="14"/>
    </row>
    <row r="385" spans="1:18" ht="15" customHeight="1" x14ac:dyDescent="0.3">
      <c r="A385" s="204" t="s">
        <v>77</v>
      </c>
      <c r="B385" s="204" t="s">
        <v>1085</v>
      </c>
      <c r="C385" s="205">
        <v>0.71527777777777779</v>
      </c>
      <c r="D385" s="204" t="s">
        <v>101</v>
      </c>
      <c r="E385" s="204" t="s">
        <v>63</v>
      </c>
      <c r="F385" s="204" t="s">
        <v>779</v>
      </c>
      <c r="G385" s="298"/>
      <c r="H385" s="206" t="s">
        <v>1086</v>
      </c>
      <c r="I385" s="207">
        <v>0.55869999999999997</v>
      </c>
      <c r="J385" s="208">
        <v>100</v>
      </c>
      <c r="K385" s="209">
        <v>45980</v>
      </c>
      <c r="L385" s="208">
        <v>29</v>
      </c>
      <c r="M385" s="208">
        <v>1</v>
      </c>
      <c r="N385" s="208">
        <v>7</v>
      </c>
      <c r="O385" s="210" t="s">
        <v>422</v>
      </c>
      <c r="P385" s="211">
        <v>0.71527777777777779</v>
      </c>
      <c r="Q385" s="208">
        <v>179</v>
      </c>
      <c r="R385" s="212" t="s">
        <v>1123</v>
      </c>
    </row>
    <row r="386" spans="1:18" ht="15" customHeight="1" x14ac:dyDescent="0.3">
      <c r="A386" s="19" t="s">
        <v>458</v>
      </c>
      <c r="B386" s="19" t="s">
        <v>1048</v>
      </c>
      <c r="C386" s="20">
        <v>9.0277777777777776E-2</v>
      </c>
      <c r="D386" s="19" t="s">
        <v>101</v>
      </c>
      <c r="E386" s="19" t="s">
        <v>63</v>
      </c>
      <c r="F386" s="19" t="s">
        <v>1124</v>
      </c>
      <c r="G386" s="298"/>
      <c r="H386" s="10"/>
      <c r="I386" s="11"/>
      <c r="J386" s="11"/>
      <c r="K386" s="11"/>
      <c r="L386" s="11"/>
      <c r="M386" s="11"/>
      <c r="N386" s="11"/>
      <c r="O386" s="12"/>
      <c r="P386" s="11"/>
      <c r="Q386" s="13"/>
      <c r="R386" s="14"/>
    </row>
    <row r="387" spans="1:18" ht="15" customHeight="1" x14ac:dyDescent="0.3">
      <c r="A387" s="19" t="s">
        <v>388</v>
      </c>
      <c r="B387" s="19" t="s">
        <v>1056</v>
      </c>
      <c r="C387" s="20">
        <v>0.4375</v>
      </c>
      <c r="D387" s="19" t="s">
        <v>390</v>
      </c>
      <c r="E387" s="19" t="s">
        <v>138</v>
      </c>
      <c r="F387" s="19" t="s">
        <v>1125</v>
      </c>
      <c r="G387" s="298"/>
      <c r="H387" s="10"/>
      <c r="I387" s="11"/>
      <c r="J387" s="11"/>
      <c r="K387" s="11"/>
      <c r="L387" s="11"/>
      <c r="M387" s="11"/>
      <c r="N387" s="11"/>
      <c r="O387" s="12"/>
      <c r="P387" s="11"/>
      <c r="Q387" s="13"/>
      <c r="R387" s="14"/>
    </row>
    <row r="388" spans="1:18" ht="15" customHeight="1" x14ac:dyDescent="0.3">
      <c r="A388" s="15" t="s">
        <v>388</v>
      </c>
      <c r="B388" s="15" t="s">
        <v>1056</v>
      </c>
      <c r="C388" s="16">
        <v>0.4375</v>
      </c>
      <c r="D388" s="15" t="s">
        <v>46</v>
      </c>
      <c r="E388" s="15" t="s">
        <v>38</v>
      </c>
      <c r="F388" s="15" t="s">
        <v>1126</v>
      </c>
      <c r="G388" s="298"/>
      <c r="H388" s="10"/>
      <c r="I388" s="11"/>
      <c r="J388" s="11"/>
      <c r="K388" s="11"/>
      <c r="L388" s="11"/>
      <c r="M388" s="11"/>
      <c r="N388" s="11"/>
      <c r="O388" s="12"/>
      <c r="P388" s="11"/>
      <c r="Q388" s="13"/>
      <c r="R388" s="14"/>
    </row>
    <row r="389" spans="1:18" ht="15" customHeight="1" x14ac:dyDescent="0.3">
      <c r="A389" s="19" t="s">
        <v>48</v>
      </c>
      <c r="B389" s="19" t="s">
        <v>1059</v>
      </c>
      <c r="C389" s="20">
        <v>0.98263888888888884</v>
      </c>
      <c r="D389" s="19" t="s">
        <v>50</v>
      </c>
      <c r="E389" s="19" t="s">
        <v>85</v>
      </c>
      <c r="F389" s="19" t="s">
        <v>1060</v>
      </c>
      <c r="G389" s="298"/>
      <c r="H389" s="10"/>
      <c r="I389" s="11"/>
      <c r="J389" s="11"/>
      <c r="K389" s="11"/>
      <c r="L389" s="11"/>
      <c r="M389" s="11"/>
      <c r="N389" s="11"/>
      <c r="O389" s="12"/>
      <c r="P389" s="11"/>
      <c r="Q389" s="13"/>
      <c r="R389" s="14"/>
    </row>
    <row r="390" spans="1:18" ht="15" customHeight="1" x14ac:dyDescent="0.3">
      <c r="A390" s="17" t="s">
        <v>48</v>
      </c>
      <c r="B390" s="17" t="s">
        <v>1061</v>
      </c>
      <c r="C390" s="18">
        <v>0.35416666666666669</v>
      </c>
      <c r="D390" s="17" t="s">
        <v>50</v>
      </c>
      <c r="E390" s="17" t="s">
        <v>69</v>
      </c>
      <c r="F390" s="17" t="s">
        <v>1060</v>
      </c>
      <c r="G390" s="298"/>
      <c r="H390" s="10"/>
      <c r="I390" s="11"/>
      <c r="J390" s="11"/>
      <c r="K390" s="11"/>
      <c r="L390" s="11"/>
      <c r="M390" s="11"/>
      <c r="N390" s="11"/>
      <c r="O390" s="12"/>
      <c r="P390" s="11"/>
      <c r="Q390" s="13"/>
      <c r="R390" s="14"/>
    </row>
    <row r="391" spans="1:18" ht="15" customHeight="1" x14ac:dyDescent="0.3">
      <c r="A391" s="17" t="s">
        <v>48</v>
      </c>
      <c r="B391" s="17" t="s">
        <v>1062</v>
      </c>
      <c r="C391" s="18">
        <v>0.72916666666666663</v>
      </c>
      <c r="D391" s="17" t="s">
        <v>50</v>
      </c>
      <c r="E391" s="17" t="s">
        <v>69</v>
      </c>
      <c r="F391" s="17" t="s">
        <v>1127</v>
      </c>
      <c r="G391" s="298"/>
      <c r="H391" s="10"/>
      <c r="I391" s="11"/>
      <c r="J391" s="11"/>
      <c r="K391" s="11"/>
      <c r="L391" s="11"/>
      <c r="M391" s="11"/>
      <c r="N391" s="11"/>
      <c r="O391" s="12"/>
      <c r="P391" s="11"/>
      <c r="Q391" s="13"/>
      <c r="R391" s="14"/>
    </row>
    <row r="392" spans="1:18" ht="15" customHeight="1" x14ac:dyDescent="0.3">
      <c r="A392" s="19" t="s">
        <v>60</v>
      </c>
      <c r="B392" s="19" t="s">
        <v>1064</v>
      </c>
      <c r="C392" s="20">
        <v>0.98263888888888884</v>
      </c>
      <c r="D392" s="19" t="s">
        <v>62</v>
      </c>
      <c r="E392" s="19" t="s">
        <v>63</v>
      </c>
      <c r="F392" s="19" t="s">
        <v>1114</v>
      </c>
      <c r="G392" s="298"/>
      <c r="H392" s="10"/>
      <c r="I392" s="11"/>
      <c r="J392" s="11"/>
      <c r="K392" s="11"/>
      <c r="L392" s="11"/>
      <c r="M392" s="11"/>
      <c r="N392" s="11"/>
      <c r="O392" s="12"/>
      <c r="P392" s="11"/>
      <c r="Q392" s="13"/>
      <c r="R392" s="14"/>
    </row>
    <row r="393" spans="1:18" ht="15" customHeight="1" x14ac:dyDescent="0.3">
      <c r="A393" s="15" t="s">
        <v>60</v>
      </c>
      <c r="B393" s="15" t="s">
        <v>1064</v>
      </c>
      <c r="C393" s="16">
        <v>0.98263888888888884</v>
      </c>
      <c r="D393" s="15" t="s">
        <v>65</v>
      </c>
      <c r="E393" s="15" t="s">
        <v>66</v>
      </c>
      <c r="F393" s="15" t="s">
        <v>1115</v>
      </c>
      <c r="G393" s="298"/>
      <c r="H393" s="10"/>
      <c r="I393" s="11"/>
      <c r="J393" s="11"/>
      <c r="K393" s="11"/>
      <c r="L393" s="11"/>
      <c r="M393" s="11"/>
      <c r="N393" s="11"/>
      <c r="O393" s="12"/>
      <c r="P393" s="11"/>
      <c r="Q393" s="13"/>
      <c r="R393" s="14"/>
    </row>
    <row r="394" spans="1:18" ht="15" customHeight="1" x14ac:dyDescent="0.3">
      <c r="A394" s="17" t="s">
        <v>60</v>
      </c>
      <c r="B394" s="17" t="s">
        <v>1116</v>
      </c>
      <c r="C394" s="18">
        <v>0.69791666666666663</v>
      </c>
      <c r="D394" s="17" t="s">
        <v>62</v>
      </c>
      <c r="E394" s="17" t="s">
        <v>54</v>
      </c>
      <c r="F394" s="17" t="s">
        <v>1114</v>
      </c>
      <c r="G394" s="298"/>
      <c r="H394" s="10"/>
      <c r="I394" s="11"/>
      <c r="J394" s="11"/>
      <c r="K394" s="11"/>
      <c r="L394" s="11"/>
      <c r="M394" s="11"/>
      <c r="N394" s="11"/>
      <c r="O394" s="12"/>
      <c r="P394" s="11"/>
      <c r="Q394" s="13"/>
      <c r="R394" s="14"/>
    </row>
    <row r="395" spans="1:18" ht="15" customHeight="1" x14ac:dyDescent="0.3">
      <c r="A395" s="15" t="s">
        <v>60</v>
      </c>
      <c r="B395" s="15" t="s">
        <v>1116</v>
      </c>
      <c r="C395" s="16">
        <v>0.69791666666666663</v>
      </c>
      <c r="D395" s="15" t="s">
        <v>65</v>
      </c>
      <c r="E395" s="15" t="s">
        <v>66</v>
      </c>
      <c r="F395" s="15" t="s">
        <v>1115</v>
      </c>
      <c r="G395" s="298"/>
      <c r="H395" s="10"/>
      <c r="I395" s="11"/>
      <c r="J395" s="11"/>
      <c r="K395" s="11"/>
      <c r="L395" s="11"/>
      <c r="M395" s="11"/>
      <c r="N395" s="11"/>
      <c r="O395" s="12"/>
      <c r="P395" s="11"/>
      <c r="Q395" s="13"/>
      <c r="R395" s="14"/>
    </row>
    <row r="396" spans="1:18" ht="15" customHeight="1" x14ac:dyDescent="0.3">
      <c r="A396" s="17" t="s">
        <v>60</v>
      </c>
      <c r="B396" s="17" t="s">
        <v>1073</v>
      </c>
      <c r="C396" s="18">
        <v>0.82986111111111116</v>
      </c>
      <c r="D396" s="17" t="s">
        <v>62</v>
      </c>
      <c r="E396" s="17" t="s">
        <v>54</v>
      </c>
      <c r="F396" s="17" t="s">
        <v>1065</v>
      </c>
      <c r="G396" s="298"/>
      <c r="H396" s="10"/>
      <c r="I396" s="11"/>
      <c r="J396" s="11"/>
      <c r="K396" s="11"/>
      <c r="L396" s="11"/>
      <c r="M396" s="11"/>
      <c r="N396" s="11"/>
      <c r="O396" s="12"/>
      <c r="P396" s="11"/>
      <c r="Q396" s="13"/>
      <c r="R396" s="14"/>
    </row>
    <row r="397" spans="1:18" ht="15" customHeight="1" x14ac:dyDescent="0.3">
      <c r="A397" s="15" t="s">
        <v>60</v>
      </c>
      <c r="B397" s="15" t="s">
        <v>1073</v>
      </c>
      <c r="C397" s="16">
        <v>0.82986111111111116</v>
      </c>
      <c r="D397" s="15" t="s">
        <v>65</v>
      </c>
      <c r="E397" s="15" t="s">
        <v>66</v>
      </c>
      <c r="F397" s="15" t="s">
        <v>1066</v>
      </c>
      <c r="G397" s="298"/>
      <c r="H397" s="10"/>
      <c r="I397" s="11"/>
      <c r="J397" s="11"/>
      <c r="K397" s="11"/>
      <c r="L397" s="11"/>
      <c r="M397" s="11"/>
      <c r="N397" s="11"/>
      <c r="O397" s="12"/>
      <c r="P397" s="11"/>
      <c r="Q397" s="13"/>
      <c r="R397" s="14"/>
    </row>
    <row r="398" spans="1:18" ht="15" customHeight="1" x14ac:dyDescent="0.3">
      <c r="A398" s="17" t="s">
        <v>60</v>
      </c>
      <c r="B398" s="17" t="s">
        <v>1074</v>
      </c>
      <c r="C398" s="18">
        <v>0.62847222222222221</v>
      </c>
      <c r="D398" s="17" t="s">
        <v>62</v>
      </c>
      <c r="E398" s="17" t="s">
        <v>54</v>
      </c>
      <c r="F398" s="17" t="s">
        <v>1065</v>
      </c>
      <c r="G398" s="298"/>
      <c r="H398" s="10"/>
      <c r="I398" s="11"/>
      <c r="J398" s="11"/>
      <c r="K398" s="11"/>
      <c r="L398" s="11"/>
      <c r="M398" s="11"/>
      <c r="N398" s="11"/>
      <c r="O398" s="12"/>
      <c r="P398" s="11"/>
      <c r="Q398" s="13"/>
      <c r="R398" s="14"/>
    </row>
    <row r="399" spans="1:18" ht="15" customHeight="1" x14ac:dyDescent="0.3">
      <c r="A399" s="15" t="s">
        <v>60</v>
      </c>
      <c r="B399" s="15" t="s">
        <v>1074</v>
      </c>
      <c r="C399" s="16">
        <v>0.62847222222222221</v>
      </c>
      <c r="D399" s="15" t="s">
        <v>65</v>
      </c>
      <c r="E399" s="15" t="s">
        <v>66</v>
      </c>
      <c r="F399" s="15" t="s">
        <v>1066</v>
      </c>
      <c r="G399" s="298"/>
      <c r="H399" s="10"/>
      <c r="I399" s="11"/>
      <c r="J399" s="11"/>
      <c r="K399" s="11"/>
      <c r="L399" s="11"/>
      <c r="M399" s="11"/>
      <c r="N399" s="11"/>
      <c r="O399" s="12"/>
      <c r="P399" s="11"/>
      <c r="Q399" s="13"/>
      <c r="R399" s="14"/>
    </row>
    <row r="400" spans="1:18" ht="15" customHeight="1" x14ac:dyDescent="0.3">
      <c r="A400" s="17" t="s">
        <v>60</v>
      </c>
      <c r="B400" s="17" t="s">
        <v>1067</v>
      </c>
      <c r="C400" s="18">
        <v>0.88888888888888884</v>
      </c>
      <c r="D400" s="17" t="s">
        <v>65</v>
      </c>
      <c r="E400" s="17" t="s">
        <v>72</v>
      </c>
      <c r="F400" s="17" t="s">
        <v>1068</v>
      </c>
      <c r="G400" s="298"/>
      <c r="H400" s="10"/>
      <c r="I400" s="11"/>
      <c r="J400" s="11"/>
      <c r="K400" s="11"/>
      <c r="L400" s="11"/>
      <c r="M400" s="11"/>
      <c r="N400" s="11"/>
      <c r="O400" s="12"/>
      <c r="P400" s="11"/>
      <c r="Q400" s="13"/>
      <c r="R400" s="14"/>
    </row>
    <row r="401" spans="1:18" ht="15" customHeight="1" x14ac:dyDescent="0.3">
      <c r="A401" s="17" t="s">
        <v>60</v>
      </c>
      <c r="B401" s="17" t="s">
        <v>1069</v>
      </c>
      <c r="C401" s="18">
        <v>0.62847222222222221</v>
      </c>
      <c r="D401" s="17" t="s">
        <v>65</v>
      </c>
      <c r="E401" s="17" t="s">
        <v>72</v>
      </c>
      <c r="F401" s="17" t="s">
        <v>1068</v>
      </c>
      <c r="G401" s="298"/>
      <c r="H401" s="10"/>
      <c r="I401" s="11"/>
      <c r="J401" s="11"/>
      <c r="K401" s="11"/>
      <c r="L401" s="11"/>
      <c r="M401" s="11"/>
      <c r="N401" s="11"/>
      <c r="O401" s="12"/>
      <c r="P401" s="11"/>
      <c r="Q401" s="13"/>
      <c r="R401" s="14"/>
    </row>
    <row r="402" spans="1:18" ht="15" customHeight="1" x14ac:dyDescent="0.3">
      <c r="A402" s="17" t="s">
        <v>60</v>
      </c>
      <c r="B402" s="17" t="s">
        <v>1070</v>
      </c>
      <c r="C402" s="18">
        <v>0.94444444444444453</v>
      </c>
      <c r="D402" s="17" t="s">
        <v>65</v>
      </c>
      <c r="E402" s="17" t="s">
        <v>72</v>
      </c>
      <c r="F402" s="17" t="s">
        <v>1068</v>
      </c>
      <c r="G402" s="298"/>
      <c r="H402" s="10"/>
      <c r="I402" s="11"/>
      <c r="J402" s="11"/>
      <c r="K402" s="11"/>
      <c r="L402" s="11"/>
      <c r="M402" s="11"/>
      <c r="N402" s="11"/>
      <c r="O402" s="12"/>
      <c r="P402" s="11"/>
      <c r="Q402" s="13"/>
      <c r="R402" s="14"/>
    </row>
    <row r="403" spans="1:18" ht="15" customHeight="1" thickBot="1" x14ac:dyDescent="0.35">
      <c r="A403" s="39" t="s">
        <v>60</v>
      </c>
      <c r="B403" s="39" t="s">
        <v>1071</v>
      </c>
      <c r="C403" s="40">
        <v>0.44444444444444442</v>
      </c>
      <c r="D403" s="39" t="s">
        <v>65</v>
      </c>
      <c r="E403" s="39" t="s">
        <v>54</v>
      </c>
      <c r="F403" s="39" t="s">
        <v>1072</v>
      </c>
      <c r="G403" s="299"/>
      <c r="H403" s="41"/>
      <c r="I403" s="42"/>
      <c r="J403" s="42"/>
      <c r="K403" s="42"/>
      <c r="L403" s="42"/>
      <c r="M403" s="42"/>
      <c r="N403" s="42"/>
      <c r="O403" s="43"/>
      <c r="P403" s="42"/>
      <c r="Q403" s="44"/>
      <c r="R403" s="45"/>
    </row>
    <row r="404" spans="1:18" ht="17.399999999999999" customHeight="1" thickBot="1" x14ac:dyDescent="0.35">
      <c r="A404" s="329"/>
      <c r="B404" s="330"/>
      <c r="C404" s="330"/>
      <c r="D404" s="330"/>
      <c r="E404" s="330"/>
      <c r="F404" s="330"/>
      <c r="G404" s="330"/>
      <c r="H404" s="330"/>
      <c r="I404" s="330"/>
      <c r="J404" s="330"/>
      <c r="K404" s="330"/>
      <c r="L404" s="330"/>
      <c r="M404" s="330"/>
      <c r="N404" s="330"/>
      <c r="O404" s="330"/>
      <c r="P404" s="330"/>
      <c r="Q404" s="330"/>
      <c r="R404" s="331"/>
    </row>
    <row r="405" spans="1:18" ht="22.05" customHeight="1" thickTop="1" thickBot="1" x14ac:dyDescent="0.35">
      <c r="A405" s="300" t="s">
        <v>6</v>
      </c>
      <c r="B405" s="295"/>
      <c r="C405" s="295"/>
      <c r="D405" s="295"/>
      <c r="E405" s="295"/>
      <c r="F405" s="296"/>
      <c r="G405" s="31">
        <v>45987</v>
      </c>
      <c r="H405" s="294" t="s">
        <v>7</v>
      </c>
      <c r="I405" s="295"/>
      <c r="J405" s="295"/>
      <c r="K405" s="295"/>
      <c r="L405" s="295"/>
      <c r="M405" s="295"/>
      <c r="N405" s="295"/>
      <c r="O405" s="295"/>
      <c r="P405" s="295"/>
      <c r="Q405" s="295"/>
      <c r="R405" s="296"/>
    </row>
    <row r="406" spans="1:18" ht="24" customHeight="1" x14ac:dyDescent="0.3">
      <c r="A406" s="32" t="s">
        <v>8</v>
      </c>
      <c r="B406" s="32" t="s">
        <v>9</v>
      </c>
      <c r="C406" s="33" t="s">
        <v>10</v>
      </c>
      <c r="D406" s="32" t="s">
        <v>11</v>
      </c>
      <c r="E406" s="32" t="s">
        <v>12</v>
      </c>
      <c r="F406" s="34" t="s">
        <v>13</v>
      </c>
      <c r="G406" s="35" t="s">
        <v>14</v>
      </c>
      <c r="H406" s="32" t="s">
        <v>15</v>
      </c>
      <c r="I406" s="36" t="s">
        <v>16</v>
      </c>
      <c r="J406" s="37" t="s">
        <v>17</v>
      </c>
      <c r="K406" s="38" t="s">
        <v>18</v>
      </c>
      <c r="L406" s="37" t="s">
        <v>19</v>
      </c>
      <c r="M406" s="37" t="s">
        <v>20</v>
      </c>
      <c r="N406" s="37" t="s">
        <v>21</v>
      </c>
      <c r="O406" s="32" t="s">
        <v>22</v>
      </c>
      <c r="P406" s="33" t="s">
        <v>23</v>
      </c>
      <c r="Q406" s="37" t="s">
        <v>24</v>
      </c>
      <c r="R406" s="32" t="s">
        <v>25</v>
      </c>
    </row>
    <row r="407" spans="1:18" ht="15" customHeight="1" x14ac:dyDescent="0.3">
      <c r="A407" s="8" t="s">
        <v>41</v>
      </c>
      <c r="B407" s="8" t="s">
        <v>1030</v>
      </c>
      <c r="C407" s="9">
        <v>0.57638888888888895</v>
      </c>
      <c r="D407" s="8" t="s">
        <v>43</v>
      </c>
      <c r="E407" s="8" t="s">
        <v>96</v>
      </c>
      <c r="F407" s="8" t="s">
        <v>1128</v>
      </c>
      <c r="G407" s="304"/>
      <c r="H407" s="10"/>
      <c r="I407" s="11"/>
      <c r="J407" s="11"/>
      <c r="K407" s="11"/>
      <c r="L407" s="11"/>
      <c r="M407" s="11"/>
      <c r="N407" s="11"/>
      <c r="O407" s="12"/>
      <c r="P407" s="11"/>
      <c r="Q407" s="13"/>
      <c r="R407" s="14"/>
    </row>
    <row r="408" spans="1:18" ht="15" customHeight="1" x14ac:dyDescent="0.3">
      <c r="A408" s="15" t="s">
        <v>41</v>
      </c>
      <c r="B408" s="15" t="s">
        <v>1030</v>
      </c>
      <c r="C408" s="16">
        <v>0.57638888888888895</v>
      </c>
      <c r="D408" s="15" t="s">
        <v>45</v>
      </c>
      <c r="E408" s="15" t="s">
        <v>97</v>
      </c>
      <c r="F408" s="15" t="s">
        <v>44</v>
      </c>
      <c r="G408" s="298"/>
      <c r="H408" s="10"/>
      <c r="I408" s="11"/>
      <c r="J408" s="11"/>
      <c r="K408" s="11"/>
      <c r="L408" s="11"/>
      <c r="M408" s="11"/>
      <c r="N408" s="11"/>
      <c r="O408" s="12"/>
      <c r="P408" s="11"/>
      <c r="Q408" s="13"/>
      <c r="R408" s="14"/>
    </row>
    <row r="409" spans="1:18" ht="15" customHeight="1" x14ac:dyDescent="0.3">
      <c r="A409" s="15" t="s">
        <v>41</v>
      </c>
      <c r="B409" s="15" t="s">
        <v>1030</v>
      </c>
      <c r="C409" s="16">
        <v>0.57638888888888895</v>
      </c>
      <c r="D409" s="15" t="s">
        <v>46</v>
      </c>
      <c r="E409" s="15" t="s">
        <v>97</v>
      </c>
      <c r="F409" s="15" t="s">
        <v>532</v>
      </c>
      <c r="G409" s="298"/>
      <c r="H409" s="10"/>
      <c r="I409" s="11"/>
      <c r="J409" s="11"/>
      <c r="K409" s="11"/>
      <c r="L409" s="11"/>
      <c r="M409" s="11"/>
      <c r="N409" s="11"/>
      <c r="O409" s="12"/>
      <c r="P409" s="11"/>
      <c r="Q409" s="13"/>
      <c r="R409" s="14"/>
    </row>
    <row r="410" spans="1:18" ht="15" customHeight="1" x14ac:dyDescent="0.3">
      <c r="A410" s="17" t="s">
        <v>41</v>
      </c>
      <c r="B410" s="17" t="s">
        <v>1037</v>
      </c>
      <c r="C410" s="18">
        <v>0.88888888888888884</v>
      </c>
      <c r="D410" s="17" t="s">
        <v>43</v>
      </c>
      <c r="E410" s="17" t="s">
        <v>353</v>
      </c>
      <c r="F410" s="17" t="s">
        <v>1093</v>
      </c>
      <c r="G410" s="298"/>
      <c r="H410" s="10"/>
      <c r="I410" s="11"/>
      <c r="J410" s="11"/>
      <c r="K410" s="11"/>
      <c r="L410" s="11"/>
      <c r="M410" s="11"/>
      <c r="N410" s="11"/>
      <c r="O410" s="12"/>
      <c r="P410" s="11"/>
      <c r="Q410" s="13"/>
      <c r="R410" s="14"/>
    </row>
    <row r="411" spans="1:18" ht="15" customHeight="1" x14ac:dyDescent="0.3">
      <c r="A411" s="15" t="s">
        <v>41</v>
      </c>
      <c r="B411" s="15" t="s">
        <v>1037</v>
      </c>
      <c r="C411" s="16">
        <v>0.88888888888888884</v>
      </c>
      <c r="D411" s="15" t="s">
        <v>45</v>
      </c>
      <c r="E411" s="15" t="s">
        <v>97</v>
      </c>
      <c r="F411" s="15" t="s">
        <v>1092</v>
      </c>
      <c r="G411" s="298"/>
      <c r="H411" s="10"/>
      <c r="I411" s="11"/>
      <c r="J411" s="11"/>
      <c r="K411" s="11"/>
      <c r="L411" s="11"/>
      <c r="M411" s="11"/>
      <c r="N411" s="11"/>
      <c r="O411" s="12"/>
      <c r="P411" s="11"/>
      <c r="Q411" s="13"/>
      <c r="R411" s="14"/>
    </row>
    <row r="412" spans="1:18" ht="15" customHeight="1" x14ac:dyDescent="0.3">
      <c r="A412" s="15" t="s">
        <v>41</v>
      </c>
      <c r="B412" s="15" t="s">
        <v>1037</v>
      </c>
      <c r="C412" s="16">
        <v>0.88888888888888884</v>
      </c>
      <c r="D412" s="15" t="s">
        <v>46</v>
      </c>
      <c r="E412" s="15" t="s">
        <v>97</v>
      </c>
      <c r="F412" s="15" t="s">
        <v>532</v>
      </c>
      <c r="G412" s="298"/>
      <c r="H412" s="10"/>
      <c r="I412" s="11"/>
      <c r="J412" s="11"/>
      <c r="K412" s="11"/>
      <c r="L412" s="11"/>
      <c r="M412" s="11"/>
      <c r="N412" s="11"/>
      <c r="O412" s="12"/>
      <c r="P412" s="11"/>
      <c r="Q412" s="13"/>
      <c r="R412" s="14"/>
    </row>
    <row r="413" spans="1:18" ht="15" customHeight="1" x14ac:dyDescent="0.3">
      <c r="A413" s="17" t="s">
        <v>41</v>
      </c>
      <c r="B413" s="17" t="s">
        <v>1040</v>
      </c>
      <c r="C413" s="18">
        <v>0.94444444444444453</v>
      </c>
      <c r="D413" s="17" t="s">
        <v>43</v>
      </c>
      <c r="E413" s="17" t="s">
        <v>454</v>
      </c>
      <c r="F413" s="17" t="s">
        <v>1093</v>
      </c>
      <c r="G413" s="298"/>
      <c r="H413" s="10"/>
      <c r="I413" s="11"/>
      <c r="J413" s="11"/>
      <c r="K413" s="11"/>
      <c r="L413" s="11"/>
      <c r="M413" s="11"/>
      <c r="N413" s="11"/>
      <c r="O413" s="12"/>
      <c r="P413" s="11"/>
      <c r="Q413" s="13"/>
      <c r="R413" s="14"/>
    </row>
    <row r="414" spans="1:18" ht="15" customHeight="1" x14ac:dyDescent="0.3">
      <c r="A414" s="15" t="s">
        <v>41</v>
      </c>
      <c r="B414" s="15" t="s">
        <v>1040</v>
      </c>
      <c r="C414" s="16">
        <v>0.94444444444444453</v>
      </c>
      <c r="D414" s="15" t="s">
        <v>45</v>
      </c>
      <c r="E414" s="15" t="s">
        <v>106</v>
      </c>
      <c r="F414" s="15" t="s">
        <v>1092</v>
      </c>
      <c r="G414" s="298"/>
      <c r="H414" s="10"/>
      <c r="I414" s="11"/>
      <c r="J414" s="11"/>
      <c r="K414" s="11"/>
      <c r="L414" s="11"/>
      <c r="M414" s="11"/>
      <c r="N414" s="11"/>
      <c r="O414" s="12"/>
      <c r="P414" s="11"/>
      <c r="Q414" s="13"/>
      <c r="R414" s="14"/>
    </row>
    <row r="415" spans="1:18" ht="15" customHeight="1" x14ac:dyDescent="0.3">
      <c r="A415" s="15" t="s">
        <v>41</v>
      </c>
      <c r="B415" s="15" t="s">
        <v>1040</v>
      </c>
      <c r="C415" s="16">
        <v>0.94444444444444453</v>
      </c>
      <c r="D415" s="15" t="s">
        <v>46</v>
      </c>
      <c r="E415" s="15" t="s">
        <v>106</v>
      </c>
      <c r="F415" s="15" t="s">
        <v>532</v>
      </c>
      <c r="G415" s="298"/>
      <c r="H415" s="10"/>
      <c r="I415" s="11"/>
      <c r="J415" s="11"/>
      <c r="K415" s="11"/>
      <c r="L415" s="11"/>
      <c r="M415" s="11"/>
      <c r="N415" s="11"/>
      <c r="O415" s="12"/>
      <c r="P415" s="11"/>
      <c r="Q415" s="13"/>
      <c r="R415" s="14"/>
    </row>
    <row r="416" spans="1:18" ht="15" customHeight="1" x14ac:dyDescent="0.3">
      <c r="A416" s="17" t="s">
        <v>41</v>
      </c>
      <c r="B416" s="17" t="s">
        <v>1034</v>
      </c>
      <c r="C416" s="18">
        <v>0.62847222222222221</v>
      </c>
      <c r="D416" s="17" t="s">
        <v>43</v>
      </c>
      <c r="E416" s="17" t="s">
        <v>37</v>
      </c>
      <c r="F416" s="17" t="s">
        <v>1028</v>
      </c>
      <c r="G416" s="298"/>
      <c r="H416" s="10"/>
      <c r="I416" s="11"/>
      <c r="J416" s="11"/>
      <c r="K416" s="11"/>
      <c r="L416" s="11"/>
      <c r="M416" s="11"/>
      <c r="N416" s="11"/>
      <c r="O416" s="12"/>
      <c r="P416" s="11"/>
      <c r="Q416" s="13"/>
      <c r="R416" s="14"/>
    </row>
    <row r="417" spans="1:18" ht="15" customHeight="1" x14ac:dyDescent="0.3">
      <c r="A417" s="15" t="s">
        <v>41</v>
      </c>
      <c r="B417" s="15" t="s">
        <v>1034</v>
      </c>
      <c r="C417" s="16">
        <v>0.62847222222222221</v>
      </c>
      <c r="D417" s="15" t="s">
        <v>45</v>
      </c>
      <c r="E417" s="15" t="s">
        <v>38</v>
      </c>
      <c r="F417" s="15" t="s">
        <v>33</v>
      </c>
      <c r="G417" s="298"/>
      <c r="H417" s="10"/>
      <c r="I417" s="11"/>
      <c r="J417" s="11"/>
      <c r="K417" s="11"/>
      <c r="L417" s="11"/>
      <c r="M417" s="11"/>
      <c r="N417" s="11"/>
      <c r="O417" s="12"/>
      <c r="P417" s="11"/>
      <c r="Q417" s="13"/>
      <c r="R417" s="14"/>
    </row>
    <row r="418" spans="1:18" ht="15" customHeight="1" x14ac:dyDescent="0.3">
      <c r="A418" s="15" t="s">
        <v>41</v>
      </c>
      <c r="B418" s="15" t="s">
        <v>1034</v>
      </c>
      <c r="C418" s="16">
        <v>0.62847222222222221</v>
      </c>
      <c r="D418" s="15" t="s">
        <v>46</v>
      </c>
      <c r="E418" s="15" t="s">
        <v>38</v>
      </c>
      <c r="F418" s="15" t="s">
        <v>532</v>
      </c>
      <c r="G418" s="298"/>
      <c r="H418" s="10"/>
      <c r="I418" s="11"/>
      <c r="J418" s="11"/>
      <c r="K418" s="11"/>
      <c r="L418" s="11"/>
      <c r="M418" s="11"/>
      <c r="N418" s="11"/>
      <c r="O418" s="12"/>
      <c r="P418" s="11"/>
      <c r="Q418" s="13"/>
      <c r="R418" s="14"/>
    </row>
    <row r="419" spans="1:18" ht="15" customHeight="1" x14ac:dyDescent="0.3">
      <c r="A419" s="19" t="s">
        <v>388</v>
      </c>
      <c r="B419" s="19" t="s">
        <v>1129</v>
      </c>
      <c r="C419" s="20">
        <v>5.2083333333333343E-2</v>
      </c>
      <c r="D419" s="19" t="s">
        <v>390</v>
      </c>
      <c r="E419" s="19" t="s">
        <v>138</v>
      </c>
      <c r="F419" s="19" t="s">
        <v>1130</v>
      </c>
      <c r="G419" s="298"/>
      <c r="H419" s="10"/>
      <c r="I419" s="11"/>
      <c r="J419" s="11"/>
      <c r="K419" s="11"/>
      <c r="L419" s="11"/>
      <c r="M419" s="11"/>
      <c r="N419" s="11"/>
      <c r="O419" s="12"/>
      <c r="P419" s="11"/>
      <c r="Q419" s="13"/>
      <c r="R419" s="14"/>
    </row>
    <row r="420" spans="1:18" ht="15" customHeight="1" x14ac:dyDescent="0.3">
      <c r="A420" s="15" t="s">
        <v>388</v>
      </c>
      <c r="B420" s="15" t="s">
        <v>1129</v>
      </c>
      <c r="C420" s="16">
        <v>5.2083333333333343E-2</v>
      </c>
      <c r="D420" s="15" t="s">
        <v>46</v>
      </c>
      <c r="E420" s="15" t="s">
        <v>38</v>
      </c>
      <c r="F420" s="15" t="s">
        <v>1131</v>
      </c>
      <c r="G420" s="298"/>
      <c r="H420" s="10"/>
      <c r="I420" s="11"/>
      <c r="J420" s="11"/>
      <c r="K420" s="11"/>
      <c r="L420" s="11"/>
      <c r="M420" s="11"/>
      <c r="N420" s="11"/>
      <c r="O420" s="12"/>
      <c r="P420" s="11"/>
      <c r="Q420" s="13"/>
      <c r="R420" s="14"/>
    </row>
    <row r="421" spans="1:18" ht="15" customHeight="1" x14ac:dyDescent="0.3">
      <c r="A421" s="164" t="s">
        <v>77</v>
      </c>
      <c r="B421" s="164" t="s">
        <v>1052</v>
      </c>
      <c r="C421" s="165">
        <v>0.41319444444444442</v>
      </c>
      <c r="D421" s="164" t="s">
        <v>101</v>
      </c>
      <c r="E421" s="164" t="s">
        <v>63</v>
      </c>
      <c r="F421" s="164" t="s">
        <v>779</v>
      </c>
      <c r="G421" s="298"/>
      <c r="H421" s="167" t="s">
        <v>1054</v>
      </c>
      <c r="I421" s="188">
        <v>0.43580000000000002</v>
      </c>
      <c r="J421" s="169">
        <v>78</v>
      </c>
      <c r="K421" s="170">
        <v>45980</v>
      </c>
      <c r="L421" s="169">
        <v>17</v>
      </c>
      <c r="M421" s="169">
        <v>1</v>
      </c>
      <c r="N421" s="169">
        <v>5</v>
      </c>
      <c r="O421" s="171" t="s">
        <v>422</v>
      </c>
      <c r="P421" s="172">
        <v>0.41319444444444442</v>
      </c>
      <c r="Q421" s="169">
        <v>179</v>
      </c>
      <c r="R421" s="173" t="s">
        <v>1132</v>
      </c>
    </row>
    <row r="422" spans="1:18" ht="15" customHeight="1" x14ac:dyDescent="0.3">
      <c r="A422" s="195" t="s">
        <v>77</v>
      </c>
      <c r="B422" s="195" t="s">
        <v>1085</v>
      </c>
      <c r="C422" s="196">
        <v>0.72569444444444453</v>
      </c>
      <c r="D422" s="195" t="s">
        <v>101</v>
      </c>
      <c r="E422" s="195" t="s">
        <v>54</v>
      </c>
      <c r="F422" s="195" t="s">
        <v>1133</v>
      </c>
      <c r="G422" s="298"/>
      <c r="H422" s="181" t="s">
        <v>1086</v>
      </c>
      <c r="I422" s="197">
        <v>0.57540000000000002</v>
      </c>
      <c r="J422" s="183">
        <v>103</v>
      </c>
      <c r="K422" s="184">
        <v>45980</v>
      </c>
      <c r="L422" s="183">
        <v>22</v>
      </c>
      <c r="M422" s="183">
        <v>12</v>
      </c>
      <c r="N422" s="183">
        <v>1</v>
      </c>
      <c r="O422" s="185" t="s">
        <v>381</v>
      </c>
      <c r="P422" s="186">
        <v>0.72569444444444453</v>
      </c>
      <c r="Q422" s="183">
        <v>179</v>
      </c>
      <c r="R422" s="187" t="s">
        <v>1134</v>
      </c>
    </row>
    <row r="423" spans="1:18" ht="15" customHeight="1" x14ac:dyDescent="0.3">
      <c r="A423" s="19" t="s">
        <v>458</v>
      </c>
      <c r="B423" s="19" t="s">
        <v>1048</v>
      </c>
      <c r="C423" s="20">
        <v>9.0277777777777776E-2</v>
      </c>
      <c r="D423" s="19" t="s">
        <v>101</v>
      </c>
      <c r="E423" s="19" t="s">
        <v>63</v>
      </c>
      <c r="F423" s="19" t="s">
        <v>1124</v>
      </c>
      <c r="G423" s="298"/>
      <c r="H423" s="10"/>
      <c r="I423" s="11"/>
      <c r="J423" s="11"/>
      <c r="K423" s="11"/>
      <c r="L423" s="11"/>
      <c r="M423" s="11"/>
      <c r="N423" s="11"/>
      <c r="O423" s="12"/>
      <c r="P423" s="11"/>
      <c r="Q423" s="13"/>
      <c r="R423" s="14"/>
    </row>
    <row r="424" spans="1:18" ht="15" customHeight="1" x14ac:dyDescent="0.3">
      <c r="A424" s="19" t="s">
        <v>385</v>
      </c>
      <c r="B424" s="19" t="s">
        <v>1046</v>
      </c>
      <c r="C424" s="20">
        <v>0.61458333333333337</v>
      </c>
      <c r="D424" s="19" t="s">
        <v>101</v>
      </c>
      <c r="E424" s="19" t="s">
        <v>118</v>
      </c>
      <c r="F424" s="19" t="s">
        <v>1135</v>
      </c>
      <c r="G424" s="298"/>
      <c r="H424" s="10"/>
      <c r="I424" s="11"/>
      <c r="J424" s="11"/>
      <c r="K424" s="11"/>
      <c r="L424" s="11"/>
      <c r="M424" s="11"/>
      <c r="N424" s="11"/>
      <c r="O424" s="12"/>
      <c r="P424" s="11"/>
      <c r="Q424" s="13"/>
      <c r="R424" s="14"/>
    </row>
    <row r="425" spans="1:18" ht="15" customHeight="1" x14ac:dyDescent="0.3">
      <c r="A425" s="19" t="s">
        <v>48</v>
      </c>
      <c r="B425" s="19" t="s">
        <v>1061</v>
      </c>
      <c r="C425" s="20">
        <v>0.34722222222222232</v>
      </c>
      <c r="D425" s="19" t="s">
        <v>50</v>
      </c>
      <c r="E425" s="19" t="s">
        <v>63</v>
      </c>
      <c r="F425" s="19" t="s">
        <v>1136</v>
      </c>
      <c r="G425" s="298"/>
      <c r="H425" s="10"/>
      <c r="I425" s="11"/>
      <c r="J425" s="11"/>
      <c r="K425" s="11"/>
      <c r="L425" s="11"/>
      <c r="M425" s="11"/>
      <c r="N425" s="11"/>
      <c r="O425" s="12"/>
      <c r="P425" s="11"/>
      <c r="Q425" s="13"/>
      <c r="R425" s="14"/>
    </row>
    <row r="426" spans="1:18" ht="15" customHeight="1" x14ac:dyDescent="0.3">
      <c r="A426" s="17" t="s">
        <v>48</v>
      </c>
      <c r="B426" s="17" t="s">
        <v>1059</v>
      </c>
      <c r="C426" s="18">
        <v>0.98263888888888884</v>
      </c>
      <c r="D426" s="17" t="s">
        <v>50</v>
      </c>
      <c r="E426" s="17" t="s">
        <v>54</v>
      </c>
      <c r="F426" s="17" t="s">
        <v>1137</v>
      </c>
      <c r="G426" s="298"/>
      <c r="H426" s="10"/>
      <c r="I426" s="11"/>
      <c r="J426" s="11"/>
      <c r="K426" s="11"/>
      <c r="L426" s="11"/>
      <c r="M426" s="11"/>
      <c r="N426" s="11"/>
      <c r="O426" s="12"/>
      <c r="P426" s="11"/>
      <c r="Q426" s="13"/>
      <c r="R426" s="14"/>
    </row>
    <row r="427" spans="1:18" ht="15" customHeight="1" x14ac:dyDescent="0.3">
      <c r="A427" s="17" t="s">
        <v>48</v>
      </c>
      <c r="B427" s="17" t="s">
        <v>1062</v>
      </c>
      <c r="C427" s="18">
        <v>0.72916666666666663</v>
      </c>
      <c r="D427" s="17" t="s">
        <v>50</v>
      </c>
      <c r="E427" s="17" t="s">
        <v>54</v>
      </c>
      <c r="F427" s="17" t="s">
        <v>1138</v>
      </c>
      <c r="G427" s="298"/>
      <c r="H427" s="10"/>
      <c r="I427" s="11"/>
      <c r="J427" s="11"/>
      <c r="K427" s="11"/>
      <c r="L427" s="11"/>
      <c r="M427" s="11"/>
      <c r="N427" s="11"/>
      <c r="O427" s="12"/>
      <c r="P427" s="11"/>
      <c r="Q427" s="13"/>
      <c r="R427" s="14"/>
    </row>
    <row r="428" spans="1:18" ht="15" customHeight="1" x14ac:dyDescent="0.3">
      <c r="A428" s="19" t="s">
        <v>60</v>
      </c>
      <c r="B428" s="19" t="s">
        <v>1071</v>
      </c>
      <c r="C428" s="20">
        <v>0.44444444444444442</v>
      </c>
      <c r="D428" s="19" t="s">
        <v>65</v>
      </c>
      <c r="E428" s="19" t="s">
        <v>63</v>
      </c>
      <c r="F428" s="19" t="s">
        <v>1072</v>
      </c>
      <c r="G428" s="298"/>
      <c r="H428" s="10"/>
      <c r="I428" s="11"/>
      <c r="J428" s="11"/>
      <c r="K428" s="11"/>
      <c r="L428" s="11"/>
      <c r="M428" s="11"/>
      <c r="N428" s="11"/>
      <c r="O428" s="12"/>
      <c r="P428" s="11"/>
      <c r="Q428" s="13"/>
      <c r="R428" s="14"/>
    </row>
    <row r="429" spans="1:18" ht="15" customHeight="1" x14ac:dyDescent="0.3">
      <c r="A429" s="17" t="s">
        <v>60</v>
      </c>
      <c r="B429" s="17" t="s">
        <v>1073</v>
      </c>
      <c r="C429" s="18">
        <v>0.82986111111111116</v>
      </c>
      <c r="D429" s="17" t="s">
        <v>65</v>
      </c>
      <c r="E429" s="17" t="s">
        <v>54</v>
      </c>
      <c r="F429" s="17" t="s">
        <v>1072</v>
      </c>
      <c r="G429" s="298"/>
      <c r="H429" s="10"/>
      <c r="I429" s="11"/>
      <c r="J429" s="11"/>
      <c r="K429" s="11"/>
      <c r="L429" s="11"/>
      <c r="M429" s="11"/>
      <c r="N429" s="11"/>
      <c r="O429" s="12"/>
      <c r="P429" s="11"/>
      <c r="Q429" s="13"/>
      <c r="R429" s="14"/>
    </row>
    <row r="430" spans="1:18" ht="15" customHeight="1" x14ac:dyDescent="0.3">
      <c r="A430" s="17" t="s">
        <v>60</v>
      </c>
      <c r="B430" s="17" t="s">
        <v>1074</v>
      </c>
      <c r="C430" s="18">
        <v>0.62847222222222221</v>
      </c>
      <c r="D430" s="17" t="s">
        <v>65</v>
      </c>
      <c r="E430" s="17" t="s">
        <v>54</v>
      </c>
      <c r="F430" s="17" t="s">
        <v>1072</v>
      </c>
      <c r="G430" s="298"/>
      <c r="H430" s="10"/>
      <c r="I430" s="11"/>
      <c r="J430" s="11"/>
      <c r="K430" s="11"/>
      <c r="L430" s="11"/>
      <c r="M430" s="11"/>
      <c r="N430" s="11"/>
      <c r="O430" s="12"/>
      <c r="P430" s="11"/>
      <c r="Q430" s="13"/>
      <c r="R430" s="14"/>
    </row>
    <row r="431" spans="1:18" ht="15" customHeight="1" x14ac:dyDescent="0.3">
      <c r="A431" s="17" t="s">
        <v>60</v>
      </c>
      <c r="B431" s="17" t="s">
        <v>1067</v>
      </c>
      <c r="C431" s="18">
        <v>0.88888888888888884</v>
      </c>
      <c r="D431" s="17" t="s">
        <v>65</v>
      </c>
      <c r="E431" s="17" t="s">
        <v>72</v>
      </c>
      <c r="F431" s="17" t="s">
        <v>1104</v>
      </c>
      <c r="G431" s="298"/>
      <c r="H431" s="10"/>
      <c r="I431" s="11"/>
      <c r="J431" s="11"/>
      <c r="K431" s="11"/>
      <c r="L431" s="11"/>
      <c r="M431" s="11"/>
      <c r="N431" s="11"/>
      <c r="O431" s="12"/>
      <c r="P431" s="11"/>
      <c r="Q431" s="13"/>
      <c r="R431" s="14"/>
    </row>
    <row r="432" spans="1:18" ht="15" customHeight="1" x14ac:dyDescent="0.3">
      <c r="A432" s="17" t="s">
        <v>60</v>
      </c>
      <c r="B432" s="17" t="s">
        <v>1070</v>
      </c>
      <c r="C432" s="18">
        <v>0.94444444444444453</v>
      </c>
      <c r="D432" s="17" t="s">
        <v>65</v>
      </c>
      <c r="E432" s="17" t="s">
        <v>72</v>
      </c>
      <c r="F432" s="17" t="s">
        <v>1104</v>
      </c>
      <c r="G432" s="298"/>
      <c r="H432" s="10"/>
      <c r="I432" s="11"/>
      <c r="J432" s="11"/>
      <c r="K432" s="11"/>
      <c r="L432" s="11"/>
      <c r="M432" s="11"/>
      <c r="N432" s="11"/>
      <c r="O432" s="12"/>
      <c r="P432" s="11"/>
      <c r="Q432" s="13"/>
      <c r="R432" s="14"/>
    </row>
    <row r="433" spans="1:18" ht="15" customHeight="1" x14ac:dyDescent="0.3">
      <c r="A433" s="17" t="s">
        <v>60</v>
      </c>
      <c r="B433" s="17" t="s">
        <v>1069</v>
      </c>
      <c r="C433" s="18">
        <v>0.62847222222222221</v>
      </c>
      <c r="D433" s="17" t="s">
        <v>65</v>
      </c>
      <c r="E433" s="17" t="s">
        <v>72</v>
      </c>
      <c r="F433" s="17" t="s">
        <v>1105</v>
      </c>
      <c r="G433" s="298"/>
      <c r="H433" s="10"/>
      <c r="I433" s="11"/>
      <c r="J433" s="11"/>
      <c r="K433" s="11"/>
      <c r="L433" s="11"/>
      <c r="M433" s="11"/>
      <c r="N433" s="11"/>
      <c r="O433" s="12"/>
      <c r="P433" s="11"/>
      <c r="Q433" s="13"/>
      <c r="R433" s="14"/>
    </row>
    <row r="434" spans="1:18" ht="15" customHeight="1" thickBot="1" x14ac:dyDescent="0.35">
      <c r="A434" s="39" t="s">
        <v>60</v>
      </c>
      <c r="B434" s="39" t="s">
        <v>1064</v>
      </c>
      <c r="C434" s="40">
        <v>0.98263888888888884</v>
      </c>
      <c r="D434" s="39" t="s">
        <v>65</v>
      </c>
      <c r="E434" s="39" t="s">
        <v>144</v>
      </c>
      <c r="F434" s="39" t="s">
        <v>1088</v>
      </c>
      <c r="G434" s="299"/>
      <c r="H434" s="41"/>
      <c r="I434" s="42"/>
      <c r="J434" s="42"/>
      <c r="K434" s="42"/>
      <c r="L434" s="42"/>
      <c r="M434" s="42"/>
      <c r="N434" s="42"/>
      <c r="O434" s="43"/>
      <c r="P434" s="42"/>
      <c r="Q434" s="44"/>
      <c r="R434" s="45"/>
    </row>
    <row r="435" spans="1:18" ht="17.399999999999999" customHeight="1" thickBot="1" x14ac:dyDescent="0.35">
      <c r="A435" s="329"/>
      <c r="B435" s="330"/>
      <c r="C435" s="330"/>
      <c r="D435" s="330"/>
      <c r="E435" s="330"/>
      <c r="F435" s="330"/>
      <c r="G435" s="330"/>
      <c r="H435" s="330"/>
      <c r="I435" s="330"/>
      <c r="J435" s="330"/>
      <c r="K435" s="330"/>
      <c r="L435" s="330"/>
      <c r="M435" s="330"/>
      <c r="N435" s="330"/>
      <c r="O435" s="330"/>
      <c r="P435" s="330"/>
      <c r="Q435" s="330"/>
      <c r="R435" s="331"/>
    </row>
    <row r="436" spans="1:18" ht="22.05" customHeight="1" thickTop="1" thickBot="1" x14ac:dyDescent="0.35">
      <c r="A436" s="300" t="s">
        <v>6</v>
      </c>
      <c r="B436" s="295"/>
      <c r="C436" s="295"/>
      <c r="D436" s="295"/>
      <c r="E436" s="295"/>
      <c r="F436" s="296"/>
      <c r="G436" s="31">
        <v>45988</v>
      </c>
      <c r="H436" s="294" t="s">
        <v>7</v>
      </c>
      <c r="I436" s="295"/>
      <c r="J436" s="295"/>
      <c r="K436" s="295"/>
      <c r="L436" s="295"/>
      <c r="M436" s="295"/>
      <c r="N436" s="295"/>
      <c r="O436" s="295"/>
      <c r="P436" s="295"/>
      <c r="Q436" s="295"/>
      <c r="R436" s="296"/>
    </row>
    <row r="437" spans="1:18" ht="24" customHeight="1" x14ac:dyDescent="0.3">
      <c r="A437" s="32" t="s">
        <v>8</v>
      </c>
      <c r="B437" s="32" t="s">
        <v>9</v>
      </c>
      <c r="C437" s="33" t="s">
        <v>10</v>
      </c>
      <c r="D437" s="32" t="s">
        <v>11</v>
      </c>
      <c r="E437" s="32" t="s">
        <v>12</v>
      </c>
      <c r="F437" s="34" t="s">
        <v>13</v>
      </c>
      <c r="G437" s="35" t="s">
        <v>14</v>
      </c>
      <c r="H437" s="32" t="s">
        <v>15</v>
      </c>
      <c r="I437" s="36" t="s">
        <v>16</v>
      </c>
      <c r="J437" s="37" t="s">
        <v>17</v>
      </c>
      <c r="K437" s="38" t="s">
        <v>18</v>
      </c>
      <c r="L437" s="37" t="s">
        <v>19</v>
      </c>
      <c r="M437" s="37" t="s">
        <v>20</v>
      </c>
      <c r="N437" s="37" t="s">
        <v>21</v>
      </c>
      <c r="O437" s="32" t="s">
        <v>22</v>
      </c>
      <c r="P437" s="33" t="s">
        <v>23</v>
      </c>
      <c r="Q437" s="37" t="s">
        <v>24</v>
      </c>
      <c r="R437" s="32" t="s">
        <v>25</v>
      </c>
    </row>
    <row r="438" spans="1:18" ht="15" customHeight="1" x14ac:dyDescent="0.3">
      <c r="A438" s="8" t="s">
        <v>41</v>
      </c>
      <c r="B438" s="8" t="s">
        <v>1037</v>
      </c>
      <c r="C438" s="9">
        <v>0.88888888888888884</v>
      </c>
      <c r="D438" s="8" t="s">
        <v>43</v>
      </c>
      <c r="E438" s="8" t="s">
        <v>111</v>
      </c>
      <c r="F438" s="8" t="s">
        <v>431</v>
      </c>
      <c r="G438" s="297"/>
      <c r="H438" s="10"/>
      <c r="I438" s="11"/>
      <c r="J438" s="11"/>
      <c r="K438" s="11"/>
      <c r="L438" s="11"/>
      <c r="M438" s="11"/>
      <c r="N438" s="11"/>
      <c r="O438" s="12"/>
      <c r="P438" s="11"/>
      <c r="Q438" s="13"/>
      <c r="R438" s="14"/>
    </row>
    <row r="439" spans="1:18" ht="15" customHeight="1" x14ac:dyDescent="0.3">
      <c r="A439" s="15" t="s">
        <v>41</v>
      </c>
      <c r="B439" s="15" t="s">
        <v>1037</v>
      </c>
      <c r="C439" s="16">
        <v>0.88888888888888884</v>
      </c>
      <c r="D439" s="15" t="s">
        <v>45</v>
      </c>
      <c r="E439" s="15" t="s">
        <v>115</v>
      </c>
      <c r="F439" s="15" t="s">
        <v>143</v>
      </c>
      <c r="G439" s="298"/>
      <c r="H439" s="10"/>
      <c r="I439" s="11"/>
      <c r="J439" s="11"/>
      <c r="K439" s="11"/>
      <c r="L439" s="11"/>
      <c r="M439" s="11"/>
      <c r="N439" s="11"/>
      <c r="O439" s="12"/>
      <c r="P439" s="11"/>
      <c r="Q439" s="13"/>
      <c r="R439" s="14"/>
    </row>
    <row r="440" spans="1:18" ht="15" customHeight="1" x14ac:dyDescent="0.3">
      <c r="A440" s="15" t="s">
        <v>41</v>
      </c>
      <c r="B440" s="15" t="s">
        <v>1037</v>
      </c>
      <c r="C440" s="16">
        <v>0.88888888888888884</v>
      </c>
      <c r="D440" s="15" t="s">
        <v>46</v>
      </c>
      <c r="E440" s="15" t="s">
        <v>115</v>
      </c>
      <c r="F440" s="15" t="s">
        <v>532</v>
      </c>
      <c r="G440" s="298"/>
      <c r="H440" s="10"/>
      <c r="I440" s="11"/>
      <c r="J440" s="11"/>
      <c r="K440" s="11"/>
      <c r="L440" s="11"/>
      <c r="M440" s="11"/>
      <c r="N440" s="11"/>
      <c r="O440" s="12"/>
      <c r="P440" s="11"/>
      <c r="Q440" s="13"/>
      <c r="R440" s="14"/>
    </row>
    <row r="441" spans="1:18" ht="15" customHeight="1" x14ac:dyDescent="0.3">
      <c r="A441" s="17" t="s">
        <v>41</v>
      </c>
      <c r="B441" s="17" t="s">
        <v>1030</v>
      </c>
      <c r="C441" s="18">
        <v>0.57638888888888895</v>
      </c>
      <c r="D441" s="17" t="s">
        <v>43</v>
      </c>
      <c r="E441" s="17" t="s">
        <v>58</v>
      </c>
      <c r="F441" s="17" t="s">
        <v>44</v>
      </c>
      <c r="G441" s="298"/>
      <c r="H441" s="10"/>
      <c r="I441" s="11"/>
      <c r="J441" s="11"/>
      <c r="K441" s="11"/>
      <c r="L441" s="11"/>
      <c r="M441" s="11"/>
      <c r="N441" s="11"/>
      <c r="O441" s="12"/>
      <c r="P441" s="11"/>
      <c r="Q441" s="13"/>
      <c r="R441" s="14"/>
    </row>
    <row r="442" spans="1:18" ht="15" customHeight="1" x14ac:dyDescent="0.3">
      <c r="A442" s="15" t="s">
        <v>41</v>
      </c>
      <c r="B442" s="15" t="s">
        <v>1030</v>
      </c>
      <c r="C442" s="16">
        <v>0.57638888888888895</v>
      </c>
      <c r="D442" s="15" t="s">
        <v>45</v>
      </c>
      <c r="E442" s="15" t="s">
        <v>119</v>
      </c>
      <c r="F442" s="15" t="s">
        <v>35</v>
      </c>
      <c r="G442" s="298"/>
      <c r="H442" s="10"/>
      <c r="I442" s="11"/>
      <c r="J442" s="11"/>
      <c r="K442" s="11"/>
      <c r="L442" s="11"/>
      <c r="M442" s="11"/>
      <c r="N442" s="11"/>
      <c r="O442" s="12"/>
      <c r="P442" s="11"/>
      <c r="Q442" s="13"/>
      <c r="R442" s="14"/>
    </row>
    <row r="443" spans="1:18" ht="15" customHeight="1" x14ac:dyDescent="0.3">
      <c r="A443" s="15" t="s">
        <v>41</v>
      </c>
      <c r="B443" s="15" t="s">
        <v>1030</v>
      </c>
      <c r="C443" s="16">
        <v>0.57638888888888895</v>
      </c>
      <c r="D443" s="15" t="s">
        <v>46</v>
      </c>
      <c r="E443" s="15" t="s">
        <v>119</v>
      </c>
      <c r="F443" s="15" t="s">
        <v>532</v>
      </c>
      <c r="G443" s="298"/>
      <c r="H443" s="10"/>
      <c r="I443" s="11"/>
      <c r="J443" s="11"/>
      <c r="K443" s="11"/>
      <c r="L443" s="11"/>
      <c r="M443" s="11"/>
      <c r="N443" s="11"/>
      <c r="O443" s="12"/>
      <c r="P443" s="11"/>
      <c r="Q443" s="13"/>
      <c r="R443" s="14"/>
    </row>
    <row r="444" spans="1:18" ht="15" customHeight="1" x14ac:dyDescent="0.3">
      <c r="A444" s="17" t="s">
        <v>41</v>
      </c>
      <c r="B444" s="17" t="s">
        <v>1040</v>
      </c>
      <c r="C444" s="18">
        <v>0.94444444444444453</v>
      </c>
      <c r="D444" s="17" t="s">
        <v>43</v>
      </c>
      <c r="E444" s="17" t="s">
        <v>454</v>
      </c>
      <c r="F444" s="17" t="s">
        <v>44</v>
      </c>
      <c r="G444" s="298"/>
      <c r="H444" s="10"/>
      <c r="I444" s="11"/>
      <c r="J444" s="11"/>
      <c r="K444" s="11"/>
      <c r="L444" s="11"/>
      <c r="M444" s="11"/>
      <c r="N444" s="11"/>
      <c r="O444" s="12"/>
      <c r="P444" s="11"/>
      <c r="Q444" s="13"/>
      <c r="R444" s="14"/>
    </row>
    <row r="445" spans="1:18" ht="15" customHeight="1" x14ac:dyDescent="0.3">
      <c r="A445" s="15" t="s">
        <v>41</v>
      </c>
      <c r="B445" s="15" t="s">
        <v>1040</v>
      </c>
      <c r="C445" s="16">
        <v>0.94444444444444453</v>
      </c>
      <c r="D445" s="15" t="s">
        <v>45</v>
      </c>
      <c r="E445" s="15" t="s">
        <v>106</v>
      </c>
      <c r="F445" s="15" t="s">
        <v>35</v>
      </c>
      <c r="G445" s="298"/>
      <c r="H445" s="10"/>
      <c r="I445" s="11"/>
      <c r="J445" s="11"/>
      <c r="K445" s="11"/>
      <c r="L445" s="11"/>
      <c r="M445" s="11"/>
      <c r="N445" s="11"/>
      <c r="O445" s="12"/>
      <c r="P445" s="11"/>
      <c r="Q445" s="13"/>
      <c r="R445" s="14"/>
    </row>
    <row r="446" spans="1:18" ht="15" customHeight="1" x14ac:dyDescent="0.3">
      <c r="A446" s="15" t="s">
        <v>41</v>
      </c>
      <c r="B446" s="15" t="s">
        <v>1040</v>
      </c>
      <c r="C446" s="16">
        <v>0.94444444444444453</v>
      </c>
      <c r="D446" s="15" t="s">
        <v>46</v>
      </c>
      <c r="E446" s="15" t="s">
        <v>106</v>
      </c>
      <c r="F446" s="15" t="s">
        <v>532</v>
      </c>
      <c r="G446" s="298"/>
      <c r="H446" s="10"/>
      <c r="I446" s="11"/>
      <c r="J446" s="11"/>
      <c r="K446" s="11"/>
      <c r="L446" s="11"/>
      <c r="M446" s="11"/>
      <c r="N446" s="11"/>
      <c r="O446" s="12"/>
      <c r="P446" s="11"/>
      <c r="Q446" s="13"/>
      <c r="R446" s="14"/>
    </row>
    <row r="447" spans="1:18" ht="15" customHeight="1" x14ac:dyDescent="0.3">
      <c r="A447" s="17" t="s">
        <v>41</v>
      </c>
      <c r="B447" s="17" t="s">
        <v>1034</v>
      </c>
      <c r="C447" s="18">
        <v>0.62847222222222221</v>
      </c>
      <c r="D447" s="17" t="s">
        <v>43</v>
      </c>
      <c r="E447" s="17" t="s">
        <v>353</v>
      </c>
      <c r="F447" s="17" t="s">
        <v>33</v>
      </c>
      <c r="G447" s="298"/>
      <c r="H447" s="10"/>
      <c r="I447" s="11"/>
      <c r="J447" s="11"/>
      <c r="K447" s="11"/>
      <c r="L447" s="11"/>
      <c r="M447" s="11"/>
      <c r="N447" s="11"/>
      <c r="O447" s="12"/>
      <c r="P447" s="11"/>
      <c r="Q447" s="13"/>
      <c r="R447" s="14"/>
    </row>
    <row r="448" spans="1:18" ht="15" customHeight="1" x14ac:dyDescent="0.3">
      <c r="A448" s="15" t="s">
        <v>41</v>
      </c>
      <c r="B448" s="15" t="s">
        <v>1034</v>
      </c>
      <c r="C448" s="16">
        <v>0.62847222222222221</v>
      </c>
      <c r="D448" s="15" t="s">
        <v>45</v>
      </c>
      <c r="E448" s="15" t="s">
        <v>97</v>
      </c>
      <c r="F448" s="15" t="s">
        <v>132</v>
      </c>
      <c r="G448" s="298"/>
      <c r="H448" s="10"/>
      <c r="I448" s="11"/>
      <c r="J448" s="11"/>
      <c r="K448" s="11"/>
      <c r="L448" s="11"/>
      <c r="M448" s="11"/>
      <c r="N448" s="11"/>
      <c r="O448" s="12"/>
      <c r="P448" s="11"/>
      <c r="Q448" s="13"/>
      <c r="R448" s="14"/>
    </row>
    <row r="449" spans="1:18" ht="15" customHeight="1" x14ac:dyDescent="0.3">
      <c r="A449" s="15" t="s">
        <v>41</v>
      </c>
      <c r="B449" s="15" t="s">
        <v>1034</v>
      </c>
      <c r="C449" s="16">
        <v>0.62847222222222221</v>
      </c>
      <c r="D449" s="15" t="s">
        <v>46</v>
      </c>
      <c r="E449" s="15" t="s">
        <v>97</v>
      </c>
      <c r="F449" s="15" t="s">
        <v>532</v>
      </c>
      <c r="G449" s="298"/>
      <c r="H449" s="10"/>
      <c r="I449" s="11"/>
      <c r="J449" s="11"/>
      <c r="K449" s="11"/>
      <c r="L449" s="11"/>
      <c r="M449" s="11"/>
      <c r="N449" s="11"/>
      <c r="O449" s="12"/>
      <c r="P449" s="11"/>
      <c r="Q449" s="13"/>
      <c r="R449" s="14"/>
    </row>
    <row r="450" spans="1:18" ht="15" customHeight="1" x14ac:dyDescent="0.3">
      <c r="A450" s="19" t="s">
        <v>26</v>
      </c>
      <c r="B450" s="19" t="s">
        <v>1026</v>
      </c>
      <c r="C450" s="20">
        <v>0.4375</v>
      </c>
      <c r="D450" s="19" t="s">
        <v>28</v>
      </c>
      <c r="E450" s="19" t="s">
        <v>138</v>
      </c>
      <c r="F450" s="19" t="s">
        <v>1092</v>
      </c>
      <c r="G450" s="298"/>
      <c r="H450" s="10"/>
      <c r="I450" s="11"/>
      <c r="J450" s="11"/>
      <c r="K450" s="11"/>
      <c r="L450" s="11"/>
      <c r="M450" s="11"/>
      <c r="N450" s="11"/>
      <c r="O450" s="12"/>
      <c r="P450" s="11"/>
      <c r="Q450" s="13"/>
      <c r="R450" s="14"/>
    </row>
    <row r="451" spans="1:18" ht="15" customHeight="1" x14ac:dyDescent="0.3">
      <c r="A451" s="15" t="s">
        <v>26</v>
      </c>
      <c r="B451" s="15" t="s">
        <v>1026</v>
      </c>
      <c r="C451" s="16">
        <v>0.4375</v>
      </c>
      <c r="D451" s="15" t="s">
        <v>31</v>
      </c>
      <c r="E451" s="15" t="s">
        <v>38</v>
      </c>
      <c r="F451" s="15" t="s">
        <v>456</v>
      </c>
      <c r="G451" s="298"/>
      <c r="H451" s="10"/>
      <c r="I451" s="11"/>
      <c r="J451" s="11"/>
      <c r="K451" s="11"/>
      <c r="L451" s="11"/>
      <c r="M451" s="11"/>
      <c r="N451" s="11"/>
      <c r="O451" s="12"/>
      <c r="P451" s="11"/>
      <c r="Q451" s="13"/>
      <c r="R451" s="14"/>
    </row>
    <row r="452" spans="1:18" ht="15" customHeight="1" x14ac:dyDescent="0.3">
      <c r="A452" s="15" t="s">
        <v>26</v>
      </c>
      <c r="B452" s="15" t="s">
        <v>1026</v>
      </c>
      <c r="C452" s="16">
        <v>0.4375</v>
      </c>
      <c r="D452" s="15" t="s">
        <v>34</v>
      </c>
      <c r="E452" s="15" t="s">
        <v>38</v>
      </c>
      <c r="F452" s="15" t="s">
        <v>478</v>
      </c>
      <c r="G452" s="298"/>
      <c r="H452" s="10"/>
      <c r="I452" s="11"/>
      <c r="J452" s="11"/>
      <c r="K452" s="11"/>
      <c r="L452" s="11"/>
      <c r="M452" s="11"/>
      <c r="N452" s="11"/>
      <c r="O452" s="12"/>
      <c r="P452" s="11"/>
      <c r="Q452" s="13"/>
      <c r="R452" s="14"/>
    </row>
    <row r="453" spans="1:18" ht="15" customHeight="1" x14ac:dyDescent="0.3">
      <c r="A453" s="17" t="s">
        <v>26</v>
      </c>
      <c r="B453" s="17" t="s">
        <v>1021</v>
      </c>
      <c r="C453" s="18">
        <v>0.63194444444444442</v>
      </c>
      <c r="D453" s="17" t="s">
        <v>28</v>
      </c>
      <c r="E453" s="17" t="s">
        <v>69</v>
      </c>
      <c r="F453" s="17" t="s">
        <v>1092</v>
      </c>
      <c r="G453" s="298"/>
      <c r="H453" s="10"/>
      <c r="I453" s="11"/>
      <c r="J453" s="11"/>
      <c r="K453" s="11"/>
      <c r="L453" s="11"/>
      <c r="M453" s="11"/>
      <c r="N453" s="11"/>
      <c r="O453" s="12"/>
      <c r="P453" s="11"/>
      <c r="Q453" s="13"/>
      <c r="R453" s="14"/>
    </row>
    <row r="454" spans="1:18" ht="15" customHeight="1" x14ac:dyDescent="0.3">
      <c r="A454" s="15" t="s">
        <v>26</v>
      </c>
      <c r="B454" s="15" t="s">
        <v>1021</v>
      </c>
      <c r="C454" s="16">
        <v>0.63194444444444442</v>
      </c>
      <c r="D454" s="15" t="s">
        <v>31</v>
      </c>
      <c r="E454" s="15" t="s">
        <v>87</v>
      </c>
      <c r="F454" s="15" t="s">
        <v>456</v>
      </c>
      <c r="G454" s="298"/>
      <c r="H454" s="10"/>
      <c r="I454" s="11"/>
      <c r="J454" s="11"/>
      <c r="K454" s="11"/>
      <c r="L454" s="11"/>
      <c r="M454" s="11"/>
      <c r="N454" s="11"/>
      <c r="O454" s="12"/>
      <c r="P454" s="11"/>
      <c r="Q454" s="13"/>
      <c r="R454" s="14"/>
    </row>
    <row r="455" spans="1:18" ht="15" customHeight="1" x14ac:dyDescent="0.3">
      <c r="A455" s="15" t="s">
        <v>26</v>
      </c>
      <c r="B455" s="15" t="s">
        <v>1021</v>
      </c>
      <c r="C455" s="16">
        <v>0.63194444444444442</v>
      </c>
      <c r="D455" s="15" t="s">
        <v>34</v>
      </c>
      <c r="E455" s="15" t="s">
        <v>87</v>
      </c>
      <c r="F455" s="15" t="s">
        <v>478</v>
      </c>
      <c r="G455" s="298"/>
      <c r="H455" s="10"/>
      <c r="I455" s="11"/>
      <c r="J455" s="11"/>
      <c r="K455" s="11"/>
      <c r="L455" s="11"/>
      <c r="M455" s="11"/>
      <c r="N455" s="11"/>
      <c r="O455" s="12"/>
      <c r="P455" s="11"/>
      <c r="Q455" s="13"/>
      <c r="R455" s="14"/>
    </row>
    <row r="456" spans="1:18" ht="15" customHeight="1" x14ac:dyDescent="0.3">
      <c r="A456" s="17" t="s">
        <v>26</v>
      </c>
      <c r="B456" s="17" t="s">
        <v>1029</v>
      </c>
      <c r="C456" s="18">
        <v>0.50694444444444442</v>
      </c>
      <c r="D456" s="17" t="s">
        <v>28</v>
      </c>
      <c r="E456" s="17" t="s">
        <v>37</v>
      </c>
      <c r="F456" s="17" t="s">
        <v>1092</v>
      </c>
      <c r="G456" s="298"/>
      <c r="H456" s="10"/>
      <c r="I456" s="11"/>
      <c r="J456" s="11"/>
      <c r="K456" s="11"/>
      <c r="L456" s="11"/>
      <c r="M456" s="11"/>
      <c r="N456" s="11"/>
      <c r="O456" s="12"/>
      <c r="P456" s="11"/>
      <c r="Q456" s="13"/>
      <c r="R456" s="14"/>
    </row>
    <row r="457" spans="1:18" ht="15" customHeight="1" x14ac:dyDescent="0.3">
      <c r="A457" s="15" t="s">
        <v>26</v>
      </c>
      <c r="B457" s="15" t="s">
        <v>1029</v>
      </c>
      <c r="C457" s="16">
        <v>0.50694444444444442</v>
      </c>
      <c r="D457" s="15" t="s">
        <v>31</v>
      </c>
      <c r="E457" s="15" t="s">
        <v>38</v>
      </c>
      <c r="F457" s="15" t="s">
        <v>456</v>
      </c>
      <c r="G457" s="298"/>
      <c r="H457" s="10"/>
      <c r="I457" s="11"/>
      <c r="J457" s="11"/>
      <c r="K457" s="11"/>
      <c r="L457" s="11"/>
      <c r="M457" s="11"/>
      <c r="N457" s="11"/>
      <c r="O457" s="12"/>
      <c r="P457" s="11"/>
      <c r="Q457" s="13"/>
      <c r="R457" s="14"/>
    </row>
    <row r="458" spans="1:18" ht="15" customHeight="1" x14ac:dyDescent="0.3">
      <c r="A458" s="15" t="s">
        <v>26</v>
      </c>
      <c r="B458" s="15" t="s">
        <v>1029</v>
      </c>
      <c r="C458" s="16">
        <v>0.50694444444444442</v>
      </c>
      <c r="D458" s="15" t="s">
        <v>34</v>
      </c>
      <c r="E458" s="15" t="s">
        <v>38</v>
      </c>
      <c r="F458" s="15" t="s">
        <v>478</v>
      </c>
      <c r="G458" s="298"/>
      <c r="H458" s="10"/>
      <c r="I458" s="11"/>
      <c r="J458" s="11"/>
      <c r="K458" s="11"/>
      <c r="L458" s="11"/>
      <c r="M458" s="11"/>
      <c r="N458" s="11"/>
      <c r="O458" s="12"/>
      <c r="P458" s="11"/>
      <c r="Q458" s="13"/>
      <c r="R458" s="14"/>
    </row>
    <row r="459" spans="1:18" ht="15" customHeight="1" x14ac:dyDescent="0.3">
      <c r="A459" s="17" t="s">
        <v>26</v>
      </c>
      <c r="B459" s="17" t="s">
        <v>1023</v>
      </c>
      <c r="C459" s="18">
        <v>0.55902777777777779</v>
      </c>
      <c r="D459" s="17" t="s">
        <v>28</v>
      </c>
      <c r="E459" s="17" t="s">
        <v>37</v>
      </c>
      <c r="F459" s="17" t="s">
        <v>95</v>
      </c>
      <c r="G459" s="298"/>
      <c r="H459" s="10"/>
      <c r="I459" s="11"/>
      <c r="J459" s="11"/>
      <c r="K459" s="11"/>
      <c r="L459" s="11"/>
      <c r="M459" s="11"/>
      <c r="N459" s="11"/>
      <c r="O459" s="12"/>
      <c r="P459" s="11"/>
      <c r="Q459" s="13"/>
      <c r="R459" s="14"/>
    </row>
    <row r="460" spans="1:18" ht="15" customHeight="1" x14ac:dyDescent="0.3">
      <c r="A460" s="15" t="s">
        <v>26</v>
      </c>
      <c r="B460" s="15" t="s">
        <v>1023</v>
      </c>
      <c r="C460" s="16">
        <v>0.55902777777777779</v>
      </c>
      <c r="D460" s="15" t="s">
        <v>31</v>
      </c>
      <c r="E460" s="15" t="s">
        <v>38</v>
      </c>
      <c r="F460" s="15" t="s">
        <v>89</v>
      </c>
      <c r="G460" s="298"/>
      <c r="H460" s="10"/>
      <c r="I460" s="11"/>
      <c r="J460" s="11"/>
      <c r="K460" s="11"/>
      <c r="L460" s="11"/>
      <c r="M460" s="11"/>
      <c r="N460" s="11"/>
      <c r="O460" s="12"/>
      <c r="P460" s="11"/>
      <c r="Q460" s="13"/>
      <c r="R460" s="14"/>
    </row>
    <row r="461" spans="1:18" ht="15" customHeight="1" x14ac:dyDescent="0.3">
      <c r="A461" s="15" t="s">
        <v>26</v>
      </c>
      <c r="B461" s="15" t="s">
        <v>1023</v>
      </c>
      <c r="C461" s="16">
        <v>0.55902777777777779</v>
      </c>
      <c r="D461" s="15" t="s">
        <v>34</v>
      </c>
      <c r="E461" s="15" t="s">
        <v>38</v>
      </c>
      <c r="F461" s="15" t="s">
        <v>150</v>
      </c>
      <c r="G461" s="298"/>
      <c r="H461" s="10"/>
      <c r="I461" s="11"/>
      <c r="J461" s="11"/>
      <c r="K461" s="11"/>
      <c r="L461" s="11"/>
      <c r="M461" s="11"/>
      <c r="N461" s="11"/>
      <c r="O461" s="12"/>
      <c r="P461" s="11"/>
      <c r="Q461" s="13"/>
      <c r="R461" s="14"/>
    </row>
    <row r="462" spans="1:18" ht="15" customHeight="1" x14ac:dyDescent="0.3">
      <c r="A462" s="17" t="s">
        <v>26</v>
      </c>
      <c r="B462" s="17" t="s">
        <v>1025</v>
      </c>
      <c r="C462" s="18">
        <v>0.69791666666666663</v>
      </c>
      <c r="D462" s="17" t="s">
        <v>28</v>
      </c>
      <c r="E462" s="17" t="s">
        <v>37</v>
      </c>
      <c r="F462" s="17" t="s">
        <v>95</v>
      </c>
      <c r="G462" s="298"/>
      <c r="H462" s="10"/>
      <c r="I462" s="11"/>
      <c r="J462" s="11"/>
      <c r="K462" s="11"/>
      <c r="L462" s="11"/>
      <c r="M462" s="11"/>
      <c r="N462" s="11"/>
      <c r="O462" s="12"/>
      <c r="P462" s="11"/>
      <c r="Q462" s="13"/>
      <c r="R462" s="14"/>
    </row>
    <row r="463" spans="1:18" ht="15" customHeight="1" x14ac:dyDescent="0.3">
      <c r="A463" s="15" t="s">
        <v>26</v>
      </c>
      <c r="B463" s="15" t="s">
        <v>1025</v>
      </c>
      <c r="C463" s="16">
        <v>0.69791666666666663</v>
      </c>
      <c r="D463" s="15" t="s">
        <v>31</v>
      </c>
      <c r="E463" s="15" t="s">
        <v>38</v>
      </c>
      <c r="F463" s="15" t="s">
        <v>89</v>
      </c>
      <c r="G463" s="298"/>
      <c r="H463" s="10"/>
      <c r="I463" s="11"/>
      <c r="J463" s="11"/>
      <c r="K463" s="11"/>
      <c r="L463" s="11"/>
      <c r="M463" s="11"/>
      <c r="N463" s="11"/>
      <c r="O463" s="12"/>
      <c r="P463" s="11"/>
      <c r="Q463" s="13"/>
      <c r="R463" s="14"/>
    </row>
    <row r="464" spans="1:18" ht="15" customHeight="1" x14ac:dyDescent="0.3">
      <c r="A464" s="15" t="s">
        <v>26</v>
      </c>
      <c r="B464" s="15" t="s">
        <v>1025</v>
      </c>
      <c r="C464" s="16">
        <v>0.69791666666666663</v>
      </c>
      <c r="D464" s="15" t="s">
        <v>34</v>
      </c>
      <c r="E464" s="15" t="s">
        <v>38</v>
      </c>
      <c r="F464" s="15" t="s">
        <v>150</v>
      </c>
      <c r="G464" s="298"/>
      <c r="H464" s="10"/>
      <c r="I464" s="11"/>
      <c r="J464" s="11"/>
      <c r="K464" s="11"/>
      <c r="L464" s="11"/>
      <c r="M464" s="11"/>
      <c r="N464" s="11"/>
      <c r="O464" s="12"/>
      <c r="P464" s="11"/>
      <c r="Q464" s="13"/>
      <c r="R464" s="14"/>
    </row>
    <row r="465" spans="1:18" ht="15" customHeight="1" x14ac:dyDescent="0.3">
      <c r="A465" s="17" t="s">
        <v>26</v>
      </c>
      <c r="B465" s="17" t="s">
        <v>1017</v>
      </c>
      <c r="C465" s="18">
        <v>0.95833333333333337</v>
      </c>
      <c r="D465" s="17" t="s">
        <v>28</v>
      </c>
      <c r="E465" s="17" t="s">
        <v>37</v>
      </c>
      <c r="F465" s="17" t="s">
        <v>493</v>
      </c>
      <c r="G465" s="298"/>
      <c r="H465" s="10"/>
      <c r="I465" s="11"/>
      <c r="J465" s="11"/>
      <c r="K465" s="11"/>
      <c r="L465" s="11"/>
      <c r="M465" s="11"/>
      <c r="N465" s="11"/>
      <c r="O465" s="12"/>
      <c r="P465" s="11"/>
      <c r="Q465" s="13"/>
      <c r="R465" s="14"/>
    </row>
    <row r="466" spans="1:18" ht="15" customHeight="1" x14ac:dyDescent="0.3">
      <c r="A466" s="15" t="s">
        <v>26</v>
      </c>
      <c r="B466" s="15" t="s">
        <v>1017</v>
      </c>
      <c r="C466" s="16">
        <v>0.95833333333333337</v>
      </c>
      <c r="D466" s="15" t="s">
        <v>31</v>
      </c>
      <c r="E466" s="15" t="s">
        <v>38</v>
      </c>
      <c r="F466" s="15" t="s">
        <v>47</v>
      </c>
      <c r="G466" s="298"/>
      <c r="H466" s="10"/>
      <c r="I466" s="11"/>
      <c r="J466" s="11"/>
      <c r="K466" s="11"/>
      <c r="L466" s="11"/>
      <c r="M466" s="11"/>
      <c r="N466" s="11"/>
      <c r="O466" s="12"/>
      <c r="P466" s="11"/>
      <c r="Q466" s="13"/>
      <c r="R466" s="14"/>
    </row>
    <row r="467" spans="1:18" ht="15" customHeight="1" x14ac:dyDescent="0.3">
      <c r="A467" s="15" t="s">
        <v>26</v>
      </c>
      <c r="B467" s="15" t="s">
        <v>1017</v>
      </c>
      <c r="C467" s="16">
        <v>0.95833333333333337</v>
      </c>
      <c r="D467" s="15" t="s">
        <v>34</v>
      </c>
      <c r="E467" s="15" t="s">
        <v>38</v>
      </c>
      <c r="F467" s="15" t="s">
        <v>1139</v>
      </c>
      <c r="G467" s="298"/>
      <c r="H467" s="10"/>
      <c r="I467" s="11"/>
      <c r="J467" s="11"/>
      <c r="K467" s="11"/>
      <c r="L467" s="11"/>
      <c r="M467" s="11"/>
      <c r="N467" s="11"/>
      <c r="O467" s="12"/>
      <c r="P467" s="11"/>
      <c r="Q467" s="13"/>
      <c r="R467" s="14"/>
    </row>
    <row r="468" spans="1:18" ht="15" customHeight="1" x14ac:dyDescent="0.3">
      <c r="A468" s="17" t="s">
        <v>26</v>
      </c>
      <c r="B468" s="17" t="s">
        <v>1024</v>
      </c>
      <c r="C468" s="18">
        <v>0.81944444444444453</v>
      </c>
      <c r="D468" s="17" t="s">
        <v>28</v>
      </c>
      <c r="E468" s="17" t="s">
        <v>353</v>
      </c>
      <c r="F468" s="17" t="s">
        <v>493</v>
      </c>
      <c r="G468" s="298"/>
      <c r="H468" s="10"/>
      <c r="I468" s="11"/>
      <c r="J468" s="11"/>
      <c r="K468" s="11"/>
      <c r="L468" s="11"/>
      <c r="M468" s="11"/>
      <c r="N468" s="11"/>
      <c r="O468" s="12"/>
      <c r="P468" s="11"/>
      <c r="Q468" s="13"/>
      <c r="R468" s="14"/>
    </row>
    <row r="469" spans="1:18" ht="15" customHeight="1" x14ac:dyDescent="0.3">
      <c r="A469" s="15" t="s">
        <v>26</v>
      </c>
      <c r="B469" s="15" t="s">
        <v>1024</v>
      </c>
      <c r="C469" s="16">
        <v>0.81944444444444453</v>
      </c>
      <c r="D469" s="15" t="s">
        <v>31</v>
      </c>
      <c r="E469" s="15" t="s">
        <v>97</v>
      </c>
      <c r="F469" s="15" t="s">
        <v>47</v>
      </c>
      <c r="G469" s="298"/>
      <c r="H469" s="10"/>
      <c r="I469" s="11"/>
      <c r="J469" s="11"/>
      <c r="K469" s="11"/>
      <c r="L469" s="11"/>
      <c r="M469" s="11"/>
      <c r="N469" s="11"/>
      <c r="O469" s="12"/>
      <c r="P469" s="11"/>
      <c r="Q469" s="13"/>
      <c r="R469" s="14"/>
    </row>
    <row r="470" spans="1:18" ht="15" customHeight="1" x14ac:dyDescent="0.3">
      <c r="A470" s="15" t="s">
        <v>26</v>
      </c>
      <c r="B470" s="15" t="s">
        <v>1024</v>
      </c>
      <c r="C470" s="16">
        <v>0.81944444444444453</v>
      </c>
      <c r="D470" s="15" t="s">
        <v>34</v>
      </c>
      <c r="E470" s="15" t="s">
        <v>97</v>
      </c>
      <c r="F470" s="15" t="s">
        <v>1139</v>
      </c>
      <c r="G470" s="298"/>
      <c r="H470" s="10"/>
      <c r="I470" s="11"/>
      <c r="J470" s="11"/>
      <c r="K470" s="11"/>
      <c r="L470" s="11"/>
      <c r="M470" s="11"/>
      <c r="N470" s="11"/>
      <c r="O470" s="12"/>
      <c r="P470" s="11"/>
      <c r="Q470" s="13"/>
      <c r="R470" s="14"/>
    </row>
    <row r="471" spans="1:18" ht="15" customHeight="1" x14ac:dyDescent="0.3">
      <c r="A471" s="164" t="s">
        <v>77</v>
      </c>
      <c r="B471" s="164" t="s">
        <v>1052</v>
      </c>
      <c r="C471" s="165">
        <v>0.41319444444444442</v>
      </c>
      <c r="D471" s="164" t="s">
        <v>101</v>
      </c>
      <c r="E471" s="164" t="s">
        <v>51</v>
      </c>
      <c r="F471" s="164" t="s">
        <v>1133</v>
      </c>
      <c r="G471" s="298"/>
      <c r="H471" s="167" t="s">
        <v>1054</v>
      </c>
      <c r="I471" s="188">
        <v>0.43020000000000003</v>
      </c>
      <c r="J471" s="169">
        <v>77</v>
      </c>
      <c r="K471" s="170">
        <v>45979</v>
      </c>
      <c r="L471" s="169">
        <v>14</v>
      </c>
      <c r="M471" s="169">
        <v>0</v>
      </c>
      <c r="N471" s="169">
        <v>2</v>
      </c>
      <c r="O471" s="171" t="s">
        <v>469</v>
      </c>
      <c r="P471" s="172">
        <v>0.41319444444444442</v>
      </c>
      <c r="Q471" s="169">
        <v>179</v>
      </c>
      <c r="R471" s="173" t="s">
        <v>1140</v>
      </c>
    </row>
    <row r="472" spans="1:18" ht="15" customHeight="1" x14ac:dyDescent="0.3">
      <c r="A472" s="19" t="s">
        <v>388</v>
      </c>
      <c r="B472" s="19" t="s">
        <v>1056</v>
      </c>
      <c r="C472" s="20">
        <v>0.4375</v>
      </c>
      <c r="D472" s="19" t="s">
        <v>390</v>
      </c>
      <c r="E472" s="19" t="s">
        <v>138</v>
      </c>
      <c r="F472" s="19" t="s">
        <v>1141</v>
      </c>
      <c r="G472" s="298"/>
      <c r="H472" s="10"/>
      <c r="I472" s="11"/>
      <c r="J472" s="11"/>
      <c r="K472" s="11"/>
      <c r="L472" s="11"/>
      <c r="M472" s="11"/>
      <c r="N472" s="11"/>
      <c r="O472" s="12"/>
      <c r="P472" s="11"/>
      <c r="Q472" s="13"/>
      <c r="R472" s="14"/>
    </row>
    <row r="473" spans="1:18" ht="15" customHeight="1" x14ac:dyDescent="0.3">
      <c r="A473" s="15" t="s">
        <v>388</v>
      </c>
      <c r="B473" s="15" t="s">
        <v>1056</v>
      </c>
      <c r="C473" s="16">
        <v>0.4375</v>
      </c>
      <c r="D473" s="15" t="s">
        <v>46</v>
      </c>
      <c r="E473" s="15" t="s">
        <v>38</v>
      </c>
      <c r="F473" s="15" t="s">
        <v>1142</v>
      </c>
      <c r="G473" s="298"/>
      <c r="H473" s="10"/>
      <c r="I473" s="11"/>
      <c r="J473" s="11"/>
      <c r="K473" s="11"/>
      <c r="L473" s="11"/>
      <c r="M473" s="11"/>
      <c r="N473" s="11"/>
      <c r="O473" s="12"/>
      <c r="P473" s="11"/>
      <c r="Q473" s="13"/>
      <c r="R473" s="14"/>
    </row>
    <row r="474" spans="1:18" ht="15" customHeight="1" x14ac:dyDescent="0.3">
      <c r="A474" s="19" t="s">
        <v>385</v>
      </c>
      <c r="B474" s="19" t="s">
        <v>1043</v>
      </c>
      <c r="C474" s="20">
        <v>0.1701388888888889</v>
      </c>
      <c r="D474" s="19" t="s">
        <v>101</v>
      </c>
      <c r="E474" s="19" t="s">
        <v>118</v>
      </c>
      <c r="F474" s="19" t="s">
        <v>1143</v>
      </c>
      <c r="G474" s="298"/>
      <c r="H474" s="10"/>
      <c r="I474" s="11"/>
      <c r="J474" s="11"/>
      <c r="K474" s="11"/>
      <c r="L474" s="11"/>
      <c r="M474" s="11"/>
      <c r="N474" s="11"/>
      <c r="O474" s="12"/>
      <c r="P474" s="11"/>
      <c r="Q474" s="13"/>
      <c r="R474" s="14"/>
    </row>
    <row r="475" spans="1:18" ht="15" customHeight="1" x14ac:dyDescent="0.3">
      <c r="A475" s="17" t="s">
        <v>385</v>
      </c>
      <c r="B475" s="17" t="s">
        <v>1046</v>
      </c>
      <c r="C475" s="18">
        <v>0.67361111111111116</v>
      </c>
      <c r="D475" s="17" t="s">
        <v>101</v>
      </c>
      <c r="E475" s="17" t="s">
        <v>121</v>
      </c>
      <c r="F475" s="17" t="s">
        <v>441</v>
      </c>
      <c r="G475" s="298"/>
      <c r="H475" s="10"/>
      <c r="I475" s="11"/>
      <c r="J475" s="11"/>
      <c r="K475" s="11"/>
      <c r="L475" s="11"/>
      <c r="M475" s="11"/>
      <c r="N475" s="11"/>
      <c r="O475" s="12"/>
      <c r="P475" s="11"/>
      <c r="Q475" s="13"/>
      <c r="R475" s="14"/>
    </row>
    <row r="476" spans="1:18" ht="15" customHeight="1" x14ac:dyDescent="0.3">
      <c r="A476" s="19" t="s">
        <v>458</v>
      </c>
      <c r="B476" s="19" t="s">
        <v>1050</v>
      </c>
      <c r="C476" s="20">
        <v>0.69097222222222221</v>
      </c>
      <c r="D476" s="19" t="s">
        <v>101</v>
      </c>
      <c r="E476" s="19" t="s">
        <v>51</v>
      </c>
      <c r="F476" s="19" t="s">
        <v>1144</v>
      </c>
      <c r="G476" s="298"/>
      <c r="H476" s="10"/>
      <c r="I476" s="11"/>
      <c r="J476" s="11"/>
      <c r="K476" s="11"/>
      <c r="L476" s="11"/>
      <c r="M476" s="11"/>
      <c r="N476" s="11"/>
      <c r="O476" s="12"/>
      <c r="P476" s="11"/>
      <c r="Q476" s="13"/>
      <c r="R476" s="14"/>
    </row>
    <row r="477" spans="1:18" ht="15" customHeight="1" x14ac:dyDescent="0.3">
      <c r="A477" s="19" t="s">
        <v>60</v>
      </c>
      <c r="B477" s="19" t="s">
        <v>1071</v>
      </c>
      <c r="C477" s="20">
        <v>0.44444444444444442</v>
      </c>
      <c r="D477" s="19" t="s">
        <v>65</v>
      </c>
      <c r="E477" s="19" t="s">
        <v>85</v>
      </c>
      <c r="F477" s="19" t="s">
        <v>1145</v>
      </c>
      <c r="G477" s="298"/>
      <c r="H477" s="10"/>
      <c r="I477" s="11"/>
      <c r="J477" s="11"/>
      <c r="K477" s="11"/>
      <c r="L477" s="11"/>
      <c r="M477" s="11"/>
      <c r="N477" s="11"/>
      <c r="O477" s="12"/>
      <c r="P477" s="11"/>
      <c r="Q477" s="13"/>
      <c r="R477" s="14"/>
    </row>
    <row r="478" spans="1:18" ht="15" customHeight="1" x14ac:dyDescent="0.3">
      <c r="A478" s="17" t="s">
        <v>60</v>
      </c>
      <c r="B478" s="17" t="s">
        <v>1073</v>
      </c>
      <c r="C478" s="18">
        <v>0.82986111111111116</v>
      </c>
      <c r="D478" s="17" t="s">
        <v>65</v>
      </c>
      <c r="E478" s="17" t="s">
        <v>54</v>
      </c>
      <c r="F478" s="17" t="s">
        <v>1145</v>
      </c>
      <c r="G478" s="298"/>
      <c r="H478" s="10"/>
      <c r="I478" s="11"/>
      <c r="J478" s="11"/>
      <c r="K478" s="11"/>
      <c r="L478" s="11"/>
      <c r="M478" s="11"/>
      <c r="N478" s="11"/>
      <c r="O478" s="12"/>
      <c r="P478" s="11"/>
      <c r="Q478" s="13"/>
      <c r="R478" s="14"/>
    </row>
    <row r="479" spans="1:18" ht="15" customHeight="1" x14ac:dyDescent="0.3">
      <c r="A479" s="17" t="s">
        <v>60</v>
      </c>
      <c r="B479" s="17" t="s">
        <v>1064</v>
      </c>
      <c r="C479" s="18">
        <v>0.98263888888888884</v>
      </c>
      <c r="D479" s="17" t="s">
        <v>65</v>
      </c>
      <c r="E479" s="17" t="s">
        <v>54</v>
      </c>
      <c r="F479" s="17" t="s">
        <v>1145</v>
      </c>
      <c r="G479" s="298"/>
      <c r="H479" s="10"/>
      <c r="I479" s="11"/>
      <c r="J479" s="11"/>
      <c r="K479" s="11"/>
      <c r="L479" s="11"/>
      <c r="M479" s="11"/>
      <c r="N479" s="11"/>
      <c r="O479" s="12"/>
      <c r="P479" s="11"/>
      <c r="Q479" s="13"/>
      <c r="R479" s="14"/>
    </row>
    <row r="480" spans="1:18" ht="15" customHeight="1" x14ac:dyDescent="0.3">
      <c r="A480" s="17" t="s">
        <v>60</v>
      </c>
      <c r="B480" s="17" t="s">
        <v>1074</v>
      </c>
      <c r="C480" s="18">
        <v>0.62847222222222221</v>
      </c>
      <c r="D480" s="17" t="s">
        <v>65</v>
      </c>
      <c r="E480" s="17" t="s">
        <v>54</v>
      </c>
      <c r="F480" s="17" t="s">
        <v>1145</v>
      </c>
      <c r="G480" s="298"/>
      <c r="H480" s="10"/>
      <c r="I480" s="11"/>
      <c r="J480" s="11"/>
      <c r="K480" s="11"/>
      <c r="L480" s="11"/>
      <c r="M480" s="11"/>
      <c r="N480" s="11"/>
      <c r="O480" s="12"/>
      <c r="P480" s="11"/>
      <c r="Q480" s="13"/>
      <c r="R480" s="14"/>
    </row>
    <row r="481" spans="1:18" ht="15" customHeight="1" x14ac:dyDescent="0.3">
      <c r="A481" s="17" t="s">
        <v>60</v>
      </c>
      <c r="B481" s="17" t="s">
        <v>1067</v>
      </c>
      <c r="C481" s="18">
        <v>0.88888888888888884</v>
      </c>
      <c r="D481" s="17" t="s">
        <v>65</v>
      </c>
      <c r="E481" s="17" t="s">
        <v>72</v>
      </c>
      <c r="F481" s="17" t="s">
        <v>1146</v>
      </c>
      <c r="G481" s="298"/>
      <c r="H481" s="10"/>
      <c r="I481" s="11"/>
      <c r="J481" s="11"/>
      <c r="K481" s="11"/>
      <c r="L481" s="11"/>
      <c r="M481" s="11"/>
      <c r="N481" s="11"/>
      <c r="O481" s="12"/>
      <c r="P481" s="11"/>
      <c r="Q481" s="13"/>
      <c r="R481" s="14"/>
    </row>
    <row r="482" spans="1:18" ht="15" customHeight="1" x14ac:dyDescent="0.3">
      <c r="A482" s="17" t="s">
        <v>60</v>
      </c>
      <c r="B482" s="17" t="s">
        <v>1070</v>
      </c>
      <c r="C482" s="18">
        <v>0.94444444444444453</v>
      </c>
      <c r="D482" s="17" t="s">
        <v>65</v>
      </c>
      <c r="E482" s="17" t="s">
        <v>72</v>
      </c>
      <c r="F482" s="17" t="s">
        <v>1146</v>
      </c>
      <c r="G482" s="298"/>
      <c r="H482" s="10"/>
      <c r="I482" s="11"/>
      <c r="J482" s="11"/>
      <c r="K482" s="11"/>
      <c r="L482" s="11"/>
      <c r="M482" s="11"/>
      <c r="N482" s="11"/>
      <c r="O482" s="12"/>
      <c r="P482" s="11"/>
      <c r="Q482" s="13"/>
      <c r="R482" s="14"/>
    </row>
    <row r="483" spans="1:18" ht="15" customHeight="1" x14ac:dyDescent="0.3">
      <c r="A483" s="17" t="s">
        <v>60</v>
      </c>
      <c r="B483" s="17" t="s">
        <v>1069</v>
      </c>
      <c r="C483" s="18">
        <v>0.62847222222222221</v>
      </c>
      <c r="D483" s="17" t="s">
        <v>65</v>
      </c>
      <c r="E483" s="17" t="s">
        <v>72</v>
      </c>
      <c r="F483" s="17" t="s">
        <v>1147</v>
      </c>
      <c r="G483" s="298"/>
      <c r="H483" s="10"/>
      <c r="I483" s="11"/>
      <c r="J483" s="11"/>
      <c r="K483" s="11"/>
      <c r="L483" s="11"/>
      <c r="M483" s="11"/>
      <c r="N483" s="11"/>
      <c r="O483" s="12"/>
      <c r="P483" s="11"/>
      <c r="Q483" s="13"/>
      <c r="R483" s="14"/>
    </row>
    <row r="484" spans="1:18" ht="15" customHeight="1" x14ac:dyDescent="0.3">
      <c r="A484" s="19" t="s">
        <v>48</v>
      </c>
      <c r="B484" s="19" t="s">
        <v>1061</v>
      </c>
      <c r="C484" s="20">
        <v>0.35416666666666669</v>
      </c>
      <c r="D484" s="19" t="s">
        <v>50</v>
      </c>
      <c r="E484" s="19" t="s">
        <v>63</v>
      </c>
      <c r="F484" s="19" t="s">
        <v>1148</v>
      </c>
      <c r="G484" s="298"/>
      <c r="H484" s="10"/>
      <c r="I484" s="11"/>
      <c r="J484" s="11"/>
      <c r="K484" s="11"/>
      <c r="L484" s="11"/>
      <c r="M484" s="11"/>
      <c r="N484" s="11"/>
      <c r="O484" s="12"/>
      <c r="P484" s="11"/>
      <c r="Q484" s="13"/>
      <c r="R484" s="14"/>
    </row>
    <row r="485" spans="1:18" ht="15" customHeight="1" x14ac:dyDescent="0.3">
      <c r="A485" s="17" t="s">
        <v>48</v>
      </c>
      <c r="B485" s="17" t="s">
        <v>1062</v>
      </c>
      <c r="C485" s="18">
        <v>0.72916666666666663</v>
      </c>
      <c r="D485" s="17" t="s">
        <v>50</v>
      </c>
      <c r="E485" s="17" t="s">
        <v>54</v>
      </c>
      <c r="F485" s="17" t="s">
        <v>1137</v>
      </c>
      <c r="G485" s="298"/>
      <c r="H485" s="10"/>
      <c r="I485" s="11"/>
      <c r="J485" s="11"/>
      <c r="K485" s="11"/>
      <c r="L485" s="11"/>
      <c r="M485" s="11"/>
      <c r="N485" s="11"/>
      <c r="O485" s="12"/>
      <c r="P485" s="11"/>
      <c r="Q485" s="13"/>
      <c r="R485" s="14"/>
    </row>
    <row r="486" spans="1:18" ht="15" customHeight="1" thickBot="1" x14ac:dyDescent="0.35">
      <c r="A486" s="39" t="s">
        <v>48</v>
      </c>
      <c r="B486" s="39" t="s">
        <v>1059</v>
      </c>
      <c r="C486" s="40">
        <v>0.98263888888888884</v>
      </c>
      <c r="D486" s="39" t="s">
        <v>50</v>
      </c>
      <c r="E486" s="39" t="s">
        <v>54</v>
      </c>
      <c r="F486" s="39" t="s">
        <v>1138</v>
      </c>
      <c r="G486" s="299"/>
      <c r="H486" s="41"/>
      <c r="I486" s="42"/>
      <c r="J486" s="42"/>
      <c r="K486" s="42"/>
      <c r="L486" s="42"/>
      <c r="M486" s="42"/>
      <c r="N486" s="42"/>
      <c r="O486" s="43"/>
      <c r="P486" s="42"/>
      <c r="Q486" s="44"/>
      <c r="R486" s="45"/>
    </row>
    <row r="487" spans="1:18" ht="17.399999999999999" customHeight="1" thickBot="1" x14ac:dyDescent="0.35">
      <c r="A487" s="329"/>
      <c r="B487" s="330"/>
      <c r="C487" s="330"/>
      <c r="D487" s="330"/>
      <c r="E487" s="330"/>
      <c r="F487" s="330"/>
      <c r="G487" s="330"/>
      <c r="H487" s="330"/>
      <c r="I487" s="330"/>
      <c r="J487" s="330"/>
      <c r="K487" s="330"/>
      <c r="L487" s="330"/>
      <c r="M487" s="330"/>
      <c r="N487" s="330"/>
      <c r="O487" s="330"/>
      <c r="P487" s="330"/>
      <c r="Q487" s="330"/>
      <c r="R487" s="331"/>
    </row>
    <row r="488" spans="1:18" ht="22.05" customHeight="1" thickTop="1" thickBot="1" x14ac:dyDescent="0.35">
      <c r="A488" s="300" t="s">
        <v>6</v>
      </c>
      <c r="B488" s="295"/>
      <c r="C488" s="295"/>
      <c r="D488" s="295"/>
      <c r="E488" s="295"/>
      <c r="F488" s="296"/>
      <c r="G488" s="31">
        <v>45989</v>
      </c>
      <c r="H488" s="294" t="s">
        <v>7</v>
      </c>
      <c r="I488" s="295"/>
      <c r="J488" s="295"/>
      <c r="K488" s="295"/>
      <c r="L488" s="295"/>
      <c r="M488" s="295"/>
      <c r="N488" s="295"/>
      <c r="O488" s="295"/>
      <c r="P488" s="295"/>
      <c r="Q488" s="295"/>
      <c r="R488" s="296"/>
    </row>
    <row r="489" spans="1:18" ht="24" customHeight="1" x14ac:dyDescent="0.3">
      <c r="A489" s="32" t="s">
        <v>8</v>
      </c>
      <c r="B489" s="32" t="s">
        <v>9</v>
      </c>
      <c r="C489" s="33" t="s">
        <v>10</v>
      </c>
      <c r="D489" s="32" t="s">
        <v>11</v>
      </c>
      <c r="E489" s="32" t="s">
        <v>12</v>
      </c>
      <c r="F489" s="34" t="s">
        <v>13</v>
      </c>
      <c r="G489" s="35" t="s">
        <v>14</v>
      </c>
      <c r="H489" s="32" t="s">
        <v>15</v>
      </c>
      <c r="I489" s="36" t="s">
        <v>16</v>
      </c>
      <c r="J489" s="37" t="s">
        <v>17</v>
      </c>
      <c r="K489" s="38" t="s">
        <v>18</v>
      </c>
      <c r="L489" s="37" t="s">
        <v>19</v>
      </c>
      <c r="M489" s="37" t="s">
        <v>20</v>
      </c>
      <c r="N489" s="37" t="s">
        <v>21</v>
      </c>
      <c r="O489" s="32" t="s">
        <v>22</v>
      </c>
      <c r="P489" s="33" t="s">
        <v>23</v>
      </c>
      <c r="Q489" s="37" t="s">
        <v>24</v>
      </c>
      <c r="R489" s="32" t="s">
        <v>25</v>
      </c>
    </row>
    <row r="490" spans="1:18" ht="15" customHeight="1" x14ac:dyDescent="0.3">
      <c r="A490" s="8" t="s">
        <v>41</v>
      </c>
      <c r="B490" s="8" t="s">
        <v>1030</v>
      </c>
      <c r="C490" s="9">
        <v>0.57638888888888895</v>
      </c>
      <c r="D490" s="8" t="s">
        <v>337</v>
      </c>
      <c r="E490" s="8" t="s">
        <v>105</v>
      </c>
      <c r="F490" s="8" t="s">
        <v>154</v>
      </c>
      <c r="G490" s="297"/>
      <c r="H490" s="10"/>
      <c r="I490" s="11"/>
      <c r="J490" s="11"/>
      <c r="K490" s="11"/>
      <c r="L490" s="11"/>
      <c r="M490" s="11"/>
      <c r="N490" s="11"/>
      <c r="O490" s="12"/>
      <c r="P490" s="11"/>
      <c r="Q490" s="13"/>
      <c r="R490" s="14"/>
    </row>
    <row r="491" spans="1:18" ht="15" customHeight="1" x14ac:dyDescent="0.3">
      <c r="A491" s="17" t="s">
        <v>41</v>
      </c>
      <c r="B491" s="17" t="s">
        <v>1034</v>
      </c>
      <c r="C491" s="18">
        <v>0.62847222222222221</v>
      </c>
      <c r="D491" s="17" t="s">
        <v>337</v>
      </c>
      <c r="E491" s="17" t="s">
        <v>455</v>
      </c>
      <c r="F491" s="17" t="s">
        <v>154</v>
      </c>
      <c r="G491" s="298"/>
      <c r="H491" s="10"/>
      <c r="I491" s="11"/>
      <c r="J491" s="11"/>
      <c r="K491" s="11"/>
      <c r="L491" s="11"/>
      <c r="M491" s="11"/>
      <c r="N491" s="11"/>
      <c r="O491" s="12"/>
      <c r="P491" s="11"/>
      <c r="Q491" s="13"/>
      <c r="R491" s="14"/>
    </row>
    <row r="492" spans="1:18" ht="15" customHeight="1" x14ac:dyDescent="0.3">
      <c r="A492" s="17" t="s">
        <v>41</v>
      </c>
      <c r="B492" s="17" t="s">
        <v>1037</v>
      </c>
      <c r="C492" s="18">
        <v>0.88888888888888884</v>
      </c>
      <c r="D492" s="17" t="s">
        <v>337</v>
      </c>
      <c r="E492" s="17" t="s">
        <v>144</v>
      </c>
      <c r="F492" s="17" t="s">
        <v>123</v>
      </c>
      <c r="G492" s="298"/>
      <c r="H492" s="10"/>
      <c r="I492" s="11"/>
      <c r="J492" s="11"/>
      <c r="K492" s="11"/>
      <c r="L492" s="11"/>
      <c r="M492" s="11"/>
      <c r="N492" s="11"/>
      <c r="O492" s="12"/>
      <c r="P492" s="11"/>
      <c r="Q492" s="13"/>
      <c r="R492" s="14"/>
    </row>
    <row r="493" spans="1:18" ht="15" customHeight="1" x14ac:dyDescent="0.3">
      <c r="A493" s="17" t="s">
        <v>41</v>
      </c>
      <c r="B493" s="17" t="s">
        <v>1040</v>
      </c>
      <c r="C493" s="18">
        <v>0.94444444444444453</v>
      </c>
      <c r="D493" s="17" t="s">
        <v>337</v>
      </c>
      <c r="E493" s="17" t="s">
        <v>121</v>
      </c>
      <c r="F493" s="17" t="s">
        <v>123</v>
      </c>
      <c r="G493" s="298"/>
      <c r="H493" s="10"/>
      <c r="I493" s="11"/>
      <c r="J493" s="11"/>
      <c r="K493" s="11"/>
      <c r="L493" s="11"/>
      <c r="M493" s="11"/>
      <c r="N493" s="11"/>
      <c r="O493" s="12"/>
      <c r="P493" s="11"/>
      <c r="Q493" s="13"/>
      <c r="R493" s="14"/>
    </row>
    <row r="494" spans="1:18" ht="15" customHeight="1" x14ac:dyDescent="0.3">
      <c r="A494" s="19" t="s">
        <v>26</v>
      </c>
      <c r="B494" s="19" t="s">
        <v>1026</v>
      </c>
      <c r="C494" s="20">
        <v>0.4375</v>
      </c>
      <c r="D494" s="19" t="s">
        <v>351</v>
      </c>
      <c r="E494" s="19" t="s">
        <v>118</v>
      </c>
      <c r="F494" s="19" t="s">
        <v>149</v>
      </c>
      <c r="G494" s="298"/>
      <c r="H494" s="10"/>
      <c r="I494" s="11"/>
      <c r="J494" s="11"/>
      <c r="K494" s="11"/>
      <c r="L494" s="11"/>
      <c r="M494" s="11"/>
      <c r="N494" s="11"/>
      <c r="O494" s="12"/>
      <c r="P494" s="11"/>
      <c r="Q494" s="13"/>
      <c r="R494" s="14"/>
    </row>
    <row r="495" spans="1:18" ht="15" customHeight="1" x14ac:dyDescent="0.3">
      <c r="A495" s="17" t="s">
        <v>26</v>
      </c>
      <c r="B495" s="17" t="s">
        <v>1021</v>
      </c>
      <c r="C495" s="18">
        <v>0.63194444444444442</v>
      </c>
      <c r="D495" s="17" t="s">
        <v>351</v>
      </c>
      <c r="E495" s="17" t="s">
        <v>75</v>
      </c>
      <c r="F495" s="17" t="s">
        <v>149</v>
      </c>
      <c r="G495" s="298"/>
      <c r="H495" s="10"/>
      <c r="I495" s="11"/>
      <c r="J495" s="11"/>
      <c r="K495" s="11"/>
      <c r="L495" s="11"/>
      <c r="M495" s="11"/>
      <c r="N495" s="11"/>
      <c r="O495" s="12"/>
      <c r="P495" s="11"/>
      <c r="Q495" s="13"/>
      <c r="R495" s="14"/>
    </row>
    <row r="496" spans="1:18" ht="15" customHeight="1" x14ac:dyDescent="0.3">
      <c r="A496" s="17" t="s">
        <v>26</v>
      </c>
      <c r="B496" s="17" t="s">
        <v>1017</v>
      </c>
      <c r="C496" s="18">
        <v>0.95833333333333337</v>
      </c>
      <c r="D496" s="17" t="s">
        <v>351</v>
      </c>
      <c r="E496" s="17" t="s">
        <v>37</v>
      </c>
      <c r="F496" s="17" t="s">
        <v>150</v>
      </c>
      <c r="G496" s="298"/>
      <c r="H496" s="10"/>
      <c r="I496" s="11"/>
      <c r="J496" s="11"/>
      <c r="K496" s="11"/>
      <c r="L496" s="11"/>
      <c r="M496" s="11"/>
      <c r="N496" s="11"/>
      <c r="O496" s="12"/>
      <c r="P496" s="11"/>
      <c r="Q496" s="13"/>
      <c r="R496" s="14"/>
    </row>
    <row r="497" spans="1:18" ht="15" customHeight="1" x14ac:dyDescent="0.3">
      <c r="A497" s="17" t="s">
        <v>26</v>
      </c>
      <c r="B497" s="17" t="s">
        <v>1023</v>
      </c>
      <c r="C497" s="18">
        <v>0.55902777777777779</v>
      </c>
      <c r="D497" s="17" t="s">
        <v>351</v>
      </c>
      <c r="E497" s="17" t="s">
        <v>37</v>
      </c>
      <c r="F497" s="17" t="s">
        <v>150</v>
      </c>
      <c r="G497" s="298"/>
      <c r="H497" s="10"/>
      <c r="I497" s="11"/>
      <c r="J497" s="11"/>
      <c r="K497" s="11"/>
      <c r="L497" s="11"/>
      <c r="M497" s="11"/>
      <c r="N497" s="11"/>
      <c r="O497" s="12"/>
      <c r="P497" s="11"/>
      <c r="Q497" s="13"/>
      <c r="R497" s="14"/>
    </row>
    <row r="498" spans="1:18" ht="15" customHeight="1" x14ac:dyDescent="0.3">
      <c r="A498" s="17" t="s">
        <v>26</v>
      </c>
      <c r="B498" s="17" t="s">
        <v>1024</v>
      </c>
      <c r="C498" s="18">
        <v>0.81944444444444453</v>
      </c>
      <c r="D498" s="17" t="s">
        <v>351</v>
      </c>
      <c r="E498" s="17" t="s">
        <v>37</v>
      </c>
      <c r="F498" s="17" t="s">
        <v>150</v>
      </c>
      <c r="G498" s="298"/>
      <c r="H498" s="10"/>
      <c r="I498" s="11"/>
      <c r="J498" s="11"/>
      <c r="K498" s="11"/>
      <c r="L498" s="11"/>
      <c r="M498" s="11"/>
      <c r="N498" s="11"/>
      <c r="O498" s="12"/>
      <c r="P498" s="11"/>
      <c r="Q498" s="13"/>
      <c r="R498" s="14"/>
    </row>
    <row r="499" spans="1:18" ht="15" customHeight="1" x14ac:dyDescent="0.3">
      <c r="A499" s="17" t="s">
        <v>26</v>
      </c>
      <c r="B499" s="17" t="s">
        <v>1029</v>
      </c>
      <c r="C499" s="18">
        <v>0.50694444444444442</v>
      </c>
      <c r="D499" s="17" t="s">
        <v>351</v>
      </c>
      <c r="E499" s="17" t="s">
        <v>37</v>
      </c>
      <c r="F499" s="17" t="s">
        <v>150</v>
      </c>
      <c r="G499" s="298"/>
      <c r="H499" s="10"/>
      <c r="I499" s="11"/>
      <c r="J499" s="11"/>
      <c r="K499" s="11"/>
      <c r="L499" s="11"/>
      <c r="M499" s="11"/>
      <c r="N499" s="11"/>
      <c r="O499" s="12"/>
      <c r="P499" s="11"/>
      <c r="Q499" s="13"/>
      <c r="R499" s="14"/>
    </row>
    <row r="500" spans="1:18" ht="15" customHeight="1" x14ac:dyDescent="0.3">
      <c r="A500" s="17" t="s">
        <v>26</v>
      </c>
      <c r="B500" s="17" t="s">
        <v>1025</v>
      </c>
      <c r="C500" s="18">
        <v>0.69791666666666663</v>
      </c>
      <c r="D500" s="17" t="s">
        <v>351</v>
      </c>
      <c r="E500" s="17" t="s">
        <v>58</v>
      </c>
      <c r="F500" s="17" t="s">
        <v>150</v>
      </c>
      <c r="G500" s="298"/>
      <c r="H500" s="10"/>
      <c r="I500" s="11"/>
      <c r="J500" s="11"/>
      <c r="K500" s="11"/>
      <c r="L500" s="11"/>
      <c r="M500" s="11"/>
      <c r="N500" s="11"/>
      <c r="O500" s="12"/>
      <c r="P500" s="11"/>
      <c r="Q500" s="13"/>
      <c r="R500" s="14"/>
    </row>
    <row r="501" spans="1:18" ht="15" customHeight="1" x14ac:dyDescent="0.3">
      <c r="A501" s="19" t="s">
        <v>458</v>
      </c>
      <c r="B501" s="19" t="s">
        <v>1048</v>
      </c>
      <c r="C501" s="20">
        <v>9.0277777777777776E-2</v>
      </c>
      <c r="D501" s="19" t="s">
        <v>101</v>
      </c>
      <c r="E501" s="19" t="s">
        <v>63</v>
      </c>
      <c r="F501" s="19" t="s">
        <v>1144</v>
      </c>
      <c r="G501" s="298"/>
      <c r="H501" s="10"/>
      <c r="I501" s="11"/>
      <c r="J501" s="11"/>
      <c r="K501" s="11"/>
      <c r="L501" s="11"/>
      <c r="M501" s="11"/>
      <c r="N501" s="11"/>
      <c r="O501" s="12"/>
      <c r="P501" s="11"/>
      <c r="Q501" s="13"/>
      <c r="R501" s="14"/>
    </row>
    <row r="502" spans="1:18" ht="15" customHeight="1" x14ac:dyDescent="0.3">
      <c r="A502" s="19" t="s">
        <v>385</v>
      </c>
      <c r="B502" s="19" t="s">
        <v>1043</v>
      </c>
      <c r="C502" s="20">
        <v>0.21180555555555561</v>
      </c>
      <c r="D502" s="19" t="s">
        <v>101</v>
      </c>
      <c r="E502" s="19" t="s">
        <v>29</v>
      </c>
      <c r="F502" s="19" t="s">
        <v>1149</v>
      </c>
      <c r="G502" s="298"/>
      <c r="H502" s="10"/>
      <c r="I502" s="11"/>
      <c r="J502" s="11"/>
      <c r="K502" s="11"/>
      <c r="L502" s="11"/>
      <c r="M502" s="11"/>
      <c r="N502" s="11"/>
      <c r="O502" s="12"/>
      <c r="P502" s="11"/>
      <c r="Q502" s="13"/>
      <c r="R502" s="14"/>
    </row>
    <row r="503" spans="1:18" ht="15" customHeight="1" x14ac:dyDescent="0.3">
      <c r="A503" s="129" t="s">
        <v>77</v>
      </c>
      <c r="B503" s="129" t="s">
        <v>1052</v>
      </c>
      <c r="C503" s="130">
        <v>0.40625</v>
      </c>
      <c r="D503" s="129" t="s">
        <v>101</v>
      </c>
      <c r="E503" s="129" t="s">
        <v>96</v>
      </c>
      <c r="F503" s="129" t="s">
        <v>1150</v>
      </c>
      <c r="G503" s="298"/>
      <c r="H503" s="131" t="s">
        <v>1054</v>
      </c>
      <c r="I503" s="200">
        <v>0.58099999999999996</v>
      </c>
      <c r="J503" s="133">
        <v>104</v>
      </c>
      <c r="K503" s="134">
        <v>45980</v>
      </c>
      <c r="L503" s="133">
        <v>11</v>
      </c>
      <c r="M503" s="133">
        <v>1</v>
      </c>
      <c r="N503" s="133">
        <v>0</v>
      </c>
      <c r="O503" s="135" t="s">
        <v>1151</v>
      </c>
      <c r="P503" s="136">
        <v>0.40625</v>
      </c>
      <c r="Q503" s="133">
        <v>179</v>
      </c>
      <c r="R503" s="137" t="s">
        <v>1152</v>
      </c>
    </row>
    <row r="504" spans="1:18" ht="15" customHeight="1" x14ac:dyDescent="0.3">
      <c r="A504" s="217" t="s">
        <v>77</v>
      </c>
      <c r="B504" s="217" t="s">
        <v>1085</v>
      </c>
      <c r="C504" s="218">
        <v>0.72569444444444453</v>
      </c>
      <c r="D504" s="217" t="s">
        <v>101</v>
      </c>
      <c r="E504" s="217" t="s">
        <v>58</v>
      </c>
      <c r="F504" s="217" t="s">
        <v>1150</v>
      </c>
      <c r="G504" s="298"/>
      <c r="H504" s="157" t="s">
        <v>1086</v>
      </c>
      <c r="I504" s="254">
        <v>0.53069999999999995</v>
      </c>
      <c r="J504" s="159">
        <v>95</v>
      </c>
      <c r="K504" s="160">
        <v>45979</v>
      </c>
      <c r="L504" s="159">
        <v>3</v>
      </c>
      <c r="M504" s="159">
        <v>0</v>
      </c>
      <c r="N504" s="159">
        <v>2</v>
      </c>
      <c r="O504" s="161" t="s">
        <v>1153</v>
      </c>
      <c r="P504" s="162">
        <v>0.72569444444444453</v>
      </c>
      <c r="Q504" s="159">
        <v>179</v>
      </c>
      <c r="R504" s="163" t="s">
        <v>1154</v>
      </c>
    </row>
    <row r="505" spans="1:18" ht="15" customHeight="1" x14ac:dyDescent="0.3">
      <c r="A505" s="19" t="s">
        <v>60</v>
      </c>
      <c r="B505" s="19" t="s">
        <v>1071</v>
      </c>
      <c r="C505" s="20">
        <v>0.44444444444444442</v>
      </c>
      <c r="D505" s="19" t="s">
        <v>65</v>
      </c>
      <c r="E505" s="19" t="s">
        <v>63</v>
      </c>
      <c r="F505" s="19" t="s">
        <v>1072</v>
      </c>
      <c r="G505" s="298"/>
      <c r="H505" s="10"/>
      <c r="I505" s="11"/>
      <c r="J505" s="11"/>
      <c r="K505" s="11"/>
      <c r="L505" s="11"/>
      <c r="M505" s="11"/>
      <c r="N505" s="11"/>
      <c r="O505" s="12"/>
      <c r="P505" s="11"/>
      <c r="Q505" s="13"/>
      <c r="R505" s="14"/>
    </row>
    <row r="506" spans="1:18" ht="15" customHeight="1" x14ac:dyDescent="0.3">
      <c r="A506" s="17" t="s">
        <v>60</v>
      </c>
      <c r="B506" s="17" t="s">
        <v>1064</v>
      </c>
      <c r="C506" s="18">
        <v>0.98263888888888884</v>
      </c>
      <c r="D506" s="17" t="s">
        <v>65</v>
      </c>
      <c r="E506" s="17" t="s">
        <v>72</v>
      </c>
      <c r="F506" s="17" t="s">
        <v>1072</v>
      </c>
      <c r="G506" s="298"/>
      <c r="H506" s="10"/>
      <c r="I506" s="11"/>
      <c r="J506" s="11"/>
      <c r="K506" s="11"/>
      <c r="L506" s="11"/>
      <c r="M506" s="11"/>
      <c r="N506" s="11"/>
      <c r="O506" s="12"/>
      <c r="P506" s="11"/>
      <c r="Q506" s="13"/>
      <c r="R506" s="14"/>
    </row>
    <row r="507" spans="1:18" ht="15" customHeight="1" x14ac:dyDescent="0.3">
      <c r="A507" s="17" t="s">
        <v>60</v>
      </c>
      <c r="B507" s="17" t="s">
        <v>1074</v>
      </c>
      <c r="C507" s="18">
        <v>0.62847222222222221</v>
      </c>
      <c r="D507" s="17" t="s">
        <v>65</v>
      </c>
      <c r="E507" s="17" t="s">
        <v>121</v>
      </c>
      <c r="F507" s="17" t="s">
        <v>1155</v>
      </c>
      <c r="G507" s="298"/>
      <c r="H507" s="10"/>
      <c r="I507" s="11"/>
      <c r="J507" s="11"/>
      <c r="K507" s="11"/>
      <c r="L507" s="11"/>
      <c r="M507" s="11"/>
      <c r="N507" s="11"/>
      <c r="O507" s="12"/>
      <c r="P507" s="11"/>
      <c r="Q507" s="13"/>
      <c r="R507" s="14"/>
    </row>
    <row r="508" spans="1:18" ht="15" customHeight="1" x14ac:dyDescent="0.3">
      <c r="A508" s="17" t="s">
        <v>60</v>
      </c>
      <c r="B508" s="17" t="s">
        <v>1073</v>
      </c>
      <c r="C508" s="18">
        <v>0.82986111111111116</v>
      </c>
      <c r="D508" s="17" t="s">
        <v>65</v>
      </c>
      <c r="E508" s="17" t="s">
        <v>69</v>
      </c>
      <c r="F508" s="17" t="s">
        <v>1088</v>
      </c>
      <c r="G508" s="298"/>
      <c r="H508" s="10"/>
      <c r="I508" s="11"/>
      <c r="J508" s="11"/>
      <c r="K508" s="11"/>
      <c r="L508" s="11"/>
      <c r="M508" s="11"/>
      <c r="N508" s="11"/>
      <c r="O508" s="12"/>
      <c r="P508" s="11"/>
      <c r="Q508" s="13"/>
      <c r="R508" s="14"/>
    </row>
    <row r="509" spans="1:18" ht="15" customHeight="1" x14ac:dyDescent="0.3">
      <c r="A509" s="17" t="s">
        <v>60</v>
      </c>
      <c r="B509" s="17" t="s">
        <v>1067</v>
      </c>
      <c r="C509" s="18">
        <v>0.88888888888888884</v>
      </c>
      <c r="D509" s="17" t="s">
        <v>65</v>
      </c>
      <c r="E509" s="17" t="s">
        <v>72</v>
      </c>
      <c r="F509" s="17" t="s">
        <v>1156</v>
      </c>
      <c r="G509" s="298"/>
      <c r="H509" s="10"/>
      <c r="I509" s="11"/>
      <c r="J509" s="11"/>
      <c r="K509" s="11"/>
      <c r="L509" s="11"/>
      <c r="M509" s="11"/>
      <c r="N509" s="11"/>
      <c r="O509" s="12"/>
      <c r="P509" s="11"/>
      <c r="Q509" s="13"/>
      <c r="R509" s="14"/>
    </row>
    <row r="510" spans="1:18" ht="15" customHeight="1" x14ac:dyDescent="0.3">
      <c r="A510" s="17" t="s">
        <v>60</v>
      </c>
      <c r="B510" s="17" t="s">
        <v>1069</v>
      </c>
      <c r="C510" s="18">
        <v>0.62847222222222221</v>
      </c>
      <c r="D510" s="17" t="s">
        <v>65</v>
      </c>
      <c r="E510" s="17" t="s">
        <v>72</v>
      </c>
      <c r="F510" s="17" t="s">
        <v>1156</v>
      </c>
      <c r="G510" s="298"/>
      <c r="H510" s="10"/>
      <c r="I510" s="11"/>
      <c r="J510" s="11"/>
      <c r="K510" s="11"/>
      <c r="L510" s="11"/>
      <c r="M510" s="11"/>
      <c r="N510" s="11"/>
      <c r="O510" s="12"/>
      <c r="P510" s="11"/>
      <c r="Q510" s="13"/>
      <c r="R510" s="14"/>
    </row>
    <row r="511" spans="1:18" ht="15" customHeight="1" x14ac:dyDescent="0.3">
      <c r="A511" s="17" t="s">
        <v>60</v>
      </c>
      <c r="B511" s="17" t="s">
        <v>1070</v>
      </c>
      <c r="C511" s="18">
        <v>0.94444444444444453</v>
      </c>
      <c r="D511" s="17" t="s">
        <v>65</v>
      </c>
      <c r="E511" s="17" t="s">
        <v>72</v>
      </c>
      <c r="F511" s="17" t="s">
        <v>1156</v>
      </c>
      <c r="G511" s="298"/>
      <c r="H511" s="10"/>
      <c r="I511" s="11"/>
      <c r="J511" s="11"/>
      <c r="K511" s="11"/>
      <c r="L511" s="11"/>
      <c r="M511" s="11"/>
      <c r="N511" s="11"/>
      <c r="O511" s="12"/>
      <c r="P511" s="11"/>
      <c r="Q511" s="13"/>
      <c r="R511" s="14"/>
    </row>
    <row r="512" spans="1:18" ht="15" customHeight="1" x14ac:dyDescent="0.3">
      <c r="A512" s="19" t="s">
        <v>48</v>
      </c>
      <c r="B512" s="19" t="s">
        <v>1061</v>
      </c>
      <c r="C512" s="20">
        <v>0.35416666666666669</v>
      </c>
      <c r="D512" s="19" t="s">
        <v>50</v>
      </c>
      <c r="E512" s="19" t="s">
        <v>63</v>
      </c>
      <c r="F512" s="19" t="s">
        <v>1138</v>
      </c>
      <c r="G512" s="298"/>
      <c r="H512" s="10"/>
      <c r="I512" s="11"/>
      <c r="J512" s="11"/>
      <c r="K512" s="11"/>
      <c r="L512" s="11"/>
      <c r="M512" s="11"/>
      <c r="N512" s="11"/>
      <c r="O512" s="12"/>
      <c r="P512" s="11"/>
      <c r="Q512" s="13"/>
      <c r="R512" s="14"/>
    </row>
    <row r="513" spans="1:18" ht="15" customHeight="1" x14ac:dyDescent="0.3">
      <c r="A513" s="17" t="s">
        <v>48</v>
      </c>
      <c r="B513" s="17" t="s">
        <v>1062</v>
      </c>
      <c r="C513" s="18">
        <v>0.72916666666666663</v>
      </c>
      <c r="D513" s="17" t="s">
        <v>50</v>
      </c>
      <c r="E513" s="17" t="s">
        <v>54</v>
      </c>
      <c r="F513" s="17" t="s">
        <v>491</v>
      </c>
      <c r="G513" s="298"/>
      <c r="H513" s="10"/>
      <c r="I513" s="11"/>
      <c r="J513" s="11"/>
      <c r="K513" s="11"/>
      <c r="L513" s="11"/>
      <c r="M513" s="11"/>
      <c r="N513" s="11"/>
      <c r="O513" s="12"/>
      <c r="P513" s="11"/>
      <c r="Q513" s="13"/>
      <c r="R513" s="14"/>
    </row>
    <row r="514" spans="1:18" ht="15" customHeight="1" thickBot="1" x14ac:dyDescent="0.35">
      <c r="A514" s="39" t="s">
        <v>48</v>
      </c>
      <c r="B514" s="39" t="s">
        <v>1059</v>
      </c>
      <c r="C514" s="40">
        <v>0.98263888888888884</v>
      </c>
      <c r="D514" s="39" t="s">
        <v>50</v>
      </c>
      <c r="E514" s="39" t="s">
        <v>54</v>
      </c>
      <c r="F514" s="39" t="s">
        <v>1157</v>
      </c>
      <c r="G514" s="299"/>
      <c r="H514" s="41"/>
      <c r="I514" s="42"/>
      <c r="J514" s="42"/>
      <c r="K514" s="42"/>
      <c r="L514" s="42"/>
      <c r="M514" s="42"/>
      <c r="N514" s="42"/>
      <c r="O514" s="43"/>
      <c r="P514" s="42"/>
      <c r="Q514" s="44"/>
      <c r="R514" s="45"/>
    </row>
    <row r="515" spans="1:18" ht="17.399999999999999" customHeight="1" thickBot="1" x14ac:dyDescent="0.35">
      <c r="A515" s="329"/>
      <c r="B515" s="330"/>
      <c r="C515" s="330"/>
      <c r="D515" s="330"/>
      <c r="E515" s="330"/>
      <c r="F515" s="330"/>
      <c r="G515" s="330"/>
      <c r="H515" s="330"/>
      <c r="I515" s="330"/>
      <c r="J515" s="330"/>
      <c r="K515" s="330"/>
      <c r="L515" s="330"/>
      <c r="M515" s="330"/>
      <c r="N515" s="330"/>
      <c r="O515" s="330"/>
      <c r="P515" s="330"/>
      <c r="Q515" s="330"/>
      <c r="R515" s="331"/>
    </row>
    <row r="516" spans="1:18" ht="22.05" customHeight="1" thickTop="1" thickBot="1" x14ac:dyDescent="0.35">
      <c r="A516" s="300" t="s">
        <v>6</v>
      </c>
      <c r="B516" s="295"/>
      <c r="C516" s="295"/>
      <c r="D516" s="295"/>
      <c r="E516" s="295"/>
      <c r="F516" s="296"/>
      <c r="G516" s="31">
        <v>45990</v>
      </c>
      <c r="H516" s="294" t="s">
        <v>7</v>
      </c>
      <c r="I516" s="295"/>
      <c r="J516" s="295"/>
      <c r="K516" s="295"/>
      <c r="L516" s="295"/>
      <c r="M516" s="295"/>
      <c r="N516" s="295"/>
      <c r="O516" s="295"/>
      <c r="P516" s="295"/>
      <c r="Q516" s="295"/>
      <c r="R516" s="296"/>
    </row>
    <row r="517" spans="1:18" ht="24" customHeight="1" x14ac:dyDescent="0.3">
      <c r="A517" s="32" t="s">
        <v>8</v>
      </c>
      <c r="B517" s="32" t="s">
        <v>9</v>
      </c>
      <c r="C517" s="33" t="s">
        <v>10</v>
      </c>
      <c r="D517" s="32" t="s">
        <v>11</v>
      </c>
      <c r="E517" s="32" t="s">
        <v>12</v>
      </c>
      <c r="F517" s="34" t="s">
        <v>13</v>
      </c>
      <c r="G517" s="35" t="s">
        <v>14</v>
      </c>
      <c r="H517" s="32" t="s">
        <v>15</v>
      </c>
      <c r="I517" s="36" t="s">
        <v>16</v>
      </c>
      <c r="J517" s="37" t="s">
        <v>17</v>
      </c>
      <c r="K517" s="38" t="s">
        <v>18</v>
      </c>
      <c r="L517" s="37" t="s">
        <v>19</v>
      </c>
      <c r="M517" s="37" t="s">
        <v>20</v>
      </c>
      <c r="N517" s="37" t="s">
        <v>21</v>
      </c>
      <c r="O517" s="32" t="s">
        <v>22</v>
      </c>
      <c r="P517" s="33" t="s">
        <v>23</v>
      </c>
      <c r="Q517" s="37" t="s">
        <v>24</v>
      </c>
      <c r="R517" s="32" t="s">
        <v>25</v>
      </c>
    </row>
    <row r="518" spans="1:18" ht="15" customHeight="1" x14ac:dyDescent="0.3">
      <c r="A518" s="8" t="s">
        <v>458</v>
      </c>
      <c r="B518" s="8" t="s">
        <v>1048</v>
      </c>
      <c r="C518" s="9">
        <v>8.6805555555555566E-2</v>
      </c>
      <c r="D518" s="8" t="s">
        <v>101</v>
      </c>
      <c r="E518" s="8" t="s">
        <v>63</v>
      </c>
      <c r="F518" s="8" t="s">
        <v>1158</v>
      </c>
      <c r="G518" s="297"/>
      <c r="H518" s="10"/>
      <c r="I518" s="11"/>
      <c r="J518" s="11"/>
      <c r="K518" s="11"/>
      <c r="L518" s="11"/>
      <c r="M518" s="11"/>
      <c r="N518" s="11"/>
      <c r="O518" s="12"/>
      <c r="P518" s="11"/>
      <c r="Q518" s="13"/>
      <c r="R518" s="14"/>
    </row>
    <row r="519" spans="1:18" ht="15" customHeight="1" x14ac:dyDescent="0.3">
      <c r="A519" s="17" t="s">
        <v>458</v>
      </c>
      <c r="B519" s="17" t="s">
        <v>1050</v>
      </c>
      <c r="C519" s="18">
        <v>0.68402777777777779</v>
      </c>
      <c r="D519" s="17" t="s">
        <v>101</v>
      </c>
      <c r="E519" s="17" t="s">
        <v>121</v>
      </c>
      <c r="F519" s="17" t="s">
        <v>1159</v>
      </c>
      <c r="G519" s="298"/>
      <c r="H519" s="10"/>
      <c r="I519" s="11"/>
      <c r="J519" s="11"/>
      <c r="K519" s="11"/>
      <c r="L519" s="11"/>
      <c r="M519" s="11"/>
      <c r="N519" s="11"/>
      <c r="O519" s="12"/>
      <c r="P519" s="11"/>
      <c r="Q519" s="13"/>
      <c r="R519" s="14"/>
    </row>
    <row r="520" spans="1:18" ht="15" customHeight="1" x14ac:dyDescent="0.3">
      <c r="A520" s="19" t="s">
        <v>41</v>
      </c>
      <c r="B520" s="19" t="s">
        <v>1030</v>
      </c>
      <c r="C520" s="20">
        <v>0.57638888888888895</v>
      </c>
      <c r="D520" s="19" t="s">
        <v>43</v>
      </c>
      <c r="E520" s="19" t="s">
        <v>138</v>
      </c>
      <c r="F520" s="19" t="s">
        <v>457</v>
      </c>
      <c r="G520" s="298"/>
      <c r="H520" s="10"/>
      <c r="I520" s="11"/>
      <c r="J520" s="11"/>
      <c r="K520" s="11"/>
      <c r="L520" s="11"/>
      <c r="M520" s="11"/>
      <c r="N520" s="11"/>
      <c r="O520" s="12"/>
      <c r="P520" s="11"/>
      <c r="Q520" s="13"/>
      <c r="R520" s="14"/>
    </row>
    <row r="521" spans="1:18" ht="15" customHeight="1" x14ac:dyDescent="0.3">
      <c r="A521" s="15" t="s">
        <v>41</v>
      </c>
      <c r="B521" s="15" t="s">
        <v>1030</v>
      </c>
      <c r="C521" s="16">
        <v>0.57638888888888895</v>
      </c>
      <c r="D521" s="15" t="s">
        <v>45</v>
      </c>
      <c r="E521" s="15" t="s">
        <v>38</v>
      </c>
      <c r="F521" s="15" t="s">
        <v>534</v>
      </c>
      <c r="G521" s="298"/>
      <c r="H521" s="10"/>
      <c r="I521" s="11"/>
      <c r="J521" s="11"/>
      <c r="K521" s="11"/>
      <c r="L521" s="11"/>
      <c r="M521" s="11"/>
      <c r="N521" s="11"/>
      <c r="O521" s="12"/>
      <c r="P521" s="11"/>
      <c r="Q521" s="13"/>
      <c r="R521" s="14"/>
    </row>
    <row r="522" spans="1:18" ht="15" customHeight="1" x14ac:dyDescent="0.3">
      <c r="A522" s="15" t="s">
        <v>41</v>
      </c>
      <c r="B522" s="15" t="s">
        <v>1030</v>
      </c>
      <c r="C522" s="16">
        <v>0.57638888888888895</v>
      </c>
      <c r="D522" s="15" t="s">
        <v>46</v>
      </c>
      <c r="E522" s="15" t="s">
        <v>38</v>
      </c>
      <c r="F522" s="15" t="s">
        <v>1081</v>
      </c>
      <c r="G522" s="298"/>
      <c r="H522" s="10"/>
      <c r="I522" s="11"/>
      <c r="J522" s="11"/>
      <c r="K522" s="11"/>
      <c r="L522" s="11"/>
      <c r="M522" s="11"/>
      <c r="N522" s="11"/>
      <c r="O522" s="12"/>
      <c r="P522" s="11"/>
      <c r="Q522" s="13"/>
      <c r="R522" s="14"/>
    </row>
    <row r="523" spans="1:18" ht="15" customHeight="1" x14ac:dyDescent="0.3">
      <c r="A523" s="17" t="s">
        <v>41</v>
      </c>
      <c r="B523" s="17" t="s">
        <v>1034</v>
      </c>
      <c r="C523" s="18">
        <v>0.62847222222222221</v>
      </c>
      <c r="D523" s="17" t="s">
        <v>43</v>
      </c>
      <c r="E523" s="17" t="s">
        <v>72</v>
      </c>
      <c r="F523" s="17" t="s">
        <v>457</v>
      </c>
      <c r="G523" s="298"/>
      <c r="H523" s="10"/>
      <c r="I523" s="11"/>
      <c r="J523" s="11"/>
      <c r="K523" s="11"/>
      <c r="L523" s="11"/>
      <c r="M523" s="11"/>
      <c r="N523" s="11"/>
      <c r="O523" s="12"/>
      <c r="P523" s="11"/>
      <c r="Q523" s="13"/>
      <c r="R523" s="14"/>
    </row>
    <row r="524" spans="1:18" ht="15" customHeight="1" x14ac:dyDescent="0.3">
      <c r="A524" s="15" t="s">
        <v>41</v>
      </c>
      <c r="B524" s="15" t="s">
        <v>1034</v>
      </c>
      <c r="C524" s="16">
        <v>0.62847222222222221</v>
      </c>
      <c r="D524" s="15" t="s">
        <v>45</v>
      </c>
      <c r="E524" s="15" t="s">
        <v>84</v>
      </c>
      <c r="F524" s="15" t="s">
        <v>534</v>
      </c>
      <c r="G524" s="298"/>
      <c r="H524" s="10"/>
      <c r="I524" s="11"/>
      <c r="J524" s="11"/>
      <c r="K524" s="11"/>
      <c r="L524" s="11"/>
      <c r="M524" s="11"/>
      <c r="N524" s="11"/>
      <c r="O524" s="12"/>
      <c r="P524" s="11"/>
      <c r="Q524" s="13"/>
      <c r="R524" s="14"/>
    </row>
    <row r="525" spans="1:18" ht="15" customHeight="1" x14ac:dyDescent="0.3">
      <c r="A525" s="15" t="s">
        <v>41</v>
      </c>
      <c r="B525" s="15" t="s">
        <v>1034</v>
      </c>
      <c r="C525" s="16">
        <v>0.62847222222222221</v>
      </c>
      <c r="D525" s="15" t="s">
        <v>46</v>
      </c>
      <c r="E525" s="15" t="s">
        <v>84</v>
      </c>
      <c r="F525" s="15" t="s">
        <v>1081</v>
      </c>
      <c r="G525" s="298"/>
      <c r="H525" s="10"/>
      <c r="I525" s="11"/>
      <c r="J525" s="11"/>
      <c r="K525" s="11"/>
      <c r="L525" s="11"/>
      <c r="M525" s="11"/>
      <c r="N525" s="11"/>
      <c r="O525" s="12"/>
      <c r="P525" s="11"/>
      <c r="Q525" s="13"/>
      <c r="R525" s="14"/>
    </row>
    <row r="526" spans="1:18" ht="15" customHeight="1" x14ac:dyDescent="0.3">
      <c r="A526" s="17" t="s">
        <v>41</v>
      </c>
      <c r="B526" s="17" t="s">
        <v>1040</v>
      </c>
      <c r="C526" s="18">
        <v>0.94444444444444453</v>
      </c>
      <c r="D526" s="17" t="s">
        <v>43</v>
      </c>
      <c r="E526" s="17" t="s">
        <v>75</v>
      </c>
      <c r="F526" s="17" t="s">
        <v>457</v>
      </c>
      <c r="G526" s="298"/>
      <c r="H526" s="10"/>
      <c r="I526" s="11"/>
      <c r="J526" s="11"/>
      <c r="K526" s="11"/>
      <c r="L526" s="11"/>
      <c r="M526" s="11"/>
      <c r="N526" s="11"/>
      <c r="O526" s="12"/>
      <c r="P526" s="11"/>
      <c r="Q526" s="13"/>
      <c r="R526" s="14"/>
    </row>
    <row r="527" spans="1:18" ht="15" customHeight="1" x14ac:dyDescent="0.3">
      <c r="A527" s="15" t="s">
        <v>41</v>
      </c>
      <c r="B527" s="15" t="s">
        <v>1040</v>
      </c>
      <c r="C527" s="16">
        <v>0.94444444444444453</v>
      </c>
      <c r="D527" s="15" t="s">
        <v>45</v>
      </c>
      <c r="E527" s="15" t="s">
        <v>98</v>
      </c>
      <c r="F527" s="15" t="s">
        <v>534</v>
      </c>
      <c r="G527" s="298"/>
      <c r="H527" s="10"/>
      <c r="I527" s="11"/>
      <c r="J527" s="11"/>
      <c r="K527" s="11"/>
      <c r="L527" s="11"/>
      <c r="M527" s="11"/>
      <c r="N527" s="11"/>
      <c r="O527" s="12"/>
      <c r="P527" s="11"/>
      <c r="Q527" s="13"/>
      <c r="R527" s="14"/>
    </row>
    <row r="528" spans="1:18" ht="15" customHeight="1" x14ac:dyDescent="0.3">
      <c r="A528" s="15" t="s">
        <v>41</v>
      </c>
      <c r="B528" s="15" t="s">
        <v>1040</v>
      </c>
      <c r="C528" s="16">
        <v>0.94444444444444453</v>
      </c>
      <c r="D528" s="15" t="s">
        <v>46</v>
      </c>
      <c r="E528" s="15" t="s">
        <v>98</v>
      </c>
      <c r="F528" s="15" t="s">
        <v>1081</v>
      </c>
      <c r="G528" s="298"/>
      <c r="H528" s="10"/>
      <c r="I528" s="11"/>
      <c r="J528" s="11"/>
      <c r="K528" s="11"/>
      <c r="L528" s="11"/>
      <c r="M528" s="11"/>
      <c r="N528" s="11"/>
      <c r="O528" s="12"/>
      <c r="P528" s="11"/>
      <c r="Q528" s="13"/>
      <c r="R528" s="14"/>
    </row>
    <row r="529" spans="1:18" ht="15" customHeight="1" x14ac:dyDescent="0.3">
      <c r="A529" s="17" t="s">
        <v>41</v>
      </c>
      <c r="B529" s="17" t="s">
        <v>1037</v>
      </c>
      <c r="C529" s="18">
        <v>0.88888888888888884</v>
      </c>
      <c r="D529" s="17" t="s">
        <v>43</v>
      </c>
      <c r="E529" s="17" t="s">
        <v>530</v>
      </c>
      <c r="F529" s="17" t="s">
        <v>479</v>
      </c>
      <c r="G529" s="298"/>
      <c r="H529" s="10"/>
      <c r="I529" s="11"/>
      <c r="J529" s="11"/>
      <c r="K529" s="11"/>
      <c r="L529" s="11"/>
      <c r="M529" s="11"/>
      <c r="N529" s="11"/>
      <c r="O529" s="12"/>
      <c r="P529" s="11"/>
      <c r="Q529" s="13"/>
      <c r="R529" s="14"/>
    </row>
    <row r="530" spans="1:18" ht="15" customHeight="1" x14ac:dyDescent="0.3">
      <c r="A530" s="15" t="s">
        <v>41</v>
      </c>
      <c r="B530" s="15" t="s">
        <v>1037</v>
      </c>
      <c r="C530" s="16">
        <v>0.88888888888888884</v>
      </c>
      <c r="D530" s="15" t="s">
        <v>45</v>
      </c>
      <c r="E530" s="15" t="s">
        <v>531</v>
      </c>
      <c r="F530" s="15" t="s">
        <v>535</v>
      </c>
      <c r="G530" s="298"/>
      <c r="H530" s="10"/>
      <c r="I530" s="11"/>
      <c r="J530" s="11"/>
      <c r="K530" s="11"/>
      <c r="L530" s="11"/>
      <c r="M530" s="11"/>
      <c r="N530" s="11"/>
      <c r="O530" s="12"/>
      <c r="P530" s="11"/>
      <c r="Q530" s="13"/>
      <c r="R530" s="14"/>
    </row>
    <row r="531" spans="1:18" ht="15" customHeight="1" x14ac:dyDescent="0.3">
      <c r="A531" s="15" t="s">
        <v>41</v>
      </c>
      <c r="B531" s="15" t="s">
        <v>1037</v>
      </c>
      <c r="C531" s="16">
        <v>0.88888888888888884</v>
      </c>
      <c r="D531" s="15" t="s">
        <v>46</v>
      </c>
      <c r="E531" s="15" t="s">
        <v>531</v>
      </c>
      <c r="F531" s="15" t="s">
        <v>1081</v>
      </c>
      <c r="G531" s="298"/>
      <c r="H531" s="10"/>
      <c r="I531" s="11"/>
      <c r="J531" s="11"/>
      <c r="K531" s="11"/>
      <c r="L531" s="11"/>
      <c r="M531" s="11"/>
      <c r="N531" s="11"/>
      <c r="O531" s="12"/>
      <c r="P531" s="11"/>
      <c r="Q531" s="13"/>
      <c r="R531" s="14"/>
    </row>
    <row r="532" spans="1:18" ht="15" customHeight="1" x14ac:dyDescent="0.3">
      <c r="A532" s="19" t="s">
        <v>388</v>
      </c>
      <c r="B532" s="19" t="s">
        <v>1056</v>
      </c>
      <c r="C532" s="20">
        <v>0.4375</v>
      </c>
      <c r="D532" s="19" t="s">
        <v>390</v>
      </c>
      <c r="E532" s="19" t="s">
        <v>138</v>
      </c>
      <c r="F532" s="19" t="s">
        <v>1160</v>
      </c>
      <c r="G532" s="298"/>
      <c r="H532" s="10"/>
      <c r="I532" s="11"/>
      <c r="J532" s="11"/>
      <c r="K532" s="11"/>
      <c r="L532" s="11"/>
      <c r="M532" s="11"/>
      <c r="N532" s="11"/>
      <c r="O532" s="12"/>
      <c r="P532" s="11"/>
      <c r="Q532" s="13"/>
      <c r="R532" s="14"/>
    </row>
    <row r="533" spans="1:18" ht="15" customHeight="1" x14ac:dyDescent="0.3">
      <c r="A533" s="15" t="s">
        <v>388</v>
      </c>
      <c r="B533" s="15" t="s">
        <v>1056</v>
      </c>
      <c r="C533" s="16">
        <v>0.4375</v>
      </c>
      <c r="D533" s="15" t="s">
        <v>46</v>
      </c>
      <c r="E533" s="15" t="s">
        <v>38</v>
      </c>
      <c r="F533" s="15" t="s">
        <v>1161</v>
      </c>
      <c r="G533" s="298"/>
      <c r="H533" s="10"/>
      <c r="I533" s="11"/>
      <c r="J533" s="11"/>
      <c r="K533" s="11"/>
      <c r="L533" s="11"/>
      <c r="M533" s="11"/>
      <c r="N533" s="11"/>
      <c r="O533" s="12"/>
      <c r="P533" s="11"/>
      <c r="Q533" s="13"/>
      <c r="R533" s="14"/>
    </row>
    <row r="534" spans="1:18" ht="15" customHeight="1" x14ac:dyDescent="0.3">
      <c r="A534" s="19" t="s">
        <v>385</v>
      </c>
      <c r="B534" s="19" t="s">
        <v>1043</v>
      </c>
      <c r="C534" s="20">
        <v>0.1701388888888889</v>
      </c>
      <c r="D534" s="19" t="s">
        <v>101</v>
      </c>
      <c r="E534" s="19" t="s">
        <v>51</v>
      </c>
      <c r="F534" s="19" t="s">
        <v>1149</v>
      </c>
      <c r="G534" s="298"/>
      <c r="H534" s="10"/>
      <c r="I534" s="11"/>
      <c r="J534" s="11"/>
      <c r="K534" s="11"/>
      <c r="L534" s="11"/>
      <c r="M534" s="11"/>
      <c r="N534" s="11"/>
      <c r="O534" s="12"/>
      <c r="P534" s="11"/>
      <c r="Q534" s="13"/>
      <c r="R534" s="14"/>
    </row>
    <row r="535" spans="1:18" ht="15" customHeight="1" x14ac:dyDescent="0.3">
      <c r="A535" s="17" t="s">
        <v>385</v>
      </c>
      <c r="B535" s="17" t="s">
        <v>1162</v>
      </c>
      <c r="C535" s="18">
        <v>2.4305555555555559E-2</v>
      </c>
      <c r="D535" s="17" t="s">
        <v>101</v>
      </c>
      <c r="E535" s="17" t="s">
        <v>355</v>
      </c>
      <c r="F535" s="17" t="s">
        <v>1149</v>
      </c>
      <c r="G535" s="298"/>
      <c r="H535" s="10"/>
      <c r="I535" s="11"/>
      <c r="J535" s="11"/>
      <c r="K535" s="11"/>
      <c r="L535" s="11"/>
      <c r="M535" s="11"/>
      <c r="N535" s="11"/>
      <c r="O535" s="12"/>
      <c r="P535" s="11"/>
      <c r="Q535" s="13"/>
      <c r="R535" s="14"/>
    </row>
    <row r="536" spans="1:18" ht="15" customHeight="1" x14ac:dyDescent="0.3">
      <c r="A536" s="17" t="s">
        <v>385</v>
      </c>
      <c r="B536" s="17" t="s">
        <v>1045</v>
      </c>
      <c r="C536" s="18">
        <v>0.53819444444444442</v>
      </c>
      <c r="D536" s="17" t="s">
        <v>101</v>
      </c>
      <c r="E536" s="17" t="s">
        <v>54</v>
      </c>
      <c r="F536" s="17" t="s">
        <v>1163</v>
      </c>
      <c r="G536" s="298"/>
      <c r="H536" s="10"/>
      <c r="I536" s="11"/>
      <c r="J536" s="11"/>
      <c r="K536" s="11"/>
      <c r="L536" s="11"/>
      <c r="M536" s="11"/>
      <c r="N536" s="11"/>
      <c r="O536" s="12"/>
      <c r="P536" s="11"/>
      <c r="Q536" s="13"/>
      <c r="R536" s="14"/>
    </row>
    <row r="537" spans="1:18" ht="15" customHeight="1" x14ac:dyDescent="0.3">
      <c r="A537" s="19" t="s">
        <v>26</v>
      </c>
      <c r="B537" s="19" t="s">
        <v>1026</v>
      </c>
      <c r="C537" s="20">
        <v>0.4375</v>
      </c>
      <c r="D537" s="19" t="s">
        <v>28</v>
      </c>
      <c r="E537" s="19" t="s">
        <v>118</v>
      </c>
      <c r="F537" s="19" t="s">
        <v>532</v>
      </c>
      <c r="G537" s="298"/>
      <c r="H537" s="10"/>
      <c r="I537" s="11"/>
      <c r="J537" s="11"/>
      <c r="K537" s="11"/>
      <c r="L537" s="11"/>
      <c r="M537" s="11"/>
      <c r="N537" s="11"/>
      <c r="O537" s="12"/>
      <c r="P537" s="11"/>
      <c r="Q537" s="13"/>
      <c r="R537" s="14"/>
    </row>
    <row r="538" spans="1:18" ht="15" customHeight="1" x14ac:dyDescent="0.3">
      <c r="A538" s="15" t="s">
        <v>26</v>
      </c>
      <c r="B538" s="15" t="s">
        <v>1026</v>
      </c>
      <c r="C538" s="16">
        <v>0.4375</v>
      </c>
      <c r="D538" s="15" t="s">
        <v>31</v>
      </c>
      <c r="E538" s="15" t="s">
        <v>119</v>
      </c>
      <c r="F538" s="15" t="s">
        <v>534</v>
      </c>
      <c r="G538" s="298"/>
      <c r="H538" s="10"/>
      <c r="I538" s="11"/>
      <c r="J538" s="11"/>
      <c r="K538" s="11"/>
      <c r="L538" s="11"/>
      <c r="M538" s="11"/>
      <c r="N538" s="11"/>
      <c r="O538" s="12"/>
      <c r="P538" s="11"/>
      <c r="Q538" s="13"/>
      <c r="R538" s="14"/>
    </row>
    <row r="539" spans="1:18" ht="15" customHeight="1" x14ac:dyDescent="0.3">
      <c r="A539" s="15" t="s">
        <v>26</v>
      </c>
      <c r="B539" s="15" t="s">
        <v>1026</v>
      </c>
      <c r="C539" s="16">
        <v>0.4375</v>
      </c>
      <c r="D539" s="15" t="s">
        <v>34</v>
      </c>
      <c r="E539" s="15" t="s">
        <v>119</v>
      </c>
      <c r="F539" s="15" t="s">
        <v>535</v>
      </c>
      <c r="G539" s="298"/>
      <c r="H539" s="10"/>
      <c r="I539" s="11"/>
      <c r="J539" s="11"/>
      <c r="K539" s="11"/>
      <c r="L539" s="11"/>
      <c r="M539" s="11"/>
      <c r="N539" s="11"/>
      <c r="O539" s="12"/>
      <c r="P539" s="11"/>
      <c r="Q539" s="13"/>
      <c r="R539" s="14"/>
    </row>
    <row r="540" spans="1:18" ht="15" customHeight="1" x14ac:dyDescent="0.3">
      <c r="A540" s="17" t="s">
        <v>26</v>
      </c>
      <c r="B540" s="17" t="s">
        <v>1023</v>
      </c>
      <c r="C540" s="18">
        <v>0.55902777777777779</v>
      </c>
      <c r="D540" s="17" t="s">
        <v>28</v>
      </c>
      <c r="E540" s="17" t="s">
        <v>353</v>
      </c>
      <c r="F540" s="17" t="s">
        <v>534</v>
      </c>
      <c r="G540" s="298"/>
      <c r="H540" s="10"/>
      <c r="I540" s="11"/>
      <c r="J540" s="11"/>
      <c r="K540" s="11"/>
      <c r="L540" s="11"/>
      <c r="M540" s="11"/>
      <c r="N540" s="11"/>
      <c r="O540" s="12"/>
      <c r="P540" s="11"/>
      <c r="Q540" s="13"/>
      <c r="R540" s="14"/>
    </row>
    <row r="541" spans="1:18" ht="15" customHeight="1" x14ac:dyDescent="0.3">
      <c r="A541" s="15" t="s">
        <v>26</v>
      </c>
      <c r="B541" s="15" t="s">
        <v>1023</v>
      </c>
      <c r="C541" s="16">
        <v>0.55902777777777779</v>
      </c>
      <c r="D541" s="15" t="s">
        <v>31</v>
      </c>
      <c r="E541" s="15" t="s">
        <v>97</v>
      </c>
      <c r="F541" s="15" t="s">
        <v>550</v>
      </c>
      <c r="G541" s="298"/>
      <c r="H541" s="10"/>
      <c r="I541" s="11"/>
      <c r="J541" s="11"/>
      <c r="K541" s="11"/>
      <c r="L541" s="11"/>
      <c r="M541" s="11"/>
      <c r="N541" s="11"/>
      <c r="O541" s="12"/>
      <c r="P541" s="11"/>
      <c r="Q541" s="13"/>
      <c r="R541" s="14"/>
    </row>
    <row r="542" spans="1:18" ht="15" customHeight="1" x14ac:dyDescent="0.3">
      <c r="A542" s="15" t="s">
        <v>26</v>
      </c>
      <c r="B542" s="15" t="s">
        <v>1023</v>
      </c>
      <c r="C542" s="16">
        <v>0.55902777777777779</v>
      </c>
      <c r="D542" s="15" t="s">
        <v>34</v>
      </c>
      <c r="E542" s="15" t="s">
        <v>97</v>
      </c>
      <c r="F542" s="15" t="s">
        <v>1164</v>
      </c>
      <c r="G542" s="298"/>
      <c r="H542" s="10"/>
      <c r="I542" s="11"/>
      <c r="J542" s="11"/>
      <c r="K542" s="11"/>
      <c r="L542" s="11"/>
      <c r="M542" s="11"/>
      <c r="N542" s="11"/>
      <c r="O542" s="12"/>
      <c r="P542" s="11"/>
      <c r="Q542" s="13"/>
      <c r="R542" s="14"/>
    </row>
    <row r="543" spans="1:18" ht="15" customHeight="1" x14ac:dyDescent="0.3">
      <c r="A543" s="17" t="s">
        <v>26</v>
      </c>
      <c r="B543" s="17" t="s">
        <v>1029</v>
      </c>
      <c r="C543" s="18">
        <v>0.50694444444444442</v>
      </c>
      <c r="D543" s="17" t="s">
        <v>28</v>
      </c>
      <c r="E543" s="17" t="s">
        <v>37</v>
      </c>
      <c r="F543" s="17" t="s">
        <v>534</v>
      </c>
      <c r="G543" s="298"/>
      <c r="H543" s="10"/>
      <c r="I543" s="11"/>
      <c r="J543" s="11"/>
      <c r="K543" s="11"/>
      <c r="L543" s="11"/>
      <c r="M543" s="11"/>
      <c r="N543" s="11"/>
      <c r="O543" s="12"/>
      <c r="P543" s="11"/>
      <c r="Q543" s="13"/>
      <c r="R543" s="14"/>
    </row>
    <row r="544" spans="1:18" ht="15" customHeight="1" x14ac:dyDescent="0.3">
      <c r="A544" s="15" t="s">
        <v>26</v>
      </c>
      <c r="B544" s="15" t="s">
        <v>1029</v>
      </c>
      <c r="C544" s="16">
        <v>0.50694444444444442</v>
      </c>
      <c r="D544" s="15" t="s">
        <v>31</v>
      </c>
      <c r="E544" s="15" t="s">
        <v>38</v>
      </c>
      <c r="F544" s="15" t="s">
        <v>550</v>
      </c>
      <c r="G544" s="298"/>
      <c r="H544" s="10"/>
      <c r="I544" s="11"/>
      <c r="J544" s="11"/>
      <c r="K544" s="11"/>
      <c r="L544" s="11"/>
      <c r="M544" s="11"/>
      <c r="N544" s="11"/>
      <c r="O544" s="12"/>
      <c r="P544" s="11"/>
      <c r="Q544" s="13"/>
      <c r="R544" s="14"/>
    </row>
    <row r="545" spans="1:18" ht="15" customHeight="1" x14ac:dyDescent="0.3">
      <c r="A545" s="15" t="s">
        <v>26</v>
      </c>
      <c r="B545" s="15" t="s">
        <v>1029</v>
      </c>
      <c r="C545" s="16">
        <v>0.50694444444444442</v>
      </c>
      <c r="D545" s="15" t="s">
        <v>34</v>
      </c>
      <c r="E545" s="15" t="s">
        <v>38</v>
      </c>
      <c r="F545" s="15" t="s">
        <v>1164</v>
      </c>
      <c r="G545" s="298"/>
      <c r="H545" s="10"/>
      <c r="I545" s="11"/>
      <c r="J545" s="11"/>
      <c r="K545" s="11"/>
      <c r="L545" s="11"/>
      <c r="M545" s="11"/>
      <c r="N545" s="11"/>
      <c r="O545" s="12"/>
      <c r="P545" s="11"/>
      <c r="Q545" s="13"/>
      <c r="R545" s="14"/>
    </row>
    <row r="546" spans="1:18" ht="15" customHeight="1" x14ac:dyDescent="0.3">
      <c r="A546" s="17" t="s">
        <v>26</v>
      </c>
      <c r="B546" s="17" t="s">
        <v>1017</v>
      </c>
      <c r="C546" s="18">
        <v>0.95833333333333337</v>
      </c>
      <c r="D546" s="17" t="s">
        <v>28</v>
      </c>
      <c r="E546" s="17" t="s">
        <v>353</v>
      </c>
      <c r="F546" s="17" t="s">
        <v>550</v>
      </c>
      <c r="G546" s="298"/>
      <c r="H546" s="10"/>
      <c r="I546" s="11"/>
      <c r="J546" s="11"/>
      <c r="K546" s="11"/>
      <c r="L546" s="11"/>
      <c r="M546" s="11"/>
      <c r="N546" s="11"/>
      <c r="O546" s="12"/>
      <c r="P546" s="11"/>
      <c r="Q546" s="13"/>
      <c r="R546" s="14"/>
    </row>
    <row r="547" spans="1:18" ht="15" customHeight="1" x14ac:dyDescent="0.3">
      <c r="A547" s="15" t="s">
        <v>26</v>
      </c>
      <c r="B547" s="15" t="s">
        <v>1017</v>
      </c>
      <c r="C547" s="16">
        <v>0.95833333333333337</v>
      </c>
      <c r="D547" s="15" t="s">
        <v>31</v>
      </c>
      <c r="E547" s="15" t="s">
        <v>97</v>
      </c>
      <c r="F547" s="15" t="s">
        <v>551</v>
      </c>
      <c r="G547" s="298"/>
      <c r="H547" s="10"/>
      <c r="I547" s="11"/>
      <c r="J547" s="11"/>
      <c r="K547" s="11"/>
      <c r="L547" s="11"/>
      <c r="M547" s="11"/>
      <c r="N547" s="11"/>
      <c r="O547" s="12"/>
      <c r="P547" s="11"/>
      <c r="Q547" s="13"/>
      <c r="R547" s="14"/>
    </row>
    <row r="548" spans="1:18" ht="15" customHeight="1" x14ac:dyDescent="0.3">
      <c r="A548" s="15" t="s">
        <v>26</v>
      </c>
      <c r="B548" s="15" t="s">
        <v>1017</v>
      </c>
      <c r="C548" s="16">
        <v>0.95833333333333337</v>
      </c>
      <c r="D548" s="15" t="s">
        <v>34</v>
      </c>
      <c r="E548" s="15" t="s">
        <v>97</v>
      </c>
      <c r="F548" s="15" t="s">
        <v>552</v>
      </c>
      <c r="G548" s="298"/>
      <c r="H548" s="10"/>
      <c r="I548" s="11"/>
      <c r="J548" s="11"/>
      <c r="K548" s="11"/>
      <c r="L548" s="11"/>
      <c r="M548" s="11"/>
      <c r="N548" s="11"/>
      <c r="O548" s="12"/>
      <c r="P548" s="11"/>
      <c r="Q548" s="13"/>
      <c r="R548" s="14"/>
    </row>
    <row r="549" spans="1:18" ht="15" customHeight="1" x14ac:dyDescent="0.3">
      <c r="A549" s="17" t="s">
        <v>26</v>
      </c>
      <c r="B549" s="17" t="s">
        <v>1021</v>
      </c>
      <c r="C549" s="18">
        <v>0.63194444444444442</v>
      </c>
      <c r="D549" s="17" t="s">
        <v>28</v>
      </c>
      <c r="E549" s="17" t="s">
        <v>37</v>
      </c>
      <c r="F549" s="17" t="s">
        <v>550</v>
      </c>
      <c r="G549" s="298"/>
      <c r="H549" s="10"/>
      <c r="I549" s="11"/>
      <c r="J549" s="11"/>
      <c r="K549" s="11"/>
      <c r="L549" s="11"/>
      <c r="M549" s="11"/>
      <c r="N549" s="11"/>
      <c r="O549" s="12"/>
      <c r="P549" s="11"/>
      <c r="Q549" s="13"/>
      <c r="R549" s="14"/>
    </row>
    <row r="550" spans="1:18" ht="15" customHeight="1" x14ac:dyDescent="0.3">
      <c r="A550" s="15" t="s">
        <v>26</v>
      </c>
      <c r="B550" s="15" t="s">
        <v>1021</v>
      </c>
      <c r="C550" s="16">
        <v>0.63194444444444442</v>
      </c>
      <c r="D550" s="15" t="s">
        <v>31</v>
      </c>
      <c r="E550" s="15" t="s">
        <v>38</v>
      </c>
      <c r="F550" s="15" t="s">
        <v>551</v>
      </c>
      <c r="G550" s="298"/>
      <c r="H550" s="10"/>
      <c r="I550" s="11"/>
      <c r="J550" s="11"/>
      <c r="K550" s="11"/>
      <c r="L550" s="11"/>
      <c r="M550" s="11"/>
      <c r="N550" s="11"/>
      <c r="O550" s="12"/>
      <c r="P550" s="11"/>
      <c r="Q550" s="13"/>
      <c r="R550" s="14"/>
    </row>
    <row r="551" spans="1:18" ht="15" customHeight="1" x14ac:dyDescent="0.3">
      <c r="A551" s="15" t="s">
        <v>26</v>
      </c>
      <c r="B551" s="15" t="s">
        <v>1021</v>
      </c>
      <c r="C551" s="16">
        <v>0.63194444444444442</v>
      </c>
      <c r="D551" s="15" t="s">
        <v>34</v>
      </c>
      <c r="E551" s="15" t="s">
        <v>38</v>
      </c>
      <c r="F551" s="15" t="s">
        <v>552</v>
      </c>
      <c r="G551" s="298"/>
      <c r="H551" s="10"/>
      <c r="I551" s="11"/>
      <c r="J551" s="11"/>
      <c r="K551" s="11"/>
      <c r="L551" s="11"/>
      <c r="M551" s="11"/>
      <c r="N551" s="11"/>
      <c r="O551" s="12"/>
      <c r="P551" s="11"/>
      <c r="Q551" s="13"/>
      <c r="R551" s="14"/>
    </row>
    <row r="552" spans="1:18" ht="15" customHeight="1" x14ac:dyDescent="0.3">
      <c r="A552" s="17" t="s">
        <v>26</v>
      </c>
      <c r="B552" s="17" t="s">
        <v>1024</v>
      </c>
      <c r="C552" s="18">
        <v>0.81944444444444453</v>
      </c>
      <c r="D552" s="17" t="s">
        <v>28</v>
      </c>
      <c r="E552" s="17" t="s">
        <v>355</v>
      </c>
      <c r="F552" s="17" t="s">
        <v>550</v>
      </c>
      <c r="G552" s="298"/>
      <c r="H552" s="10"/>
      <c r="I552" s="11"/>
      <c r="J552" s="11"/>
      <c r="K552" s="11"/>
      <c r="L552" s="11"/>
      <c r="M552" s="11"/>
      <c r="N552" s="11"/>
      <c r="O552" s="12"/>
      <c r="P552" s="11"/>
      <c r="Q552" s="13"/>
      <c r="R552" s="14"/>
    </row>
    <row r="553" spans="1:18" ht="15" customHeight="1" x14ac:dyDescent="0.3">
      <c r="A553" s="15" t="s">
        <v>26</v>
      </c>
      <c r="B553" s="15" t="s">
        <v>1024</v>
      </c>
      <c r="C553" s="16">
        <v>0.81944444444444453</v>
      </c>
      <c r="D553" s="15" t="s">
        <v>31</v>
      </c>
      <c r="E553" s="15" t="s">
        <v>115</v>
      </c>
      <c r="F553" s="15" t="s">
        <v>551</v>
      </c>
      <c r="G553" s="298"/>
      <c r="H553" s="10"/>
      <c r="I553" s="11"/>
      <c r="J553" s="11"/>
      <c r="K553" s="11"/>
      <c r="L553" s="11"/>
      <c r="M553" s="11"/>
      <c r="N553" s="11"/>
      <c r="O553" s="12"/>
      <c r="P553" s="11"/>
      <c r="Q553" s="13"/>
      <c r="R553" s="14"/>
    </row>
    <row r="554" spans="1:18" ht="15" customHeight="1" x14ac:dyDescent="0.3">
      <c r="A554" s="15" t="s">
        <v>26</v>
      </c>
      <c r="B554" s="15" t="s">
        <v>1024</v>
      </c>
      <c r="C554" s="16">
        <v>0.81944444444444453</v>
      </c>
      <c r="D554" s="15" t="s">
        <v>34</v>
      </c>
      <c r="E554" s="15" t="s">
        <v>115</v>
      </c>
      <c r="F554" s="15" t="s">
        <v>552</v>
      </c>
      <c r="G554" s="298"/>
      <c r="H554" s="10"/>
      <c r="I554" s="11"/>
      <c r="J554" s="11"/>
      <c r="K554" s="11"/>
      <c r="L554" s="11"/>
      <c r="M554" s="11"/>
      <c r="N554" s="11"/>
      <c r="O554" s="12"/>
      <c r="P554" s="11"/>
      <c r="Q554" s="13"/>
      <c r="R554" s="14"/>
    </row>
    <row r="555" spans="1:18" ht="15" customHeight="1" x14ac:dyDescent="0.3">
      <c r="A555" s="17" t="s">
        <v>26</v>
      </c>
      <c r="B555" s="17" t="s">
        <v>1025</v>
      </c>
      <c r="C555" s="18">
        <v>0.69791666666666663</v>
      </c>
      <c r="D555" s="17" t="s">
        <v>28</v>
      </c>
      <c r="E555" s="17" t="s">
        <v>75</v>
      </c>
      <c r="F555" s="17" t="s">
        <v>550</v>
      </c>
      <c r="G555" s="298"/>
      <c r="H555" s="10"/>
      <c r="I555" s="11"/>
      <c r="J555" s="11"/>
      <c r="K555" s="11"/>
      <c r="L555" s="11"/>
      <c r="M555" s="11"/>
      <c r="N555" s="11"/>
      <c r="O555" s="12"/>
      <c r="P555" s="11"/>
      <c r="Q555" s="13"/>
      <c r="R555" s="14"/>
    </row>
    <row r="556" spans="1:18" ht="15" customHeight="1" x14ac:dyDescent="0.3">
      <c r="A556" s="15" t="s">
        <v>26</v>
      </c>
      <c r="B556" s="15" t="s">
        <v>1025</v>
      </c>
      <c r="C556" s="16">
        <v>0.69791666666666663</v>
      </c>
      <c r="D556" s="15" t="s">
        <v>31</v>
      </c>
      <c r="E556" s="15" t="s">
        <v>98</v>
      </c>
      <c r="F556" s="15" t="s">
        <v>551</v>
      </c>
      <c r="G556" s="298"/>
      <c r="H556" s="10"/>
      <c r="I556" s="11"/>
      <c r="J556" s="11"/>
      <c r="K556" s="11"/>
      <c r="L556" s="11"/>
      <c r="M556" s="11"/>
      <c r="N556" s="11"/>
      <c r="O556" s="12"/>
      <c r="P556" s="11"/>
      <c r="Q556" s="13"/>
      <c r="R556" s="14"/>
    </row>
    <row r="557" spans="1:18" ht="15" customHeight="1" x14ac:dyDescent="0.3">
      <c r="A557" s="15" t="s">
        <v>26</v>
      </c>
      <c r="B557" s="15" t="s">
        <v>1025</v>
      </c>
      <c r="C557" s="16">
        <v>0.69791666666666663</v>
      </c>
      <c r="D557" s="15" t="s">
        <v>34</v>
      </c>
      <c r="E557" s="15" t="s">
        <v>98</v>
      </c>
      <c r="F557" s="15" t="s">
        <v>552</v>
      </c>
      <c r="G557" s="298"/>
      <c r="H557" s="10"/>
      <c r="I557" s="11"/>
      <c r="J557" s="11"/>
      <c r="K557" s="11"/>
      <c r="L557" s="11"/>
      <c r="M557" s="11"/>
      <c r="N557" s="11"/>
      <c r="O557" s="12"/>
      <c r="P557" s="11"/>
      <c r="Q557" s="13"/>
      <c r="R557" s="14"/>
    </row>
    <row r="558" spans="1:18" ht="15" customHeight="1" x14ac:dyDescent="0.3">
      <c r="A558" s="75" t="s">
        <v>77</v>
      </c>
      <c r="B558" s="75" t="s">
        <v>1052</v>
      </c>
      <c r="C558" s="76">
        <v>0.41319444444444442</v>
      </c>
      <c r="D558" s="75" t="s">
        <v>101</v>
      </c>
      <c r="E558" s="75" t="s">
        <v>63</v>
      </c>
      <c r="F558" s="75" t="s">
        <v>1165</v>
      </c>
      <c r="G558" s="298"/>
      <c r="H558" s="78" t="s">
        <v>1054</v>
      </c>
      <c r="I558" s="220">
        <v>0.65920000000000001</v>
      </c>
      <c r="J558" s="80">
        <v>118</v>
      </c>
      <c r="K558" s="81">
        <v>45978</v>
      </c>
      <c r="L558" s="80">
        <v>22</v>
      </c>
      <c r="M558" s="80">
        <v>0</v>
      </c>
      <c r="N558" s="80">
        <v>0</v>
      </c>
      <c r="O558" s="82" t="s">
        <v>1166</v>
      </c>
      <c r="P558" s="83">
        <v>0.41319444444444442</v>
      </c>
      <c r="Q558" s="80">
        <v>179</v>
      </c>
      <c r="R558" s="84" t="s">
        <v>1167</v>
      </c>
    </row>
    <row r="559" spans="1:18" ht="15" customHeight="1" x14ac:dyDescent="0.3">
      <c r="A559" s="19" t="s">
        <v>60</v>
      </c>
      <c r="B559" s="19" t="s">
        <v>1071</v>
      </c>
      <c r="C559" s="20">
        <v>0.44444444444444442</v>
      </c>
      <c r="D559" s="19" t="s">
        <v>65</v>
      </c>
      <c r="E559" s="19" t="s">
        <v>85</v>
      </c>
      <c r="F559" s="19" t="s">
        <v>1103</v>
      </c>
      <c r="G559" s="298"/>
      <c r="H559" s="10"/>
      <c r="I559" s="11"/>
      <c r="J559" s="11"/>
      <c r="K559" s="11"/>
      <c r="L559" s="11"/>
      <c r="M559" s="11"/>
      <c r="N559" s="11"/>
      <c r="O559" s="12"/>
      <c r="P559" s="11"/>
      <c r="Q559" s="13"/>
      <c r="R559" s="14"/>
    </row>
    <row r="560" spans="1:18" ht="15" customHeight="1" x14ac:dyDescent="0.3">
      <c r="A560" s="17" t="s">
        <v>60</v>
      </c>
      <c r="B560" s="17" t="s">
        <v>1064</v>
      </c>
      <c r="C560" s="18">
        <v>0.98263888888888884</v>
      </c>
      <c r="D560" s="17" t="s">
        <v>65</v>
      </c>
      <c r="E560" s="17" t="s">
        <v>54</v>
      </c>
      <c r="F560" s="17" t="s">
        <v>1103</v>
      </c>
      <c r="G560" s="298"/>
      <c r="H560" s="10"/>
      <c r="I560" s="11"/>
      <c r="J560" s="11"/>
      <c r="K560" s="11"/>
      <c r="L560" s="11"/>
      <c r="M560" s="11"/>
      <c r="N560" s="11"/>
      <c r="O560" s="12"/>
      <c r="P560" s="11"/>
      <c r="Q560" s="13"/>
      <c r="R560" s="14"/>
    </row>
    <row r="561" spans="1:18" ht="15" customHeight="1" x14ac:dyDescent="0.3">
      <c r="A561" s="17" t="s">
        <v>60</v>
      </c>
      <c r="B561" s="17" t="s">
        <v>1073</v>
      </c>
      <c r="C561" s="18">
        <v>0.82986111111111116</v>
      </c>
      <c r="D561" s="17" t="s">
        <v>65</v>
      </c>
      <c r="E561" s="17" t="s">
        <v>54</v>
      </c>
      <c r="F561" s="17" t="s">
        <v>1168</v>
      </c>
      <c r="G561" s="298"/>
      <c r="H561" s="10"/>
      <c r="I561" s="11"/>
      <c r="J561" s="11"/>
      <c r="K561" s="11"/>
      <c r="L561" s="11"/>
      <c r="M561" s="11"/>
      <c r="N561" s="11"/>
      <c r="O561" s="12"/>
      <c r="P561" s="11"/>
      <c r="Q561" s="13"/>
      <c r="R561" s="14"/>
    </row>
    <row r="562" spans="1:18" ht="15" customHeight="1" x14ac:dyDescent="0.3">
      <c r="A562" s="17" t="s">
        <v>60</v>
      </c>
      <c r="B562" s="17" t="s">
        <v>1074</v>
      </c>
      <c r="C562" s="18">
        <v>0.62847222222222221</v>
      </c>
      <c r="D562" s="17" t="s">
        <v>65</v>
      </c>
      <c r="E562" s="17" t="s">
        <v>353</v>
      </c>
      <c r="F562" s="17" t="s">
        <v>1168</v>
      </c>
      <c r="G562" s="298"/>
      <c r="H562" s="10"/>
      <c r="I562" s="11"/>
      <c r="J562" s="11"/>
      <c r="K562" s="11"/>
      <c r="L562" s="11"/>
      <c r="M562" s="11"/>
      <c r="N562" s="11"/>
      <c r="O562" s="12"/>
      <c r="P562" s="11"/>
      <c r="Q562" s="13"/>
      <c r="R562" s="14"/>
    </row>
    <row r="563" spans="1:18" ht="15" customHeight="1" x14ac:dyDescent="0.3">
      <c r="A563" s="17" t="s">
        <v>60</v>
      </c>
      <c r="B563" s="17" t="s">
        <v>1067</v>
      </c>
      <c r="C563" s="18">
        <v>0.88888888888888884</v>
      </c>
      <c r="D563" s="17" t="s">
        <v>65</v>
      </c>
      <c r="E563" s="17" t="s">
        <v>72</v>
      </c>
      <c r="F563" s="17" t="s">
        <v>1169</v>
      </c>
      <c r="G563" s="298"/>
      <c r="H563" s="10"/>
      <c r="I563" s="11"/>
      <c r="J563" s="11"/>
      <c r="K563" s="11"/>
      <c r="L563" s="11"/>
      <c r="M563" s="11"/>
      <c r="N563" s="11"/>
      <c r="O563" s="12"/>
      <c r="P563" s="11"/>
      <c r="Q563" s="13"/>
      <c r="R563" s="14"/>
    </row>
    <row r="564" spans="1:18" ht="15" customHeight="1" x14ac:dyDescent="0.3">
      <c r="A564" s="17" t="s">
        <v>60</v>
      </c>
      <c r="B564" s="17" t="s">
        <v>1069</v>
      </c>
      <c r="C564" s="18">
        <v>0.62847222222222221</v>
      </c>
      <c r="D564" s="17" t="s">
        <v>65</v>
      </c>
      <c r="E564" s="17" t="s">
        <v>72</v>
      </c>
      <c r="F564" s="17" t="s">
        <v>1169</v>
      </c>
      <c r="G564" s="298"/>
      <c r="H564" s="10"/>
      <c r="I564" s="11"/>
      <c r="J564" s="11"/>
      <c r="K564" s="11"/>
      <c r="L564" s="11"/>
      <c r="M564" s="11"/>
      <c r="N564" s="11"/>
      <c r="O564" s="12"/>
      <c r="P564" s="11"/>
      <c r="Q564" s="13"/>
      <c r="R564" s="14"/>
    </row>
    <row r="565" spans="1:18" ht="15" customHeight="1" x14ac:dyDescent="0.3">
      <c r="A565" s="17" t="s">
        <v>60</v>
      </c>
      <c r="B565" s="17" t="s">
        <v>1070</v>
      </c>
      <c r="C565" s="18">
        <v>0.94444444444444453</v>
      </c>
      <c r="D565" s="17" t="s">
        <v>65</v>
      </c>
      <c r="E565" s="17" t="s">
        <v>72</v>
      </c>
      <c r="F565" s="17" t="s">
        <v>1169</v>
      </c>
      <c r="G565" s="298"/>
      <c r="H565" s="10"/>
      <c r="I565" s="11"/>
      <c r="J565" s="11"/>
      <c r="K565" s="11"/>
      <c r="L565" s="11"/>
      <c r="M565" s="11"/>
      <c r="N565" s="11"/>
      <c r="O565" s="12"/>
      <c r="P565" s="11"/>
      <c r="Q565" s="13"/>
      <c r="R565" s="14"/>
    </row>
    <row r="566" spans="1:18" ht="15" customHeight="1" x14ac:dyDescent="0.3">
      <c r="A566" s="19" t="s">
        <v>48</v>
      </c>
      <c r="B566" s="19" t="s">
        <v>1059</v>
      </c>
      <c r="C566" s="20">
        <v>0.98611111111111116</v>
      </c>
      <c r="D566" s="19" t="s">
        <v>50</v>
      </c>
      <c r="E566" s="19" t="s">
        <v>63</v>
      </c>
      <c r="F566" s="19" t="s">
        <v>1157</v>
      </c>
      <c r="G566" s="298"/>
      <c r="H566" s="10"/>
      <c r="I566" s="11"/>
      <c r="J566" s="11"/>
      <c r="K566" s="11"/>
      <c r="L566" s="11"/>
      <c r="M566" s="11"/>
      <c r="N566" s="11"/>
      <c r="O566" s="12"/>
      <c r="P566" s="11"/>
      <c r="Q566" s="13"/>
      <c r="R566" s="14"/>
    </row>
    <row r="567" spans="1:18" ht="15" customHeight="1" x14ac:dyDescent="0.3">
      <c r="A567" s="17" t="s">
        <v>48</v>
      </c>
      <c r="B567" s="17" t="s">
        <v>1062</v>
      </c>
      <c r="C567" s="18">
        <v>0.72916666666666663</v>
      </c>
      <c r="D567" s="17" t="s">
        <v>50</v>
      </c>
      <c r="E567" s="17" t="s">
        <v>355</v>
      </c>
      <c r="F567" s="17" t="s">
        <v>1090</v>
      </c>
      <c r="G567" s="298"/>
      <c r="H567" s="10"/>
      <c r="I567" s="11"/>
      <c r="J567" s="11"/>
      <c r="K567" s="11"/>
      <c r="L567" s="11"/>
      <c r="M567" s="11"/>
      <c r="N567" s="11"/>
      <c r="O567" s="12"/>
      <c r="P567" s="11"/>
      <c r="Q567" s="13"/>
      <c r="R567" s="14"/>
    </row>
    <row r="568" spans="1:18" ht="15" customHeight="1" thickBot="1" x14ac:dyDescent="0.35">
      <c r="A568" s="39" t="s">
        <v>48</v>
      </c>
      <c r="B568" s="39" t="s">
        <v>1061</v>
      </c>
      <c r="C568" s="40">
        <v>0.35416666666666669</v>
      </c>
      <c r="D568" s="39" t="s">
        <v>50</v>
      </c>
      <c r="E568" s="39" t="s">
        <v>54</v>
      </c>
      <c r="F568" s="39" t="s">
        <v>1090</v>
      </c>
      <c r="G568" s="299"/>
      <c r="H568" s="41"/>
      <c r="I568" s="42"/>
      <c r="J568" s="42"/>
      <c r="K568" s="42"/>
      <c r="L568" s="42"/>
      <c r="M568" s="42"/>
      <c r="N568" s="42"/>
      <c r="O568" s="43"/>
      <c r="P568" s="42"/>
      <c r="Q568" s="44"/>
      <c r="R568" s="45"/>
    </row>
    <row r="569" spans="1:18" ht="17.399999999999999" customHeight="1" thickBot="1" x14ac:dyDescent="0.35">
      <c r="A569" s="329"/>
      <c r="B569" s="330"/>
      <c r="C569" s="330"/>
      <c r="D569" s="330"/>
      <c r="E569" s="330"/>
      <c r="F569" s="330"/>
      <c r="G569" s="330"/>
      <c r="H569" s="330"/>
      <c r="I569" s="330"/>
      <c r="J569" s="330"/>
      <c r="K569" s="330"/>
      <c r="L569" s="330"/>
      <c r="M569" s="330"/>
      <c r="N569" s="330"/>
      <c r="O569" s="330"/>
      <c r="P569" s="330"/>
      <c r="Q569" s="330"/>
      <c r="R569" s="331"/>
    </row>
    <row r="570" spans="1:18" ht="22.05" customHeight="1" thickTop="1" thickBot="1" x14ac:dyDescent="0.35">
      <c r="A570" s="300" t="s">
        <v>6</v>
      </c>
      <c r="B570" s="295"/>
      <c r="C570" s="295"/>
      <c r="D570" s="295"/>
      <c r="E570" s="295"/>
      <c r="F570" s="296"/>
      <c r="G570" s="31">
        <v>45991</v>
      </c>
      <c r="H570" s="294" t="s">
        <v>7</v>
      </c>
      <c r="I570" s="295"/>
      <c r="J570" s="295"/>
      <c r="K570" s="295"/>
      <c r="L570" s="295"/>
      <c r="M570" s="295"/>
      <c r="N570" s="295"/>
      <c r="O570" s="295"/>
      <c r="P570" s="295"/>
      <c r="Q570" s="295"/>
      <c r="R570" s="296"/>
    </row>
    <row r="571" spans="1:18" ht="24" customHeight="1" x14ac:dyDescent="0.3">
      <c r="A571" s="32" t="s">
        <v>8</v>
      </c>
      <c r="B571" s="32" t="s">
        <v>9</v>
      </c>
      <c r="C571" s="33" t="s">
        <v>10</v>
      </c>
      <c r="D571" s="32" t="s">
        <v>11</v>
      </c>
      <c r="E571" s="32" t="s">
        <v>12</v>
      </c>
      <c r="F571" s="34" t="s">
        <v>13</v>
      </c>
      <c r="G571" s="35" t="s">
        <v>14</v>
      </c>
      <c r="H571" s="32" t="s">
        <v>15</v>
      </c>
      <c r="I571" s="36" t="s">
        <v>16</v>
      </c>
      <c r="J571" s="37" t="s">
        <v>17</v>
      </c>
      <c r="K571" s="38" t="s">
        <v>18</v>
      </c>
      <c r="L571" s="37" t="s">
        <v>19</v>
      </c>
      <c r="M571" s="37" t="s">
        <v>20</v>
      </c>
      <c r="N571" s="37" t="s">
        <v>21</v>
      </c>
      <c r="O571" s="32" t="s">
        <v>22</v>
      </c>
      <c r="P571" s="33" t="s">
        <v>23</v>
      </c>
      <c r="Q571" s="37" t="s">
        <v>24</v>
      </c>
      <c r="R571" s="32" t="s">
        <v>25</v>
      </c>
    </row>
    <row r="572" spans="1:18" ht="15" customHeight="1" x14ac:dyDescent="0.3">
      <c r="A572" s="8" t="s">
        <v>26</v>
      </c>
      <c r="B572" s="8" t="s">
        <v>1026</v>
      </c>
      <c r="C572" s="9">
        <v>0.4375</v>
      </c>
      <c r="D572" s="8" t="s">
        <v>28</v>
      </c>
      <c r="E572" s="8" t="s">
        <v>83</v>
      </c>
      <c r="F572" s="8" t="s">
        <v>810</v>
      </c>
      <c r="G572" s="297"/>
      <c r="H572" s="10"/>
      <c r="I572" s="11"/>
      <c r="J572" s="11"/>
      <c r="K572" s="11"/>
      <c r="L572" s="11"/>
      <c r="M572" s="11"/>
      <c r="N572" s="11"/>
      <c r="O572" s="12"/>
      <c r="P572" s="11"/>
      <c r="Q572" s="13"/>
      <c r="R572" s="14"/>
    </row>
    <row r="573" spans="1:18" ht="15" customHeight="1" x14ac:dyDescent="0.3">
      <c r="A573" s="15" t="s">
        <v>26</v>
      </c>
      <c r="B573" s="15" t="s">
        <v>1026</v>
      </c>
      <c r="C573" s="16">
        <v>0.4375</v>
      </c>
      <c r="D573" s="15" t="s">
        <v>31</v>
      </c>
      <c r="E573" s="15" t="s">
        <v>84</v>
      </c>
      <c r="F573" s="15" t="s">
        <v>1097</v>
      </c>
      <c r="G573" s="298"/>
      <c r="H573" s="10"/>
      <c r="I573" s="11"/>
      <c r="J573" s="11"/>
      <c r="K573" s="11"/>
      <c r="L573" s="11"/>
      <c r="M573" s="11"/>
      <c r="N573" s="11"/>
      <c r="O573" s="12"/>
      <c r="P573" s="11"/>
      <c r="Q573" s="13"/>
      <c r="R573" s="14"/>
    </row>
    <row r="574" spans="1:18" ht="15" customHeight="1" x14ac:dyDescent="0.3">
      <c r="A574" s="15" t="s">
        <v>26</v>
      </c>
      <c r="B574" s="15" t="s">
        <v>1026</v>
      </c>
      <c r="C574" s="16">
        <v>0.4375</v>
      </c>
      <c r="D574" s="15" t="s">
        <v>34</v>
      </c>
      <c r="E574" s="15" t="s">
        <v>84</v>
      </c>
      <c r="F574" s="15" t="s">
        <v>154</v>
      </c>
      <c r="G574" s="298"/>
      <c r="H574" s="10"/>
      <c r="I574" s="11"/>
      <c r="J574" s="11"/>
      <c r="K574" s="11"/>
      <c r="L574" s="11"/>
      <c r="M574" s="11"/>
      <c r="N574" s="11"/>
      <c r="O574" s="12"/>
      <c r="P574" s="11"/>
      <c r="Q574" s="13"/>
      <c r="R574" s="14"/>
    </row>
    <row r="575" spans="1:18" ht="15" customHeight="1" x14ac:dyDescent="0.3">
      <c r="A575" s="17" t="s">
        <v>26</v>
      </c>
      <c r="B575" s="17" t="s">
        <v>1017</v>
      </c>
      <c r="C575" s="18">
        <v>0.95833333333333337</v>
      </c>
      <c r="D575" s="17" t="s">
        <v>28</v>
      </c>
      <c r="E575" s="17" t="s">
        <v>355</v>
      </c>
      <c r="F575" s="17" t="s">
        <v>143</v>
      </c>
      <c r="G575" s="298"/>
      <c r="H575" s="10"/>
      <c r="I575" s="11"/>
      <c r="J575" s="11"/>
      <c r="K575" s="11"/>
      <c r="L575" s="11"/>
      <c r="M575" s="11"/>
      <c r="N575" s="11"/>
      <c r="O575" s="12"/>
      <c r="P575" s="11"/>
      <c r="Q575" s="13"/>
      <c r="R575" s="14"/>
    </row>
    <row r="576" spans="1:18" ht="15" customHeight="1" x14ac:dyDescent="0.3">
      <c r="A576" s="15" t="s">
        <v>26</v>
      </c>
      <c r="B576" s="15" t="s">
        <v>1017</v>
      </c>
      <c r="C576" s="16">
        <v>0.95833333333333337</v>
      </c>
      <c r="D576" s="15" t="s">
        <v>31</v>
      </c>
      <c r="E576" s="15" t="s">
        <v>115</v>
      </c>
      <c r="F576" s="15" t="s">
        <v>478</v>
      </c>
      <c r="G576" s="298"/>
      <c r="H576" s="10"/>
      <c r="I576" s="11"/>
      <c r="J576" s="11"/>
      <c r="K576" s="11"/>
      <c r="L576" s="11"/>
      <c r="M576" s="11"/>
      <c r="N576" s="11"/>
      <c r="O576" s="12"/>
      <c r="P576" s="11"/>
      <c r="Q576" s="13"/>
      <c r="R576" s="14"/>
    </row>
    <row r="577" spans="1:18" ht="15" customHeight="1" x14ac:dyDescent="0.3">
      <c r="A577" s="15" t="s">
        <v>26</v>
      </c>
      <c r="B577" s="15" t="s">
        <v>1017</v>
      </c>
      <c r="C577" s="16">
        <v>0.95833333333333337</v>
      </c>
      <c r="D577" s="15" t="s">
        <v>34</v>
      </c>
      <c r="E577" s="15" t="s">
        <v>115</v>
      </c>
      <c r="F577" s="15" t="s">
        <v>1170</v>
      </c>
      <c r="G577" s="298"/>
      <c r="H577" s="10"/>
      <c r="I577" s="11"/>
      <c r="J577" s="11"/>
      <c r="K577" s="11"/>
      <c r="L577" s="11"/>
      <c r="M577" s="11"/>
      <c r="N577" s="11"/>
      <c r="O577" s="12"/>
      <c r="P577" s="11"/>
      <c r="Q577" s="13"/>
      <c r="R577" s="14"/>
    </row>
    <row r="578" spans="1:18" ht="15" customHeight="1" x14ac:dyDescent="0.3">
      <c r="A578" s="17" t="s">
        <v>26</v>
      </c>
      <c r="B578" s="17" t="s">
        <v>1021</v>
      </c>
      <c r="C578" s="18">
        <v>0.63194444444444442</v>
      </c>
      <c r="D578" s="17" t="s">
        <v>28</v>
      </c>
      <c r="E578" s="17" t="s">
        <v>37</v>
      </c>
      <c r="F578" s="17" t="s">
        <v>143</v>
      </c>
      <c r="G578" s="298"/>
      <c r="H578" s="10"/>
      <c r="I578" s="11"/>
      <c r="J578" s="11"/>
      <c r="K578" s="11"/>
      <c r="L578" s="11"/>
      <c r="M578" s="11"/>
      <c r="N578" s="11"/>
      <c r="O578" s="12"/>
      <c r="P578" s="11"/>
      <c r="Q578" s="13"/>
      <c r="R578" s="14"/>
    </row>
    <row r="579" spans="1:18" ht="15" customHeight="1" x14ac:dyDescent="0.3">
      <c r="A579" s="15" t="s">
        <v>26</v>
      </c>
      <c r="B579" s="15" t="s">
        <v>1021</v>
      </c>
      <c r="C579" s="16">
        <v>0.63194444444444442</v>
      </c>
      <c r="D579" s="15" t="s">
        <v>31</v>
      </c>
      <c r="E579" s="15" t="s">
        <v>38</v>
      </c>
      <c r="F579" s="15" t="s">
        <v>478</v>
      </c>
      <c r="G579" s="298"/>
      <c r="H579" s="10"/>
      <c r="I579" s="11"/>
      <c r="J579" s="11"/>
      <c r="K579" s="11"/>
      <c r="L579" s="11"/>
      <c r="M579" s="11"/>
      <c r="N579" s="11"/>
      <c r="O579" s="12"/>
      <c r="P579" s="11"/>
      <c r="Q579" s="13"/>
      <c r="R579" s="14"/>
    </row>
    <row r="580" spans="1:18" ht="15" customHeight="1" x14ac:dyDescent="0.3">
      <c r="A580" s="15" t="s">
        <v>26</v>
      </c>
      <c r="B580" s="15" t="s">
        <v>1021</v>
      </c>
      <c r="C580" s="16">
        <v>0.63194444444444442</v>
      </c>
      <c r="D580" s="15" t="s">
        <v>34</v>
      </c>
      <c r="E580" s="15" t="s">
        <v>38</v>
      </c>
      <c r="F580" s="15" t="s">
        <v>1170</v>
      </c>
      <c r="G580" s="298"/>
      <c r="H580" s="10"/>
      <c r="I580" s="11"/>
      <c r="J580" s="11"/>
      <c r="K580" s="11"/>
      <c r="L580" s="11"/>
      <c r="M580" s="11"/>
      <c r="N580" s="11"/>
      <c r="O580" s="12"/>
      <c r="P580" s="11"/>
      <c r="Q580" s="13"/>
      <c r="R580" s="14"/>
    </row>
    <row r="581" spans="1:18" ht="15" customHeight="1" x14ac:dyDescent="0.3">
      <c r="A581" s="17" t="s">
        <v>26</v>
      </c>
      <c r="B581" s="17" t="s">
        <v>1023</v>
      </c>
      <c r="C581" s="18">
        <v>0.55902777777777779</v>
      </c>
      <c r="D581" s="17" t="s">
        <v>28</v>
      </c>
      <c r="E581" s="17" t="s">
        <v>58</v>
      </c>
      <c r="F581" s="17" t="s">
        <v>143</v>
      </c>
      <c r="G581" s="298"/>
      <c r="H581" s="10"/>
      <c r="I581" s="11"/>
      <c r="J581" s="11"/>
      <c r="K581" s="11"/>
      <c r="L581" s="11"/>
      <c r="M581" s="11"/>
      <c r="N581" s="11"/>
      <c r="O581" s="12"/>
      <c r="P581" s="11"/>
      <c r="Q581" s="13"/>
      <c r="R581" s="14"/>
    </row>
    <row r="582" spans="1:18" ht="15" customHeight="1" x14ac:dyDescent="0.3">
      <c r="A582" s="15" t="s">
        <v>26</v>
      </c>
      <c r="B582" s="15" t="s">
        <v>1023</v>
      </c>
      <c r="C582" s="16">
        <v>0.55902777777777779</v>
      </c>
      <c r="D582" s="15" t="s">
        <v>31</v>
      </c>
      <c r="E582" s="15" t="s">
        <v>119</v>
      </c>
      <c r="F582" s="15" t="s">
        <v>478</v>
      </c>
      <c r="G582" s="298"/>
      <c r="H582" s="10"/>
      <c r="I582" s="11"/>
      <c r="J582" s="11"/>
      <c r="K582" s="11"/>
      <c r="L582" s="11"/>
      <c r="M582" s="11"/>
      <c r="N582" s="11"/>
      <c r="O582" s="12"/>
      <c r="P582" s="11"/>
      <c r="Q582" s="13"/>
      <c r="R582" s="14"/>
    </row>
    <row r="583" spans="1:18" ht="15" customHeight="1" x14ac:dyDescent="0.3">
      <c r="A583" s="15" t="s">
        <v>26</v>
      </c>
      <c r="B583" s="15" t="s">
        <v>1023</v>
      </c>
      <c r="C583" s="16">
        <v>0.55902777777777779</v>
      </c>
      <c r="D583" s="15" t="s">
        <v>34</v>
      </c>
      <c r="E583" s="15" t="s">
        <v>119</v>
      </c>
      <c r="F583" s="15" t="s">
        <v>1170</v>
      </c>
      <c r="G583" s="298"/>
      <c r="H583" s="10"/>
      <c r="I583" s="11"/>
      <c r="J583" s="11"/>
      <c r="K583" s="11"/>
      <c r="L583" s="11"/>
      <c r="M583" s="11"/>
      <c r="N583" s="11"/>
      <c r="O583" s="12"/>
      <c r="P583" s="11"/>
      <c r="Q583" s="13"/>
      <c r="R583" s="14"/>
    </row>
    <row r="584" spans="1:18" ht="15" customHeight="1" x14ac:dyDescent="0.3">
      <c r="A584" s="17" t="s">
        <v>26</v>
      </c>
      <c r="B584" s="17" t="s">
        <v>1025</v>
      </c>
      <c r="C584" s="18">
        <v>0.69791666666666663</v>
      </c>
      <c r="D584" s="17" t="s">
        <v>28</v>
      </c>
      <c r="E584" s="17" t="s">
        <v>121</v>
      </c>
      <c r="F584" s="17" t="s">
        <v>143</v>
      </c>
      <c r="G584" s="298"/>
      <c r="H584" s="10"/>
      <c r="I584" s="11"/>
      <c r="J584" s="11"/>
      <c r="K584" s="11"/>
      <c r="L584" s="11"/>
      <c r="M584" s="11"/>
      <c r="N584" s="11"/>
      <c r="O584" s="12"/>
      <c r="P584" s="11"/>
      <c r="Q584" s="13"/>
      <c r="R584" s="14"/>
    </row>
    <row r="585" spans="1:18" ht="15" customHeight="1" x14ac:dyDescent="0.3">
      <c r="A585" s="15" t="s">
        <v>26</v>
      </c>
      <c r="B585" s="15" t="s">
        <v>1025</v>
      </c>
      <c r="C585" s="16">
        <v>0.69791666666666663</v>
      </c>
      <c r="D585" s="15" t="s">
        <v>31</v>
      </c>
      <c r="E585" s="15" t="s">
        <v>32</v>
      </c>
      <c r="F585" s="15" t="s">
        <v>478</v>
      </c>
      <c r="G585" s="298"/>
      <c r="H585" s="10"/>
      <c r="I585" s="11"/>
      <c r="J585" s="11"/>
      <c r="K585" s="11"/>
      <c r="L585" s="11"/>
      <c r="M585" s="11"/>
      <c r="N585" s="11"/>
      <c r="O585" s="12"/>
      <c r="P585" s="11"/>
      <c r="Q585" s="13"/>
      <c r="R585" s="14"/>
    </row>
    <row r="586" spans="1:18" ht="15" customHeight="1" x14ac:dyDescent="0.3">
      <c r="A586" s="15" t="s">
        <v>26</v>
      </c>
      <c r="B586" s="15" t="s">
        <v>1025</v>
      </c>
      <c r="C586" s="16">
        <v>0.69791666666666663</v>
      </c>
      <c r="D586" s="15" t="s">
        <v>34</v>
      </c>
      <c r="E586" s="15" t="s">
        <v>32</v>
      </c>
      <c r="F586" s="15" t="s">
        <v>1170</v>
      </c>
      <c r="G586" s="298"/>
      <c r="H586" s="10"/>
      <c r="I586" s="11"/>
      <c r="J586" s="11"/>
      <c r="K586" s="11"/>
      <c r="L586" s="11"/>
      <c r="M586" s="11"/>
      <c r="N586" s="11"/>
      <c r="O586" s="12"/>
      <c r="P586" s="11"/>
      <c r="Q586" s="13"/>
      <c r="R586" s="14"/>
    </row>
    <row r="587" spans="1:18" ht="15" customHeight="1" x14ac:dyDescent="0.3">
      <c r="A587" s="17" t="s">
        <v>26</v>
      </c>
      <c r="B587" s="17" t="s">
        <v>1024</v>
      </c>
      <c r="C587" s="18">
        <v>0.81944444444444453</v>
      </c>
      <c r="D587" s="17" t="s">
        <v>28</v>
      </c>
      <c r="E587" s="17" t="s">
        <v>58</v>
      </c>
      <c r="F587" s="17" t="s">
        <v>149</v>
      </c>
      <c r="G587" s="298"/>
      <c r="H587" s="10"/>
      <c r="I587" s="11"/>
      <c r="J587" s="11"/>
      <c r="K587" s="11"/>
      <c r="L587" s="11"/>
      <c r="M587" s="11"/>
      <c r="N587" s="11"/>
      <c r="O587" s="12"/>
      <c r="P587" s="11"/>
      <c r="Q587" s="13"/>
      <c r="R587" s="14"/>
    </row>
    <row r="588" spans="1:18" ht="15" customHeight="1" x14ac:dyDescent="0.3">
      <c r="A588" s="15" t="s">
        <v>26</v>
      </c>
      <c r="B588" s="15" t="s">
        <v>1024</v>
      </c>
      <c r="C588" s="16">
        <v>0.81944444444444453</v>
      </c>
      <c r="D588" s="15" t="s">
        <v>31</v>
      </c>
      <c r="E588" s="15" t="s">
        <v>119</v>
      </c>
      <c r="F588" s="15" t="s">
        <v>150</v>
      </c>
      <c r="G588" s="298"/>
      <c r="H588" s="10"/>
      <c r="I588" s="11"/>
      <c r="J588" s="11"/>
      <c r="K588" s="11"/>
      <c r="L588" s="11"/>
      <c r="M588" s="11"/>
      <c r="N588" s="11"/>
      <c r="O588" s="12"/>
      <c r="P588" s="11"/>
      <c r="Q588" s="13"/>
      <c r="R588" s="14"/>
    </row>
    <row r="589" spans="1:18" ht="15" customHeight="1" x14ac:dyDescent="0.3">
      <c r="A589" s="15" t="s">
        <v>26</v>
      </c>
      <c r="B589" s="15" t="s">
        <v>1024</v>
      </c>
      <c r="C589" s="16">
        <v>0.81944444444444453</v>
      </c>
      <c r="D589" s="15" t="s">
        <v>34</v>
      </c>
      <c r="E589" s="15" t="s">
        <v>119</v>
      </c>
      <c r="F589" s="15" t="s">
        <v>151</v>
      </c>
      <c r="G589" s="298"/>
      <c r="H589" s="10"/>
      <c r="I589" s="11"/>
      <c r="J589" s="11"/>
      <c r="K589" s="11"/>
      <c r="L589" s="11"/>
      <c r="M589" s="11"/>
      <c r="N589" s="11"/>
      <c r="O589" s="12"/>
      <c r="P589" s="11"/>
      <c r="Q589" s="13"/>
      <c r="R589" s="14"/>
    </row>
    <row r="590" spans="1:18" ht="15" customHeight="1" x14ac:dyDescent="0.3">
      <c r="A590" s="17" t="s">
        <v>26</v>
      </c>
      <c r="B590" s="17" t="s">
        <v>1029</v>
      </c>
      <c r="C590" s="18">
        <v>0.50694444444444442</v>
      </c>
      <c r="D590" s="17" t="s">
        <v>28</v>
      </c>
      <c r="E590" s="17" t="s">
        <v>144</v>
      </c>
      <c r="F590" s="17" t="s">
        <v>149</v>
      </c>
      <c r="G590" s="298"/>
      <c r="H590" s="10"/>
      <c r="I590" s="11"/>
      <c r="J590" s="11"/>
      <c r="K590" s="11"/>
      <c r="L590" s="11"/>
      <c r="M590" s="11"/>
      <c r="N590" s="11"/>
      <c r="O590" s="12"/>
      <c r="P590" s="11"/>
      <c r="Q590" s="13"/>
      <c r="R590" s="14"/>
    </row>
    <row r="591" spans="1:18" ht="15" customHeight="1" x14ac:dyDescent="0.3">
      <c r="A591" s="15" t="s">
        <v>26</v>
      </c>
      <c r="B591" s="15" t="s">
        <v>1029</v>
      </c>
      <c r="C591" s="16">
        <v>0.50694444444444442</v>
      </c>
      <c r="D591" s="15" t="s">
        <v>31</v>
      </c>
      <c r="E591" s="15" t="s">
        <v>133</v>
      </c>
      <c r="F591" s="15" t="s">
        <v>150</v>
      </c>
      <c r="G591" s="298"/>
      <c r="H591" s="10"/>
      <c r="I591" s="11"/>
      <c r="J591" s="11"/>
      <c r="K591" s="11"/>
      <c r="L591" s="11"/>
      <c r="M591" s="11"/>
      <c r="N591" s="11"/>
      <c r="O591" s="12"/>
      <c r="P591" s="11"/>
      <c r="Q591" s="13"/>
      <c r="R591" s="14"/>
    </row>
    <row r="592" spans="1:18" ht="15" customHeight="1" x14ac:dyDescent="0.3">
      <c r="A592" s="15" t="s">
        <v>26</v>
      </c>
      <c r="B592" s="15" t="s">
        <v>1029</v>
      </c>
      <c r="C592" s="16">
        <v>0.50694444444444442</v>
      </c>
      <c r="D592" s="15" t="s">
        <v>34</v>
      </c>
      <c r="E592" s="15" t="s">
        <v>133</v>
      </c>
      <c r="F592" s="15" t="s">
        <v>151</v>
      </c>
      <c r="G592" s="298"/>
      <c r="H592" s="10"/>
      <c r="I592" s="11"/>
      <c r="J592" s="11"/>
      <c r="K592" s="11"/>
      <c r="L592" s="11"/>
      <c r="M592" s="11"/>
      <c r="N592" s="11"/>
      <c r="O592" s="12"/>
      <c r="P592" s="11"/>
      <c r="Q592" s="13"/>
      <c r="R592" s="14"/>
    </row>
    <row r="593" spans="1:18" ht="15" customHeight="1" x14ac:dyDescent="0.3">
      <c r="A593" s="19" t="s">
        <v>41</v>
      </c>
      <c r="B593" s="19" t="s">
        <v>1037</v>
      </c>
      <c r="C593" s="20">
        <v>0.88888888888888884</v>
      </c>
      <c r="D593" s="19" t="s">
        <v>43</v>
      </c>
      <c r="E593" s="19" t="s">
        <v>111</v>
      </c>
      <c r="F593" s="19" t="s">
        <v>33</v>
      </c>
      <c r="G593" s="298"/>
      <c r="H593" s="10"/>
      <c r="I593" s="11"/>
      <c r="J593" s="11"/>
      <c r="K593" s="11"/>
      <c r="L593" s="11"/>
      <c r="M593" s="11"/>
      <c r="N593" s="11"/>
      <c r="O593" s="12"/>
      <c r="P593" s="11"/>
      <c r="Q593" s="13"/>
      <c r="R593" s="14"/>
    </row>
    <row r="594" spans="1:18" ht="15" customHeight="1" x14ac:dyDescent="0.3">
      <c r="A594" s="15" t="s">
        <v>41</v>
      </c>
      <c r="B594" s="15" t="s">
        <v>1037</v>
      </c>
      <c r="C594" s="16">
        <v>0.88888888888888884</v>
      </c>
      <c r="D594" s="15" t="s">
        <v>45</v>
      </c>
      <c r="E594" s="15" t="s">
        <v>115</v>
      </c>
      <c r="F594" s="15" t="s">
        <v>132</v>
      </c>
      <c r="G594" s="298"/>
      <c r="H594" s="10"/>
      <c r="I594" s="11"/>
      <c r="J594" s="11"/>
      <c r="K594" s="11"/>
      <c r="L594" s="11"/>
      <c r="M594" s="11"/>
      <c r="N594" s="11"/>
      <c r="O594" s="12"/>
      <c r="P594" s="11"/>
      <c r="Q594" s="13"/>
      <c r="R594" s="14"/>
    </row>
    <row r="595" spans="1:18" ht="15" customHeight="1" x14ac:dyDescent="0.3">
      <c r="A595" s="15" t="s">
        <v>41</v>
      </c>
      <c r="B595" s="15" t="s">
        <v>1037</v>
      </c>
      <c r="C595" s="16">
        <v>0.88888888888888884</v>
      </c>
      <c r="D595" s="15" t="s">
        <v>46</v>
      </c>
      <c r="E595" s="15" t="s">
        <v>115</v>
      </c>
      <c r="F595" s="15" t="s">
        <v>532</v>
      </c>
      <c r="G595" s="298"/>
      <c r="H595" s="10"/>
      <c r="I595" s="11"/>
      <c r="J595" s="11"/>
      <c r="K595" s="11"/>
      <c r="L595" s="11"/>
      <c r="M595" s="11"/>
      <c r="N595" s="11"/>
      <c r="O595" s="12"/>
      <c r="P595" s="11"/>
      <c r="Q595" s="13"/>
      <c r="R595" s="14"/>
    </row>
    <row r="596" spans="1:18" ht="15" customHeight="1" x14ac:dyDescent="0.3">
      <c r="A596" s="17" t="s">
        <v>41</v>
      </c>
      <c r="B596" s="17" t="s">
        <v>1034</v>
      </c>
      <c r="C596" s="18">
        <v>0.62847222222222221</v>
      </c>
      <c r="D596" s="17" t="s">
        <v>43</v>
      </c>
      <c r="E596" s="17" t="s">
        <v>1096</v>
      </c>
      <c r="F596" s="17" t="s">
        <v>143</v>
      </c>
      <c r="G596" s="298"/>
      <c r="H596" s="10"/>
      <c r="I596" s="11"/>
      <c r="J596" s="11"/>
      <c r="K596" s="11"/>
      <c r="L596" s="11"/>
      <c r="M596" s="11"/>
      <c r="N596" s="11"/>
      <c r="O596" s="12"/>
      <c r="P596" s="11"/>
      <c r="Q596" s="13"/>
      <c r="R596" s="14"/>
    </row>
    <row r="597" spans="1:18" ht="15" customHeight="1" x14ac:dyDescent="0.3">
      <c r="A597" s="15" t="s">
        <v>41</v>
      </c>
      <c r="B597" s="15" t="s">
        <v>1034</v>
      </c>
      <c r="C597" s="16">
        <v>0.62847222222222221</v>
      </c>
      <c r="D597" s="15" t="s">
        <v>45</v>
      </c>
      <c r="E597" s="15" t="s">
        <v>131</v>
      </c>
      <c r="F597" s="15" t="s">
        <v>47</v>
      </c>
      <c r="G597" s="298"/>
      <c r="H597" s="10"/>
      <c r="I597" s="11"/>
      <c r="J597" s="11"/>
      <c r="K597" s="11"/>
      <c r="L597" s="11"/>
      <c r="M597" s="11"/>
      <c r="N597" s="11"/>
      <c r="O597" s="12"/>
      <c r="P597" s="11"/>
      <c r="Q597" s="13"/>
      <c r="R597" s="14"/>
    </row>
    <row r="598" spans="1:18" ht="15" customHeight="1" x14ac:dyDescent="0.3">
      <c r="A598" s="15" t="s">
        <v>41</v>
      </c>
      <c r="B598" s="15" t="s">
        <v>1034</v>
      </c>
      <c r="C598" s="16">
        <v>0.62847222222222221</v>
      </c>
      <c r="D598" s="15" t="s">
        <v>46</v>
      </c>
      <c r="E598" s="15" t="s">
        <v>131</v>
      </c>
      <c r="F598" s="15" t="s">
        <v>532</v>
      </c>
      <c r="G598" s="298"/>
      <c r="H598" s="10"/>
      <c r="I598" s="11"/>
      <c r="J598" s="11"/>
      <c r="K598" s="11"/>
      <c r="L598" s="11"/>
      <c r="M598" s="11"/>
      <c r="N598" s="11"/>
      <c r="O598" s="12"/>
      <c r="P598" s="11"/>
      <c r="Q598" s="13"/>
      <c r="R598" s="14"/>
    </row>
    <row r="599" spans="1:18" ht="15" customHeight="1" x14ac:dyDescent="0.3">
      <c r="A599" s="17" t="s">
        <v>41</v>
      </c>
      <c r="B599" s="17" t="s">
        <v>1030</v>
      </c>
      <c r="C599" s="18">
        <v>0.57638888888888895</v>
      </c>
      <c r="D599" s="17" t="s">
        <v>43</v>
      </c>
      <c r="E599" s="17" t="s">
        <v>1094</v>
      </c>
      <c r="F599" s="17" t="s">
        <v>154</v>
      </c>
      <c r="G599" s="298"/>
      <c r="H599" s="10"/>
      <c r="I599" s="11"/>
      <c r="J599" s="11"/>
      <c r="K599" s="11"/>
      <c r="L599" s="11"/>
      <c r="M599" s="11"/>
      <c r="N599" s="11"/>
      <c r="O599" s="12"/>
      <c r="P599" s="11"/>
      <c r="Q599" s="13"/>
      <c r="R599" s="14"/>
    </row>
    <row r="600" spans="1:18" ht="15" customHeight="1" x14ac:dyDescent="0.3">
      <c r="A600" s="15" t="s">
        <v>41</v>
      </c>
      <c r="B600" s="15" t="s">
        <v>1030</v>
      </c>
      <c r="C600" s="16">
        <v>0.57638888888888895</v>
      </c>
      <c r="D600" s="15" t="s">
        <v>45</v>
      </c>
      <c r="E600" s="15" t="s">
        <v>1095</v>
      </c>
      <c r="F600" s="15" t="s">
        <v>124</v>
      </c>
      <c r="G600" s="298"/>
      <c r="H600" s="10"/>
      <c r="I600" s="11"/>
      <c r="J600" s="11"/>
      <c r="K600" s="11"/>
      <c r="L600" s="11"/>
      <c r="M600" s="11"/>
      <c r="N600" s="11"/>
      <c r="O600" s="12"/>
      <c r="P600" s="11"/>
      <c r="Q600" s="13"/>
      <c r="R600" s="14"/>
    </row>
    <row r="601" spans="1:18" ht="15" customHeight="1" x14ac:dyDescent="0.3">
      <c r="A601" s="15" t="s">
        <v>41</v>
      </c>
      <c r="B601" s="15" t="s">
        <v>1030</v>
      </c>
      <c r="C601" s="16">
        <v>0.57638888888888895</v>
      </c>
      <c r="D601" s="15" t="s">
        <v>46</v>
      </c>
      <c r="E601" s="15" t="s">
        <v>1095</v>
      </c>
      <c r="F601" s="15" t="s">
        <v>1081</v>
      </c>
      <c r="G601" s="298"/>
      <c r="H601" s="10"/>
      <c r="I601" s="11"/>
      <c r="J601" s="11"/>
      <c r="K601" s="11"/>
      <c r="L601" s="11"/>
      <c r="M601" s="11"/>
      <c r="N601" s="11"/>
      <c r="O601" s="12"/>
      <c r="P601" s="11"/>
      <c r="Q601" s="13"/>
      <c r="R601" s="14"/>
    </row>
    <row r="602" spans="1:18" ht="15" customHeight="1" x14ac:dyDescent="0.3">
      <c r="A602" s="17" t="s">
        <v>41</v>
      </c>
      <c r="B602" s="17" t="s">
        <v>1040</v>
      </c>
      <c r="C602" s="18">
        <v>0.94444444444444453</v>
      </c>
      <c r="D602" s="17" t="s">
        <v>43</v>
      </c>
      <c r="E602" s="17" t="s">
        <v>1109</v>
      </c>
      <c r="F602" s="17" t="s">
        <v>154</v>
      </c>
      <c r="G602" s="298"/>
      <c r="H602" s="10"/>
      <c r="I602" s="11"/>
      <c r="J602" s="11"/>
      <c r="K602" s="11"/>
      <c r="L602" s="11"/>
      <c r="M602" s="11"/>
      <c r="N602" s="11"/>
      <c r="O602" s="12"/>
      <c r="P602" s="11"/>
      <c r="Q602" s="13"/>
      <c r="R602" s="14"/>
    </row>
    <row r="603" spans="1:18" ht="15" customHeight="1" x14ac:dyDescent="0.3">
      <c r="A603" s="15" t="s">
        <v>41</v>
      </c>
      <c r="B603" s="15" t="s">
        <v>1040</v>
      </c>
      <c r="C603" s="16">
        <v>0.94444444444444453</v>
      </c>
      <c r="D603" s="15" t="s">
        <v>45</v>
      </c>
      <c r="E603" s="15" t="s">
        <v>1110</v>
      </c>
      <c r="F603" s="15" t="s">
        <v>124</v>
      </c>
      <c r="G603" s="298"/>
      <c r="H603" s="10"/>
      <c r="I603" s="11"/>
      <c r="J603" s="11"/>
      <c r="K603" s="11"/>
      <c r="L603" s="11"/>
      <c r="M603" s="11"/>
      <c r="N603" s="11"/>
      <c r="O603" s="12"/>
      <c r="P603" s="11"/>
      <c r="Q603" s="13"/>
      <c r="R603" s="14"/>
    </row>
    <row r="604" spans="1:18" ht="15" customHeight="1" x14ac:dyDescent="0.3">
      <c r="A604" s="15" t="s">
        <v>41</v>
      </c>
      <c r="B604" s="15" t="s">
        <v>1040</v>
      </c>
      <c r="C604" s="16">
        <v>0.94444444444444453</v>
      </c>
      <c r="D604" s="15" t="s">
        <v>46</v>
      </c>
      <c r="E604" s="15" t="s">
        <v>1110</v>
      </c>
      <c r="F604" s="15" t="s">
        <v>1081</v>
      </c>
      <c r="G604" s="298"/>
      <c r="H604" s="10"/>
      <c r="I604" s="11"/>
      <c r="J604" s="11"/>
      <c r="K604" s="11"/>
      <c r="L604" s="11"/>
      <c r="M604" s="11"/>
      <c r="N604" s="11"/>
      <c r="O604" s="12"/>
      <c r="P604" s="11"/>
      <c r="Q604" s="13"/>
      <c r="R604" s="14"/>
    </row>
    <row r="605" spans="1:18" ht="15" customHeight="1" x14ac:dyDescent="0.3">
      <c r="A605" s="154" t="s">
        <v>77</v>
      </c>
      <c r="B605" s="154" t="s">
        <v>1052</v>
      </c>
      <c r="C605" s="155">
        <v>0.42708333333333331</v>
      </c>
      <c r="D605" s="154" t="s">
        <v>101</v>
      </c>
      <c r="E605" s="154" t="s">
        <v>83</v>
      </c>
      <c r="F605" s="154" t="s">
        <v>1171</v>
      </c>
      <c r="G605" s="298"/>
      <c r="H605" s="157" t="s">
        <v>1054</v>
      </c>
      <c r="I605" s="229">
        <v>0.56420000000000003</v>
      </c>
      <c r="J605" s="159">
        <v>101</v>
      </c>
      <c r="K605" s="160">
        <v>45980</v>
      </c>
      <c r="L605" s="159">
        <v>21</v>
      </c>
      <c r="M605" s="159">
        <v>1</v>
      </c>
      <c r="N605" s="159">
        <v>2</v>
      </c>
      <c r="O605" s="161" t="s">
        <v>1172</v>
      </c>
      <c r="P605" s="162">
        <v>0.42708333333333331</v>
      </c>
      <c r="Q605" s="159">
        <v>179</v>
      </c>
      <c r="R605" s="163" t="s">
        <v>1173</v>
      </c>
    </row>
    <row r="606" spans="1:18" ht="15" customHeight="1" x14ac:dyDescent="0.3">
      <c r="A606" s="19" t="s">
        <v>458</v>
      </c>
      <c r="B606" s="19" t="s">
        <v>1111</v>
      </c>
      <c r="C606" s="20">
        <v>0.39930555555555558</v>
      </c>
      <c r="D606" s="19" t="s">
        <v>101</v>
      </c>
      <c r="E606" s="19" t="s">
        <v>118</v>
      </c>
      <c r="F606" s="19" t="s">
        <v>1174</v>
      </c>
      <c r="G606" s="298"/>
      <c r="H606" s="10"/>
      <c r="I606" s="11"/>
      <c r="J606" s="11"/>
      <c r="K606" s="11"/>
      <c r="L606" s="11"/>
      <c r="M606" s="11"/>
      <c r="N606" s="11"/>
      <c r="O606" s="12"/>
      <c r="P606" s="11"/>
      <c r="Q606" s="13"/>
      <c r="R606" s="14"/>
    </row>
    <row r="607" spans="1:18" ht="15" customHeight="1" x14ac:dyDescent="0.3">
      <c r="A607" s="19" t="s">
        <v>385</v>
      </c>
      <c r="B607" s="19" t="s">
        <v>1043</v>
      </c>
      <c r="C607" s="20">
        <v>0.1736111111111111</v>
      </c>
      <c r="D607" s="19" t="s">
        <v>101</v>
      </c>
      <c r="E607" s="19" t="s">
        <v>96</v>
      </c>
      <c r="F607" s="19" t="s">
        <v>441</v>
      </c>
      <c r="G607" s="298"/>
      <c r="H607" s="10"/>
      <c r="I607" s="11"/>
      <c r="J607" s="11"/>
      <c r="K607" s="11"/>
      <c r="L607" s="11"/>
      <c r="M607" s="11"/>
      <c r="N607" s="11"/>
      <c r="O607" s="12"/>
      <c r="P607" s="11"/>
      <c r="Q607" s="13"/>
      <c r="R607" s="14"/>
    </row>
    <row r="608" spans="1:18" ht="15" customHeight="1" x14ac:dyDescent="0.3">
      <c r="A608" s="17" t="s">
        <v>385</v>
      </c>
      <c r="B608" s="17" t="s">
        <v>1100</v>
      </c>
      <c r="C608" s="18">
        <v>0.13194444444444439</v>
      </c>
      <c r="D608" s="17" t="s">
        <v>101</v>
      </c>
      <c r="E608" s="17" t="s">
        <v>54</v>
      </c>
      <c r="F608" s="17" t="s">
        <v>1149</v>
      </c>
      <c r="G608" s="298"/>
      <c r="H608" s="10"/>
      <c r="I608" s="11"/>
      <c r="J608" s="11"/>
      <c r="K608" s="11"/>
      <c r="L608" s="11"/>
      <c r="M608" s="11"/>
      <c r="N608" s="11"/>
      <c r="O608" s="12"/>
      <c r="P608" s="11"/>
      <c r="Q608" s="13"/>
      <c r="R608" s="14"/>
    </row>
    <row r="609" spans="1:18" ht="15" customHeight="1" x14ac:dyDescent="0.3">
      <c r="A609" s="19" t="s">
        <v>60</v>
      </c>
      <c r="B609" s="19" t="s">
        <v>1071</v>
      </c>
      <c r="C609" s="20">
        <v>0.44444444444444442</v>
      </c>
      <c r="D609" s="19" t="s">
        <v>65</v>
      </c>
      <c r="E609" s="19" t="s">
        <v>63</v>
      </c>
      <c r="F609" s="19" t="s">
        <v>1145</v>
      </c>
      <c r="G609" s="298"/>
      <c r="H609" s="10"/>
      <c r="I609" s="11"/>
      <c r="J609" s="11"/>
      <c r="K609" s="11"/>
      <c r="L609" s="11"/>
      <c r="M609" s="11"/>
      <c r="N609" s="11"/>
      <c r="O609" s="12"/>
      <c r="P609" s="11"/>
      <c r="Q609" s="13"/>
      <c r="R609" s="14"/>
    </row>
    <row r="610" spans="1:18" ht="15" customHeight="1" x14ac:dyDescent="0.3">
      <c r="A610" s="17" t="s">
        <v>60</v>
      </c>
      <c r="B610" s="17" t="s">
        <v>1073</v>
      </c>
      <c r="C610" s="18">
        <v>0.82986111111111116</v>
      </c>
      <c r="D610" s="17" t="s">
        <v>65</v>
      </c>
      <c r="E610" s="17" t="s">
        <v>54</v>
      </c>
      <c r="F610" s="17" t="s">
        <v>1145</v>
      </c>
      <c r="G610" s="298"/>
      <c r="H610" s="10"/>
      <c r="I610" s="11"/>
      <c r="J610" s="11"/>
      <c r="K610" s="11"/>
      <c r="L610" s="11"/>
      <c r="M610" s="11"/>
      <c r="N610" s="11"/>
      <c r="O610" s="12"/>
      <c r="P610" s="11"/>
      <c r="Q610" s="13"/>
      <c r="R610" s="14"/>
    </row>
    <row r="611" spans="1:18" ht="15" customHeight="1" x14ac:dyDescent="0.3">
      <c r="A611" s="17" t="s">
        <v>60</v>
      </c>
      <c r="B611" s="17" t="s">
        <v>1064</v>
      </c>
      <c r="C611" s="18">
        <v>0.98263888888888884</v>
      </c>
      <c r="D611" s="17" t="s">
        <v>65</v>
      </c>
      <c r="E611" s="17" t="s">
        <v>54</v>
      </c>
      <c r="F611" s="17" t="s">
        <v>1145</v>
      </c>
      <c r="G611" s="298"/>
      <c r="H611" s="10"/>
      <c r="I611" s="11"/>
      <c r="J611" s="11"/>
      <c r="K611" s="11"/>
      <c r="L611" s="11"/>
      <c r="M611" s="11"/>
      <c r="N611" s="11"/>
      <c r="O611" s="12"/>
      <c r="P611" s="11"/>
      <c r="Q611" s="13"/>
      <c r="R611" s="14"/>
    </row>
    <row r="612" spans="1:18" ht="15" customHeight="1" x14ac:dyDescent="0.3">
      <c r="A612" s="17" t="s">
        <v>60</v>
      </c>
      <c r="B612" s="17" t="s">
        <v>1116</v>
      </c>
      <c r="C612" s="18">
        <v>0.69791666666666663</v>
      </c>
      <c r="D612" s="17" t="s">
        <v>65</v>
      </c>
      <c r="E612" s="17" t="s">
        <v>54</v>
      </c>
      <c r="F612" s="17" t="s">
        <v>1145</v>
      </c>
      <c r="G612" s="298"/>
      <c r="H612" s="10"/>
      <c r="I612" s="11"/>
      <c r="J612" s="11"/>
      <c r="K612" s="11"/>
      <c r="L612" s="11"/>
      <c r="M612" s="11"/>
      <c r="N612" s="11"/>
      <c r="O612" s="12"/>
      <c r="P612" s="11"/>
      <c r="Q612" s="13"/>
      <c r="R612" s="14"/>
    </row>
    <row r="613" spans="1:18" ht="15" customHeight="1" x14ac:dyDescent="0.3">
      <c r="A613" s="17" t="s">
        <v>60</v>
      </c>
      <c r="B613" s="17" t="s">
        <v>1074</v>
      </c>
      <c r="C613" s="18">
        <v>0.62847222222222221</v>
      </c>
      <c r="D613" s="17" t="s">
        <v>65</v>
      </c>
      <c r="E613" s="17" t="s">
        <v>54</v>
      </c>
      <c r="F613" s="17" t="s">
        <v>1145</v>
      </c>
      <c r="G613" s="298"/>
      <c r="H613" s="10"/>
      <c r="I613" s="11"/>
      <c r="J613" s="11"/>
      <c r="K613" s="11"/>
      <c r="L613" s="11"/>
      <c r="M613" s="11"/>
      <c r="N613" s="11"/>
      <c r="O613" s="12"/>
      <c r="P613" s="11"/>
      <c r="Q613" s="13"/>
      <c r="R613" s="14"/>
    </row>
    <row r="614" spans="1:18" ht="15" customHeight="1" x14ac:dyDescent="0.3">
      <c r="A614" s="17" t="s">
        <v>60</v>
      </c>
      <c r="B614" s="17" t="s">
        <v>1067</v>
      </c>
      <c r="C614" s="18">
        <v>0.88888888888888884</v>
      </c>
      <c r="D614" s="17" t="s">
        <v>65</v>
      </c>
      <c r="E614" s="17" t="s">
        <v>72</v>
      </c>
      <c r="F614" s="17" t="s">
        <v>1147</v>
      </c>
      <c r="G614" s="298"/>
      <c r="H614" s="10"/>
      <c r="I614" s="11"/>
      <c r="J614" s="11"/>
      <c r="K614" s="11"/>
      <c r="L614" s="11"/>
      <c r="M614" s="11"/>
      <c r="N614" s="11"/>
      <c r="O614" s="12"/>
      <c r="P614" s="11"/>
      <c r="Q614" s="13"/>
      <c r="R614" s="14"/>
    </row>
    <row r="615" spans="1:18" ht="15" customHeight="1" x14ac:dyDescent="0.3">
      <c r="A615" s="17" t="s">
        <v>60</v>
      </c>
      <c r="B615" s="17" t="s">
        <v>1069</v>
      </c>
      <c r="C615" s="18">
        <v>0.62847222222222221</v>
      </c>
      <c r="D615" s="17" t="s">
        <v>65</v>
      </c>
      <c r="E615" s="17" t="s">
        <v>72</v>
      </c>
      <c r="F615" s="17" t="s">
        <v>1147</v>
      </c>
      <c r="G615" s="298"/>
      <c r="H615" s="10"/>
      <c r="I615" s="11"/>
      <c r="J615" s="11"/>
      <c r="K615" s="11"/>
      <c r="L615" s="11"/>
      <c r="M615" s="11"/>
      <c r="N615" s="11"/>
      <c r="O615" s="12"/>
      <c r="P615" s="11"/>
      <c r="Q615" s="13"/>
      <c r="R615" s="14"/>
    </row>
    <row r="616" spans="1:18" ht="15" customHeight="1" x14ac:dyDescent="0.3">
      <c r="A616" s="17" t="s">
        <v>60</v>
      </c>
      <c r="B616" s="17" t="s">
        <v>1070</v>
      </c>
      <c r="C616" s="18">
        <v>0.94444444444444453</v>
      </c>
      <c r="D616" s="17" t="s">
        <v>65</v>
      </c>
      <c r="E616" s="17" t="s">
        <v>72</v>
      </c>
      <c r="F616" s="17" t="s">
        <v>1156</v>
      </c>
      <c r="G616" s="298"/>
      <c r="H616" s="10"/>
      <c r="I616" s="11"/>
      <c r="J616" s="11"/>
      <c r="K616" s="11"/>
      <c r="L616" s="11"/>
      <c r="M616" s="11"/>
      <c r="N616" s="11"/>
      <c r="O616" s="12"/>
      <c r="P616" s="11"/>
      <c r="Q616" s="13"/>
      <c r="R616" s="14"/>
    </row>
    <row r="617" spans="1:18" ht="15" customHeight="1" x14ac:dyDescent="0.3">
      <c r="A617" s="19" t="s">
        <v>48</v>
      </c>
      <c r="B617" s="19" t="s">
        <v>1059</v>
      </c>
      <c r="C617" s="20">
        <v>0.98263888888888884</v>
      </c>
      <c r="D617" s="19" t="s">
        <v>50</v>
      </c>
      <c r="E617" s="19" t="s">
        <v>63</v>
      </c>
      <c r="F617" s="19" t="s">
        <v>1138</v>
      </c>
      <c r="G617" s="298"/>
      <c r="H617" s="10"/>
      <c r="I617" s="11"/>
      <c r="J617" s="11"/>
      <c r="K617" s="11"/>
      <c r="L617" s="11"/>
      <c r="M617" s="11"/>
      <c r="N617" s="11"/>
      <c r="O617" s="12"/>
      <c r="P617" s="11"/>
      <c r="Q617" s="13"/>
      <c r="R617" s="14"/>
    </row>
    <row r="618" spans="1:18" ht="15" customHeight="1" x14ac:dyDescent="0.3">
      <c r="A618" s="17" t="s">
        <v>48</v>
      </c>
      <c r="B618" s="17" t="s">
        <v>1062</v>
      </c>
      <c r="C618" s="18">
        <v>0.72916666666666663</v>
      </c>
      <c r="D618" s="17" t="s">
        <v>50</v>
      </c>
      <c r="E618" s="17" t="s">
        <v>54</v>
      </c>
      <c r="F618" s="17" t="s">
        <v>1175</v>
      </c>
      <c r="G618" s="298"/>
      <c r="H618" s="10"/>
      <c r="I618" s="11"/>
      <c r="J618" s="11"/>
      <c r="K618" s="11"/>
      <c r="L618" s="11"/>
      <c r="M618" s="11"/>
      <c r="N618" s="11"/>
      <c r="O618" s="12"/>
      <c r="P618" s="11"/>
      <c r="Q618" s="13"/>
      <c r="R618" s="14"/>
    </row>
    <row r="619" spans="1:18" ht="15" customHeight="1" x14ac:dyDescent="0.3">
      <c r="A619" s="39" t="s">
        <v>48</v>
      </c>
      <c r="B619" s="39" t="s">
        <v>1061</v>
      </c>
      <c r="C619" s="40">
        <v>0.35416666666666669</v>
      </c>
      <c r="D619" s="39" t="s">
        <v>50</v>
      </c>
      <c r="E619" s="39" t="s">
        <v>54</v>
      </c>
      <c r="F619" s="39" t="s">
        <v>491</v>
      </c>
      <c r="G619" s="299"/>
      <c r="H619" s="41"/>
      <c r="I619" s="42"/>
      <c r="J619" s="42"/>
      <c r="K619" s="42"/>
      <c r="L619" s="42"/>
      <c r="M619" s="42"/>
      <c r="N619" s="42"/>
      <c r="O619" s="43"/>
      <c r="P619" s="42"/>
      <c r="Q619" s="44"/>
      <c r="R619" s="45"/>
    </row>
  </sheetData>
  <mergeCells count="50">
    <mergeCell ref="G518:G568"/>
    <mergeCell ref="A275:R275"/>
    <mergeCell ref="H139:R139"/>
    <mergeCell ref="A349:R349"/>
    <mergeCell ref="A570:F570"/>
    <mergeCell ref="A488:F488"/>
    <mergeCell ref="A516:F516"/>
    <mergeCell ref="H405:R405"/>
    <mergeCell ref="G572:G619"/>
    <mergeCell ref="A4:F4"/>
    <mergeCell ref="G352:G403"/>
    <mergeCell ref="G141:G203"/>
    <mergeCell ref="A404:R404"/>
    <mergeCell ref="A436:F436"/>
    <mergeCell ref="G207:G274"/>
    <mergeCell ref="G407:G434"/>
    <mergeCell ref="G438:G486"/>
    <mergeCell ref="H570:R570"/>
    <mergeCell ref="H488:R488"/>
    <mergeCell ref="A435:R435"/>
    <mergeCell ref="A276:F276"/>
    <mergeCell ref="G278:G348"/>
    <mergeCell ref="A569:R569"/>
    <mergeCell ref="A350:F350"/>
    <mergeCell ref="H516:R516"/>
    <mergeCell ref="A75:R75"/>
    <mergeCell ref="A139:F139"/>
    <mergeCell ref="A487:R487"/>
    <mergeCell ref="H4:R4"/>
    <mergeCell ref="A76:F76"/>
    <mergeCell ref="H276:R276"/>
    <mergeCell ref="A204:R204"/>
    <mergeCell ref="A405:F405"/>
    <mergeCell ref="A515:R515"/>
    <mergeCell ref="H350:R350"/>
    <mergeCell ref="A138:R138"/>
    <mergeCell ref="H76:R76"/>
    <mergeCell ref="G6:G74"/>
    <mergeCell ref="G78:G137"/>
    <mergeCell ref="A205:F205"/>
    <mergeCell ref="G490:G514"/>
    <mergeCell ref="H436:R436"/>
    <mergeCell ref="H1:L1"/>
    <mergeCell ref="A1:E1"/>
    <mergeCell ref="H205:R205"/>
    <mergeCell ref="A2:F2"/>
    <mergeCell ref="A3:R3"/>
    <mergeCell ref="G2:J2"/>
    <mergeCell ref="N1:R1"/>
    <mergeCell ref="K2:R2"/>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16"/>
  <sheetViews>
    <sheetView workbookViewId="0"/>
  </sheetViews>
  <sheetFormatPr defaultRowHeight="15.6" outlineLevelCol="1" x14ac:dyDescent="0.3"/>
  <cols>
    <col min="1" max="1" width="11.5546875" style="316" bestFit="1" customWidth="1"/>
    <col min="2" max="2" width="10.44140625" style="316" bestFit="1" customWidth="1"/>
    <col min="3" max="3" width="6.77734375" style="316" bestFit="1" customWidth="1"/>
    <col min="4" max="4" width="5.5546875" style="316" bestFit="1" customWidth="1"/>
    <col min="5" max="5" width="8.33203125" style="316" bestFit="1" customWidth="1"/>
    <col min="6" max="6" width="4.21875" style="316" bestFit="1" customWidth="1"/>
    <col min="7" max="7" width="10" style="316" bestFit="1" customWidth="1"/>
    <col min="8" max="9" width="8.5546875" style="316" bestFit="1" customWidth="1"/>
    <col min="10"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19" width="3.88671875" style="316" bestFit="1" customWidth="1"/>
    <col min="20" max="20" width="4.44140625" style="316" bestFit="1" customWidth="1"/>
    <col min="21" max="21" width="3.88671875" style="316" bestFit="1" customWidth="1"/>
    <col min="22" max="22" width="4.21875" style="316" bestFit="1" customWidth="1"/>
    <col min="23" max="23" width="4.33203125" style="316" bestFit="1" customWidth="1"/>
    <col min="24" max="24" width="4.1093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1054</v>
      </c>
      <c r="D2" s="320" t="s">
        <v>1176</v>
      </c>
      <c r="E2" s="319" t="s">
        <v>1016</v>
      </c>
      <c r="F2" s="319" t="s">
        <v>189</v>
      </c>
      <c r="G2" s="321">
        <v>0.57540000000000002</v>
      </c>
      <c r="H2" s="322">
        <v>179</v>
      </c>
      <c r="I2" s="322">
        <v>103</v>
      </c>
      <c r="J2" s="322">
        <v>0</v>
      </c>
      <c r="K2" s="319" t="s">
        <v>190</v>
      </c>
      <c r="L2" s="323">
        <v>45980</v>
      </c>
      <c r="M2" s="322">
        <v>1</v>
      </c>
      <c r="N2" s="322">
        <v>5</v>
      </c>
      <c r="O2" s="322">
        <v>45</v>
      </c>
      <c r="P2" s="319" t="s">
        <v>881</v>
      </c>
      <c r="Q2" s="315"/>
      <c r="R2" s="315"/>
      <c r="S2" s="315"/>
      <c r="T2" s="315"/>
      <c r="U2" s="315"/>
      <c r="V2" s="315"/>
      <c r="W2" s="315"/>
      <c r="X2" s="315"/>
      <c r="Y2" s="315"/>
      <c r="Z2" s="315"/>
      <c r="AA2" s="315"/>
      <c r="AB2" s="322" t="s">
        <v>645</v>
      </c>
      <c r="AC2" s="322" t="s">
        <v>1177</v>
      </c>
      <c r="AD2" s="322" t="s">
        <v>964</v>
      </c>
      <c r="AE2" s="322" t="s">
        <v>588</v>
      </c>
      <c r="AF2" s="322" t="s">
        <v>1178</v>
      </c>
      <c r="AG2" s="315"/>
      <c r="AH2" s="315"/>
      <c r="AI2" s="315"/>
      <c r="AJ2" s="315"/>
    </row>
    <row r="3" spans="1:36" x14ac:dyDescent="0.3">
      <c r="A3" s="317" t="s">
        <v>606</v>
      </c>
      <c r="B3" s="318">
        <v>45982</v>
      </c>
      <c r="C3" s="319" t="s">
        <v>1054</v>
      </c>
      <c r="D3" s="320" t="s">
        <v>590</v>
      </c>
      <c r="E3" s="319" t="s">
        <v>1016</v>
      </c>
      <c r="F3" s="319" t="s">
        <v>189</v>
      </c>
      <c r="G3" s="321">
        <v>0.51959999999999995</v>
      </c>
      <c r="H3" s="322">
        <v>179</v>
      </c>
      <c r="I3" s="322">
        <v>93</v>
      </c>
      <c r="J3" s="322">
        <v>0</v>
      </c>
      <c r="K3" s="319" t="s">
        <v>190</v>
      </c>
      <c r="L3" s="323">
        <v>45980</v>
      </c>
      <c r="M3" s="322">
        <v>2</v>
      </c>
      <c r="N3" s="322">
        <v>6</v>
      </c>
      <c r="O3" s="322">
        <v>46</v>
      </c>
      <c r="P3" s="319" t="s">
        <v>215</v>
      </c>
      <c r="Q3" s="315"/>
      <c r="R3" s="315"/>
      <c r="S3" s="315"/>
      <c r="T3" s="315"/>
      <c r="U3" s="315"/>
      <c r="V3" s="315"/>
      <c r="W3" s="315"/>
      <c r="X3" s="315"/>
      <c r="Y3" s="315"/>
      <c r="Z3" s="322" t="s">
        <v>192</v>
      </c>
      <c r="AA3" s="322" t="s">
        <v>448</v>
      </c>
      <c r="AB3" s="322" t="s">
        <v>725</v>
      </c>
      <c r="AC3" s="322" t="s">
        <v>675</v>
      </c>
      <c r="AD3" s="322" t="s">
        <v>216</v>
      </c>
      <c r="AE3" s="322" t="s">
        <v>609</v>
      </c>
      <c r="AF3" s="322" t="s">
        <v>1179</v>
      </c>
      <c r="AG3" s="315"/>
      <c r="AH3" s="315"/>
      <c r="AI3" s="315"/>
      <c r="AJ3" s="315"/>
    </row>
    <row r="4" spans="1:36" x14ac:dyDescent="0.3">
      <c r="A4" s="317" t="s">
        <v>606</v>
      </c>
      <c r="B4" s="318">
        <v>45982</v>
      </c>
      <c r="C4" s="319" t="s">
        <v>1086</v>
      </c>
      <c r="D4" s="320" t="s">
        <v>1180</v>
      </c>
      <c r="E4" s="319" t="s">
        <v>1016</v>
      </c>
      <c r="F4" s="319" t="s">
        <v>189</v>
      </c>
      <c r="G4" s="321">
        <v>0.44130000000000003</v>
      </c>
      <c r="H4" s="322">
        <v>179</v>
      </c>
      <c r="I4" s="322">
        <v>79</v>
      </c>
      <c r="J4" s="322">
        <v>0</v>
      </c>
      <c r="K4" s="319" t="s">
        <v>190</v>
      </c>
      <c r="L4" s="323">
        <v>45980</v>
      </c>
      <c r="M4" s="322">
        <v>1</v>
      </c>
      <c r="N4" s="322">
        <v>6</v>
      </c>
      <c r="O4" s="322">
        <v>28</v>
      </c>
      <c r="P4" s="319" t="s">
        <v>215</v>
      </c>
      <c r="Q4" s="315"/>
      <c r="R4" s="315"/>
      <c r="S4" s="315"/>
      <c r="T4" s="315"/>
      <c r="U4" s="315"/>
      <c r="V4" s="315"/>
      <c r="W4" s="315"/>
      <c r="X4" s="315"/>
      <c r="Y4" s="315"/>
      <c r="Z4" s="315"/>
      <c r="AA4" s="322" t="s">
        <v>448</v>
      </c>
      <c r="AB4" s="322" t="s">
        <v>642</v>
      </c>
      <c r="AC4" s="322" t="s">
        <v>193</v>
      </c>
      <c r="AD4" s="322" t="s">
        <v>665</v>
      </c>
      <c r="AE4" s="322" t="s">
        <v>217</v>
      </c>
      <c r="AF4" s="322" t="s">
        <v>1181</v>
      </c>
      <c r="AG4" s="315"/>
      <c r="AH4" s="315"/>
      <c r="AI4" s="315"/>
      <c r="AJ4" s="315"/>
    </row>
    <row r="5" spans="1:36" x14ac:dyDescent="0.3">
      <c r="A5" s="317" t="s">
        <v>199</v>
      </c>
      <c r="B5" s="318">
        <v>45983</v>
      </c>
      <c r="C5" s="319" t="s">
        <v>1054</v>
      </c>
      <c r="D5" s="320" t="s">
        <v>1176</v>
      </c>
      <c r="E5" s="319" t="s">
        <v>1016</v>
      </c>
      <c r="F5" s="319" t="s">
        <v>189</v>
      </c>
      <c r="G5" s="321">
        <v>0.5978</v>
      </c>
      <c r="H5" s="322">
        <v>179</v>
      </c>
      <c r="I5" s="322">
        <v>107</v>
      </c>
      <c r="J5" s="322">
        <v>0</v>
      </c>
      <c r="K5" s="319" t="s">
        <v>190</v>
      </c>
      <c r="L5" s="323">
        <v>45980</v>
      </c>
      <c r="M5" s="322">
        <v>3</v>
      </c>
      <c r="N5" s="322">
        <v>17</v>
      </c>
      <c r="O5" s="322">
        <v>60</v>
      </c>
      <c r="P5" s="319" t="s">
        <v>425</v>
      </c>
      <c r="Q5" s="315"/>
      <c r="R5" s="315"/>
      <c r="S5" s="315"/>
      <c r="T5" s="315"/>
      <c r="U5" s="315"/>
      <c r="V5" s="315"/>
      <c r="W5" s="315"/>
      <c r="X5" s="315"/>
      <c r="Y5" s="315"/>
      <c r="Z5" s="322" t="s">
        <v>585</v>
      </c>
      <c r="AA5" s="322" t="s">
        <v>575</v>
      </c>
      <c r="AB5" s="322" t="s">
        <v>878</v>
      </c>
      <c r="AC5" s="322" t="s">
        <v>193</v>
      </c>
      <c r="AD5" s="322" t="s">
        <v>668</v>
      </c>
      <c r="AE5" s="322" t="s">
        <v>217</v>
      </c>
      <c r="AF5" s="322" t="s">
        <v>1182</v>
      </c>
      <c r="AG5" s="315"/>
      <c r="AH5" s="315"/>
      <c r="AI5" s="315"/>
      <c r="AJ5" s="315"/>
    </row>
    <row r="6" spans="1:36" x14ac:dyDescent="0.3">
      <c r="A6" s="317" t="s">
        <v>203</v>
      </c>
      <c r="B6" s="318">
        <v>45984</v>
      </c>
      <c r="C6" s="319" t="s">
        <v>1054</v>
      </c>
      <c r="D6" s="320" t="s">
        <v>1183</v>
      </c>
      <c r="E6" s="319" t="s">
        <v>1016</v>
      </c>
      <c r="F6" s="319" t="s">
        <v>189</v>
      </c>
      <c r="G6" s="321">
        <v>0.52510000000000001</v>
      </c>
      <c r="H6" s="322">
        <v>179</v>
      </c>
      <c r="I6" s="322">
        <v>94</v>
      </c>
      <c r="J6" s="322">
        <v>0</v>
      </c>
      <c r="K6" s="319" t="s">
        <v>190</v>
      </c>
      <c r="L6" s="323">
        <v>45980</v>
      </c>
      <c r="M6" s="322">
        <v>9</v>
      </c>
      <c r="N6" s="322">
        <v>7</v>
      </c>
      <c r="O6" s="322">
        <v>50</v>
      </c>
      <c r="P6" s="319" t="s">
        <v>654</v>
      </c>
      <c r="Q6" s="315"/>
      <c r="R6" s="315"/>
      <c r="S6" s="315"/>
      <c r="T6" s="315"/>
      <c r="U6" s="315"/>
      <c r="V6" s="315"/>
      <c r="W6" s="315"/>
      <c r="X6" s="315"/>
      <c r="Y6" s="315"/>
      <c r="Z6" s="315"/>
      <c r="AA6" s="315"/>
      <c r="AB6" s="322" t="s">
        <v>319</v>
      </c>
      <c r="AC6" s="322" t="s">
        <v>1184</v>
      </c>
      <c r="AD6" s="322" t="s">
        <v>1185</v>
      </c>
      <c r="AE6" s="322" t="s">
        <v>620</v>
      </c>
      <c r="AF6" s="322" t="s">
        <v>1181</v>
      </c>
      <c r="AG6" s="315"/>
      <c r="AH6" s="315"/>
      <c r="AI6" s="315"/>
      <c r="AJ6" s="322" t="s">
        <v>605</v>
      </c>
    </row>
    <row r="7" spans="1:36" x14ac:dyDescent="0.3">
      <c r="A7" s="317" t="s">
        <v>207</v>
      </c>
      <c r="B7" s="318">
        <v>45985</v>
      </c>
      <c r="C7" s="319" t="s">
        <v>1086</v>
      </c>
      <c r="D7" s="320" t="s">
        <v>1180</v>
      </c>
      <c r="E7" s="319" t="s">
        <v>1016</v>
      </c>
      <c r="F7" s="319" t="s">
        <v>189</v>
      </c>
      <c r="G7" s="321">
        <v>0.44690000000000002</v>
      </c>
      <c r="H7" s="322">
        <v>179</v>
      </c>
      <c r="I7" s="322">
        <v>80</v>
      </c>
      <c r="J7" s="322">
        <v>0</v>
      </c>
      <c r="K7" s="319" t="s">
        <v>190</v>
      </c>
      <c r="L7" s="323">
        <v>45980</v>
      </c>
      <c r="M7" s="322">
        <v>3</v>
      </c>
      <c r="N7" s="322">
        <v>7</v>
      </c>
      <c r="O7" s="322">
        <v>31</v>
      </c>
      <c r="P7" s="319" t="s">
        <v>215</v>
      </c>
      <c r="Q7" s="315"/>
      <c r="R7" s="315"/>
      <c r="S7" s="315"/>
      <c r="T7" s="315"/>
      <c r="U7" s="315"/>
      <c r="V7" s="315"/>
      <c r="W7" s="315"/>
      <c r="X7" s="315"/>
      <c r="Y7" s="315"/>
      <c r="Z7" s="322" t="s">
        <v>283</v>
      </c>
      <c r="AA7" s="322" t="s">
        <v>425</v>
      </c>
      <c r="AB7" s="322" t="s">
        <v>1186</v>
      </c>
      <c r="AC7" s="322" t="s">
        <v>597</v>
      </c>
      <c r="AD7" s="322" t="s">
        <v>715</v>
      </c>
      <c r="AE7" s="322" t="s">
        <v>284</v>
      </c>
      <c r="AF7" s="322" t="s">
        <v>1181</v>
      </c>
      <c r="AG7" s="315"/>
      <c r="AH7" s="315"/>
      <c r="AI7" s="315"/>
      <c r="AJ7" s="315"/>
    </row>
    <row r="8" spans="1:36" x14ac:dyDescent="0.3">
      <c r="A8" s="317" t="s">
        <v>213</v>
      </c>
      <c r="B8" s="318">
        <v>45986</v>
      </c>
      <c r="C8" s="319" t="s">
        <v>1086</v>
      </c>
      <c r="D8" s="320" t="s">
        <v>1187</v>
      </c>
      <c r="E8" s="319" t="s">
        <v>1016</v>
      </c>
      <c r="F8" s="319" t="s">
        <v>189</v>
      </c>
      <c r="G8" s="321">
        <v>0.55869999999999997</v>
      </c>
      <c r="H8" s="322">
        <v>179</v>
      </c>
      <c r="I8" s="322">
        <v>100</v>
      </c>
      <c r="J8" s="322">
        <v>0</v>
      </c>
      <c r="K8" s="319" t="s">
        <v>190</v>
      </c>
      <c r="L8" s="323">
        <v>45980</v>
      </c>
      <c r="M8" s="322">
        <v>1</v>
      </c>
      <c r="N8" s="322">
        <v>7</v>
      </c>
      <c r="O8" s="322">
        <v>29</v>
      </c>
      <c r="P8" s="319" t="s">
        <v>422</v>
      </c>
      <c r="Q8" s="315"/>
      <c r="R8" s="315"/>
      <c r="S8" s="315"/>
      <c r="T8" s="315"/>
      <c r="U8" s="315"/>
      <c r="V8" s="315"/>
      <c r="W8" s="315"/>
      <c r="X8" s="322" t="s">
        <v>224</v>
      </c>
      <c r="Y8" s="315"/>
      <c r="Z8" s="322" t="s">
        <v>376</v>
      </c>
      <c r="AA8" s="322" t="s">
        <v>886</v>
      </c>
      <c r="AB8" s="322" t="s">
        <v>680</v>
      </c>
      <c r="AC8" s="322" t="s">
        <v>597</v>
      </c>
      <c r="AD8" s="322" t="s">
        <v>715</v>
      </c>
      <c r="AE8" s="322" t="s">
        <v>1188</v>
      </c>
      <c r="AF8" s="322" t="s">
        <v>973</v>
      </c>
      <c r="AG8" s="315"/>
      <c r="AH8" s="315"/>
      <c r="AI8" s="315"/>
      <c r="AJ8" s="315"/>
    </row>
    <row r="9" spans="1:36" x14ac:dyDescent="0.3">
      <c r="A9" s="317" t="s">
        <v>290</v>
      </c>
      <c r="B9" s="318">
        <v>45987</v>
      </c>
      <c r="C9" s="319" t="s">
        <v>1054</v>
      </c>
      <c r="D9" s="320" t="s">
        <v>1176</v>
      </c>
      <c r="E9" s="319" t="s">
        <v>1016</v>
      </c>
      <c r="F9" s="319" t="s">
        <v>189</v>
      </c>
      <c r="G9" s="321">
        <v>0.43580000000000002</v>
      </c>
      <c r="H9" s="322">
        <v>179</v>
      </c>
      <c r="I9" s="322">
        <v>78</v>
      </c>
      <c r="J9" s="322">
        <v>0</v>
      </c>
      <c r="K9" s="319" t="s">
        <v>190</v>
      </c>
      <c r="L9" s="323">
        <v>45980</v>
      </c>
      <c r="M9" s="322">
        <v>1</v>
      </c>
      <c r="N9" s="322">
        <v>5</v>
      </c>
      <c r="O9" s="322">
        <v>17</v>
      </c>
      <c r="P9" s="319" t="s">
        <v>422</v>
      </c>
      <c r="Q9" s="315"/>
      <c r="R9" s="315"/>
      <c r="S9" s="315"/>
      <c r="T9" s="315"/>
      <c r="U9" s="315"/>
      <c r="V9" s="315"/>
      <c r="W9" s="315"/>
      <c r="X9" s="315"/>
      <c r="Y9" s="315"/>
      <c r="Z9" s="315"/>
      <c r="AA9" s="322" t="s">
        <v>679</v>
      </c>
      <c r="AB9" s="315"/>
      <c r="AC9" s="322" t="s">
        <v>228</v>
      </c>
      <c r="AD9" s="322" t="s">
        <v>325</v>
      </c>
      <c r="AE9" s="322" t="s">
        <v>284</v>
      </c>
      <c r="AF9" s="322" t="s">
        <v>1189</v>
      </c>
      <c r="AG9" s="315"/>
      <c r="AH9" s="315"/>
      <c r="AI9" s="315"/>
      <c r="AJ9" s="315"/>
    </row>
    <row r="10" spans="1:36" x14ac:dyDescent="0.3">
      <c r="A10" s="317" t="s">
        <v>290</v>
      </c>
      <c r="B10" s="318">
        <v>45987</v>
      </c>
      <c r="C10" s="319" t="s">
        <v>1086</v>
      </c>
      <c r="D10" s="320" t="s">
        <v>1180</v>
      </c>
      <c r="E10" s="319" t="s">
        <v>1016</v>
      </c>
      <c r="F10" s="319" t="s">
        <v>189</v>
      </c>
      <c r="G10" s="321">
        <v>0.57540000000000002</v>
      </c>
      <c r="H10" s="322">
        <v>179</v>
      </c>
      <c r="I10" s="322">
        <v>103</v>
      </c>
      <c r="J10" s="322">
        <v>0</v>
      </c>
      <c r="K10" s="319" t="s">
        <v>190</v>
      </c>
      <c r="L10" s="323">
        <v>45980</v>
      </c>
      <c r="M10" s="322">
        <v>12</v>
      </c>
      <c r="N10" s="322">
        <v>1</v>
      </c>
      <c r="O10" s="322">
        <v>22</v>
      </c>
      <c r="P10" s="319" t="s">
        <v>381</v>
      </c>
      <c r="Q10" s="315"/>
      <c r="R10" s="315"/>
      <c r="S10" s="315"/>
      <c r="T10" s="315"/>
      <c r="U10" s="315"/>
      <c r="V10" s="315"/>
      <c r="W10" s="315"/>
      <c r="X10" s="315"/>
      <c r="Y10" s="322" t="s">
        <v>1190</v>
      </c>
      <c r="Z10" s="322" t="s">
        <v>312</v>
      </c>
      <c r="AA10" s="322" t="s">
        <v>425</v>
      </c>
      <c r="AB10" s="322" t="s">
        <v>596</v>
      </c>
      <c r="AC10" s="322" t="s">
        <v>330</v>
      </c>
      <c r="AD10" s="322" t="s">
        <v>1185</v>
      </c>
      <c r="AE10" s="322" t="s">
        <v>965</v>
      </c>
      <c r="AF10" s="322" t="s">
        <v>1191</v>
      </c>
      <c r="AG10" s="315"/>
      <c r="AH10" s="315"/>
      <c r="AI10" s="315"/>
      <c r="AJ10" s="315"/>
    </row>
    <row r="11" spans="1:36" x14ac:dyDescent="0.3">
      <c r="A11" s="317" t="s">
        <v>187</v>
      </c>
      <c r="B11" s="318">
        <v>45988</v>
      </c>
      <c r="C11" s="319" t="s">
        <v>1054</v>
      </c>
      <c r="D11" s="320" t="s">
        <v>1176</v>
      </c>
      <c r="E11" s="319" t="s">
        <v>1016</v>
      </c>
      <c r="F11" s="319" t="s">
        <v>189</v>
      </c>
      <c r="G11" s="321">
        <v>0.43020000000000003</v>
      </c>
      <c r="H11" s="322">
        <v>179</v>
      </c>
      <c r="I11" s="322">
        <v>77</v>
      </c>
      <c r="J11" s="322">
        <v>0</v>
      </c>
      <c r="K11" s="319" t="s">
        <v>190</v>
      </c>
      <c r="L11" s="323">
        <v>45979</v>
      </c>
      <c r="M11" s="322">
        <v>0</v>
      </c>
      <c r="N11" s="322">
        <v>2</v>
      </c>
      <c r="O11" s="322">
        <v>14</v>
      </c>
      <c r="P11" s="319" t="s">
        <v>469</v>
      </c>
      <c r="Q11" s="315"/>
      <c r="R11" s="315"/>
      <c r="S11" s="315"/>
      <c r="T11" s="315"/>
      <c r="U11" s="315"/>
      <c r="V11" s="315"/>
      <c r="W11" s="315"/>
      <c r="X11" s="315"/>
      <c r="Y11" s="322" t="s">
        <v>1192</v>
      </c>
      <c r="Z11" s="322" t="s">
        <v>687</v>
      </c>
      <c r="AA11" s="322" t="s">
        <v>422</v>
      </c>
      <c r="AB11" s="322" t="s">
        <v>975</v>
      </c>
      <c r="AC11" s="322" t="s">
        <v>627</v>
      </c>
      <c r="AD11" s="322" t="s">
        <v>216</v>
      </c>
      <c r="AE11" s="322" t="s">
        <v>1193</v>
      </c>
      <c r="AF11" s="322" t="s">
        <v>292</v>
      </c>
      <c r="AG11" s="315"/>
      <c r="AH11" s="315"/>
      <c r="AI11" s="315"/>
      <c r="AJ11" s="315"/>
    </row>
    <row r="12" spans="1:36" x14ac:dyDescent="0.3">
      <c r="A12" s="317" t="s">
        <v>606</v>
      </c>
      <c r="B12" s="318">
        <v>45989</v>
      </c>
      <c r="C12" s="319" t="s">
        <v>1054</v>
      </c>
      <c r="D12" s="320" t="s">
        <v>590</v>
      </c>
      <c r="E12" s="319" t="s">
        <v>1016</v>
      </c>
      <c r="F12" s="319" t="s">
        <v>189</v>
      </c>
      <c r="G12" s="321">
        <v>0.58099999999999996</v>
      </c>
      <c r="H12" s="322">
        <v>179</v>
      </c>
      <c r="I12" s="322">
        <v>104</v>
      </c>
      <c r="J12" s="322">
        <v>0</v>
      </c>
      <c r="K12" s="319" t="s">
        <v>190</v>
      </c>
      <c r="L12" s="323">
        <v>45980</v>
      </c>
      <c r="M12" s="322">
        <v>1</v>
      </c>
      <c r="N12" s="322">
        <v>0</v>
      </c>
      <c r="O12" s="322">
        <v>11</v>
      </c>
      <c r="P12" s="319" t="s">
        <v>1151</v>
      </c>
      <c r="Q12" s="315"/>
      <c r="R12" s="315"/>
      <c r="S12" s="315"/>
      <c r="T12" s="315"/>
      <c r="U12" s="322" t="s">
        <v>542</v>
      </c>
      <c r="V12" s="322" t="s">
        <v>1194</v>
      </c>
      <c r="W12" s="322" t="s">
        <v>738</v>
      </c>
      <c r="X12" s="322" t="s">
        <v>739</v>
      </c>
      <c r="Y12" s="322" t="s">
        <v>1192</v>
      </c>
      <c r="Z12" s="322" t="s">
        <v>689</v>
      </c>
      <c r="AA12" s="322" t="s">
        <v>631</v>
      </c>
      <c r="AB12" s="322" t="s">
        <v>309</v>
      </c>
      <c r="AC12" s="322" t="s">
        <v>646</v>
      </c>
      <c r="AD12" s="322" t="s">
        <v>881</v>
      </c>
      <c r="AE12" s="322" t="s">
        <v>598</v>
      </c>
      <c r="AF12" s="322" t="s">
        <v>1195</v>
      </c>
      <c r="AG12" s="315"/>
      <c r="AH12" s="315"/>
      <c r="AI12" s="315"/>
      <c r="AJ12" s="315"/>
    </row>
    <row r="13" spans="1:36" x14ac:dyDescent="0.3">
      <c r="A13" s="317" t="s">
        <v>606</v>
      </c>
      <c r="B13" s="318">
        <v>45989</v>
      </c>
      <c r="C13" s="319" t="s">
        <v>1086</v>
      </c>
      <c r="D13" s="320" t="s">
        <v>1180</v>
      </c>
      <c r="E13" s="319" t="s">
        <v>1016</v>
      </c>
      <c r="F13" s="319" t="s">
        <v>189</v>
      </c>
      <c r="G13" s="321">
        <v>0.53069999999999995</v>
      </c>
      <c r="H13" s="322">
        <v>179</v>
      </c>
      <c r="I13" s="322">
        <v>95</v>
      </c>
      <c r="J13" s="322">
        <v>0</v>
      </c>
      <c r="K13" s="319" t="s">
        <v>190</v>
      </c>
      <c r="L13" s="323">
        <v>45979</v>
      </c>
      <c r="M13" s="322">
        <v>0</v>
      </c>
      <c r="N13" s="322">
        <v>2</v>
      </c>
      <c r="O13" s="322">
        <v>3</v>
      </c>
      <c r="P13" s="319" t="s">
        <v>1153</v>
      </c>
      <c r="Q13" s="315"/>
      <c r="R13" s="315"/>
      <c r="S13" s="315"/>
      <c r="T13" s="322" t="s">
        <v>1196</v>
      </c>
      <c r="U13" s="322" t="s">
        <v>277</v>
      </c>
      <c r="V13" s="322" t="s">
        <v>538</v>
      </c>
      <c r="W13" s="322" t="s">
        <v>738</v>
      </c>
      <c r="X13" s="322" t="s">
        <v>1197</v>
      </c>
      <c r="Y13" s="322" t="s">
        <v>723</v>
      </c>
      <c r="Z13" s="322" t="s">
        <v>376</v>
      </c>
      <c r="AA13" s="322" t="s">
        <v>1198</v>
      </c>
      <c r="AB13" s="322" t="s">
        <v>287</v>
      </c>
      <c r="AC13" s="322" t="s">
        <v>205</v>
      </c>
      <c r="AD13" s="322" t="s">
        <v>873</v>
      </c>
      <c r="AE13" s="322" t="s">
        <v>281</v>
      </c>
      <c r="AF13" s="322" t="s">
        <v>1199</v>
      </c>
      <c r="AG13" s="315"/>
      <c r="AH13" s="315"/>
      <c r="AI13" s="315"/>
      <c r="AJ13" s="315"/>
    </row>
    <row r="14" spans="1:36" x14ac:dyDescent="0.3">
      <c r="A14" s="317" t="s">
        <v>199</v>
      </c>
      <c r="B14" s="318">
        <v>45990</v>
      </c>
      <c r="C14" s="319" t="s">
        <v>1054</v>
      </c>
      <c r="D14" s="320" t="s">
        <v>1176</v>
      </c>
      <c r="E14" s="319" t="s">
        <v>1016</v>
      </c>
      <c r="F14" s="319" t="s">
        <v>189</v>
      </c>
      <c r="G14" s="321">
        <v>0.65920000000000001</v>
      </c>
      <c r="H14" s="322">
        <v>179</v>
      </c>
      <c r="I14" s="322">
        <v>118</v>
      </c>
      <c r="J14" s="322">
        <v>0</v>
      </c>
      <c r="K14" s="319" t="s">
        <v>190</v>
      </c>
      <c r="L14" s="323">
        <v>45978</v>
      </c>
      <c r="M14" s="322">
        <v>0</v>
      </c>
      <c r="N14" s="322">
        <v>0</v>
      </c>
      <c r="O14" s="322">
        <v>22</v>
      </c>
      <c r="P14" s="319" t="s">
        <v>1166</v>
      </c>
      <c r="Q14" s="315"/>
      <c r="R14" s="315"/>
      <c r="S14" s="322" t="s">
        <v>1200</v>
      </c>
      <c r="T14" s="322" t="s">
        <v>1201</v>
      </c>
      <c r="U14" s="315"/>
      <c r="V14" s="322" t="s">
        <v>1202</v>
      </c>
      <c r="W14" s="322" t="s">
        <v>1203</v>
      </c>
      <c r="X14" s="322" t="s">
        <v>743</v>
      </c>
      <c r="Y14" s="322" t="s">
        <v>1192</v>
      </c>
      <c r="Z14" s="322" t="s">
        <v>368</v>
      </c>
      <c r="AA14" s="322" t="s">
        <v>586</v>
      </c>
      <c r="AB14" s="322" t="s">
        <v>645</v>
      </c>
      <c r="AC14" s="322" t="s">
        <v>646</v>
      </c>
      <c r="AD14" s="322" t="s">
        <v>715</v>
      </c>
      <c r="AE14" s="322" t="s">
        <v>316</v>
      </c>
      <c r="AF14" s="322" t="s">
        <v>292</v>
      </c>
      <c r="AG14" s="315"/>
      <c r="AH14" s="315"/>
      <c r="AI14" s="315"/>
      <c r="AJ14" s="315"/>
    </row>
    <row r="15" spans="1:36" x14ac:dyDescent="0.3">
      <c r="A15" s="317" t="s">
        <v>203</v>
      </c>
      <c r="B15" s="318">
        <v>45991</v>
      </c>
      <c r="C15" s="319" t="s">
        <v>1054</v>
      </c>
      <c r="D15" s="320" t="s">
        <v>1183</v>
      </c>
      <c r="E15" s="319" t="s">
        <v>1016</v>
      </c>
      <c r="F15" s="319" t="s">
        <v>189</v>
      </c>
      <c r="G15" s="321">
        <v>0.56420000000000003</v>
      </c>
      <c r="H15" s="322">
        <v>179</v>
      </c>
      <c r="I15" s="322">
        <v>101</v>
      </c>
      <c r="J15" s="322">
        <v>0</v>
      </c>
      <c r="K15" s="319" t="s">
        <v>190</v>
      </c>
      <c r="L15" s="323">
        <v>45980</v>
      </c>
      <c r="M15" s="322">
        <v>1</v>
      </c>
      <c r="N15" s="322">
        <v>2</v>
      </c>
      <c r="O15" s="322">
        <v>21</v>
      </c>
      <c r="P15" s="319" t="s">
        <v>1172</v>
      </c>
      <c r="Q15" s="315"/>
      <c r="R15" s="315"/>
      <c r="S15" s="315"/>
      <c r="T15" s="315"/>
      <c r="U15" s="315"/>
      <c r="V15" s="322" t="s">
        <v>716</v>
      </c>
      <c r="W15" s="322" t="s">
        <v>1204</v>
      </c>
      <c r="X15" s="322" t="s">
        <v>1205</v>
      </c>
      <c r="Y15" s="322" t="s">
        <v>686</v>
      </c>
      <c r="Z15" s="322" t="s">
        <v>1206</v>
      </c>
      <c r="AA15" s="322" t="s">
        <v>789</v>
      </c>
      <c r="AB15" s="322" t="s">
        <v>304</v>
      </c>
      <c r="AC15" s="322" t="s">
        <v>646</v>
      </c>
      <c r="AD15" s="322" t="s">
        <v>697</v>
      </c>
      <c r="AE15" s="322" t="s">
        <v>281</v>
      </c>
      <c r="AF15" s="322" t="s">
        <v>599</v>
      </c>
      <c r="AG15" s="315"/>
      <c r="AH15" s="315"/>
      <c r="AI15" s="315"/>
      <c r="AJ15" s="315"/>
    </row>
    <row r="16" spans="1:36" ht="21" x14ac:dyDescent="0.3">
      <c r="A16" s="324" t="s">
        <v>1638</v>
      </c>
      <c r="B16" s="325"/>
      <c r="C16" s="324">
        <f>SUBTOTAL(103,CAI_RUH_LF_LEGACY[Flt])</f>
        <v>14</v>
      </c>
      <c r="D16" s="324"/>
      <c r="E16" s="324">
        <f>SUBTOTAL(103,CAI_RUH_LF_LEGACY[Brd-Off])</f>
        <v>14</v>
      </c>
      <c r="F16" s="324"/>
      <c r="G16" s="326">
        <f>SUBTOTAL(101,CAI_RUH_LF_LEGACY[LF%])</f>
        <v>0.53152142857142859</v>
      </c>
      <c r="H16" s="327">
        <f>SUBTOTAL(109,CAI_RUH_LF_LEGACY[CAP])</f>
        <v>2506</v>
      </c>
      <c r="I16" s="327">
        <f>SUBTOTAL(109,CAI_RUH_LF_LEGACY[BKG(Y)])</f>
        <v>1332</v>
      </c>
      <c r="J16" s="327">
        <f>SUBTOTAL(109,CAI_RUH_LF_LEGACY[GRP(Y)])</f>
        <v>0</v>
      </c>
      <c r="K16" s="324"/>
      <c r="L16" s="325"/>
      <c r="M16" s="327">
        <f>SUBTOTAL(109,CAI_RUH_LF_LEGACY[TO-DAY])</f>
        <v>35</v>
      </c>
      <c r="N16" s="327">
        <f>SUBTOTAL(109,CAI_RUH_LF_LEGACY[Y-DAY])</f>
        <v>67</v>
      </c>
      <c r="O16" s="327">
        <f>SUBTOTAL(109,CAI_RUH_LF_LEGACY[WEEKLY])</f>
        <v>399</v>
      </c>
      <c r="P16" s="328"/>
      <c r="Q16" s="327">
        <f>SUBTOTAL(109,CAI_RUH_LF_LEGACY[Y])</f>
        <v>0</v>
      </c>
      <c r="R16" s="327">
        <f>SUBTOTAL(109,CAI_RUH_LF_LEGACY[B])</f>
        <v>0</v>
      </c>
      <c r="S16" s="327">
        <f>SUBTOTAL(109,CAI_RUH_LF_LEGACY[M])</f>
        <v>0</v>
      </c>
      <c r="T16" s="327">
        <f>SUBTOTAL(109,CAI_RUH_LF_LEGACY[H])</f>
        <v>0</v>
      </c>
      <c r="U16" s="327">
        <f>SUBTOTAL(109,CAI_RUH_LF_LEGACY[Q])</f>
        <v>0</v>
      </c>
      <c r="V16" s="327">
        <f>SUBTOTAL(109,CAI_RUH_LF_LEGACY[K])</f>
        <v>0</v>
      </c>
      <c r="W16" s="327">
        <f>SUBTOTAL(109,CAI_RUH_LF_LEGACY[V])</f>
        <v>0</v>
      </c>
      <c r="X16" s="327">
        <f>SUBTOTAL(109,CAI_RUH_LF_LEGACY[L])</f>
        <v>0</v>
      </c>
      <c r="Y16" s="327">
        <f>SUBTOTAL(109,CAI_RUH_LF_LEGACY[G])</f>
        <v>0</v>
      </c>
      <c r="Z16" s="327">
        <f>SUBTOTAL(109,CAI_RUH_LF_LEGACY[S])</f>
        <v>0</v>
      </c>
      <c r="AA16" s="327">
        <f>SUBTOTAL(109,CAI_RUH_LF_LEGACY[W])</f>
        <v>0</v>
      </c>
      <c r="AB16" s="327">
        <f>SUBTOTAL(109,CAI_RUH_LF_LEGACY[T])</f>
        <v>0</v>
      </c>
      <c r="AC16" s="327">
        <f>SUBTOTAL(109,CAI_RUH_LF_LEGACY[X])</f>
        <v>0</v>
      </c>
      <c r="AD16" s="327">
        <f>SUBTOTAL(109,CAI_RUH_LF_LEGACY[U])</f>
        <v>0</v>
      </c>
      <c r="AE16" s="327">
        <f>SUBTOTAL(109,CAI_RUH_LF_LEGACY[O])</f>
        <v>0</v>
      </c>
      <c r="AF16" s="327">
        <f>SUBTOTAL(109,CAI_RUH_LF_LEGACY[I])</f>
        <v>0</v>
      </c>
      <c r="AG16" s="327">
        <f>SUBTOTAL(109,CAI_RUH_LF_LEGACY[E])</f>
        <v>0</v>
      </c>
      <c r="AH16" s="327">
        <f>SUBTOTAL(109,CAI_RUH_LF_LEGACY[A])</f>
        <v>0</v>
      </c>
      <c r="AI16" s="327">
        <f>SUBTOTAL(109,CAI_RUH_LF_LEGACY[P])</f>
        <v>0</v>
      </c>
      <c r="AJ16" s="327">
        <f>SUBTOTAL(103,CAI_RUH_LF_LEGACY[N])</f>
        <v>1</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58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0.4414062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26</v>
      </c>
      <c r="C2" s="105" t="s">
        <v>1017</v>
      </c>
      <c r="D2" s="104" t="s">
        <v>1016</v>
      </c>
      <c r="E2" s="104" t="s">
        <v>1207</v>
      </c>
      <c r="F2" s="104" t="s">
        <v>351</v>
      </c>
      <c r="G2" s="106">
        <v>8</v>
      </c>
      <c r="H2" s="107" t="s">
        <v>1018</v>
      </c>
    </row>
    <row r="3" spans="1:8" ht="19.8" customHeight="1" x14ac:dyDescent="0.3">
      <c r="A3" s="103" t="s">
        <v>235</v>
      </c>
      <c r="B3" s="104" t="s">
        <v>26</v>
      </c>
      <c r="C3" s="105" t="s">
        <v>1017</v>
      </c>
      <c r="D3" s="104" t="s">
        <v>1016</v>
      </c>
      <c r="E3" s="104" t="s">
        <v>1207</v>
      </c>
      <c r="F3" s="104" t="s">
        <v>28</v>
      </c>
      <c r="G3" s="106">
        <v>8</v>
      </c>
      <c r="H3" s="107" t="s">
        <v>1018</v>
      </c>
    </row>
    <row r="4" spans="1:8" ht="19.8" customHeight="1" x14ac:dyDescent="0.3">
      <c r="A4" s="103" t="s">
        <v>235</v>
      </c>
      <c r="B4" s="104" t="s">
        <v>41</v>
      </c>
      <c r="C4" s="105" t="s">
        <v>1030</v>
      </c>
      <c r="D4" s="104" t="s">
        <v>1016</v>
      </c>
      <c r="E4" s="104" t="s">
        <v>1208</v>
      </c>
      <c r="F4" s="104" t="s">
        <v>337</v>
      </c>
      <c r="G4" s="106">
        <v>57</v>
      </c>
      <c r="H4" s="107" t="s">
        <v>1032</v>
      </c>
    </row>
    <row r="5" spans="1:8" ht="19.8" customHeight="1" x14ac:dyDescent="0.3">
      <c r="A5" s="103" t="s">
        <v>235</v>
      </c>
      <c r="B5" s="104" t="s">
        <v>41</v>
      </c>
      <c r="C5" s="105" t="s">
        <v>1030</v>
      </c>
      <c r="D5" s="104" t="s">
        <v>1016</v>
      </c>
      <c r="E5" s="104" t="s">
        <v>1208</v>
      </c>
      <c r="F5" s="104" t="s">
        <v>43</v>
      </c>
      <c r="G5" s="106">
        <v>57</v>
      </c>
      <c r="H5" s="107" t="s">
        <v>1032</v>
      </c>
    </row>
    <row r="6" spans="1:8" ht="19.8" customHeight="1" x14ac:dyDescent="0.3">
      <c r="A6" s="103" t="s">
        <v>235</v>
      </c>
      <c r="B6" s="104" t="s">
        <v>41</v>
      </c>
      <c r="C6" s="105" t="s">
        <v>1034</v>
      </c>
      <c r="D6" s="104" t="s">
        <v>1016</v>
      </c>
      <c r="E6" s="104" t="s">
        <v>1209</v>
      </c>
      <c r="F6" s="104" t="s">
        <v>337</v>
      </c>
      <c r="G6" s="106">
        <v>68</v>
      </c>
      <c r="H6" s="107" t="s">
        <v>1032</v>
      </c>
    </row>
    <row r="7" spans="1:8" ht="19.8" customHeight="1" x14ac:dyDescent="0.3">
      <c r="A7" s="103" t="s">
        <v>235</v>
      </c>
      <c r="B7" s="104" t="s">
        <v>41</v>
      </c>
      <c r="C7" s="105" t="s">
        <v>1034</v>
      </c>
      <c r="D7" s="104" t="s">
        <v>1016</v>
      </c>
      <c r="E7" s="104" t="s">
        <v>1209</v>
      </c>
      <c r="F7" s="104" t="s">
        <v>43</v>
      </c>
      <c r="G7" s="106">
        <v>68</v>
      </c>
      <c r="H7" s="107" t="s">
        <v>1032</v>
      </c>
    </row>
    <row r="8" spans="1:8" ht="19.8" customHeight="1" x14ac:dyDescent="0.3">
      <c r="A8" s="103" t="s">
        <v>235</v>
      </c>
      <c r="B8" s="104" t="s">
        <v>41</v>
      </c>
      <c r="C8" s="105" t="s">
        <v>1037</v>
      </c>
      <c r="D8" s="104" t="s">
        <v>1016</v>
      </c>
      <c r="E8" s="104" t="s">
        <v>748</v>
      </c>
      <c r="F8" s="104" t="s">
        <v>43</v>
      </c>
      <c r="G8" s="106">
        <v>81</v>
      </c>
      <c r="H8" s="107" t="s">
        <v>1032</v>
      </c>
    </row>
    <row r="9" spans="1:8" ht="19.8" customHeight="1" x14ac:dyDescent="0.3">
      <c r="A9" s="103" t="s">
        <v>235</v>
      </c>
      <c r="B9" s="104" t="s">
        <v>41</v>
      </c>
      <c r="C9" s="105" t="s">
        <v>1040</v>
      </c>
      <c r="D9" s="104" t="s">
        <v>1016</v>
      </c>
      <c r="E9" s="104" t="s">
        <v>750</v>
      </c>
      <c r="F9" s="104" t="s">
        <v>337</v>
      </c>
      <c r="G9" s="106">
        <v>79</v>
      </c>
      <c r="H9" s="107" t="s">
        <v>1032</v>
      </c>
    </row>
    <row r="10" spans="1:8" ht="19.8" customHeight="1" x14ac:dyDescent="0.3">
      <c r="A10" s="103" t="s">
        <v>235</v>
      </c>
      <c r="B10" s="104" t="s">
        <v>41</v>
      </c>
      <c r="C10" s="105" t="s">
        <v>1040</v>
      </c>
      <c r="D10" s="104" t="s">
        <v>1016</v>
      </c>
      <c r="E10" s="104" t="s">
        <v>750</v>
      </c>
      <c r="F10" s="104" t="s">
        <v>43</v>
      </c>
      <c r="G10" s="106">
        <v>79</v>
      </c>
      <c r="H10" s="107" t="s">
        <v>1032</v>
      </c>
    </row>
    <row r="11" spans="1:8" ht="19.8" customHeight="1" x14ac:dyDescent="0.3">
      <c r="A11" s="103" t="s">
        <v>235</v>
      </c>
      <c r="B11" s="104" t="s">
        <v>26</v>
      </c>
      <c r="C11" s="105" t="s">
        <v>1021</v>
      </c>
      <c r="D11" s="104" t="s">
        <v>1016</v>
      </c>
      <c r="E11" s="104" t="s">
        <v>1210</v>
      </c>
      <c r="F11" s="104" t="s">
        <v>351</v>
      </c>
      <c r="G11" s="106">
        <v>7</v>
      </c>
      <c r="H11" s="107" t="s">
        <v>1022</v>
      </c>
    </row>
    <row r="12" spans="1:8" ht="19.8" customHeight="1" x14ac:dyDescent="0.3">
      <c r="A12" s="103" t="s">
        <v>235</v>
      </c>
      <c r="B12" s="104" t="s">
        <v>26</v>
      </c>
      <c r="C12" s="105" t="s">
        <v>1021</v>
      </c>
      <c r="D12" s="104" t="s">
        <v>1016</v>
      </c>
      <c r="E12" s="104" t="s">
        <v>1210</v>
      </c>
      <c r="F12" s="104" t="s">
        <v>28</v>
      </c>
      <c r="G12" s="106">
        <v>7</v>
      </c>
      <c r="H12" s="107" t="s">
        <v>1022</v>
      </c>
    </row>
    <row r="13" spans="1:8" ht="19.8" customHeight="1" x14ac:dyDescent="0.3">
      <c r="A13" s="103" t="s">
        <v>235</v>
      </c>
      <c r="B13" s="104" t="s">
        <v>26</v>
      </c>
      <c r="C13" s="105" t="s">
        <v>1023</v>
      </c>
      <c r="D13" s="104" t="s">
        <v>1016</v>
      </c>
      <c r="E13" s="104" t="s">
        <v>617</v>
      </c>
      <c r="F13" s="104" t="s">
        <v>351</v>
      </c>
      <c r="G13" s="106">
        <v>5</v>
      </c>
      <c r="H13" s="107" t="s">
        <v>1022</v>
      </c>
    </row>
    <row r="14" spans="1:8" ht="19.8" customHeight="1" x14ac:dyDescent="0.3">
      <c r="A14" s="103" t="s">
        <v>235</v>
      </c>
      <c r="B14" s="104" t="s">
        <v>26</v>
      </c>
      <c r="C14" s="105" t="s">
        <v>1023</v>
      </c>
      <c r="D14" s="104" t="s">
        <v>1016</v>
      </c>
      <c r="E14" s="104" t="s">
        <v>617</v>
      </c>
      <c r="F14" s="104" t="s">
        <v>28</v>
      </c>
      <c r="G14" s="106">
        <v>5</v>
      </c>
      <c r="H14" s="107" t="s">
        <v>1022</v>
      </c>
    </row>
    <row r="15" spans="1:8" ht="19.8" customHeight="1" x14ac:dyDescent="0.3">
      <c r="A15" s="103" t="s">
        <v>235</v>
      </c>
      <c r="B15" s="104" t="s">
        <v>26</v>
      </c>
      <c r="C15" s="105" t="s">
        <v>1024</v>
      </c>
      <c r="D15" s="104" t="s">
        <v>1016</v>
      </c>
      <c r="E15" s="104" t="s">
        <v>218</v>
      </c>
      <c r="F15" s="104" t="s">
        <v>351</v>
      </c>
      <c r="G15" s="106">
        <v>9</v>
      </c>
      <c r="H15" s="107" t="s">
        <v>1022</v>
      </c>
    </row>
    <row r="16" spans="1:8" ht="19.8" customHeight="1" x14ac:dyDescent="0.3">
      <c r="A16" s="103" t="s">
        <v>235</v>
      </c>
      <c r="B16" s="104" t="s">
        <v>26</v>
      </c>
      <c r="C16" s="105" t="s">
        <v>1024</v>
      </c>
      <c r="D16" s="104" t="s">
        <v>1016</v>
      </c>
      <c r="E16" s="104" t="s">
        <v>218</v>
      </c>
      <c r="F16" s="104" t="s">
        <v>28</v>
      </c>
      <c r="G16" s="106">
        <v>9</v>
      </c>
      <c r="H16" s="107" t="s">
        <v>1022</v>
      </c>
    </row>
    <row r="17" spans="1:8" ht="19.8" customHeight="1" x14ac:dyDescent="0.3">
      <c r="A17" s="103" t="s">
        <v>235</v>
      </c>
      <c r="B17" s="104" t="s">
        <v>26</v>
      </c>
      <c r="C17" s="105" t="s">
        <v>1025</v>
      </c>
      <c r="D17" s="104" t="s">
        <v>1016</v>
      </c>
      <c r="E17" s="104" t="s">
        <v>239</v>
      </c>
      <c r="F17" s="104" t="s">
        <v>351</v>
      </c>
      <c r="G17" s="106">
        <v>4</v>
      </c>
      <c r="H17" s="107" t="s">
        <v>1022</v>
      </c>
    </row>
    <row r="18" spans="1:8" ht="19.8" customHeight="1" x14ac:dyDescent="0.3">
      <c r="A18" s="103" t="s">
        <v>235</v>
      </c>
      <c r="B18" s="104" t="s">
        <v>26</v>
      </c>
      <c r="C18" s="105" t="s">
        <v>1025</v>
      </c>
      <c r="D18" s="104" t="s">
        <v>1016</v>
      </c>
      <c r="E18" s="104" t="s">
        <v>239</v>
      </c>
      <c r="F18" s="104" t="s">
        <v>28</v>
      </c>
      <c r="G18" s="106">
        <v>4</v>
      </c>
      <c r="H18" s="107" t="s">
        <v>1022</v>
      </c>
    </row>
    <row r="19" spans="1:8" ht="19.8" customHeight="1" x14ac:dyDescent="0.3">
      <c r="A19" s="103" t="s">
        <v>235</v>
      </c>
      <c r="B19" s="104" t="s">
        <v>385</v>
      </c>
      <c r="C19" s="105" t="s">
        <v>1043</v>
      </c>
      <c r="D19" s="104" t="s">
        <v>1016</v>
      </c>
      <c r="E19" s="104" t="s">
        <v>853</v>
      </c>
      <c r="F19" s="104" t="s">
        <v>101</v>
      </c>
      <c r="G19" s="106">
        <v>9</v>
      </c>
      <c r="H19" s="107" t="s">
        <v>1044</v>
      </c>
    </row>
    <row r="20" spans="1:8" ht="19.8" customHeight="1" x14ac:dyDescent="0.3">
      <c r="A20" s="103" t="s">
        <v>235</v>
      </c>
      <c r="B20" s="104" t="s">
        <v>385</v>
      </c>
      <c r="C20" s="105" t="s">
        <v>1045</v>
      </c>
      <c r="D20" s="104" t="s">
        <v>1016</v>
      </c>
      <c r="E20" s="104" t="s">
        <v>311</v>
      </c>
      <c r="F20" s="104" t="s">
        <v>101</v>
      </c>
      <c r="G20" s="106">
        <v>9</v>
      </c>
      <c r="H20" s="107" t="s">
        <v>1044</v>
      </c>
    </row>
    <row r="21" spans="1:8" ht="19.8" customHeight="1" x14ac:dyDescent="0.3">
      <c r="A21" s="103" t="s">
        <v>235</v>
      </c>
      <c r="B21" s="104" t="s">
        <v>458</v>
      </c>
      <c r="C21" s="105" t="s">
        <v>1048</v>
      </c>
      <c r="D21" s="104" t="s">
        <v>1016</v>
      </c>
      <c r="E21" s="104" t="s">
        <v>1211</v>
      </c>
      <c r="F21" s="104" t="s">
        <v>101</v>
      </c>
      <c r="G21" s="106">
        <v>9</v>
      </c>
      <c r="H21" s="107" t="s">
        <v>1049</v>
      </c>
    </row>
    <row r="22" spans="1:8" ht="19.8" customHeight="1" x14ac:dyDescent="0.3">
      <c r="A22" s="103" t="s">
        <v>235</v>
      </c>
      <c r="B22" s="104" t="s">
        <v>26</v>
      </c>
      <c r="C22" s="105" t="s">
        <v>1026</v>
      </c>
      <c r="D22" s="104" t="s">
        <v>1016</v>
      </c>
      <c r="E22" s="104" t="s">
        <v>615</v>
      </c>
      <c r="F22" s="104" t="s">
        <v>351</v>
      </c>
      <c r="G22" s="106">
        <v>9</v>
      </c>
      <c r="H22" s="107" t="s">
        <v>1027</v>
      </c>
    </row>
    <row r="23" spans="1:8" ht="19.8" customHeight="1" x14ac:dyDescent="0.3">
      <c r="A23" s="103" t="s">
        <v>235</v>
      </c>
      <c r="B23" s="104" t="s">
        <v>26</v>
      </c>
      <c r="C23" s="105" t="s">
        <v>1026</v>
      </c>
      <c r="D23" s="104" t="s">
        <v>1016</v>
      </c>
      <c r="E23" s="104" t="s">
        <v>615</v>
      </c>
      <c r="F23" s="104" t="s">
        <v>28</v>
      </c>
      <c r="G23" s="106">
        <v>9</v>
      </c>
      <c r="H23" s="107" t="s">
        <v>1027</v>
      </c>
    </row>
    <row r="24" spans="1:8" ht="19.8" customHeight="1" x14ac:dyDescent="0.3">
      <c r="A24" s="103" t="s">
        <v>235</v>
      </c>
      <c r="B24" s="104" t="s">
        <v>26</v>
      </c>
      <c r="C24" s="105" t="s">
        <v>1029</v>
      </c>
      <c r="D24" s="104" t="s">
        <v>1016</v>
      </c>
      <c r="E24" s="104" t="s">
        <v>1212</v>
      </c>
      <c r="F24" s="104" t="s">
        <v>351</v>
      </c>
      <c r="G24" s="106">
        <v>9</v>
      </c>
      <c r="H24" s="107" t="s">
        <v>1027</v>
      </c>
    </row>
    <row r="25" spans="1:8" ht="19.8" customHeight="1" x14ac:dyDescent="0.3">
      <c r="A25" s="103" t="s">
        <v>235</v>
      </c>
      <c r="B25" s="104" t="s">
        <v>26</v>
      </c>
      <c r="C25" s="105" t="s">
        <v>1029</v>
      </c>
      <c r="D25" s="104" t="s">
        <v>1016</v>
      </c>
      <c r="E25" s="104" t="s">
        <v>1212</v>
      </c>
      <c r="F25" s="104" t="s">
        <v>28</v>
      </c>
      <c r="G25" s="106">
        <v>9</v>
      </c>
      <c r="H25" s="107" t="s">
        <v>1027</v>
      </c>
    </row>
    <row r="26" spans="1:8" ht="19.8" customHeight="1" x14ac:dyDescent="0.3">
      <c r="A26" s="103" t="s">
        <v>235</v>
      </c>
      <c r="B26" s="104" t="s">
        <v>26</v>
      </c>
      <c r="C26" s="105" t="s">
        <v>1017</v>
      </c>
      <c r="D26" s="104" t="s">
        <v>1016</v>
      </c>
      <c r="E26" s="104" t="s">
        <v>1207</v>
      </c>
      <c r="F26" s="104" t="s">
        <v>31</v>
      </c>
      <c r="G26" s="106">
        <v>8</v>
      </c>
      <c r="H26" s="107" t="s">
        <v>1019</v>
      </c>
    </row>
    <row r="27" spans="1:8" ht="19.8" customHeight="1" x14ac:dyDescent="0.3">
      <c r="A27" s="174" t="s">
        <v>235</v>
      </c>
      <c r="B27" s="121" t="s">
        <v>77</v>
      </c>
      <c r="C27" s="122" t="s">
        <v>1052</v>
      </c>
      <c r="D27" s="121" t="s">
        <v>1016</v>
      </c>
      <c r="E27" s="121" t="s">
        <v>1176</v>
      </c>
      <c r="F27" s="121" t="s">
        <v>101</v>
      </c>
      <c r="G27" s="124">
        <v>9</v>
      </c>
      <c r="H27" s="125" t="s">
        <v>1053</v>
      </c>
    </row>
    <row r="28" spans="1:8" ht="19.8" customHeight="1" x14ac:dyDescent="0.3">
      <c r="A28" s="112">
        <v>45981</v>
      </c>
      <c r="B28" s="104" t="s">
        <v>385</v>
      </c>
      <c r="C28" s="105" t="s">
        <v>1046</v>
      </c>
      <c r="D28" s="104" t="s">
        <v>1016</v>
      </c>
      <c r="E28" s="113">
        <v>1.614583333333333</v>
      </c>
      <c r="F28" s="104" t="s">
        <v>101</v>
      </c>
      <c r="G28" s="106">
        <v>9</v>
      </c>
      <c r="H28" s="107" t="s">
        <v>1047</v>
      </c>
    </row>
    <row r="29" spans="1:8" ht="19.8" customHeight="1" x14ac:dyDescent="0.3">
      <c r="A29" s="112">
        <v>45981</v>
      </c>
      <c r="B29" s="104" t="s">
        <v>458</v>
      </c>
      <c r="C29" s="105" t="s">
        <v>1050</v>
      </c>
      <c r="D29" s="104" t="s">
        <v>1016</v>
      </c>
      <c r="E29" s="113">
        <v>1.6909722222222221</v>
      </c>
      <c r="F29" s="104" t="s">
        <v>101</v>
      </c>
      <c r="G29" s="106">
        <v>9</v>
      </c>
      <c r="H29" s="107" t="s">
        <v>1051</v>
      </c>
    </row>
    <row r="30" spans="1:8" ht="19.8" customHeight="1" x14ac:dyDescent="0.3">
      <c r="A30" s="112">
        <v>45981</v>
      </c>
      <c r="B30" s="104" t="s">
        <v>26</v>
      </c>
      <c r="C30" s="105" t="s">
        <v>1021</v>
      </c>
      <c r="D30" s="104" t="s">
        <v>1016</v>
      </c>
      <c r="E30" s="113">
        <v>1.631944444444444</v>
      </c>
      <c r="F30" s="104" t="s">
        <v>31</v>
      </c>
      <c r="G30" s="106">
        <v>7</v>
      </c>
      <c r="H30" s="107" t="s">
        <v>923</v>
      </c>
    </row>
    <row r="31" spans="1:8" ht="19.8" customHeight="1" x14ac:dyDescent="0.3">
      <c r="A31" s="112">
        <v>45981</v>
      </c>
      <c r="B31" s="104" t="s">
        <v>26</v>
      </c>
      <c r="C31" s="105" t="s">
        <v>1023</v>
      </c>
      <c r="D31" s="104" t="s">
        <v>1016</v>
      </c>
      <c r="E31" s="113">
        <v>1.5590277777777779</v>
      </c>
      <c r="F31" s="104" t="s">
        <v>31</v>
      </c>
      <c r="G31" s="106">
        <v>5</v>
      </c>
      <c r="H31" s="107" t="s">
        <v>923</v>
      </c>
    </row>
    <row r="32" spans="1:8" ht="19.8" customHeight="1" x14ac:dyDescent="0.3">
      <c r="A32" s="112">
        <v>45981</v>
      </c>
      <c r="B32" s="104" t="s">
        <v>26</v>
      </c>
      <c r="C32" s="105" t="s">
        <v>1024</v>
      </c>
      <c r="D32" s="104" t="s">
        <v>1016</v>
      </c>
      <c r="E32" s="113">
        <v>1.819444444444444</v>
      </c>
      <c r="F32" s="104" t="s">
        <v>31</v>
      </c>
      <c r="G32" s="106">
        <v>9</v>
      </c>
      <c r="H32" s="107" t="s">
        <v>923</v>
      </c>
    </row>
    <row r="33" spans="1:8" ht="19.8" customHeight="1" x14ac:dyDescent="0.3">
      <c r="A33" s="112">
        <v>45981</v>
      </c>
      <c r="B33" s="104" t="s">
        <v>26</v>
      </c>
      <c r="C33" s="105" t="s">
        <v>1025</v>
      </c>
      <c r="D33" s="104" t="s">
        <v>1016</v>
      </c>
      <c r="E33" s="113">
        <v>1.697916666666667</v>
      </c>
      <c r="F33" s="104" t="s">
        <v>31</v>
      </c>
      <c r="G33" s="106">
        <v>4</v>
      </c>
      <c r="H33" s="107" t="s">
        <v>923</v>
      </c>
    </row>
    <row r="34" spans="1:8" ht="19.8" customHeight="1" x14ac:dyDescent="0.3">
      <c r="A34" s="112">
        <v>45981</v>
      </c>
      <c r="B34" s="104" t="s">
        <v>41</v>
      </c>
      <c r="C34" s="105" t="s">
        <v>1030</v>
      </c>
      <c r="D34" s="104" t="s">
        <v>1016</v>
      </c>
      <c r="E34" s="113">
        <v>1.5763888888888891</v>
      </c>
      <c r="F34" s="104" t="s">
        <v>45</v>
      </c>
      <c r="G34" s="106">
        <v>57</v>
      </c>
      <c r="H34" s="107" t="s">
        <v>338</v>
      </c>
    </row>
    <row r="35" spans="1:8" ht="19.8" customHeight="1" x14ac:dyDescent="0.3">
      <c r="A35" s="112">
        <v>45981</v>
      </c>
      <c r="B35" s="104" t="s">
        <v>41</v>
      </c>
      <c r="C35" s="105" t="s">
        <v>1034</v>
      </c>
      <c r="D35" s="104" t="s">
        <v>1016</v>
      </c>
      <c r="E35" s="113">
        <v>1.6284722222222221</v>
      </c>
      <c r="F35" s="104" t="s">
        <v>45</v>
      </c>
      <c r="G35" s="106">
        <v>68</v>
      </c>
      <c r="H35" s="107" t="s">
        <v>338</v>
      </c>
    </row>
    <row r="36" spans="1:8" ht="19.8" customHeight="1" x14ac:dyDescent="0.3">
      <c r="A36" s="112">
        <v>45981</v>
      </c>
      <c r="B36" s="104" t="s">
        <v>41</v>
      </c>
      <c r="C36" s="105" t="s">
        <v>1037</v>
      </c>
      <c r="D36" s="104" t="s">
        <v>1016</v>
      </c>
      <c r="E36" s="113">
        <v>1.8888888888888891</v>
      </c>
      <c r="F36" s="104" t="s">
        <v>45</v>
      </c>
      <c r="G36" s="106">
        <v>81</v>
      </c>
      <c r="H36" s="107" t="s">
        <v>338</v>
      </c>
    </row>
    <row r="37" spans="1:8" ht="19.8" customHeight="1" x14ac:dyDescent="0.3">
      <c r="A37" s="112">
        <v>45981</v>
      </c>
      <c r="B37" s="104" t="s">
        <v>41</v>
      </c>
      <c r="C37" s="105" t="s">
        <v>1040</v>
      </c>
      <c r="D37" s="104" t="s">
        <v>1016</v>
      </c>
      <c r="E37" s="113">
        <v>1.944444444444444</v>
      </c>
      <c r="F37" s="104" t="s">
        <v>45</v>
      </c>
      <c r="G37" s="106">
        <v>79</v>
      </c>
      <c r="H37" s="107" t="s">
        <v>338</v>
      </c>
    </row>
    <row r="38" spans="1:8" ht="19.8" customHeight="1" x14ac:dyDescent="0.3">
      <c r="A38" s="112">
        <v>45981</v>
      </c>
      <c r="B38" s="104" t="s">
        <v>26</v>
      </c>
      <c r="C38" s="105" t="s">
        <v>1026</v>
      </c>
      <c r="D38" s="104" t="s">
        <v>1016</v>
      </c>
      <c r="E38" s="113">
        <v>1.4375</v>
      </c>
      <c r="F38" s="104" t="s">
        <v>31</v>
      </c>
      <c r="G38" s="106">
        <v>9</v>
      </c>
      <c r="H38" s="107" t="s">
        <v>1028</v>
      </c>
    </row>
    <row r="39" spans="1:8" ht="19.8" customHeight="1" x14ac:dyDescent="0.3">
      <c r="A39" s="112">
        <v>45981</v>
      </c>
      <c r="B39" s="104" t="s">
        <v>26</v>
      </c>
      <c r="C39" s="105" t="s">
        <v>1029</v>
      </c>
      <c r="D39" s="104" t="s">
        <v>1016</v>
      </c>
      <c r="E39" s="113">
        <v>1.506944444444444</v>
      </c>
      <c r="F39" s="104" t="s">
        <v>31</v>
      </c>
      <c r="G39" s="106">
        <v>9</v>
      </c>
      <c r="H39" s="107" t="s">
        <v>1028</v>
      </c>
    </row>
    <row r="40" spans="1:8" ht="19.8" customHeight="1" x14ac:dyDescent="0.3">
      <c r="A40" s="112">
        <v>45981</v>
      </c>
      <c r="B40" s="104" t="s">
        <v>26</v>
      </c>
      <c r="C40" s="105" t="s">
        <v>1017</v>
      </c>
      <c r="D40" s="104" t="s">
        <v>1016</v>
      </c>
      <c r="E40" s="113">
        <v>1.958333333333333</v>
      </c>
      <c r="F40" s="104" t="s">
        <v>34</v>
      </c>
      <c r="G40" s="106">
        <v>8</v>
      </c>
      <c r="H40" s="107" t="s">
        <v>1020</v>
      </c>
    </row>
    <row r="41" spans="1:8" ht="19.8" customHeight="1" x14ac:dyDescent="0.3">
      <c r="A41" s="112">
        <v>45981</v>
      </c>
      <c r="B41" s="104" t="s">
        <v>26</v>
      </c>
      <c r="C41" s="105" t="s">
        <v>1021</v>
      </c>
      <c r="D41" s="104" t="s">
        <v>1016</v>
      </c>
      <c r="E41" s="113">
        <v>1.631944444444444</v>
      </c>
      <c r="F41" s="104" t="s">
        <v>34</v>
      </c>
      <c r="G41" s="106">
        <v>7</v>
      </c>
      <c r="H41" s="107" t="s">
        <v>30</v>
      </c>
    </row>
    <row r="42" spans="1:8" ht="19.8" customHeight="1" x14ac:dyDescent="0.3">
      <c r="A42" s="112">
        <v>45981</v>
      </c>
      <c r="B42" s="104" t="s">
        <v>26</v>
      </c>
      <c r="C42" s="105" t="s">
        <v>1023</v>
      </c>
      <c r="D42" s="104" t="s">
        <v>1016</v>
      </c>
      <c r="E42" s="113">
        <v>1.5590277777777779</v>
      </c>
      <c r="F42" s="104" t="s">
        <v>34</v>
      </c>
      <c r="G42" s="106">
        <v>5</v>
      </c>
      <c r="H42" s="107" t="s">
        <v>30</v>
      </c>
    </row>
    <row r="43" spans="1:8" ht="19.8" customHeight="1" x14ac:dyDescent="0.3">
      <c r="A43" s="112">
        <v>45981</v>
      </c>
      <c r="B43" s="104" t="s">
        <v>26</v>
      </c>
      <c r="C43" s="105" t="s">
        <v>1024</v>
      </c>
      <c r="D43" s="104" t="s">
        <v>1016</v>
      </c>
      <c r="E43" s="113">
        <v>1.819444444444444</v>
      </c>
      <c r="F43" s="104" t="s">
        <v>34</v>
      </c>
      <c r="G43" s="106">
        <v>9</v>
      </c>
      <c r="H43" s="107" t="s">
        <v>30</v>
      </c>
    </row>
    <row r="44" spans="1:8" ht="19.8" customHeight="1" x14ac:dyDescent="0.3">
      <c r="A44" s="112">
        <v>45981</v>
      </c>
      <c r="B44" s="104" t="s">
        <v>26</v>
      </c>
      <c r="C44" s="105" t="s">
        <v>1025</v>
      </c>
      <c r="D44" s="104" t="s">
        <v>1016</v>
      </c>
      <c r="E44" s="113">
        <v>1.697916666666667</v>
      </c>
      <c r="F44" s="104" t="s">
        <v>34</v>
      </c>
      <c r="G44" s="106">
        <v>4</v>
      </c>
      <c r="H44" s="107" t="s">
        <v>30</v>
      </c>
    </row>
    <row r="45" spans="1:8" ht="19.8" customHeight="1" x14ac:dyDescent="0.3">
      <c r="A45" s="112">
        <v>45981</v>
      </c>
      <c r="B45" s="104" t="s">
        <v>26</v>
      </c>
      <c r="C45" s="105" t="s">
        <v>1026</v>
      </c>
      <c r="D45" s="104" t="s">
        <v>1016</v>
      </c>
      <c r="E45" s="113">
        <v>1.4375</v>
      </c>
      <c r="F45" s="104" t="s">
        <v>34</v>
      </c>
      <c r="G45" s="106">
        <v>9</v>
      </c>
      <c r="H45" s="107" t="s">
        <v>44</v>
      </c>
    </row>
    <row r="46" spans="1:8" ht="19.8" customHeight="1" x14ac:dyDescent="0.3">
      <c r="A46" s="112">
        <v>45981</v>
      </c>
      <c r="B46" s="104" t="s">
        <v>26</v>
      </c>
      <c r="C46" s="105" t="s">
        <v>1029</v>
      </c>
      <c r="D46" s="104" t="s">
        <v>1016</v>
      </c>
      <c r="E46" s="113">
        <v>1.506944444444444</v>
      </c>
      <c r="F46" s="104" t="s">
        <v>34</v>
      </c>
      <c r="G46" s="106">
        <v>9</v>
      </c>
      <c r="H46" s="107" t="s">
        <v>44</v>
      </c>
    </row>
    <row r="47" spans="1:8" ht="19.8" customHeight="1" x14ac:dyDescent="0.3">
      <c r="A47" s="112">
        <v>45981</v>
      </c>
      <c r="B47" s="104" t="s">
        <v>388</v>
      </c>
      <c r="C47" s="105" t="s">
        <v>1056</v>
      </c>
      <c r="D47" s="104" t="s">
        <v>1016</v>
      </c>
      <c r="E47" s="113">
        <v>1.4375</v>
      </c>
      <c r="F47" s="104" t="s">
        <v>390</v>
      </c>
      <c r="G47" s="106">
        <v>5</v>
      </c>
      <c r="H47" s="107" t="s">
        <v>1057</v>
      </c>
    </row>
    <row r="48" spans="1:8" ht="19.8" customHeight="1" x14ac:dyDescent="0.3">
      <c r="A48" s="112">
        <v>45981</v>
      </c>
      <c r="B48" s="104" t="s">
        <v>48</v>
      </c>
      <c r="C48" s="105" t="s">
        <v>1059</v>
      </c>
      <c r="D48" s="104" t="s">
        <v>1016</v>
      </c>
      <c r="E48" s="113">
        <v>1.9826388888888891</v>
      </c>
      <c r="F48" s="104" t="s">
        <v>50</v>
      </c>
      <c r="G48" s="106">
        <v>9</v>
      </c>
      <c r="H48" s="107" t="s">
        <v>1060</v>
      </c>
    </row>
    <row r="49" spans="1:8" ht="19.8" customHeight="1" x14ac:dyDescent="0.3">
      <c r="A49" s="112">
        <v>45981</v>
      </c>
      <c r="B49" s="104" t="s">
        <v>48</v>
      </c>
      <c r="C49" s="105" t="s">
        <v>1061</v>
      </c>
      <c r="D49" s="104" t="s">
        <v>1016</v>
      </c>
      <c r="E49" s="113">
        <v>1.354166666666667</v>
      </c>
      <c r="F49" s="104" t="s">
        <v>50</v>
      </c>
      <c r="G49" s="106">
        <v>5</v>
      </c>
      <c r="H49" s="107" t="s">
        <v>1060</v>
      </c>
    </row>
    <row r="50" spans="1:8" ht="19.8" customHeight="1" x14ac:dyDescent="0.3">
      <c r="A50" s="112">
        <v>45981</v>
      </c>
      <c r="B50" s="104" t="s">
        <v>60</v>
      </c>
      <c r="C50" s="105" t="s">
        <v>1064</v>
      </c>
      <c r="D50" s="104" t="s">
        <v>1016</v>
      </c>
      <c r="E50" s="113">
        <v>1.9826388888888891</v>
      </c>
      <c r="F50" s="104" t="s">
        <v>107</v>
      </c>
      <c r="G50" s="106">
        <v>9</v>
      </c>
      <c r="H50" s="107" t="s">
        <v>1065</v>
      </c>
    </row>
    <row r="51" spans="1:8" ht="19.8" customHeight="1" x14ac:dyDescent="0.3">
      <c r="A51" s="112">
        <v>45981</v>
      </c>
      <c r="B51" s="104" t="s">
        <v>60</v>
      </c>
      <c r="C51" s="105" t="s">
        <v>1064</v>
      </c>
      <c r="D51" s="104" t="s">
        <v>1016</v>
      </c>
      <c r="E51" s="113">
        <v>1.9826388888888891</v>
      </c>
      <c r="F51" s="104" t="s">
        <v>62</v>
      </c>
      <c r="G51" s="106">
        <v>9</v>
      </c>
      <c r="H51" s="107" t="s">
        <v>1065</v>
      </c>
    </row>
    <row r="52" spans="1:8" ht="19.8" customHeight="1" x14ac:dyDescent="0.3">
      <c r="A52" s="112">
        <v>45981</v>
      </c>
      <c r="B52" s="104" t="s">
        <v>388</v>
      </c>
      <c r="C52" s="105" t="s">
        <v>1056</v>
      </c>
      <c r="D52" s="104" t="s">
        <v>1016</v>
      </c>
      <c r="E52" s="113">
        <v>1.4375</v>
      </c>
      <c r="F52" s="104" t="s">
        <v>46</v>
      </c>
      <c r="G52" s="106">
        <v>5</v>
      </c>
      <c r="H52" s="107" t="s">
        <v>1058</v>
      </c>
    </row>
    <row r="53" spans="1:8" ht="19.8" customHeight="1" x14ac:dyDescent="0.3">
      <c r="A53" s="112">
        <v>45981</v>
      </c>
      <c r="B53" s="104" t="s">
        <v>60</v>
      </c>
      <c r="C53" s="105" t="s">
        <v>1064</v>
      </c>
      <c r="D53" s="104" t="s">
        <v>1016</v>
      </c>
      <c r="E53" s="113">
        <v>1.9826388888888891</v>
      </c>
      <c r="F53" s="104" t="s">
        <v>65</v>
      </c>
      <c r="G53" s="106">
        <v>9</v>
      </c>
      <c r="H53" s="107" t="s">
        <v>1066</v>
      </c>
    </row>
    <row r="54" spans="1:8" ht="19.8" customHeight="1" x14ac:dyDescent="0.3">
      <c r="A54" s="112">
        <v>45981</v>
      </c>
      <c r="B54" s="104" t="s">
        <v>41</v>
      </c>
      <c r="C54" s="105" t="s">
        <v>1030</v>
      </c>
      <c r="D54" s="104" t="s">
        <v>1016</v>
      </c>
      <c r="E54" s="113">
        <v>1.5763888888888891</v>
      </c>
      <c r="F54" s="104" t="s">
        <v>46</v>
      </c>
      <c r="G54" s="106">
        <v>57</v>
      </c>
      <c r="H54" s="107" t="s">
        <v>532</v>
      </c>
    </row>
    <row r="55" spans="1:8" ht="19.8" customHeight="1" x14ac:dyDescent="0.3">
      <c r="A55" s="112">
        <v>45981</v>
      </c>
      <c r="B55" s="104" t="s">
        <v>41</v>
      </c>
      <c r="C55" s="105" t="s">
        <v>1034</v>
      </c>
      <c r="D55" s="104" t="s">
        <v>1016</v>
      </c>
      <c r="E55" s="113">
        <v>1.6284722222222221</v>
      </c>
      <c r="F55" s="104" t="s">
        <v>46</v>
      </c>
      <c r="G55" s="106">
        <v>68</v>
      </c>
      <c r="H55" s="107" t="s">
        <v>532</v>
      </c>
    </row>
    <row r="56" spans="1:8" ht="19.8" customHeight="1" x14ac:dyDescent="0.3">
      <c r="A56" s="112">
        <v>45981</v>
      </c>
      <c r="B56" s="104" t="s">
        <v>41</v>
      </c>
      <c r="C56" s="105" t="s">
        <v>1037</v>
      </c>
      <c r="D56" s="104" t="s">
        <v>1016</v>
      </c>
      <c r="E56" s="113">
        <v>1.8888888888888891</v>
      </c>
      <c r="F56" s="104" t="s">
        <v>46</v>
      </c>
      <c r="G56" s="106">
        <v>81</v>
      </c>
      <c r="H56" s="107" t="s">
        <v>532</v>
      </c>
    </row>
    <row r="57" spans="1:8" ht="19.8" customHeight="1" x14ac:dyDescent="0.3">
      <c r="A57" s="112">
        <v>45981</v>
      </c>
      <c r="B57" s="104" t="s">
        <v>41</v>
      </c>
      <c r="C57" s="105" t="s">
        <v>1040</v>
      </c>
      <c r="D57" s="104" t="s">
        <v>1016</v>
      </c>
      <c r="E57" s="113">
        <v>1.944444444444444</v>
      </c>
      <c r="F57" s="104" t="s">
        <v>46</v>
      </c>
      <c r="G57" s="106">
        <v>79</v>
      </c>
      <c r="H57" s="107" t="s">
        <v>532</v>
      </c>
    </row>
    <row r="58" spans="1:8" ht="19.8" customHeight="1" x14ac:dyDescent="0.3">
      <c r="A58" s="112">
        <v>45981</v>
      </c>
      <c r="B58" s="104" t="s">
        <v>60</v>
      </c>
      <c r="C58" s="105" t="s">
        <v>1067</v>
      </c>
      <c r="D58" s="104" t="s">
        <v>1016</v>
      </c>
      <c r="E58" s="113">
        <v>1.8888888888888891</v>
      </c>
      <c r="F58" s="104" t="s">
        <v>50</v>
      </c>
      <c r="G58" s="106">
        <v>4</v>
      </c>
      <c r="H58" s="107" t="s">
        <v>1068</v>
      </c>
    </row>
    <row r="59" spans="1:8" ht="19.8" customHeight="1" x14ac:dyDescent="0.3">
      <c r="A59" s="112">
        <v>45981</v>
      </c>
      <c r="B59" s="104" t="s">
        <v>60</v>
      </c>
      <c r="C59" s="105" t="s">
        <v>1067</v>
      </c>
      <c r="D59" s="104" t="s">
        <v>1016</v>
      </c>
      <c r="E59" s="113">
        <v>1.8888888888888891</v>
      </c>
      <c r="F59" s="104" t="s">
        <v>65</v>
      </c>
      <c r="G59" s="106">
        <v>4</v>
      </c>
      <c r="H59" s="107" t="s">
        <v>1068</v>
      </c>
    </row>
    <row r="60" spans="1:8" ht="19.8" customHeight="1" x14ac:dyDescent="0.3">
      <c r="A60" s="112">
        <v>45981</v>
      </c>
      <c r="B60" s="104" t="s">
        <v>60</v>
      </c>
      <c r="C60" s="105" t="s">
        <v>1069</v>
      </c>
      <c r="D60" s="104" t="s">
        <v>1016</v>
      </c>
      <c r="E60" s="113">
        <v>1.6284722222222221</v>
      </c>
      <c r="F60" s="104" t="s">
        <v>50</v>
      </c>
      <c r="G60" s="106">
        <v>4</v>
      </c>
      <c r="H60" s="107" t="s">
        <v>1068</v>
      </c>
    </row>
    <row r="61" spans="1:8" ht="19.8" customHeight="1" x14ac:dyDescent="0.3">
      <c r="A61" s="112">
        <v>45981</v>
      </c>
      <c r="B61" s="104" t="s">
        <v>60</v>
      </c>
      <c r="C61" s="105" t="s">
        <v>1069</v>
      </c>
      <c r="D61" s="104" t="s">
        <v>1016</v>
      </c>
      <c r="E61" s="113">
        <v>1.6284722222222221</v>
      </c>
      <c r="F61" s="104" t="s">
        <v>65</v>
      </c>
      <c r="G61" s="106">
        <v>4</v>
      </c>
      <c r="H61" s="107" t="s">
        <v>1068</v>
      </c>
    </row>
    <row r="62" spans="1:8" ht="19.8" customHeight="1" x14ac:dyDescent="0.3">
      <c r="A62" s="112">
        <v>45981</v>
      </c>
      <c r="B62" s="104" t="s">
        <v>60</v>
      </c>
      <c r="C62" s="105" t="s">
        <v>1070</v>
      </c>
      <c r="D62" s="104" t="s">
        <v>1016</v>
      </c>
      <c r="E62" s="113">
        <v>1.944444444444444</v>
      </c>
      <c r="F62" s="104" t="s">
        <v>50</v>
      </c>
      <c r="G62" s="106">
        <v>4</v>
      </c>
      <c r="H62" s="107" t="s">
        <v>1068</v>
      </c>
    </row>
    <row r="63" spans="1:8" ht="19.8" customHeight="1" x14ac:dyDescent="0.3">
      <c r="A63" s="112">
        <v>45981</v>
      </c>
      <c r="B63" s="104" t="s">
        <v>60</v>
      </c>
      <c r="C63" s="105" t="s">
        <v>1070</v>
      </c>
      <c r="D63" s="104" t="s">
        <v>1016</v>
      </c>
      <c r="E63" s="113">
        <v>1.944444444444444</v>
      </c>
      <c r="F63" s="104" t="s">
        <v>65</v>
      </c>
      <c r="G63" s="106">
        <v>4</v>
      </c>
      <c r="H63" s="107" t="s">
        <v>1068</v>
      </c>
    </row>
    <row r="64" spans="1:8" ht="19.8" customHeight="1" x14ac:dyDescent="0.3">
      <c r="A64" s="112">
        <v>45981</v>
      </c>
      <c r="B64" s="104" t="s">
        <v>60</v>
      </c>
      <c r="C64" s="105" t="s">
        <v>1071</v>
      </c>
      <c r="D64" s="104" t="s">
        <v>1016</v>
      </c>
      <c r="E64" s="113">
        <v>1.444444444444444</v>
      </c>
      <c r="F64" s="104" t="s">
        <v>50</v>
      </c>
      <c r="G64" s="106">
        <v>7</v>
      </c>
      <c r="H64" s="107" t="s">
        <v>1072</v>
      </c>
    </row>
    <row r="65" spans="1:8" ht="19.8" customHeight="1" x14ac:dyDescent="0.3">
      <c r="A65" s="112">
        <v>45981</v>
      </c>
      <c r="B65" s="104" t="s">
        <v>60</v>
      </c>
      <c r="C65" s="105" t="s">
        <v>1071</v>
      </c>
      <c r="D65" s="104" t="s">
        <v>1016</v>
      </c>
      <c r="E65" s="113">
        <v>1.444444444444444</v>
      </c>
      <c r="F65" s="104" t="s">
        <v>65</v>
      </c>
      <c r="G65" s="106">
        <v>7</v>
      </c>
      <c r="H65" s="107" t="s">
        <v>1072</v>
      </c>
    </row>
    <row r="66" spans="1:8" ht="19.8" customHeight="1" x14ac:dyDescent="0.3">
      <c r="A66" s="112">
        <v>45981</v>
      </c>
      <c r="B66" s="104" t="s">
        <v>60</v>
      </c>
      <c r="C66" s="105" t="s">
        <v>1073</v>
      </c>
      <c r="D66" s="104" t="s">
        <v>1016</v>
      </c>
      <c r="E66" s="113">
        <v>1.8298611111111109</v>
      </c>
      <c r="F66" s="104" t="s">
        <v>50</v>
      </c>
      <c r="G66" s="106">
        <v>9</v>
      </c>
      <c r="H66" s="107" t="s">
        <v>1072</v>
      </c>
    </row>
    <row r="67" spans="1:8" ht="19.8" customHeight="1" x14ac:dyDescent="0.3">
      <c r="A67" s="112">
        <v>45981</v>
      </c>
      <c r="B67" s="104" t="s">
        <v>60</v>
      </c>
      <c r="C67" s="105" t="s">
        <v>1073</v>
      </c>
      <c r="D67" s="104" t="s">
        <v>1016</v>
      </c>
      <c r="E67" s="113">
        <v>1.8298611111111109</v>
      </c>
      <c r="F67" s="104" t="s">
        <v>65</v>
      </c>
      <c r="G67" s="106">
        <v>9</v>
      </c>
      <c r="H67" s="107" t="s">
        <v>1072</v>
      </c>
    </row>
    <row r="68" spans="1:8" ht="19.8" customHeight="1" x14ac:dyDescent="0.3">
      <c r="A68" s="112">
        <v>45981</v>
      </c>
      <c r="B68" s="104" t="s">
        <v>60</v>
      </c>
      <c r="C68" s="105" t="s">
        <v>1074</v>
      </c>
      <c r="D68" s="104" t="s">
        <v>1016</v>
      </c>
      <c r="E68" s="113">
        <v>1.6284722222222221</v>
      </c>
      <c r="F68" s="104" t="s">
        <v>50</v>
      </c>
      <c r="G68" s="106">
        <v>9</v>
      </c>
      <c r="H68" s="107" t="s">
        <v>1072</v>
      </c>
    </row>
    <row r="69" spans="1:8" ht="19.8" customHeight="1" x14ac:dyDescent="0.3">
      <c r="A69" s="112">
        <v>45981</v>
      </c>
      <c r="B69" s="104" t="s">
        <v>60</v>
      </c>
      <c r="C69" s="105" t="s">
        <v>1074</v>
      </c>
      <c r="D69" s="104" t="s">
        <v>1016</v>
      </c>
      <c r="E69" s="113">
        <v>1.6284722222222221</v>
      </c>
      <c r="F69" s="104" t="s">
        <v>65</v>
      </c>
      <c r="G69" s="106">
        <v>9</v>
      </c>
      <c r="H69" s="107" t="s">
        <v>1072</v>
      </c>
    </row>
    <row r="70" spans="1:8" ht="19.8" customHeight="1" x14ac:dyDescent="0.3">
      <c r="A70" s="114">
        <v>45981</v>
      </c>
      <c r="B70" s="115" t="s">
        <v>48</v>
      </c>
      <c r="C70" s="116" t="s">
        <v>1062</v>
      </c>
      <c r="D70" s="115" t="s">
        <v>1016</v>
      </c>
      <c r="E70" s="117">
        <v>1.729166666666667</v>
      </c>
      <c r="F70" s="115" t="s">
        <v>50</v>
      </c>
      <c r="G70" s="118">
        <v>3</v>
      </c>
      <c r="H70" s="119" t="s">
        <v>1063</v>
      </c>
    </row>
    <row r="71" spans="1:8" ht="19.8" customHeight="1" x14ac:dyDescent="0.3">
      <c r="A71" s="112">
        <v>45982</v>
      </c>
      <c r="B71" s="104" t="s">
        <v>41</v>
      </c>
      <c r="C71" s="105" t="s">
        <v>1030</v>
      </c>
      <c r="D71" s="104" t="s">
        <v>1016</v>
      </c>
      <c r="E71" s="113">
        <v>1.5763888888888891</v>
      </c>
      <c r="F71" s="104" t="s">
        <v>337</v>
      </c>
      <c r="G71" s="106">
        <v>16</v>
      </c>
      <c r="H71" s="107" t="s">
        <v>1032</v>
      </c>
    </row>
    <row r="72" spans="1:8" ht="19.8" customHeight="1" x14ac:dyDescent="0.3">
      <c r="A72" s="112">
        <v>45982</v>
      </c>
      <c r="B72" s="104" t="s">
        <v>41</v>
      </c>
      <c r="C72" s="105" t="s">
        <v>1030</v>
      </c>
      <c r="D72" s="104" t="s">
        <v>1016</v>
      </c>
      <c r="E72" s="113">
        <v>1.5763888888888891</v>
      </c>
      <c r="F72" s="104" t="s">
        <v>43</v>
      </c>
      <c r="G72" s="106">
        <v>16</v>
      </c>
      <c r="H72" s="107" t="s">
        <v>1032</v>
      </c>
    </row>
    <row r="73" spans="1:8" ht="19.8" customHeight="1" x14ac:dyDescent="0.3">
      <c r="A73" s="112">
        <v>45982</v>
      </c>
      <c r="B73" s="104" t="s">
        <v>41</v>
      </c>
      <c r="C73" s="105" t="s">
        <v>1034</v>
      </c>
      <c r="D73" s="104" t="s">
        <v>1016</v>
      </c>
      <c r="E73" s="113">
        <v>1.6284722222222221</v>
      </c>
      <c r="F73" s="104" t="s">
        <v>337</v>
      </c>
      <c r="G73" s="106">
        <v>36</v>
      </c>
      <c r="H73" s="107" t="s">
        <v>1032</v>
      </c>
    </row>
    <row r="74" spans="1:8" ht="19.8" customHeight="1" x14ac:dyDescent="0.3">
      <c r="A74" s="112">
        <v>45982</v>
      </c>
      <c r="B74" s="104" t="s">
        <v>41</v>
      </c>
      <c r="C74" s="105" t="s">
        <v>1034</v>
      </c>
      <c r="D74" s="104" t="s">
        <v>1016</v>
      </c>
      <c r="E74" s="113">
        <v>1.6284722222222221</v>
      </c>
      <c r="F74" s="104" t="s">
        <v>43</v>
      </c>
      <c r="G74" s="106">
        <v>36</v>
      </c>
      <c r="H74" s="107" t="s">
        <v>1032</v>
      </c>
    </row>
    <row r="75" spans="1:8" ht="19.8" customHeight="1" x14ac:dyDescent="0.3">
      <c r="A75" s="112">
        <v>45982</v>
      </c>
      <c r="B75" s="104" t="s">
        <v>26</v>
      </c>
      <c r="C75" s="105" t="s">
        <v>1023</v>
      </c>
      <c r="D75" s="104" t="s">
        <v>1016</v>
      </c>
      <c r="E75" s="113">
        <v>1.5590277777777779</v>
      </c>
      <c r="F75" s="104" t="s">
        <v>351</v>
      </c>
      <c r="G75" s="106">
        <v>2</v>
      </c>
      <c r="H75" s="107" t="s">
        <v>1022</v>
      </c>
    </row>
    <row r="76" spans="1:8" ht="19.8" customHeight="1" x14ac:dyDescent="0.3">
      <c r="A76" s="112">
        <v>45982</v>
      </c>
      <c r="B76" s="104" t="s">
        <v>26</v>
      </c>
      <c r="C76" s="105" t="s">
        <v>1023</v>
      </c>
      <c r="D76" s="104" t="s">
        <v>1016</v>
      </c>
      <c r="E76" s="113">
        <v>1.5590277777777779</v>
      </c>
      <c r="F76" s="104" t="s">
        <v>28</v>
      </c>
      <c r="G76" s="106">
        <v>2</v>
      </c>
      <c r="H76" s="107" t="s">
        <v>1022</v>
      </c>
    </row>
    <row r="77" spans="1:8" ht="19.8" customHeight="1" x14ac:dyDescent="0.3">
      <c r="A77" s="112">
        <v>45982</v>
      </c>
      <c r="B77" s="104" t="s">
        <v>26</v>
      </c>
      <c r="C77" s="105" t="s">
        <v>1029</v>
      </c>
      <c r="D77" s="104" t="s">
        <v>1016</v>
      </c>
      <c r="E77" s="113">
        <v>1.506944444444444</v>
      </c>
      <c r="F77" s="104" t="s">
        <v>351</v>
      </c>
      <c r="G77" s="106">
        <v>1</v>
      </c>
      <c r="H77" s="107" t="s">
        <v>1022</v>
      </c>
    </row>
    <row r="78" spans="1:8" ht="19.8" customHeight="1" x14ac:dyDescent="0.3">
      <c r="A78" s="112">
        <v>45982</v>
      </c>
      <c r="B78" s="104" t="s">
        <v>26</v>
      </c>
      <c r="C78" s="105" t="s">
        <v>1029</v>
      </c>
      <c r="D78" s="104" t="s">
        <v>1016</v>
      </c>
      <c r="E78" s="113">
        <v>1.506944444444444</v>
      </c>
      <c r="F78" s="104" t="s">
        <v>28</v>
      </c>
      <c r="G78" s="106">
        <v>1</v>
      </c>
      <c r="H78" s="107" t="s">
        <v>1022</v>
      </c>
    </row>
    <row r="79" spans="1:8" ht="19.8" customHeight="1" x14ac:dyDescent="0.3">
      <c r="A79" s="112">
        <v>45982</v>
      </c>
      <c r="B79" s="104" t="s">
        <v>41</v>
      </c>
      <c r="C79" s="105" t="s">
        <v>1037</v>
      </c>
      <c r="D79" s="104" t="s">
        <v>1016</v>
      </c>
      <c r="E79" s="113">
        <v>1.8888888888888891</v>
      </c>
      <c r="F79" s="104" t="s">
        <v>337</v>
      </c>
      <c r="G79" s="106">
        <v>30</v>
      </c>
      <c r="H79" s="107" t="s">
        <v>1079</v>
      </c>
    </row>
    <row r="80" spans="1:8" ht="19.8" customHeight="1" x14ac:dyDescent="0.3">
      <c r="A80" s="112">
        <v>45982</v>
      </c>
      <c r="B80" s="104" t="s">
        <v>41</v>
      </c>
      <c r="C80" s="105" t="s">
        <v>1037</v>
      </c>
      <c r="D80" s="104" t="s">
        <v>1016</v>
      </c>
      <c r="E80" s="113">
        <v>1.8888888888888891</v>
      </c>
      <c r="F80" s="104" t="s">
        <v>43</v>
      </c>
      <c r="G80" s="106">
        <v>30</v>
      </c>
      <c r="H80" s="107" t="s">
        <v>1079</v>
      </c>
    </row>
    <row r="81" spans="1:8" ht="19.8" customHeight="1" x14ac:dyDescent="0.3">
      <c r="A81" s="112">
        <v>45982</v>
      </c>
      <c r="B81" s="104" t="s">
        <v>41</v>
      </c>
      <c r="C81" s="105" t="s">
        <v>1040</v>
      </c>
      <c r="D81" s="104" t="s">
        <v>1016</v>
      </c>
      <c r="E81" s="113">
        <v>1.944444444444444</v>
      </c>
      <c r="F81" s="104" t="s">
        <v>337</v>
      </c>
      <c r="G81" s="106">
        <v>52</v>
      </c>
      <c r="H81" s="107" t="s">
        <v>1079</v>
      </c>
    </row>
    <row r="82" spans="1:8" ht="19.8" customHeight="1" x14ac:dyDescent="0.3">
      <c r="A82" s="112">
        <v>45982</v>
      </c>
      <c r="B82" s="104" t="s">
        <v>41</v>
      </c>
      <c r="C82" s="105" t="s">
        <v>1040</v>
      </c>
      <c r="D82" s="104" t="s">
        <v>1016</v>
      </c>
      <c r="E82" s="113">
        <v>1.944444444444444</v>
      </c>
      <c r="F82" s="104" t="s">
        <v>43</v>
      </c>
      <c r="G82" s="106">
        <v>52</v>
      </c>
      <c r="H82" s="107" t="s">
        <v>1079</v>
      </c>
    </row>
    <row r="83" spans="1:8" ht="19.8" customHeight="1" x14ac:dyDescent="0.3">
      <c r="A83" s="112">
        <v>45982</v>
      </c>
      <c r="B83" s="104" t="s">
        <v>26</v>
      </c>
      <c r="C83" s="105" t="s">
        <v>1026</v>
      </c>
      <c r="D83" s="104" t="s">
        <v>1016</v>
      </c>
      <c r="E83" s="113">
        <v>1.4375</v>
      </c>
      <c r="F83" s="104" t="s">
        <v>351</v>
      </c>
      <c r="G83" s="106">
        <v>4</v>
      </c>
      <c r="H83" s="107" t="s">
        <v>1027</v>
      </c>
    </row>
    <row r="84" spans="1:8" ht="19.8" customHeight="1" x14ac:dyDescent="0.3">
      <c r="A84" s="112">
        <v>45982</v>
      </c>
      <c r="B84" s="104" t="s">
        <v>26</v>
      </c>
      <c r="C84" s="105" t="s">
        <v>1026</v>
      </c>
      <c r="D84" s="104" t="s">
        <v>1016</v>
      </c>
      <c r="E84" s="113">
        <v>1.4375</v>
      </c>
      <c r="F84" s="104" t="s">
        <v>28</v>
      </c>
      <c r="G84" s="106">
        <v>4</v>
      </c>
      <c r="H84" s="107" t="s">
        <v>1027</v>
      </c>
    </row>
    <row r="85" spans="1:8" ht="19.8" customHeight="1" x14ac:dyDescent="0.3">
      <c r="A85" s="112">
        <v>45982</v>
      </c>
      <c r="B85" s="104" t="s">
        <v>26</v>
      </c>
      <c r="C85" s="105" t="s">
        <v>1017</v>
      </c>
      <c r="D85" s="104" t="s">
        <v>1016</v>
      </c>
      <c r="E85" s="113">
        <v>1.958333333333333</v>
      </c>
      <c r="F85" s="104" t="s">
        <v>351</v>
      </c>
      <c r="G85" s="106">
        <v>2</v>
      </c>
      <c r="H85" s="107" t="s">
        <v>1027</v>
      </c>
    </row>
    <row r="86" spans="1:8" ht="19.8" customHeight="1" x14ac:dyDescent="0.3">
      <c r="A86" s="112">
        <v>45982</v>
      </c>
      <c r="B86" s="104" t="s">
        <v>26</v>
      </c>
      <c r="C86" s="105" t="s">
        <v>1017</v>
      </c>
      <c r="D86" s="104" t="s">
        <v>1016</v>
      </c>
      <c r="E86" s="113">
        <v>1.958333333333333</v>
      </c>
      <c r="F86" s="104" t="s">
        <v>28</v>
      </c>
      <c r="G86" s="106">
        <v>2</v>
      </c>
      <c r="H86" s="107" t="s">
        <v>1027</v>
      </c>
    </row>
    <row r="87" spans="1:8" ht="19.8" customHeight="1" x14ac:dyDescent="0.3">
      <c r="A87" s="112">
        <v>45982</v>
      </c>
      <c r="B87" s="104" t="s">
        <v>26</v>
      </c>
      <c r="C87" s="105" t="s">
        <v>1021</v>
      </c>
      <c r="D87" s="104" t="s">
        <v>1016</v>
      </c>
      <c r="E87" s="113">
        <v>1.631944444444444</v>
      </c>
      <c r="F87" s="104" t="s">
        <v>351</v>
      </c>
      <c r="G87" s="106">
        <v>9</v>
      </c>
      <c r="H87" s="107" t="s">
        <v>1027</v>
      </c>
    </row>
    <row r="88" spans="1:8" ht="19.8" customHeight="1" x14ac:dyDescent="0.3">
      <c r="A88" s="112">
        <v>45982</v>
      </c>
      <c r="B88" s="104" t="s">
        <v>26</v>
      </c>
      <c r="C88" s="105" t="s">
        <v>1021</v>
      </c>
      <c r="D88" s="104" t="s">
        <v>1016</v>
      </c>
      <c r="E88" s="113">
        <v>1.631944444444444</v>
      </c>
      <c r="F88" s="104" t="s">
        <v>28</v>
      </c>
      <c r="G88" s="106">
        <v>9</v>
      </c>
      <c r="H88" s="107" t="s">
        <v>1027</v>
      </c>
    </row>
    <row r="89" spans="1:8" ht="19.8" customHeight="1" x14ac:dyDescent="0.3">
      <c r="A89" s="112">
        <v>45982</v>
      </c>
      <c r="B89" s="104" t="s">
        <v>26</v>
      </c>
      <c r="C89" s="105" t="s">
        <v>1024</v>
      </c>
      <c r="D89" s="104" t="s">
        <v>1016</v>
      </c>
      <c r="E89" s="113">
        <v>1.819444444444444</v>
      </c>
      <c r="F89" s="104" t="s">
        <v>351</v>
      </c>
      <c r="G89" s="106">
        <v>4</v>
      </c>
      <c r="H89" s="107" t="s">
        <v>1027</v>
      </c>
    </row>
    <row r="90" spans="1:8" ht="19.8" customHeight="1" x14ac:dyDescent="0.3">
      <c r="A90" s="112">
        <v>45982</v>
      </c>
      <c r="B90" s="104" t="s">
        <v>26</v>
      </c>
      <c r="C90" s="105" t="s">
        <v>1024</v>
      </c>
      <c r="D90" s="104" t="s">
        <v>1016</v>
      </c>
      <c r="E90" s="113">
        <v>1.819444444444444</v>
      </c>
      <c r="F90" s="104" t="s">
        <v>28</v>
      </c>
      <c r="G90" s="106">
        <v>4</v>
      </c>
      <c r="H90" s="107" t="s">
        <v>1027</v>
      </c>
    </row>
    <row r="91" spans="1:8" ht="19.8" customHeight="1" x14ac:dyDescent="0.3">
      <c r="A91" s="112">
        <v>45982</v>
      </c>
      <c r="B91" s="104" t="s">
        <v>26</v>
      </c>
      <c r="C91" s="105" t="s">
        <v>1025</v>
      </c>
      <c r="D91" s="104" t="s">
        <v>1016</v>
      </c>
      <c r="E91" s="113">
        <v>1.697916666666667</v>
      </c>
      <c r="F91" s="104" t="s">
        <v>351</v>
      </c>
      <c r="G91" s="106">
        <v>9</v>
      </c>
      <c r="H91" s="107" t="s">
        <v>1027</v>
      </c>
    </row>
    <row r="92" spans="1:8" ht="19.8" customHeight="1" x14ac:dyDescent="0.3">
      <c r="A92" s="112">
        <v>45982</v>
      </c>
      <c r="B92" s="104" t="s">
        <v>26</v>
      </c>
      <c r="C92" s="105" t="s">
        <v>1025</v>
      </c>
      <c r="D92" s="104" t="s">
        <v>1016</v>
      </c>
      <c r="E92" s="113">
        <v>1.697916666666667</v>
      </c>
      <c r="F92" s="104" t="s">
        <v>28</v>
      </c>
      <c r="G92" s="106">
        <v>9</v>
      </c>
      <c r="H92" s="107" t="s">
        <v>1027</v>
      </c>
    </row>
    <row r="93" spans="1:8" ht="19.8" customHeight="1" x14ac:dyDescent="0.3">
      <c r="A93" s="112">
        <v>45982</v>
      </c>
      <c r="B93" s="104" t="s">
        <v>385</v>
      </c>
      <c r="C93" s="105" t="s">
        <v>1043</v>
      </c>
      <c r="D93" s="104" t="s">
        <v>1016</v>
      </c>
      <c r="E93" s="113">
        <v>1.211805555555556</v>
      </c>
      <c r="F93" s="104" t="s">
        <v>101</v>
      </c>
      <c r="G93" s="106">
        <v>7</v>
      </c>
      <c r="H93" s="107" t="s">
        <v>1047</v>
      </c>
    </row>
    <row r="94" spans="1:8" ht="19.8" customHeight="1" x14ac:dyDescent="0.3">
      <c r="A94" s="112">
        <v>45982</v>
      </c>
      <c r="B94" s="104" t="s">
        <v>458</v>
      </c>
      <c r="C94" s="105" t="s">
        <v>1048</v>
      </c>
      <c r="D94" s="104" t="s">
        <v>1016</v>
      </c>
      <c r="E94" s="113">
        <v>1.0902777777777779</v>
      </c>
      <c r="F94" s="104" t="s">
        <v>101</v>
      </c>
      <c r="G94" s="106">
        <v>9</v>
      </c>
      <c r="H94" s="107" t="s">
        <v>1051</v>
      </c>
    </row>
    <row r="95" spans="1:8" ht="19.8" customHeight="1" x14ac:dyDescent="0.3">
      <c r="A95" s="112">
        <v>45982</v>
      </c>
      <c r="B95" s="104" t="s">
        <v>26</v>
      </c>
      <c r="C95" s="105" t="s">
        <v>1023</v>
      </c>
      <c r="D95" s="104" t="s">
        <v>1016</v>
      </c>
      <c r="E95" s="113">
        <v>1.5590277777777779</v>
      </c>
      <c r="F95" s="104" t="s">
        <v>31</v>
      </c>
      <c r="G95" s="106">
        <v>2</v>
      </c>
      <c r="H95" s="107" t="s">
        <v>923</v>
      </c>
    </row>
    <row r="96" spans="1:8" ht="19.8" customHeight="1" x14ac:dyDescent="0.3">
      <c r="A96" s="112">
        <v>45982</v>
      </c>
      <c r="B96" s="104" t="s">
        <v>26</v>
      </c>
      <c r="C96" s="105" t="s">
        <v>1029</v>
      </c>
      <c r="D96" s="104" t="s">
        <v>1016</v>
      </c>
      <c r="E96" s="113">
        <v>1.506944444444444</v>
      </c>
      <c r="F96" s="104" t="s">
        <v>31</v>
      </c>
      <c r="G96" s="106">
        <v>1</v>
      </c>
      <c r="H96" s="107" t="s">
        <v>923</v>
      </c>
    </row>
    <row r="97" spans="1:8" ht="19.8" customHeight="1" x14ac:dyDescent="0.3">
      <c r="A97" s="120">
        <v>45982</v>
      </c>
      <c r="B97" s="121" t="s">
        <v>77</v>
      </c>
      <c r="C97" s="122" t="s">
        <v>1052</v>
      </c>
      <c r="D97" s="121" t="s">
        <v>1016</v>
      </c>
      <c r="E97" s="123">
        <v>1.40625</v>
      </c>
      <c r="F97" s="121" t="s">
        <v>101</v>
      </c>
      <c r="G97" s="124">
        <v>9</v>
      </c>
      <c r="H97" s="125" t="s">
        <v>338</v>
      </c>
    </row>
    <row r="98" spans="1:8" ht="19.8" customHeight="1" x14ac:dyDescent="0.3">
      <c r="A98" s="120">
        <v>45982</v>
      </c>
      <c r="B98" s="121" t="s">
        <v>77</v>
      </c>
      <c r="C98" s="122" t="s">
        <v>1085</v>
      </c>
      <c r="D98" s="121" t="s">
        <v>1016</v>
      </c>
      <c r="E98" s="123">
        <v>1.725694444444444</v>
      </c>
      <c r="F98" s="121" t="s">
        <v>101</v>
      </c>
      <c r="G98" s="124">
        <v>9</v>
      </c>
      <c r="H98" s="125" t="s">
        <v>338</v>
      </c>
    </row>
    <row r="99" spans="1:8" ht="19.8" customHeight="1" x14ac:dyDescent="0.3">
      <c r="A99" s="112">
        <v>45982</v>
      </c>
      <c r="B99" s="104" t="s">
        <v>41</v>
      </c>
      <c r="C99" s="105" t="s">
        <v>1030</v>
      </c>
      <c r="D99" s="104" t="s">
        <v>1016</v>
      </c>
      <c r="E99" s="113">
        <v>1.5763888888888891</v>
      </c>
      <c r="F99" s="104" t="s">
        <v>45</v>
      </c>
      <c r="G99" s="106">
        <v>16</v>
      </c>
      <c r="H99" s="107" t="s">
        <v>338</v>
      </c>
    </row>
    <row r="100" spans="1:8" ht="19.8" customHeight="1" x14ac:dyDescent="0.3">
      <c r="A100" s="112">
        <v>45982</v>
      </c>
      <c r="B100" s="104" t="s">
        <v>41</v>
      </c>
      <c r="C100" s="105" t="s">
        <v>1034</v>
      </c>
      <c r="D100" s="104" t="s">
        <v>1016</v>
      </c>
      <c r="E100" s="113">
        <v>1.6284722222222221</v>
      </c>
      <c r="F100" s="104" t="s">
        <v>45</v>
      </c>
      <c r="G100" s="106">
        <v>36</v>
      </c>
      <c r="H100" s="107" t="s">
        <v>338</v>
      </c>
    </row>
    <row r="101" spans="1:8" ht="19.8" customHeight="1" x14ac:dyDescent="0.3">
      <c r="A101" s="112">
        <v>45982</v>
      </c>
      <c r="B101" s="104" t="s">
        <v>26</v>
      </c>
      <c r="C101" s="105" t="s">
        <v>1026</v>
      </c>
      <c r="D101" s="104" t="s">
        <v>1016</v>
      </c>
      <c r="E101" s="113">
        <v>1.4375</v>
      </c>
      <c r="F101" s="104" t="s">
        <v>31</v>
      </c>
      <c r="G101" s="106">
        <v>4</v>
      </c>
      <c r="H101" s="107" t="s">
        <v>1028</v>
      </c>
    </row>
    <row r="102" spans="1:8" ht="19.8" customHeight="1" x14ac:dyDescent="0.3">
      <c r="A102" s="112">
        <v>45982</v>
      </c>
      <c r="B102" s="104" t="s">
        <v>26</v>
      </c>
      <c r="C102" s="105" t="s">
        <v>1017</v>
      </c>
      <c r="D102" s="104" t="s">
        <v>1016</v>
      </c>
      <c r="E102" s="113">
        <v>1.958333333333333</v>
      </c>
      <c r="F102" s="104" t="s">
        <v>31</v>
      </c>
      <c r="G102" s="106">
        <v>2</v>
      </c>
      <c r="H102" s="107" t="s">
        <v>1028</v>
      </c>
    </row>
    <row r="103" spans="1:8" ht="19.8" customHeight="1" x14ac:dyDescent="0.3">
      <c r="A103" s="112">
        <v>45982</v>
      </c>
      <c r="B103" s="104" t="s">
        <v>26</v>
      </c>
      <c r="C103" s="105" t="s">
        <v>1021</v>
      </c>
      <c r="D103" s="104" t="s">
        <v>1016</v>
      </c>
      <c r="E103" s="113">
        <v>1.631944444444444</v>
      </c>
      <c r="F103" s="104" t="s">
        <v>31</v>
      </c>
      <c r="G103" s="106">
        <v>9</v>
      </c>
      <c r="H103" s="107" t="s">
        <v>1028</v>
      </c>
    </row>
    <row r="104" spans="1:8" ht="19.8" customHeight="1" x14ac:dyDescent="0.3">
      <c r="A104" s="112">
        <v>45982</v>
      </c>
      <c r="B104" s="104" t="s">
        <v>26</v>
      </c>
      <c r="C104" s="105" t="s">
        <v>1024</v>
      </c>
      <c r="D104" s="104" t="s">
        <v>1016</v>
      </c>
      <c r="E104" s="113">
        <v>1.819444444444444</v>
      </c>
      <c r="F104" s="104" t="s">
        <v>31</v>
      </c>
      <c r="G104" s="106">
        <v>4</v>
      </c>
      <c r="H104" s="107" t="s">
        <v>1028</v>
      </c>
    </row>
    <row r="105" spans="1:8" ht="19.8" customHeight="1" x14ac:dyDescent="0.3">
      <c r="A105" s="112">
        <v>45982</v>
      </c>
      <c r="B105" s="104" t="s">
        <v>26</v>
      </c>
      <c r="C105" s="105" t="s">
        <v>1025</v>
      </c>
      <c r="D105" s="104" t="s">
        <v>1016</v>
      </c>
      <c r="E105" s="113">
        <v>1.697916666666667</v>
      </c>
      <c r="F105" s="104" t="s">
        <v>31</v>
      </c>
      <c r="G105" s="106">
        <v>9</v>
      </c>
      <c r="H105" s="107" t="s">
        <v>1028</v>
      </c>
    </row>
    <row r="106" spans="1:8" ht="19.8" customHeight="1" x14ac:dyDescent="0.3">
      <c r="A106" s="112">
        <v>45982</v>
      </c>
      <c r="B106" s="104" t="s">
        <v>41</v>
      </c>
      <c r="C106" s="105" t="s">
        <v>1037</v>
      </c>
      <c r="D106" s="104" t="s">
        <v>1016</v>
      </c>
      <c r="E106" s="113">
        <v>1.8888888888888891</v>
      </c>
      <c r="F106" s="104" t="s">
        <v>45</v>
      </c>
      <c r="G106" s="106">
        <v>30</v>
      </c>
      <c r="H106" s="107" t="s">
        <v>342</v>
      </c>
    </row>
    <row r="107" spans="1:8" ht="19.8" customHeight="1" x14ac:dyDescent="0.3">
      <c r="A107" s="112">
        <v>45982</v>
      </c>
      <c r="B107" s="104" t="s">
        <v>41</v>
      </c>
      <c r="C107" s="105" t="s">
        <v>1040</v>
      </c>
      <c r="D107" s="104" t="s">
        <v>1016</v>
      </c>
      <c r="E107" s="113">
        <v>1.944444444444444</v>
      </c>
      <c r="F107" s="104" t="s">
        <v>45</v>
      </c>
      <c r="G107" s="106">
        <v>52</v>
      </c>
      <c r="H107" s="107" t="s">
        <v>342</v>
      </c>
    </row>
    <row r="108" spans="1:8" ht="19.8" customHeight="1" x14ac:dyDescent="0.3">
      <c r="A108" s="112">
        <v>45982</v>
      </c>
      <c r="B108" s="104" t="s">
        <v>26</v>
      </c>
      <c r="C108" s="105" t="s">
        <v>1023</v>
      </c>
      <c r="D108" s="104" t="s">
        <v>1016</v>
      </c>
      <c r="E108" s="113">
        <v>1.5590277777777779</v>
      </c>
      <c r="F108" s="104" t="s">
        <v>34</v>
      </c>
      <c r="G108" s="106">
        <v>2</v>
      </c>
      <c r="H108" s="107" t="s">
        <v>30</v>
      </c>
    </row>
    <row r="109" spans="1:8" ht="19.8" customHeight="1" x14ac:dyDescent="0.3">
      <c r="A109" s="112">
        <v>45982</v>
      </c>
      <c r="B109" s="104" t="s">
        <v>26</v>
      </c>
      <c r="C109" s="105" t="s">
        <v>1029</v>
      </c>
      <c r="D109" s="104" t="s">
        <v>1016</v>
      </c>
      <c r="E109" s="113">
        <v>1.506944444444444</v>
      </c>
      <c r="F109" s="104" t="s">
        <v>34</v>
      </c>
      <c r="G109" s="106">
        <v>1</v>
      </c>
      <c r="H109" s="107" t="s">
        <v>30</v>
      </c>
    </row>
    <row r="110" spans="1:8" ht="19.8" customHeight="1" x14ac:dyDescent="0.3">
      <c r="A110" s="112">
        <v>45982</v>
      </c>
      <c r="B110" s="104" t="s">
        <v>26</v>
      </c>
      <c r="C110" s="105" t="s">
        <v>1026</v>
      </c>
      <c r="D110" s="104" t="s">
        <v>1016</v>
      </c>
      <c r="E110" s="113">
        <v>1.4375</v>
      </c>
      <c r="F110" s="104" t="s">
        <v>34</v>
      </c>
      <c r="G110" s="106">
        <v>4</v>
      </c>
      <c r="H110" s="107" t="s">
        <v>44</v>
      </c>
    </row>
    <row r="111" spans="1:8" ht="19.8" customHeight="1" x14ac:dyDescent="0.3">
      <c r="A111" s="112">
        <v>45982</v>
      </c>
      <c r="B111" s="104" t="s">
        <v>26</v>
      </c>
      <c r="C111" s="105" t="s">
        <v>1017</v>
      </c>
      <c r="D111" s="104" t="s">
        <v>1016</v>
      </c>
      <c r="E111" s="113">
        <v>1.958333333333333</v>
      </c>
      <c r="F111" s="104" t="s">
        <v>34</v>
      </c>
      <c r="G111" s="106">
        <v>2</v>
      </c>
      <c r="H111" s="107" t="s">
        <v>44</v>
      </c>
    </row>
    <row r="112" spans="1:8" ht="19.8" customHeight="1" x14ac:dyDescent="0.3">
      <c r="A112" s="112">
        <v>45982</v>
      </c>
      <c r="B112" s="104" t="s">
        <v>26</v>
      </c>
      <c r="C112" s="105" t="s">
        <v>1021</v>
      </c>
      <c r="D112" s="104" t="s">
        <v>1016</v>
      </c>
      <c r="E112" s="113">
        <v>1.631944444444444</v>
      </c>
      <c r="F112" s="104" t="s">
        <v>34</v>
      </c>
      <c r="G112" s="106">
        <v>9</v>
      </c>
      <c r="H112" s="107" t="s">
        <v>44</v>
      </c>
    </row>
    <row r="113" spans="1:8" ht="19.8" customHeight="1" x14ac:dyDescent="0.3">
      <c r="A113" s="112">
        <v>45982</v>
      </c>
      <c r="B113" s="104" t="s">
        <v>26</v>
      </c>
      <c r="C113" s="105" t="s">
        <v>1024</v>
      </c>
      <c r="D113" s="104" t="s">
        <v>1016</v>
      </c>
      <c r="E113" s="113">
        <v>1.819444444444444</v>
      </c>
      <c r="F113" s="104" t="s">
        <v>34</v>
      </c>
      <c r="G113" s="106">
        <v>4</v>
      </c>
      <c r="H113" s="107" t="s">
        <v>44</v>
      </c>
    </row>
    <row r="114" spans="1:8" ht="19.8" customHeight="1" x14ac:dyDescent="0.3">
      <c r="A114" s="112">
        <v>45982</v>
      </c>
      <c r="B114" s="104" t="s">
        <v>26</v>
      </c>
      <c r="C114" s="105" t="s">
        <v>1025</v>
      </c>
      <c r="D114" s="104" t="s">
        <v>1016</v>
      </c>
      <c r="E114" s="113">
        <v>1.697916666666667</v>
      </c>
      <c r="F114" s="104" t="s">
        <v>34</v>
      </c>
      <c r="G114" s="106">
        <v>9</v>
      </c>
      <c r="H114" s="107" t="s">
        <v>44</v>
      </c>
    </row>
    <row r="115" spans="1:8" ht="19.8" customHeight="1" x14ac:dyDescent="0.3">
      <c r="A115" s="112">
        <v>45982</v>
      </c>
      <c r="B115" s="104" t="s">
        <v>60</v>
      </c>
      <c r="C115" s="105" t="s">
        <v>1073</v>
      </c>
      <c r="D115" s="104" t="s">
        <v>1016</v>
      </c>
      <c r="E115" s="113">
        <v>1.8298611111111109</v>
      </c>
      <c r="F115" s="104" t="s">
        <v>62</v>
      </c>
      <c r="G115" s="106">
        <v>7</v>
      </c>
      <c r="H115" s="107" t="s">
        <v>1065</v>
      </c>
    </row>
    <row r="116" spans="1:8" ht="19.8" customHeight="1" x14ac:dyDescent="0.3">
      <c r="A116" s="112">
        <v>45982</v>
      </c>
      <c r="B116" s="104" t="s">
        <v>60</v>
      </c>
      <c r="C116" s="105" t="s">
        <v>1073</v>
      </c>
      <c r="D116" s="104" t="s">
        <v>1016</v>
      </c>
      <c r="E116" s="113">
        <v>1.8298611111111109</v>
      </c>
      <c r="F116" s="104" t="s">
        <v>65</v>
      </c>
      <c r="G116" s="106">
        <v>7</v>
      </c>
      <c r="H116" s="107" t="s">
        <v>1066</v>
      </c>
    </row>
    <row r="117" spans="1:8" ht="19.8" customHeight="1" x14ac:dyDescent="0.3">
      <c r="A117" s="112">
        <v>45982</v>
      </c>
      <c r="B117" s="104" t="s">
        <v>41</v>
      </c>
      <c r="C117" s="105" t="s">
        <v>1030</v>
      </c>
      <c r="D117" s="104" t="s">
        <v>1016</v>
      </c>
      <c r="E117" s="113">
        <v>1.5763888888888891</v>
      </c>
      <c r="F117" s="104" t="s">
        <v>46</v>
      </c>
      <c r="G117" s="106">
        <v>16</v>
      </c>
      <c r="H117" s="107" t="s">
        <v>532</v>
      </c>
    </row>
    <row r="118" spans="1:8" ht="19.8" customHeight="1" x14ac:dyDescent="0.3">
      <c r="A118" s="112">
        <v>45982</v>
      </c>
      <c r="B118" s="104" t="s">
        <v>41</v>
      </c>
      <c r="C118" s="105" t="s">
        <v>1040</v>
      </c>
      <c r="D118" s="104" t="s">
        <v>1016</v>
      </c>
      <c r="E118" s="113">
        <v>1.944444444444444</v>
      </c>
      <c r="F118" s="104" t="s">
        <v>46</v>
      </c>
      <c r="G118" s="106">
        <v>52</v>
      </c>
      <c r="H118" s="107" t="s">
        <v>532</v>
      </c>
    </row>
    <row r="119" spans="1:8" ht="19.8" customHeight="1" x14ac:dyDescent="0.3">
      <c r="A119" s="112">
        <v>45982</v>
      </c>
      <c r="B119" s="104" t="s">
        <v>60</v>
      </c>
      <c r="C119" s="105" t="s">
        <v>1067</v>
      </c>
      <c r="D119" s="104" t="s">
        <v>1016</v>
      </c>
      <c r="E119" s="113">
        <v>1.8888888888888891</v>
      </c>
      <c r="F119" s="104" t="s">
        <v>50</v>
      </c>
      <c r="G119" s="106">
        <v>4</v>
      </c>
      <c r="H119" s="107" t="s">
        <v>1068</v>
      </c>
    </row>
    <row r="120" spans="1:8" ht="19.8" customHeight="1" x14ac:dyDescent="0.3">
      <c r="A120" s="112">
        <v>45982</v>
      </c>
      <c r="B120" s="104" t="s">
        <v>60</v>
      </c>
      <c r="C120" s="105" t="s">
        <v>1067</v>
      </c>
      <c r="D120" s="104" t="s">
        <v>1016</v>
      </c>
      <c r="E120" s="113">
        <v>1.8888888888888891</v>
      </c>
      <c r="F120" s="104" t="s">
        <v>65</v>
      </c>
      <c r="G120" s="106">
        <v>4</v>
      </c>
      <c r="H120" s="107" t="s">
        <v>1068</v>
      </c>
    </row>
    <row r="121" spans="1:8" ht="19.8" customHeight="1" x14ac:dyDescent="0.3">
      <c r="A121" s="112">
        <v>45982</v>
      </c>
      <c r="B121" s="104" t="s">
        <v>60</v>
      </c>
      <c r="C121" s="105" t="s">
        <v>1069</v>
      </c>
      <c r="D121" s="104" t="s">
        <v>1016</v>
      </c>
      <c r="E121" s="113">
        <v>1.6284722222222221</v>
      </c>
      <c r="F121" s="104" t="s">
        <v>65</v>
      </c>
      <c r="G121" s="106">
        <v>4</v>
      </c>
      <c r="H121" s="107" t="s">
        <v>1068</v>
      </c>
    </row>
    <row r="122" spans="1:8" ht="19.8" customHeight="1" x14ac:dyDescent="0.3">
      <c r="A122" s="112">
        <v>45982</v>
      </c>
      <c r="B122" s="104" t="s">
        <v>60</v>
      </c>
      <c r="C122" s="105" t="s">
        <v>1070</v>
      </c>
      <c r="D122" s="104" t="s">
        <v>1016</v>
      </c>
      <c r="E122" s="113">
        <v>1.944444444444444</v>
      </c>
      <c r="F122" s="104" t="s">
        <v>65</v>
      </c>
      <c r="G122" s="106">
        <v>4</v>
      </c>
      <c r="H122" s="107" t="s">
        <v>1068</v>
      </c>
    </row>
    <row r="123" spans="1:8" ht="19.8" customHeight="1" x14ac:dyDescent="0.3">
      <c r="A123" s="112">
        <v>45982</v>
      </c>
      <c r="B123" s="104" t="s">
        <v>60</v>
      </c>
      <c r="C123" s="105" t="s">
        <v>1064</v>
      </c>
      <c r="D123" s="104" t="s">
        <v>1016</v>
      </c>
      <c r="E123" s="113">
        <v>1.9826388888888891</v>
      </c>
      <c r="F123" s="104" t="s">
        <v>65</v>
      </c>
      <c r="G123" s="106">
        <v>9</v>
      </c>
      <c r="H123" s="107" t="s">
        <v>1072</v>
      </c>
    </row>
    <row r="124" spans="1:8" ht="19.8" customHeight="1" x14ac:dyDescent="0.3">
      <c r="A124" s="112">
        <v>45982</v>
      </c>
      <c r="B124" s="104" t="s">
        <v>60</v>
      </c>
      <c r="C124" s="105" t="s">
        <v>1074</v>
      </c>
      <c r="D124" s="104" t="s">
        <v>1016</v>
      </c>
      <c r="E124" s="113">
        <v>1.6284722222222221</v>
      </c>
      <c r="F124" s="104" t="s">
        <v>65</v>
      </c>
      <c r="G124" s="106">
        <v>9</v>
      </c>
      <c r="H124" s="107" t="s">
        <v>1072</v>
      </c>
    </row>
    <row r="125" spans="1:8" ht="19.8" customHeight="1" x14ac:dyDescent="0.3">
      <c r="A125" s="112">
        <v>45982</v>
      </c>
      <c r="B125" s="104" t="s">
        <v>41</v>
      </c>
      <c r="C125" s="105" t="s">
        <v>1037</v>
      </c>
      <c r="D125" s="104" t="s">
        <v>1016</v>
      </c>
      <c r="E125" s="113">
        <v>1.8888888888888891</v>
      </c>
      <c r="F125" s="104" t="s">
        <v>46</v>
      </c>
      <c r="G125" s="106">
        <v>30</v>
      </c>
      <c r="H125" s="107" t="s">
        <v>1081</v>
      </c>
    </row>
    <row r="126" spans="1:8" ht="19.8" customHeight="1" x14ac:dyDescent="0.3">
      <c r="A126" s="112">
        <v>45982</v>
      </c>
      <c r="B126" s="104" t="s">
        <v>48</v>
      </c>
      <c r="C126" s="105" t="s">
        <v>1059</v>
      </c>
      <c r="D126" s="104" t="s">
        <v>1016</v>
      </c>
      <c r="E126" s="113">
        <v>1.9826388888888891</v>
      </c>
      <c r="F126" s="104" t="s">
        <v>50</v>
      </c>
      <c r="G126" s="106">
        <v>4</v>
      </c>
      <c r="H126" s="107" t="s">
        <v>1089</v>
      </c>
    </row>
    <row r="127" spans="1:8" ht="19.8" customHeight="1" x14ac:dyDescent="0.3">
      <c r="A127" s="112">
        <v>45982</v>
      </c>
      <c r="B127" s="104" t="s">
        <v>48</v>
      </c>
      <c r="C127" s="105" t="s">
        <v>1061</v>
      </c>
      <c r="D127" s="104" t="s">
        <v>1016</v>
      </c>
      <c r="E127" s="113">
        <v>1.354166666666667</v>
      </c>
      <c r="F127" s="104" t="s">
        <v>50</v>
      </c>
      <c r="G127" s="106">
        <v>3</v>
      </c>
      <c r="H127" s="107" t="s">
        <v>1089</v>
      </c>
    </row>
    <row r="128" spans="1:8" ht="19.8" customHeight="1" x14ac:dyDescent="0.3">
      <c r="A128" s="112">
        <v>45982</v>
      </c>
      <c r="B128" s="104" t="s">
        <v>60</v>
      </c>
      <c r="C128" s="105" t="s">
        <v>1071</v>
      </c>
      <c r="D128" s="104" t="s">
        <v>1016</v>
      </c>
      <c r="E128" s="113">
        <v>1.444444444444444</v>
      </c>
      <c r="F128" s="104" t="s">
        <v>65</v>
      </c>
      <c r="G128" s="106">
        <v>9</v>
      </c>
      <c r="H128" s="107" t="s">
        <v>1088</v>
      </c>
    </row>
    <row r="129" spans="1:8" ht="19.8" customHeight="1" x14ac:dyDescent="0.3">
      <c r="A129" s="112">
        <v>45982</v>
      </c>
      <c r="B129" s="104" t="s">
        <v>48</v>
      </c>
      <c r="C129" s="105" t="s">
        <v>1062</v>
      </c>
      <c r="D129" s="104" t="s">
        <v>1016</v>
      </c>
      <c r="E129" s="113">
        <v>1.729166666666667</v>
      </c>
      <c r="F129" s="104" t="s">
        <v>50</v>
      </c>
      <c r="G129" s="106">
        <v>1</v>
      </c>
      <c r="H129" s="107" t="s">
        <v>1090</v>
      </c>
    </row>
    <row r="130" spans="1:8" ht="19.8" customHeight="1" x14ac:dyDescent="0.3">
      <c r="A130" s="114">
        <v>45982</v>
      </c>
      <c r="B130" s="115" t="s">
        <v>41</v>
      </c>
      <c r="C130" s="116" t="s">
        <v>1034</v>
      </c>
      <c r="D130" s="115" t="s">
        <v>1016</v>
      </c>
      <c r="E130" s="117">
        <v>1.6284722222222221</v>
      </c>
      <c r="F130" s="115" t="s">
        <v>46</v>
      </c>
      <c r="G130" s="118">
        <v>36</v>
      </c>
      <c r="H130" s="119" t="s">
        <v>1077</v>
      </c>
    </row>
    <row r="131" spans="1:8" ht="19.8" customHeight="1" x14ac:dyDescent="0.3">
      <c r="A131" s="112">
        <v>45983</v>
      </c>
      <c r="B131" s="104" t="s">
        <v>26</v>
      </c>
      <c r="C131" s="105" t="s">
        <v>1026</v>
      </c>
      <c r="D131" s="104" t="s">
        <v>1016</v>
      </c>
      <c r="E131" s="113">
        <v>1.4375</v>
      </c>
      <c r="F131" s="104" t="s">
        <v>351</v>
      </c>
      <c r="G131" s="106">
        <v>9</v>
      </c>
      <c r="H131" s="107" t="s">
        <v>1091</v>
      </c>
    </row>
    <row r="132" spans="1:8" ht="19.8" customHeight="1" x14ac:dyDescent="0.3">
      <c r="A132" s="112">
        <v>45983</v>
      </c>
      <c r="B132" s="104" t="s">
        <v>26</v>
      </c>
      <c r="C132" s="105" t="s">
        <v>1026</v>
      </c>
      <c r="D132" s="104" t="s">
        <v>1016</v>
      </c>
      <c r="E132" s="113">
        <v>1.4375</v>
      </c>
      <c r="F132" s="104" t="s">
        <v>28</v>
      </c>
      <c r="G132" s="106">
        <v>9</v>
      </c>
      <c r="H132" s="107" t="s">
        <v>1091</v>
      </c>
    </row>
    <row r="133" spans="1:8" ht="19.8" customHeight="1" x14ac:dyDescent="0.3">
      <c r="A133" s="112">
        <v>45983</v>
      </c>
      <c r="B133" s="104" t="s">
        <v>26</v>
      </c>
      <c r="C133" s="105" t="s">
        <v>1029</v>
      </c>
      <c r="D133" s="104" t="s">
        <v>1016</v>
      </c>
      <c r="E133" s="113">
        <v>1.506944444444444</v>
      </c>
      <c r="F133" s="104" t="s">
        <v>351</v>
      </c>
      <c r="G133" s="106">
        <v>9</v>
      </c>
      <c r="H133" s="107" t="s">
        <v>1091</v>
      </c>
    </row>
    <row r="134" spans="1:8" ht="19.8" customHeight="1" x14ac:dyDescent="0.3">
      <c r="A134" s="112">
        <v>45983</v>
      </c>
      <c r="B134" s="104" t="s">
        <v>26</v>
      </c>
      <c r="C134" s="105" t="s">
        <v>1029</v>
      </c>
      <c r="D134" s="104" t="s">
        <v>1016</v>
      </c>
      <c r="E134" s="113">
        <v>1.506944444444444</v>
      </c>
      <c r="F134" s="104" t="s">
        <v>28</v>
      </c>
      <c r="G134" s="106">
        <v>9</v>
      </c>
      <c r="H134" s="107" t="s">
        <v>1091</v>
      </c>
    </row>
    <row r="135" spans="1:8" ht="19.8" customHeight="1" x14ac:dyDescent="0.3">
      <c r="A135" s="112">
        <v>45983</v>
      </c>
      <c r="B135" s="104" t="s">
        <v>41</v>
      </c>
      <c r="C135" s="105" t="s">
        <v>1030</v>
      </c>
      <c r="D135" s="104" t="s">
        <v>1016</v>
      </c>
      <c r="E135" s="113">
        <v>1.5763888888888891</v>
      </c>
      <c r="F135" s="104" t="s">
        <v>337</v>
      </c>
      <c r="G135" s="106">
        <v>7</v>
      </c>
      <c r="H135" s="107" t="s">
        <v>1093</v>
      </c>
    </row>
    <row r="136" spans="1:8" ht="19.8" customHeight="1" x14ac:dyDescent="0.3">
      <c r="A136" s="112">
        <v>45983</v>
      </c>
      <c r="B136" s="104" t="s">
        <v>41</v>
      </c>
      <c r="C136" s="105" t="s">
        <v>1030</v>
      </c>
      <c r="D136" s="104" t="s">
        <v>1016</v>
      </c>
      <c r="E136" s="113">
        <v>1.5763888888888891</v>
      </c>
      <c r="F136" s="104" t="s">
        <v>43</v>
      </c>
      <c r="G136" s="106">
        <v>7</v>
      </c>
      <c r="H136" s="107" t="s">
        <v>1093</v>
      </c>
    </row>
    <row r="137" spans="1:8" ht="19.8" customHeight="1" x14ac:dyDescent="0.3">
      <c r="A137" s="112">
        <v>45983</v>
      </c>
      <c r="B137" s="104" t="s">
        <v>41</v>
      </c>
      <c r="C137" s="105" t="s">
        <v>1034</v>
      </c>
      <c r="D137" s="104" t="s">
        <v>1016</v>
      </c>
      <c r="E137" s="113">
        <v>1.6284722222222221</v>
      </c>
      <c r="F137" s="104" t="s">
        <v>337</v>
      </c>
      <c r="G137" s="106">
        <v>17</v>
      </c>
      <c r="H137" s="107" t="s">
        <v>1093</v>
      </c>
    </row>
    <row r="138" spans="1:8" ht="19.8" customHeight="1" x14ac:dyDescent="0.3">
      <c r="A138" s="112">
        <v>45983</v>
      </c>
      <c r="B138" s="104" t="s">
        <v>41</v>
      </c>
      <c r="C138" s="105" t="s">
        <v>1034</v>
      </c>
      <c r="D138" s="104" t="s">
        <v>1016</v>
      </c>
      <c r="E138" s="113">
        <v>1.6284722222222221</v>
      </c>
      <c r="F138" s="104" t="s">
        <v>43</v>
      </c>
      <c r="G138" s="106">
        <v>17</v>
      </c>
      <c r="H138" s="107" t="s">
        <v>1093</v>
      </c>
    </row>
    <row r="139" spans="1:8" ht="19.8" customHeight="1" x14ac:dyDescent="0.3">
      <c r="A139" s="112">
        <v>45983</v>
      </c>
      <c r="B139" s="104" t="s">
        <v>41</v>
      </c>
      <c r="C139" s="105" t="s">
        <v>1037</v>
      </c>
      <c r="D139" s="104" t="s">
        <v>1016</v>
      </c>
      <c r="E139" s="113">
        <v>1.8888888888888891</v>
      </c>
      <c r="F139" s="104" t="s">
        <v>337</v>
      </c>
      <c r="G139" s="106">
        <v>16</v>
      </c>
      <c r="H139" s="107" t="s">
        <v>1028</v>
      </c>
    </row>
    <row r="140" spans="1:8" ht="19.8" customHeight="1" x14ac:dyDescent="0.3">
      <c r="A140" s="112">
        <v>45983</v>
      </c>
      <c r="B140" s="104" t="s">
        <v>41</v>
      </c>
      <c r="C140" s="105" t="s">
        <v>1037</v>
      </c>
      <c r="D140" s="104" t="s">
        <v>1016</v>
      </c>
      <c r="E140" s="113">
        <v>1.8888888888888891</v>
      </c>
      <c r="F140" s="104" t="s">
        <v>43</v>
      </c>
      <c r="G140" s="106">
        <v>16</v>
      </c>
      <c r="H140" s="107" t="s">
        <v>1028</v>
      </c>
    </row>
    <row r="141" spans="1:8" ht="19.8" customHeight="1" x14ac:dyDescent="0.3">
      <c r="A141" s="112">
        <v>45983</v>
      </c>
      <c r="B141" s="104" t="s">
        <v>26</v>
      </c>
      <c r="C141" s="105" t="s">
        <v>1021</v>
      </c>
      <c r="D141" s="104" t="s">
        <v>1016</v>
      </c>
      <c r="E141" s="113">
        <v>1.631944444444444</v>
      </c>
      <c r="F141" s="104" t="s">
        <v>351</v>
      </c>
      <c r="G141" s="106">
        <v>9</v>
      </c>
      <c r="H141" s="107" t="s">
        <v>1028</v>
      </c>
    </row>
    <row r="142" spans="1:8" ht="19.8" customHeight="1" x14ac:dyDescent="0.3">
      <c r="A142" s="112">
        <v>45983</v>
      </c>
      <c r="B142" s="104" t="s">
        <v>26</v>
      </c>
      <c r="C142" s="105" t="s">
        <v>1021</v>
      </c>
      <c r="D142" s="104" t="s">
        <v>1016</v>
      </c>
      <c r="E142" s="113">
        <v>1.631944444444444</v>
      </c>
      <c r="F142" s="104" t="s">
        <v>28</v>
      </c>
      <c r="G142" s="106">
        <v>9</v>
      </c>
      <c r="H142" s="107" t="s">
        <v>1028</v>
      </c>
    </row>
    <row r="143" spans="1:8" ht="19.8" customHeight="1" x14ac:dyDescent="0.3">
      <c r="A143" s="112">
        <v>45983</v>
      </c>
      <c r="B143" s="104" t="s">
        <v>26</v>
      </c>
      <c r="C143" s="105" t="s">
        <v>1023</v>
      </c>
      <c r="D143" s="104" t="s">
        <v>1016</v>
      </c>
      <c r="E143" s="113">
        <v>1.5590277777777779</v>
      </c>
      <c r="F143" s="104" t="s">
        <v>351</v>
      </c>
      <c r="G143" s="106">
        <v>9</v>
      </c>
      <c r="H143" s="107" t="s">
        <v>1028</v>
      </c>
    </row>
    <row r="144" spans="1:8" ht="19.8" customHeight="1" x14ac:dyDescent="0.3">
      <c r="A144" s="112">
        <v>45983</v>
      </c>
      <c r="B144" s="104" t="s">
        <v>26</v>
      </c>
      <c r="C144" s="105" t="s">
        <v>1023</v>
      </c>
      <c r="D144" s="104" t="s">
        <v>1016</v>
      </c>
      <c r="E144" s="113">
        <v>1.5590277777777779</v>
      </c>
      <c r="F144" s="104" t="s">
        <v>28</v>
      </c>
      <c r="G144" s="106">
        <v>9</v>
      </c>
      <c r="H144" s="107" t="s">
        <v>1028</v>
      </c>
    </row>
    <row r="145" spans="1:8" ht="19.8" customHeight="1" x14ac:dyDescent="0.3">
      <c r="A145" s="112">
        <v>45983</v>
      </c>
      <c r="B145" s="104" t="s">
        <v>458</v>
      </c>
      <c r="C145" s="105" t="s">
        <v>1048</v>
      </c>
      <c r="D145" s="104" t="s">
        <v>1016</v>
      </c>
      <c r="E145" s="113">
        <v>1.086805555555556</v>
      </c>
      <c r="F145" s="104" t="s">
        <v>101</v>
      </c>
      <c r="G145" s="106">
        <v>9</v>
      </c>
      <c r="H145" s="107" t="s">
        <v>1098</v>
      </c>
    </row>
    <row r="146" spans="1:8" ht="19.8" customHeight="1" x14ac:dyDescent="0.3">
      <c r="A146" s="120">
        <v>45983</v>
      </c>
      <c r="B146" s="121" t="s">
        <v>77</v>
      </c>
      <c r="C146" s="122" t="s">
        <v>1052</v>
      </c>
      <c r="D146" s="121" t="s">
        <v>1016</v>
      </c>
      <c r="E146" s="123">
        <v>1.413194444444444</v>
      </c>
      <c r="F146" s="121" t="s">
        <v>101</v>
      </c>
      <c r="G146" s="124">
        <v>5</v>
      </c>
      <c r="H146" s="125" t="s">
        <v>779</v>
      </c>
    </row>
    <row r="147" spans="1:8" ht="19.8" customHeight="1" x14ac:dyDescent="0.3">
      <c r="A147" s="112">
        <v>45983</v>
      </c>
      <c r="B147" s="104" t="s">
        <v>41</v>
      </c>
      <c r="C147" s="105" t="s">
        <v>1040</v>
      </c>
      <c r="D147" s="104" t="s">
        <v>1016</v>
      </c>
      <c r="E147" s="113">
        <v>1.944444444444444</v>
      </c>
      <c r="F147" s="104" t="s">
        <v>337</v>
      </c>
      <c r="G147" s="106">
        <v>12</v>
      </c>
      <c r="H147" s="107" t="s">
        <v>779</v>
      </c>
    </row>
    <row r="148" spans="1:8" ht="19.8" customHeight="1" x14ac:dyDescent="0.3">
      <c r="A148" s="112">
        <v>45983</v>
      </c>
      <c r="B148" s="104" t="s">
        <v>41</v>
      </c>
      <c r="C148" s="105" t="s">
        <v>1040</v>
      </c>
      <c r="D148" s="104" t="s">
        <v>1016</v>
      </c>
      <c r="E148" s="113">
        <v>1.944444444444444</v>
      </c>
      <c r="F148" s="104" t="s">
        <v>43</v>
      </c>
      <c r="G148" s="106">
        <v>12</v>
      </c>
      <c r="H148" s="107" t="s">
        <v>779</v>
      </c>
    </row>
    <row r="149" spans="1:8" ht="19.8" customHeight="1" x14ac:dyDescent="0.3">
      <c r="A149" s="112">
        <v>45983</v>
      </c>
      <c r="B149" s="104" t="s">
        <v>385</v>
      </c>
      <c r="C149" s="105" t="s">
        <v>1100</v>
      </c>
      <c r="D149" s="104" t="s">
        <v>1016</v>
      </c>
      <c r="E149" s="113">
        <v>1.479166666666667</v>
      </c>
      <c r="F149" s="104" t="s">
        <v>101</v>
      </c>
      <c r="G149" s="106">
        <v>7</v>
      </c>
      <c r="H149" s="107" t="s">
        <v>1101</v>
      </c>
    </row>
    <row r="150" spans="1:8" ht="19.8" customHeight="1" x14ac:dyDescent="0.3">
      <c r="A150" s="112">
        <v>45983</v>
      </c>
      <c r="B150" s="104" t="s">
        <v>26</v>
      </c>
      <c r="C150" s="105" t="s">
        <v>1026</v>
      </c>
      <c r="D150" s="104" t="s">
        <v>1016</v>
      </c>
      <c r="E150" s="113">
        <v>1.4375</v>
      </c>
      <c r="F150" s="104" t="s">
        <v>31</v>
      </c>
      <c r="G150" s="106">
        <v>9</v>
      </c>
      <c r="H150" s="107" t="s">
        <v>30</v>
      </c>
    </row>
    <row r="151" spans="1:8" ht="19.8" customHeight="1" x14ac:dyDescent="0.3">
      <c r="A151" s="112">
        <v>45983</v>
      </c>
      <c r="B151" s="104" t="s">
        <v>26</v>
      </c>
      <c r="C151" s="105" t="s">
        <v>1029</v>
      </c>
      <c r="D151" s="104" t="s">
        <v>1016</v>
      </c>
      <c r="E151" s="113">
        <v>1.506944444444444</v>
      </c>
      <c r="F151" s="104" t="s">
        <v>31</v>
      </c>
      <c r="G151" s="106">
        <v>9</v>
      </c>
      <c r="H151" s="107" t="s">
        <v>30</v>
      </c>
    </row>
    <row r="152" spans="1:8" ht="19.8" customHeight="1" x14ac:dyDescent="0.3">
      <c r="A152" s="112">
        <v>45983</v>
      </c>
      <c r="B152" s="104" t="s">
        <v>26</v>
      </c>
      <c r="C152" s="105" t="s">
        <v>1017</v>
      </c>
      <c r="D152" s="104" t="s">
        <v>1016</v>
      </c>
      <c r="E152" s="113">
        <v>1.958333333333333</v>
      </c>
      <c r="F152" s="104" t="s">
        <v>28</v>
      </c>
      <c r="G152" s="106">
        <v>2</v>
      </c>
      <c r="H152" s="107" t="s">
        <v>431</v>
      </c>
    </row>
    <row r="153" spans="1:8" ht="19.8" customHeight="1" x14ac:dyDescent="0.3">
      <c r="A153" s="112">
        <v>45983</v>
      </c>
      <c r="B153" s="104" t="s">
        <v>26</v>
      </c>
      <c r="C153" s="105" t="s">
        <v>1021</v>
      </c>
      <c r="D153" s="104" t="s">
        <v>1016</v>
      </c>
      <c r="E153" s="113">
        <v>1.631944444444444</v>
      </c>
      <c r="F153" s="104" t="s">
        <v>31</v>
      </c>
      <c r="G153" s="106">
        <v>9</v>
      </c>
      <c r="H153" s="107" t="s">
        <v>86</v>
      </c>
    </row>
    <row r="154" spans="1:8" ht="19.8" customHeight="1" x14ac:dyDescent="0.3">
      <c r="A154" s="112">
        <v>45983</v>
      </c>
      <c r="B154" s="104" t="s">
        <v>26</v>
      </c>
      <c r="C154" s="105" t="s">
        <v>1023</v>
      </c>
      <c r="D154" s="104" t="s">
        <v>1016</v>
      </c>
      <c r="E154" s="113">
        <v>1.5590277777777779</v>
      </c>
      <c r="F154" s="104" t="s">
        <v>31</v>
      </c>
      <c r="G154" s="106">
        <v>9</v>
      </c>
      <c r="H154" s="107" t="s">
        <v>86</v>
      </c>
    </row>
    <row r="155" spans="1:8" ht="19.8" customHeight="1" x14ac:dyDescent="0.3">
      <c r="A155" s="112">
        <v>45983</v>
      </c>
      <c r="B155" s="104" t="s">
        <v>41</v>
      </c>
      <c r="C155" s="105" t="s">
        <v>1030</v>
      </c>
      <c r="D155" s="104" t="s">
        <v>1016</v>
      </c>
      <c r="E155" s="113">
        <v>1.5763888888888891</v>
      </c>
      <c r="F155" s="104" t="s">
        <v>45</v>
      </c>
      <c r="G155" s="106">
        <v>7</v>
      </c>
      <c r="H155" s="107" t="s">
        <v>1092</v>
      </c>
    </row>
    <row r="156" spans="1:8" ht="19.8" customHeight="1" x14ac:dyDescent="0.3">
      <c r="A156" s="112">
        <v>45983</v>
      </c>
      <c r="B156" s="104" t="s">
        <v>41</v>
      </c>
      <c r="C156" s="105" t="s">
        <v>1034</v>
      </c>
      <c r="D156" s="104" t="s">
        <v>1016</v>
      </c>
      <c r="E156" s="113">
        <v>1.6284722222222221</v>
      </c>
      <c r="F156" s="104" t="s">
        <v>45</v>
      </c>
      <c r="G156" s="106">
        <v>17</v>
      </c>
      <c r="H156" s="107" t="s">
        <v>1092</v>
      </c>
    </row>
    <row r="157" spans="1:8" ht="19.8" customHeight="1" x14ac:dyDescent="0.3">
      <c r="A157" s="112">
        <v>45983</v>
      </c>
      <c r="B157" s="104" t="s">
        <v>26</v>
      </c>
      <c r="C157" s="105" t="s">
        <v>1024</v>
      </c>
      <c r="D157" s="104" t="s">
        <v>1016</v>
      </c>
      <c r="E157" s="113">
        <v>1.819444444444444</v>
      </c>
      <c r="F157" s="104" t="s">
        <v>351</v>
      </c>
      <c r="G157" s="106">
        <v>8</v>
      </c>
      <c r="H157" s="107" t="s">
        <v>1092</v>
      </c>
    </row>
    <row r="158" spans="1:8" ht="19.8" customHeight="1" x14ac:dyDescent="0.3">
      <c r="A158" s="112">
        <v>45983</v>
      </c>
      <c r="B158" s="104" t="s">
        <v>26</v>
      </c>
      <c r="C158" s="105" t="s">
        <v>1024</v>
      </c>
      <c r="D158" s="104" t="s">
        <v>1016</v>
      </c>
      <c r="E158" s="113">
        <v>1.819444444444444</v>
      </c>
      <c r="F158" s="104" t="s">
        <v>28</v>
      </c>
      <c r="G158" s="106">
        <v>8</v>
      </c>
      <c r="H158" s="107" t="s">
        <v>1092</v>
      </c>
    </row>
    <row r="159" spans="1:8" ht="19.8" customHeight="1" x14ac:dyDescent="0.3">
      <c r="A159" s="112">
        <v>45983</v>
      </c>
      <c r="B159" s="104" t="s">
        <v>26</v>
      </c>
      <c r="C159" s="105" t="s">
        <v>1025</v>
      </c>
      <c r="D159" s="104" t="s">
        <v>1016</v>
      </c>
      <c r="E159" s="113">
        <v>1.697916666666667</v>
      </c>
      <c r="F159" s="104" t="s">
        <v>351</v>
      </c>
      <c r="G159" s="106">
        <v>9</v>
      </c>
      <c r="H159" s="107" t="s">
        <v>1092</v>
      </c>
    </row>
    <row r="160" spans="1:8" ht="19.8" customHeight="1" x14ac:dyDescent="0.3">
      <c r="A160" s="112">
        <v>45983</v>
      </c>
      <c r="B160" s="104" t="s">
        <v>26</v>
      </c>
      <c r="C160" s="105" t="s">
        <v>1025</v>
      </c>
      <c r="D160" s="104" t="s">
        <v>1016</v>
      </c>
      <c r="E160" s="113">
        <v>1.697916666666667</v>
      </c>
      <c r="F160" s="104" t="s">
        <v>28</v>
      </c>
      <c r="G160" s="106">
        <v>9</v>
      </c>
      <c r="H160" s="107" t="s">
        <v>1092</v>
      </c>
    </row>
    <row r="161" spans="1:8" ht="19.8" customHeight="1" x14ac:dyDescent="0.3">
      <c r="A161" s="112">
        <v>45983</v>
      </c>
      <c r="B161" s="104" t="s">
        <v>26</v>
      </c>
      <c r="C161" s="105" t="s">
        <v>1026</v>
      </c>
      <c r="D161" s="104" t="s">
        <v>1016</v>
      </c>
      <c r="E161" s="113">
        <v>1.4375</v>
      </c>
      <c r="F161" s="104" t="s">
        <v>34</v>
      </c>
      <c r="G161" s="106">
        <v>9</v>
      </c>
      <c r="H161" s="107" t="s">
        <v>339</v>
      </c>
    </row>
    <row r="162" spans="1:8" ht="19.8" customHeight="1" x14ac:dyDescent="0.3">
      <c r="A162" s="112">
        <v>45983</v>
      </c>
      <c r="B162" s="104" t="s">
        <v>26</v>
      </c>
      <c r="C162" s="105" t="s">
        <v>1029</v>
      </c>
      <c r="D162" s="104" t="s">
        <v>1016</v>
      </c>
      <c r="E162" s="113">
        <v>1.506944444444444</v>
      </c>
      <c r="F162" s="104" t="s">
        <v>34</v>
      </c>
      <c r="G162" s="106">
        <v>9</v>
      </c>
      <c r="H162" s="107" t="s">
        <v>339</v>
      </c>
    </row>
    <row r="163" spans="1:8" ht="19.8" customHeight="1" x14ac:dyDescent="0.3">
      <c r="A163" s="112">
        <v>45983</v>
      </c>
      <c r="B163" s="104" t="s">
        <v>41</v>
      </c>
      <c r="C163" s="105" t="s">
        <v>1037</v>
      </c>
      <c r="D163" s="104" t="s">
        <v>1016</v>
      </c>
      <c r="E163" s="113">
        <v>1.8888888888888891</v>
      </c>
      <c r="F163" s="104" t="s">
        <v>45</v>
      </c>
      <c r="G163" s="106">
        <v>16</v>
      </c>
      <c r="H163" s="107" t="s">
        <v>33</v>
      </c>
    </row>
    <row r="164" spans="1:8" ht="19.8" customHeight="1" x14ac:dyDescent="0.3">
      <c r="A164" s="112">
        <v>45983</v>
      </c>
      <c r="B164" s="104" t="s">
        <v>26</v>
      </c>
      <c r="C164" s="105" t="s">
        <v>1017</v>
      </c>
      <c r="D164" s="104" t="s">
        <v>1016</v>
      </c>
      <c r="E164" s="113">
        <v>1.958333333333333</v>
      </c>
      <c r="F164" s="104" t="s">
        <v>31</v>
      </c>
      <c r="G164" s="106">
        <v>2</v>
      </c>
      <c r="H164" s="107" t="s">
        <v>508</v>
      </c>
    </row>
    <row r="165" spans="1:8" ht="19.8" customHeight="1" x14ac:dyDescent="0.3">
      <c r="A165" s="112">
        <v>45983</v>
      </c>
      <c r="B165" s="104" t="s">
        <v>41</v>
      </c>
      <c r="C165" s="105" t="s">
        <v>1040</v>
      </c>
      <c r="D165" s="104" t="s">
        <v>1016</v>
      </c>
      <c r="E165" s="113">
        <v>1.944444444444444</v>
      </c>
      <c r="F165" s="104" t="s">
        <v>45</v>
      </c>
      <c r="G165" s="106">
        <v>12</v>
      </c>
      <c r="H165" s="107" t="s">
        <v>1097</v>
      </c>
    </row>
    <row r="166" spans="1:8" ht="19.8" customHeight="1" x14ac:dyDescent="0.3">
      <c r="A166" s="112">
        <v>45983</v>
      </c>
      <c r="B166" s="104" t="s">
        <v>26</v>
      </c>
      <c r="C166" s="105" t="s">
        <v>1021</v>
      </c>
      <c r="D166" s="104" t="s">
        <v>1016</v>
      </c>
      <c r="E166" s="113">
        <v>1.631944444444444</v>
      </c>
      <c r="F166" s="104" t="s">
        <v>34</v>
      </c>
      <c r="G166" s="106">
        <v>9</v>
      </c>
      <c r="H166" s="107" t="s">
        <v>95</v>
      </c>
    </row>
    <row r="167" spans="1:8" ht="19.8" customHeight="1" x14ac:dyDescent="0.3">
      <c r="A167" s="112">
        <v>45983</v>
      </c>
      <c r="B167" s="104" t="s">
        <v>26</v>
      </c>
      <c r="C167" s="105" t="s">
        <v>1023</v>
      </c>
      <c r="D167" s="104" t="s">
        <v>1016</v>
      </c>
      <c r="E167" s="113">
        <v>1.5590277777777779</v>
      </c>
      <c r="F167" s="104" t="s">
        <v>34</v>
      </c>
      <c r="G167" s="106">
        <v>9</v>
      </c>
      <c r="H167" s="107" t="s">
        <v>95</v>
      </c>
    </row>
    <row r="168" spans="1:8" ht="19.8" customHeight="1" x14ac:dyDescent="0.3">
      <c r="A168" s="112">
        <v>45983</v>
      </c>
      <c r="B168" s="104" t="s">
        <v>60</v>
      </c>
      <c r="C168" s="105" t="s">
        <v>1064</v>
      </c>
      <c r="D168" s="104" t="s">
        <v>1016</v>
      </c>
      <c r="E168" s="113">
        <v>1.9826388888888891</v>
      </c>
      <c r="F168" s="104" t="s">
        <v>107</v>
      </c>
      <c r="G168" s="106">
        <v>3</v>
      </c>
      <c r="H168" s="107" t="s">
        <v>1065</v>
      </c>
    </row>
    <row r="169" spans="1:8" ht="19.8" customHeight="1" x14ac:dyDescent="0.3">
      <c r="A169" s="112">
        <v>45983</v>
      </c>
      <c r="B169" s="104" t="s">
        <v>60</v>
      </c>
      <c r="C169" s="105" t="s">
        <v>1064</v>
      </c>
      <c r="D169" s="104" t="s">
        <v>1016</v>
      </c>
      <c r="E169" s="113">
        <v>1.9826388888888891</v>
      </c>
      <c r="F169" s="104" t="s">
        <v>62</v>
      </c>
      <c r="G169" s="106">
        <v>3</v>
      </c>
      <c r="H169" s="107" t="s">
        <v>1065</v>
      </c>
    </row>
    <row r="170" spans="1:8" ht="19.8" customHeight="1" x14ac:dyDescent="0.3">
      <c r="A170" s="112">
        <v>45983</v>
      </c>
      <c r="B170" s="104" t="s">
        <v>26</v>
      </c>
      <c r="C170" s="105" t="s">
        <v>1024</v>
      </c>
      <c r="D170" s="104" t="s">
        <v>1016</v>
      </c>
      <c r="E170" s="113">
        <v>1.819444444444444</v>
      </c>
      <c r="F170" s="104" t="s">
        <v>31</v>
      </c>
      <c r="G170" s="106">
        <v>8</v>
      </c>
      <c r="H170" s="107" t="s">
        <v>456</v>
      </c>
    </row>
    <row r="171" spans="1:8" ht="19.8" customHeight="1" x14ac:dyDescent="0.3">
      <c r="A171" s="112">
        <v>45983</v>
      </c>
      <c r="B171" s="104" t="s">
        <v>26</v>
      </c>
      <c r="C171" s="105" t="s">
        <v>1025</v>
      </c>
      <c r="D171" s="104" t="s">
        <v>1016</v>
      </c>
      <c r="E171" s="113">
        <v>1.697916666666667</v>
      </c>
      <c r="F171" s="104" t="s">
        <v>31</v>
      </c>
      <c r="G171" s="106">
        <v>9</v>
      </c>
      <c r="H171" s="107" t="s">
        <v>456</v>
      </c>
    </row>
    <row r="172" spans="1:8" ht="19.8" customHeight="1" x14ac:dyDescent="0.3">
      <c r="A172" s="112">
        <v>45983</v>
      </c>
      <c r="B172" s="104" t="s">
        <v>26</v>
      </c>
      <c r="C172" s="105" t="s">
        <v>1017</v>
      </c>
      <c r="D172" s="104" t="s">
        <v>1016</v>
      </c>
      <c r="E172" s="113">
        <v>1.958333333333333</v>
      </c>
      <c r="F172" s="104" t="s">
        <v>34</v>
      </c>
      <c r="G172" s="106">
        <v>2</v>
      </c>
      <c r="H172" s="107" t="s">
        <v>39</v>
      </c>
    </row>
    <row r="173" spans="1:8" ht="19.8" customHeight="1" x14ac:dyDescent="0.3">
      <c r="A173" s="112">
        <v>45983</v>
      </c>
      <c r="B173" s="104" t="s">
        <v>26</v>
      </c>
      <c r="C173" s="105" t="s">
        <v>1024</v>
      </c>
      <c r="D173" s="104" t="s">
        <v>1016</v>
      </c>
      <c r="E173" s="113">
        <v>1.819444444444444</v>
      </c>
      <c r="F173" s="104" t="s">
        <v>34</v>
      </c>
      <c r="G173" s="106">
        <v>8</v>
      </c>
      <c r="H173" s="107" t="s">
        <v>478</v>
      </c>
    </row>
    <row r="174" spans="1:8" ht="19.8" customHeight="1" x14ac:dyDescent="0.3">
      <c r="A174" s="112">
        <v>45983</v>
      </c>
      <c r="B174" s="104" t="s">
        <v>26</v>
      </c>
      <c r="C174" s="105" t="s">
        <v>1025</v>
      </c>
      <c r="D174" s="104" t="s">
        <v>1016</v>
      </c>
      <c r="E174" s="113">
        <v>1.697916666666667</v>
      </c>
      <c r="F174" s="104" t="s">
        <v>34</v>
      </c>
      <c r="G174" s="106">
        <v>9</v>
      </c>
      <c r="H174" s="107" t="s">
        <v>478</v>
      </c>
    </row>
    <row r="175" spans="1:8" ht="19.8" customHeight="1" x14ac:dyDescent="0.3">
      <c r="A175" s="112">
        <v>45983</v>
      </c>
      <c r="B175" s="104" t="s">
        <v>60</v>
      </c>
      <c r="C175" s="105" t="s">
        <v>1064</v>
      </c>
      <c r="D175" s="104" t="s">
        <v>1016</v>
      </c>
      <c r="E175" s="113">
        <v>1.9826388888888891</v>
      </c>
      <c r="F175" s="104" t="s">
        <v>65</v>
      </c>
      <c r="G175" s="106">
        <v>3</v>
      </c>
      <c r="H175" s="107" t="s">
        <v>1066</v>
      </c>
    </row>
    <row r="176" spans="1:8" ht="19.8" customHeight="1" x14ac:dyDescent="0.3">
      <c r="A176" s="112">
        <v>45983</v>
      </c>
      <c r="B176" s="104" t="s">
        <v>48</v>
      </c>
      <c r="C176" s="105" t="s">
        <v>1061</v>
      </c>
      <c r="D176" s="104" t="s">
        <v>1016</v>
      </c>
      <c r="E176" s="113">
        <v>1.354166666666667</v>
      </c>
      <c r="F176" s="104" t="s">
        <v>50</v>
      </c>
      <c r="G176" s="106">
        <v>9</v>
      </c>
      <c r="H176" s="107" t="s">
        <v>1108</v>
      </c>
    </row>
    <row r="177" spans="1:8" ht="19.8" customHeight="1" x14ac:dyDescent="0.3">
      <c r="A177" s="112">
        <v>45983</v>
      </c>
      <c r="B177" s="104" t="s">
        <v>41</v>
      </c>
      <c r="C177" s="105" t="s">
        <v>1037</v>
      </c>
      <c r="D177" s="104" t="s">
        <v>1016</v>
      </c>
      <c r="E177" s="113">
        <v>1.8888888888888891</v>
      </c>
      <c r="F177" s="104" t="s">
        <v>46</v>
      </c>
      <c r="G177" s="106">
        <v>16</v>
      </c>
      <c r="H177" s="107" t="s">
        <v>532</v>
      </c>
    </row>
    <row r="178" spans="1:8" ht="19.8" customHeight="1" x14ac:dyDescent="0.3">
      <c r="A178" s="112">
        <v>45983</v>
      </c>
      <c r="B178" s="104" t="s">
        <v>41</v>
      </c>
      <c r="C178" s="105" t="s">
        <v>1040</v>
      </c>
      <c r="D178" s="104" t="s">
        <v>1016</v>
      </c>
      <c r="E178" s="113">
        <v>1.944444444444444</v>
      </c>
      <c r="F178" s="104" t="s">
        <v>46</v>
      </c>
      <c r="G178" s="106">
        <v>12</v>
      </c>
      <c r="H178" s="107" t="s">
        <v>532</v>
      </c>
    </row>
    <row r="179" spans="1:8" ht="19.8" customHeight="1" x14ac:dyDescent="0.3">
      <c r="A179" s="112">
        <v>45983</v>
      </c>
      <c r="B179" s="104" t="s">
        <v>60</v>
      </c>
      <c r="C179" s="105" t="s">
        <v>1073</v>
      </c>
      <c r="D179" s="104" t="s">
        <v>1016</v>
      </c>
      <c r="E179" s="113">
        <v>1.8298611111111109</v>
      </c>
      <c r="F179" s="104" t="s">
        <v>50</v>
      </c>
      <c r="G179" s="106">
        <v>9</v>
      </c>
      <c r="H179" s="107" t="s">
        <v>1102</v>
      </c>
    </row>
    <row r="180" spans="1:8" ht="19.8" customHeight="1" x14ac:dyDescent="0.3">
      <c r="A180" s="112">
        <v>45983</v>
      </c>
      <c r="B180" s="104" t="s">
        <v>60</v>
      </c>
      <c r="C180" s="105" t="s">
        <v>1073</v>
      </c>
      <c r="D180" s="104" t="s">
        <v>1016</v>
      </c>
      <c r="E180" s="113">
        <v>1.8298611111111109</v>
      </c>
      <c r="F180" s="104" t="s">
        <v>65</v>
      </c>
      <c r="G180" s="106">
        <v>9</v>
      </c>
      <c r="H180" s="107" t="s">
        <v>1102</v>
      </c>
    </row>
    <row r="181" spans="1:8" ht="19.8" customHeight="1" x14ac:dyDescent="0.3">
      <c r="A181" s="112">
        <v>45983</v>
      </c>
      <c r="B181" s="104" t="s">
        <v>60</v>
      </c>
      <c r="C181" s="105" t="s">
        <v>1071</v>
      </c>
      <c r="D181" s="104" t="s">
        <v>1016</v>
      </c>
      <c r="E181" s="113">
        <v>1.444444444444444</v>
      </c>
      <c r="F181" s="104" t="s">
        <v>65</v>
      </c>
      <c r="G181" s="106">
        <v>4</v>
      </c>
      <c r="H181" s="107" t="s">
        <v>1072</v>
      </c>
    </row>
    <row r="182" spans="1:8" ht="19.8" customHeight="1" x14ac:dyDescent="0.3">
      <c r="A182" s="112">
        <v>45983</v>
      </c>
      <c r="B182" s="104" t="s">
        <v>60</v>
      </c>
      <c r="C182" s="105" t="s">
        <v>1069</v>
      </c>
      <c r="D182" s="104" t="s">
        <v>1016</v>
      </c>
      <c r="E182" s="113">
        <v>1.6284722222222221</v>
      </c>
      <c r="F182" s="104" t="s">
        <v>50</v>
      </c>
      <c r="G182" s="106">
        <v>4</v>
      </c>
      <c r="H182" s="107" t="s">
        <v>1104</v>
      </c>
    </row>
    <row r="183" spans="1:8" ht="19.8" customHeight="1" x14ac:dyDescent="0.3">
      <c r="A183" s="112">
        <v>45983</v>
      </c>
      <c r="B183" s="104" t="s">
        <v>60</v>
      </c>
      <c r="C183" s="105" t="s">
        <v>1069</v>
      </c>
      <c r="D183" s="104" t="s">
        <v>1016</v>
      </c>
      <c r="E183" s="113">
        <v>1.6284722222222221</v>
      </c>
      <c r="F183" s="104" t="s">
        <v>65</v>
      </c>
      <c r="G183" s="106">
        <v>4</v>
      </c>
      <c r="H183" s="107" t="s">
        <v>1104</v>
      </c>
    </row>
    <row r="184" spans="1:8" ht="19.8" customHeight="1" x14ac:dyDescent="0.3">
      <c r="A184" s="112">
        <v>45983</v>
      </c>
      <c r="B184" s="104" t="s">
        <v>60</v>
      </c>
      <c r="C184" s="105" t="s">
        <v>1067</v>
      </c>
      <c r="D184" s="104" t="s">
        <v>1016</v>
      </c>
      <c r="E184" s="113">
        <v>1.8888888888888891</v>
      </c>
      <c r="F184" s="104" t="s">
        <v>50</v>
      </c>
      <c r="G184" s="106">
        <v>4</v>
      </c>
      <c r="H184" s="107" t="s">
        <v>1105</v>
      </c>
    </row>
    <row r="185" spans="1:8" ht="19.8" customHeight="1" x14ac:dyDescent="0.3">
      <c r="A185" s="112">
        <v>45983</v>
      </c>
      <c r="B185" s="104" t="s">
        <v>60</v>
      </c>
      <c r="C185" s="105" t="s">
        <v>1067</v>
      </c>
      <c r="D185" s="104" t="s">
        <v>1016</v>
      </c>
      <c r="E185" s="113">
        <v>1.8888888888888891</v>
      </c>
      <c r="F185" s="104" t="s">
        <v>65</v>
      </c>
      <c r="G185" s="106">
        <v>4</v>
      </c>
      <c r="H185" s="107" t="s">
        <v>1105</v>
      </c>
    </row>
    <row r="186" spans="1:8" ht="19.8" customHeight="1" x14ac:dyDescent="0.3">
      <c r="A186" s="112">
        <v>45983</v>
      </c>
      <c r="B186" s="104" t="s">
        <v>60</v>
      </c>
      <c r="C186" s="105" t="s">
        <v>1070</v>
      </c>
      <c r="D186" s="104" t="s">
        <v>1016</v>
      </c>
      <c r="E186" s="113">
        <v>1.944444444444444</v>
      </c>
      <c r="F186" s="104" t="s">
        <v>50</v>
      </c>
      <c r="G186" s="106">
        <v>4</v>
      </c>
      <c r="H186" s="107" t="s">
        <v>1106</v>
      </c>
    </row>
    <row r="187" spans="1:8" ht="19.8" customHeight="1" x14ac:dyDescent="0.3">
      <c r="A187" s="112">
        <v>45983</v>
      </c>
      <c r="B187" s="104" t="s">
        <v>60</v>
      </c>
      <c r="C187" s="105" t="s">
        <v>1070</v>
      </c>
      <c r="D187" s="104" t="s">
        <v>1016</v>
      </c>
      <c r="E187" s="113">
        <v>1.944444444444444</v>
      </c>
      <c r="F187" s="104" t="s">
        <v>65</v>
      </c>
      <c r="G187" s="106">
        <v>4</v>
      </c>
      <c r="H187" s="107" t="s">
        <v>1106</v>
      </c>
    </row>
    <row r="188" spans="1:8" ht="19.8" customHeight="1" x14ac:dyDescent="0.3">
      <c r="A188" s="112">
        <v>45983</v>
      </c>
      <c r="B188" s="104" t="s">
        <v>48</v>
      </c>
      <c r="C188" s="105" t="s">
        <v>1059</v>
      </c>
      <c r="D188" s="104" t="s">
        <v>1016</v>
      </c>
      <c r="E188" s="113">
        <v>1.9826388888888891</v>
      </c>
      <c r="F188" s="104" t="s">
        <v>50</v>
      </c>
      <c r="G188" s="106">
        <v>6</v>
      </c>
      <c r="H188" s="107" t="s">
        <v>491</v>
      </c>
    </row>
    <row r="189" spans="1:8" ht="19.8" customHeight="1" x14ac:dyDescent="0.3">
      <c r="A189" s="112">
        <v>45983</v>
      </c>
      <c r="B189" s="104" t="s">
        <v>60</v>
      </c>
      <c r="C189" s="105" t="s">
        <v>1071</v>
      </c>
      <c r="D189" s="104" t="s">
        <v>1016</v>
      </c>
      <c r="E189" s="113">
        <v>1.444444444444444</v>
      </c>
      <c r="F189" s="104" t="s">
        <v>50</v>
      </c>
      <c r="G189" s="106">
        <v>4</v>
      </c>
      <c r="H189" s="107" t="s">
        <v>1103</v>
      </c>
    </row>
    <row r="190" spans="1:8" ht="19.8" customHeight="1" x14ac:dyDescent="0.3">
      <c r="A190" s="112">
        <v>45983</v>
      </c>
      <c r="B190" s="104" t="s">
        <v>41</v>
      </c>
      <c r="C190" s="105" t="s">
        <v>1030</v>
      </c>
      <c r="D190" s="104" t="s">
        <v>1016</v>
      </c>
      <c r="E190" s="113">
        <v>1.5763888888888891</v>
      </c>
      <c r="F190" s="104" t="s">
        <v>46</v>
      </c>
      <c r="G190" s="106">
        <v>7</v>
      </c>
      <c r="H190" s="107" t="s">
        <v>1081</v>
      </c>
    </row>
    <row r="191" spans="1:8" ht="19.8" customHeight="1" x14ac:dyDescent="0.3">
      <c r="A191" s="112">
        <v>45983</v>
      </c>
      <c r="B191" s="104" t="s">
        <v>41</v>
      </c>
      <c r="C191" s="105" t="s">
        <v>1034</v>
      </c>
      <c r="D191" s="104" t="s">
        <v>1016</v>
      </c>
      <c r="E191" s="113">
        <v>1.6284722222222221</v>
      </c>
      <c r="F191" s="104" t="s">
        <v>46</v>
      </c>
      <c r="G191" s="106">
        <v>17</v>
      </c>
      <c r="H191" s="107" t="s">
        <v>1081</v>
      </c>
    </row>
    <row r="192" spans="1:8" ht="19.8" customHeight="1" x14ac:dyDescent="0.3">
      <c r="A192" s="112">
        <v>45983</v>
      </c>
      <c r="B192" s="104" t="s">
        <v>60</v>
      </c>
      <c r="C192" s="105" t="s">
        <v>1074</v>
      </c>
      <c r="D192" s="104" t="s">
        <v>1016</v>
      </c>
      <c r="E192" s="113">
        <v>1.6284722222222221</v>
      </c>
      <c r="F192" s="104" t="s">
        <v>50</v>
      </c>
      <c r="G192" s="106">
        <v>1</v>
      </c>
      <c r="H192" s="107" t="s">
        <v>1107</v>
      </c>
    </row>
    <row r="193" spans="1:8" ht="19.8" customHeight="1" x14ac:dyDescent="0.3">
      <c r="A193" s="114">
        <v>45983</v>
      </c>
      <c r="B193" s="115" t="s">
        <v>60</v>
      </c>
      <c r="C193" s="116" t="s">
        <v>1074</v>
      </c>
      <c r="D193" s="115" t="s">
        <v>1016</v>
      </c>
      <c r="E193" s="117">
        <v>1.6284722222222221</v>
      </c>
      <c r="F193" s="115" t="s">
        <v>65</v>
      </c>
      <c r="G193" s="118">
        <v>1</v>
      </c>
      <c r="H193" s="119" t="s">
        <v>1107</v>
      </c>
    </row>
    <row r="194" spans="1:8" ht="19.8" customHeight="1" x14ac:dyDescent="0.3">
      <c r="A194" s="112">
        <v>45984</v>
      </c>
      <c r="B194" s="104" t="s">
        <v>41</v>
      </c>
      <c r="C194" s="105" t="s">
        <v>1030</v>
      </c>
      <c r="D194" s="104" t="s">
        <v>1016</v>
      </c>
      <c r="E194" s="113">
        <v>1.5763888888888891</v>
      </c>
      <c r="F194" s="104" t="s">
        <v>337</v>
      </c>
      <c r="G194" s="106">
        <v>4</v>
      </c>
      <c r="H194" s="107" t="s">
        <v>1079</v>
      </c>
    </row>
    <row r="195" spans="1:8" ht="19.8" customHeight="1" x14ac:dyDescent="0.3">
      <c r="A195" s="112">
        <v>45984</v>
      </c>
      <c r="B195" s="104" t="s">
        <v>41</v>
      </c>
      <c r="C195" s="105" t="s">
        <v>1030</v>
      </c>
      <c r="D195" s="104" t="s">
        <v>1016</v>
      </c>
      <c r="E195" s="113">
        <v>1.5763888888888891</v>
      </c>
      <c r="F195" s="104" t="s">
        <v>43</v>
      </c>
      <c r="G195" s="106">
        <v>4</v>
      </c>
      <c r="H195" s="107" t="s">
        <v>1079</v>
      </c>
    </row>
    <row r="196" spans="1:8" ht="19.8" customHeight="1" x14ac:dyDescent="0.3">
      <c r="A196" s="112">
        <v>45984</v>
      </c>
      <c r="B196" s="104" t="s">
        <v>26</v>
      </c>
      <c r="C196" s="105" t="s">
        <v>1026</v>
      </c>
      <c r="D196" s="104" t="s">
        <v>1016</v>
      </c>
      <c r="E196" s="113">
        <v>1.4375</v>
      </c>
      <c r="F196" s="104" t="s">
        <v>351</v>
      </c>
      <c r="G196" s="106">
        <v>4</v>
      </c>
      <c r="H196" s="107" t="s">
        <v>1027</v>
      </c>
    </row>
    <row r="197" spans="1:8" ht="19.8" customHeight="1" x14ac:dyDescent="0.3">
      <c r="A197" s="112">
        <v>45984</v>
      </c>
      <c r="B197" s="104" t="s">
        <v>26</v>
      </c>
      <c r="C197" s="105" t="s">
        <v>1026</v>
      </c>
      <c r="D197" s="104" t="s">
        <v>1016</v>
      </c>
      <c r="E197" s="113">
        <v>1.4375</v>
      </c>
      <c r="F197" s="104" t="s">
        <v>28</v>
      </c>
      <c r="G197" s="106">
        <v>4</v>
      </c>
      <c r="H197" s="107" t="s">
        <v>1027</v>
      </c>
    </row>
    <row r="198" spans="1:8" ht="19.8" customHeight="1" x14ac:dyDescent="0.3">
      <c r="A198" s="112">
        <v>45984</v>
      </c>
      <c r="B198" s="104" t="s">
        <v>26</v>
      </c>
      <c r="C198" s="105" t="s">
        <v>1023</v>
      </c>
      <c r="D198" s="104" t="s">
        <v>1016</v>
      </c>
      <c r="E198" s="113">
        <v>1.5590277777777779</v>
      </c>
      <c r="F198" s="104" t="s">
        <v>351</v>
      </c>
      <c r="G198" s="106">
        <v>9</v>
      </c>
      <c r="H198" s="107" t="s">
        <v>1027</v>
      </c>
    </row>
    <row r="199" spans="1:8" ht="19.8" customHeight="1" x14ac:dyDescent="0.3">
      <c r="A199" s="112">
        <v>45984</v>
      </c>
      <c r="B199" s="104" t="s">
        <v>26</v>
      </c>
      <c r="C199" s="105" t="s">
        <v>1023</v>
      </c>
      <c r="D199" s="104" t="s">
        <v>1016</v>
      </c>
      <c r="E199" s="113">
        <v>1.5590277777777779</v>
      </c>
      <c r="F199" s="104" t="s">
        <v>28</v>
      </c>
      <c r="G199" s="106">
        <v>9</v>
      </c>
      <c r="H199" s="107" t="s">
        <v>1027</v>
      </c>
    </row>
    <row r="200" spans="1:8" ht="19.8" customHeight="1" x14ac:dyDescent="0.3">
      <c r="A200" s="112">
        <v>45984</v>
      </c>
      <c r="B200" s="104" t="s">
        <v>41</v>
      </c>
      <c r="C200" s="105" t="s">
        <v>1034</v>
      </c>
      <c r="D200" s="104" t="s">
        <v>1016</v>
      </c>
      <c r="E200" s="113">
        <v>1.6284722222222221</v>
      </c>
      <c r="F200" s="104" t="s">
        <v>43</v>
      </c>
      <c r="G200" s="106">
        <v>18</v>
      </c>
      <c r="H200" s="107" t="s">
        <v>909</v>
      </c>
    </row>
    <row r="201" spans="1:8" ht="19.8" customHeight="1" x14ac:dyDescent="0.3">
      <c r="A201" s="112">
        <v>45984</v>
      </c>
      <c r="B201" s="104" t="s">
        <v>41</v>
      </c>
      <c r="C201" s="105" t="s">
        <v>1037</v>
      </c>
      <c r="D201" s="104" t="s">
        <v>1016</v>
      </c>
      <c r="E201" s="113">
        <v>1.8888888888888891</v>
      </c>
      <c r="F201" s="104" t="s">
        <v>43</v>
      </c>
      <c r="G201" s="106">
        <v>12</v>
      </c>
      <c r="H201" s="107" t="s">
        <v>909</v>
      </c>
    </row>
    <row r="202" spans="1:8" ht="19.8" customHeight="1" x14ac:dyDescent="0.3">
      <c r="A202" s="112">
        <v>45984</v>
      </c>
      <c r="B202" s="104" t="s">
        <v>41</v>
      </c>
      <c r="C202" s="105" t="s">
        <v>1040</v>
      </c>
      <c r="D202" s="104" t="s">
        <v>1016</v>
      </c>
      <c r="E202" s="113">
        <v>1.944444444444444</v>
      </c>
      <c r="F202" s="104" t="s">
        <v>337</v>
      </c>
      <c r="G202" s="106">
        <v>16</v>
      </c>
      <c r="H202" s="107" t="s">
        <v>909</v>
      </c>
    </row>
    <row r="203" spans="1:8" ht="19.8" customHeight="1" x14ac:dyDescent="0.3">
      <c r="A203" s="112">
        <v>45984</v>
      </c>
      <c r="B203" s="104" t="s">
        <v>41</v>
      </c>
      <c r="C203" s="105" t="s">
        <v>1040</v>
      </c>
      <c r="D203" s="104" t="s">
        <v>1016</v>
      </c>
      <c r="E203" s="113">
        <v>1.944444444444444</v>
      </c>
      <c r="F203" s="104" t="s">
        <v>43</v>
      </c>
      <c r="G203" s="106">
        <v>16</v>
      </c>
      <c r="H203" s="107" t="s">
        <v>909</v>
      </c>
    </row>
    <row r="204" spans="1:8" ht="19.8" customHeight="1" x14ac:dyDescent="0.3">
      <c r="A204" s="112">
        <v>45984</v>
      </c>
      <c r="B204" s="104" t="s">
        <v>26</v>
      </c>
      <c r="C204" s="105" t="s">
        <v>1021</v>
      </c>
      <c r="D204" s="104" t="s">
        <v>1016</v>
      </c>
      <c r="E204" s="113">
        <v>1.631944444444444</v>
      </c>
      <c r="F204" s="104" t="s">
        <v>351</v>
      </c>
      <c r="G204" s="106">
        <v>8</v>
      </c>
      <c r="H204" s="107" t="s">
        <v>1091</v>
      </c>
    </row>
    <row r="205" spans="1:8" ht="19.8" customHeight="1" x14ac:dyDescent="0.3">
      <c r="A205" s="112">
        <v>45984</v>
      </c>
      <c r="B205" s="104" t="s">
        <v>26</v>
      </c>
      <c r="C205" s="105" t="s">
        <v>1021</v>
      </c>
      <c r="D205" s="104" t="s">
        <v>1016</v>
      </c>
      <c r="E205" s="113">
        <v>1.631944444444444</v>
      </c>
      <c r="F205" s="104" t="s">
        <v>28</v>
      </c>
      <c r="G205" s="106">
        <v>8</v>
      </c>
      <c r="H205" s="107" t="s">
        <v>1091</v>
      </c>
    </row>
    <row r="206" spans="1:8" ht="19.8" customHeight="1" x14ac:dyDescent="0.3">
      <c r="A206" s="112">
        <v>45984</v>
      </c>
      <c r="B206" s="104" t="s">
        <v>26</v>
      </c>
      <c r="C206" s="105" t="s">
        <v>1029</v>
      </c>
      <c r="D206" s="104" t="s">
        <v>1016</v>
      </c>
      <c r="E206" s="113">
        <v>1.506944444444444</v>
      </c>
      <c r="F206" s="104" t="s">
        <v>351</v>
      </c>
      <c r="G206" s="106">
        <v>9</v>
      </c>
      <c r="H206" s="107" t="s">
        <v>1091</v>
      </c>
    </row>
    <row r="207" spans="1:8" ht="19.8" customHeight="1" x14ac:dyDescent="0.3">
      <c r="A207" s="112">
        <v>45984</v>
      </c>
      <c r="B207" s="104" t="s">
        <v>26</v>
      </c>
      <c r="C207" s="105" t="s">
        <v>1029</v>
      </c>
      <c r="D207" s="104" t="s">
        <v>1016</v>
      </c>
      <c r="E207" s="113">
        <v>1.506944444444444</v>
      </c>
      <c r="F207" s="104" t="s">
        <v>28</v>
      </c>
      <c r="G207" s="106">
        <v>9</v>
      </c>
      <c r="H207" s="107" t="s">
        <v>1091</v>
      </c>
    </row>
    <row r="208" spans="1:8" ht="19.8" customHeight="1" x14ac:dyDescent="0.3">
      <c r="A208" s="112">
        <v>45984</v>
      </c>
      <c r="B208" s="104" t="s">
        <v>26</v>
      </c>
      <c r="C208" s="105" t="s">
        <v>1025</v>
      </c>
      <c r="D208" s="104" t="s">
        <v>1016</v>
      </c>
      <c r="E208" s="113">
        <v>1.697916666666667</v>
      </c>
      <c r="F208" s="104" t="s">
        <v>351</v>
      </c>
      <c r="G208" s="106">
        <v>9</v>
      </c>
      <c r="H208" s="107" t="s">
        <v>1091</v>
      </c>
    </row>
    <row r="209" spans="1:8" ht="19.8" customHeight="1" x14ac:dyDescent="0.3">
      <c r="A209" s="112">
        <v>45984</v>
      </c>
      <c r="B209" s="104" t="s">
        <v>26</v>
      </c>
      <c r="C209" s="105" t="s">
        <v>1025</v>
      </c>
      <c r="D209" s="104" t="s">
        <v>1016</v>
      </c>
      <c r="E209" s="113">
        <v>1.697916666666667</v>
      </c>
      <c r="F209" s="104" t="s">
        <v>28</v>
      </c>
      <c r="G209" s="106">
        <v>9</v>
      </c>
      <c r="H209" s="107" t="s">
        <v>1091</v>
      </c>
    </row>
    <row r="210" spans="1:8" ht="19.8" customHeight="1" x14ac:dyDescent="0.3">
      <c r="A210" s="112">
        <v>45984</v>
      </c>
      <c r="B210" s="104" t="s">
        <v>458</v>
      </c>
      <c r="C210" s="105" t="s">
        <v>1111</v>
      </c>
      <c r="D210" s="104" t="s">
        <v>1016</v>
      </c>
      <c r="E210" s="113">
        <v>1.399305555555556</v>
      </c>
      <c r="F210" s="104" t="s">
        <v>101</v>
      </c>
      <c r="G210" s="106">
        <v>6</v>
      </c>
      <c r="H210" s="107" t="s">
        <v>1051</v>
      </c>
    </row>
    <row r="211" spans="1:8" ht="19.8" customHeight="1" x14ac:dyDescent="0.3">
      <c r="A211" s="120">
        <v>45984</v>
      </c>
      <c r="B211" s="121" t="s">
        <v>77</v>
      </c>
      <c r="C211" s="122" t="s">
        <v>1052</v>
      </c>
      <c r="D211" s="121" t="s">
        <v>1016</v>
      </c>
      <c r="E211" s="123">
        <v>1.427083333333333</v>
      </c>
      <c r="F211" s="121" t="s">
        <v>101</v>
      </c>
      <c r="G211" s="124">
        <v>1</v>
      </c>
      <c r="H211" s="125" t="s">
        <v>1112</v>
      </c>
    </row>
    <row r="212" spans="1:8" ht="19.8" customHeight="1" x14ac:dyDescent="0.3">
      <c r="A212" s="112">
        <v>45984</v>
      </c>
      <c r="B212" s="104" t="s">
        <v>26</v>
      </c>
      <c r="C212" s="105" t="s">
        <v>1026</v>
      </c>
      <c r="D212" s="104" t="s">
        <v>1016</v>
      </c>
      <c r="E212" s="113">
        <v>1.4375</v>
      </c>
      <c r="F212" s="104" t="s">
        <v>31</v>
      </c>
      <c r="G212" s="106">
        <v>4</v>
      </c>
      <c r="H212" s="107" t="s">
        <v>1028</v>
      </c>
    </row>
    <row r="213" spans="1:8" ht="19.8" customHeight="1" x14ac:dyDescent="0.3">
      <c r="A213" s="112">
        <v>45984</v>
      </c>
      <c r="B213" s="104" t="s">
        <v>26</v>
      </c>
      <c r="C213" s="105" t="s">
        <v>1023</v>
      </c>
      <c r="D213" s="104" t="s">
        <v>1016</v>
      </c>
      <c r="E213" s="113">
        <v>1.5590277777777779</v>
      </c>
      <c r="F213" s="104" t="s">
        <v>31</v>
      </c>
      <c r="G213" s="106">
        <v>9</v>
      </c>
      <c r="H213" s="107" t="s">
        <v>1028</v>
      </c>
    </row>
    <row r="214" spans="1:8" ht="19.8" customHeight="1" x14ac:dyDescent="0.3">
      <c r="A214" s="112">
        <v>45984</v>
      </c>
      <c r="B214" s="104" t="s">
        <v>41</v>
      </c>
      <c r="C214" s="105" t="s">
        <v>1030</v>
      </c>
      <c r="D214" s="104" t="s">
        <v>1016</v>
      </c>
      <c r="E214" s="113">
        <v>1.5763888888888891</v>
      </c>
      <c r="F214" s="104" t="s">
        <v>45</v>
      </c>
      <c r="G214" s="106">
        <v>4</v>
      </c>
      <c r="H214" s="107" t="s">
        <v>342</v>
      </c>
    </row>
    <row r="215" spans="1:8" ht="19.8" customHeight="1" x14ac:dyDescent="0.3">
      <c r="A215" s="112">
        <v>45984</v>
      </c>
      <c r="B215" s="104" t="s">
        <v>26</v>
      </c>
      <c r="C215" s="105" t="s">
        <v>1021</v>
      </c>
      <c r="D215" s="104" t="s">
        <v>1016</v>
      </c>
      <c r="E215" s="113">
        <v>1.631944444444444</v>
      </c>
      <c r="F215" s="104" t="s">
        <v>31</v>
      </c>
      <c r="G215" s="106">
        <v>8</v>
      </c>
      <c r="H215" s="107" t="s">
        <v>30</v>
      </c>
    </row>
    <row r="216" spans="1:8" ht="19.8" customHeight="1" x14ac:dyDescent="0.3">
      <c r="A216" s="112">
        <v>45984</v>
      </c>
      <c r="B216" s="104" t="s">
        <v>26</v>
      </c>
      <c r="C216" s="105" t="s">
        <v>1029</v>
      </c>
      <c r="D216" s="104" t="s">
        <v>1016</v>
      </c>
      <c r="E216" s="113">
        <v>1.506944444444444</v>
      </c>
      <c r="F216" s="104" t="s">
        <v>31</v>
      </c>
      <c r="G216" s="106">
        <v>9</v>
      </c>
      <c r="H216" s="107" t="s">
        <v>30</v>
      </c>
    </row>
    <row r="217" spans="1:8" ht="19.8" customHeight="1" x14ac:dyDescent="0.3">
      <c r="A217" s="112">
        <v>45984</v>
      </c>
      <c r="B217" s="104" t="s">
        <v>26</v>
      </c>
      <c r="C217" s="105" t="s">
        <v>1025</v>
      </c>
      <c r="D217" s="104" t="s">
        <v>1016</v>
      </c>
      <c r="E217" s="113">
        <v>1.697916666666667</v>
      </c>
      <c r="F217" s="104" t="s">
        <v>31</v>
      </c>
      <c r="G217" s="106">
        <v>9</v>
      </c>
      <c r="H217" s="107" t="s">
        <v>30</v>
      </c>
    </row>
    <row r="218" spans="1:8" ht="19.8" customHeight="1" x14ac:dyDescent="0.3">
      <c r="A218" s="112">
        <v>45984</v>
      </c>
      <c r="B218" s="104" t="s">
        <v>41</v>
      </c>
      <c r="C218" s="105" t="s">
        <v>1034</v>
      </c>
      <c r="D218" s="104" t="s">
        <v>1016</v>
      </c>
      <c r="E218" s="113">
        <v>1.6284722222222221</v>
      </c>
      <c r="F218" s="104" t="s">
        <v>45</v>
      </c>
      <c r="G218" s="106">
        <v>18</v>
      </c>
      <c r="H218" s="107" t="s">
        <v>431</v>
      </c>
    </row>
    <row r="219" spans="1:8" ht="19.8" customHeight="1" x14ac:dyDescent="0.3">
      <c r="A219" s="112">
        <v>45984</v>
      </c>
      <c r="B219" s="104" t="s">
        <v>41</v>
      </c>
      <c r="C219" s="105" t="s">
        <v>1037</v>
      </c>
      <c r="D219" s="104" t="s">
        <v>1016</v>
      </c>
      <c r="E219" s="113">
        <v>1.8888888888888891</v>
      </c>
      <c r="F219" s="104" t="s">
        <v>45</v>
      </c>
      <c r="G219" s="106">
        <v>12</v>
      </c>
      <c r="H219" s="107" t="s">
        <v>431</v>
      </c>
    </row>
    <row r="220" spans="1:8" ht="19.8" customHeight="1" x14ac:dyDescent="0.3">
      <c r="A220" s="112">
        <v>45984</v>
      </c>
      <c r="B220" s="104" t="s">
        <v>41</v>
      </c>
      <c r="C220" s="105" t="s">
        <v>1040</v>
      </c>
      <c r="D220" s="104" t="s">
        <v>1016</v>
      </c>
      <c r="E220" s="113">
        <v>1.944444444444444</v>
      </c>
      <c r="F220" s="104" t="s">
        <v>45</v>
      </c>
      <c r="G220" s="106">
        <v>16</v>
      </c>
      <c r="H220" s="107" t="s">
        <v>431</v>
      </c>
    </row>
    <row r="221" spans="1:8" ht="19.8" customHeight="1" x14ac:dyDescent="0.3">
      <c r="A221" s="112">
        <v>45984</v>
      </c>
      <c r="B221" s="104" t="s">
        <v>26</v>
      </c>
      <c r="C221" s="105" t="s">
        <v>1017</v>
      </c>
      <c r="D221" s="104" t="s">
        <v>1016</v>
      </c>
      <c r="E221" s="113">
        <v>1.958333333333333</v>
      </c>
      <c r="F221" s="104" t="s">
        <v>351</v>
      </c>
      <c r="G221" s="106">
        <v>9</v>
      </c>
      <c r="H221" s="107" t="s">
        <v>431</v>
      </c>
    </row>
    <row r="222" spans="1:8" ht="19.8" customHeight="1" x14ac:dyDescent="0.3">
      <c r="A222" s="112">
        <v>45984</v>
      </c>
      <c r="B222" s="104" t="s">
        <v>26</v>
      </c>
      <c r="C222" s="105" t="s">
        <v>1017</v>
      </c>
      <c r="D222" s="104" t="s">
        <v>1016</v>
      </c>
      <c r="E222" s="113">
        <v>1.958333333333333</v>
      </c>
      <c r="F222" s="104" t="s">
        <v>28</v>
      </c>
      <c r="G222" s="106">
        <v>9</v>
      </c>
      <c r="H222" s="107" t="s">
        <v>431</v>
      </c>
    </row>
    <row r="223" spans="1:8" ht="19.8" customHeight="1" x14ac:dyDescent="0.3">
      <c r="A223" s="112">
        <v>45984</v>
      </c>
      <c r="B223" s="104" t="s">
        <v>26</v>
      </c>
      <c r="C223" s="105" t="s">
        <v>1024</v>
      </c>
      <c r="D223" s="104" t="s">
        <v>1016</v>
      </c>
      <c r="E223" s="113">
        <v>1.819444444444444</v>
      </c>
      <c r="F223" s="104" t="s">
        <v>351</v>
      </c>
      <c r="G223" s="106">
        <v>9</v>
      </c>
      <c r="H223" s="107" t="s">
        <v>431</v>
      </c>
    </row>
    <row r="224" spans="1:8" ht="19.8" customHeight="1" x14ac:dyDescent="0.3">
      <c r="A224" s="112">
        <v>45984</v>
      </c>
      <c r="B224" s="104" t="s">
        <v>26</v>
      </c>
      <c r="C224" s="105" t="s">
        <v>1024</v>
      </c>
      <c r="D224" s="104" t="s">
        <v>1016</v>
      </c>
      <c r="E224" s="113">
        <v>1.819444444444444</v>
      </c>
      <c r="F224" s="104" t="s">
        <v>28</v>
      </c>
      <c r="G224" s="106">
        <v>9</v>
      </c>
      <c r="H224" s="107" t="s">
        <v>431</v>
      </c>
    </row>
    <row r="225" spans="1:8" ht="19.8" customHeight="1" x14ac:dyDescent="0.3">
      <c r="A225" s="112">
        <v>45984</v>
      </c>
      <c r="B225" s="104" t="s">
        <v>385</v>
      </c>
      <c r="C225" s="105" t="s">
        <v>1043</v>
      </c>
      <c r="D225" s="104" t="s">
        <v>1016</v>
      </c>
      <c r="E225" s="113">
        <v>1.1736111111111109</v>
      </c>
      <c r="F225" s="104" t="s">
        <v>101</v>
      </c>
      <c r="G225" s="106">
        <v>7</v>
      </c>
      <c r="H225" s="107" t="s">
        <v>434</v>
      </c>
    </row>
    <row r="226" spans="1:8" ht="19.8" customHeight="1" x14ac:dyDescent="0.3">
      <c r="A226" s="112">
        <v>45984</v>
      </c>
      <c r="B226" s="104" t="s">
        <v>26</v>
      </c>
      <c r="C226" s="105" t="s">
        <v>1026</v>
      </c>
      <c r="D226" s="104" t="s">
        <v>1016</v>
      </c>
      <c r="E226" s="113">
        <v>1.4375</v>
      </c>
      <c r="F226" s="104" t="s">
        <v>34</v>
      </c>
      <c r="G226" s="106">
        <v>4</v>
      </c>
      <c r="H226" s="107" t="s">
        <v>44</v>
      </c>
    </row>
    <row r="227" spans="1:8" ht="19.8" customHeight="1" x14ac:dyDescent="0.3">
      <c r="A227" s="112">
        <v>45984</v>
      </c>
      <c r="B227" s="104" t="s">
        <v>26</v>
      </c>
      <c r="C227" s="105" t="s">
        <v>1023</v>
      </c>
      <c r="D227" s="104" t="s">
        <v>1016</v>
      </c>
      <c r="E227" s="113">
        <v>1.5590277777777779</v>
      </c>
      <c r="F227" s="104" t="s">
        <v>34</v>
      </c>
      <c r="G227" s="106">
        <v>9</v>
      </c>
      <c r="H227" s="107" t="s">
        <v>44</v>
      </c>
    </row>
    <row r="228" spans="1:8" ht="19.8" customHeight="1" x14ac:dyDescent="0.3">
      <c r="A228" s="112">
        <v>45984</v>
      </c>
      <c r="B228" s="104" t="s">
        <v>48</v>
      </c>
      <c r="C228" s="105" t="s">
        <v>1059</v>
      </c>
      <c r="D228" s="104" t="s">
        <v>1016</v>
      </c>
      <c r="E228" s="113">
        <v>1.9826388888888891</v>
      </c>
      <c r="F228" s="104" t="s">
        <v>50</v>
      </c>
      <c r="G228" s="106">
        <v>6</v>
      </c>
      <c r="H228" s="107" t="s">
        <v>1060</v>
      </c>
    </row>
    <row r="229" spans="1:8" ht="19.8" customHeight="1" x14ac:dyDescent="0.3">
      <c r="A229" s="112">
        <v>45984</v>
      </c>
      <c r="B229" s="104" t="s">
        <v>26</v>
      </c>
      <c r="C229" s="105" t="s">
        <v>1021</v>
      </c>
      <c r="D229" s="104" t="s">
        <v>1016</v>
      </c>
      <c r="E229" s="113">
        <v>1.631944444444444</v>
      </c>
      <c r="F229" s="104" t="s">
        <v>34</v>
      </c>
      <c r="G229" s="106">
        <v>8</v>
      </c>
      <c r="H229" s="107" t="s">
        <v>339</v>
      </c>
    </row>
    <row r="230" spans="1:8" ht="19.8" customHeight="1" x14ac:dyDescent="0.3">
      <c r="A230" s="112">
        <v>45984</v>
      </c>
      <c r="B230" s="104" t="s">
        <v>26</v>
      </c>
      <c r="C230" s="105" t="s">
        <v>1029</v>
      </c>
      <c r="D230" s="104" t="s">
        <v>1016</v>
      </c>
      <c r="E230" s="113">
        <v>1.506944444444444</v>
      </c>
      <c r="F230" s="104" t="s">
        <v>34</v>
      </c>
      <c r="G230" s="106">
        <v>9</v>
      </c>
      <c r="H230" s="107" t="s">
        <v>339</v>
      </c>
    </row>
    <row r="231" spans="1:8" ht="19.8" customHeight="1" x14ac:dyDescent="0.3">
      <c r="A231" s="112">
        <v>45984</v>
      </c>
      <c r="B231" s="104" t="s">
        <v>26</v>
      </c>
      <c r="C231" s="105" t="s">
        <v>1025</v>
      </c>
      <c r="D231" s="104" t="s">
        <v>1016</v>
      </c>
      <c r="E231" s="113">
        <v>1.697916666666667</v>
      </c>
      <c r="F231" s="104" t="s">
        <v>34</v>
      </c>
      <c r="G231" s="106">
        <v>9</v>
      </c>
      <c r="H231" s="107" t="s">
        <v>339</v>
      </c>
    </row>
    <row r="232" spans="1:8" ht="19.8" customHeight="1" x14ac:dyDescent="0.3">
      <c r="A232" s="112">
        <v>45984</v>
      </c>
      <c r="B232" s="104" t="s">
        <v>60</v>
      </c>
      <c r="C232" s="105" t="s">
        <v>1073</v>
      </c>
      <c r="D232" s="104" t="s">
        <v>1016</v>
      </c>
      <c r="E232" s="113">
        <v>1.8298611111111109</v>
      </c>
      <c r="F232" s="104" t="s">
        <v>107</v>
      </c>
      <c r="G232" s="106">
        <v>9</v>
      </c>
      <c r="H232" s="107" t="s">
        <v>1114</v>
      </c>
    </row>
    <row r="233" spans="1:8" ht="19.8" customHeight="1" x14ac:dyDescent="0.3">
      <c r="A233" s="112">
        <v>45984</v>
      </c>
      <c r="B233" s="104" t="s">
        <v>60</v>
      </c>
      <c r="C233" s="105" t="s">
        <v>1073</v>
      </c>
      <c r="D233" s="104" t="s">
        <v>1016</v>
      </c>
      <c r="E233" s="113">
        <v>1.8298611111111109</v>
      </c>
      <c r="F233" s="104" t="s">
        <v>62</v>
      </c>
      <c r="G233" s="106">
        <v>9</v>
      </c>
      <c r="H233" s="107" t="s">
        <v>1114</v>
      </c>
    </row>
    <row r="234" spans="1:8" ht="19.8" customHeight="1" x14ac:dyDescent="0.3">
      <c r="A234" s="112">
        <v>45984</v>
      </c>
      <c r="B234" s="104" t="s">
        <v>60</v>
      </c>
      <c r="C234" s="105" t="s">
        <v>1116</v>
      </c>
      <c r="D234" s="104" t="s">
        <v>1016</v>
      </c>
      <c r="E234" s="113">
        <v>1.697916666666667</v>
      </c>
      <c r="F234" s="104" t="s">
        <v>107</v>
      </c>
      <c r="G234" s="106">
        <v>9</v>
      </c>
      <c r="H234" s="107" t="s">
        <v>1114</v>
      </c>
    </row>
    <row r="235" spans="1:8" ht="19.8" customHeight="1" x14ac:dyDescent="0.3">
      <c r="A235" s="112">
        <v>45984</v>
      </c>
      <c r="B235" s="104" t="s">
        <v>60</v>
      </c>
      <c r="C235" s="105" t="s">
        <v>1116</v>
      </c>
      <c r="D235" s="104" t="s">
        <v>1016</v>
      </c>
      <c r="E235" s="113">
        <v>1.697916666666667</v>
      </c>
      <c r="F235" s="104" t="s">
        <v>62</v>
      </c>
      <c r="G235" s="106">
        <v>9</v>
      </c>
      <c r="H235" s="107" t="s">
        <v>1114</v>
      </c>
    </row>
    <row r="236" spans="1:8" ht="19.8" customHeight="1" x14ac:dyDescent="0.3">
      <c r="A236" s="112">
        <v>45984</v>
      </c>
      <c r="B236" s="104" t="s">
        <v>60</v>
      </c>
      <c r="C236" s="105" t="s">
        <v>1074</v>
      </c>
      <c r="D236" s="104" t="s">
        <v>1016</v>
      </c>
      <c r="E236" s="113">
        <v>1.6284722222222221</v>
      </c>
      <c r="F236" s="104" t="s">
        <v>107</v>
      </c>
      <c r="G236" s="106">
        <v>9</v>
      </c>
      <c r="H236" s="107" t="s">
        <v>1114</v>
      </c>
    </row>
    <row r="237" spans="1:8" ht="19.8" customHeight="1" x14ac:dyDescent="0.3">
      <c r="A237" s="112">
        <v>45984</v>
      </c>
      <c r="B237" s="104" t="s">
        <v>60</v>
      </c>
      <c r="C237" s="105" t="s">
        <v>1074</v>
      </c>
      <c r="D237" s="104" t="s">
        <v>1016</v>
      </c>
      <c r="E237" s="113">
        <v>1.6284722222222221</v>
      </c>
      <c r="F237" s="104" t="s">
        <v>62</v>
      </c>
      <c r="G237" s="106">
        <v>9</v>
      </c>
      <c r="H237" s="107" t="s">
        <v>1114</v>
      </c>
    </row>
    <row r="238" spans="1:8" ht="19.8" customHeight="1" x14ac:dyDescent="0.3">
      <c r="A238" s="112">
        <v>45984</v>
      </c>
      <c r="B238" s="104" t="s">
        <v>26</v>
      </c>
      <c r="C238" s="105" t="s">
        <v>1017</v>
      </c>
      <c r="D238" s="104" t="s">
        <v>1016</v>
      </c>
      <c r="E238" s="113">
        <v>1.958333333333333</v>
      </c>
      <c r="F238" s="104" t="s">
        <v>31</v>
      </c>
      <c r="G238" s="106">
        <v>9</v>
      </c>
      <c r="H238" s="107" t="s">
        <v>508</v>
      </c>
    </row>
    <row r="239" spans="1:8" ht="19.8" customHeight="1" x14ac:dyDescent="0.3">
      <c r="A239" s="112">
        <v>45984</v>
      </c>
      <c r="B239" s="104" t="s">
        <v>26</v>
      </c>
      <c r="C239" s="105" t="s">
        <v>1024</v>
      </c>
      <c r="D239" s="104" t="s">
        <v>1016</v>
      </c>
      <c r="E239" s="113">
        <v>1.819444444444444</v>
      </c>
      <c r="F239" s="104" t="s">
        <v>31</v>
      </c>
      <c r="G239" s="106">
        <v>9</v>
      </c>
      <c r="H239" s="107" t="s">
        <v>508</v>
      </c>
    </row>
    <row r="240" spans="1:8" ht="19.8" customHeight="1" x14ac:dyDescent="0.3">
      <c r="A240" s="112">
        <v>45984</v>
      </c>
      <c r="B240" s="104" t="s">
        <v>60</v>
      </c>
      <c r="C240" s="105" t="s">
        <v>1071</v>
      </c>
      <c r="D240" s="104" t="s">
        <v>1016</v>
      </c>
      <c r="E240" s="113">
        <v>1.444444444444444</v>
      </c>
      <c r="F240" s="104" t="s">
        <v>107</v>
      </c>
      <c r="G240" s="106">
        <v>8</v>
      </c>
      <c r="H240" s="107" t="s">
        <v>1065</v>
      </c>
    </row>
    <row r="241" spans="1:8" ht="19.8" customHeight="1" x14ac:dyDescent="0.3">
      <c r="A241" s="112">
        <v>45984</v>
      </c>
      <c r="B241" s="104" t="s">
        <v>60</v>
      </c>
      <c r="C241" s="105" t="s">
        <v>1071</v>
      </c>
      <c r="D241" s="104" t="s">
        <v>1016</v>
      </c>
      <c r="E241" s="113">
        <v>1.444444444444444</v>
      </c>
      <c r="F241" s="104" t="s">
        <v>62</v>
      </c>
      <c r="G241" s="106">
        <v>8</v>
      </c>
      <c r="H241" s="107" t="s">
        <v>1065</v>
      </c>
    </row>
    <row r="242" spans="1:8" ht="19.8" customHeight="1" x14ac:dyDescent="0.3">
      <c r="A242" s="112">
        <v>45984</v>
      </c>
      <c r="B242" s="104" t="s">
        <v>60</v>
      </c>
      <c r="C242" s="105" t="s">
        <v>1064</v>
      </c>
      <c r="D242" s="104" t="s">
        <v>1016</v>
      </c>
      <c r="E242" s="113">
        <v>1.9826388888888891</v>
      </c>
      <c r="F242" s="104" t="s">
        <v>107</v>
      </c>
      <c r="G242" s="106">
        <v>9</v>
      </c>
      <c r="H242" s="107" t="s">
        <v>1065</v>
      </c>
    </row>
    <row r="243" spans="1:8" ht="19.8" customHeight="1" x14ac:dyDescent="0.3">
      <c r="A243" s="112">
        <v>45984</v>
      </c>
      <c r="B243" s="104" t="s">
        <v>60</v>
      </c>
      <c r="C243" s="105" t="s">
        <v>1064</v>
      </c>
      <c r="D243" s="104" t="s">
        <v>1016</v>
      </c>
      <c r="E243" s="113">
        <v>1.9826388888888891</v>
      </c>
      <c r="F243" s="104" t="s">
        <v>62</v>
      </c>
      <c r="G243" s="106">
        <v>9</v>
      </c>
      <c r="H243" s="107" t="s">
        <v>1065</v>
      </c>
    </row>
    <row r="244" spans="1:8" ht="19.8" customHeight="1" x14ac:dyDescent="0.3">
      <c r="A244" s="112">
        <v>45984</v>
      </c>
      <c r="B244" s="104" t="s">
        <v>26</v>
      </c>
      <c r="C244" s="105" t="s">
        <v>1017</v>
      </c>
      <c r="D244" s="104" t="s">
        <v>1016</v>
      </c>
      <c r="E244" s="113">
        <v>1.958333333333333</v>
      </c>
      <c r="F244" s="104" t="s">
        <v>34</v>
      </c>
      <c r="G244" s="106">
        <v>9</v>
      </c>
      <c r="H244" s="107" t="s">
        <v>39</v>
      </c>
    </row>
    <row r="245" spans="1:8" ht="19.8" customHeight="1" x14ac:dyDescent="0.3">
      <c r="A245" s="112">
        <v>45984</v>
      </c>
      <c r="B245" s="104" t="s">
        <v>26</v>
      </c>
      <c r="C245" s="105" t="s">
        <v>1024</v>
      </c>
      <c r="D245" s="104" t="s">
        <v>1016</v>
      </c>
      <c r="E245" s="113">
        <v>1.819444444444444</v>
      </c>
      <c r="F245" s="104" t="s">
        <v>34</v>
      </c>
      <c r="G245" s="106">
        <v>9</v>
      </c>
      <c r="H245" s="107" t="s">
        <v>39</v>
      </c>
    </row>
    <row r="246" spans="1:8" ht="19.8" customHeight="1" x14ac:dyDescent="0.3">
      <c r="A246" s="112">
        <v>45984</v>
      </c>
      <c r="B246" s="104" t="s">
        <v>60</v>
      </c>
      <c r="C246" s="105" t="s">
        <v>1073</v>
      </c>
      <c r="D246" s="104" t="s">
        <v>1016</v>
      </c>
      <c r="E246" s="113">
        <v>1.8298611111111109</v>
      </c>
      <c r="F246" s="104" t="s">
        <v>65</v>
      </c>
      <c r="G246" s="106">
        <v>9</v>
      </c>
      <c r="H246" s="107" t="s">
        <v>1115</v>
      </c>
    </row>
    <row r="247" spans="1:8" ht="19.8" customHeight="1" x14ac:dyDescent="0.3">
      <c r="A247" s="112">
        <v>45984</v>
      </c>
      <c r="B247" s="104" t="s">
        <v>60</v>
      </c>
      <c r="C247" s="105" t="s">
        <v>1116</v>
      </c>
      <c r="D247" s="104" t="s">
        <v>1016</v>
      </c>
      <c r="E247" s="113">
        <v>1.697916666666667</v>
      </c>
      <c r="F247" s="104" t="s">
        <v>65</v>
      </c>
      <c r="G247" s="106">
        <v>9</v>
      </c>
      <c r="H247" s="107" t="s">
        <v>1115</v>
      </c>
    </row>
    <row r="248" spans="1:8" ht="19.8" customHeight="1" x14ac:dyDescent="0.3">
      <c r="A248" s="112">
        <v>45984</v>
      </c>
      <c r="B248" s="104" t="s">
        <v>60</v>
      </c>
      <c r="C248" s="105" t="s">
        <v>1074</v>
      </c>
      <c r="D248" s="104" t="s">
        <v>1016</v>
      </c>
      <c r="E248" s="113">
        <v>1.6284722222222221</v>
      </c>
      <c r="F248" s="104" t="s">
        <v>65</v>
      </c>
      <c r="G248" s="106">
        <v>9</v>
      </c>
      <c r="H248" s="107" t="s">
        <v>1115</v>
      </c>
    </row>
    <row r="249" spans="1:8" ht="19.8" customHeight="1" x14ac:dyDescent="0.3">
      <c r="A249" s="112">
        <v>45984</v>
      </c>
      <c r="B249" s="104" t="s">
        <v>60</v>
      </c>
      <c r="C249" s="105" t="s">
        <v>1071</v>
      </c>
      <c r="D249" s="104" t="s">
        <v>1016</v>
      </c>
      <c r="E249" s="113">
        <v>1.444444444444444</v>
      </c>
      <c r="F249" s="104" t="s">
        <v>65</v>
      </c>
      <c r="G249" s="106">
        <v>8</v>
      </c>
      <c r="H249" s="107" t="s">
        <v>1066</v>
      </c>
    </row>
    <row r="250" spans="1:8" ht="19.8" customHeight="1" x14ac:dyDescent="0.3">
      <c r="A250" s="112">
        <v>45984</v>
      </c>
      <c r="B250" s="104" t="s">
        <v>60</v>
      </c>
      <c r="C250" s="105" t="s">
        <v>1064</v>
      </c>
      <c r="D250" s="104" t="s">
        <v>1016</v>
      </c>
      <c r="E250" s="113">
        <v>1.9826388888888891</v>
      </c>
      <c r="F250" s="104" t="s">
        <v>65</v>
      </c>
      <c r="G250" s="106">
        <v>9</v>
      </c>
      <c r="H250" s="107" t="s">
        <v>1066</v>
      </c>
    </row>
    <row r="251" spans="1:8" ht="19.8" customHeight="1" x14ac:dyDescent="0.3">
      <c r="A251" s="112">
        <v>45984</v>
      </c>
      <c r="B251" s="104" t="s">
        <v>41</v>
      </c>
      <c r="C251" s="105" t="s">
        <v>1030</v>
      </c>
      <c r="D251" s="104" t="s">
        <v>1016</v>
      </c>
      <c r="E251" s="113">
        <v>1.5763888888888891</v>
      </c>
      <c r="F251" s="104" t="s">
        <v>46</v>
      </c>
      <c r="G251" s="106">
        <v>4</v>
      </c>
      <c r="H251" s="107" t="s">
        <v>532</v>
      </c>
    </row>
    <row r="252" spans="1:8" ht="19.8" customHeight="1" x14ac:dyDescent="0.3">
      <c r="A252" s="112">
        <v>45984</v>
      </c>
      <c r="B252" s="104" t="s">
        <v>41</v>
      </c>
      <c r="C252" s="105" t="s">
        <v>1034</v>
      </c>
      <c r="D252" s="104" t="s">
        <v>1016</v>
      </c>
      <c r="E252" s="113">
        <v>1.6284722222222221</v>
      </c>
      <c r="F252" s="104" t="s">
        <v>46</v>
      </c>
      <c r="G252" s="106">
        <v>18</v>
      </c>
      <c r="H252" s="107" t="s">
        <v>532</v>
      </c>
    </row>
    <row r="253" spans="1:8" ht="19.8" customHeight="1" x14ac:dyDescent="0.3">
      <c r="A253" s="112">
        <v>45984</v>
      </c>
      <c r="B253" s="104" t="s">
        <v>41</v>
      </c>
      <c r="C253" s="105" t="s">
        <v>1037</v>
      </c>
      <c r="D253" s="104" t="s">
        <v>1016</v>
      </c>
      <c r="E253" s="113">
        <v>1.8888888888888891</v>
      </c>
      <c r="F253" s="104" t="s">
        <v>46</v>
      </c>
      <c r="G253" s="106">
        <v>12</v>
      </c>
      <c r="H253" s="107" t="s">
        <v>532</v>
      </c>
    </row>
    <row r="254" spans="1:8" ht="19.8" customHeight="1" x14ac:dyDescent="0.3">
      <c r="A254" s="112">
        <v>45984</v>
      </c>
      <c r="B254" s="104" t="s">
        <v>41</v>
      </c>
      <c r="C254" s="105" t="s">
        <v>1040</v>
      </c>
      <c r="D254" s="104" t="s">
        <v>1016</v>
      </c>
      <c r="E254" s="113">
        <v>1.944444444444444</v>
      </c>
      <c r="F254" s="104" t="s">
        <v>46</v>
      </c>
      <c r="G254" s="106">
        <v>16</v>
      </c>
      <c r="H254" s="107" t="s">
        <v>532</v>
      </c>
    </row>
    <row r="255" spans="1:8" ht="19.8" customHeight="1" x14ac:dyDescent="0.3">
      <c r="A255" s="112">
        <v>45984</v>
      </c>
      <c r="B255" s="104" t="s">
        <v>60</v>
      </c>
      <c r="C255" s="105" t="s">
        <v>1067</v>
      </c>
      <c r="D255" s="104" t="s">
        <v>1016</v>
      </c>
      <c r="E255" s="113">
        <v>1.8888888888888891</v>
      </c>
      <c r="F255" s="104" t="s">
        <v>50</v>
      </c>
      <c r="G255" s="106">
        <v>4</v>
      </c>
      <c r="H255" s="107" t="s">
        <v>1068</v>
      </c>
    </row>
    <row r="256" spans="1:8" ht="19.8" customHeight="1" x14ac:dyDescent="0.3">
      <c r="A256" s="112">
        <v>45984</v>
      </c>
      <c r="B256" s="104" t="s">
        <v>60</v>
      </c>
      <c r="C256" s="105" t="s">
        <v>1067</v>
      </c>
      <c r="D256" s="104" t="s">
        <v>1016</v>
      </c>
      <c r="E256" s="113">
        <v>1.8888888888888891</v>
      </c>
      <c r="F256" s="104" t="s">
        <v>65</v>
      </c>
      <c r="G256" s="106">
        <v>4</v>
      </c>
      <c r="H256" s="107" t="s">
        <v>1068</v>
      </c>
    </row>
    <row r="257" spans="1:8" ht="19.8" customHeight="1" x14ac:dyDescent="0.3">
      <c r="A257" s="112">
        <v>45984</v>
      </c>
      <c r="B257" s="104" t="s">
        <v>60</v>
      </c>
      <c r="C257" s="105" t="s">
        <v>1069</v>
      </c>
      <c r="D257" s="104" t="s">
        <v>1016</v>
      </c>
      <c r="E257" s="113">
        <v>1.6284722222222221</v>
      </c>
      <c r="F257" s="104" t="s">
        <v>50</v>
      </c>
      <c r="G257" s="106">
        <v>4</v>
      </c>
      <c r="H257" s="107" t="s">
        <v>1068</v>
      </c>
    </row>
    <row r="258" spans="1:8" ht="19.8" customHeight="1" x14ac:dyDescent="0.3">
      <c r="A258" s="112">
        <v>45984</v>
      </c>
      <c r="B258" s="104" t="s">
        <v>60</v>
      </c>
      <c r="C258" s="105" t="s">
        <v>1069</v>
      </c>
      <c r="D258" s="104" t="s">
        <v>1016</v>
      </c>
      <c r="E258" s="113">
        <v>1.6284722222222221</v>
      </c>
      <c r="F258" s="104" t="s">
        <v>65</v>
      </c>
      <c r="G258" s="106">
        <v>4</v>
      </c>
      <c r="H258" s="107" t="s">
        <v>1068</v>
      </c>
    </row>
    <row r="259" spans="1:8" ht="19.8" customHeight="1" x14ac:dyDescent="0.3">
      <c r="A259" s="112">
        <v>45984</v>
      </c>
      <c r="B259" s="104" t="s">
        <v>60</v>
      </c>
      <c r="C259" s="105" t="s">
        <v>1070</v>
      </c>
      <c r="D259" s="104" t="s">
        <v>1016</v>
      </c>
      <c r="E259" s="113">
        <v>1.944444444444444</v>
      </c>
      <c r="F259" s="104" t="s">
        <v>50</v>
      </c>
      <c r="G259" s="106">
        <v>4</v>
      </c>
      <c r="H259" s="107" t="s">
        <v>1068</v>
      </c>
    </row>
    <row r="260" spans="1:8" ht="19.8" customHeight="1" x14ac:dyDescent="0.3">
      <c r="A260" s="112">
        <v>45984</v>
      </c>
      <c r="B260" s="104" t="s">
        <v>60</v>
      </c>
      <c r="C260" s="105" t="s">
        <v>1070</v>
      </c>
      <c r="D260" s="104" t="s">
        <v>1016</v>
      </c>
      <c r="E260" s="113">
        <v>1.944444444444444</v>
      </c>
      <c r="F260" s="104" t="s">
        <v>65</v>
      </c>
      <c r="G260" s="106">
        <v>4</v>
      </c>
      <c r="H260" s="107" t="s">
        <v>1068</v>
      </c>
    </row>
    <row r="261" spans="1:8" ht="19.8" customHeight="1" x14ac:dyDescent="0.3">
      <c r="A261" s="114">
        <v>45984</v>
      </c>
      <c r="B261" s="115" t="s">
        <v>48</v>
      </c>
      <c r="C261" s="116" t="s">
        <v>1062</v>
      </c>
      <c r="D261" s="115" t="s">
        <v>1016</v>
      </c>
      <c r="E261" s="117">
        <v>1.7326388888888891</v>
      </c>
      <c r="F261" s="115" t="s">
        <v>50</v>
      </c>
      <c r="G261" s="118">
        <v>4</v>
      </c>
      <c r="H261" s="119" t="s">
        <v>491</v>
      </c>
    </row>
    <row r="262" spans="1:8" ht="19.8" customHeight="1" x14ac:dyDescent="0.3">
      <c r="A262" s="112">
        <v>45985</v>
      </c>
      <c r="B262" s="104" t="s">
        <v>26</v>
      </c>
      <c r="C262" s="105" t="s">
        <v>1025</v>
      </c>
      <c r="D262" s="104" t="s">
        <v>1016</v>
      </c>
      <c r="E262" s="113">
        <v>1.697916666666667</v>
      </c>
      <c r="F262" s="104" t="s">
        <v>28</v>
      </c>
      <c r="G262" s="106">
        <v>5</v>
      </c>
      <c r="H262" s="107" t="s">
        <v>1027</v>
      </c>
    </row>
    <row r="263" spans="1:8" ht="19.8" customHeight="1" x14ac:dyDescent="0.3">
      <c r="A263" s="112">
        <v>45985</v>
      </c>
      <c r="B263" s="104" t="s">
        <v>41</v>
      </c>
      <c r="C263" s="105" t="s">
        <v>1030</v>
      </c>
      <c r="D263" s="104" t="s">
        <v>1016</v>
      </c>
      <c r="E263" s="113">
        <v>1.5763888888888891</v>
      </c>
      <c r="F263" s="104" t="s">
        <v>337</v>
      </c>
      <c r="G263" s="106">
        <v>9</v>
      </c>
      <c r="H263" s="107" t="s">
        <v>909</v>
      </c>
    </row>
    <row r="264" spans="1:8" ht="19.8" customHeight="1" x14ac:dyDescent="0.3">
      <c r="A264" s="112">
        <v>45985</v>
      </c>
      <c r="B264" s="104" t="s">
        <v>41</v>
      </c>
      <c r="C264" s="105" t="s">
        <v>1030</v>
      </c>
      <c r="D264" s="104" t="s">
        <v>1016</v>
      </c>
      <c r="E264" s="113">
        <v>1.5763888888888891</v>
      </c>
      <c r="F264" s="104" t="s">
        <v>43</v>
      </c>
      <c r="G264" s="106">
        <v>9</v>
      </c>
      <c r="H264" s="107" t="s">
        <v>909</v>
      </c>
    </row>
    <row r="265" spans="1:8" ht="19.8" customHeight="1" x14ac:dyDescent="0.3">
      <c r="A265" s="112">
        <v>45985</v>
      </c>
      <c r="B265" s="104" t="s">
        <v>41</v>
      </c>
      <c r="C265" s="105" t="s">
        <v>1034</v>
      </c>
      <c r="D265" s="104" t="s">
        <v>1016</v>
      </c>
      <c r="E265" s="113">
        <v>1.6284722222222221</v>
      </c>
      <c r="F265" s="104" t="s">
        <v>337</v>
      </c>
      <c r="G265" s="106">
        <v>10</v>
      </c>
      <c r="H265" s="107" t="s">
        <v>909</v>
      </c>
    </row>
    <row r="266" spans="1:8" ht="19.8" customHeight="1" x14ac:dyDescent="0.3">
      <c r="A266" s="112">
        <v>45985</v>
      </c>
      <c r="B266" s="104" t="s">
        <v>41</v>
      </c>
      <c r="C266" s="105" t="s">
        <v>1034</v>
      </c>
      <c r="D266" s="104" t="s">
        <v>1016</v>
      </c>
      <c r="E266" s="113">
        <v>1.6284722222222221</v>
      </c>
      <c r="F266" s="104" t="s">
        <v>43</v>
      </c>
      <c r="G266" s="106">
        <v>10</v>
      </c>
      <c r="H266" s="107" t="s">
        <v>909</v>
      </c>
    </row>
    <row r="267" spans="1:8" ht="19.8" customHeight="1" x14ac:dyDescent="0.3">
      <c r="A267" s="112">
        <v>45985</v>
      </c>
      <c r="B267" s="104" t="s">
        <v>41</v>
      </c>
      <c r="C267" s="105" t="s">
        <v>1037</v>
      </c>
      <c r="D267" s="104" t="s">
        <v>1016</v>
      </c>
      <c r="E267" s="113">
        <v>1.8888888888888891</v>
      </c>
      <c r="F267" s="104" t="s">
        <v>337</v>
      </c>
      <c r="G267" s="106">
        <v>14</v>
      </c>
      <c r="H267" s="107" t="s">
        <v>909</v>
      </c>
    </row>
    <row r="268" spans="1:8" ht="19.8" customHeight="1" x14ac:dyDescent="0.3">
      <c r="A268" s="112">
        <v>45985</v>
      </c>
      <c r="B268" s="104" t="s">
        <v>41</v>
      </c>
      <c r="C268" s="105" t="s">
        <v>1037</v>
      </c>
      <c r="D268" s="104" t="s">
        <v>1016</v>
      </c>
      <c r="E268" s="113">
        <v>1.8888888888888891</v>
      </c>
      <c r="F268" s="104" t="s">
        <v>43</v>
      </c>
      <c r="G268" s="106">
        <v>14</v>
      </c>
      <c r="H268" s="107" t="s">
        <v>909</v>
      </c>
    </row>
    <row r="269" spans="1:8" ht="19.8" customHeight="1" x14ac:dyDescent="0.3">
      <c r="A269" s="112">
        <v>45985</v>
      </c>
      <c r="B269" s="104" t="s">
        <v>41</v>
      </c>
      <c r="C269" s="105" t="s">
        <v>1040</v>
      </c>
      <c r="D269" s="104" t="s">
        <v>1016</v>
      </c>
      <c r="E269" s="113">
        <v>1.944444444444444</v>
      </c>
      <c r="F269" s="104" t="s">
        <v>337</v>
      </c>
      <c r="G269" s="106">
        <v>11</v>
      </c>
      <c r="H269" s="107" t="s">
        <v>909</v>
      </c>
    </row>
    <row r="270" spans="1:8" ht="19.8" customHeight="1" x14ac:dyDescent="0.3">
      <c r="A270" s="112">
        <v>45985</v>
      </c>
      <c r="B270" s="104" t="s">
        <v>41</v>
      </c>
      <c r="C270" s="105" t="s">
        <v>1040</v>
      </c>
      <c r="D270" s="104" t="s">
        <v>1016</v>
      </c>
      <c r="E270" s="113">
        <v>1.944444444444444</v>
      </c>
      <c r="F270" s="104" t="s">
        <v>43</v>
      </c>
      <c r="G270" s="106">
        <v>11</v>
      </c>
      <c r="H270" s="107" t="s">
        <v>909</v>
      </c>
    </row>
    <row r="271" spans="1:8" ht="19.8" customHeight="1" x14ac:dyDescent="0.3">
      <c r="A271" s="112">
        <v>45985</v>
      </c>
      <c r="B271" s="104" t="s">
        <v>26</v>
      </c>
      <c r="C271" s="105" t="s">
        <v>1026</v>
      </c>
      <c r="D271" s="104" t="s">
        <v>1016</v>
      </c>
      <c r="E271" s="113">
        <v>1.4375</v>
      </c>
      <c r="F271" s="104" t="s">
        <v>351</v>
      </c>
      <c r="G271" s="106">
        <v>9</v>
      </c>
      <c r="H271" s="107" t="s">
        <v>1091</v>
      </c>
    </row>
    <row r="272" spans="1:8" ht="19.8" customHeight="1" x14ac:dyDescent="0.3">
      <c r="A272" s="112">
        <v>45985</v>
      </c>
      <c r="B272" s="104" t="s">
        <v>26</v>
      </c>
      <c r="C272" s="105" t="s">
        <v>1026</v>
      </c>
      <c r="D272" s="104" t="s">
        <v>1016</v>
      </c>
      <c r="E272" s="113">
        <v>1.4375</v>
      </c>
      <c r="F272" s="104" t="s">
        <v>28</v>
      </c>
      <c r="G272" s="106">
        <v>9</v>
      </c>
      <c r="H272" s="107" t="s">
        <v>1091</v>
      </c>
    </row>
    <row r="273" spans="1:8" ht="19.8" customHeight="1" x14ac:dyDescent="0.3">
      <c r="A273" s="112">
        <v>45985</v>
      </c>
      <c r="B273" s="104" t="s">
        <v>26</v>
      </c>
      <c r="C273" s="105" t="s">
        <v>1021</v>
      </c>
      <c r="D273" s="104" t="s">
        <v>1016</v>
      </c>
      <c r="E273" s="113">
        <v>1.631944444444444</v>
      </c>
      <c r="F273" s="104" t="s">
        <v>351</v>
      </c>
      <c r="G273" s="106">
        <v>9</v>
      </c>
      <c r="H273" s="107" t="s">
        <v>1091</v>
      </c>
    </row>
    <row r="274" spans="1:8" ht="19.8" customHeight="1" x14ac:dyDescent="0.3">
      <c r="A274" s="112">
        <v>45985</v>
      </c>
      <c r="B274" s="104" t="s">
        <v>26</v>
      </c>
      <c r="C274" s="105" t="s">
        <v>1021</v>
      </c>
      <c r="D274" s="104" t="s">
        <v>1016</v>
      </c>
      <c r="E274" s="113">
        <v>1.631944444444444</v>
      </c>
      <c r="F274" s="104" t="s">
        <v>28</v>
      </c>
      <c r="G274" s="106">
        <v>9</v>
      </c>
      <c r="H274" s="107" t="s">
        <v>1091</v>
      </c>
    </row>
    <row r="275" spans="1:8" ht="19.8" customHeight="1" x14ac:dyDescent="0.3">
      <c r="A275" s="112">
        <v>45985</v>
      </c>
      <c r="B275" s="104" t="s">
        <v>26</v>
      </c>
      <c r="C275" s="105" t="s">
        <v>1023</v>
      </c>
      <c r="D275" s="104" t="s">
        <v>1016</v>
      </c>
      <c r="E275" s="113">
        <v>1.5590277777777779</v>
      </c>
      <c r="F275" s="104" t="s">
        <v>351</v>
      </c>
      <c r="G275" s="106">
        <v>9</v>
      </c>
      <c r="H275" s="107" t="s">
        <v>1091</v>
      </c>
    </row>
    <row r="276" spans="1:8" ht="19.8" customHeight="1" x14ac:dyDescent="0.3">
      <c r="A276" s="112">
        <v>45985</v>
      </c>
      <c r="B276" s="104" t="s">
        <v>26</v>
      </c>
      <c r="C276" s="105" t="s">
        <v>1023</v>
      </c>
      <c r="D276" s="104" t="s">
        <v>1016</v>
      </c>
      <c r="E276" s="113">
        <v>1.5590277777777779</v>
      </c>
      <c r="F276" s="104" t="s">
        <v>28</v>
      </c>
      <c r="G276" s="106">
        <v>9</v>
      </c>
      <c r="H276" s="107" t="s">
        <v>1091</v>
      </c>
    </row>
    <row r="277" spans="1:8" ht="19.8" customHeight="1" x14ac:dyDescent="0.3">
      <c r="A277" s="112">
        <v>45985</v>
      </c>
      <c r="B277" s="104" t="s">
        <v>26</v>
      </c>
      <c r="C277" s="105" t="s">
        <v>1029</v>
      </c>
      <c r="D277" s="104" t="s">
        <v>1016</v>
      </c>
      <c r="E277" s="113">
        <v>1.506944444444444</v>
      </c>
      <c r="F277" s="104" t="s">
        <v>351</v>
      </c>
      <c r="G277" s="106">
        <v>9</v>
      </c>
      <c r="H277" s="107" t="s">
        <v>1091</v>
      </c>
    </row>
    <row r="278" spans="1:8" ht="19.8" customHeight="1" x14ac:dyDescent="0.3">
      <c r="A278" s="112">
        <v>45985</v>
      </c>
      <c r="B278" s="104" t="s">
        <v>26</v>
      </c>
      <c r="C278" s="105" t="s">
        <v>1029</v>
      </c>
      <c r="D278" s="104" t="s">
        <v>1016</v>
      </c>
      <c r="E278" s="113">
        <v>1.506944444444444</v>
      </c>
      <c r="F278" s="104" t="s">
        <v>28</v>
      </c>
      <c r="G278" s="106">
        <v>9</v>
      </c>
      <c r="H278" s="107" t="s">
        <v>1091</v>
      </c>
    </row>
    <row r="279" spans="1:8" ht="19.8" customHeight="1" x14ac:dyDescent="0.3">
      <c r="A279" s="112">
        <v>45985</v>
      </c>
      <c r="B279" s="104" t="s">
        <v>385</v>
      </c>
      <c r="C279" s="105" t="s">
        <v>1046</v>
      </c>
      <c r="D279" s="104" t="s">
        <v>1016</v>
      </c>
      <c r="E279" s="113">
        <v>1.552083333333333</v>
      </c>
      <c r="F279" s="104" t="s">
        <v>101</v>
      </c>
      <c r="G279" s="106">
        <v>9</v>
      </c>
      <c r="H279" s="107" t="s">
        <v>1117</v>
      </c>
    </row>
    <row r="280" spans="1:8" ht="19.8" customHeight="1" x14ac:dyDescent="0.3">
      <c r="A280" s="120">
        <v>45985</v>
      </c>
      <c r="B280" s="121" t="s">
        <v>77</v>
      </c>
      <c r="C280" s="122" t="s">
        <v>1085</v>
      </c>
      <c r="D280" s="121" t="s">
        <v>1016</v>
      </c>
      <c r="E280" s="123">
        <v>1.725694444444444</v>
      </c>
      <c r="F280" s="121" t="s">
        <v>101</v>
      </c>
      <c r="G280" s="124">
        <v>9</v>
      </c>
      <c r="H280" s="125" t="s">
        <v>338</v>
      </c>
    </row>
    <row r="281" spans="1:8" ht="19.8" customHeight="1" x14ac:dyDescent="0.3">
      <c r="A281" s="112">
        <v>45985</v>
      </c>
      <c r="B281" s="104" t="s">
        <v>388</v>
      </c>
      <c r="C281" s="105" t="s">
        <v>1056</v>
      </c>
      <c r="D281" s="104" t="s">
        <v>1016</v>
      </c>
      <c r="E281" s="113">
        <v>1.3298611111111109</v>
      </c>
      <c r="F281" s="104" t="s">
        <v>390</v>
      </c>
      <c r="G281" s="106">
        <v>9</v>
      </c>
      <c r="H281" s="107" t="s">
        <v>803</v>
      </c>
    </row>
    <row r="282" spans="1:8" ht="19.8" customHeight="1" x14ac:dyDescent="0.3">
      <c r="A282" s="112">
        <v>45985</v>
      </c>
      <c r="B282" s="104" t="s">
        <v>26</v>
      </c>
      <c r="C282" s="105" t="s">
        <v>1017</v>
      </c>
      <c r="D282" s="104" t="s">
        <v>1016</v>
      </c>
      <c r="E282" s="113">
        <v>1.958333333333333</v>
      </c>
      <c r="F282" s="104" t="s">
        <v>351</v>
      </c>
      <c r="G282" s="106">
        <v>9</v>
      </c>
      <c r="H282" s="107" t="s">
        <v>1028</v>
      </c>
    </row>
    <row r="283" spans="1:8" ht="19.8" customHeight="1" x14ac:dyDescent="0.3">
      <c r="A283" s="112">
        <v>45985</v>
      </c>
      <c r="B283" s="104" t="s">
        <v>26</v>
      </c>
      <c r="C283" s="105" t="s">
        <v>1017</v>
      </c>
      <c r="D283" s="104" t="s">
        <v>1016</v>
      </c>
      <c r="E283" s="113">
        <v>1.958333333333333</v>
      </c>
      <c r="F283" s="104" t="s">
        <v>28</v>
      </c>
      <c r="G283" s="106">
        <v>9</v>
      </c>
      <c r="H283" s="107" t="s">
        <v>1028</v>
      </c>
    </row>
    <row r="284" spans="1:8" ht="19.8" customHeight="1" x14ac:dyDescent="0.3">
      <c r="A284" s="112">
        <v>45985</v>
      </c>
      <c r="B284" s="104" t="s">
        <v>26</v>
      </c>
      <c r="C284" s="105" t="s">
        <v>1024</v>
      </c>
      <c r="D284" s="104" t="s">
        <v>1016</v>
      </c>
      <c r="E284" s="113">
        <v>1.819444444444444</v>
      </c>
      <c r="F284" s="104" t="s">
        <v>351</v>
      </c>
      <c r="G284" s="106">
        <v>9</v>
      </c>
      <c r="H284" s="107" t="s">
        <v>1028</v>
      </c>
    </row>
    <row r="285" spans="1:8" ht="19.8" customHeight="1" x14ac:dyDescent="0.3">
      <c r="A285" s="112">
        <v>45985</v>
      </c>
      <c r="B285" s="104" t="s">
        <v>26</v>
      </c>
      <c r="C285" s="105" t="s">
        <v>1024</v>
      </c>
      <c r="D285" s="104" t="s">
        <v>1016</v>
      </c>
      <c r="E285" s="113">
        <v>1.819444444444444</v>
      </c>
      <c r="F285" s="104" t="s">
        <v>28</v>
      </c>
      <c r="G285" s="106">
        <v>9</v>
      </c>
      <c r="H285" s="107" t="s">
        <v>1028</v>
      </c>
    </row>
    <row r="286" spans="1:8" ht="19.8" customHeight="1" x14ac:dyDescent="0.3">
      <c r="A286" s="112">
        <v>45985</v>
      </c>
      <c r="B286" s="104" t="s">
        <v>26</v>
      </c>
      <c r="C286" s="105" t="s">
        <v>1025</v>
      </c>
      <c r="D286" s="104" t="s">
        <v>1016</v>
      </c>
      <c r="E286" s="113">
        <v>1.697916666666667</v>
      </c>
      <c r="F286" s="104" t="s">
        <v>31</v>
      </c>
      <c r="G286" s="106">
        <v>5</v>
      </c>
      <c r="H286" s="107" t="s">
        <v>1028</v>
      </c>
    </row>
    <row r="287" spans="1:8" ht="19.8" customHeight="1" x14ac:dyDescent="0.3">
      <c r="A287" s="112">
        <v>45985</v>
      </c>
      <c r="B287" s="104" t="s">
        <v>26</v>
      </c>
      <c r="C287" s="105" t="s">
        <v>1026</v>
      </c>
      <c r="D287" s="104" t="s">
        <v>1016</v>
      </c>
      <c r="E287" s="113">
        <v>1.4375</v>
      </c>
      <c r="F287" s="104" t="s">
        <v>31</v>
      </c>
      <c r="G287" s="106">
        <v>9</v>
      </c>
      <c r="H287" s="107" t="s">
        <v>30</v>
      </c>
    </row>
    <row r="288" spans="1:8" ht="19.8" customHeight="1" x14ac:dyDescent="0.3">
      <c r="A288" s="112">
        <v>45985</v>
      </c>
      <c r="B288" s="104" t="s">
        <v>26</v>
      </c>
      <c r="C288" s="105" t="s">
        <v>1021</v>
      </c>
      <c r="D288" s="104" t="s">
        <v>1016</v>
      </c>
      <c r="E288" s="113">
        <v>1.631944444444444</v>
      </c>
      <c r="F288" s="104" t="s">
        <v>31</v>
      </c>
      <c r="G288" s="106">
        <v>9</v>
      </c>
      <c r="H288" s="107" t="s">
        <v>30</v>
      </c>
    </row>
    <row r="289" spans="1:8" ht="19.8" customHeight="1" x14ac:dyDescent="0.3">
      <c r="A289" s="112">
        <v>45985</v>
      </c>
      <c r="B289" s="104" t="s">
        <v>26</v>
      </c>
      <c r="C289" s="105" t="s">
        <v>1023</v>
      </c>
      <c r="D289" s="104" t="s">
        <v>1016</v>
      </c>
      <c r="E289" s="113">
        <v>1.5590277777777779</v>
      </c>
      <c r="F289" s="104" t="s">
        <v>31</v>
      </c>
      <c r="G289" s="106">
        <v>9</v>
      </c>
      <c r="H289" s="107" t="s">
        <v>30</v>
      </c>
    </row>
    <row r="290" spans="1:8" ht="19.8" customHeight="1" x14ac:dyDescent="0.3">
      <c r="A290" s="112">
        <v>45985</v>
      </c>
      <c r="B290" s="104" t="s">
        <v>26</v>
      </c>
      <c r="C290" s="105" t="s">
        <v>1029</v>
      </c>
      <c r="D290" s="104" t="s">
        <v>1016</v>
      </c>
      <c r="E290" s="113">
        <v>1.506944444444444</v>
      </c>
      <c r="F290" s="104" t="s">
        <v>31</v>
      </c>
      <c r="G290" s="106">
        <v>9</v>
      </c>
      <c r="H290" s="107" t="s">
        <v>30</v>
      </c>
    </row>
    <row r="291" spans="1:8" ht="19.8" customHeight="1" x14ac:dyDescent="0.3">
      <c r="A291" s="112">
        <v>45985</v>
      </c>
      <c r="B291" s="104" t="s">
        <v>41</v>
      </c>
      <c r="C291" s="105" t="s">
        <v>1030</v>
      </c>
      <c r="D291" s="104" t="s">
        <v>1016</v>
      </c>
      <c r="E291" s="113">
        <v>1.5763888888888891</v>
      </c>
      <c r="F291" s="104" t="s">
        <v>45</v>
      </c>
      <c r="G291" s="106">
        <v>9</v>
      </c>
      <c r="H291" s="107" t="s">
        <v>431</v>
      </c>
    </row>
    <row r="292" spans="1:8" ht="19.8" customHeight="1" x14ac:dyDescent="0.3">
      <c r="A292" s="112">
        <v>45985</v>
      </c>
      <c r="B292" s="104" t="s">
        <v>41</v>
      </c>
      <c r="C292" s="105" t="s">
        <v>1034</v>
      </c>
      <c r="D292" s="104" t="s">
        <v>1016</v>
      </c>
      <c r="E292" s="113">
        <v>1.6284722222222221</v>
      </c>
      <c r="F292" s="104" t="s">
        <v>45</v>
      </c>
      <c r="G292" s="106">
        <v>10</v>
      </c>
      <c r="H292" s="107" t="s">
        <v>431</v>
      </c>
    </row>
    <row r="293" spans="1:8" ht="19.8" customHeight="1" x14ac:dyDescent="0.3">
      <c r="A293" s="112">
        <v>45985</v>
      </c>
      <c r="B293" s="104" t="s">
        <v>41</v>
      </c>
      <c r="C293" s="105" t="s">
        <v>1037</v>
      </c>
      <c r="D293" s="104" t="s">
        <v>1016</v>
      </c>
      <c r="E293" s="113">
        <v>1.8888888888888891</v>
      </c>
      <c r="F293" s="104" t="s">
        <v>45</v>
      </c>
      <c r="G293" s="106">
        <v>14</v>
      </c>
      <c r="H293" s="107" t="s">
        <v>431</v>
      </c>
    </row>
    <row r="294" spans="1:8" ht="19.8" customHeight="1" x14ac:dyDescent="0.3">
      <c r="A294" s="112">
        <v>45985</v>
      </c>
      <c r="B294" s="104" t="s">
        <v>41</v>
      </c>
      <c r="C294" s="105" t="s">
        <v>1040</v>
      </c>
      <c r="D294" s="104" t="s">
        <v>1016</v>
      </c>
      <c r="E294" s="113">
        <v>1.944444444444444</v>
      </c>
      <c r="F294" s="104" t="s">
        <v>45</v>
      </c>
      <c r="G294" s="106">
        <v>11</v>
      </c>
      <c r="H294" s="107" t="s">
        <v>431</v>
      </c>
    </row>
    <row r="295" spans="1:8" ht="19.8" customHeight="1" x14ac:dyDescent="0.3">
      <c r="A295" s="112">
        <v>45985</v>
      </c>
      <c r="B295" s="104" t="s">
        <v>60</v>
      </c>
      <c r="C295" s="105" t="s">
        <v>1120</v>
      </c>
      <c r="D295" s="104" t="s">
        <v>1016</v>
      </c>
      <c r="E295" s="113">
        <v>1.208333333333333</v>
      </c>
      <c r="F295" s="104" t="s">
        <v>107</v>
      </c>
      <c r="G295" s="106">
        <v>4</v>
      </c>
      <c r="H295" s="107" t="s">
        <v>904</v>
      </c>
    </row>
    <row r="296" spans="1:8" ht="19.8" customHeight="1" x14ac:dyDescent="0.3">
      <c r="A296" s="112">
        <v>45985</v>
      </c>
      <c r="B296" s="104" t="s">
        <v>60</v>
      </c>
      <c r="C296" s="105" t="s">
        <v>1120</v>
      </c>
      <c r="D296" s="104" t="s">
        <v>1016</v>
      </c>
      <c r="E296" s="113">
        <v>1.208333333333333</v>
      </c>
      <c r="F296" s="104" t="s">
        <v>62</v>
      </c>
      <c r="G296" s="106">
        <v>4</v>
      </c>
      <c r="H296" s="107" t="s">
        <v>904</v>
      </c>
    </row>
    <row r="297" spans="1:8" ht="19.8" customHeight="1" x14ac:dyDescent="0.3">
      <c r="A297" s="112">
        <v>45985</v>
      </c>
      <c r="B297" s="104" t="s">
        <v>60</v>
      </c>
      <c r="C297" s="105" t="s">
        <v>1064</v>
      </c>
      <c r="D297" s="104" t="s">
        <v>1016</v>
      </c>
      <c r="E297" s="113">
        <v>1.9826388888888891</v>
      </c>
      <c r="F297" s="104" t="s">
        <v>107</v>
      </c>
      <c r="G297" s="106">
        <v>9</v>
      </c>
      <c r="H297" s="107" t="s">
        <v>904</v>
      </c>
    </row>
    <row r="298" spans="1:8" ht="19.8" customHeight="1" x14ac:dyDescent="0.3">
      <c r="A298" s="112">
        <v>45985</v>
      </c>
      <c r="B298" s="104" t="s">
        <v>60</v>
      </c>
      <c r="C298" s="105" t="s">
        <v>1064</v>
      </c>
      <c r="D298" s="104" t="s">
        <v>1016</v>
      </c>
      <c r="E298" s="113">
        <v>1.9826388888888891</v>
      </c>
      <c r="F298" s="104" t="s">
        <v>62</v>
      </c>
      <c r="G298" s="106">
        <v>9</v>
      </c>
      <c r="H298" s="107" t="s">
        <v>904</v>
      </c>
    </row>
    <row r="299" spans="1:8" ht="19.8" customHeight="1" x14ac:dyDescent="0.3">
      <c r="A299" s="112">
        <v>45985</v>
      </c>
      <c r="B299" s="104" t="s">
        <v>26</v>
      </c>
      <c r="C299" s="105" t="s">
        <v>1025</v>
      </c>
      <c r="D299" s="104" t="s">
        <v>1016</v>
      </c>
      <c r="E299" s="113">
        <v>1.697916666666667</v>
      </c>
      <c r="F299" s="104" t="s">
        <v>34</v>
      </c>
      <c r="G299" s="106">
        <v>5</v>
      </c>
      <c r="H299" s="107" t="s">
        <v>44</v>
      </c>
    </row>
    <row r="300" spans="1:8" ht="19.8" customHeight="1" x14ac:dyDescent="0.3">
      <c r="A300" s="112">
        <v>45985</v>
      </c>
      <c r="B300" s="104" t="s">
        <v>26</v>
      </c>
      <c r="C300" s="105" t="s">
        <v>1017</v>
      </c>
      <c r="D300" s="104" t="s">
        <v>1016</v>
      </c>
      <c r="E300" s="113">
        <v>1.958333333333333</v>
      </c>
      <c r="F300" s="104" t="s">
        <v>31</v>
      </c>
      <c r="G300" s="106">
        <v>9</v>
      </c>
      <c r="H300" s="107" t="s">
        <v>86</v>
      </c>
    </row>
    <row r="301" spans="1:8" ht="19.8" customHeight="1" x14ac:dyDescent="0.3">
      <c r="A301" s="112">
        <v>45985</v>
      </c>
      <c r="B301" s="104" t="s">
        <v>26</v>
      </c>
      <c r="C301" s="105" t="s">
        <v>1024</v>
      </c>
      <c r="D301" s="104" t="s">
        <v>1016</v>
      </c>
      <c r="E301" s="113">
        <v>1.819444444444444</v>
      </c>
      <c r="F301" s="104" t="s">
        <v>31</v>
      </c>
      <c r="G301" s="106">
        <v>9</v>
      </c>
      <c r="H301" s="107" t="s">
        <v>86</v>
      </c>
    </row>
    <row r="302" spans="1:8" ht="19.8" customHeight="1" x14ac:dyDescent="0.3">
      <c r="A302" s="112">
        <v>45985</v>
      </c>
      <c r="B302" s="104" t="s">
        <v>388</v>
      </c>
      <c r="C302" s="105" t="s">
        <v>1056</v>
      </c>
      <c r="D302" s="104" t="s">
        <v>1016</v>
      </c>
      <c r="E302" s="113">
        <v>1.3298611111111109</v>
      </c>
      <c r="F302" s="104" t="s">
        <v>46</v>
      </c>
      <c r="G302" s="106">
        <v>9</v>
      </c>
      <c r="H302" s="107" t="s">
        <v>1119</v>
      </c>
    </row>
    <row r="303" spans="1:8" ht="19.8" customHeight="1" x14ac:dyDescent="0.3">
      <c r="A303" s="112">
        <v>45985</v>
      </c>
      <c r="B303" s="104" t="s">
        <v>48</v>
      </c>
      <c r="C303" s="105" t="s">
        <v>1059</v>
      </c>
      <c r="D303" s="104" t="s">
        <v>1016</v>
      </c>
      <c r="E303" s="113">
        <v>1.9826388888888891</v>
      </c>
      <c r="F303" s="104" t="s">
        <v>50</v>
      </c>
      <c r="G303" s="106">
        <v>9</v>
      </c>
      <c r="H303" s="107" t="s">
        <v>1060</v>
      </c>
    </row>
    <row r="304" spans="1:8" ht="19.8" customHeight="1" x14ac:dyDescent="0.3">
      <c r="A304" s="112">
        <v>45985</v>
      </c>
      <c r="B304" s="104" t="s">
        <v>48</v>
      </c>
      <c r="C304" s="105" t="s">
        <v>1061</v>
      </c>
      <c r="D304" s="104" t="s">
        <v>1016</v>
      </c>
      <c r="E304" s="113">
        <v>1.354166666666667</v>
      </c>
      <c r="F304" s="104" t="s">
        <v>50</v>
      </c>
      <c r="G304" s="106">
        <v>1</v>
      </c>
      <c r="H304" s="107" t="s">
        <v>1060</v>
      </c>
    </row>
    <row r="305" spans="1:8" ht="19.8" customHeight="1" x14ac:dyDescent="0.3">
      <c r="A305" s="112">
        <v>45985</v>
      </c>
      <c r="B305" s="104" t="s">
        <v>26</v>
      </c>
      <c r="C305" s="105" t="s">
        <v>1026</v>
      </c>
      <c r="D305" s="104" t="s">
        <v>1016</v>
      </c>
      <c r="E305" s="113">
        <v>1.4375</v>
      </c>
      <c r="F305" s="104" t="s">
        <v>34</v>
      </c>
      <c r="G305" s="106">
        <v>9</v>
      </c>
      <c r="H305" s="107" t="s">
        <v>339</v>
      </c>
    </row>
    <row r="306" spans="1:8" ht="19.8" customHeight="1" x14ac:dyDescent="0.3">
      <c r="A306" s="112">
        <v>45985</v>
      </c>
      <c r="B306" s="104" t="s">
        <v>26</v>
      </c>
      <c r="C306" s="105" t="s">
        <v>1021</v>
      </c>
      <c r="D306" s="104" t="s">
        <v>1016</v>
      </c>
      <c r="E306" s="113">
        <v>1.631944444444444</v>
      </c>
      <c r="F306" s="104" t="s">
        <v>34</v>
      </c>
      <c r="G306" s="106">
        <v>9</v>
      </c>
      <c r="H306" s="107" t="s">
        <v>339</v>
      </c>
    </row>
    <row r="307" spans="1:8" ht="19.8" customHeight="1" x14ac:dyDescent="0.3">
      <c r="A307" s="112">
        <v>45985</v>
      </c>
      <c r="B307" s="104" t="s">
        <v>26</v>
      </c>
      <c r="C307" s="105" t="s">
        <v>1023</v>
      </c>
      <c r="D307" s="104" t="s">
        <v>1016</v>
      </c>
      <c r="E307" s="113">
        <v>1.5590277777777779</v>
      </c>
      <c r="F307" s="104" t="s">
        <v>34</v>
      </c>
      <c r="G307" s="106">
        <v>9</v>
      </c>
      <c r="H307" s="107" t="s">
        <v>339</v>
      </c>
    </row>
    <row r="308" spans="1:8" ht="19.8" customHeight="1" x14ac:dyDescent="0.3">
      <c r="A308" s="112">
        <v>45985</v>
      </c>
      <c r="B308" s="104" t="s">
        <v>26</v>
      </c>
      <c r="C308" s="105" t="s">
        <v>1029</v>
      </c>
      <c r="D308" s="104" t="s">
        <v>1016</v>
      </c>
      <c r="E308" s="113">
        <v>1.506944444444444</v>
      </c>
      <c r="F308" s="104" t="s">
        <v>34</v>
      </c>
      <c r="G308" s="106">
        <v>9</v>
      </c>
      <c r="H308" s="107" t="s">
        <v>339</v>
      </c>
    </row>
    <row r="309" spans="1:8" ht="19.8" customHeight="1" x14ac:dyDescent="0.3">
      <c r="A309" s="112">
        <v>45985</v>
      </c>
      <c r="B309" s="104" t="s">
        <v>60</v>
      </c>
      <c r="C309" s="105" t="s">
        <v>1073</v>
      </c>
      <c r="D309" s="104" t="s">
        <v>1016</v>
      </c>
      <c r="E309" s="113">
        <v>1.8298611111111109</v>
      </c>
      <c r="F309" s="104" t="s">
        <v>107</v>
      </c>
      <c r="G309" s="106">
        <v>9</v>
      </c>
      <c r="H309" s="107" t="s">
        <v>1114</v>
      </c>
    </row>
    <row r="310" spans="1:8" ht="19.8" customHeight="1" x14ac:dyDescent="0.3">
      <c r="A310" s="112">
        <v>45985</v>
      </c>
      <c r="B310" s="104" t="s">
        <v>60</v>
      </c>
      <c r="C310" s="105" t="s">
        <v>1073</v>
      </c>
      <c r="D310" s="104" t="s">
        <v>1016</v>
      </c>
      <c r="E310" s="113">
        <v>1.8298611111111109</v>
      </c>
      <c r="F310" s="104" t="s">
        <v>62</v>
      </c>
      <c r="G310" s="106">
        <v>9</v>
      </c>
      <c r="H310" s="107" t="s">
        <v>1114</v>
      </c>
    </row>
    <row r="311" spans="1:8" ht="19.8" customHeight="1" x14ac:dyDescent="0.3">
      <c r="A311" s="112">
        <v>45985</v>
      </c>
      <c r="B311" s="104" t="s">
        <v>60</v>
      </c>
      <c r="C311" s="105" t="s">
        <v>1074</v>
      </c>
      <c r="D311" s="104" t="s">
        <v>1016</v>
      </c>
      <c r="E311" s="113">
        <v>1.6284722222222221</v>
      </c>
      <c r="F311" s="104" t="s">
        <v>107</v>
      </c>
      <c r="G311" s="106">
        <v>9</v>
      </c>
      <c r="H311" s="107" t="s">
        <v>1114</v>
      </c>
    </row>
    <row r="312" spans="1:8" ht="19.8" customHeight="1" x14ac:dyDescent="0.3">
      <c r="A312" s="112">
        <v>45985</v>
      </c>
      <c r="B312" s="104" t="s">
        <v>60</v>
      </c>
      <c r="C312" s="105" t="s">
        <v>1074</v>
      </c>
      <c r="D312" s="104" t="s">
        <v>1016</v>
      </c>
      <c r="E312" s="113">
        <v>1.6284722222222221</v>
      </c>
      <c r="F312" s="104" t="s">
        <v>62</v>
      </c>
      <c r="G312" s="106">
        <v>9</v>
      </c>
      <c r="H312" s="107" t="s">
        <v>1114</v>
      </c>
    </row>
    <row r="313" spans="1:8" ht="19.8" customHeight="1" x14ac:dyDescent="0.3">
      <c r="A313" s="112">
        <v>45985</v>
      </c>
      <c r="B313" s="104" t="s">
        <v>48</v>
      </c>
      <c r="C313" s="105" t="s">
        <v>1062</v>
      </c>
      <c r="D313" s="104" t="s">
        <v>1016</v>
      </c>
      <c r="E313" s="113">
        <v>1.7326388888888891</v>
      </c>
      <c r="F313" s="104" t="s">
        <v>50</v>
      </c>
      <c r="G313" s="106">
        <v>1</v>
      </c>
      <c r="H313" s="107" t="s">
        <v>1122</v>
      </c>
    </row>
    <row r="314" spans="1:8" ht="19.8" customHeight="1" x14ac:dyDescent="0.3">
      <c r="A314" s="112">
        <v>45985</v>
      </c>
      <c r="B314" s="104" t="s">
        <v>26</v>
      </c>
      <c r="C314" s="105" t="s">
        <v>1017</v>
      </c>
      <c r="D314" s="104" t="s">
        <v>1016</v>
      </c>
      <c r="E314" s="113">
        <v>1.958333333333333</v>
      </c>
      <c r="F314" s="104" t="s">
        <v>34</v>
      </c>
      <c r="G314" s="106">
        <v>9</v>
      </c>
      <c r="H314" s="107" t="s">
        <v>95</v>
      </c>
    </row>
    <row r="315" spans="1:8" ht="19.8" customHeight="1" x14ac:dyDescent="0.3">
      <c r="A315" s="112">
        <v>45985</v>
      </c>
      <c r="B315" s="104" t="s">
        <v>26</v>
      </c>
      <c r="C315" s="105" t="s">
        <v>1024</v>
      </c>
      <c r="D315" s="104" t="s">
        <v>1016</v>
      </c>
      <c r="E315" s="113">
        <v>1.819444444444444</v>
      </c>
      <c r="F315" s="104" t="s">
        <v>34</v>
      </c>
      <c r="G315" s="106">
        <v>9</v>
      </c>
      <c r="H315" s="107" t="s">
        <v>95</v>
      </c>
    </row>
    <row r="316" spans="1:8" ht="19.8" customHeight="1" x14ac:dyDescent="0.3">
      <c r="A316" s="112">
        <v>45985</v>
      </c>
      <c r="B316" s="104" t="s">
        <v>60</v>
      </c>
      <c r="C316" s="105" t="s">
        <v>1071</v>
      </c>
      <c r="D316" s="104" t="s">
        <v>1016</v>
      </c>
      <c r="E316" s="113">
        <v>1.444444444444444</v>
      </c>
      <c r="F316" s="104" t="s">
        <v>107</v>
      </c>
      <c r="G316" s="106">
        <v>9</v>
      </c>
      <c r="H316" s="107" t="s">
        <v>1065</v>
      </c>
    </row>
    <row r="317" spans="1:8" ht="19.8" customHeight="1" x14ac:dyDescent="0.3">
      <c r="A317" s="112">
        <v>45985</v>
      </c>
      <c r="B317" s="104" t="s">
        <v>60</v>
      </c>
      <c r="C317" s="105" t="s">
        <v>1071</v>
      </c>
      <c r="D317" s="104" t="s">
        <v>1016</v>
      </c>
      <c r="E317" s="113">
        <v>1.444444444444444</v>
      </c>
      <c r="F317" s="104" t="s">
        <v>62</v>
      </c>
      <c r="G317" s="106">
        <v>9</v>
      </c>
      <c r="H317" s="107" t="s">
        <v>1065</v>
      </c>
    </row>
    <row r="318" spans="1:8" ht="19.8" customHeight="1" x14ac:dyDescent="0.3">
      <c r="A318" s="112">
        <v>45985</v>
      </c>
      <c r="B318" s="104" t="s">
        <v>60</v>
      </c>
      <c r="C318" s="105" t="s">
        <v>1120</v>
      </c>
      <c r="D318" s="104" t="s">
        <v>1016</v>
      </c>
      <c r="E318" s="113">
        <v>1.208333333333333</v>
      </c>
      <c r="F318" s="104" t="s">
        <v>65</v>
      </c>
      <c r="G318" s="106">
        <v>4</v>
      </c>
      <c r="H318" s="107" t="s">
        <v>1121</v>
      </c>
    </row>
    <row r="319" spans="1:8" ht="19.8" customHeight="1" x14ac:dyDescent="0.3">
      <c r="A319" s="112">
        <v>45985</v>
      </c>
      <c r="B319" s="104" t="s">
        <v>60</v>
      </c>
      <c r="C319" s="105" t="s">
        <v>1064</v>
      </c>
      <c r="D319" s="104" t="s">
        <v>1016</v>
      </c>
      <c r="E319" s="113">
        <v>1.9826388888888891</v>
      </c>
      <c r="F319" s="104" t="s">
        <v>65</v>
      </c>
      <c r="G319" s="106">
        <v>9</v>
      </c>
      <c r="H319" s="107" t="s">
        <v>1121</v>
      </c>
    </row>
    <row r="320" spans="1:8" ht="19.8" customHeight="1" x14ac:dyDescent="0.3">
      <c r="A320" s="112">
        <v>45985</v>
      </c>
      <c r="B320" s="104" t="s">
        <v>60</v>
      </c>
      <c r="C320" s="105" t="s">
        <v>1073</v>
      </c>
      <c r="D320" s="104" t="s">
        <v>1016</v>
      </c>
      <c r="E320" s="113">
        <v>1.8298611111111109</v>
      </c>
      <c r="F320" s="104" t="s">
        <v>65</v>
      </c>
      <c r="G320" s="106">
        <v>9</v>
      </c>
      <c r="H320" s="107" t="s">
        <v>1115</v>
      </c>
    </row>
    <row r="321" spans="1:8" ht="19.8" customHeight="1" x14ac:dyDescent="0.3">
      <c r="A321" s="112">
        <v>45985</v>
      </c>
      <c r="B321" s="104" t="s">
        <v>60</v>
      </c>
      <c r="C321" s="105" t="s">
        <v>1074</v>
      </c>
      <c r="D321" s="104" t="s">
        <v>1016</v>
      </c>
      <c r="E321" s="113">
        <v>1.6284722222222221</v>
      </c>
      <c r="F321" s="104" t="s">
        <v>65</v>
      </c>
      <c r="G321" s="106">
        <v>9</v>
      </c>
      <c r="H321" s="107" t="s">
        <v>1115</v>
      </c>
    </row>
    <row r="322" spans="1:8" ht="19.8" customHeight="1" x14ac:dyDescent="0.3">
      <c r="A322" s="112">
        <v>45985</v>
      </c>
      <c r="B322" s="104" t="s">
        <v>60</v>
      </c>
      <c r="C322" s="105" t="s">
        <v>1071</v>
      </c>
      <c r="D322" s="104" t="s">
        <v>1016</v>
      </c>
      <c r="E322" s="113">
        <v>1.444444444444444</v>
      </c>
      <c r="F322" s="104" t="s">
        <v>65</v>
      </c>
      <c r="G322" s="106">
        <v>9</v>
      </c>
      <c r="H322" s="107" t="s">
        <v>1066</v>
      </c>
    </row>
    <row r="323" spans="1:8" ht="19.8" customHeight="1" x14ac:dyDescent="0.3">
      <c r="A323" s="112">
        <v>45985</v>
      </c>
      <c r="B323" s="104" t="s">
        <v>41</v>
      </c>
      <c r="C323" s="105" t="s">
        <v>1030</v>
      </c>
      <c r="D323" s="104" t="s">
        <v>1016</v>
      </c>
      <c r="E323" s="113">
        <v>1.5763888888888891</v>
      </c>
      <c r="F323" s="104" t="s">
        <v>46</v>
      </c>
      <c r="G323" s="106">
        <v>9</v>
      </c>
      <c r="H323" s="107" t="s">
        <v>532</v>
      </c>
    </row>
    <row r="324" spans="1:8" ht="19.8" customHeight="1" x14ac:dyDescent="0.3">
      <c r="A324" s="112">
        <v>45985</v>
      </c>
      <c r="B324" s="104" t="s">
        <v>41</v>
      </c>
      <c r="C324" s="105" t="s">
        <v>1034</v>
      </c>
      <c r="D324" s="104" t="s">
        <v>1016</v>
      </c>
      <c r="E324" s="113">
        <v>1.6284722222222221</v>
      </c>
      <c r="F324" s="104" t="s">
        <v>46</v>
      </c>
      <c r="G324" s="106">
        <v>10</v>
      </c>
      <c r="H324" s="107" t="s">
        <v>532</v>
      </c>
    </row>
    <row r="325" spans="1:8" ht="19.8" customHeight="1" x14ac:dyDescent="0.3">
      <c r="A325" s="112">
        <v>45985</v>
      </c>
      <c r="B325" s="104" t="s">
        <v>41</v>
      </c>
      <c r="C325" s="105" t="s">
        <v>1037</v>
      </c>
      <c r="D325" s="104" t="s">
        <v>1016</v>
      </c>
      <c r="E325" s="113">
        <v>1.8888888888888891</v>
      </c>
      <c r="F325" s="104" t="s">
        <v>46</v>
      </c>
      <c r="G325" s="106">
        <v>14</v>
      </c>
      <c r="H325" s="107" t="s">
        <v>532</v>
      </c>
    </row>
    <row r="326" spans="1:8" ht="19.8" customHeight="1" x14ac:dyDescent="0.3">
      <c r="A326" s="112">
        <v>45985</v>
      </c>
      <c r="B326" s="104" t="s">
        <v>41</v>
      </c>
      <c r="C326" s="105" t="s">
        <v>1040</v>
      </c>
      <c r="D326" s="104" t="s">
        <v>1016</v>
      </c>
      <c r="E326" s="113">
        <v>1.944444444444444</v>
      </c>
      <c r="F326" s="104" t="s">
        <v>46</v>
      </c>
      <c r="G326" s="106">
        <v>11</v>
      </c>
      <c r="H326" s="107" t="s">
        <v>532</v>
      </c>
    </row>
    <row r="327" spans="1:8" ht="19.8" customHeight="1" x14ac:dyDescent="0.3">
      <c r="A327" s="112">
        <v>45985</v>
      </c>
      <c r="B327" s="104" t="s">
        <v>60</v>
      </c>
      <c r="C327" s="105" t="s">
        <v>1067</v>
      </c>
      <c r="D327" s="104" t="s">
        <v>1016</v>
      </c>
      <c r="E327" s="113">
        <v>1.8888888888888891</v>
      </c>
      <c r="F327" s="104" t="s">
        <v>50</v>
      </c>
      <c r="G327" s="106">
        <v>4</v>
      </c>
      <c r="H327" s="107" t="s">
        <v>1068</v>
      </c>
    </row>
    <row r="328" spans="1:8" ht="19.8" customHeight="1" x14ac:dyDescent="0.3">
      <c r="A328" s="112">
        <v>45985</v>
      </c>
      <c r="B328" s="104" t="s">
        <v>60</v>
      </c>
      <c r="C328" s="105" t="s">
        <v>1067</v>
      </c>
      <c r="D328" s="104" t="s">
        <v>1016</v>
      </c>
      <c r="E328" s="113">
        <v>1.8888888888888891</v>
      </c>
      <c r="F328" s="104" t="s">
        <v>65</v>
      </c>
      <c r="G328" s="106">
        <v>4</v>
      </c>
      <c r="H328" s="107" t="s">
        <v>1068</v>
      </c>
    </row>
    <row r="329" spans="1:8" ht="19.8" customHeight="1" x14ac:dyDescent="0.3">
      <c r="A329" s="112">
        <v>45985</v>
      </c>
      <c r="B329" s="104" t="s">
        <v>60</v>
      </c>
      <c r="C329" s="105" t="s">
        <v>1069</v>
      </c>
      <c r="D329" s="104" t="s">
        <v>1016</v>
      </c>
      <c r="E329" s="113">
        <v>1.6284722222222221</v>
      </c>
      <c r="F329" s="104" t="s">
        <v>50</v>
      </c>
      <c r="G329" s="106">
        <v>4</v>
      </c>
      <c r="H329" s="107" t="s">
        <v>1068</v>
      </c>
    </row>
    <row r="330" spans="1:8" ht="19.8" customHeight="1" x14ac:dyDescent="0.3">
      <c r="A330" s="112">
        <v>45985</v>
      </c>
      <c r="B330" s="104" t="s">
        <v>60</v>
      </c>
      <c r="C330" s="105" t="s">
        <v>1069</v>
      </c>
      <c r="D330" s="104" t="s">
        <v>1016</v>
      </c>
      <c r="E330" s="113">
        <v>1.6284722222222221</v>
      </c>
      <c r="F330" s="104" t="s">
        <v>65</v>
      </c>
      <c r="G330" s="106">
        <v>4</v>
      </c>
      <c r="H330" s="107" t="s">
        <v>1068</v>
      </c>
    </row>
    <row r="331" spans="1:8" ht="19.8" customHeight="1" x14ac:dyDescent="0.3">
      <c r="A331" s="112">
        <v>45985</v>
      </c>
      <c r="B331" s="104" t="s">
        <v>60</v>
      </c>
      <c r="C331" s="105" t="s">
        <v>1070</v>
      </c>
      <c r="D331" s="104" t="s">
        <v>1016</v>
      </c>
      <c r="E331" s="113">
        <v>1.944444444444444</v>
      </c>
      <c r="F331" s="104" t="s">
        <v>50</v>
      </c>
      <c r="G331" s="106">
        <v>4</v>
      </c>
      <c r="H331" s="107" t="s">
        <v>1068</v>
      </c>
    </row>
    <row r="332" spans="1:8" ht="19.8" customHeight="1" x14ac:dyDescent="0.3">
      <c r="A332" s="114">
        <v>45985</v>
      </c>
      <c r="B332" s="115" t="s">
        <v>60</v>
      </c>
      <c r="C332" s="116" t="s">
        <v>1070</v>
      </c>
      <c r="D332" s="115" t="s">
        <v>1016</v>
      </c>
      <c r="E332" s="117">
        <v>1.944444444444444</v>
      </c>
      <c r="F332" s="115" t="s">
        <v>65</v>
      </c>
      <c r="G332" s="118">
        <v>4</v>
      </c>
      <c r="H332" s="119" t="s">
        <v>1068</v>
      </c>
    </row>
    <row r="333" spans="1:8" ht="19.8" customHeight="1" x14ac:dyDescent="0.3">
      <c r="A333" s="112">
        <v>45986</v>
      </c>
      <c r="B333" s="104" t="s">
        <v>41</v>
      </c>
      <c r="C333" s="105" t="s">
        <v>1030</v>
      </c>
      <c r="D333" s="104" t="s">
        <v>1016</v>
      </c>
      <c r="E333" s="113">
        <v>1.5763888888888891</v>
      </c>
      <c r="F333" s="104" t="s">
        <v>43</v>
      </c>
      <c r="G333" s="106">
        <v>4</v>
      </c>
      <c r="H333" s="107" t="s">
        <v>909</v>
      </c>
    </row>
    <row r="334" spans="1:8" ht="19.8" customHeight="1" x14ac:dyDescent="0.3">
      <c r="A334" s="112">
        <v>45986</v>
      </c>
      <c r="B334" s="104" t="s">
        <v>41</v>
      </c>
      <c r="C334" s="105" t="s">
        <v>1034</v>
      </c>
      <c r="D334" s="104" t="s">
        <v>1016</v>
      </c>
      <c r="E334" s="113">
        <v>1.6284722222222221</v>
      </c>
      <c r="F334" s="104" t="s">
        <v>43</v>
      </c>
      <c r="G334" s="106">
        <v>8</v>
      </c>
      <c r="H334" s="107" t="s">
        <v>909</v>
      </c>
    </row>
    <row r="335" spans="1:8" ht="19.8" customHeight="1" x14ac:dyDescent="0.3">
      <c r="A335" s="112">
        <v>45986</v>
      </c>
      <c r="B335" s="104" t="s">
        <v>41</v>
      </c>
      <c r="C335" s="105" t="s">
        <v>1037</v>
      </c>
      <c r="D335" s="104" t="s">
        <v>1016</v>
      </c>
      <c r="E335" s="113">
        <v>1.8888888888888891</v>
      </c>
      <c r="F335" s="104" t="s">
        <v>43</v>
      </c>
      <c r="G335" s="106">
        <v>11</v>
      </c>
      <c r="H335" s="107" t="s">
        <v>909</v>
      </c>
    </row>
    <row r="336" spans="1:8" ht="19.8" customHeight="1" x14ac:dyDescent="0.3">
      <c r="A336" s="112">
        <v>45986</v>
      </c>
      <c r="B336" s="104" t="s">
        <v>41</v>
      </c>
      <c r="C336" s="105" t="s">
        <v>1040</v>
      </c>
      <c r="D336" s="104" t="s">
        <v>1016</v>
      </c>
      <c r="E336" s="113">
        <v>1.944444444444444</v>
      </c>
      <c r="F336" s="104" t="s">
        <v>43</v>
      </c>
      <c r="G336" s="106">
        <v>14</v>
      </c>
      <c r="H336" s="107" t="s">
        <v>909</v>
      </c>
    </row>
    <row r="337" spans="1:8" ht="19.8" customHeight="1" x14ac:dyDescent="0.3">
      <c r="A337" s="112">
        <v>45986</v>
      </c>
      <c r="B337" s="104" t="s">
        <v>26</v>
      </c>
      <c r="C337" s="105" t="s">
        <v>1026</v>
      </c>
      <c r="D337" s="104" t="s">
        <v>1016</v>
      </c>
      <c r="E337" s="113">
        <v>1.4375</v>
      </c>
      <c r="F337" s="104" t="s">
        <v>28</v>
      </c>
      <c r="G337" s="106">
        <v>9</v>
      </c>
      <c r="H337" s="107" t="s">
        <v>1091</v>
      </c>
    </row>
    <row r="338" spans="1:8" ht="19.8" customHeight="1" x14ac:dyDescent="0.3">
      <c r="A338" s="112">
        <v>45986</v>
      </c>
      <c r="B338" s="104" t="s">
        <v>26</v>
      </c>
      <c r="C338" s="105" t="s">
        <v>1017</v>
      </c>
      <c r="D338" s="104" t="s">
        <v>1016</v>
      </c>
      <c r="E338" s="113">
        <v>1.958333333333333</v>
      </c>
      <c r="F338" s="104" t="s">
        <v>28</v>
      </c>
      <c r="G338" s="106">
        <v>8</v>
      </c>
      <c r="H338" s="107" t="s">
        <v>1091</v>
      </c>
    </row>
    <row r="339" spans="1:8" ht="19.8" customHeight="1" x14ac:dyDescent="0.3">
      <c r="A339" s="112">
        <v>45986</v>
      </c>
      <c r="B339" s="104" t="s">
        <v>26</v>
      </c>
      <c r="C339" s="105" t="s">
        <v>1021</v>
      </c>
      <c r="D339" s="104" t="s">
        <v>1016</v>
      </c>
      <c r="E339" s="113">
        <v>1.631944444444444</v>
      </c>
      <c r="F339" s="104" t="s">
        <v>28</v>
      </c>
      <c r="G339" s="106">
        <v>9</v>
      </c>
      <c r="H339" s="107" t="s">
        <v>1091</v>
      </c>
    </row>
    <row r="340" spans="1:8" ht="19.8" customHeight="1" x14ac:dyDescent="0.3">
      <c r="A340" s="112">
        <v>45986</v>
      </c>
      <c r="B340" s="104" t="s">
        <v>26</v>
      </c>
      <c r="C340" s="105" t="s">
        <v>1029</v>
      </c>
      <c r="D340" s="104" t="s">
        <v>1016</v>
      </c>
      <c r="E340" s="113">
        <v>1.506944444444444</v>
      </c>
      <c r="F340" s="104" t="s">
        <v>28</v>
      </c>
      <c r="G340" s="106">
        <v>9</v>
      </c>
      <c r="H340" s="107" t="s">
        <v>1091</v>
      </c>
    </row>
    <row r="341" spans="1:8" ht="19.8" customHeight="1" x14ac:dyDescent="0.3">
      <c r="A341" s="112">
        <v>45986</v>
      </c>
      <c r="B341" s="104" t="s">
        <v>26</v>
      </c>
      <c r="C341" s="105" t="s">
        <v>1023</v>
      </c>
      <c r="D341" s="104" t="s">
        <v>1016</v>
      </c>
      <c r="E341" s="113">
        <v>1.5590277777777779</v>
      </c>
      <c r="F341" s="104" t="s">
        <v>28</v>
      </c>
      <c r="G341" s="106">
        <v>9</v>
      </c>
      <c r="H341" s="107" t="s">
        <v>1028</v>
      </c>
    </row>
    <row r="342" spans="1:8" ht="19.8" customHeight="1" x14ac:dyDescent="0.3">
      <c r="A342" s="112">
        <v>45986</v>
      </c>
      <c r="B342" s="104" t="s">
        <v>26</v>
      </c>
      <c r="C342" s="105" t="s">
        <v>1024</v>
      </c>
      <c r="D342" s="104" t="s">
        <v>1016</v>
      </c>
      <c r="E342" s="113">
        <v>1.819444444444444</v>
      </c>
      <c r="F342" s="104" t="s">
        <v>28</v>
      </c>
      <c r="G342" s="106">
        <v>8</v>
      </c>
      <c r="H342" s="107" t="s">
        <v>1028</v>
      </c>
    </row>
    <row r="343" spans="1:8" ht="19.8" customHeight="1" x14ac:dyDescent="0.3">
      <c r="A343" s="112">
        <v>45986</v>
      </c>
      <c r="B343" s="104" t="s">
        <v>26</v>
      </c>
      <c r="C343" s="105" t="s">
        <v>1025</v>
      </c>
      <c r="D343" s="104" t="s">
        <v>1016</v>
      </c>
      <c r="E343" s="113">
        <v>1.697916666666667</v>
      </c>
      <c r="F343" s="104" t="s">
        <v>28</v>
      </c>
      <c r="G343" s="106">
        <v>9</v>
      </c>
      <c r="H343" s="107" t="s">
        <v>1028</v>
      </c>
    </row>
    <row r="344" spans="1:8" ht="19.8" customHeight="1" x14ac:dyDescent="0.3">
      <c r="A344" s="120">
        <v>45986</v>
      </c>
      <c r="B344" s="121" t="s">
        <v>77</v>
      </c>
      <c r="C344" s="122" t="s">
        <v>1085</v>
      </c>
      <c r="D344" s="121" t="s">
        <v>1016</v>
      </c>
      <c r="E344" s="123">
        <v>1.7152777777777779</v>
      </c>
      <c r="F344" s="121" t="s">
        <v>101</v>
      </c>
      <c r="G344" s="124">
        <v>9</v>
      </c>
      <c r="H344" s="125" t="s">
        <v>779</v>
      </c>
    </row>
    <row r="345" spans="1:8" ht="19.8" customHeight="1" x14ac:dyDescent="0.3">
      <c r="A345" s="112">
        <v>45986</v>
      </c>
      <c r="B345" s="104" t="s">
        <v>26</v>
      </c>
      <c r="C345" s="105" t="s">
        <v>1026</v>
      </c>
      <c r="D345" s="104" t="s">
        <v>1016</v>
      </c>
      <c r="E345" s="113">
        <v>1.4375</v>
      </c>
      <c r="F345" s="104" t="s">
        <v>31</v>
      </c>
      <c r="G345" s="106">
        <v>9</v>
      </c>
      <c r="H345" s="107" t="s">
        <v>30</v>
      </c>
    </row>
    <row r="346" spans="1:8" ht="19.8" customHeight="1" x14ac:dyDescent="0.3">
      <c r="A346" s="112">
        <v>45986</v>
      </c>
      <c r="B346" s="104" t="s">
        <v>26</v>
      </c>
      <c r="C346" s="105" t="s">
        <v>1017</v>
      </c>
      <c r="D346" s="104" t="s">
        <v>1016</v>
      </c>
      <c r="E346" s="113">
        <v>1.958333333333333</v>
      </c>
      <c r="F346" s="104" t="s">
        <v>31</v>
      </c>
      <c r="G346" s="106">
        <v>8</v>
      </c>
      <c r="H346" s="107" t="s">
        <v>30</v>
      </c>
    </row>
    <row r="347" spans="1:8" ht="19.8" customHeight="1" x14ac:dyDescent="0.3">
      <c r="A347" s="112">
        <v>45986</v>
      </c>
      <c r="B347" s="104" t="s">
        <v>26</v>
      </c>
      <c r="C347" s="105" t="s">
        <v>1021</v>
      </c>
      <c r="D347" s="104" t="s">
        <v>1016</v>
      </c>
      <c r="E347" s="113">
        <v>1.631944444444444</v>
      </c>
      <c r="F347" s="104" t="s">
        <v>31</v>
      </c>
      <c r="G347" s="106">
        <v>9</v>
      </c>
      <c r="H347" s="107" t="s">
        <v>30</v>
      </c>
    </row>
    <row r="348" spans="1:8" ht="19.8" customHeight="1" x14ac:dyDescent="0.3">
      <c r="A348" s="112">
        <v>45986</v>
      </c>
      <c r="B348" s="104" t="s">
        <v>26</v>
      </c>
      <c r="C348" s="105" t="s">
        <v>1029</v>
      </c>
      <c r="D348" s="104" t="s">
        <v>1016</v>
      </c>
      <c r="E348" s="113">
        <v>1.506944444444444</v>
      </c>
      <c r="F348" s="104" t="s">
        <v>31</v>
      </c>
      <c r="G348" s="106">
        <v>9</v>
      </c>
      <c r="H348" s="107" t="s">
        <v>30</v>
      </c>
    </row>
    <row r="349" spans="1:8" ht="19.8" customHeight="1" x14ac:dyDescent="0.3">
      <c r="A349" s="112">
        <v>45986</v>
      </c>
      <c r="B349" s="104" t="s">
        <v>458</v>
      </c>
      <c r="C349" s="105" t="s">
        <v>1048</v>
      </c>
      <c r="D349" s="104" t="s">
        <v>1016</v>
      </c>
      <c r="E349" s="113">
        <v>1.0902777777777779</v>
      </c>
      <c r="F349" s="104" t="s">
        <v>101</v>
      </c>
      <c r="G349" s="106">
        <v>9</v>
      </c>
      <c r="H349" s="107" t="s">
        <v>1124</v>
      </c>
    </row>
    <row r="350" spans="1:8" ht="19.8" customHeight="1" x14ac:dyDescent="0.3">
      <c r="A350" s="112">
        <v>45986</v>
      </c>
      <c r="B350" s="104" t="s">
        <v>41</v>
      </c>
      <c r="C350" s="105" t="s">
        <v>1030</v>
      </c>
      <c r="D350" s="104" t="s">
        <v>1016</v>
      </c>
      <c r="E350" s="113">
        <v>1.5763888888888891</v>
      </c>
      <c r="F350" s="104" t="s">
        <v>45</v>
      </c>
      <c r="G350" s="106">
        <v>4</v>
      </c>
      <c r="H350" s="107" t="s">
        <v>431</v>
      </c>
    </row>
    <row r="351" spans="1:8" ht="19.8" customHeight="1" x14ac:dyDescent="0.3">
      <c r="A351" s="112">
        <v>45986</v>
      </c>
      <c r="B351" s="104" t="s">
        <v>41</v>
      </c>
      <c r="C351" s="105" t="s">
        <v>1034</v>
      </c>
      <c r="D351" s="104" t="s">
        <v>1016</v>
      </c>
      <c r="E351" s="113">
        <v>1.6284722222222221</v>
      </c>
      <c r="F351" s="104" t="s">
        <v>45</v>
      </c>
      <c r="G351" s="106">
        <v>8</v>
      </c>
      <c r="H351" s="107" t="s">
        <v>431</v>
      </c>
    </row>
    <row r="352" spans="1:8" ht="19.8" customHeight="1" x14ac:dyDescent="0.3">
      <c r="A352" s="112">
        <v>45986</v>
      </c>
      <c r="B352" s="104" t="s">
        <v>41</v>
      </c>
      <c r="C352" s="105" t="s">
        <v>1037</v>
      </c>
      <c r="D352" s="104" t="s">
        <v>1016</v>
      </c>
      <c r="E352" s="113">
        <v>1.8888888888888891</v>
      </c>
      <c r="F352" s="104" t="s">
        <v>45</v>
      </c>
      <c r="G352" s="106">
        <v>11</v>
      </c>
      <c r="H352" s="107" t="s">
        <v>431</v>
      </c>
    </row>
    <row r="353" spans="1:8" ht="19.8" customHeight="1" x14ac:dyDescent="0.3">
      <c r="A353" s="112">
        <v>45986</v>
      </c>
      <c r="B353" s="104" t="s">
        <v>41</v>
      </c>
      <c r="C353" s="105" t="s">
        <v>1040</v>
      </c>
      <c r="D353" s="104" t="s">
        <v>1016</v>
      </c>
      <c r="E353" s="113">
        <v>1.944444444444444</v>
      </c>
      <c r="F353" s="104" t="s">
        <v>45</v>
      </c>
      <c r="G353" s="106">
        <v>14</v>
      </c>
      <c r="H353" s="107" t="s">
        <v>431</v>
      </c>
    </row>
    <row r="354" spans="1:8" ht="19.8" customHeight="1" x14ac:dyDescent="0.3">
      <c r="A354" s="112">
        <v>45986</v>
      </c>
      <c r="B354" s="104" t="s">
        <v>388</v>
      </c>
      <c r="C354" s="105" t="s">
        <v>1056</v>
      </c>
      <c r="D354" s="104" t="s">
        <v>1016</v>
      </c>
      <c r="E354" s="113">
        <v>1.4375</v>
      </c>
      <c r="F354" s="104" t="s">
        <v>390</v>
      </c>
      <c r="G354" s="106">
        <v>9</v>
      </c>
      <c r="H354" s="107" t="s">
        <v>1125</v>
      </c>
    </row>
    <row r="355" spans="1:8" ht="19.8" customHeight="1" x14ac:dyDescent="0.3">
      <c r="A355" s="112">
        <v>45986</v>
      </c>
      <c r="B355" s="104" t="s">
        <v>26</v>
      </c>
      <c r="C355" s="105" t="s">
        <v>1023</v>
      </c>
      <c r="D355" s="104" t="s">
        <v>1016</v>
      </c>
      <c r="E355" s="113">
        <v>1.5590277777777779</v>
      </c>
      <c r="F355" s="104" t="s">
        <v>31</v>
      </c>
      <c r="G355" s="106">
        <v>9</v>
      </c>
      <c r="H355" s="107" t="s">
        <v>86</v>
      </c>
    </row>
    <row r="356" spans="1:8" ht="19.8" customHeight="1" x14ac:dyDescent="0.3">
      <c r="A356" s="112">
        <v>45986</v>
      </c>
      <c r="B356" s="104" t="s">
        <v>26</v>
      </c>
      <c r="C356" s="105" t="s">
        <v>1024</v>
      </c>
      <c r="D356" s="104" t="s">
        <v>1016</v>
      </c>
      <c r="E356" s="113">
        <v>1.819444444444444</v>
      </c>
      <c r="F356" s="104" t="s">
        <v>31</v>
      </c>
      <c r="G356" s="106">
        <v>8</v>
      </c>
      <c r="H356" s="107" t="s">
        <v>86</v>
      </c>
    </row>
    <row r="357" spans="1:8" ht="19.8" customHeight="1" x14ac:dyDescent="0.3">
      <c r="A357" s="112">
        <v>45986</v>
      </c>
      <c r="B357" s="104" t="s">
        <v>26</v>
      </c>
      <c r="C357" s="105" t="s">
        <v>1025</v>
      </c>
      <c r="D357" s="104" t="s">
        <v>1016</v>
      </c>
      <c r="E357" s="113">
        <v>1.697916666666667</v>
      </c>
      <c r="F357" s="104" t="s">
        <v>31</v>
      </c>
      <c r="G357" s="106">
        <v>9</v>
      </c>
      <c r="H357" s="107" t="s">
        <v>86</v>
      </c>
    </row>
    <row r="358" spans="1:8" ht="19.8" customHeight="1" x14ac:dyDescent="0.3">
      <c r="A358" s="112">
        <v>45986</v>
      </c>
      <c r="B358" s="104" t="s">
        <v>48</v>
      </c>
      <c r="C358" s="105" t="s">
        <v>1059</v>
      </c>
      <c r="D358" s="104" t="s">
        <v>1016</v>
      </c>
      <c r="E358" s="113">
        <v>1.9826388888888891</v>
      </c>
      <c r="F358" s="104" t="s">
        <v>50</v>
      </c>
      <c r="G358" s="106">
        <v>1</v>
      </c>
      <c r="H358" s="107" t="s">
        <v>1060</v>
      </c>
    </row>
    <row r="359" spans="1:8" ht="19.8" customHeight="1" x14ac:dyDescent="0.3">
      <c r="A359" s="112">
        <v>45986</v>
      </c>
      <c r="B359" s="104" t="s">
        <v>48</v>
      </c>
      <c r="C359" s="105" t="s">
        <v>1061</v>
      </c>
      <c r="D359" s="104" t="s">
        <v>1016</v>
      </c>
      <c r="E359" s="113">
        <v>1.354166666666667</v>
      </c>
      <c r="F359" s="104" t="s">
        <v>50</v>
      </c>
      <c r="G359" s="106">
        <v>1</v>
      </c>
      <c r="H359" s="107" t="s">
        <v>1060</v>
      </c>
    </row>
    <row r="360" spans="1:8" ht="19.8" customHeight="1" x14ac:dyDescent="0.3">
      <c r="A360" s="112">
        <v>45986</v>
      </c>
      <c r="B360" s="104" t="s">
        <v>26</v>
      </c>
      <c r="C360" s="105" t="s">
        <v>1026</v>
      </c>
      <c r="D360" s="104" t="s">
        <v>1016</v>
      </c>
      <c r="E360" s="113">
        <v>1.4375</v>
      </c>
      <c r="F360" s="104" t="s">
        <v>34</v>
      </c>
      <c r="G360" s="106">
        <v>9</v>
      </c>
      <c r="H360" s="107" t="s">
        <v>339</v>
      </c>
    </row>
    <row r="361" spans="1:8" ht="19.8" customHeight="1" x14ac:dyDescent="0.3">
      <c r="A361" s="112">
        <v>45986</v>
      </c>
      <c r="B361" s="104" t="s">
        <v>26</v>
      </c>
      <c r="C361" s="105" t="s">
        <v>1017</v>
      </c>
      <c r="D361" s="104" t="s">
        <v>1016</v>
      </c>
      <c r="E361" s="113">
        <v>1.958333333333333</v>
      </c>
      <c r="F361" s="104" t="s">
        <v>34</v>
      </c>
      <c r="G361" s="106">
        <v>8</v>
      </c>
      <c r="H361" s="107" t="s">
        <v>339</v>
      </c>
    </row>
    <row r="362" spans="1:8" ht="19.8" customHeight="1" x14ac:dyDescent="0.3">
      <c r="A362" s="112">
        <v>45986</v>
      </c>
      <c r="B362" s="104" t="s">
        <v>26</v>
      </c>
      <c r="C362" s="105" t="s">
        <v>1021</v>
      </c>
      <c r="D362" s="104" t="s">
        <v>1016</v>
      </c>
      <c r="E362" s="113">
        <v>1.631944444444444</v>
      </c>
      <c r="F362" s="104" t="s">
        <v>34</v>
      </c>
      <c r="G362" s="106">
        <v>9</v>
      </c>
      <c r="H362" s="107" t="s">
        <v>339</v>
      </c>
    </row>
    <row r="363" spans="1:8" ht="19.8" customHeight="1" x14ac:dyDescent="0.3">
      <c r="A363" s="112">
        <v>45986</v>
      </c>
      <c r="B363" s="104" t="s">
        <v>26</v>
      </c>
      <c r="C363" s="105" t="s">
        <v>1029</v>
      </c>
      <c r="D363" s="104" t="s">
        <v>1016</v>
      </c>
      <c r="E363" s="113">
        <v>1.506944444444444</v>
      </c>
      <c r="F363" s="104" t="s">
        <v>34</v>
      </c>
      <c r="G363" s="106">
        <v>9</v>
      </c>
      <c r="H363" s="107" t="s">
        <v>339</v>
      </c>
    </row>
    <row r="364" spans="1:8" ht="19.8" customHeight="1" x14ac:dyDescent="0.3">
      <c r="A364" s="112">
        <v>45986</v>
      </c>
      <c r="B364" s="104" t="s">
        <v>60</v>
      </c>
      <c r="C364" s="105" t="s">
        <v>1064</v>
      </c>
      <c r="D364" s="104" t="s">
        <v>1016</v>
      </c>
      <c r="E364" s="113">
        <v>1.9826388888888891</v>
      </c>
      <c r="F364" s="104" t="s">
        <v>62</v>
      </c>
      <c r="G364" s="106">
        <v>9</v>
      </c>
      <c r="H364" s="107" t="s">
        <v>1114</v>
      </c>
    </row>
    <row r="365" spans="1:8" ht="19.8" customHeight="1" x14ac:dyDescent="0.3">
      <c r="A365" s="112">
        <v>45986</v>
      </c>
      <c r="B365" s="104" t="s">
        <v>60</v>
      </c>
      <c r="C365" s="105" t="s">
        <v>1116</v>
      </c>
      <c r="D365" s="104" t="s">
        <v>1016</v>
      </c>
      <c r="E365" s="113">
        <v>1.697916666666667</v>
      </c>
      <c r="F365" s="104" t="s">
        <v>62</v>
      </c>
      <c r="G365" s="106">
        <v>9</v>
      </c>
      <c r="H365" s="107" t="s">
        <v>1114</v>
      </c>
    </row>
    <row r="366" spans="1:8" ht="19.8" customHeight="1" x14ac:dyDescent="0.3">
      <c r="A366" s="112">
        <v>45986</v>
      </c>
      <c r="B366" s="104" t="s">
        <v>48</v>
      </c>
      <c r="C366" s="105" t="s">
        <v>1062</v>
      </c>
      <c r="D366" s="104" t="s">
        <v>1016</v>
      </c>
      <c r="E366" s="113">
        <v>1.729166666666667</v>
      </c>
      <c r="F366" s="104" t="s">
        <v>50</v>
      </c>
      <c r="G366" s="106">
        <v>1</v>
      </c>
      <c r="H366" s="107" t="s">
        <v>1127</v>
      </c>
    </row>
    <row r="367" spans="1:8" ht="19.8" customHeight="1" x14ac:dyDescent="0.3">
      <c r="A367" s="112">
        <v>45986</v>
      </c>
      <c r="B367" s="104" t="s">
        <v>26</v>
      </c>
      <c r="C367" s="105" t="s">
        <v>1023</v>
      </c>
      <c r="D367" s="104" t="s">
        <v>1016</v>
      </c>
      <c r="E367" s="113">
        <v>1.5590277777777779</v>
      </c>
      <c r="F367" s="104" t="s">
        <v>34</v>
      </c>
      <c r="G367" s="106">
        <v>9</v>
      </c>
      <c r="H367" s="107" t="s">
        <v>95</v>
      </c>
    </row>
    <row r="368" spans="1:8" ht="19.8" customHeight="1" x14ac:dyDescent="0.3">
      <c r="A368" s="112">
        <v>45986</v>
      </c>
      <c r="B368" s="104" t="s">
        <v>26</v>
      </c>
      <c r="C368" s="105" t="s">
        <v>1024</v>
      </c>
      <c r="D368" s="104" t="s">
        <v>1016</v>
      </c>
      <c r="E368" s="113">
        <v>1.819444444444444</v>
      </c>
      <c r="F368" s="104" t="s">
        <v>34</v>
      </c>
      <c r="G368" s="106">
        <v>8</v>
      </c>
      <c r="H368" s="107" t="s">
        <v>95</v>
      </c>
    </row>
    <row r="369" spans="1:8" ht="19.8" customHeight="1" x14ac:dyDescent="0.3">
      <c r="A369" s="112">
        <v>45986</v>
      </c>
      <c r="B369" s="104" t="s">
        <v>26</v>
      </c>
      <c r="C369" s="105" t="s">
        <v>1025</v>
      </c>
      <c r="D369" s="104" t="s">
        <v>1016</v>
      </c>
      <c r="E369" s="113">
        <v>1.697916666666667</v>
      </c>
      <c r="F369" s="104" t="s">
        <v>34</v>
      </c>
      <c r="G369" s="106">
        <v>9</v>
      </c>
      <c r="H369" s="107" t="s">
        <v>95</v>
      </c>
    </row>
    <row r="370" spans="1:8" ht="19.8" customHeight="1" x14ac:dyDescent="0.3">
      <c r="A370" s="112">
        <v>45986</v>
      </c>
      <c r="B370" s="104" t="s">
        <v>388</v>
      </c>
      <c r="C370" s="105" t="s">
        <v>1056</v>
      </c>
      <c r="D370" s="104" t="s">
        <v>1016</v>
      </c>
      <c r="E370" s="113">
        <v>1.4375</v>
      </c>
      <c r="F370" s="104" t="s">
        <v>46</v>
      </c>
      <c r="G370" s="106">
        <v>9</v>
      </c>
      <c r="H370" s="107" t="s">
        <v>1126</v>
      </c>
    </row>
    <row r="371" spans="1:8" ht="19.8" customHeight="1" x14ac:dyDescent="0.3">
      <c r="A371" s="112">
        <v>45986</v>
      </c>
      <c r="B371" s="104" t="s">
        <v>60</v>
      </c>
      <c r="C371" s="105" t="s">
        <v>1073</v>
      </c>
      <c r="D371" s="104" t="s">
        <v>1016</v>
      </c>
      <c r="E371" s="113">
        <v>1.8298611111111109</v>
      </c>
      <c r="F371" s="104" t="s">
        <v>62</v>
      </c>
      <c r="G371" s="106">
        <v>9</v>
      </c>
      <c r="H371" s="107" t="s">
        <v>1065</v>
      </c>
    </row>
    <row r="372" spans="1:8" ht="19.8" customHeight="1" x14ac:dyDescent="0.3">
      <c r="A372" s="112">
        <v>45986</v>
      </c>
      <c r="B372" s="104" t="s">
        <v>60</v>
      </c>
      <c r="C372" s="105" t="s">
        <v>1074</v>
      </c>
      <c r="D372" s="104" t="s">
        <v>1016</v>
      </c>
      <c r="E372" s="113">
        <v>1.6284722222222221</v>
      </c>
      <c r="F372" s="104" t="s">
        <v>62</v>
      </c>
      <c r="G372" s="106">
        <v>9</v>
      </c>
      <c r="H372" s="107" t="s">
        <v>1065</v>
      </c>
    </row>
    <row r="373" spans="1:8" ht="19.8" customHeight="1" x14ac:dyDescent="0.3">
      <c r="A373" s="112">
        <v>45986</v>
      </c>
      <c r="B373" s="104" t="s">
        <v>60</v>
      </c>
      <c r="C373" s="105" t="s">
        <v>1064</v>
      </c>
      <c r="D373" s="104" t="s">
        <v>1016</v>
      </c>
      <c r="E373" s="113">
        <v>1.9826388888888891</v>
      </c>
      <c r="F373" s="104" t="s">
        <v>65</v>
      </c>
      <c r="G373" s="106">
        <v>9</v>
      </c>
      <c r="H373" s="107" t="s">
        <v>1115</v>
      </c>
    </row>
    <row r="374" spans="1:8" ht="19.8" customHeight="1" x14ac:dyDescent="0.3">
      <c r="A374" s="112">
        <v>45986</v>
      </c>
      <c r="B374" s="104" t="s">
        <v>60</v>
      </c>
      <c r="C374" s="105" t="s">
        <v>1116</v>
      </c>
      <c r="D374" s="104" t="s">
        <v>1016</v>
      </c>
      <c r="E374" s="113">
        <v>1.697916666666667</v>
      </c>
      <c r="F374" s="104" t="s">
        <v>65</v>
      </c>
      <c r="G374" s="106">
        <v>9</v>
      </c>
      <c r="H374" s="107" t="s">
        <v>1115</v>
      </c>
    </row>
    <row r="375" spans="1:8" ht="19.8" customHeight="1" x14ac:dyDescent="0.3">
      <c r="A375" s="112">
        <v>45986</v>
      </c>
      <c r="B375" s="104" t="s">
        <v>60</v>
      </c>
      <c r="C375" s="105" t="s">
        <v>1073</v>
      </c>
      <c r="D375" s="104" t="s">
        <v>1016</v>
      </c>
      <c r="E375" s="113">
        <v>1.8298611111111109</v>
      </c>
      <c r="F375" s="104" t="s">
        <v>65</v>
      </c>
      <c r="G375" s="106">
        <v>9</v>
      </c>
      <c r="H375" s="107" t="s">
        <v>1066</v>
      </c>
    </row>
    <row r="376" spans="1:8" ht="19.8" customHeight="1" x14ac:dyDescent="0.3">
      <c r="A376" s="112">
        <v>45986</v>
      </c>
      <c r="B376" s="104" t="s">
        <v>60</v>
      </c>
      <c r="C376" s="105" t="s">
        <v>1074</v>
      </c>
      <c r="D376" s="104" t="s">
        <v>1016</v>
      </c>
      <c r="E376" s="113">
        <v>1.6284722222222221</v>
      </c>
      <c r="F376" s="104" t="s">
        <v>65</v>
      </c>
      <c r="G376" s="106">
        <v>9</v>
      </c>
      <c r="H376" s="107" t="s">
        <v>1066</v>
      </c>
    </row>
    <row r="377" spans="1:8" ht="19.8" customHeight="1" x14ac:dyDescent="0.3">
      <c r="A377" s="112">
        <v>45986</v>
      </c>
      <c r="B377" s="104" t="s">
        <v>41</v>
      </c>
      <c r="C377" s="105" t="s">
        <v>1030</v>
      </c>
      <c r="D377" s="104" t="s">
        <v>1016</v>
      </c>
      <c r="E377" s="113">
        <v>1.5763888888888891</v>
      </c>
      <c r="F377" s="104" t="s">
        <v>46</v>
      </c>
      <c r="G377" s="106">
        <v>4</v>
      </c>
      <c r="H377" s="107" t="s">
        <v>532</v>
      </c>
    </row>
    <row r="378" spans="1:8" ht="19.8" customHeight="1" x14ac:dyDescent="0.3">
      <c r="A378" s="112">
        <v>45986</v>
      </c>
      <c r="B378" s="104" t="s">
        <v>41</v>
      </c>
      <c r="C378" s="105" t="s">
        <v>1034</v>
      </c>
      <c r="D378" s="104" t="s">
        <v>1016</v>
      </c>
      <c r="E378" s="113">
        <v>1.6284722222222221</v>
      </c>
      <c r="F378" s="104" t="s">
        <v>46</v>
      </c>
      <c r="G378" s="106">
        <v>8</v>
      </c>
      <c r="H378" s="107" t="s">
        <v>532</v>
      </c>
    </row>
    <row r="379" spans="1:8" ht="19.8" customHeight="1" x14ac:dyDescent="0.3">
      <c r="A379" s="112">
        <v>45986</v>
      </c>
      <c r="B379" s="104" t="s">
        <v>41</v>
      </c>
      <c r="C379" s="105" t="s">
        <v>1037</v>
      </c>
      <c r="D379" s="104" t="s">
        <v>1016</v>
      </c>
      <c r="E379" s="113">
        <v>1.8888888888888891</v>
      </c>
      <c r="F379" s="104" t="s">
        <v>46</v>
      </c>
      <c r="G379" s="106">
        <v>11</v>
      </c>
      <c r="H379" s="107" t="s">
        <v>532</v>
      </c>
    </row>
    <row r="380" spans="1:8" ht="19.8" customHeight="1" x14ac:dyDescent="0.3">
      <c r="A380" s="112">
        <v>45986</v>
      </c>
      <c r="B380" s="104" t="s">
        <v>41</v>
      </c>
      <c r="C380" s="105" t="s">
        <v>1040</v>
      </c>
      <c r="D380" s="104" t="s">
        <v>1016</v>
      </c>
      <c r="E380" s="113">
        <v>1.944444444444444</v>
      </c>
      <c r="F380" s="104" t="s">
        <v>46</v>
      </c>
      <c r="G380" s="106">
        <v>14</v>
      </c>
      <c r="H380" s="107" t="s">
        <v>532</v>
      </c>
    </row>
    <row r="381" spans="1:8" ht="19.8" customHeight="1" x14ac:dyDescent="0.3">
      <c r="A381" s="112">
        <v>45986</v>
      </c>
      <c r="B381" s="104" t="s">
        <v>60</v>
      </c>
      <c r="C381" s="105" t="s">
        <v>1067</v>
      </c>
      <c r="D381" s="104" t="s">
        <v>1016</v>
      </c>
      <c r="E381" s="113">
        <v>1.8888888888888891</v>
      </c>
      <c r="F381" s="104" t="s">
        <v>65</v>
      </c>
      <c r="G381" s="106">
        <v>4</v>
      </c>
      <c r="H381" s="107" t="s">
        <v>1068</v>
      </c>
    </row>
    <row r="382" spans="1:8" ht="19.8" customHeight="1" x14ac:dyDescent="0.3">
      <c r="A382" s="112">
        <v>45986</v>
      </c>
      <c r="B382" s="104" t="s">
        <v>60</v>
      </c>
      <c r="C382" s="105" t="s">
        <v>1069</v>
      </c>
      <c r="D382" s="104" t="s">
        <v>1016</v>
      </c>
      <c r="E382" s="113">
        <v>1.6284722222222221</v>
      </c>
      <c r="F382" s="104" t="s">
        <v>65</v>
      </c>
      <c r="G382" s="106">
        <v>4</v>
      </c>
      <c r="H382" s="107" t="s">
        <v>1068</v>
      </c>
    </row>
    <row r="383" spans="1:8" ht="19.8" customHeight="1" x14ac:dyDescent="0.3">
      <c r="A383" s="112">
        <v>45986</v>
      </c>
      <c r="B383" s="104" t="s">
        <v>60</v>
      </c>
      <c r="C383" s="105" t="s">
        <v>1070</v>
      </c>
      <c r="D383" s="104" t="s">
        <v>1016</v>
      </c>
      <c r="E383" s="113">
        <v>1.944444444444444</v>
      </c>
      <c r="F383" s="104" t="s">
        <v>65</v>
      </c>
      <c r="G383" s="106">
        <v>4</v>
      </c>
      <c r="H383" s="107" t="s">
        <v>1068</v>
      </c>
    </row>
    <row r="384" spans="1:8" ht="19.8" customHeight="1" x14ac:dyDescent="0.3">
      <c r="A384" s="114">
        <v>45986</v>
      </c>
      <c r="B384" s="115" t="s">
        <v>60</v>
      </c>
      <c r="C384" s="116" t="s">
        <v>1071</v>
      </c>
      <c r="D384" s="115" t="s">
        <v>1016</v>
      </c>
      <c r="E384" s="117">
        <v>1.444444444444444</v>
      </c>
      <c r="F384" s="115" t="s">
        <v>65</v>
      </c>
      <c r="G384" s="118">
        <v>9</v>
      </c>
      <c r="H384" s="119" t="s">
        <v>1072</v>
      </c>
    </row>
    <row r="385" spans="1:8" ht="19.8" customHeight="1" x14ac:dyDescent="0.3">
      <c r="A385" s="112">
        <v>45987</v>
      </c>
      <c r="B385" s="104" t="s">
        <v>41</v>
      </c>
      <c r="C385" s="105" t="s">
        <v>1030</v>
      </c>
      <c r="D385" s="104" t="s">
        <v>1016</v>
      </c>
      <c r="E385" s="113">
        <v>1.5763888888888891</v>
      </c>
      <c r="F385" s="104" t="s">
        <v>43</v>
      </c>
      <c r="G385" s="106">
        <v>6</v>
      </c>
      <c r="H385" s="107" t="s">
        <v>1128</v>
      </c>
    </row>
    <row r="386" spans="1:8" ht="19.8" customHeight="1" x14ac:dyDescent="0.3">
      <c r="A386" s="112">
        <v>45987</v>
      </c>
      <c r="B386" s="104" t="s">
        <v>41</v>
      </c>
      <c r="C386" s="105" t="s">
        <v>1037</v>
      </c>
      <c r="D386" s="104" t="s">
        <v>1016</v>
      </c>
      <c r="E386" s="113">
        <v>1.8888888888888891</v>
      </c>
      <c r="F386" s="104" t="s">
        <v>43</v>
      </c>
      <c r="G386" s="106">
        <v>6</v>
      </c>
      <c r="H386" s="107" t="s">
        <v>1093</v>
      </c>
    </row>
    <row r="387" spans="1:8" ht="19.8" customHeight="1" x14ac:dyDescent="0.3">
      <c r="A387" s="112">
        <v>45987</v>
      </c>
      <c r="B387" s="104" t="s">
        <v>41</v>
      </c>
      <c r="C387" s="105" t="s">
        <v>1040</v>
      </c>
      <c r="D387" s="104" t="s">
        <v>1016</v>
      </c>
      <c r="E387" s="113">
        <v>1.944444444444444</v>
      </c>
      <c r="F387" s="104" t="s">
        <v>43</v>
      </c>
      <c r="G387" s="106">
        <v>10</v>
      </c>
      <c r="H387" s="107" t="s">
        <v>1093</v>
      </c>
    </row>
    <row r="388" spans="1:8" ht="19.8" customHeight="1" x14ac:dyDescent="0.3">
      <c r="A388" s="112">
        <v>45987</v>
      </c>
      <c r="B388" s="104" t="s">
        <v>41</v>
      </c>
      <c r="C388" s="105" t="s">
        <v>1034</v>
      </c>
      <c r="D388" s="104" t="s">
        <v>1016</v>
      </c>
      <c r="E388" s="113">
        <v>1.6284722222222221</v>
      </c>
      <c r="F388" s="104" t="s">
        <v>43</v>
      </c>
      <c r="G388" s="106">
        <v>9</v>
      </c>
      <c r="H388" s="107" t="s">
        <v>1028</v>
      </c>
    </row>
    <row r="389" spans="1:8" ht="19.8" customHeight="1" x14ac:dyDescent="0.3">
      <c r="A389" s="112">
        <v>45987</v>
      </c>
      <c r="B389" s="104" t="s">
        <v>388</v>
      </c>
      <c r="C389" s="105" t="s">
        <v>1129</v>
      </c>
      <c r="D389" s="104" t="s">
        <v>1016</v>
      </c>
      <c r="E389" s="113">
        <v>1.052083333333333</v>
      </c>
      <c r="F389" s="104" t="s">
        <v>390</v>
      </c>
      <c r="G389" s="106">
        <v>9</v>
      </c>
      <c r="H389" s="107" t="s">
        <v>1130</v>
      </c>
    </row>
    <row r="390" spans="1:8" ht="19.8" customHeight="1" x14ac:dyDescent="0.3">
      <c r="A390" s="120">
        <v>45987</v>
      </c>
      <c r="B390" s="121" t="s">
        <v>77</v>
      </c>
      <c r="C390" s="122" t="s">
        <v>1052</v>
      </c>
      <c r="D390" s="121" t="s">
        <v>1016</v>
      </c>
      <c r="E390" s="123">
        <v>1.413194444444444</v>
      </c>
      <c r="F390" s="121" t="s">
        <v>101</v>
      </c>
      <c r="G390" s="124">
        <v>9</v>
      </c>
      <c r="H390" s="125" t="s">
        <v>779</v>
      </c>
    </row>
    <row r="391" spans="1:8" ht="19.8" customHeight="1" x14ac:dyDescent="0.3">
      <c r="A391" s="112">
        <v>45987</v>
      </c>
      <c r="B391" s="104" t="s">
        <v>458</v>
      </c>
      <c r="C391" s="105" t="s">
        <v>1048</v>
      </c>
      <c r="D391" s="104" t="s">
        <v>1016</v>
      </c>
      <c r="E391" s="113">
        <v>1.0902777777777779</v>
      </c>
      <c r="F391" s="104" t="s">
        <v>101</v>
      </c>
      <c r="G391" s="106">
        <v>9</v>
      </c>
      <c r="H391" s="107" t="s">
        <v>1124</v>
      </c>
    </row>
    <row r="392" spans="1:8" ht="19.8" customHeight="1" x14ac:dyDescent="0.3">
      <c r="A392" s="112">
        <v>45987</v>
      </c>
      <c r="B392" s="104" t="s">
        <v>41</v>
      </c>
      <c r="C392" s="105" t="s">
        <v>1030</v>
      </c>
      <c r="D392" s="104" t="s">
        <v>1016</v>
      </c>
      <c r="E392" s="113">
        <v>1.5763888888888891</v>
      </c>
      <c r="F392" s="104" t="s">
        <v>45</v>
      </c>
      <c r="G392" s="106">
        <v>6</v>
      </c>
      <c r="H392" s="107" t="s">
        <v>44</v>
      </c>
    </row>
    <row r="393" spans="1:8" ht="19.8" customHeight="1" x14ac:dyDescent="0.3">
      <c r="A393" s="112">
        <v>45987</v>
      </c>
      <c r="B393" s="104" t="s">
        <v>41</v>
      </c>
      <c r="C393" s="105" t="s">
        <v>1037</v>
      </c>
      <c r="D393" s="104" t="s">
        <v>1016</v>
      </c>
      <c r="E393" s="113">
        <v>1.8888888888888891</v>
      </c>
      <c r="F393" s="104" t="s">
        <v>45</v>
      </c>
      <c r="G393" s="106">
        <v>6</v>
      </c>
      <c r="H393" s="107" t="s">
        <v>1092</v>
      </c>
    </row>
    <row r="394" spans="1:8" ht="19.8" customHeight="1" x14ac:dyDescent="0.3">
      <c r="A394" s="112">
        <v>45987</v>
      </c>
      <c r="B394" s="104" t="s">
        <v>41</v>
      </c>
      <c r="C394" s="105" t="s">
        <v>1040</v>
      </c>
      <c r="D394" s="104" t="s">
        <v>1016</v>
      </c>
      <c r="E394" s="113">
        <v>1.944444444444444</v>
      </c>
      <c r="F394" s="104" t="s">
        <v>45</v>
      </c>
      <c r="G394" s="106">
        <v>10</v>
      </c>
      <c r="H394" s="107" t="s">
        <v>1092</v>
      </c>
    </row>
    <row r="395" spans="1:8" ht="19.8" customHeight="1" x14ac:dyDescent="0.3">
      <c r="A395" s="112">
        <v>45987</v>
      </c>
      <c r="B395" s="104" t="s">
        <v>385</v>
      </c>
      <c r="C395" s="105" t="s">
        <v>1046</v>
      </c>
      <c r="D395" s="104" t="s">
        <v>1016</v>
      </c>
      <c r="E395" s="113">
        <v>1.614583333333333</v>
      </c>
      <c r="F395" s="104" t="s">
        <v>101</v>
      </c>
      <c r="G395" s="106">
        <v>7</v>
      </c>
      <c r="H395" s="107" t="s">
        <v>1135</v>
      </c>
    </row>
    <row r="396" spans="1:8" ht="19.8" customHeight="1" x14ac:dyDescent="0.3">
      <c r="A396" s="120">
        <v>45987</v>
      </c>
      <c r="B396" s="121" t="s">
        <v>77</v>
      </c>
      <c r="C396" s="122" t="s">
        <v>1085</v>
      </c>
      <c r="D396" s="121" t="s">
        <v>1016</v>
      </c>
      <c r="E396" s="123">
        <v>1.725694444444444</v>
      </c>
      <c r="F396" s="121" t="s">
        <v>101</v>
      </c>
      <c r="G396" s="124">
        <v>9</v>
      </c>
      <c r="H396" s="125" t="s">
        <v>1133</v>
      </c>
    </row>
    <row r="397" spans="1:8" ht="19.8" customHeight="1" x14ac:dyDescent="0.3">
      <c r="A397" s="112">
        <v>45987</v>
      </c>
      <c r="B397" s="104" t="s">
        <v>388</v>
      </c>
      <c r="C397" s="105" t="s">
        <v>1129</v>
      </c>
      <c r="D397" s="104" t="s">
        <v>1016</v>
      </c>
      <c r="E397" s="113">
        <v>1.052083333333333</v>
      </c>
      <c r="F397" s="104" t="s">
        <v>46</v>
      </c>
      <c r="G397" s="106">
        <v>9</v>
      </c>
      <c r="H397" s="107" t="s">
        <v>1131</v>
      </c>
    </row>
    <row r="398" spans="1:8" ht="19.8" customHeight="1" x14ac:dyDescent="0.3">
      <c r="A398" s="112">
        <v>45987</v>
      </c>
      <c r="B398" s="104" t="s">
        <v>41</v>
      </c>
      <c r="C398" s="105" t="s">
        <v>1034</v>
      </c>
      <c r="D398" s="104" t="s">
        <v>1016</v>
      </c>
      <c r="E398" s="113">
        <v>1.6284722222222221</v>
      </c>
      <c r="F398" s="104" t="s">
        <v>45</v>
      </c>
      <c r="G398" s="106">
        <v>9</v>
      </c>
      <c r="H398" s="107" t="s">
        <v>33</v>
      </c>
    </row>
    <row r="399" spans="1:8" ht="19.8" customHeight="1" x14ac:dyDescent="0.3">
      <c r="A399" s="112">
        <v>45987</v>
      </c>
      <c r="B399" s="104" t="s">
        <v>48</v>
      </c>
      <c r="C399" s="105" t="s">
        <v>1061</v>
      </c>
      <c r="D399" s="104" t="s">
        <v>1016</v>
      </c>
      <c r="E399" s="113">
        <v>1.3472222222222221</v>
      </c>
      <c r="F399" s="104" t="s">
        <v>50</v>
      </c>
      <c r="G399" s="106">
        <v>9</v>
      </c>
      <c r="H399" s="107" t="s">
        <v>1136</v>
      </c>
    </row>
    <row r="400" spans="1:8" ht="19.8" customHeight="1" x14ac:dyDescent="0.3">
      <c r="A400" s="112">
        <v>45987</v>
      </c>
      <c r="B400" s="104" t="s">
        <v>48</v>
      </c>
      <c r="C400" s="105" t="s">
        <v>1059</v>
      </c>
      <c r="D400" s="104" t="s">
        <v>1016</v>
      </c>
      <c r="E400" s="113">
        <v>1.9826388888888891</v>
      </c>
      <c r="F400" s="104" t="s">
        <v>50</v>
      </c>
      <c r="G400" s="106">
        <v>9</v>
      </c>
      <c r="H400" s="107" t="s">
        <v>1137</v>
      </c>
    </row>
    <row r="401" spans="1:8" ht="19.8" customHeight="1" x14ac:dyDescent="0.3">
      <c r="A401" s="112">
        <v>45987</v>
      </c>
      <c r="B401" s="104" t="s">
        <v>41</v>
      </c>
      <c r="C401" s="105" t="s">
        <v>1030</v>
      </c>
      <c r="D401" s="104" t="s">
        <v>1016</v>
      </c>
      <c r="E401" s="113">
        <v>1.5763888888888891</v>
      </c>
      <c r="F401" s="104" t="s">
        <v>46</v>
      </c>
      <c r="G401" s="106">
        <v>6</v>
      </c>
      <c r="H401" s="107" t="s">
        <v>532</v>
      </c>
    </row>
    <row r="402" spans="1:8" ht="19.8" customHeight="1" x14ac:dyDescent="0.3">
      <c r="A402" s="112">
        <v>45987</v>
      </c>
      <c r="B402" s="104" t="s">
        <v>41</v>
      </c>
      <c r="C402" s="105" t="s">
        <v>1034</v>
      </c>
      <c r="D402" s="104" t="s">
        <v>1016</v>
      </c>
      <c r="E402" s="113">
        <v>1.6284722222222221</v>
      </c>
      <c r="F402" s="104" t="s">
        <v>46</v>
      </c>
      <c r="G402" s="106">
        <v>9</v>
      </c>
      <c r="H402" s="107" t="s">
        <v>532</v>
      </c>
    </row>
    <row r="403" spans="1:8" ht="19.8" customHeight="1" x14ac:dyDescent="0.3">
      <c r="A403" s="112">
        <v>45987</v>
      </c>
      <c r="B403" s="104" t="s">
        <v>41</v>
      </c>
      <c r="C403" s="105" t="s">
        <v>1037</v>
      </c>
      <c r="D403" s="104" t="s">
        <v>1016</v>
      </c>
      <c r="E403" s="113">
        <v>1.8888888888888891</v>
      </c>
      <c r="F403" s="104" t="s">
        <v>46</v>
      </c>
      <c r="G403" s="106">
        <v>6</v>
      </c>
      <c r="H403" s="107" t="s">
        <v>532</v>
      </c>
    </row>
    <row r="404" spans="1:8" ht="19.8" customHeight="1" x14ac:dyDescent="0.3">
      <c r="A404" s="112">
        <v>45987</v>
      </c>
      <c r="B404" s="104" t="s">
        <v>41</v>
      </c>
      <c r="C404" s="105" t="s">
        <v>1040</v>
      </c>
      <c r="D404" s="104" t="s">
        <v>1016</v>
      </c>
      <c r="E404" s="113">
        <v>1.944444444444444</v>
      </c>
      <c r="F404" s="104" t="s">
        <v>46</v>
      </c>
      <c r="G404" s="106">
        <v>10</v>
      </c>
      <c r="H404" s="107" t="s">
        <v>532</v>
      </c>
    </row>
    <row r="405" spans="1:8" ht="19.8" customHeight="1" x14ac:dyDescent="0.3">
      <c r="A405" s="112">
        <v>45987</v>
      </c>
      <c r="B405" s="104" t="s">
        <v>60</v>
      </c>
      <c r="C405" s="105" t="s">
        <v>1071</v>
      </c>
      <c r="D405" s="104" t="s">
        <v>1016</v>
      </c>
      <c r="E405" s="113">
        <v>1.444444444444444</v>
      </c>
      <c r="F405" s="104" t="s">
        <v>65</v>
      </c>
      <c r="G405" s="106">
        <v>9</v>
      </c>
      <c r="H405" s="107" t="s">
        <v>1072</v>
      </c>
    </row>
    <row r="406" spans="1:8" ht="19.8" customHeight="1" x14ac:dyDescent="0.3">
      <c r="A406" s="112">
        <v>45987</v>
      </c>
      <c r="B406" s="104" t="s">
        <v>60</v>
      </c>
      <c r="C406" s="105" t="s">
        <v>1073</v>
      </c>
      <c r="D406" s="104" t="s">
        <v>1016</v>
      </c>
      <c r="E406" s="113">
        <v>1.8298611111111109</v>
      </c>
      <c r="F406" s="104" t="s">
        <v>65</v>
      </c>
      <c r="G406" s="106">
        <v>9</v>
      </c>
      <c r="H406" s="107" t="s">
        <v>1072</v>
      </c>
    </row>
    <row r="407" spans="1:8" ht="19.8" customHeight="1" x14ac:dyDescent="0.3">
      <c r="A407" s="112">
        <v>45987</v>
      </c>
      <c r="B407" s="104" t="s">
        <v>60</v>
      </c>
      <c r="C407" s="105" t="s">
        <v>1074</v>
      </c>
      <c r="D407" s="104" t="s">
        <v>1016</v>
      </c>
      <c r="E407" s="113">
        <v>1.6284722222222221</v>
      </c>
      <c r="F407" s="104" t="s">
        <v>65</v>
      </c>
      <c r="G407" s="106">
        <v>9</v>
      </c>
      <c r="H407" s="107" t="s">
        <v>1072</v>
      </c>
    </row>
    <row r="408" spans="1:8" ht="19.8" customHeight="1" x14ac:dyDescent="0.3">
      <c r="A408" s="112">
        <v>45987</v>
      </c>
      <c r="B408" s="104" t="s">
        <v>48</v>
      </c>
      <c r="C408" s="105" t="s">
        <v>1062</v>
      </c>
      <c r="D408" s="104" t="s">
        <v>1016</v>
      </c>
      <c r="E408" s="113">
        <v>1.729166666666667</v>
      </c>
      <c r="F408" s="104" t="s">
        <v>50</v>
      </c>
      <c r="G408" s="106">
        <v>9</v>
      </c>
      <c r="H408" s="107" t="s">
        <v>1138</v>
      </c>
    </row>
    <row r="409" spans="1:8" ht="19.8" customHeight="1" x14ac:dyDescent="0.3">
      <c r="A409" s="112">
        <v>45987</v>
      </c>
      <c r="B409" s="104" t="s">
        <v>60</v>
      </c>
      <c r="C409" s="105" t="s">
        <v>1067</v>
      </c>
      <c r="D409" s="104" t="s">
        <v>1016</v>
      </c>
      <c r="E409" s="113">
        <v>1.8888888888888891</v>
      </c>
      <c r="F409" s="104" t="s">
        <v>65</v>
      </c>
      <c r="G409" s="106">
        <v>4</v>
      </c>
      <c r="H409" s="107" t="s">
        <v>1104</v>
      </c>
    </row>
    <row r="410" spans="1:8" ht="19.8" customHeight="1" x14ac:dyDescent="0.3">
      <c r="A410" s="112">
        <v>45987</v>
      </c>
      <c r="B410" s="104" t="s">
        <v>60</v>
      </c>
      <c r="C410" s="105" t="s">
        <v>1070</v>
      </c>
      <c r="D410" s="104" t="s">
        <v>1016</v>
      </c>
      <c r="E410" s="113">
        <v>1.944444444444444</v>
      </c>
      <c r="F410" s="104" t="s">
        <v>65</v>
      </c>
      <c r="G410" s="106">
        <v>4</v>
      </c>
      <c r="H410" s="107" t="s">
        <v>1104</v>
      </c>
    </row>
    <row r="411" spans="1:8" ht="19.8" customHeight="1" x14ac:dyDescent="0.3">
      <c r="A411" s="112">
        <v>45987</v>
      </c>
      <c r="B411" s="104" t="s">
        <v>60</v>
      </c>
      <c r="C411" s="105" t="s">
        <v>1069</v>
      </c>
      <c r="D411" s="104" t="s">
        <v>1016</v>
      </c>
      <c r="E411" s="113">
        <v>1.6284722222222221</v>
      </c>
      <c r="F411" s="104" t="s">
        <v>65</v>
      </c>
      <c r="G411" s="106">
        <v>4</v>
      </c>
      <c r="H411" s="107" t="s">
        <v>1105</v>
      </c>
    </row>
    <row r="412" spans="1:8" ht="19.8" customHeight="1" x14ac:dyDescent="0.3">
      <c r="A412" s="114">
        <v>45987</v>
      </c>
      <c r="B412" s="115" t="s">
        <v>60</v>
      </c>
      <c r="C412" s="116" t="s">
        <v>1064</v>
      </c>
      <c r="D412" s="115" t="s">
        <v>1016</v>
      </c>
      <c r="E412" s="117">
        <v>1.9826388888888891</v>
      </c>
      <c r="F412" s="115" t="s">
        <v>65</v>
      </c>
      <c r="G412" s="118">
        <v>8</v>
      </c>
      <c r="H412" s="119" t="s">
        <v>1088</v>
      </c>
    </row>
    <row r="413" spans="1:8" ht="19.8" customHeight="1" x14ac:dyDescent="0.3">
      <c r="A413" s="112">
        <v>45988</v>
      </c>
      <c r="B413" s="104" t="s">
        <v>41</v>
      </c>
      <c r="C413" s="105" t="s">
        <v>1037</v>
      </c>
      <c r="D413" s="104" t="s">
        <v>1016</v>
      </c>
      <c r="E413" s="113">
        <v>1.8888888888888891</v>
      </c>
      <c r="F413" s="104" t="s">
        <v>43</v>
      </c>
      <c r="G413" s="106">
        <v>2</v>
      </c>
      <c r="H413" s="107" t="s">
        <v>431</v>
      </c>
    </row>
    <row r="414" spans="1:8" ht="19.8" customHeight="1" x14ac:dyDescent="0.3">
      <c r="A414" s="112">
        <v>45988</v>
      </c>
      <c r="B414" s="104" t="s">
        <v>41</v>
      </c>
      <c r="C414" s="105" t="s">
        <v>1030</v>
      </c>
      <c r="D414" s="104" t="s">
        <v>1016</v>
      </c>
      <c r="E414" s="113">
        <v>1.5763888888888891</v>
      </c>
      <c r="F414" s="104" t="s">
        <v>43</v>
      </c>
      <c r="G414" s="106">
        <v>7</v>
      </c>
      <c r="H414" s="107" t="s">
        <v>44</v>
      </c>
    </row>
    <row r="415" spans="1:8" ht="19.8" customHeight="1" x14ac:dyDescent="0.3">
      <c r="A415" s="112">
        <v>45988</v>
      </c>
      <c r="B415" s="104" t="s">
        <v>41</v>
      </c>
      <c r="C415" s="105" t="s">
        <v>1040</v>
      </c>
      <c r="D415" s="104" t="s">
        <v>1016</v>
      </c>
      <c r="E415" s="113">
        <v>1.944444444444444</v>
      </c>
      <c r="F415" s="104" t="s">
        <v>43</v>
      </c>
      <c r="G415" s="106">
        <v>10</v>
      </c>
      <c r="H415" s="107" t="s">
        <v>44</v>
      </c>
    </row>
    <row r="416" spans="1:8" ht="19.8" customHeight="1" x14ac:dyDescent="0.3">
      <c r="A416" s="112">
        <v>45988</v>
      </c>
      <c r="B416" s="104" t="s">
        <v>26</v>
      </c>
      <c r="C416" s="105" t="s">
        <v>1026</v>
      </c>
      <c r="D416" s="104" t="s">
        <v>1016</v>
      </c>
      <c r="E416" s="113">
        <v>1.4375</v>
      </c>
      <c r="F416" s="104" t="s">
        <v>28</v>
      </c>
      <c r="G416" s="106">
        <v>9</v>
      </c>
      <c r="H416" s="107" t="s">
        <v>1092</v>
      </c>
    </row>
    <row r="417" spans="1:8" ht="19.8" customHeight="1" x14ac:dyDescent="0.3">
      <c r="A417" s="112">
        <v>45988</v>
      </c>
      <c r="B417" s="104" t="s">
        <v>26</v>
      </c>
      <c r="C417" s="105" t="s">
        <v>1021</v>
      </c>
      <c r="D417" s="104" t="s">
        <v>1016</v>
      </c>
      <c r="E417" s="113">
        <v>1.631944444444444</v>
      </c>
      <c r="F417" s="104" t="s">
        <v>28</v>
      </c>
      <c r="G417" s="106">
        <v>1</v>
      </c>
      <c r="H417" s="107" t="s">
        <v>1092</v>
      </c>
    </row>
    <row r="418" spans="1:8" ht="19.8" customHeight="1" x14ac:dyDescent="0.3">
      <c r="A418" s="112">
        <v>45988</v>
      </c>
      <c r="B418" s="104" t="s">
        <v>26</v>
      </c>
      <c r="C418" s="105" t="s">
        <v>1029</v>
      </c>
      <c r="D418" s="104" t="s">
        <v>1016</v>
      </c>
      <c r="E418" s="113">
        <v>1.506944444444444</v>
      </c>
      <c r="F418" s="104" t="s">
        <v>28</v>
      </c>
      <c r="G418" s="106">
        <v>9</v>
      </c>
      <c r="H418" s="107" t="s">
        <v>1092</v>
      </c>
    </row>
    <row r="419" spans="1:8" ht="19.8" customHeight="1" x14ac:dyDescent="0.3">
      <c r="A419" s="120">
        <v>45988</v>
      </c>
      <c r="B419" s="121" t="s">
        <v>77</v>
      </c>
      <c r="C419" s="122" t="s">
        <v>1052</v>
      </c>
      <c r="D419" s="121" t="s">
        <v>1016</v>
      </c>
      <c r="E419" s="123">
        <v>1.413194444444444</v>
      </c>
      <c r="F419" s="121" t="s">
        <v>101</v>
      </c>
      <c r="G419" s="124">
        <v>8</v>
      </c>
      <c r="H419" s="125" t="s">
        <v>1133</v>
      </c>
    </row>
    <row r="420" spans="1:8" ht="19.8" customHeight="1" x14ac:dyDescent="0.3">
      <c r="A420" s="112">
        <v>45988</v>
      </c>
      <c r="B420" s="104" t="s">
        <v>388</v>
      </c>
      <c r="C420" s="105" t="s">
        <v>1056</v>
      </c>
      <c r="D420" s="104" t="s">
        <v>1016</v>
      </c>
      <c r="E420" s="113">
        <v>1.4375</v>
      </c>
      <c r="F420" s="104" t="s">
        <v>390</v>
      </c>
      <c r="G420" s="106">
        <v>9</v>
      </c>
      <c r="H420" s="107" t="s">
        <v>1141</v>
      </c>
    </row>
    <row r="421" spans="1:8" ht="19.8" customHeight="1" x14ac:dyDescent="0.3">
      <c r="A421" s="112">
        <v>45988</v>
      </c>
      <c r="B421" s="104" t="s">
        <v>41</v>
      </c>
      <c r="C421" s="105" t="s">
        <v>1034</v>
      </c>
      <c r="D421" s="104" t="s">
        <v>1016</v>
      </c>
      <c r="E421" s="113">
        <v>1.6284722222222221</v>
      </c>
      <c r="F421" s="104" t="s">
        <v>43</v>
      </c>
      <c r="G421" s="106">
        <v>6</v>
      </c>
      <c r="H421" s="107" t="s">
        <v>33</v>
      </c>
    </row>
    <row r="422" spans="1:8" ht="19.8" customHeight="1" x14ac:dyDescent="0.3">
      <c r="A422" s="112">
        <v>45988</v>
      </c>
      <c r="B422" s="104" t="s">
        <v>26</v>
      </c>
      <c r="C422" s="105" t="s">
        <v>1023</v>
      </c>
      <c r="D422" s="104" t="s">
        <v>1016</v>
      </c>
      <c r="E422" s="113">
        <v>1.5590277777777779</v>
      </c>
      <c r="F422" s="104" t="s">
        <v>28</v>
      </c>
      <c r="G422" s="106">
        <v>9</v>
      </c>
      <c r="H422" s="107" t="s">
        <v>95</v>
      </c>
    </row>
    <row r="423" spans="1:8" ht="19.8" customHeight="1" x14ac:dyDescent="0.3">
      <c r="A423" s="112">
        <v>45988</v>
      </c>
      <c r="B423" s="104" t="s">
        <v>26</v>
      </c>
      <c r="C423" s="105" t="s">
        <v>1025</v>
      </c>
      <c r="D423" s="104" t="s">
        <v>1016</v>
      </c>
      <c r="E423" s="113">
        <v>1.697916666666667</v>
      </c>
      <c r="F423" s="104" t="s">
        <v>28</v>
      </c>
      <c r="G423" s="106">
        <v>9</v>
      </c>
      <c r="H423" s="107" t="s">
        <v>95</v>
      </c>
    </row>
    <row r="424" spans="1:8" ht="19.8" customHeight="1" x14ac:dyDescent="0.3">
      <c r="A424" s="112">
        <v>45988</v>
      </c>
      <c r="B424" s="104" t="s">
        <v>41</v>
      </c>
      <c r="C424" s="105" t="s">
        <v>1037</v>
      </c>
      <c r="D424" s="104" t="s">
        <v>1016</v>
      </c>
      <c r="E424" s="113">
        <v>1.8888888888888891</v>
      </c>
      <c r="F424" s="104" t="s">
        <v>45</v>
      </c>
      <c r="G424" s="106">
        <v>2</v>
      </c>
      <c r="H424" s="107" t="s">
        <v>143</v>
      </c>
    </row>
    <row r="425" spans="1:8" ht="19.8" customHeight="1" x14ac:dyDescent="0.3">
      <c r="A425" s="112">
        <v>45988</v>
      </c>
      <c r="B425" s="104" t="s">
        <v>26</v>
      </c>
      <c r="C425" s="105" t="s">
        <v>1026</v>
      </c>
      <c r="D425" s="104" t="s">
        <v>1016</v>
      </c>
      <c r="E425" s="113">
        <v>1.4375</v>
      </c>
      <c r="F425" s="104" t="s">
        <v>31</v>
      </c>
      <c r="G425" s="106">
        <v>9</v>
      </c>
      <c r="H425" s="107" t="s">
        <v>456</v>
      </c>
    </row>
    <row r="426" spans="1:8" ht="19.8" customHeight="1" x14ac:dyDescent="0.3">
      <c r="A426" s="112">
        <v>45988</v>
      </c>
      <c r="B426" s="104" t="s">
        <v>26</v>
      </c>
      <c r="C426" s="105" t="s">
        <v>1021</v>
      </c>
      <c r="D426" s="104" t="s">
        <v>1016</v>
      </c>
      <c r="E426" s="113">
        <v>1.631944444444444</v>
      </c>
      <c r="F426" s="104" t="s">
        <v>31</v>
      </c>
      <c r="G426" s="106">
        <v>1</v>
      </c>
      <c r="H426" s="107" t="s">
        <v>456</v>
      </c>
    </row>
    <row r="427" spans="1:8" ht="19.8" customHeight="1" x14ac:dyDescent="0.3">
      <c r="A427" s="112">
        <v>45988</v>
      </c>
      <c r="B427" s="104" t="s">
        <v>26</v>
      </c>
      <c r="C427" s="105" t="s">
        <v>1029</v>
      </c>
      <c r="D427" s="104" t="s">
        <v>1016</v>
      </c>
      <c r="E427" s="113">
        <v>1.506944444444444</v>
      </c>
      <c r="F427" s="104" t="s">
        <v>31</v>
      </c>
      <c r="G427" s="106">
        <v>9</v>
      </c>
      <c r="H427" s="107" t="s">
        <v>456</v>
      </c>
    </row>
    <row r="428" spans="1:8" ht="19.8" customHeight="1" x14ac:dyDescent="0.3">
      <c r="A428" s="112">
        <v>45988</v>
      </c>
      <c r="B428" s="104" t="s">
        <v>41</v>
      </c>
      <c r="C428" s="105" t="s">
        <v>1030</v>
      </c>
      <c r="D428" s="104" t="s">
        <v>1016</v>
      </c>
      <c r="E428" s="113">
        <v>1.5763888888888891</v>
      </c>
      <c r="F428" s="104" t="s">
        <v>45</v>
      </c>
      <c r="G428" s="106">
        <v>7</v>
      </c>
      <c r="H428" s="107" t="s">
        <v>35</v>
      </c>
    </row>
    <row r="429" spans="1:8" ht="19.8" customHeight="1" x14ac:dyDescent="0.3">
      <c r="A429" s="112">
        <v>45988</v>
      </c>
      <c r="B429" s="104" t="s">
        <v>41</v>
      </c>
      <c r="C429" s="105" t="s">
        <v>1040</v>
      </c>
      <c r="D429" s="104" t="s">
        <v>1016</v>
      </c>
      <c r="E429" s="113">
        <v>1.944444444444444</v>
      </c>
      <c r="F429" s="104" t="s">
        <v>45</v>
      </c>
      <c r="G429" s="106">
        <v>10</v>
      </c>
      <c r="H429" s="107" t="s">
        <v>35</v>
      </c>
    </row>
    <row r="430" spans="1:8" ht="19.8" customHeight="1" x14ac:dyDescent="0.3">
      <c r="A430" s="112">
        <v>45988</v>
      </c>
      <c r="B430" s="104" t="s">
        <v>26</v>
      </c>
      <c r="C430" s="105" t="s">
        <v>1017</v>
      </c>
      <c r="D430" s="104" t="s">
        <v>1016</v>
      </c>
      <c r="E430" s="113">
        <v>1.958333333333333</v>
      </c>
      <c r="F430" s="104" t="s">
        <v>28</v>
      </c>
      <c r="G430" s="106">
        <v>9</v>
      </c>
      <c r="H430" s="107" t="s">
        <v>493</v>
      </c>
    </row>
    <row r="431" spans="1:8" ht="19.8" customHeight="1" x14ac:dyDescent="0.3">
      <c r="A431" s="112">
        <v>45988</v>
      </c>
      <c r="B431" s="104" t="s">
        <v>26</v>
      </c>
      <c r="C431" s="105" t="s">
        <v>1024</v>
      </c>
      <c r="D431" s="104" t="s">
        <v>1016</v>
      </c>
      <c r="E431" s="113">
        <v>1.819444444444444</v>
      </c>
      <c r="F431" s="104" t="s">
        <v>28</v>
      </c>
      <c r="G431" s="106">
        <v>6</v>
      </c>
      <c r="H431" s="107" t="s">
        <v>493</v>
      </c>
    </row>
    <row r="432" spans="1:8" ht="19.8" customHeight="1" x14ac:dyDescent="0.3">
      <c r="A432" s="112">
        <v>45988</v>
      </c>
      <c r="B432" s="104" t="s">
        <v>388</v>
      </c>
      <c r="C432" s="105" t="s">
        <v>1056</v>
      </c>
      <c r="D432" s="104" t="s">
        <v>1016</v>
      </c>
      <c r="E432" s="113">
        <v>1.4375</v>
      </c>
      <c r="F432" s="104" t="s">
        <v>46</v>
      </c>
      <c r="G432" s="106">
        <v>9</v>
      </c>
      <c r="H432" s="107" t="s">
        <v>1142</v>
      </c>
    </row>
    <row r="433" spans="1:8" ht="19.8" customHeight="1" x14ac:dyDescent="0.3">
      <c r="A433" s="112">
        <v>45988</v>
      </c>
      <c r="B433" s="104" t="s">
        <v>385</v>
      </c>
      <c r="C433" s="105" t="s">
        <v>1043</v>
      </c>
      <c r="D433" s="104" t="s">
        <v>1016</v>
      </c>
      <c r="E433" s="113">
        <v>1.1701388888888891</v>
      </c>
      <c r="F433" s="104" t="s">
        <v>101</v>
      </c>
      <c r="G433" s="106">
        <v>7</v>
      </c>
      <c r="H433" s="107" t="s">
        <v>1143</v>
      </c>
    </row>
    <row r="434" spans="1:8" ht="19.8" customHeight="1" x14ac:dyDescent="0.3">
      <c r="A434" s="112">
        <v>45988</v>
      </c>
      <c r="B434" s="104" t="s">
        <v>26</v>
      </c>
      <c r="C434" s="105" t="s">
        <v>1023</v>
      </c>
      <c r="D434" s="104" t="s">
        <v>1016</v>
      </c>
      <c r="E434" s="113">
        <v>1.5590277777777779</v>
      </c>
      <c r="F434" s="104" t="s">
        <v>31</v>
      </c>
      <c r="G434" s="106">
        <v>9</v>
      </c>
      <c r="H434" s="107" t="s">
        <v>89</v>
      </c>
    </row>
    <row r="435" spans="1:8" ht="19.8" customHeight="1" x14ac:dyDescent="0.3">
      <c r="A435" s="112">
        <v>45988</v>
      </c>
      <c r="B435" s="104" t="s">
        <v>26</v>
      </c>
      <c r="C435" s="105" t="s">
        <v>1025</v>
      </c>
      <c r="D435" s="104" t="s">
        <v>1016</v>
      </c>
      <c r="E435" s="113">
        <v>1.697916666666667</v>
      </c>
      <c r="F435" s="104" t="s">
        <v>31</v>
      </c>
      <c r="G435" s="106">
        <v>9</v>
      </c>
      <c r="H435" s="107" t="s">
        <v>89</v>
      </c>
    </row>
    <row r="436" spans="1:8" ht="19.8" customHeight="1" x14ac:dyDescent="0.3">
      <c r="A436" s="112">
        <v>45988</v>
      </c>
      <c r="B436" s="104" t="s">
        <v>41</v>
      </c>
      <c r="C436" s="105" t="s">
        <v>1034</v>
      </c>
      <c r="D436" s="104" t="s">
        <v>1016</v>
      </c>
      <c r="E436" s="113">
        <v>1.6284722222222221</v>
      </c>
      <c r="F436" s="104" t="s">
        <v>45</v>
      </c>
      <c r="G436" s="106">
        <v>6</v>
      </c>
      <c r="H436" s="107" t="s">
        <v>132</v>
      </c>
    </row>
    <row r="437" spans="1:8" ht="19.8" customHeight="1" x14ac:dyDescent="0.3">
      <c r="A437" s="112">
        <v>45988</v>
      </c>
      <c r="B437" s="104" t="s">
        <v>26</v>
      </c>
      <c r="C437" s="105" t="s">
        <v>1026</v>
      </c>
      <c r="D437" s="104" t="s">
        <v>1016</v>
      </c>
      <c r="E437" s="113">
        <v>1.4375</v>
      </c>
      <c r="F437" s="104" t="s">
        <v>34</v>
      </c>
      <c r="G437" s="106">
        <v>9</v>
      </c>
      <c r="H437" s="107" t="s">
        <v>478</v>
      </c>
    </row>
    <row r="438" spans="1:8" ht="19.8" customHeight="1" x14ac:dyDescent="0.3">
      <c r="A438" s="112">
        <v>45988</v>
      </c>
      <c r="B438" s="104" t="s">
        <v>26</v>
      </c>
      <c r="C438" s="105" t="s">
        <v>1021</v>
      </c>
      <c r="D438" s="104" t="s">
        <v>1016</v>
      </c>
      <c r="E438" s="113">
        <v>1.631944444444444</v>
      </c>
      <c r="F438" s="104" t="s">
        <v>34</v>
      </c>
      <c r="G438" s="106">
        <v>1</v>
      </c>
      <c r="H438" s="107" t="s">
        <v>478</v>
      </c>
    </row>
    <row r="439" spans="1:8" ht="19.8" customHeight="1" x14ac:dyDescent="0.3">
      <c r="A439" s="112">
        <v>45988</v>
      </c>
      <c r="B439" s="104" t="s">
        <v>26</v>
      </c>
      <c r="C439" s="105" t="s">
        <v>1029</v>
      </c>
      <c r="D439" s="104" t="s">
        <v>1016</v>
      </c>
      <c r="E439" s="113">
        <v>1.506944444444444</v>
      </c>
      <c r="F439" s="104" t="s">
        <v>34</v>
      </c>
      <c r="G439" s="106">
        <v>9</v>
      </c>
      <c r="H439" s="107" t="s">
        <v>478</v>
      </c>
    </row>
    <row r="440" spans="1:8" ht="19.8" customHeight="1" x14ac:dyDescent="0.3">
      <c r="A440" s="112">
        <v>45988</v>
      </c>
      <c r="B440" s="104" t="s">
        <v>26</v>
      </c>
      <c r="C440" s="105" t="s">
        <v>1017</v>
      </c>
      <c r="D440" s="104" t="s">
        <v>1016</v>
      </c>
      <c r="E440" s="113">
        <v>1.958333333333333</v>
      </c>
      <c r="F440" s="104" t="s">
        <v>31</v>
      </c>
      <c r="G440" s="106">
        <v>9</v>
      </c>
      <c r="H440" s="107" t="s">
        <v>47</v>
      </c>
    </row>
    <row r="441" spans="1:8" ht="19.8" customHeight="1" x14ac:dyDescent="0.3">
      <c r="A441" s="112">
        <v>45988</v>
      </c>
      <c r="B441" s="104" t="s">
        <v>26</v>
      </c>
      <c r="C441" s="105" t="s">
        <v>1024</v>
      </c>
      <c r="D441" s="104" t="s">
        <v>1016</v>
      </c>
      <c r="E441" s="113">
        <v>1.819444444444444</v>
      </c>
      <c r="F441" s="104" t="s">
        <v>31</v>
      </c>
      <c r="G441" s="106">
        <v>6</v>
      </c>
      <c r="H441" s="107" t="s">
        <v>47</v>
      </c>
    </row>
    <row r="442" spans="1:8" ht="19.8" customHeight="1" x14ac:dyDescent="0.3">
      <c r="A442" s="112">
        <v>45988</v>
      </c>
      <c r="B442" s="104" t="s">
        <v>385</v>
      </c>
      <c r="C442" s="105" t="s">
        <v>1046</v>
      </c>
      <c r="D442" s="104" t="s">
        <v>1016</v>
      </c>
      <c r="E442" s="113">
        <v>1.6736111111111109</v>
      </c>
      <c r="F442" s="104" t="s">
        <v>101</v>
      </c>
      <c r="G442" s="106">
        <v>5</v>
      </c>
      <c r="H442" s="107" t="s">
        <v>441</v>
      </c>
    </row>
    <row r="443" spans="1:8" ht="19.8" customHeight="1" x14ac:dyDescent="0.3">
      <c r="A443" s="112">
        <v>45988</v>
      </c>
      <c r="B443" s="104" t="s">
        <v>26</v>
      </c>
      <c r="C443" s="105" t="s">
        <v>1023</v>
      </c>
      <c r="D443" s="104" t="s">
        <v>1016</v>
      </c>
      <c r="E443" s="113">
        <v>1.5590277777777779</v>
      </c>
      <c r="F443" s="104" t="s">
        <v>34</v>
      </c>
      <c r="G443" s="106">
        <v>9</v>
      </c>
      <c r="H443" s="107" t="s">
        <v>150</v>
      </c>
    </row>
    <row r="444" spans="1:8" ht="19.8" customHeight="1" x14ac:dyDescent="0.3">
      <c r="A444" s="112">
        <v>45988</v>
      </c>
      <c r="B444" s="104" t="s">
        <v>26</v>
      </c>
      <c r="C444" s="105" t="s">
        <v>1025</v>
      </c>
      <c r="D444" s="104" t="s">
        <v>1016</v>
      </c>
      <c r="E444" s="113">
        <v>1.697916666666667</v>
      </c>
      <c r="F444" s="104" t="s">
        <v>34</v>
      </c>
      <c r="G444" s="106">
        <v>9</v>
      </c>
      <c r="H444" s="107" t="s">
        <v>150</v>
      </c>
    </row>
    <row r="445" spans="1:8" ht="19.8" customHeight="1" x14ac:dyDescent="0.3">
      <c r="A445" s="112">
        <v>45988</v>
      </c>
      <c r="B445" s="104" t="s">
        <v>458</v>
      </c>
      <c r="C445" s="105" t="s">
        <v>1050</v>
      </c>
      <c r="D445" s="104" t="s">
        <v>1016</v>
      </c>
      <c r="E445" s="113">
        <v>1.6909722222222221</v>
      </c>
      <c r="F445" s="104" t="s">
        <v>101</v>
      </c>
      <c r="G445" s="106">
        <v>8</v>
      </c>
      <c r="H445" s="107" t="s">
        <v>1144</v>
      </c>
    </row>
    <row r="446" spans="1:8" ht="19.8" customHeight="1" x14ac:dyDescent="0.3">
      <c r="A446" s="112">
        <v>45988</v>
      </c>
      <c r="B446" s="104" t="s">
        <v>60</v>
      </c>
      <c r="C446" s="105" t="s">
        <v>1071</v>
      </c>
      <c r="D446" s="104" t="s">
        <v>1016</v>
      </c>
      <c r="E446" s="113">
        <v>1.444444444444444</v>
      </c>
      <c r="F446" s="104" t="s">
        <v>65</v>
      </c>
      <c r="G446" s="106">
        <v>1</v>
      </c>
      <c r="H446" s="107" t="s">
        <v>1145</v>
      </c>
    </row>
    <row r="447" spans="1:8" ht="19.8" customHeight="1" x14ac:dyDescent="0.3">
      <c r="A447" s="112">
        <v>45988</v>
      </c>
      <c r="B447" s="104" t="s">
        <v>60</v>
      </c>
      <c r="C447" s="105" t="s">
        <v>1073</v>
      </c>
      <c r="D447" s="104" t="s">
        <v>1016</v>
      </c>
      <c r="E447" s="113">
        <v>1.8298611111111109</v>
      </c>
      <c r="F447" s="104" t="s">
        <v>65</v>
      </c>
      <c r="G447" s="106">
        <v>9</v>
      </c>
      <c r="H447" s="107" t="s">
        <v>1145</v>
      </c>
    </row>
    <row r="448" spans="1:8" ht="19.8" customHeight="1" x14ac:dyDescent="0.3">
      <c r="A448" s="112">
        <v>45988</v>
      </c>
      <c r="B448" s="104" t="s">
        <v>60</v>
      </c>
      <c r="C448" s="105" t="s">
        <v>1064</v>
      </c>
      <c r="D448" s="104" t="s">
        <v>1016</v>
      </c>
      <c r="E448" s="113">
        <v>1.9826388888888891</v>
      </c>
      <c r="F448" s="104" t="s">
        <v>65</v>
      </c>
      <c r="G448" s="106">
        <v>9</v>
      </c>
      <c r="H448" s="107" t="s">
        <v>1145</v>
      </c>
    </row>
    <row r="449" spans="1:8" ht="19.8" customHeight="1" x14ac:dyDescent="0.3">
      <c r="A449" s="112">
        <v>45988</v>
      </c>
      <c r="B449" s="104" t="s">
        <v>60</v>
      </c>
      <c r="C449" s="105" t="s">
        <v>1074</v>
      </c>
      <c r="D449" s="104" t="s">
        <v>1016</v>
      </c>
      <c r="E449" s="113">
        <v>1.6284722222222221</v>
      </c>
      <c r="F449" s="104" t="s">
        <v>65</v>
      </c>
      <c r="G449" s="106">
        <v>9</v>
      </c>
      <c r="H449" s="107" t="s">
        <v>1145</v>
      </c>
    </row>
    <row r="450" spans="1:8" ht="19.8" customHeight="1" x14ac:dyDescent="0.3">
      <c r="A450" s="112">
        <v>45988</v>
      </c>
      <c r="B450" s="104" t="s">
        <v>48</v>
      </c>
      <c r="C450" s="105" t="s">
        <v>1061</v>
      </c>
      <c r="D450" s="104" t="s">
        <v>1016</v>
      </c>
      <c r="E450" s="113">
        <v>1.354166666666667</v>
      </c>
      <c r="F450" s="104" t="s">
        <v>50</v>
      </c>
      <c r="G450" s="106">
        <v>9</v>
      </c>
      <c r="H450" s="107" t="s">
        <v>1148</v>
      </c>
    </row>
    <row r="451" spans="1:8" ht="19.8" customHeight="1" x14ac:dyDescent="0.3">
      <c r="A451" s="112">
        <v>45988</v>
      </c>
      <c r="B451" s="104" t="s">
        <v>26</v>
      </c>
      <c r="C451" s="105" t="s">
        <v>1017</v>
      </c>
      <c r="D451" s="104" t="s">
        <v>1016</v>
      </c>
      <c r="E451" s="113">
        <v>1.958333333333333</v>
      </c>
      <c r="F451" s="104" t="s">
        <v>34</v>
      </c>
      <c r="G451" s="106">
        <v>9</v>
      </c>
      <c r="H451" s="107" t="s">
        <v>1139</v>
      </c>
    </row>
    <row r="452" spans="1:8" ht="19.8" customHeight="1" x14ac:dyDescent="0.3">
      <c r="A452" s="112">
        <v>45988</v>
      </c>
      <c r="B452" s="104" t="s">
        <v>26</v>
      </c>
      <c r="C452" s="105" t="s">
        <v>1024</v>
      </c>
      <c r="D452" s="104" t="s">
        <v>1016</v>
      </c>
      <c r="E452" s="113">
        <v>1.819444444444444</v>
      </c>
      <c r="F452" s="104" t="s">
        <v>34</v>
      </c>
      <c r="G452" s="106">
        <v>6</v>
      </c>
      <c r="H452" s="107" t="s">
        <v>1139</v>
      </c>
    </row>
    <row r="453" spans="1:8" ht="19.8" customHeight="1" x14ac:dyDescent="0.3">
      <c r="A453" s="112">
        <v>45988</v>
      </c>
      <c r="B453" s="104" t="s">
        <v>48</v>
      </c>
      <c r="C453" s="105" t="s">
        <v>1062</v>
      </c>
      <c r="D453" s="104" t="s">
        <v>1016</v>
      </c>
      <c r="E453" s="113">
        <v>1.729166666666667</v>
      </c>
      <c r="F453" s="104" t="s">
        <v>50</v>
      </c>
      <c r="G453" s="106">
        <v>9</v>
      </c>
      <c r="H453" s="107" t="s">
        <v>1137</v>
      </c>
    </row>
    <row r="454" spans="1:8" ht="19.8" customHeight="1" x14ac:dyDescent="0.3">
      <c r="A454" s="112">
        <v>45988</v>
      </c>
      <c r="B454" s="104" t="s">
        <v>41</v>
      </c>
      <c r="C454" s="105" t="s">
        <v>1030</v>
      </c>
      <c r="D454" s="104" t="s">
        <v>1016</v>
      </c>
      <c r="E454" s="113">
        <v>1.5763888888888891</v>
      </c>
      <c r="F454" s="104" t="s">
        <v>46</v>
      </c>
      <c r="G454" s="106">
        <v>7</v>
      </c>
      <c r="H454" s="107" t="s">
        <v>532</v>
      </c>
    </row>
    <row r="455" spans="1:8" ht="19.8" customHeight="1" x14ac:dyDescent="0.3">
      <c r="A455" s="112">
        <v>45988</v>
      </c>
      <c r="B455" s="104" t="s">
        <v>41</v>
      </c>
      <c r="C455" s="105" t="s">
        <v>1034</v>
      </c>
      <c r="D455" s="104" t="s">
        <v>1016</v>
      </c>
      <c r="E455" s="113">
        <v>1.6284722222222221</v>
      </c>
      <c r="F455" s="104" t="s">
        <v>46</v>
      </c>
      <c r="G455" s="106">
        <v>6</v>
      </c>
      <c r="H455" s="107" t="s">
        <v>532</v>
      </c>
    </row>
    <row r="456" spans="1:8" ht="19.8" customHeight="1" x14ac:dyDescent="0.3">
      <c r="A456" s="112">
        <v>45988</v>
      </c>
      <c r="B456" s="104" t="s">
        <v>41</v>
      </c>
      <c r="C456" s="105" t="s">
        <v>1037</v>
      </c>
      <c r="D456" s="104" t="s">
        <v>1016</v>
      </c>
      <c r="E456" s="113">
        <v>1.8888888888888891</v>
      </c>
      <c r="F456" s="104" t="s">
        <v>46</v>
      </c>
      <c r="G456" s="106">
        <v>2</v>
      </c>
      <c r="H456" s="107" t="s">
        <v>532</v>
      </c>
    </row>
    <row r="457" spans="1:8" ht="19.8" customHeight="1" x14ac:dyDescent="0.3">
      <c r="A457" s="112">
        <v>45988</v>
      </c>
      <c r="B457" s="104" t="s">
        <v>41</v>
      </c>
      <c r="C457" s="105" t="s">
        <v>1040</v>
      </c>
      <c r="D457" s="104" t="s">
        <v>1016</v>
      </c>
      <c r="E457" s="113">
        <v>1.944444444444444</v>
      </c>
      <c r="F457" s="104" t="s">
        <v>46</v>
      </c>
      <c r="G457" s="106">
        <v>10</v>
      </c>
      <c r="H457" s="107" t="s">
        <v>532</v>
      </c>
    </row>
    <row r="458" spans="1:8" ht="19.8" customHeight="1" x14ac:dyDescent="0.3">
      <c r="A458" s="112">
        <v>45988</v>
      </c>
      <c r="B458" s="104" t="s">
        <v>48</v>
      </c>
      <c r="C458" s="105" t="s">
        <v>1059</v>
      </c>
      <c r="D458" s="104" t="s">
        <v>1016</v>
      </c>
      <c r="E458" s="113">
        <v>1.9826388888888891</v>
      </c>
      <c r="F458" s="104" t="s">
        <v>50</v>
      </c>
      <c r="G458" s="106">
        <v>9</v>
      </c>
      <c r="H458" s="107" t="s">
        <v>1138</v>
      </c>
    </row>
    <row r="459" spans="1:8" ht="19.8" customHeight="1" x14ac:dyDescent="0.3">
      <c r="A459" s="112">
        <v>45988</v>
      </c>
      <c r="B459" s="104" t="s">
        <v>60</v>
      </c>
      <c r="C459" s="105" t="s">
        <v>1067</v>
      </c>
      <c r="D459" s="104" t="s">
        <v>1016</v>
      </c>
      <c r="E459" s="113">
        <v>1.8888888888888891</v>
      </c>
      <c r="F459" s="104" t="s">
        <v>65</v>
      </c>
      <c r="G459" s="106">
        <v>4</v>
      </c>
      <c r="H459" s="107" t="s">
        <v>1146</v>
      </c>
    </row>
    <row r="460" spans="1:8" ht="19.8" customHeight="1" x14ac:dyDescent="0.3">
      <c r="A460" s="112">
        <v>45988</v>
      </c>
      <c r="B460" s="104" t="s">
        <v>60</v>
      </c>
      <c r="C460" s="105" t="s">
        <v>1070</v>
      </c>
      <c r="D460" s="104" t="s">
        <v>1016</v>
      </c>
      <c r="E460" s="113">
        <v>1.944444444444444</v>
      </c>
      <c r="F460" s="104" t="s">
        <v>65</v>
      </c>
      <c r="G460" s="106">
        <v>4</v>
      </c>
      <c r="H460" s="107" t="s">
        <v>1146</v>
      </c>
    </row>
    <row r="461" spans="1:8" ht="19.8" customHeight="1" x14ac:dyDescent="0.3">
      <c r="A461" s="114">
        <v>45988</v>
      </c>
      <c r="B461" s="115" t="s">
        <v>60</v>
      </c>
      <c r="C461" s="116" t="s">
        <v>1069</v>
      </c>
      <c r="D461" s="115" t="s">
        <v>1016</v>
      </c>
      <c r="E461" s="117">
        <v>1.6284722222222221</v>
      </c>
      <c r="F461" s="115" t="s">
        <v>65</v>
      </c>
      <c r="G461" s="118">
        <v>4</v>
      </c>
      <c r="H461" s="119" t="s">
        <v>1147</v>
      </c>
    </row>
    <row r="462" spans="1:8" ht="19.8" customHeight="1" x14ac:dyDescent="0.3">
      <c r="A462" s="112">
        <v>45989</v>
      </c>
      <c r="B462" s="104" t="s">
        <v>41</v>
      </c>
      <c r="C462" s="105" t="s">
        <v>1030</v>
      </c>
      <c r="D462" s="104" t="s">
        <v>1016</v>
      </c>
      <c r="E462" s="113">
        <v>1.5763888888888891</v>
      </c>
      <c r="F462" s="104" t="s">
        <v>337</v>
      </c>
      <c r="G462" s="106">
        <v>10</v>
      </c>
      <c r="H462" s="107" t="s">
        <v>154</v>
      </c>
    </row>
    <row r="463" spans="1:8" ht="19.8" customHeight="1" x14ac:dyDescent="0.3">
      <c r="A463" s="112">
        <v>45989</v>
      </c>
      <c r="B463" s="104" t="s">
        <v>41</v>
      </c>
      <c r="C463" s="105" t="s">
        <v>1034</v>
      </c>
      <c r="D463" s="104" t="s">
        <v>1016</v>
      </c>
      <c r="E463" s="113">
        <v>1.6284722222222221</v>
      </c>
      <c r="F463" s="104" t="s">
        <v>337</v>
      </c>
      <c r="G463" s="106">
        <v>11</v>
      </c>
      <c r="H463" s="107" t="s">
        <v>154</v>
      </c>
    </row>
    <row r="464" spans="1:8" ht="19.8" customHeight="1" x14ac:dyDescent="0.3">
      <c r="A464" s="112">
        <v>45989</v>
      </c>
      <c r="B464" s="104" t="s">
        <v>26</v>
      </c>
      <c r="C464" s="105" t="s">
        <v>1026</v>
      </c>
      <c r="D464" s="104" t="s">
        <v>1016</v>
      </c>
      <c r="E464" s="113">
        <v>1.4375</v>
      </c>
      <c r="F464" s="104" t="s">
        <v>351</v>
      </c>
      <c r="G464" s="106">
        <v>7</v>
      </c>
      <c r="H464" s="107" t="s">
        <v>149</v>
      </c>
    </row>
    <row r="465" spans="1:8" ht="19.8" customHeight="1" x14ac:dyDescent="0.3">
      <c r="A465" s="112">
        <v>45989</v>
      </c>
      <c r="B465" s="104" t="s">
        <v>26</v>
      </c>
      <c r="C465" s="105" t="s">
        <v>1021</v>
      </c>
      <c r="D465" s="104" t="s">
        <v>1016</v>
      </c>
      <c r="E465" s="113">
        <v>1.631944444444444</v>
      </c>
      <c r="F465" s="104" t="s">
        <v>351</v>
      </c>
      <c r="G465" s="106">
        <v>3</v>
      </c>
      <c r="H465" s="107" t="s">
        <v>149</v>
      </c>
    </row>
    <row r="466" spans="1:8" ht="19.8" customHeight="1" x14ac:dyDescent="0.3">
      <c r="A466" s="112">
        <v>45989</v>
      </c>
      <c r="B466" s="104" t="s">
        <v>41</v>
      </c>
      <c r="C466" s="105" t="s">
        <v>1037</v>
      </c>
      <c r="D466" s="104" t="s">
        <v>1016</v>
      </c>
      <c r="E466" s="113">
        <v>1.8888888888888891</v>
      </c>
      <c r="F466" s="104" t="s">
        <v>337</v>
      </c>
      <c r="G466" s="106">
        <v>8</v>
      </c>
      <c r="H466" s="107" t="s">
        <v>123</v>
      </c>
    </row>
    <row r="467" spans="1:8" ht="19.8" customHeight="1" x14ac:dyDescent="0.3">
      <c r="A467" s="112">
        <v>45989</v>
      </c>
      <c r="B467" s="104" t="s">
        <v>41</v>
      </c>
      <c r="C467" s="105" t="s">
        <v>1040</v>
      </c>
      <c r="D467" s="104" t="s">
        <v>1016</v>
      </c>
      <c r="E467" s="113">
        <v>1.944444444444444</v>
      </c>
      <c r="F467" s="104" t="s">
        <v>337</v>
      </c>
      <c r="G467" s="106">
        <v>5</v>
      </c>
      <c r="H467" s="107" t="s">
        <v>123</v>
      </c>
    </row>
    <row r="468" spans="1:8" ht="19.8" customHeight="1" x14ac:dyDescent="0.3">
      <c r="A468" s="112">
        <v>45989</v>
      </c>
      <c r="B468" s="104" t="s">
        <v>26</v>
      </c>
      <c r="C468" s="105" t="s">
        <v>1017</v>
      </c>
      <c r="D468" s="104" t="s">
        <v>1016</v>
      </c>
      <c r="E468" s="113">
        <v>1.958333333333333</v>
      </c>
      <c r="F468" s="104" t="s">
        <v>351</v>
      </c>
      <c r="G468" s="106">
        <v>9</v>
      </c>
      <c r="H468" s="107" t="s">
        <v>150</v>
      </c>
    </row>
    <row r="469" spans="1:8" ht="19.8" customHeight="1" x14ac:dyDescent="0.3">
      <c r="A469" s="112">
        <v>45989</v>
      </c>
      <c r="B469" s="104" t="s">
        <v>26</v>
      </c>
      <c r="C469" s="105" t="s">
        <v>1023</v>
      </c>
      <c r="D469" s="104" t="s">
        <v>1016</v>
      </c>
      <c r="E469" s="113">
        <v>1.5590277777777779</v>
      </c>
      <c r="F469" s="104" t="s">
        <v>351</v>
      </c>
      <c r="G469" s="106">
        <v>9</v>
      </c>
      <c r="H469" s="107" t="s">
        <v>150</v>
      </c>
    </row>
    <row r="470" spans="1:8" ht="19.8" customHeight="1" x14ac:dyDescent="0.3">
      <c r="A470" s="112">
        <v>45989</v>
      </c>
      <c r="B470" s="104" t="s">
        <v>26</v>
      </c>
      <c r="C470" s="105" t="s">
        <v>1024</v>
      </c>
      <c r="D470" s="104" t="s">
        <v>1016</v>
      </c>
      <c r="E470" s="113">
        <v>1.819444444444444</v>
      </c>
      <c r="F470" s="104" t="s">
        <v>351</v>
      </c>
      <c r="G470" s="106">
        <v>9</v>
      </c>
      <c r="H470" s="107" t="s">
        <v>150</v>
      </c>
    </row>
    <row r="471" spans="1:8" ht="19.8" customHeight="1" x14ac:dyDescent="0.3">
      <c r="A471" s="112">
        <v>45989</v>
      </c>
      <c r="B471" s="104" t="s">
        <v>26</v>
      </c>
      <c r="C471" s="105" t="s">
        <v>1029</v>
      </c>
      <c r="D471" s="104" t="s">
        <v>1016</v>
      </c>
      <c r="E471" s="113">
        <v>1.506944444444444</v>
      </c>
      <c r="F471" s="104" t="s">
        <v>351</v>
      </c>
      <c r="G471" s="106">
        <v>9</v>
      </c>
      <c r="H471" s="107" t="s">
        <v>150</v>
      </c>
    </row>
    <row r="472" spans="1:8" ht="19.8" customHeight="1" x14ac:dyDescent="0.3">
      <c r="A472" s="112">
        <v>45989</v>
      </c>
      <c r="B472" s="104" t="s">
        <v>26</v>
      </c>
      <c r="C472" s="105" t="s">
        <v>1025</v>
      </c>
      <c r="D472" s="104" t="s">
        <v>1016</v>
      </c>
      <c r="E472" s="113">
        <v>1.697916666666667</v>
      </c>
      <c r="F472" s="104" t="s">
        <v>351</v>
      </c>
      <c r="G472" s="106">
        <v>7</v>
      </c>
      <c r="H472" s="107" t="s">
        <v>150</v>
      </c>
    </row>
    <row r="473" spans="1:8" ht="19.8" customHeight="1" x14ac:dyDescent="0.3">
      <c r="A473" s="112">
        <v>45989</v>
      </c>
      <c r="B473" s="104" t="s">
        <v>458</v>
      </c>
      <c r="C473" s="105" t="s">
        <v>1048</v>
      </c>
      <c r="D473" s="104" t="s">
        <v>1016</v>
      </c>
      <c r="E473" s="113">
        <v>1.0902777777777779</v>
      </c>
      <c r="F473" s="104" t="s">
        <v>101</v>
      </c>
      <c r="G473" s="106">
        <v>9</v>
      </c>
      <c r="H473" s="107" t="s">
        <v>1144</v>
      </c>
    </row>
    <row r="474" spans="1:8" ht="19.8" customHeight="1" x14ac:dyDescent="0.3">
      <c r="A474" s="112">
        <v>45989</v>
      </c>
      <c r="B474" s="104" t="s">
        <v>385</v>
      </c>
      <c r="C474" s="105" t="s">
        <v>1043</v>
      </c>
      <c r="D474" s="104" t="s">
        <v>1016</v>
      </c>
      <c r="E474" s="113">
        <v>1.211805555555556</v>
      </c>
      <c r="F474" s="104" t="s">
        <v>101</v>
      </c>
      <c r="G474" s="106">
        <v>5</v>
      </c>
      <c r="H474" s="107" t="s">
        <v>1149</v>
      </c>
    </row>
    <row r="475" spans="1:8" ht="19.8" customHeight="1" x14ac:dyDescent="0.3">
      <c r="A475" s="120">
        <v>45989</v>
      </c>
      <c r="B475" s="121" t="s">
        <v>77</v>
      </c>
      <c r="C475" s="122" t="s">
        <v>1052</v>
      </c>
      <c r="D475" s="121" t="s">
        <v>1016</v>
      </c>
      <c r="E475" s="123">
        <v>1.40625</v>
      </c>
      <c r="F475" s="121" t="s">
        <v>101</v>
      </c>
      <c r="G475" s="124">
        <v>6</v>
      </c>
      <c r="H475" s="125" t="s">
        <v>1150</v>
      </c>
    </row>
    <row r="476" spans="1:8" ht="19.8" customHeight="1" x14ac:dyDescent="0.3">
      <c r="A476" s="120">
        <v>45989</v>
      </c>
      <c r="B476" s="121" t="s">
        <v>77</v>
      </c>
      <c r="C476" s="122" t="s">
        <v>1085</v>
      </c>
      <c r="D476" s="121" t="s">
        <v>1016</v>
      </c>
      <c r="E476" s="123">
        <v>1.725694444444444</v>
      </c>
      <c r="F476" s="121" t="s">
        <v>101</v>
      </c>
      <c r="G476" s="124">
        <v>7</v>
      </c>
      <c r="H476" s="125" t="s">
        <v>1150</v>
      </c>
    </row>
    <row r="477" spans="1:8" ht="19.8" customHeight="1" x14ac:dyDescent="0.3">
      <c r="A477" s="112">
        <v>45989</v>
      </c>
      <c r="B477" s="104" t="s">
        <v>60</v>
      </c>
      <c r="C477" s="105" t="s">
        <v>1071</v>
      </c>
      <c r="D477" s="104" t="s">
        <v>1016</v>
      </c>
      <c r="E477" s="113">
        <v>1.444444444444444</v>
      </c>
      <c r="F477" s="104" t="s">
        <v>65</v>
      </c>
      <c r="G477" s="106">
        <v>9</v>
      </c>
      <c r="H477" s="107" t="s">
        <v>1072</v>
      </c>
    </row>
    <row r="478" spans="1:8" ht="19.8" customHeight="1" x14ac:dyDescent="0.3">
      <c r="A478" s="112">
        <v>45989</v>
      </c>
      <c r="B478" s="104" t="s">
        <v>60</v>
      </c>
      <c r="C478" s="105" t="s">
        <v>1064</v>
      </c>
      <c r="D478" s="104" t="s">
        <v>1016</v>
      </c>
      <c r="E478" s="113">
        <v>1.9826388888888891</v>
      </c>
      <c r="F478" s="104" t="s">
        <v>65</v>
      </c>
      <c r="G478" s="106">
        <v>4</v>
      </c>
      <c r="H478" s="107" t="s">
        <v>1072</v>
      </c>
    </row>
    <row r="479" spans="1:8" ht="19.8" customHeight="1" x14ac:dyDescent="0.3">
      <c r="A479" s="112">
        <v>45989</v>
      </c>
      <c r="B479" s="104" t="s">
        <v>48</v>
      </c>
      <c r="C479" s="105" t="s">
        <v>1061</v>
      </c>
      <c r="D479" s="104" t="s">
        <v>1016</v>
      </c>
      <c r="E479" s="113">
        <v>1.354166666666667</v>
      </c>
      <c r="F479" s="104" t="s">
        <v>50</v>
      </c>
      <c r="G479" s="106">
        <v>9</v>
      </c>
      <c r="H479" s="107" t="s">
        <v>1138</v>
      </c>
    </row>
    <row r="480" spans="1:8" ht="19.8" customHeight="1" x14ac:dyDescent="0.3">
      <c r="A480" s="112">
        <v>45989</v>
      </c>
      <c r="B480" s="104" t="s">
        <v>60</v>
      </c>
      <c r="C480" s="105" t="s">
        <v>1074</v>
      </c>
      <c r="D480" s="104" t="s">
        <v>1016</v>
      </c>
      <c r="E480" s="113">
        <v>1.6284722222222221</v>
      </c>
      <c r="F480" s="104" t="s">
        <v>65</v>
      </c>
      <c r="G480" s="106">
        <v>5</v>
      </c>
      <c r="H480" s="107" t="s">
        <v>1155</v>
      </c>
    </row>
    <row r="481" spans="1:8" ht="19.8" customHeight="1" x14ac:dyDescent="0.3">
      <c r="A481" s="112">
        <v>45989</v>
      </c>
      <c r="B481" s="104" t="s">
        <v>48</v>
      </c>
      <c r="C481" s="105" t="s">
        <v>1062</v>
      </c>
      <c r="D481" s="104" t="s">
        <v>1016</v>
      </c>
      <c r="E481" s="113">
        <v>1.729166666666667</v>
      </c>
      <c r="F481" s="104" t="s">
        <v>50</v>
      </c>
      <c r="G481" s="106">
        <v>9</v>
      </c>
      <c r="H481" s="107" t="s">
        <v>491</v>
      </c>
    </row>
    <row r="482" spans="1:8" ht="19.8" customHeight="1" x14ac:dyDescent="0.3">
      <c r="A482" s="112">
        <v>45989</v>
      </c>
      <c r="B482" s="104" t="s">
        <v>60</v>
      </c>
      <c r="C482" s="105" t="s">
        <v>1073</v>
      </c>
      <c r="D482" s="104" t="s">
        <v>1016</v>
      </c>
      <c r="E482" s="113">
        <v>1.8298611111111109</v>
      </c>
      <c r="F482" s="104" t="s">
        <v>65</v>
      </c>
      <c r="G482" s="106">
        <v>1</v>
      </c>
      <c r="H482" s="107" t="s">
        <v>1088</v>
      </c>
    </row>
    <row r="483" spans="1:8" ht="19.8" customHeight="1" x14ac:dyDescent="0.3">
      <c r="A483" s="112">
        <v>45989</v>
      </c>
      <c r="B483" s="104" t="s">
        <v>48</v>
      </c>
      <c r="C483" s="105" t="s">
        <v>1059</v>
      </c>
      <c r="D483" s="104" t="s">
        <v>1016</v>
      </c>
      <c r="E483" s="113">
        <v>1.9826388888888891</v>
      </c>
      <c r="F483" s="104" t="s">
        <v>50</v>
      </c>
      <c r="G483" s="106">
        <v>9</v>
      </c>
      <c r="H483" s="107" t="s">
        <v>1157</v>
      </c>
    </row>
    <row r="484" spans="1:8" ht="19.8" customHeight="1" x14ac:dyDescent="0.3">
      <c r="A484" s="112">
        <v>45989</v>
      </c>
      <c r="B484" s="104" t="s">
        <v>60</v>
      </c>
      <c r="C484" s="105" t="s">
        <v>1067</v>
      </c>
      <c r="D484" s="104" t="s">
        <v>1016</v>
      </c>
      <c r="E484" s="113">
        <v>1.8888888888888891</v>
      </c>
      <c r="F484" s="104" t="s">
        <v>65</v>
      </c>
      <c r="G484" s="106">
        <v>4</v>
      </c>
      <c r="H484" s="107" t="s">
        <v>1156</v>
      </c>
    </row>
    <row r="485" spans="1:8" ht="19.8" customHeight="1" x14ac:dyDescent="0.3">
      <c r="A485" s="112">
        <v>45989</v>
      </c>
      <c r="B485" s="104" t="s">
        <v>60</v>
      </c>
      <c r="C485" s="105" t="s">
        <v>1069</v>
      </c>
      <c r="D485" s="104" t="s">
        <v>1016</v>
      </c>
      <c r="E485" s="113">
        <v>1.6284722222222221</v>
      </c>
      <c r="F485" s="104" t="s">
        <v>65</v>
      </c>
      <c r="G485" s="106">
        <v>4</v>
      </c>
      <c r="H485" s="107" t="s">
        <v>1156</v>
      </c>
    </row>
    <row r="486" spans="1:8" ht="19.8" customHeight="1" x14ac:dyDescent="0.3">
      <c r="A486" s="114">
        <v>45989</v>
      </c>
      <c r="B486" s="115" t="s">
        <v>60</v>
      </c>
      <c r="C486" s="116" t="s">
        <v>1070</v>
      </c>
      <c r="D486" s="115" t="s">
        <v>1016</v>
      </c>
      <c r="E486" s="117">
        <v>1.944444444444444</v>
      </c>
      <c r="F486" s="115" t="s">
        <v>65</v>
      </c>
      <c r="G486" s="118">
        <v>4</v>
      </c>
      <c r="H486" s="119" t="s">
        <v>1156</v>
      </c>
    </row>
    <row r="487" spans="1:8" ht="19.8" customHeight="1" x14ac:dyDescent="0.3">
      <c r="A487" s="112">
        <v>45990</v>
      </c>
      <c r="B487" s="104" t="s">
        <v>458</v>
      </c>
      <c r="C487" s="105" t="s">
        <v>1048</v>
      </c>
      <c r="D487" s="104" t="s">
        <v>1016</v>
      </c>
      <c r="E487" s="113">
        <v>1.086805555555556</v>
      </c>
      <c r="F487" s="104" t="s">
        <v>101</v>
      </c>
      <c r="G487" s="106">
        <v>9</v>
      </c>
      <c r="H487" s="107" t="s">
        <v>1158</v>
      </c>
    </row>
    <row r="488" spans="1:8" ht="19.8" customHeight="1" x14ac:dyDescent="0.3">
      <c r="A488" s="112">
        <v>45990</v>
      </c>
      <c r="B488" s="104" t="s">
        <v>41</v>
      </c>
      <c r="C488" s="105" t="s">
        <v>1030</v>
      </c>
      <c r="D488" s="104" t="s">
        <v>1016</v>
      </c>
      <c r="E488" s="113">
        <v>1.5763888888888891</v>
      </c>
      <c r="F488" s="104" t="s">
        <v>43</v>
      </c>
      <c r="G488" s="106">
        <v>9</v>
      </c>
      <c r="H488" s="107" t="s">
        <v>457</v>
      </c>
    </row>
    <row r="489" spans="1:8" ht="19.8" customHeight="1" x14ac:dyDescent="0.3">
      <c r="A489" s="112">
        <v>45990</v>
      </c>
      <c r="B489" s="104" t="s">
        <v>41</v>
      </c>
      <c r="C489" s="105" t="s">
        <v>1034</v>
      </c>
      <c r="D489" s="104" t="s">
        <v>1016</v>
      </c>
      <c r="E489" s="113">
        <v>1.6284722222222221</v>
      </c>
      <c r="F489" s="104" t="s">
        <v>43</v>
      </c>
      <c r="G489" s="106">
        <v>4</v>
      </c>
      <c r="H489" s="107" t="s">
        <v>457</v>
      </c>
    </row>
    <row r="490" spans="1:8" ht="19.8" customHeight="1" x14ac:dyDescent="0.3">
      <c r="A490" s="112">
        <v>45990</v>
      </c>
      <c r="B490" s="104" t="s">
        <v>41</v>
      </c>
      <c r="C490" s="105" t="s">
        <v>1040</v>
      </c>
      <c r="D490" s="104" t="s">
        <v>1016</v>
      </c>
      <c r="E490" s="113">
        <v>1.944444444444444</v>
      </c>
      <c r="F490" s="104" t="s">
        <v>43</v>
      </c>
      <c r="G490" s="106">
        <v>3</v>
      </c>
      <c r="H490" s="107" t="s">
        <v>457</v>
      </c>
    </row>
    <row r="491" spans="1:8" ht="19.8" customHeight="1" x14ac:dyDescent="0.3">
      <c r="A491" s="112">
        <v>45990</v>
      </c>
      <c r="B491" s="104" t="s">
        <v>388</v>
      </c>
      <c r="C491" s="105" t="s">
        <v>1056</v>
      </c>
      <c r="D491" s="104" t="s">
        <v>1016</v>
      </c>
      <c r="E491" s="113">
        <v>1.4375</v>
      </c>
      <c r="F491" s="104" t="s">
        <v>390</v>
      </c>
      <c r="G491" s="106">
        <v>9</v>
      </c>
      <c r="H491" s="107" t="s">
        <v>1160</v>
      </c>
    </row>
    <row r="492" spans="1:8" ht="19.8" customHeight="1" x14ac:dyDescent="0.3">
      <c r="A492" s="112">
        <v>45990</v>
      </c>
      <c r="B492" s="104" t="s">
        <v>385</v>
      </c>
      <c r="C492" s="105" t="s">
        <v>1043</v>
      </c>
      <c r="D492" s="104" t="s">
        <v>1016</v>
      </c>
      <c r="E492" s="113">
        <v>1.1701388888888891</v>
      </c>
      <c r="F492" s="104" t="s">
        <v>101</v>
      </c>
      <c r="G492" s="106">
        <v>8</v>
      </c>
      <c r="H492" s="107" t="s">
        <v>1149</v>
      </c>
    </row>
    <row r="493" spans="1:8" ht="19.8" customHeight="1" x14ac:dyDescent="0.3">
      <c r="A493" s="112">
        <v>45990</v>
      </c>
      <c r="B493" s="104" t="s">
        <v>385</v>
      </c>
      <c r="C493" s="105" t="s">
        <v>1162</v>
      </c>
      <c r="D493" s="104" t="s">
        <v>1016</v>
      </c>
      <c r="E493" s="113">
        <v>1.024305555555556</v>
      </c>
      <c r="F493" s="104" t="s">
        <v>101</v>
      </c>
      <c r="G493" s="106">
        <v>2</v>
      </c>
      <c r="H493" s="107" t="s">
        <v>1149</v>
      </c>
    </row>
    <row r="494" spans="1:8" ht="19.8" customHeight="1" x14ac:dyDescent="0.3">
      <c r="A494" s="112">
        <v>45990</v>
      </c>
      <c r="B494" s="104" t="s">
        <v>26</v>
      </c>
      <c r="C494" s="105" t="s">
        <v>1026</v>
      </c>
      <c r="D494" s="104" t="s">
        <v>1016</v>
      </c>
      <c r="E494" s="113">
        <v>1.4375</v>
      </c>
      <c r="F494" s="104" t="s">
        <v>28</v>
      </c>
      <c r="G494" s="106">
        <v>7</v>
      </c>
      <c r="H494" s="107" t="s">
        <v>532</v>
      </c>
    </row>
    <row r="495" spans="1:8" ht="19.8" customHeight="1" x14ac:dyDescent="0.3">
      <c r="A495" s="112">
        <v>45990</v>
      </c>
      <c r="B495" s="104" t="s">
        <v>458</v>
      </c>
      <c r="C495" s="105" t="s">
        <v>1050</v>
      </c>
      <c r="D495" s="104" t="s">
        <v>1016</v>
      </c>
      <c r="E495" s="113">
        <v>1.6840277777777779</v>
      </c>
      <c r="F495" s="104" t="s">
        <v>101</v>
      </c>
      <c r="G495" s="106">
        <v>5</v>
      </c>
      <c r="H495" s="107" t="s">
        <v>1159</v>
      </c>
    </row>
    <row r="496" spans="1:8" ht="19.8" customHeight="1" x14ac:dyDescent="0.3">
      <c r="A496" s="112">
        <v>45990</v>
      </c>
      <c r="B496" s="104" t="s">
        <v>41</v>
      </c>
      <c r="C496" s="105" t="s">
        <v>1037</v>
      </c>
      <c r="D496" s="104" t="s">
        <v>1016</v>
      </c>
      <c r="E496" s="113">
        <v>1.8888888888888891</v>
      </c>
      <c r="F496" s="104" t="s">
        <v>43</v>
      </c>
      <c r="G496" s="106">
        <v>13</v>
      </c>
      <c r="H496" s="107" t="s">
        <v>479</v>
      </c>
    </row>
    <row r="497" spans="1:8" ht="19.8" customHeight="1" x14ac:dyDescent="0.3">
      <c r="A497" s="112">
        <v>45990</v>
      </c>
      <c r="B497" s="104" t="s">
        <v>41</v>
      </c>
      <c r="C497" s="105" t="s">
        <v>1030</v>
      </c>
      <c r="D497" s="104" t="s">
        <v>1016</v>
      </c>
      <c r="E497" s="113">
        <v>1.5763888888888891</v>
      </c>
      <c r="F497" s="104" t="s">
        <v>45</v>
      </c>
      <c r="G497" s="106">
        <v>9</v>
      </c>
      <c r="H497" s="107" t="s">
        <v>534</v>
      </c>
    </row>
    <row r="498" spans="1:8" ht="19.8" customHeight="1" x14ac:dyDescent="0.3">
      <c r="A498" s="112">
        <v>45990</v>
      </c>
      <c r="B498" s="104" t="s">
        <v>41</v>
      </c>
      <c r="C498" s="105" t="s">
        <v>1034</v>
      </c>
      <c r="D498" s="104" t="s">
        <v>1016</v>
      </c>
      <c r="E498" s="113">
        <v>1.6284722222222221</v>
      </c>
      <c r="F498" s="104" t="s">
        <v>45</v>
      </c>
      <c r="G498" s="106">
        <v>4</v>
      </c>
      <c r="H498" s="107" t="s">
        <v>534</v>
      </c>
    </row>
    <row r="499" spans="1:8" ht="19.8" customHeight="1" x14ac:dyDescent="0.3">
      <c r="A499" s="112">
        <v>45990</v>
      </c>
      <c r="B499" s="104" t="s">
        <v>41</v>
      </c>
      <c r="C499" s="105" t="s">
        <v>1040</v>
      </c>
      <c r="D499" s="104" t="s">
        <v>1016</v>
      </c>
      <c r="E499" s="113">
        <v>1.944444444444444</v>
      </c>
      <c r="F499" s="104" t="s">
        <v>45</v>
      </c>
      <c r="G499" s="106">
        <v>3</v>
      </c>
      <c r="H499" s="107" t="s">
        <v>534</v>
      </c>
    </row>
    <row r="500" spans="1:8" ht="19.8" customHeight="1" x14ac:dyDescent="0.3">
      <c r="A500" s="112">
        <v>45990</v>
      </c>
      <c r="B500" s="104" t="s">
        <v>26</v>
      </c>
      <c r="C500" s="105" t="s">
        <v>1026</v>
      </c>
      <c r="D500" s="104" t="s">
        <v>1016</v>
      </c>
      <c r="E500" s="113">
        <v>1.4375</v>
      </c>
      <c r="F500" s="104" t="s">
        <v>31</v>
      </c>
      <c r="G500" s="106">
        <v>7</v>
      </c>
      <c r="H500" s="107" t="s">
        <v>534</v>
      </c>
    </row>
    <row r="501" spans="1:8" ht="19.8" customHeight="1" x14ac:dyDescent="0.3">
      <c r="A501" s="112">
        <v>45990</v>
      </c>
      <c r="B501" s="104" t="s">
        <v>26</v>
      </c>
      <c r="C501" s="105" t="s">
        <v>1023</v>
      </c>
      <c r="D501" s="104" t="s">
        <v>1016</v>
      </c>
      <c r="E501" s="113">
        <v>1.5590277777777779</v>
      </c>
      <c r="F501" s="104" t="s">
        <v>28</v>
      </c>
      <c r="G501" s="106">
        <v>6</v>
      </c>
      <c r="H501" s="107" t="s">
        <v>534</v>
      </c>
    </row>
    <row r="502" spans="1:8" ht="19.8" customHeight="1" x14ac:dyDescent="0.3">
      <c r="A502" s="112">
        <v>45990</v>
      </c>
      <c r="B502" s="104" t="s">
        <v>26</v>
      </c>
      <c r="C502" s="105" t="s">
        <v>1029</v>
      </c>
      <c r="D502" s="104" t="s">
        <v>1016</v>
      </c>
      <c r="E502" s="113">
        <v>1.506944444444444</v>
      </c>
      <c r="F502" s="104" t="s">
        <v>28</v>
      </c>
      <c r="G502" s="106">
        <v>9</v>
      </c>
      <c r="H502" s="107" t="s">
        <v>534</v>
      </c>
    </row>
    <row r="503" spans="1:8" ht="19.8" customHeight="1" x14ac:dyDescent="0.3">
      <c r="A503" s="112">
        <v>45990</v>
      </c>
      <c r="B503" s="104" t="s">
        <v>385</v>
      </c>
      <c r="C503" s="105" t="s">
        <v>1045</v>
      </c>
      <c r="D503" s="104" t="s">
        <v>1016</v>
      </c>
      <c r="E503" s="113">
        <v>1.538194444444444</v>
      </c>
      <c r="F503" s="104" t="s">
        <v>101</v>
      </c>
      <c r="G503" s="106">
        <v>9</v>
      </c>
      <c r="H503" s="107" t="s">
        <v>1163</v>
      </c>
    </row>
    <row r="504" spans="1:8" ht="19.8" customHeight="1" x14ac:dyDescent="0.3">
      <c r="A504" s="112">
        <v>45990</v>
      </c>
      <c r="B504" s="104" t="s">
        <v>41</v>
      </c>
      <c r="C504" s="105" t="s">
        <v>1037</v>
      </c>
      <c r="D504" s="104" t="s">
        <v>1016</v>
      </c>
      <c r="E504" s="113">
        <v>1.8888888888888891</v>
      </c>
      <c r="F504" s="104" t="s">
        <v>45</v>
      </c>
      <c r="G504" s="106">
        <v>13</v>
      </c>
      <c r="H504" s="107" t="s">
        <v>535</v>
      </c>
    </row>
    <row r="505" spans="1:8" ht="19.8" customHeight="1" x14ac:dyDescent="0.3">
      <c r="A505" s="112">
        <v>45990</v>
      </c>
      <c r="B505" s="104" t="s">
        <v>26</v>
      </c>
      <c r="C505" s="105" t="s">
        <v>1026</v>
      </c>
      <c r="D505" s="104" t="s">
        <v>1016</v>
      </c>
      <c r="E505" s="113">
        <v>1.4375</v>
      </c>
      <c r="F505" s="104" t="s">
        <v>34</v>
      </c>
      <c r="G505" s="106">
        <v>7</v>
      </c>
      <c r="H505" s="107" t="s">
        <v>535</v>
      </c>
    </row>
    <row r="506" spans="1:8" ht="19.8" customHeight="1" x14ac:dyDescent="0.3">
      <c r="A506" s="112">
        <v>45990</v>
      </c>
      <c r="B506" s="104" t="s">
        <v>26</v>
      </c>
      <c r="C506" s="105" t="s">
        <v>1017</v>
      </c>
      <c r="D506" s="104" t="s">
        <v>1016</v>
      </c>
      <c r="E506" s="113">
        <v>1.958333333333333</v>
      </c>
      <c r="F506" s="104" t="s">
        <v>28</v>
      </c>
      <c r="G506" s="106">
        <v>6</v>
      </c>
      <c r="H506" s="107" t="s">
        <v>550</v>
      </c>
    </row>
    <row r="507" spans="1:8" ht="19.8" customHeight="1" x14ac:dyDescent="0.3">
      <c r="A507" s="112">
        <v>45990</v>
      </c>
      <c r="B507" s="104" t="s">
        <v>26</v>
      </c>
      <c r="C507" s="105" t="s">
        <v>1021</v>
      </c>
      <c r="D507" s="104" t="s">
        <v>1016</v>
      </c>
      <c r="E507" s="113">
        <v>1.631944444444444</v>
      </c>
      <c r="F507" s="104" t="s">
        <v>28</v>
      </c>
      <c r="G507" s="106">
        <v>9</v>
      </c>
      <c r="H507" s="107" t="s">
        <v>550</v>
      </c>
    </row>
    <row r="508" spans="1:8" ht="19.8" customHeight="1" x14ac:dyDescent="0.3">
      <c r="A508" s="112">
        <v>45990</v>
      </c>
      <c r="B508" s="104" t="s">
        <v>26</v>
      </c>
      <c r="C508" s="105" t="s">
        <v>1023</v>
      </c>
      <c r="D508" s="104" t="s">
        <v>1016</v>
      </c>
      <c r="E508" s="113">
        <v>1.5590277777777779</v>
      </c>
      <c r="F508" s="104" t="s">
        <v>31</v>
      </c>
      <c r="G508" s="106">
        <v>6</v>
      </c>
      <c r="H508" s="107" t="s">
        <v>550</v>
      </c>
    </row>
    <row r="509" spans="1:8" ht="19.8" customHeight="1" x14ac:dyDescent="0.3">
      <c r="A509" s="112">
        <v>45990</v>
      </c>
      <c r="B509" s="104" t="s">
        <v>26</v>
      </c>
      <c r="C509" s="105" t="s">
        <v>1024</v>
      </c>
      <c r="D509" s="104" t="s">
        <v>1016</v>
      </c>
      <c r="E509" s="113">
        <v>1.819444444444444</v>
      </c>
      <c r="F509" s="104" t="s">
        <v>28</v>
      </c>
      <c r="G509" s="106">
        <v>2</v>
      </c>
      <c r="H509" s="107" t="s">
        <v>550</v>
      </c>
    </row>
    <row r="510" spans="1:8" ht="19.8" customHeight="1" x14ac:dyDescent="0.3">
      <c r="A510" s="112">
        <v>45990</v>
      </c>
      <c r="B510" s="104" t="s">
        <v>26</v>
      </c>
      <c r="C510" s="105" t="s">
        <v>1029</v>
      </c>
      <c r="D510" s="104" t="s">
        <v>1016</v>
      </c>
      <c r="E510" s="113">
        <v>1.506944444444444</v>
      </c>
      <c r="F510" s="104" t="s">
        <v>31</v>
      </c>
      <c r="G510" s="106">
        <v>9</v>
      </c>
      <c r="H510" s="107" t="s">
        <v>550</v>
      </c>
    </row>
    <row r="511" spans="1:8" ht="19.8" customHeight="1" x14ac:dyDescent="0.3">
      <c r="A511" s="112">
        <v>45990</v>
      </c>
      <c r="B511" s="104" t="s">
        <v>26</v>
      </c>
      <c r="C511" s="105" t="s">
        <v>1025</v>
      </c>
      <c r="D511" s="104" t="s">
        <v>1016</v>
      </c>
      <c r="E511" s="113">
        <v>1.697916666666667</v>
      </c>
      <c r="F511" s="104" t="s">
        <v>28</v>
      </c>
      <c r="G511" s="106">
        <v>3</v>
      </c>
      <c r="H511" s="107" t="s">
        <v>550</v>
      </c>
    </row>
    <row r="512" spans="1:8" ht="19.8" customHeight="1" x14ac:dyDescent="0.3">
      <c r="A512" s="112">
        <v>45990</v>
      </c>
      <c r="B512" s="104" t="s">
        <v>388</v>
      </c>
      <c r="C512" s="105" t="s">
        <v>1056</v>
      </c>
      <c r="D512" s="104" t="s">
        <v>1016</v>
      </c>
      <c r="E512" s="113">
        <v>1.4375</v>
      </c>
      <c r="F512" s="104" t="s">
        <v>46</v>
      </c>
      <c r="G512" s="106">
        <v>9</v>
      </c>
      <c r="H512" s="107" t="s">
        <v>1161</v>
      </c>
    </row>
    <row r="513" spans="1:8" ht="19.8" customHeight="1" x14ac:dyDescent="0.3">
      <c r="A513" s="112">
        <v>45990</v>
      </c>
      <c r="B513" s="104" t="s">
        <v>26</v>
      </c>
      <c r="C513" s="105" t="s">
        <v>1023</v>
      </c>
      <c r="D513" s="104" t="s">
        <v>1016</v>
      </c>
      <c r="E513" s="113">
        <v>1.5590277777777779</v>
      </c>
      <c r="F513" s="104" t="s">
        <v>34</v>
      </c>
      <c r="G513" s="106">
        <v>6</v>
      </c>
      <c r="H513" s="107" t="s">
        <v>1164</v>
      </c>
    </row>
    <row r="514" spans="1:8" ht="19.8" customHeight="1" x14ac:dyDescent="0.3">
      <c r="A514" s="112">
        <v>45990</v>
      </c>
      <c r="B514" s="104" t="s">
        <v>26</v>
      </c>
      <c r="C514" s="105" t="s">
        <v>1029</v>
      </c>
      <c r="D514" s="104" t="s">
        <v>1016</v>
      </c>
      <c r="E514" s="113">
        <v>1.506944444444444</v>
      </c>
      <c r="F514" s="104" t="s">
        <v>34</v>
      </c>
      <c r="G514" s="106">
        <v>9</v>
      </c>
      <c r="H514" s="107" t="s">
        <v>1164</v>
      </c>
    </row>
    <row r="515" spans="1:8" ht="19.8" customHeight="1" x14ac:dyDescent="0.3">
      <c r="A515" s="112">
        <v>45990</v>
      </c>
      <c r="B515" s="104" t="s">
        <v>26</v>
      </c>
      <c r="C515" s="105" t="s">
        <v>1017</v>
      </c>
      <c r="D515" s="104" t="s">
        <v>1016</v>
      </c>
      <c r="E515" s="113">
        <v>1.958333333333333</v>
      </c>
      <c r="F515" s="104" t="s">
        <v>31</v>
      </c>
      <c r="G515" s="106">
        <v>6</v>
      </c>
      <c r="H515" s="107" t="s">
        <v>551</v>
      </c>
    </row>
    <row r="516" spans="1:8" ht="19.8" customHeight="1" x14ac:dyDescent="0.3">
      <c r="A516" s="112">
        <v>45990</v>
      </c>
      <c r="B516" s="104" t="s">
        <v>26</v>
      </c>
      <c r="C516" s="105" t="s">
        <v>1021</v>
      </c>
      <c r="D516" s="104" t="s">
        <v>1016</v>
      </c>
      <c r="E516" s="113">
        <v>1.631944444444444</v>
      </c>
      <c r="F516" s="104" t="s">
        <v>31</v>
      </c>
      <c r="G516" s="106">
        <v>9</v>
      </c>
      <c r="H516" s="107" t="s">
        <v>551</v>
      </c>
    </row>
    <row r="517" spans="1:8" ht="19.8" customHeight="1" x14ac:dyDescent="0.3">
      <c r="A517" s="112">
        <v>45990</v>
      </c>
      <c r="B517" s="104" t="s">
        <v>26</v>
      </c>
      <c r="C517" s="105" t="s">
        <v>1024</v>
      </c>
      <c r="D517" s="104" t="s">
        <v>1016</v>
      </c>
      <c r="E517" s="113">
        <v>1.819444444444444</v>
      </c>
      <c r="F517" s="104" t="s">
        <v>31</v>
      </c>
      <c r="G517" s="106">
        <v>2</v>
      </c>
      <c r="H517" s="107" t="s">
        <v>551</v>
      </c>
    </row>
    <row r="518" spans="1:8" ht="19.8" customHeight="1" x14ac:dyDescent="0.3">
      <c r="A518" s="112">
        <v>45990</v>
      </c>
      <c r="B518" s="104" t="s">
        <v>26</v>
      </c>
      <c r="C518" s="105" t="s">
        <v>1025</v>
      </c>
      <c r="D518" s="104" t="s">
        <v>1016</v>
      </c>
      <c r="E518" s="113">
        <v>1.697916666666667</v>
      </c>
      <c r="F518" s="104" t="s">
        <v>31</v>
      </c>
      <c r="G518" s="106">
        <v>3</v>
      </c>
      <c r="H518" s="107" t="s">
        <v>551</v>
      </c>
    </row>
    <row r="519" spans="1:8" ht="19.8" customHeight="1" x14ac:dyDescent="0.3">
      <c r="A519" s="120">
        <v>45990</v>
      </c>
      <c r="B519" s="121" t="s">
        <v>77</v>
      </c>
      <c r="C519" s="122" t="s">
        <v>1052</v>
      </c>
      <c r="D519" s="121" t="s">
        <v>1016</v>
      </c>
      <c r="E519" s="123">
        <v>1.413194444444444</v>
      </c>
      <c r="F519" s="121" t="s">
        <v>101</v>
      </c>
      <c r="G519" s="124">
        <v>9</v>
      </c>
      <c r="H519" s="125" t="s">
        <v>1165</v>
      </c>
    </row>
    <row r="520" spans="1:8" ht="19.8" customHeight="1" x14ac:dyDescent="0.3">
      <c r="A520" s="112">
        <v>45990</v>
      </c>
      <c r="B520" s="104" t="s">
        <v>26</v>
      </c>
      <c r="C520" s="105" t="s">
        <v>1017</v>
      </c>
      <c r="D520" s="104" t="s">
        <v>1016</v>
      </c>
      <c r="E520" s="113">
        <v>1.958333333333333</v>
      </c>
      <c r="F520" s="104" t="s">
        <v>34</v>
      </c>
      <c r="G520" s="106">
        <v>6</v>
      </c>
      <c r="H520" s="107" t="s">
        <v>552</v>
      </c>
    </row>
    <row r="521" spans="1:8" ht="19.8" customHeight="1" x14ac:dyDescent="0.3">
      <c r="A521" s="112">
        <v>45990</v>
      </c>
      <c r="B521" s="104" t="s">
        <v>26</v>
      </c>
      <c r="C521" s="105" t="s">
        <v>1021</v>
      </c>
      <c r="D521" s="104" t="s">
        <v>1016</v>
      </c>
      <c r="E521" s="113">
        <v>1.631944444444444</v>
      </c>
      <c r="F521" s="104" t="s">
        <v>34</v>
      </c>
      <c r="G521" s="106">
        <v>9</v>
      </c>
      <c r="H521" s="107" t="s">
        <v>552</v>
      </c>
    </row>
    <row r="522" spans="1:8" ht="19.8" customHeight="1" x14ac:dyDescent="0.3">
      <c r="A522" s="112">
        <v>45990</v>
      </c>
      <c r="B522" s="104" t="s">
        <v>26</v>
      </c>
      <c r="C522" s="105" t="s">
        <v>1024</v>
      </c>
      <c r="D522" s="104" t="s">
        <v>1016</v>
      </c>
      <c r="E522" s="113">
        <v>1.819444444444444</v>
      </c>
      <c r="F522" s="104" t="s">
        <v>34</v>
      </c>
      <c r="G522" s="106">
        <v>2</v>
      </c>
      <c r="H522" s="107" t="s">
        <v>552</v>
      </c>
    </row>
    <row r="523" spans="1:8" ht="19.8" customHeight="1" x14ac:dyDescent="0.3">
      <c r="A523" s="112">
        <v>45990</v>
      </c>
      <c r="B523" s="104" t="s">
        <v>26</v>
      </c>
      <c r="C523" s="105" t="s">
        <v>1025</v>
      </c>
      <c r="D523" s="104" t="s">
        <v>1016</v>
      </c>
      <c r="E523" s="113">
        <v>1.697916666666667</v>
      </c>
      <c r="F523" s="104" t="s">
        <v>34</v>
      </c>
      <c r="G523" s="106">
        <v>3</v>
      </c>
      <c r="H523" s="107" t="s">
        <v>552</v>
      </c>
    </row>
    <row r="524" spans="1:8" ht="19.8" customHeight="1" x14ac:dyDescent="0.3">
      <c r="A524" s="112">
        <v>45990</v>
      </c>
      <c r="B524" s="104" t="s">
        <v>60</v>
      </c>
      <c r="C524" s="105" t="s">
        <v>1071</v>
      </c>
      <c r="D524" s="104" t="s">
        <v>1016</v>
      </c>
      <c r="E524" s="113">
        <v>1.444444444444444</v>
      </c>
      <c r="F524" s="104" t="s">
        <v>65</v>
      </c>
      <c r="G524" s="106">
        <v>1</v>
      </c>
      <c r="H524" s="107" t="s">
        <v>1103</v>
      </c>
    </row>
    <row r="525" spans="1:8" ht="19.8" customHeight="1" x14ac:dyDescent="0.3">
      <c r="A525" s="112">
        <v>45990</v>
      </c>
      <c r="B525" s="104" t="s">
        <v>60</v>
      </c>
      <c r="C525" s="105" t="s">
        <v>1064</v>
      </c>
      <c r="D525" s="104" t="s">
        <v>1016</v>
      </c>
      <c r="E525" s="113">
        <v>1.9826388888888891</v>
      </c>
      <c r="F525" s="104" t="s">
        <v>65</v>
      </c>
      <c r="G525" s="106">
        <v>9</v>
      </c>
      <c r="H525" s="107" t="s">
        <v>1103</v>
      </c>
    </row>
    <row r="526" spans="1:8" ht="19.8" customHeight="1" x14ac:dyDescent="0.3">
      <c r="A526" s="112">
        <v>45990</v>
      </c>
      <c r="B526" s="104" t="s">
        <v>41</v>
      </c>
      <c r="C526" s="105" t="s">
        <v>1030</v>
      </c>
      <c r="D526" s="104" t="s">
        <v>1016</v>
      </c>
      <c r="E526" s="113">
        <v>1.5763888888888891</v>
      </c>
      <c r="F526" s="104" t="s">
        <v>46</v>
      </c>
      <c r="G526" s="106">
        <v>9</v>
      </c>
      <c r="H526" s="107" t="s">
        <v>1081</v>
      </c>
    </row>
    <row r="527" spans="1:8" ht="19.8" customHeight="1" x14ac:dyDescent="0.3">
      <c r="A527" s="112">
        <v>45990</v>
      </c>
      <c r="B527" s="104" t="s">
        <v>41</v>
      </c>
      <c r="C527" s="105" t="s">
        <v>1034</v>
      </c>
      <c r="D527" s="104" t="s">
        <v>1016</v>
      </c>
      <c r="E527" s="113">
        <v>1.6284722222222221</v>
      </c>
      <c r="F527" s="104" t="s">
        <v>46</v>
      </c>
      <c r="G527" s="106">
        <v>4</v>
      </c>
      <c r="H527" s="107" t="s">
        <v>1081</v>
      </c>
    </row>
    <row r="528" spans="1:8" ht="19.8" customHeight="1" x14ac:dyDescent="0.3">
      <c r="A528" s="112">
        <v>45990</v>
      </c>
      <c r="B528" s="104" t="s">
        <v>41</v>
      </c>
      <c r="C528" s="105" t="s">
        <v>1037</v>
      </c>
      <c r="D528" s="104" t="s">
        <v>1016</v>
      </c>
      <c r="E528" s="113">
        <v>1.8888888888888891</v>
      </c>
      <c r="F528" s="104" t="s">
        <v>46</v>
      </c>
      <c r="G528" s="106">
        <v>13</v>
      </c>
      <c r="H528" s="107" t="s">
        <v>1081</v>
      </c>
    </row>
    <row r="529" spans="1:8" ht="19.8" customHeight="1" x14ac:dyDescent="0.3">
      <c r="A529" s="112">
        <v>45990</v>
      </c>
      <c r="B529" s="104" t="s">
        <v>41</v>
      </c>
      <c r="C529" s="105" t="s">
        <v>1040</v>
      </c>
      <c r="D529" s="104" t="s">
        <v>1016</v>
      </c>
      <c r="E529" s="113">
        <v>1.944444444444444</v>
      </c>
      <c r="F529" s="104" t="s">
        <v>46</v>
      </c>
      <c r="G529" s="106">
        <v>3</v>
      </c>
      <c r="H529" s="107" t="s">
        <v>1081</v>
      </c>
    </row>
    <row r="530" spans="1:8" ht="19.8" customHeight="1" x14ac:dyDescent="0.3">
      <c r="A530" s="112">
        <v>45990</v>
      </c>
      <c r="B530" s="104" t="s">
        <v>48</v>
      </c>
      <c r="C530" s="105" t="s">
        <v>1059</v>
      </c>
      <c r="D530" s="104" t="s">
        <v>1016</v>
      </c>
      <c r="E530" s="113">
        <v>1.9861111111111109</v>
      </c>
      <c r="F530" s="104" t="s">
        <v>50</v>
      </c>
      <c r="G530" s="106">
        <v>9</v>
      </c>
      <c r="H530" s="107" t="s">
        <v>1157</v>
      </c>
    </row>
    <row r="531" spans="1:8" ht="19.8" customHeight="1" x14ac:dyDescent="0.3">
      <c r="A531" s="112">
        <v>45990</v>
      </c>
      <c r="B531" s="104" t="s">
        <v>48</v>
      </c>
      <c r="C531" s="105" t="s">
        <v>1062</v>
      </c>
      <c r="D531" s="104" t="s">
        <v>1016</v>
      </c>
      <c r="E531" s="113">
        <v>1.729166666666667</v>
      </c>
      <c r="F531" s="104" t="s">
        <v>50</v>
      </c>
      <c r="G531" s="106">
        <v>2</v>
      </c>
      <c r="H531" s="107" t="s">
        <v>1090</v>
      </c>
    </row>
    <row r="532" spans="1:8" ht="19.8" customHeight="1" x14ac:dyDescent="0.3">
      <c r="A532" s="112">
        <v>45990</v>
      </c>
      <c r="B532" s="104" t="s">
        <v>48</v>
      </c>
      <c r="C532" s="105" t="s">
        <v>1061</v>
      </c>
      <c r="D532" s="104" t="s">
        <v>1016</v>
      </c>
      <c r="E532" s="113">
        <v>1.354166666666667</v>
      </c>
      <c r="F532" s="104" t="s">
        <v>50</v>
      </c>
      <c r="G532" s="106">
        <v>9</v>
      </c>
      <c r="H532" s="107" t="s">
        <v>1090</v>
      </c>
    </row>
    <row r="533" spans="1:8" ht="19.8" customHeight="1" x14ac:dyDescent="0.3">
      <c r="A533" s="112">
        <v>45990</v>
      </c>
      <c r="B533" s="104" t="s">
        <v>60</v>
      </c>
      <c r="C533" s="105" t="s">
        <v>1073</v>
      </c>
      <c r="D533" s="104" t="s">
        <v>1016</v>
      </c>
      <c r="E533" s="113">
        <v>1.8298611111111109</v>
      </c>
      <c r="F533" s="104" t="s">
        <v>65</v>
      </c>
      <c r="G533" s="106">
        <v>9</v>
      </c>
      <c r="H533" s="107" t="s">
        <v>1168</v>
      </c>
    </row>
    <row r="534" spans="1:8" ht="19.8" customHeight="1" x14ac:dyDescent="0.3">
      <c r="A534" s="112">
        <v>45990</v>
      </c>
      <c r="B534" s="104" t="s">
        <v>60</v>
      </c>
      <c r="C534" s="105" t="s">
        <v>1074</v>
      </c>
      <c r="D534" s="104" t="s">
        <v>1016</v>
      </c>
      <c r="E534" s="113">
        <v>1.6284722222222221</v>
      </c>
      <c r="F534" s="104" t="s">
        <v>65</v>
      </c>
      <c r="G534" s="106">
        <v>6</v>
      </c>
      <c r="H534" s="107" t="s">
        <v>1168</v>
      </c>
    </row>
    <row r="535" spans="1:8" ht="19.8" customHeight="1" x14ac:dyDescent="0.3">
      <c r="A535" s="112">
        <v>45990</v>
      </c>
      <c r="B535" s="104" t="s">
        <v>60</v>
      </c>
      <c r="C535" s="105" t="s">
        <v>1067</v>
      </c>
      <c r="D535" s="104" t="s">
        <v>1016</v>
      </c>
      <c r="E535" s="113">
        <v>1.8888888888888891</v>
      </c>
      <c r="F535" s="104" t="s">
        <v>65</v>
      </c>
      <c r="G535" s="106">
        <v>4</v>
      </c>
      <c r="H535" s="107" t="s">
        <v>1169</v>
      </c>
    </row>
    <row r="536" spans="1:8" ht="19.8" customHeight="1" x14ac:dyDescent="0.3">
      <c r="A536" s="112">
        <v>45990</v>
      </c>
      <c r="B536" s="104" t="s">
        <v>60</v>
      </c>
      <c r="C536" s="105" t="s">
        <v>1069</v>
      </c>
      <c r="D536" s="104" t="s">
        <v>1016</v>
      </c>
      <c r="E536" s="113">
        <v>1.6284722222222221</v>
      </c>
      <c r="F536" s="104" t="s">
        <v>65</v>
      </c>
      <c r="G536" s="106">
        <v>4</v>
      </c>
      <c r="H536" s="107" t="s">
        <v>1169</v>
      </c>
    </row>
    <row r="537" spans="1:8" ht="19.8" customHeight="1" x14ac:dyDescent="0.3">
      <c r="A537" s="114">
        <v>45990</v>
      </c>
      <c r="B537" s="115" t="s">
        <v>60</v>
      </c>
      <c r="C537" s="116" t="s">
        <v>1070</v>
      </c>
      <c r="D537" s="115" t="s">
        <v>1016</v>
      </c>
      <c r="E537" s="117">
        <v>1.944444444444444</v>
      </c>
      <c r="F537" s="115" t="s">
        <v>65</v>
      </c>
      <c r="G537" s="118">
        <v>4</v>
      </c>
      <c r="H537" s="119" t="s">
        <v>1169</v>
      </c>
    </row>
    <row r="538" spans="1:8" ht="19.8" customHeight="1" x14ac:dyDescent="0.3">
      <c r="A538" s="112">
        <v>45991</v>
      </c>
      <c r="B538" s="104" t="s">
        <v>26</v>
      </c>
      <c r="C538" s="105" t="s">
        <v>1026</v>
      </c>
      <c r="D538" s="104" t="s">
        <v>1016</v>
      </c>
      <c r="E538" s="113">
        <v>1.4375</v>
      </c>
      <c r="F538" s="104" t="s">
        <v>28</v>
      </c>
      <c r="G538" s="106">
        <v>4</v>
      </c>
      <c r="H538" s="107" t="s">
        <v>810</v>
      </c>
    </row>
    <row r="539" spans="1:8" ht="19.8" customHeight="1" x14ac:dyDescent="0.3">
      <c r="A539" s="112">
        <v>45991</v>
      </c>
      <c r="B539" s="104" t="s">
        <v>41</v>
      </c>
      <c r="C539" s="105" t="s">
        <v>1037</v>
      </c>
      <c r="D539" s="104" t="s">
        <v>1016</v>
      </c>
      <c r="E539" s="113">
        <v>1.8888888888888891</v>
      </c>
      <c r="F539" s="104" t="s">
        <v>43</v>
      </c>
      <c r="G539" s="106">
        <v>2</v>
      </c>
      <c r="H539" s="107" t="s">
        <v>33</v>
      </c>
    </row>
    <row r="540" spans="1:8" ht="19.8" customHeight="1" x14ac:dyDescent="0.3">
      <c r="A540" s="112">
        <v>45991</v>
      </c>
      <c r="B540" s="104" t="s">
        <v>26</v>
      </c>
      <c r="C540" s="105" t="s">
        <v>1026</v>
      </c>
      <c r="D540" s="104" t="s">
        <v>1016</v>
      </c>
      <c r="E540" s="113">
        <v>1.4375</v>
      </c>
      <c r="F540" s="104" t="s">
        <v>31</v>
      </c>
      <c r="G540" s="106">
        <v>4</v>
      </c>
      <c r="H540" s="107" t="s">
        <v>1097</v>
      </c>
    </row>
    <row r="541" spans="1:8" ht="19.8" customHeight="1" x14ac:dyDescent="0.3">
      <c r="A541" s="120">
        <v>45991</v>
      </c>
      <c r="B541" s="121" t="s">
        <v>77</v>
      </c>
      <c r="C541" s="122" t="s">
        <v>1052</v>
      </c>
      <c r="D541" s="121" t="s">
        <v>1016</v>
      </c>
      <c r="E541" s="123">
        <v>1.427083333333333</v>
      </c>
      <c r="F541" s="121" t="s">
        <v>101</v>
      </c>
      <c r="G541" s="124">
        <v>4</v>
      </c>
      <c r="H541" s="125" t="s">
        <v>1171</v>
      </c>
    </row>
    <row r="542" spans="1:8" ht="19.8" customHeight="1" x14ac:dyDescent="0.3">
      <c r="A542" s="112">
        <v>45991</v>
      </c>
      <c r="B542" s="104" t="s">
        <v>41</v>
      </c>
      <c r="C542" s="105" t="s">
        <v>1034</v>
      </c>
      <c r="D542" s="104" t="s">
        <v>1016</v>
      </c>
      <c r="E542" s="113">
        <v>1.6284722222222221</v>
      </c>
      <c r="F542" s="104" t="s">
        <v>43</v>
      </c>
      <c r="G542" s="106">
        <v>12</v>
      </c>
      <c r="H542" s="107" t="s">
        <v>143</v>
      </c>
    </row>
    <row r="543" spans="1:8" ht="19.8" customHeight="1" x14ac:dyDescent="0.3">
      <c r="A543" s="112">
        <v>45991</v>
      </c>
      <c r="B543" s="104" t="s">
        <v>26</v>
      </c>
      <c r="C543" s="105" t="s">
        <v>1017</v>
      </c>
      <c r="D543" s="104" t="s">
        <v>1016</v>
      </c>
      <c r="E543" s="113">
        <v>1.958333333333333</v>
      </c>
      <c r="F543" s="104" t="s">
        <v>28</v>
      </c>
      <c r="G543" s="106">
        <v>2</v>
      </c>
      <c r="H543" s="107" t="s">
        <v>143</v>
      </c>
    </row>
    <row r="544" spans="1:8" ht="19.8" customHeight="1" x14ac:dyDescent="0.3">
      <c r="A544" s="112">
        <v>45991</v>
      </c>
      <c r="B544" s="104" t="s">
        <v>26</v>
      </c>
      <c r="C544" s="105" t="s">
        <v>1021</v>
      </c>
      <c r="D544" s="104" t="s">
        <v>1016</v>
      </c>
      <c r="E544" s="113">
        <v>1.631944444444444</v>
      </c>
      <c r="F544" s="104" t="s">
        <v>28</v>
      </c>
      <c r="G544" s="106">
        <v>9</v>
      </c>
      <c r="H544" s="107" t="s">
        <v>143</v>
      </c>
    </row>
    <row r="545" spans="1:8" ht="19.8" customHeight="1" x14ac:dyDescent="0.3">
      <c r="A545" s="112">
        <v>45991</v>
      </c>
      <c r="B545" s="104" t="s">
        <v>26</v>
      </c>
      <c r="C545" s="105" t="s">
        <v>1023</v>
      </c>
      <c r="D545" s="104" t="s">
        <v>1016</v>
      </c>
      <c r="E545" s="113">
        <v>1.5590277777777779</v>
      </c>
      <c r="F545" s="104" t="s">
        <v>28</v>
      </c>
      <c r="G545" s="106">
        <v>7</v>
      </c>
      <c r="H545" s="107" t="s">
        <v>143</v>
      </c>
    </row>
    <row r="546" spans="1:8" ht="19.8" customHeight="1" x14ac:dyDescent="0.3">
      <c r="A546" s="112">
        <v>45991</v>
      </c>
      <c r="B546" s="104" t="s">
        <v>26</v>
      </c>
      <c r="C546" s="105" t="s">
        <v>1025</v>
      </c>
      <c r="D546" s="104" t="s">
        <v>1016</v>
      </c>
      <c r="E546" s="113">
        <v>1.697916666666667</v>
      </c>
      <c r="F546" s="104" t="s">
        <v>28</v>
      </c>
      <c r="G546" s="106">
        <v>5</v>
      </c>
      <c r="H546" s="107" t="s">
        <v>143</v>
      </c>
    </row>
    <row r="547" spans="1:8" ht="19.8" customHeight="1" x14ac:dyDescent="0.3">
      <c r="A547" s="112">
        <v>45991</v>
      </c>
      <c r="B547" s="104" t="s">
        <v>458</v>
      </c>
      <c r="C547" s="105" t="s">
        <v>1111</v>
      </c>
      <c r="D547" s="104" t="s">
        <v>1016</v>
      </c>
      <c r="E547" s="113">
        <v>1.399305555555556</v>
      </c>
      <c r="F547" s="104" t="s">
        <v>101</v>
      </c>
      <c r="G547" s="106">
        <v>7</v>
      </c>
      <c r="H547" s="107" t="s">
        <v>1174</v>
      </c>
    </row>
    <row r="548" spans="1:8" ht="19.8" customHeight="1" x14ac:dyDescent="0.3">
      <c r="A548" s="112">
        <v>45991</v>
      </c>
      <c r="B548" s="104" t="s">
        <v>41</v>
      </c>
      <c r="C548" s="105" t="s">
        <v>1030</v>
      </c>
      <c r="D548" s="104" t="s">
        <v>1016</v>
      </c>
      <c r="E548" s="113">
        <v>1.5763888888888891</v>
      </c>
      <c r="F548" s="104" t="s">
        <v>43</v>
      </c>
      <c r="G548" s="106">
        <v>17</v>
      </c>
      <c r="H548" s="107" t="s">
        <v>154</v>
      </c>
    </row>
    <row r="549" spans="1:8" ht="19.8" customHeight="1" x14ac:dyDescent="0.3">
      <c r="A549" s="112">
        <v>45991</v>
      </c>
      <c r="B549" s="104" t="s">
        <v>41</v>
      </c>
      <c r="C549" s="105" t="s">
        <v>1040</v>
      </c>
      <c r="D549" s="104" t="s">
        <v>1016</v>
      </c>
      <c r="E549" s="113">
        <v>1.944444444444444</v>
      </c>
      <c r="F549" s="104" t="s">
        <v>43</v>
      </c>
      <c r="G549" s="106">
        <v>18</v>
      </c>
      <c r="H549" s="107" t="s">
        <v>154</v>
      </c>
    </row>
    <row r="550" spans="1:8" ht="19.8" customHeight="1" x14ac:dyDescent="0.3">
      <c r="A550" s="112">
        <v>45991</v>
      </c>
      <c r="B550" s="104" t="s">
        <v>26</v>
      </c>
      <c r="C550" s="105" t="s">
        <v>1026</v>
      </c>
      <c r="D550" s="104" t="s">
        <v>1016</v>
      </c>
      <c r="E550" s="113">
        <v>1.4375</v>
      </c>
      <c r="F550" s="104" t="s">
        <v>34</v>
      </c>
      <c r="G550" s="106">
        <v>4</v>
      </c>
      <c r="H550" s="107" t="s">
        <v>154</v>
      </c>
    </row>
    <row r="551" spans="1:8" ht="19.8" customHeight="1" x14ac:dyDescent="0.3">
      <c r="A551" s="112">
        <v>45991</v>
      </c>
      <c r="B551" s="104" t="s">
        <v>26</v>
      </c>
      <c r="C551" s="105" t="s">
        <v>1024</v>
      </c>
      <c r="D551" s="104" t="s">
        <v>1016</v>
      </c>
      <c r="E551" s="113">
        <v>1.819444444444444</v>
      </c>
      <c r="F551" s="104" t="s">
        <v>28</v>
      </c>
      <c r="G551" s="106">
        <v>7</v>
      </c>
      <c r="H551" s="107" t="s">
        <v>149</v>
      </c>
    </row>
    <row r="552" spans="1:8" ht="19.8" customHeight="1" x14ac:dyDescent="0.3">
      <c r="A552" s="112">
        <v>45991</v>
      </c>
      <c r="B552" s="104" t="s">
        <v>26</v>
      </c>
      <c r="C552" s="105" t="s">
        <v>1029</v>
      </c>
      <c r="D552" s="104" t="s">
        <v>1016</v>
      </c>
      <c r="E552" s="113">
        <v>1.506944444444444</v>
      </c>
      <c r="F552" s="104" t="s">
        <v>28</v>
      </c>
      <c r="G552" s="106">
        <v>8</v>
      </c>
      <c r="H552" s="107" t="s">
        <v>149</v>
      </c>
    </row>
    <row r="553" spans="1:8" ht="19.8" customHeight="1" x14ac:dyDescent="0.3">
      <c r="A553" s="112">
        <v>45991</v>
      </c>
      <c r="B553" s="104" t="s">
        <v>41</v>
      </c>
      <c r="C553" s="105" t="s">
        <v>1037</v>
      </c>
      <c r="D553" s="104" t="s">
        <v>1016</v>
      </c>
      <c r="E553" s="113">
        <v>1.8888888888888891</v>
      </c>
      <c r="F553" s="104" t="s">
        <v>45</v>
      </c>
      <c r="G553" s="106">
        <v>2</v>
      </c>
      <c r="H553" s="107" t="s">
        <v>132</v>
      </c>
    </row>
    <row r="554" spans="1:8" ht="19.8" customHeight="1" x14ac:dyDescent="0.3">
      <c r="A554" s="112">
        <v>45991</v>
      </c>
      <c r="B554" s="104" t="s">
        <v>26</v>
      </c>
      <c r="C554" s="105" t="s">
        <v>1017</v>
      </c>
      <c r="D554" s="104" t="s">
        <v>1016</v>
      </c>
      <c r="E554" s="113">
        <v>1.958333333333333</v>
      </c>
      <c r="F554" s="104" t="s">
        <v>31</v>
      </c>
      <c r="G554" s="106">
        <v>2</v>
      </c>
      <c r="H554" s="107" t="s">
        <v>478</v>
      </c>
    </row>
    <row r="555" spans="1:8" ht="19.8" customHeight="1" x14ac:dyDescent="0.3">
      <c r="A555" s="112">
        <v>45991</v>
      </c>
      <c r="B555" s="104" t="s">
        <v>26</v>
      </c>
      <c r="C555" s="105" t="s">
        <v>1021</v>
      </c>
      <c r="D555" s="104" t="s">
        <v>1016</v>
      </c>
      <c r="E555" s="113">
        <v>1.631944444444444</v>
      </c>
      <c r="F555" s="104" t="s">
        <v>31</v>
      </c>
      <c r="G555" s="106">
        <v>9</v>
      </c>
      <c r="H555" s="107" t="s">
        <v>478</v>
      </c>
    </row>
    <row r="556" spans="1:8" ht="19.8" customHeight="1" x14ac:dyDescent="0.3">
      <c r="A556" s="112">
        <v>45991</v>
      </c>
      <c r="B556" s="104" t="s">
        <v>26</v>
      </c>
      <c r="C556" s="105" t="s">
        <v>1023</v>
      </c>
      <c r="D556" s="104" t="s">
        <v>1016</v>
      </c>
      <c r="E556" s="113">
        <v>1.5590277777777779</v>
      </c>
      <c r="F556" s="104" t="s">
        <v>31</v>
      </c>
      <c r="G556" s="106">
        <v>7</v>
      </c>
      <c r="H556" s="107" t="s">
        <v>478</v>
      </c>
    </row>
    <row r="557" spans="1:8" ht="19.8" customHeight="1" x14ac:dyDescent="0.3">
      <c r="A557" s="112">
        <v>45991</v>
      </c>
      <c r="B557" s="104" t="s">
        <v>26</v>
      </c>
      <c r="C557" s="105" t="s">
        <v>1025</v>
      </c>
      <c r="D557" s="104" t="s">
        <v>1016</v>
      </c>
      <c r="E557" s="113">
        <v>1.697916666666667</v>
      </c>
      <c r="F557" s="104" t="s">
        <v>31</v>
      </c>
      <c r="G557" s="106">
        <v>5</v>
      </c>
      <c r="H557" s="107" t="s">
        <v>478</v>
      </c>
    </row>
    <row r="558" spans="1:8" ht="19.8" customHeight="1" x14ac:dyDescent="0.3">
      <c r="A558" s="112">
        <v>45991</v>
      </c>
      <c r="B558" s="104" t="s">
        <v>41</v>
      </c>
      <c r="C558" s="105" t="s">
        <v>1034</v>
      </c>
      <c r="D558" s="104" t="s">
        <v>1016</v>
      </c>
      <c r="E558" s="113">
        <v>1.6284722222222221</v>
      </c>
      <c r="F558" s="104" t="s">
        <v>45</v>
      </c>
      <c r="G558" s="106">
        <v>12</v>
      </c>
      <c r="H558" s="107" t="s">
        <v>47</v>
      </c>
    </row>
    <row r="559" spans="1:8" ht="19.8" customHeight="1" x14ac:dyDescent="0.3">
      <c r="A559" s="112">
        <v>45991</v>
      </c>
      <c r="B559" s="104" t="s">
        <v>385</v>
      </c>
      <c r="C559" s="105" t="s">
        <v>1043</v>
      </c>
      <c r="D559" s="104" t="s">
        <v>1016</v>
      </c>
      <c r="E559" s="113">
        <v>1.1736111111111109</v>
      </c>
      <c r="F559" s="104" t="s">
        <v>101</v>
      </c>
      <c r="G559" s="106">
        <v>6</v>
      </c>
      <c r="H559" s="107" t="s">
        <v>441</v>
      </c>
    </row>
    <row r="560" spans="1:8" ht="19.8" customHeight="1" x14ac:dyDescent="0.3">
      <c r="A560" s="112">
        <v>45991</v>
      </c>
      <c r="B560" s="104" t="s">
        <v>26</v>
      </c>
      <c r="C560" s="105" t="s">
        <v>1024</v>
      </c>
      <c r="D560" s="104" t="s">
        <v>1016</v>
      </c>
      <c r="E560" s="113">
        <v>1.819444444444444</v>
      </c>
      <c r="F560" s="104" t="s">
        <v>31</v>
      </c>
      <c r="G560" s="106">
        <v>7</v>
      </c>
      <c r="H560" s="107" t="s">
        <v>150</v>
      </c>
    </row>
    <row r="561" spans="1:8" ht="19.8" customHeight="1" x14ac:dyDescent="0.3">
      <c r="A561" s="112">
        <v>45991</v>
      </c>
      <c r="B561" s="104" t="s">
        <v>26</v>
      </c>
      <c r="C561" s="105" t="s">
        <v>1029</v>
      </c>
      <c r="D561" s="104" t="s">
        <v>1016</v>
      </c>
      <c r="E561" s="113">
        <v>1.506944444444444</v>
      </c>
      <c r="F561" s="104" t="s">
        <v>31</v>
      </c>
      <c r="G561" s="106">
        <v>8</v>
      </c>
      <c r="H561" s="107" t="s">
        <v>150</v>
      </c>
    </row>
    <row r="562" spans="1:8" ht="19.8" customHeight="1" x14ac:dyDescent="0.3">
      <c r="A562" s="112">
        <v>45991</v>
      </c>
      <c r="B562" s="104" t="s">
        <v>26</v>
      </c>
      <c r="C562" s="105" t="s">
        <v>1017</v>
      </c>
      <c r="D562" s="104" t="s">
        <v>1016</v>
      </c>
      <c r="E562" s="113">
        <v>1.958333333333333</v>
      </c>
      <c r="F562" s="104" t="s">
        <v>34</v>
      </c>
      <c r="G562" s="106">
        <v>2</v>
      </c>
      <c r="H562" s="107" t="s">
        <v>1170</v>
      </c>
    </row>
    <row r="563" spans="1:8" ht="19.8" customHeight="1" x14ac:dyDescent="0.3">
      <c r="A563" s="112">
        <v>45991</v>
      </c>
      <c r="B563" s="104" t="s">
        <v>26</v>
      </c>
      <c r="C563" s="105" t="s">
        <v>1021</v>
      </c>
      <c r="D563" s="104" t="s">
        <v>1016</v>
      </c>
      <c r="E563" s="113">
        <v>1.631944444444444</v>
      </c>
      <c r="F563" s="104" t="s">
        <v>34</v>
      </c>
      <c r="G563" s="106">
        <v>9</v>
      </c>
      <c r="H563" s="107" t="s">
        <v>1170</v>
      </c>
    </row>
    <row r="564" spans="1:8" ht="19.8" customHeight="1" x14ac:dyDescent="0.3">
      <c r="A564" s="112">
        <v>45991</v>
      </c>
      <c r="B564" s="104" t="s">
        <v>26</v>
      </c>
      <c r="C564" s="105" t="s">
        <v>1023</v>
      </c>
      <c r="D564" s="104" t="s">
        <v>1016</v>
      </c>
      <c r="E564" s="113">
        <v>1.5590277777777779</v>
      </c>
      <c r="F564" s="104" t="s">
        <v>34</v>
      </c>
      <c r="G564" s="106">
        <v>7</v>
      </c>
      <c r="H564" s="107" t="s">
        <v>1170</v>
      </c>
    </row>
    <row r="565" spans="1:8" ht="19.8" customHeight="1" x14ac:dyDescent="0.3">
      <c r="A565" s="112">
        <v>45991</v>
      </c>
      <c r="B565" s="104" t="s">
        <v>26</v>
      </c>
      <c r="C565" s="105" t="s">
        <v>1025</v>
      </c>
      <c r="D565" s="104" t="s">
        <v>1016</v>
      </c>
      <c r="E565" s="113">
        <v>1.697916666666667</v>
      </c>
      <c r="F565" s="104" t="s">
        <v>34</v>
      </c>
      <c r="G565" s="106">
        <v>5</v>
      </c>
      <c r="H565" s="107" t="s">
        <v>1170</v>
      </c>
    </row>
    <row r="566" spans="1:8" ht="19.8" customHeight="1" x14ac:dyDescent="0.3">
      <c r="A566" s="112">
        <v>45991</v>
      </c>
      <c r="B566" s="104" t="s">
        <v>41</v>
      </c>
      <c r="C566" s="105" t="s">
        <v>1030</v>
      </c>
      <c r="D566" s="104" t="s">
        <v>1016</v>
      </c>
      <c r="E566" s="113">
        <v>1.5763888888888891</v>
      </c>
      <c r="F566" s="104" t="s">
        <v>45</v>
      </c>
      <c r="G566" s="106">
        <v>17</v>
      </c>
      <c r="H566" s="107" t="s">
        <v>124</v>
      </c>
    </row>
    <row r="567" spans="1:8" ht="19.8" customHeight="1" x14ac:dyDescent="0.3">
      <c r="A567" s="112">
        <v>45991</v>
      </c>
      <c r="B567" s="104" t="s">
        <v>41</v>
      </c>
      <c r="C567" s="105" t="s">
        <v>1040</v>
      </c>
      <c r="D567" s="104" t="s">
        <v>1016</v>
      </c>
      <c r="E567" s="113">
        <v>1.944444444444444</v>
      </c>
      <c r="F567" s="104" t="s">
        <v>45</v>
      </c>
      <c r="G567" s="106">
        <v>18</v>
      </c>
      <c r="H567" s="107" t="s">
        <v>124</v>
      </c>
    </row>
    <row r="568" spans="1:8" ht="19.8" customHeight="1" x14ac:dyDescent="0.3">
      <c r="A568" s="112">
        <v>45991</v>
      </c>
      <c r="B568" s="104" t="s">
        <v>60</v>
      </c>
      <c r="C568" s="105" t="s">
        <v>1071</v>
      </c>
      <c r="D568" s="104" t="s">
        <v>1016</v>
      </c>
      <c r="E568" s="113">
        <v>1.444444444444444</v>
      </c>
      <c r="F568" s="104" t="s">
        <v>65</v>
      </c>
      <c r="G568" s="106">
        <v>9</v>
      </c>
      <c r="H568" s="107" t="s">
        <v>1145</v>
      </c>
    </row>
    <row r="569" spans="1:8" ht="19.8" customHeight="1" x14ac:dyDescent="0.3">
      <c r="A569" s="112">
        <v>45991</v>
      </c>
      <c r="B569" s="104" t="s">
        <v>60</v>
      </c>
      <c r="C569" s="105" t="s">
        <v>1073</v>
      </c>
      <c r="D569" s="104" t="s">
        <v>1016</v>
      </c>
      <c r="E569" s="113">
        <v>1.8298611111111109</v>
      </c>
      <c r="F569" s="104" t="s">
        <v>65</v>
      </c>
      <c r="G569" s="106">
        <v>9</v>
      </c>
      <c r="H569" s="107" t="s">
        <v>1145</v>
      </c>
    </row>
    <row r="570" spans="1:8" ht="19.8" customHeight="1" x14ac:dyDescent="0.3">
      <c r="A570" s="112">
        <v>45991</v>
      </c>
      <c r="B570" s="104" t="s">
        <v>60</v>
      </c>
      <c r="C570" s="105" t="s">
        <v>1064</v>
      </c>
      <c r="D570" s="104" t="s">
        <v>1016</v>
      </c>
      <c r="E570" s="113">
        <v>1.9826388888888891</v>
      </c>
      <c r="F570" s="104" t="s">
        <v>65</v>
      </c>
      <c r="G570" s="106">
        <v>9</v>
      </c>
      <c r="H570" s="107" t="s">
        <v>1145</v>
      </c>
    </row>
    <row r="571" spans="1:8" ht="19.8" customHeight="1" x14ac:dyDescent="0.3">
      <c r="A571" s="112">
        <v>45991</v>
      </c>
      <c r="B571" s="104" t="s">
        <v>60</v>
      </c>
      <c r="C571" s="105" t="s">
        <v>1116</v>
      </c>
      <c r="D571" s="104" t="s">
        <v>1016</v>
      </c>
      <c r="E571" s="113">
        <v>1.697916666666667</v>
      </c>
      <c r="F571" s="104" t="s">
        <v>65</v>
      </c>
      <c r="G571" s="106">
        <v>9</v>
      </c>
      <c r="H571" s="107" t="s">
        <v>1145</v>
      </c>
    </row>
    <row r="572" spans="1:8" ht="19.8" customHeight="1" x14ac:dyDescent="0.3">
      <c r="A572" s="112">
        <v>45991</v>
      </c>
      <c r="B572" s="104" t="s">
        <v>60</v>
      </c>
      <c r="C572" s="105" t="s">
        <v>1074</v>
      </c>
      <c r="D572" s="104" t="s">
        <v>1016</v>
      </c>
      <c r="E572" s="113">
        <v>1.6284722222222221</v>
      </c>
      <c r="F572" s="104" t="s">
        <v>65</v>
      </c>
      <c r="G572" s="106">
        <v>9</v>
      </c>
      <c r="H572" s="107" t="s">
        <v>1145</v>
      </c>
    </row>
    <row r="573" spans="1:8" ht="19.8" customHeight="1" x14ac:dyDescent="0.3">
      <c r="A573" s="112">
        <v>45991</v>
      </c>
      <c r="B573" s="104" t="s">
        <v>385</v>
      </c>
      <c r="C573" s="105" t="s">
        <v>1100</v>
      </c>
      <c r="D573" s="104" t="s">
        <v>1016</v>
      </c>
      <c r="E573" s="113">
        <v>1.131944444444444</v>
      </c>
      <c r="F573" s="104" t="s">
        <v>101</v>
      </c>
      <c r="G573" s="106">
        <v>9</v>
      </c>
      <c r="H573" s="107" t="s">
        <v>1149</v>
      </c>
    </row>
    <row r="574" spans="1:8" ht="19.8" customHeight="1" x14ac:dyDescent="0.3">
      <c r="A574" s="112">
        <v>45991</v>
      </c>
      <c r="B574" s="104" t="s">
        <v>41</v>
      </c>
      <c r="C574" s="105" t="s">
        <v>1034</v>
      </c>
      <c r="D574" s="104" t="s">
        <v>1016</v>
      </c>
      <c r="E574" s="113">
        <v>1.6284722222222221</v>
      </c>
      <c r="F574" s="104" t="s">
        <v>46</v>
      </c>
      <c r="G574" s="106">
        <v>12</v>
      </c>
      <c r="H574" s="107" t="s">
        <v>532</v>
      </c>
    </row>
    <row r="575" spans="1:8" ht="19.8" customHeight="1" x14ac:dyDescent="0.3">
      <c r="A575" s="112">
        <v>45991</v>
      </c>
      <c r="B575" s="104" t="s">
        <v>41</v>
      </c>
      <c r="C575" s="105" t="s">
        <v>1037</v>
      </c>
      <c r="D575" s="104" t="s">
        <v>1016</v>
      </c>
      <c r="E575" s="113">
        <v>1.8888888888888891</v>
      </c>
      <c r="F575" s="104" t="s">
        <v>46</v>
      </c>
      <c r="G575" s="106">
        <v>2</v>
      </c>
      <c r="H575" s="107" t="s">
        <v>532</v>
      </c>
    </row>
    <row r="576" spans="1:8" ht="19.8" customHeight="1" x14ac:dyDescent="0.3">
      <c r="A576" s="112">
        <v>45991</v>
      </c>
      <c r="B576" s="104" t="s">
        <v>26</v>
      </c>
      <c r="C576" s="105" t="s">
        <v>1024</v>
      </c>
      <c r="D576" s="104" t="s">
        <v>1016</v>
      </c>
      <c r="E576" s="113">
        <v>1.819444444444444</v>
      </c>
      <c r="F576" s="104" t="s">
        <v>34</v>
      </c>
      <c r="G576" s="106">
        <v>7</v>
      </c>
      <c r="H576" s="107" t="s">
        <v>151</v>
      </c>
    </row>
    <row r="577" spans="1:8" ht="19.8" customHeight="1" x14ac:dyDescent="0.3">
      <c r="A577" s="112">
        <v>45991</v>
      </c>
      <c r="B577" s="104" t="s">
        <v>26</v>
      </c>
      <c r="C577" s="105" t="s">
        <v>1029</v>
      </c>
      <c r="D577" s="104" t="s">
        <v>1016</v>
      </c>
      <c r="E577" s="113">
        <v>1.506944444444444</v>
      </c>
      <c r="F577" s="104" t="s">
        <v>34</v>
      </c>
      <c r="G577" s="106">
        <v>8</v>
      </c>
      <c r="H577" s="107" t="s">
        <v>151</v>
      </c>
    </row>
    <row r="578" spans="1:8" ht="19.8" customHeight="1" x14ac:dyDescent="0.3">
      <c r="A578" s="112">
        <v>45991</v>
      </c>
      <c r="B578" s="104" t="s">
        <v>48</v>
      </c>
      <c r="C578" s="105" t="s">
        <v>1059</v>
      </c>
      <c r="D578" s="104" t="s">
        <v>1016</v>
      </c>
      <c r="E578" s="113">
        <v>1.9826388888888891</v>
      </c>
      <c r="F578" s="104" t="s">
        <v>50</v>
      </c>
      <c r="G578" s="106">
        <v>9</v>
      </c>
      <c r="H578" s="107" t="s">
        <v>1138</v>
      </c>
    </row>
    <row r="579" spans="1:8" ht="19.8" customHeight="1" x14ac:dyDescent="0.3">
      <c r="A579" s="112">
        <v>45991</v>
      </c>
      <c r="B579" s="104" t="s">
        <v>48</v>
      </c>
      <c r="C579" s="105" t="s">
        <v>1062</v>
      </c>
      <c r="D579" s="104" t="s">
        <v>1016</v>
      </c>
      <c r="E579" s="113">
        <v>1.729166666666667</v>
      </c>
      <c r="F579" s="104" t="s">
        <v>50</v>
      </c>
      <c r="G579" s="106">
        <v>9</v>
      </c>
      <c r="H579" s="107" t="s">
        <v>1175</v>
      </c>
    </row>
    <row r="580" spans="1:8" ht="19.8" customHeight="1" x14ac:dyDescent="0.3">
      <c r="A580" s="112">
        <v>45991</v>
      </c>
      <c r="B580" s="104" t="s">
        <v>48</v>
      </c>
      <c r="C580" s="105" t="s">
        <v>1061</v>
      </c>
      <c r="D580" s="104" t="s">
        <v>1016</v>
      </c>
      <c r="E580" s="113">
        <v>1.354166666666667</v>
      </c>
      <c r="F580" s="104" t="s">
        <v>50</v>
      </c>
      <c r="G580" s="106">
        <v>9</v>
      </c>
      <c r="H580" s="107" t="s">
        <v>491</v>
      </c>
    </row>
    <row r="581" spans="1:8" ht="19.8" customHeight="1" x14ac:dyDescent="0.3">
      <c r="A581" s="112">
        <v>45991</v>
      </c>
      <c r="B581" s="104" t="s">
        <v>41</v>
      </c>
      <c r="C581" s="105" t="s">
        <v>1030</v>
      </c>
      <c r="D581" s="104" t="s">
        <v>1016</v>
      </c>
      <c r="E581" s="113">
        <v>1.5763888888888891</v>
      </c>
      <c r="F581" s="104" t="s">
        <v>46</v>
      </c>
      <c r="G581" s="106">
        <v>17</v>
      </c>
      <c r="H581" s="107" t="s">
        <v>1081</v>
      </c>
    </row>
    <row r="582" spans="1:8" ht="19.8" customHeight="1" x14ac:dyDescent="0.3">
      <c r="A582" s="112">
        <v>45991</v>
      </c>
      <c r="B582" s="104" t="s">
        <v>41</v>
      </c>
      <c r="C582" s="105" t="s">
        <v>1040</v>
      </c>
      <c r="D582" s="104" t="s">
        <v>1016</v>
      </c>
      <c r="E582" s="113">
        <v>1.944444444444444</v>
      </c>
      <c r="F582" s="104" t="s">
        <v>46</v>
      </c>
      <c r="G582" s="106">
        <v>18</v>
      </c>
      <c r="H582" s="107" t="s">
        <v>1081</v>
      </c>
    </row>
    <row r="583" spans="1:8" ht="19.8" customHeight="1" x14ac:dyDescent="0.3">
      <c r="A583" s="112">
        <v>45991</v>
      </c>
      <c r="B583" s="104" t="s">
        <v>60</v>
      </c>
      <c r="C583" s="105" t="s">
        <v>1067</v>
      </c>
      <c r="D583" s="104" t="s">
        <v>1016</v>
      </c>
      <c r="E583" s="113">
        <v>1.8888888888888891</v>
      </c>
      <c r="F583" s="104" t="s">
        <v>65</v>
      </c>
      <c r="G583" s="106">
        <v>4</v>
      </c>
      <c r="H583" s="107" t="s">
        <v>1147</v>
      </c>
    </row>
    <row r="584" spans="1:8" ht="19.8" customHeight="1" x14ac:dyDescent="0.3">
      <c r="A584" s="112">
        <v>45991</v>
      </c>
      <c r="B584" s="104" t="s">
        <v>60</v>
      </c>
      <c r="C584" s="105" t="s">
        <v>1069</v>
      </c>
      <c r="D584" s="104" t="s">
        <v>1016</v>
      </c>
      <c r="E584" s="113">
        <v>1.6284722222222221</v>
      </c>
      <c r="F584" s="104" t="s">
        <v>65</v>
      </c>
      <c r="G584" s="106">
        <v>4</v>
      </c>
      <c r="H584" s="107" t="s">
        <v>1147</v>
      </c>
    </row>
    <row r="585" spans="1:8" ht="19.8" customHeight="1" x14ac:dyDescent="0.3">
      <c r="A585" s="114">
        <v>45991</v>
      </c>
      <c r="B585" s="115" t="s">
        <v>60</v>
      </c>
      <c r="C585" s="116" t="s">
        <v>1070</v>
      </c>
      <c r="D585" s="115" t="s">
        <v>1016</v>
      </c>
      <c r="E585" s="117">
        <v>1.944444444444444</v>
      </c>
      <c r="F585" s="115" t="s">
        <v>65</v>
      </c>
      <c r="G585" s="118">
        <v>4</v>
      </c>
      <c r="H585" s="119" t="s">
        <v>1156</v>
      </c>
    </row>
  </sheetData>
  <pageMargins left="0.75" right="0.75" top="1" bottom="1" header="0.5" footer="0.5"/>
  <legacyDrawing r:id="rId1"/>
  <tableParts count="1">
    <tablePart r:id="rId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1"/>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10.4414062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8" t="s">
        <v>235</v>
      </c>
      <c r="B2" s="109" t="s">
        <v>77</v>
      </c>
      <c r="C2" s="110" t="s">
        <v>1052</v>
      </c>
      <c r="D2" s="109" t="s">
        <v>1016</v>
      </c>
      <c r="E2" s="109" t="s">
        <v>1176</v>
      </c>
      <c r="F2" s="109" t="s">
        <v>101</v>
      </c>
      <c r="G2" s="128">
        <v>9</v>
      </c>
      <c r="H2" s="111" t="s">
        <v>1053</v>
      </c>
    </row>
    <row r="3" spans="1:8" ht="19.8" customHeight="1" x14ac:dyDescent="0.3">
      <c r="A3" s="120">
        <v>45982</v>
      </c>
      <c r="B3" s="121" t="s">
        <v>77</v>
      </c>
      <c r="C3" s="122" t="s">
        <v>1052</v>
      </c>
      <c r="D3" s="121" t="s">
        <v>1016</v>
      </c>
      <c r="E3" s="123">
        <v>1.40625</v>
      </c>
      <c r="F3" s="121" t="s">
        <v>101</v>
      </c>
      <c r="G3" s="124">
        <v>9</v>
      </c>
      <c r="H3" s="125" t="s">
        <v>338</v>
      </c>
    </row>
    <row r="4" spans="1:8" ht="19.8" customHeight="1" x14ac:dyDescent="0.3">
      <c r="A4" s="120">
        <v>45982</v>
      </c>
      <c r="B4" s="121" t="s">
        <v>77</v>
      </c>
      <c r="C4" s="122" t="s">
        <v>1085</v>
      </c>
      <c r="D4" s="121" t="s">
        <v>1016</v>
      </c>
      <c r="E4" s="123">
        <v>1.725694444444444</v>
      </c>
      <c r="F4" s="121" t="s">
        <v>101</v>
      </c>
      <c r="G4" s="124">
        <v>9</v>
      </c>
      <c r="H4" s="125" t="s">
        <v>338</v>
      </c>
    </row>
    <row r="5" spans="1:8" ht="19.8" customHeight="1" x14ac:dyDescent="0.3">
      <c r="A5" s="112">
        <v>45982</v>
      </c>
      <c r="B5" s="104" t="s">
        <v>41</v>
      </c>
      <c r="C5" s="105" t="s">
        <v>1030</v>
      </c>
      <c r="D5" s="104" t="s">
        <v>1016</v>
      </c>
      <c r="E5" s="113">
        <v>1.5763888888888891</v>
      </c>
      <c r="F5" s="104" t="s">
        <v>45</v>
      </c>
      <c r="G5" s="106">
        <v>16</v>
      </c>
      <c r="H5" s="107" t="s">
        <v>338</v>
      </c>
    </row>
    <row r="6" spans="1:8" ht="19.8" customHeight="1" x14ac:dyDescent="0.3">
      <c r="A6" s="114">
        <v>45982</v>
      </c>
      <c r="B6" s="115" t="s">
        <v>41</v>
      </c>
      <c r="C6" s="116" t="s">
        <v>1034</v>
      </c>
      <c r="D6" s="115" t="s">
        <v>1016</v>
      </c>
      <c r="E6" s="117">
        <v>1.6284722222222221</v>
      </c>
      <c r="F6" s="115" t="s">
        <v>45</v>
      </c>
      <c r="G6" s="118">
        <v>36</v>
      </c>
      <c r="H6" s="119" t="s">
        <v>338</v>
      </c>
    </row>
    <row r="7" spans="1:8" ht="19.8" customHeight="1" x14ac:dyDescent="0.3">
      <c r="A7" s="126">
        <v>45983</v>
      </c>
      <c r="B7" s="109" t="s">
        <v>77</v>
      </c>
      <c r="C7" s="110" t="s">
        <v>1052</v>
      </c>
      <c r="D7" s="109" t="s">
        <v>1016</v>
      </c>
      <c r="E7" s="127">
        <v>1.413194444444444</v>
      </c>
      <c r="F7" s="109" t="s">
        <v>101</v>
      </c>
      <c r="G7" s="128">
        <v>5</v>
      </c>
      <c r="H7" s="111" t="s">
        <v>779</v>
      </c>
    </row>
    <row r="8" spans="1:8" ht="19.8" customHeight="1" x14ac:dyDescent="0.3">
      <c r="A8" s="112">
        <v>45984</v>
      </c>
      <c r="B8" s="104" t="s">
        <v>458</v>
      </c>
      <c r="C8" s="105" t="s">
        <v>1111</v>
      </c>
      <c r="D8" s="104" t="s">
        <v>1016</v>
      </c>
      <c r="E8" s="113">
        <v>1.399305555555556</v>
      </c>
      <c r="F8" s="104" t="s">
        <v>101</v>
      </c>
      <c r="G8" s="106">
        <v>6</v>
      </c>
      <c r="H8" s="107" t="s">
        <v>1051</v>
      </c>
    </row>
    <row r="9" spans="1:8" ht="19.8" customHeight="1" x14ac:dyDescent="0.3">
      <c r="A9" s="126">
        <v>45984</v>
      </c>
      <c r="B9" s="109" t="s">
        <v>77</v>
      </c>
      <c r="C9" s="110" t="s">
        <v>1052</v>
      </c>
      <c r="D9" s="109" t="s">
        <v>1016</v>
      </c>
      <c r="E9" s="127">
        <v>1.427083333333333</v>
      </c>
      <c r="F9" s="109" t="s">
        <v>101</v>
      </c>
      <c r="G9" s="128">
        <v>1</v>
      </c>
      <c r="H9" s="111" t="s">
        <v>1112</v>
      </c>
    </row>
    <row r="10" spans="1:8" ht="19.8" customHeight="1" x14ac:dyDescent="0.3">
      <c r="A10" s="112">
        <v>45985</v>
      </c>
      <c r="B10" s="104" t="s">
        <v>385</v>
      </c>
      <c r="C10" s="105" t="s">
        <v>1046</v>
      </c>
      <c r="D10" s="104" t="s">
        <v>1016</v>
      </c>
      <c r="E10" s="113">
        <v>1.552083333333333</v>
      </c>
      <c r="F10" s="104" t="s">
        <v>101</v>
      </c>
      <c r="G10" s="106">
        <v>9</v>
      </c>
      <c r="H10" s="107" t="s">
        <v>1117</v>
      </c>
    </row>
    <row r="11" spans="1:8" ht="19.8" customHeight="1" x14ac:dyDescent="0.3">
      <c r="A11" s="120">
        <v>45985</v>
      </c>
      <c r="B11" s="121" t="s">
        <v>77</v>
      </c>
      <c r="C11" s="122" t="s">
        <v>1085</v>
      </c>
      <c r="D11" s="121" t="s">
        <v>1016</v>
      </c>
      <c r="E11" s="123">
        <v>1.725694444444444</v>
      </c>
      <c r="F11" s="121" t="s">
        <v>101</v>
      </c>
      <c r="G11" s="124">
        <v>9</v>
      </c>
      <c r="H11" s="125" t="s">
        <v>338</v>
      </c>
    </row>
    <row r="12" spans="1:8" ht="19.8" customHeight="1" x14ac:dyDescent="0.3">
      <c r="A12" s="114">
        <v>45985</v>
      </c>
      <c r="B12" s="115" t="s">
        <v>388</v>
      </c>
      <c r="C12" s="116" t="s">
        <v>1056</v>
      </c>
      <c r="D12" s="115" t="s">
        <v>1016</v>
      </c>
      <c r="E12" s="117">
        <v>1.3298611111111109</v>
      </c>
      <c r="F12" s="115" t="s">
        <v>390</v>
      </c>
      <c r="G12" s="118">
        <v>9</v>
      </c>
      <c r="H12" s="119" t="s">
        <v>803</v>
      </c>
    </row>
    <row r="13" spans="1:8" ht="19.8" customHeight="1" x14ac:dyDescent="0.3">
      <c r="A13" s="126">
        <v>45986</v>
      </c>
      <c r="B13" s="109" t="s">
        <v>77</v>
      </c>
      <c r="C13" s="110" t="s">
        <v>1085</v>
      </c>
      <c r="D13" s="109" t="s">
        <v>1016</v>
      </c>
      <c r="E13" s="127">
        <v>1.7152777777777779</v>
      </c>
      <c r="F13" s="109" t="s">
        <v>101</v>
      </c>
      <c r="G13" s="128">
        <v>9</v>
      </c>
      <c r="H13" s="111" t="s">
        <v>779</v>
      </c>
    </row>
    <row r="14" spans="1:8" ht="19.8" customHeight="1" x14ac:dyDescent="0.3">
      <c r="A14" s="120">
        <v>45987</v>
      </c>
      <c r="B14" s="121" t="s">
        <v>77</v>
      </c>
      <c r="C14" s="122" t="s">
        <v>1052</v>
      </c>
      <c r="D14" s="121" t="s">
        <v>1016</v>
      </c>
      <c r="E14" s="123">
        <v>1.413194444444444</v>
      </c>
      <c r="F14" s="121" t="s">
        <v>101</v>
      </c>
      <c r="G14" s="124">
        <v>9</v>
      </c>
      <c r="H14" s="125" t="s">
        <v>779</v>
      </c>
    </row>
    <row r="15" spans="1:8" ht="19.8" customHeight="1" x14ac:dyDescent="0.3">
      <c r="A15" s="112">
        <v>45987</v>
      </c>
      <c r="B15" s="104" t="s">
        <v>385</v>
      </c>
      <c r="C15" s="105" t="s">
        <v>1046</v>
      </c>
      <c r="D15" s="104" t="s">
        <v>1016</v>
      </c>
      <c r="E15" s="113">
        <v>1.614583333333333</v>
      </c>
      <c r="F15" s="104" t="s">
        <v>101</v>
      </c>
      <c r="G15" s="106">
        <v>7</v>
      </c>
      <c r="H15" s="107" t="s">
        <v>1135</v>
      </c>
    </row>
    <row r="16" spans="1:8" ht="19.8" customHeight="1" x14ac:dyDescent="0.3">
      <c r="A16" s="126">
        <v>45987</v>
      </c>
      <c r="B16" s="109" t="s">
        <v>77</v>
      </c>
      <c r="C16" s="110" t="s">
        <v>1085</v>
      </c>
      <c r="D16" s="109" t="s">
        <v>1016</v>
      </c>
      <c r="E16" s="127">
        <v>1.725694444444444</v>
      </c>
      <c r="F16" s="109" t="s">
        <v>101</v>
      </c>
      <c r="G16" s="128">
        <v>9</v>
      </c>
      <c r="H16" s="111" t="s">
        <v>1133</v>
      </c>
    </row>
    <row r="17" spans="1:8" ht="19.8" customHeight="1" x14ac:dyDescent="0.3">
      <c r="A17" s="126">
        <v>45988</v>
      </c>
      <c r="B17" s="109" t="s">
        <v>77</v>
      </c>
      <c r="C17" s="110" t="s">
        <v>1052</v>
      </c>
      <c r="D17" s="109" t="s">
        <v>1016</v>
      </c>
      <c r="E17" s="127">
        <v>1.413194444444444</v>
      </c>
      <c r="F17" s="109" t="s">
        <v>101</v>
      </c>
      <c r="G17" s="128">
        <v>8</v>
      </c>
      <c r="H17" s="111" t="s">
        <v>1133</v>
      </c>
    </row>
    <row r="18" spans="1:8" ht="19.8" customHeight="1" x14ac:dyDescent="0.3">
      <c r="A18" s="120">
        <v>45989</v>
      </c>
      <c r="B18" s="121" t="s">
        <v>77</v>
      </c>
      <c r="C18" s="122" t="s">
        <v>1052</v>
      </c>
      <c r="D18" s="121" t="s">
        <v>1016</v>
      </c>
      <c r="E18" s="123">
        <v>1.40625</v>
      </c>
      <c r="F18" s="121" t="s">
        <v>101</v>
      </c>
      <c r="G18" s="124">
        <v>6</v>
      </c>
      <c r="H18" s="125" t="s">
        <v>1150</v>
      </c>
    </row>
    <row r="19" spans="1:8" ht="19.8" customHeight="1" x14ac:dyDescent="0.3">
      <c r="A19" s="126">
        <v>45989</v>
      </c>
      <c r="B19" s="109" t="s">
        <v>77</v>
      </c>
      <c r="C19" s="110" t="s">
        <v>1085</v>
      </c>
      <c r="D19" s="109" t="s">
        <v>1016</v>
      </c>
      <c r="E19" s="127">
        <v>1.725694444444444</v>
      </c>
      <c r="F19" s="109" t="s">
        <v>101</v>
      </c>
      <c r="G19" s="128">
        <v>7</v>
      </c>
      <c r="H19" s="111" t="s">
        <v>1150</v>
      </c>
    </row>
    <row r="20" spans="1:8" ht="19.8" customHeight="1" x14ac:dyDescent="0.3">
      <c r="A20" s="126">
        <v>45990</v>
      </c>
      <c r="B20" s="109" t="s">
        <v>77</v>
      </c>
      <c r="C20" s="110" t="s">
        <v>1052</v>
      </c>
      <c r="D20" s="109" t="s">
        <v>1016</v>
      </c>
      <c r="E20" s="127">
        <v>1.413194444444444</v>
      </c>
      <c r="F20" s="109" t="s">
        <v>101</v>
      </c>
      <c r="G20" s="128">
        <v>9</v>
      </c>
      <c r="H20" s="111" t="s">
        <v>1165</v>
      </c>
    </row>
    <row r="21" spans="1:8" ht="19.8" customHeight="1" x14ac:dyDescent="0.3">
      <c r="A21" s="126">
        <v>45991</v>
      </c>
      <c r="B21" s="109" t="s">
        <v>77</v>
      </c>
      <c r="C21" s="110" t="s">
        <v>1052</v>
      </c>
      <c r="D21" s="109" t="s">
        <v>1016</v>
      </c>
      <c r="E21" s="127">
        <v>1.427083333333333</v>
      </c>
      <c r="F21" s="109" t="s">
        <v>101</v>
      </c>
      <c r="G21" s="128">
        <v>4</v>
      </c>
      <c r="H21" s="111" t="s">
        <v>1171</v>
      </c>
    </row>
  </sheetData>
  <pageMargins left="0.75" right="0.75" top="1" bottom="1" header="0.5" footer="0.5"/>
  <legacyDrawing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137"/>
  <sheetViews>
    <sheetView workbookViewId="0"/>
  </sheetViews>
  <sheetFormatPr defaultRowHeight="14.4" x14ac:dyDescent="0.3"/>
  <cols>
    <col min="1" max="1" width="17.21875" bestFit="1" customWidth="1"/>
    <col min="2" max="2" width="15.6640625" bestFit="1" customWidth="1"/>
    <col min="3" max="3" width="14.77734375" bestFit="1" customWidth="1"/>
    <col min="4" max="4" width="31.777343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2.88671875" bestFit="1" customWidth="1"/>
  </cols>
  <sheetData>
    <row r="1" spans="1:92" ht="28.8" customHeight="1" x14ac:dyDescent="0.3">
      <c r="A1" s="303" t="s">
        <v>0</v>
      </c>
      <c r="B1" s="302"/>
      <c r="C1" s="302"/>
      <c r="D1" s="302"/>
      <c r="E1" s="302"/>
      <c r="F1" s="1" t="s">
        <v>1213</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45980.583750773192</v>
      </c>
      <c r="H2" s="302"/>
      <c r="I2" s="302"/>
      <c r="J2" s="302"/>
      <c r="K2" s="311">
        <v>45980.583750773578</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1214</v>
      </c>
      <c r="C6" s="9">
        <v>0.3611111111111111</v>
      </c>
      <c r="D6" s="8" t="s">
        <v>1215</v>
      </c>
      <c r="E6" s="8" t="s">
        <v>138</v>
      </c>
      <c r="F6" s="8" t="s">
        <v>1216</v>
      </c>
      <c r="G6" s="304"/>
      <c r="H6" s="10"/>
      <c r="I6" s="11"/>
      <c r="J6" s="11"/>
      <c r="K6" s="11"/>
      <c r="L6" s="11"/>
      <c r="M6" s="11"/>
      <c r="N6" s="11"/>
      <c r="O6" s="12"/>
      <c r="P6" s="11"/>
      <c r="Q6" s="13"/>
      <c r="R6" s="14"/>
    </row>
    <row r="7" spans="1:92" ht="15" customHeight="1" x14ac:dyDescent="0.3">
      <c r="A7" s="15" t="s">
        <v>26</v>
      </c>
      <c r="B7" s="15" t="s">
        <v>1214</v>
      </c>
      <c r="C7" s="16">
        <v>0.3611111111111111</v>
      </c>
      <c r="D7" s="15" t="s">
        <v>31</v>
      </c>
      <c r="E7" s="15" t="s">
        <v>38</v>
      </c>
      <c r="F7" s="15" t="s">
        <v>1217</v>
      </c>
      <c r="G7" s="298"/>
      <c r="H7" s="10"/>
      <c r="I7" s="11"/>
      <c r="J7" s="11"/>
      <c r="K7" s="11"/>
      <c r="L7" s="11"/>
      <c r="M7" s="11"/>
      <c r="N7" s="11"/>
      <c r="O7" s="12"/>
      <c r="P7" s="11"/>
      <c r="Q7" s="13"/>
      <c r="R7" s="14"/>
    </row>
    <row r="8" spans="1:92" ht="15" customHeight="1" x14ac:dyDescent="0.3">
      <c r="A8" s="15" t="s">
        <v>26</v>
      </c>
      <c r="B8" s="15" t="s">
        <v>1214</v>
      </c>
      <c r="C8" s="16">
        <v>0.3611111111111111</v>
      </c>
      <c r="D8" s="15" t="s">
        <v>34</v>
      </c>
      <c r="E8" s="15" t="s">
        <v>38</v>
      </c>
      <c r="F8" s="15" t="s">
        <v>1218</v>
      </c>
      <c r="G8" s="298"/>
      <c r="H8" s="10"/>
      <c r="I8" s="11"/>
      <c r="J8" s="11"/>
      <c r="K8" s="11"/>
      <c r="L8" s="11"/>
      <c r="M8" s="11"/>
      <c r="N8" s="11"/>
      <c r="O8" s="12"/>
      <c r="P8" s="11"/>
      <c r="Q8" s="13"/>
      <c r="R8" s="14"/>
    </row>
    <row r="9" spans="1:92" ht="18" x14ac:dyDescent="0.3">
      <c r="A9" s="312" t="s">
        <v>1219</v>
      </c>
      <c r="B9" s="313"/>
      <c r="C9" s="313"/>
      <c r="D9" s="313"/>
      <c r="E9" s="313"/>
      <c r="F9" s="314"/>
      <c r="G9" s="298"/>
      <c r="H9" s="138"/>
      <c r="I9" s="138"/>
      <c r="J9" s="138"/>
      <c r="K9" s="138"/>
      <c r="L9" s="138"/>
      <c r="M9" s="138"/>
      <c r="N9" s="138"/>
      <c r="O9" s="139"/>
      <c r="P9" s="138"/>
      <c r="Q9" s="99"/>
      <c r="R9" s="99"/>
    </row>
    <row r="10" spans="1:92" ht="15" customHeight="1" x14ac:dyDescent="0.3">
      <c r="A10" s="17" t="s">
        <v>26</v>
      </c>
      <c r="B10" s="17" t="s">
        <v>1017</v>
      </c>
      <c r="C10" s="18" t="s">
        <v>1207</v>
      </c>
      <c r="D10" s="17" t="s">
        <v>351</v>
      </c>
      <c r="E10" s="17" t="s">
        <v>255</v>
      </c>
      <c r="F10" s="17" t="s">
        <v>1018</v>
      </c>
      <c r="G10" s="298"/>
      <c r="H10" s="138"/>
      <c r="I10" s="138"/>
      <c r="J10" s="138"/>
      <c r="K10" s="138"/>
      <c r="L10" s="138"/>
      <c r="M10" s="138"/>
      <c r="N10" s="138"/>
      <c r="O10" s="139"/>
      <c r="P10" s="138"/>
      <c r="Q10" s="99"/>
      <c r="R10" s="99"/>
    </row>
    <row r="11" spans="1:92" ht="15" customHeight="1" x14ac:dyDescent="0.3">
      <c r="A11" s="17" t="s">
        <v>26</v>
      </c>
      <c r="B11" s="17" t="s">
        <v>1017</v>
      </c>
      <c r="C11" s="18" t="s">
        <v>1207</v>
      </c>
      <c r="D11" s="17" t="s">
        <v>28</v>
      </c>
      <c r="E11" s="17" t="s">
        <v>255</v>
      </c>
      <c r="F11" s="17" t="s">
        <v>1018</v>
      </c>
      <c r="G11" s="298"/>
      <c r="H11" s="138"/>
      <c r="I11" s="138"/>
      <c r="J11" s="138"/>
      <c r="K11" s="138"/>
      <c r="L11" s="138"/>
      <c r="M11" s="138"/>
      <c r="N11" s="138"/>
      <c r="O11" s="139"/>
      <c r="P11" s="138"/>
      <c r="Q11" s="99"/>
      <c r="R11" s="99"/>
    </row>
    <row r="12" spans="1:92" ht="15" customHeight="1" x14ac:dyDescent="0.3">
      <c r="A12" s="17" t="s">
        <v>41</v>
      </c>
      <c r="B12" s="17" t="s">
        <v>1030</v>
      </c>
      <c r="C12" s="18" t="s">
        <v>1208</v>
      </c>
      <c r="D12" s="17" t="s">
        <v>337</v>
      </c>
      <c r="E12" s="17" t="s">
        <v>1220</v>
      </c>
      <c r="F12" s="17" t="s">
        <v>1032</v>
      </c>
      <c r="G12" s="298"/>
      <c r="H12" s="138"/>
      <c r="I12" s="138"/>
      <c r="J12" s="138"/>
      <c r="K12" s="138"/>
      <c r="L12" s="138"/>
      <c r="M12" s="138"/>
      <c r="N12" s="138"/>
      <c r="O12" s="139"/>
      <c r="P12" s="138"/>
      <c r="Q12" s="99"/>
      <c r="R12" s="99"/>
    </row>
    <row r="13" spans="1:92" ht="15" customHeight="1" x14ac:dyDescent="0.3">
      <c r="A13" s="17" t="s">
        <v>41</v>
      </c>
      <c r="B13" s="17" t="s">
        <v>1030</v>
      </c>
      <c r="C13" s="18" t="s">
        <v>1208</v>
      </c>
      <c r="D13" s="17" t="s">
        <v>43</v>
      </c>
      <c r="E13" s="17" t="s">
        <v>1220</v>
      </c>
      <c r="F13" s="17" t="s">
        <v>1032</v>
      </c>
      <c r="G13" s="298"/>
      <c r="H13" s="138"/>
      <c r="I13" s="138"/>
      <c r="J13" s="138"/>
      <c r="K13" s="138"/>
      <c r="L13" s="138"/>
      <c r="M13" s="138"/>
      <c r="N13" s="138"/>
      <c r="O13" s="139"/>
      <c r="P13" s="138"/>
      <c r="Q13" s="99"/>
      <c r="R13" s="99"/>
    </row>
    <row r="14" spans="1:92" ht="15" customHeight="1" x14ac:dyDescent="0.3">
      <c r="A14" s="17" t="s">
        <v>41</v>
      </c>
      <c r="B14" s="17" t="s">
        <v>1034</v>
      </c>
      <c r="C14" s="18" t="s">
        <v>1209</v>
      </c>
      <c r="D14" s="17" t="s">
        <v>337</v>
      </c>
      <c r="E14" s="17" t="s">
        <v>1221</v>
      </c>
      <c r="F14" s="17" t="s">
        <v>1032</v>
      </c>
      <c r="G14" s="298"/>
      <c r="H14" s="138"/>
      <c r="I14" s="138"/>
      <c r="J14" s="138"/>
      <c r="K14" s="138"/>
      <c r="L14" s="138"/>
      <c r="M14" s="138"/>
      <c r="N14" s="138"/>
      <c r="O14" s="139"/>
      <c r="P14" s="138"/>
      <c r="Q14" s="99"/>
      <c r="R14" s="99"/>
    </row>
    <row r="15" spans="1:92" ht="15" customHeight="1" x14ac:dyDescent="0.3">
      <c r="A15" s="17" t="s">
        <v>41</v>
      </c>
      <c r="B15" s="17" t="s">
        <v>1034</v>
      </c>
      <c r="C15" s="18" t="s">
        <v>1209</v>
      </c>
      <c r="D15" s="17" t="s">
        <v>43</v>
      </c>
      <c r="E15" s="17" t="s">
        <v>1221</v>
      </c>
      <c r="F15" s="17" t="s">
        <v>1032</v>
      </c>
      <c r="G15" s="298"/>
      <c r="H15" s="138"/>
      <c r="I15" s="138"/>
      <c r="J15" s="138"/>
      <c r="K15" s="138"/>
      <c r="L15" s="138"/>
      <c r="M15" s="138"/>
      <c r="N15" s="138"/>
      <c r="O15" s="139"/>
      <c r="P15" s="138"/>
      <c r="Q15" s="99"/>
      <c r="R15" s="99"/>
    </row>
    <row r="16" spans="1:92" ht="15" customHeight="1" x14ac:dyDescent="0.3">
      <c r="A16" s="17" t="s">
        <v>41</v>
      </c>
      <c r="B16" s="17" t="s">
        <v>1037</v>
      </c>
      <c r="C16" s="18" t="s">
        <v>748</v>
      </c>
      <c r="D16" s="17" t="s">
        <v>43</v>
      </c>
      <c r="E16" s="17" t="s">
        <v>1222</v>
      </c>
      <c r="F16" s="17" t="s">
        <v>1032</v>
      </c>
      <c r="G16" s="298"/>
      <c r="H16" s="138"/>
      <c r="I16" s="138"/>
      <c r="J16" s="138"/>
      <c r="K16" s="138"/>
      <c r="L16" s="138"/>
      <c r="M16" s="138"/>
      <c r="N16" s="138"/>
      <c r="O16" s="139"/>
      <c r="P16" s="138"/>
      <c r="Q16" s="99"/>
      <c r="R16" s="99"/>
    </row>
    <row r="17" spans="1:18" ht="15" customHeight="1" x14ac:dyDescent="0.3">
      <c r="A17" s="17" t="s">
        <v>41</v>
      </c>
      <c r="B17" s="17" t="s">
        <v>1040</v>
      </c>
      <c r="C17" s="18" t="s">
        <v>750</v>
      </c>
      <c r="D17" s="17" t="s">
        <v>337</v>
      </c>
      <c r="E17" s="17" t="s">
        <v>1223</v>
      </c>
      <c r="F17" s="17" t="s">
        <v>1032</v>
      </c>
      <c r="G17" s="298"/>
      <c r="H17" s="138"/>
      <c r="I17" s="138"/>
      <c r="J17" s="138"/>
      <c r="K17" s="138"/>
      <c r="L17" s="138"/>
      <c r="M17" s="138"/>
      <c r="N17" s="138"/>
      <c r="O17" s="139"/>
      <c r="P17" s="138"/>
      <c r="Q17" s="99"/>
      <c r="R17" s="99"/>
    </row>
    <row r="18" spans="1:18" ht="15" customHeight="1" x14ac:dyDescent="0.3">
      <c r="A18" s="17" t="s">
        <v>41</v>
      </c>
      <c r="B18" s="17" t="s">
        <v>1040</v>
      </c>
      <c r="C18" s="18" t="s">
        <v>750</v>
      </c>
      <c r="D18" s="17" t="s">
        <v>43</v>
      </c>
      <c r="E18" s="17" t="s">
        <v>1223</v>
      </c>
      <c r="F18" s="17" t="s">
        <v>1032</v>
      </c>
      <c r="G18" s="298"/>
      <c r="H18" s="138"/>
      <c r="I18" s="138"/>
      <c r="J18" s="138"/>
      <c r="K18" s="138"/>
      <c r="L18" s="138"/>
      <c r="M18" s="138"/>
      <c r="N18" s="138"/>
      <c r="O18" s="139"/>
      <c r="P18" s="138"/>
      <c r="Q18" s="99"/>
      <c r="R18" s="99"/>
    </row>
    <row r="19" spans="1:18" ht="15" customHeight="1" thickBot="1" x14ac:dyDescent="0.35">
      <c r="A19" s="39" t="s">
        <v>26</v>
      </c>
      <c r="B19" s="39" t="s">
        <v>1021</v>
      </c>
      <c r="C19" s="40" t="s">
        <v>1210</v>
      </c>
      <c r="D19" s="39" t="s">
        <v>351</v>
      </c>
      <c r="E19" s="39" t="s">
        <v>275</v>
      </c>
      <c r="F19" s="39" t="s">
        <v>1022</v>
      </c>
      <c r="G19" s="299"/>
      <c r="H19" s="140"/>
      <c r="I19" s="140"/>
      <c r="J19" s="140"/>
      <c r="K19" s="140"/>
      <c r="L19" s="140"/>
      <c r="M19" s="140"/>
      <c r="N19" s="140"/>
      <c r="O19" s="141"/>
      <c r="P19" s="140"/>
      <c r="Q19" s="142"/>
      <c r="R19" s="142"/>
    </row>
    <row r="20" spans="1:18" ht="17.399999999999999" customHeight="1" thickBot="1" x14ac:dyDescent="0.35">
      <c r="A20" s="329"/>
      <c r="B20" s="330"/>
      <c r="C20" s="330"/>
      <c r="D20" s="330"/>
      <c r="E20" s="330"/>
      <c r="F20" s="330"/>
      <c r="G20" s="330"/>
      <c r="H20" s="330"/>
      <c r="I20" s="330"/>
      <c r="J20" s="330"/>
      <c r="K20" s="330"/>
      <c r="L20" s="330"/>
      <c r="M20" s="330"/>
      <c r="N20" s="330"/>
      <c r="O20" s="330"/>
      <c r="P20" s="330"/>
      <c r="Q20" s="330"/>
      <c r="R20" s="331"/>
    </row>
    <row r="21" spans="1:18" ht="22.05" customHeight="1" thickTop="1" thickBot="1" x14ac:dyDescent="0.35">
      <c r="A21" s="300" t="s">
        <v>6</v>
      </c>
      <c r="B21" s="295"/>
      <c r="C21" s="295"/>
      <c r="D21" s="295"/>
      <c r="E21" s="295"/>
      <c r="F21" s="296"/>
      <c r="G21" s="31">
        <v>45983</v>
      </c>
      <c r="H21" s="294" t="s">
        <v>7</v>
      </c>
      <c r="I21" s="295"/>
      <c r="J21" s="295"/>
      <c r="K21" s="295"/>
      <c r="L21" s="295"/>
      <c r="M21" s="295"/>
      <c r="N21" s="295"/>
      <c r="O21" s="295"/>
      <c r="P21" s="295"/>
      <c r="Q21" s="295"/>
      <c r="R21" s="296"/>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15" customHeight="1" x14ac:dyDescent="0.3">
      <c r="A23" s="8" t="s">
        <v>26</v>
      </c>
      <c r="B23" s="8" t="s">
        <v>1214</v>
      </c>
      <c r="C23" s="9">
        <v>0.3611111111111111</v>
      </c>
      <c r="D23" s="8" t="s">
        <v>1215</v>
      </c>
      <c r="E23" s="8" t="s">
        <v>51</v>
      </c>
      <c r="F23" s="8" t="s">
        <v>441</v>
      </c>
      <c r="G23" s="297"/>
      <c r="H23" s="10"/>
      <c r="I23" s="11"/>
      <c r="J23" s="11"/>
      <c r="K23" s="11"/>
      <c r="L23" s="11"/>
      <c r="M23" s="11"/>
      <c r="N23" s="11"/>
      <c r="O23" s="12"/>
      <c r="P23" s="11"/>
      <c r="Q23" s="13"/>
      <c r="R23" s="14"/>
    </row>
    <row r="24" spans="1:18" ht="15" customHeight="1" x14ac:dyDescent="0.3">
      <c r="A24" s="15" t="s">
        <v>26</v>
      </c>
      <c r="B24" s="15" t="s">
        <v>1214</v>
      </c>
      <c r="C24" s="16">
        <v>0.3611111111111111</v>
      </c>
      <c r="D24" s="15" t="s">
        <v>31</v>
      </c>
      <c r="E24" s="15" t="s">
        <v>133</v>
      </c>
      <c r="F24" s="15" t="s">
        <v>1148</v>
      </c>
      <c r="G24" s="298"/>
      <c r="H24" s="10"/>
      <c r="I24" s="11"/>
      <c r="J24" s="11"/>
      <c r="K24" s="11"/>
      <c r="L24" s="11"/>
      <c r="M24" s="11"/>
      <c r="N24" s="11"/>
      <c r="O24" s="12"/>
      <c r="P24" s="11"/>
      <c r="Q24" s="13"/>
      <c r="R24" s="14"/>
    </row>
    <row r="25" spans="1:18" ht="15" customHeight="1" x14ac:dyDescent="0.3">
      <c r="A25" s="15" t="s">
        <v>26</v>
      </c>
      <c r="B25" s="15" t="s">
        <v>1214</v>
      </c>
      <c r="C25" s="16">
        <v>0.3611111111111111</v>
      </c>
      <c r="D25" s="15" t="s">
        <v>34</v>
      </c>
      <c r="E25" s="15" t="s">
        <v>133</v>
      </c>
      <c r="F25" s="15" t="s">
        <v>1224</v>
      </c>
      <c r="G25" s="298"/>
      <c r="H25" s="10"/>
      <c r="I25" s="11"/>
      <c r="J25" s="11"/>
      <c r="K25" s="11"/>
      <c r="L25" s="11"/>
      <c r="M25" s="11"/>
      <c r="N25" s="11"/>
      <c r="O25" s="12"/>
      <c r="P25" s="11"/>
      <c r="Q25" s="13"/>
      <c r="R25" s="14"/>
    </row>
    <row r="26" spans="1:18" ht="18" x14ac:dyDescent="0.3">
      <c r="A26" s="312" t="s">
        <v>1219</v>
      </c>
      <c r="B26" s="313"/>
      <c r="C26" s="313"/>
      <c r="D26" s="313"/>
      <c r="E26" s="313"/>
      <c r="F26" s="314"/>
      <c r="G26" s="298"/>
      <c r="H26" s="138"/>
      <c r="I26" s="138"/>
      <c r="J26" s="138"/>
      <c r="K26" s="138"/>
      <c r="L26" s="138"/>
      <c r="M26" s="138"/>
      <c r="N26" s="138"/>
      <c r="O26" s="139"/>
      <c r="P26" s="138"/>
      <c r="Q26" s="99"/>
      <c r="R26" s="99"/>
    </row>
    <row r="27" spans="1:18" ht="15" customHeight="1" x14ac:dyDescent="0.3">
      <c r="A27" s="17" t="s">
        <v>26</v>
      </c>
      <c r="B27" s="17" t="s">
        <v>1026</v>
      </c>
      <c r="C27" s="18" t="s">
        <v>615</v>
      </c>
      <c r="D27" s="17" t="s">
        <v>351</v>
      </c>
      <c r="E27" s="17" t="s">
        <v>254</v>
      </c>
      <c r="F27" s="17" t="s">
        <v>1091</v>
      </c>
      <c r="G27" s="298"/>
      <c r="H27" s="138"/>
      <c r="I27" s="138"/>
      <c r="J27" s="138"/>
      <c r="K27" s="138"/>
      <c r="L27" s="138"/>
      <c r="M27" s="138"/>
      <c r="N27" s="138"/>
      <c r="O27" s="139"/>
      <c r="P27" s="138"/>
      <c r="Q27" s="99"/>
      <c r="R27" s="99"/>
    </row>
    <row r="28" spans="1:18" ht="15" customHeight="1" x14ac:dyDescent="0.3">
      <c r="A28" s="17" t="s">
        <v>26</v>
      </c>
      <c r="B28" s="17" t="s">
        <v>1026</v>
      </c>
      <c r="C28" s="18" t="s">
        <v>615</v>
      </c>
      <c r="D28" s="17" t="s">
        <v>28</v>
      </c>
      <c r="E28" s="17" t="s">
        <v>254</v>
      </c>
      <c r="F28" s="17" t="s">
        <v>1091</v>
      </c>
      <c r="G28" s="298"/>
      <c r="H28" s="138"/>
      <c r="I28" s="138"/>
      <c r="J28" s="138"/>
      <c r="K28" s="138"/>
      <c r="L28" s="138"/>
      <c r="M28" s="138"/>
      <c r="N28" s="138"/>
      <c r="O28" s="139"/>
      <c r="P28" s="138"/>
      <c r="Q28" s="99"/>
      <c r="R28" s="99"/>
    </row>
    <row r="29" spans="1:18" ht="15" customHeight="1" x14ac:dyDescent="0.3">
      <c r="A29" s="17" t="s">
        <v>26</v>
      </c>
      <c r="B29" s="17" t="s">
        <v>1029</v>
      </c>
      <c r="C29" s="18" t="s">
        <v>1212</v>
      </c>
      <c r="D29" s="17" t="s">
        <v>351</v>
      </c>
      <c r="E29" s="17" t="s">
        <v>254</v>
      </c>
      <c r="F29" s="17" t="s">
        <v>1091</v>
      </c>
      <c r="G29" s="298"/>
      <c r="H29" s="138"/>
      <c r="I29" s="138"/>
      <c r="J29" s="138"/>
      <c r="K29" s="138"/>
      <c r="L29" s="138"/>
      <c r="M29" s="138"/>
      <c r="N29" s="138"/>
      <c r="O29" s="139"/>
      <c r="P29" s="138"/>
      <c r="Q29" s="99"/>
      <c r="R29" s="99"/>
    </row>
    <row r="30" spans="1:18" ht="15" customHeight="1" x14ac:dyDescent="0.3">
      <c r="A30" s="17" t="s">
        <v>26</v>
      </c>
      <c r="B30" s="17" t="s">
        <v>1029</v>
      </c>
      <c r="C30" s="18" t="s">
        <v>1212</v>
      </c>
      <c r="D30" s="17" t="s">
        <v>28</v>
      </c>
      <c r="E30" s="17" t="s">
        <v>254</v>
      </c>
      <c r="F30" s="17" t="s">
        <v>1091</v>
      </c>
      <c r="G30" s="298"/>
      <c r="H30" s="138"/>
      <c r="I30" s="138"/>
      <c r="J30" s="138"/>
      <c r="K30" s="138"/>
      <c r="L30" s="138"/>
      <c r="M30" s="138"/>
      <c r="N30" s="138"/>
      <c r="O30" s="139"/>
      <c r="P30" s="138"/>
      <c r="Q30" s="99"/>
      <c r="R30" s="99"/>
    </row>
    <row r="31" spans="1:18" ht="15" customHeight="1" x14ac:dyDescent="0.3">
      <c r="A31" s="17" t="s">
        <v>41</v>
      </c>
      <c r="B31" s="17" t="s">
        <v>1030</v>
      </c>
      <c r="C31" s="18" t="s">
        <v>1208</v>
      </c>
      <c r="D31" s="17" t="s">
        <v>337</v>
      </c>
      <c r="E31" s="17" t="s">
        <v>275</v>
      </c>
      <c r="F31" s="17" t="s">
        <v>1093</v>
      </c>
      <c r="G31" s="298"/>
      <c r="H31" s="138"/>
      <c r="I31" s="138"/>
      <c r="J31" s="138"/>
      <c r="K31" s="138"/>
      <c r="L31" s="138"/>
      <c r="M31" s="138"/>
      <c r="N31" s="138"/>
      <c r="O31" s="139"/>
      <c r="P31" s="138"/>
      <c r="Q31" s="99"/>
      <c r="R31" s="99"/>
    </row>
    <row r="32" spans="1:18" ht="15" customHeight="1" x14ac:dyDescent="0.3">
      <c r="A32" s="17" t="s">
        <v>41</v>
      </c>
      <c r="B32" s="17" t="s">
        <v>1030</v>
      </c>
      <c r="C32" s="18" t="s">
        <v>1208</v>
      </c>
      <c r="D32" s="17" t="s">
        <v>43</v>
      </c>
      <c r="E32" s="17" t="s">
        <v>275</v>
      </c>
      <c r="F32" s="17" t="s">
        <v>1093</v>
      </c>
      <c r="G32" s="298"/>
      <c r="H32" s="138"/>
      <c r="I32" s="138"/>
      <c r="J32" s="138"/>
      <c r="K32" s="138"/>
      <c r="L32" s="138"/>
      <c r="M32" s="138"/>
      <c r="N32" s="138"/>
      <c r="O32" s="139"/>
      <c r="P32" s="138"/>
      <c r="Q32" s="99"/>
      <c r="R32" s="99"/>
    </row>
    <row r="33" spans="1:18" ht="15" customHeight="1" x14ac:dyDescent="0.3">
      <c r="A33" s="17" t="s">
        <v>41</v>
      </c>
      <c r="B33" s="17" t="s">
        <v>1034</v>
      </c>
      <c r="C33" s="18" t="s">
        <v>1209</v>
      </c>
      <c r="D33" s="17" t="s">
        <v>337</v>
      </c>
      <c r="E33" s="17" t="s">
        <v>1225</v>
      </c>
      <c r="F33" s="17" t="s">
        <v>1093</v>
      </c>
      <c r="G33" s="298"/>
      <c r="H33" s="138"/>
      <c r="I33" s="138"/>
      <c r="J33" s="138"/>
      <c r="K33" s="138"/>
      <c r="L33" s="138"/>
      <c r="M33" s="138"/>
      <c r="N33" s="138"/>
      <c r="O33" s="139"/>
      <c r="P33" s="138"/>
      <c r="Q33" s="99"/>
      <c r="R33" s="99"/>
    </row>
    <row r="34" spans="1:18" ht="15" customHeight="1" x14ac:dyDescent="0.3">
      <c r="A34" s="17" t="s">
        <v>41</v>
      </c>
      <c r="B34" s="17" t="s">
        <v>1034</v>
      </c>
      <c r="C34" s="18" t="s">
        <v>1209</v>
      </c>
      <c r="D34" s="17" t="s">
        <v>43</v>
      </c>
      <c r="E34" s="17" t="s">
        <v>1225</v>
      </c>
      <c r="F34" s="17" t="s">
        <v>1093</v>
      </c>
      <c r="G34" s="298"/>
      <c r="H34" s="138"/>
      <c r="I34" s="138"/>
      <c r="J34" s="138"/>
      <c r="K34" s="138"/>
      <c r="L34" s="138"/>
      <c r="M34" s="138"/>
      <c r="N34" s="138"/>
      <c r="O34" s="139"/>
      <c r="P34" s="138"/>
      <c r="Q34" s="99"/>
      <c r="R34" s="99"/>
    </row>
    <row r="35" spans="1:18" ht="15" customHeight="1" x14ac:dyDescent="0.3">
      <c r="A35" s="17" t="s">
        <v>41</v>
      </c>
      <c r="B35" s="17" t="s">
        <v>1037</v>
      </c>
      <c r="C35" s="18" t="s">
        <v>748</v>
      </c>
      <c r="D35" s="17" t="s">
        <v>337</v>
      </c>
      <c r="E35" s="17" t="s">
        <v>766</v>
      </c>
      <c r="F35" s="17" t="s">
        <v>1028</v>
      </c>
      <c r="G35" s="298"/>
      <c r="H35" s="138"/>
      <c r="I35" s="138"/>
      <c r="J35" s="138"/>
      <c r="K35" s="138"/>
      <c r="L35" s="138"/>
      <c r="M35" s="138"/>
      <c r="N35" s="138"/>
      <c r="O35" s="139"/>
      <c r="P35" s="138"/>
      <c r="Q35" s="99"/>
      <c r="R35" s="99"/>
    </row>
    <row r="36" spans="1:18" ht="15" customHeight="1" thickBot="1" x14ac:dyDescent="0.35">
      <c r="A36" s="39" t="s">
        <v>41</v>
      </c>
      <c r="B36" s="39" t="s">
        <v>1037</v>
      </c>
      <c r="C36" s="40" t="s">
        <v>748</v>
      </c>
      <c r="D36" s="39" t="s">
        <v>43</v>
      </c>
      <c r="E36" s="39" t="s">
        <v>766</v>
      </c>
      <c r="F36" s="39" t="s">
        <v>1028</v>
      </c>
      <c r="G36" s="299"/>
      <c r="H36" s="140"/>
      <c r="I36" s="140"/>
      <c r="J36" s="140"/>
      <c r="K36" s="140"/>
      <c r="L36" s="140"/>
      <c r="M36" s="140"/>
      <c r="N36" s="140"/>
      <c r="O36" s="141"/>
      <c r="P36" s="140"/>
      <c r="Q36" s="142"/>
      <c r="R36" s="142"/>
    </row>
    <row r="37" spans="1:18" ht="17.399999999999999" customHeight="1" thickBot="1" x14ac:dyDescent="0.35">
      <c r="A37" s="329"/>
      <c r="B37" s="330"/>
      <c r="C37" s="330"/>
      <c r="D37" s="330"/>
      <c r="E37" s="330"/>
      <c r="F37" s="330"/>
      <c r="G37" s="330"/>
      <c r="H37" s="330"/>
      <c r="I37" s="330"/>
      <c r="J37" s="330"/>
      <c r="K37" s="330"/>
      <c r="L37" s="330"/>
      <c r="M37" s="330"/>
      <c r="N37" s="330"/>
      <c r="O37" s="330"/>
      <c r="P37" s="330"/>
      <c r="Q37" s="330"/>
      <c r="R37" s="331"/>
    </row>
    <row r="38" spans="1:18" ht="22.05" customHeight="1" thickTop="1" thickBot="1" x14ac:dyDescent="0.35">
      <c r="A38" s="300" t="s">
        <v>6</v>
      </c>
      <c r="B38" s="295"/>
      <c r="C38" s="295"/>
      <c r="D38" s="295"/>
      <c r="E38" s="295"/>
      <c r="F38" s="296"/>
      <c r="G38" s="31">
        <v>45984</v>
      </c>
      <c r="H38" s="294" t="s">
        <v>7</v>
      </c>
      <c r="I38" s="295"/>
      <c r="J38" s="295"/>
      <c r="K38" s="295"/>
      <c r="L38" s="295"/>
      <c r="M38" s="295"/>
      <c r="N38" s="295"/>
      <c r="O38" s="295"/>
      <c r="P38" s="295"/>
      <c r="Q38" s="295"/>
      <c r="R38" s="296"/>
    </row>
    <row r="39" spans="1:18" ht="24" customHeight="1" x14ac:dyDescent="0.3">
      <c r="A39" s="32" t="s">
        <v>8</v>
      </c>
      <c r="B39" s="32" t="s">
        <v>9</v>
      </c>
      <c r="C39" s="33" t="s">
        <v>10</v>
      </c>
      <c r="D39" s="32" t="s">
        <v>11</v>
      </c>
      <c r="E39" s="32" t="s">
        <v>12</v>
      </c>
      <c r="F39" s="34" t="s">
        <v>13</v>
      </c>
      <c r="G39" s="35" t="s">
        <v>14</v>
      </c>
      <c r="H39" s="32" t="s">
        <v>15</v>
      </c>
      <c r="I39" s="36" t="s">
        <v>16</v>
      </c>
      <c r="J39" s="37" t="s">
        <v>17</v>
      </c>
      <c r="K39" s="38" t="s">
        <v>18</v>
      </c>
      <c r="L39" s="37" t="s">
        <v>19</v>
      </c>
      <c r="M39" s="37" t="s">
        <v>20</v>
      </c>
      <c r="N39" s="37" t="s">
        <v>21</v>
      </c>
      <c r="O39" s="32" t="s">
        <v>22</v>
      </c>
      <c r="P39" s="33" t="s">
        <v>23</v>
      </c>
      <c r="Q39" s="37" t="s">
        <v>24</v>
      </c>
      <c r="R39" s="32" t="s">
        <v>25</v>
      </c>
    </row>
    <row r="40" spans="1:18" ht="15" customHeight="1" x14ac:dyDescent="0.3">
      <c r="A40" s="144" t="s">
        <v>77</v>
      </c>
      <c r="B40" s="144" t="s">
        <v>1226</v>
      </c>
      <c r="C40" s="145">
        <v>0.42708333333333331</v>
      </c>
      <c r="D40" s="144" t="s">
        <v>101</v>
      </c>
      <c r="E40" s="144" t="s">
        <v>63</v>
      </c>
      <c r="F40" s="144" t="s">
        <v>1227</v>
      </c>
      <c r="G40" s="304"/>
      <c r="H40" s="147" t="s">
        <v>1228</v>
      </c>
      <c r="I40" s="216">
        <v>0.73180000000000001</v>
      </c>
      <c r="J40" s="149">
        <v>131</v>
      </c>
      <c r="K40" s="150">
        <v>45980</v>
      </c>
      <c r="L40" s="149">
        <v>51</v>
      </c>
      <c r="M40" s="149">
        <v>4</v>
      </c>
      <c r="N40" s="149">
        <v>6</v>
      </c>
      <c r="O40" s="151" t="s">
        <v>538</v>
      </c>
      <c r="P40" s="152">
        <v>0.42708333333333331</v>
      </c>
      <c r="Q40" s="149">
        <v>179</v>
      </c>
      <c r="R40" s="153" t="s">
        <v>1229</v>
      </c>
    </row>
    <row r="41" spans="1:18" ht="15" customHeight="1" x14ac:dyDescent="0.3">
      <c r="A41" s="19" t="s">
        <v>48</v>
      </c>
      <c r="B41" s="19" t="s">
        <v>1230</v>
      </c>
      <c r="C41" s="20">
        <v>0.42708333333333331</v>
      </c>
      <c r="D41" s="19" t="s">
        <v>50</v>
      </c>
      <c r="E41" s="19" t="s">
        <v>83</v>
      </c>
      <c r="F41" s="19" t="s">
        <v>1231</v>
      </c>
      <c r="G41" s="298"/>
      <c r="H41" s="10"/>
      <c r="I41" s="11"/>
      <c r="J41" s="11"/>
      <c r="K41" s="11"/>
      <c r="L41" s="11"/>
      <c r="M41" s="11"/>
      <c r="N41" s="11"/>
      <c r="O41" s="12"/>
      <c r="P41" s="11"/>
      <c r="Q41" s="13"/>
      <c r="R41" s="14"/>
    </row>
    <row r="42" spans="1:18" ht="18" x14ac:dyDescent="0.3">
      <c r="A42" s="312" t="s">
        <v>1219</v>
      </c>
      <c r="B42" s="313"/>
      <c r="C42" s="313"/>
      <c r="D42" s="313"/>
      <c r="E42" s="313"/>
      <c r="F42" s="314"/>
      <c r="G42" s="298"/>
      <c r="H42" s="138"/>
      <c r="I42" s="138"/>
      <c r="J42" s="138"/>
      <c r="K42" s="138"/>
      <c r="L42" s="138"/>
      <c r="M42" s="138"/>
      <c r="N42" s="138"/>
      <c r="O42" s="139"/>
      <c r="P42" s="138"/>
      <c r="Q42" s="99"/>
      <c r="R42" s="99"/>
    </row>
    <row r="43" spans="1:18" ht="15" customHeight="1" x14ac:dyDescent="0.3">
      <c r="A43" s="17" t="s">
        <v>41</v>
      </c>
      <c r="B43" s="17" t="s">
        <v>1030</v>
      </c>
      <c r="C43" s="18" t="s">
        <v>1208</v>
      </c>
      <c r="D43" s="17" t="s">
        <v>337</v>
      </c>
      <c r="E43" s="17" t="s">
        <v>259</v>
      </c>
      <c r="F43" s="17" t="s">
        <v>1079</v>
      </c>
      <c r="G43" s="298"/>
      <c r="H43" s="138"/>
      <c r="I43" s="138"/>
      <c r="J43" s="138"/>
      <c r="K43" s="138"/>
      <c r="L43" s="138"/>
      <c r="M43" s="138"/>
      <c r="N43" s="138"/>
      <c r="O43" s="139"/>
      <c r="P43" s="138"/>
      <c r="Q43" s="99"/>
      <c r="R43" s="99"/>
    </row>
    <row r="44" spans="1:18" ht="15" customHeight="1" x14ac:dyDescent="0.3">
      <c r="A44" s="17" t="s">
        <v>41</v>
      </c>
      <c r="B44" s="17" t="s">
        <v>1030</v>
      </c>
      <c r="C44" s="18" t="s">
        <v>1208</v>
      </c>
      <c r="D44" s="17" t="s">
        <v>43</v>
      </c>
      <c r="E44" s="17" t="s">
        <v>259</v>
      </c>
      <c r="F44" s="17" t="s">
        <v>1079</v>
      </c>
      <c r="G44" s="298"/>
      <c r="H44" s="138"/>
      <c r="I44" s="138"/>
      <c r="J44" s="138"/>
      <c r="K44" s="138"/>
      <c r="L44" s="138"/>
      <c r="M44" s="138"/>
      <c r="N44" s="138"/>
      <c r="O44" s="139"/>
      <c r="P44" s="138"/>
      <c r="Q44" s="99"/>
      <c r="R44" s="99"/>
    </row>
    <row r="45" spans="1:18" ht="15" customHeight="1" x14ac:dyDescent="0.3">
      <c r="A45" s="17" t="s">
        <v>26</v>
      </c>
      <c r="B45" s="17" t="s">
        <v>1026</v>
      </c>
      <c r="C45" s="18" t="s">
        <v>615</v>
      </c>
      <c r="D45" s="17" t="s">
        <v>351</v>
      </c>
      <c r="E45" s="17" t="s">
        <v>259</v>
      </c>
      <c r="F45" s="17" t="s">
        <v>1027</v>
      </c>
      <c r="G45" s="298"/>
      <c r="H45" s="138"/>
      <c r="I45" s="138"/>
      <c r="J45" s="138"/>
      <c r="K45" s="138"/>
      <c r="L45" s="138"/>
      <c r="M45" s="138"/>
      <c r="N45" s="138"/>
      <c r="O45" s="139"/>
      <c r="P45" s="138"/>
      <c r="Q45" s="99"/>
      <c r="R45" s="99"/>
    </row>
    <row r="46" spans="1:18" ht="15" customHeight="1" x14ac:dyDescent="0.3">
      <c r="A46" s="17" t="s">
        <v>26</v>
      </c>
      <c r="B46" s="17" t="s">
        <v>1026</v>
      </c>
      <c r="C46" s="18" t="s">
        <v>615</v>
      </c>
      <c r="D46" s="17" t="s">
        <v>28</v>
      </c>
      <c r="E46" s="17" t="s">
        <v>259</v>
      </c>
      <c r="F46" s="17" t="s">
        <v>1027</v>
      </c>
      <c r="G46" s="298"/>
      <c r="H46" s="138"/>
      <c r="I46" s="138"/>
      <c r="J46" s="138"/>
      <c r="K46" s="138"/>
      <c r="L46" s="138"/>
      <c r="M46" s="138"/>
      <c r="N46" s="138"/>
      <c r="O46" s="139"/>
      <c r="P46" s="138"/>
      <c r="Q46" s="99"/>
      <c r="R46" s="99"/>
    </row>
    <row r="47" spans="1:18" ht="15" customHeight="1" x14ac:dyDescent="0.3">
      <c r="A47" s="17" t="s">
        <v>26</v>
      </c>
      <c r="B47" s="17" t="s">
        <v>1023</v>
      </c>
      <c r="C47" s="18" t="s">
        <v>617</v>
      </c>
      <c r="D47" s="17" t="s">
        <v>351</v>
      </c>
      <c r="E47" s="17" t="s">
        <v>254</v>
      </c>
      <c r="F47" s="17" t="s">
        <v>1027</v>
      </c>
      <c r="G47" s="298"/>
      <c r="H47" s="138"/>
      <c r="I47" s="138"/>
      <c r="J47" s="138"/>
      <c r="K47" s="138"/>
      <c r="L47" s="138"/>
      <c r="M47" s="138"/>
      <c r="N47" s="138"/>
      <c r="O47" s="139"/>
      <c r="P47" s="138"/>
      <c r="Q47" s="99"/>
      <c r="R47" s="99"/>
    </row>
    <row r="48" spans="1:18" ht="15" customHeight="1" x14ac:dyDescent="0.3">
      <c r="A48" s="17" t="s">
        <v>26</v>
      </c>
      <c r="B48" s="17" t="s">
        <v>1023</v>
      </c>
      <c r="C48" s="18" t="s">
        <v>617</v>
      </c>
      <c r="D48" s="17" t="s">
        <v>28</v>
      </c>
      <c r="E48" s="17" t="s">
        <v>254</v>
      </c>
      <c r="F48" s="17" t="s">
        <v>1027</v>
      </c>
      <c r="G48" s="298"/>
      <c r="H48" s="138"/>
      <c r="I48" s="138"/>
      <c r="J48" s="138"/>
      <c r="K48" s="138"/>
      <c r="L48" s="138"/>
      <c r="M48" s="138"/>
      <c r="N48" s="138"/>
      <c r="O48" s="139"/>
      <c r="P48" s="138"/>
      <c r="Q48" s="99"/>
      <c r="R48" s="99"/>
    </row>
    <row r="49" spans="1:18" ht="15" customHeight="1" x14ac:dyDescent="0.3">
      <c r="A49" s="17" t="s">
        <v>41</v>
      </c>
      <c r="B49" s="17" t="s">
        <v>1034</v>
      </c>
      <c r="C49" s="18" t="s">
        <v>1209</v>
      </c>
      <c r="D49" s="17" t="s">
        <v>43</v>
      </c>
      <c r="E49" s="17" t="s">
        <v>1232</v>
      </c>
      <c r="F49" s="17" t="s">
        <v>909</v>
      </c>
      <c r="G49" s="298"/>
      <c r="H49" s="138"/>
      <c r="I49" s="138"/>
      <c r="J49" s="138"/>
      <c r="K49" s="138"/>
      <c r="L49" s="138"/>
      <c r="M49" s="138"/>
      <c r="N49" s="138"/>
      <c r="O49" s="139"/>
      <c r="P49" s="138"/>
      <c r="Q49" s="99"/>
      <c r="R49" s="99"/>
    </row>
    <row r="50" spans="1:18" ht="15" customHeight="1" x14ac:dyDescent="0.3">
      <c r="A50" s="17" t="s">
        <v>41</v>
      </c>
      <c r="B50" s="17" t="s">
        <v>1037</v>
      </c>
      <c r="C50" s="18" t="s">
        <v>748</v>
      </c>
      <c r="D50" s="17" t="s">
        <v>43</v>
      </c>
      <c r="E50" s="17" t="s">
        <v>266</v>
      </c>
      <c r="F50" s="17" t="s">
        <v>909</v>
      </c>
      <c r="G50" s="298"/>
      <c r="H50" s="138"/>
      <c r="I50" s="138"/>
      <c r="J50" s="138"/>
      <c r="K50" s="138"/>
      <c r="L50" s="138"/>
      <c r="M50" s="138"/>
      <c r="N50" s="138"/>
      <c r="O50" s="139"/>
      <c r="P50" s="138"/>
      <c r="Q50" s="99"/>
      <c r="R50" s="99"/>
    </row>
    <row r="51" spans="1:18" ht="15" customHeight="1" x14ac:dyDescent="0.3">
      <c r="A51" s="17" t="s">
        <v>41</v>
      </c>
      <c r="B51" s="17" t="s">
        <v>1040</v>
      </c>
      <c r="C51" s="18" t="s">
        <v>750</v>
      </c>
      <c r="D51" s="17" t="s">
        <v>337</v>
      </c>
      <c r="E51" s="17" t="s">
        <v>766</v>
      </c>
      <c r="F51" s="17" t="s">
        <v>909</v>
      </c>
      <c r="G51" s="298"/>
      <c r="H51" s="138"/>
      <c r="I51" s="138"/>
      <c r="J51" s="138"/>
      <c r="K51" s="138"/>
      <c r="L51" s="138"/>
      <c r="M51" s="138"/>
      <c r="N51" s="138"/>
      <c r="O51" s="139"/>
      <c r="P51" s="138"/>
      <c r="Q51" s="99"/>
      <c r="R51" s="99"/>
    </row>
    <row r="52" spans="1:18" ht="15" customHeight="1" thickBot="1" x14ac:dyDescent="0.35">
      <c r="A52" s="39" t="s">
        <v>41</v>
      </c>
      <c r="B52" s="39" t="s">
        <v>1040</v>
      </c>
      <c r="C52" s="40" t="s">
        <v>750</v>
      </c>
      <c r="D52" s="39" t="s">
        <v>43</v>
      </c>
      <c r="E52" s="39" t="s">
        <v>766</v>
      </c>
      <c r="F52" s="39" t="s">
        <v>909</v>
      </c>
      <c r="G52" s="299"/>
      <c r="H52" s="140"/>
      <c r="I52" s="140"/>
      <c r="J52" s="140"/>
      <c r="K52" s="140"/>
      <c r="L52" s="140"/>
      <c r="M52" s="140"/>
      <c r="N52" s="140"/>
      <c r="O52" s="141"/>
      <c r="P52" s="140"/>
      <c r="Q52" s="142"/>
      <c r="R52" s="142"/>
    </row>
    <row r="53" spans="1:18" ht="17.399999999999999" customHeight="1" thickBot="1" x14ac:dyDescent="0.35">
      <c r="A53" s="329"/>
      <c r="B53" s="330"/>
      <c r="C53" s="330"/>
      <c r="D53" s="330"/>
      <c r="E53" s="330"/>
      <c r="F53" s="330"/>
      <c r="G53" s="330"/>
      <c r="H53" s="330"/>
      <c r="I53" s="330"/>
      <c r="J53" s="330"/>
      <c r="K53" s="330"/>
      <c r="L53" s="330"/>
      <c r="M53" s="330"/>
      <c r="N53" s="330"/>
      <c r="O53" s="330"/>
      <c r="P53" s="330"/>
      <c r="Q53" s="330"/>
      <c r="R53" s="331"/>
    </row>
    <row r="54" spans="1:18" ht="22.05" customHeight="1" thickTop="1" thickBot="1" x14ac:dyDescent="0.35">
      <c r="A54" s="300" t="s">
        <v>6</v>
      </c>
      <c r="B54" s="295"/>
      <c r="C54" s="295"/>
      <c r="D54" s="295"/>
      <c r="E54" s="295"/>
      <c r="F54" s="296"/>
      <c r="G54" s="31">
        <v>45986</v>
      </c>
      <c r="H54" s="294" t="s">
        <v>7</v>
      </c>
      <c r="I54" s="295"/>
      <c r="J54" s="295"/>
      <c r="K54" s="295"/>
      <c r="L54" s="295"/>
      <c r="M54" s="295"/>
      <c r="N54" s="295"/>
      <c r="O54" s="295"/>
      <c r="P54" s="295"/>
      <c r="Q54" s="295"/>
      <c r="R54" s="296"/>
    </row>
    <row r="55" spans="1:18" ht="24" customHeight="1" x14ac:dyDescent="0.3">
      <c r="A55" s="32" t="s">
        <v>8</v>
      </c>
      <c r="B55" s="32" t="s">
        <v>9</v>
      </c>
      <c r="C55" s="33" t="s">
        <v>10</v>
      </c>
      <c r="D55" s="32" t="s">
        <v>11</v>
      </c>
      <c r="E55" s="32" t="s">
        <v>12</v>
      </c>
      <c r="F55" s="34" t="s">
        <v>13</v>
      </c>
      <c r="G55" s="35" t="s">
        <v>14</v>
      </c>
      <c r="H55" s="32" t="s">
        <v>15</v>
      </c>
      <c r="I55" s="36" t="s">
        <v>16</v>
      </c>
      <c r="J55" s="37" t="s">
        <v>17</v>
      </c>
      <c r="K55" s="38" t="s">
        <v>18</v>
      </c>
      <c r="L55" s="37" t="s">
        <v>19</v>
      </c>
      <c r="M55" s="37" t="s">
        <v>20</v>
      </c>
      <c r="N55" s="37" t="s">
        <v>21</v>
      </c>
      <c r="O55" s="32" t="s">
        <v>22</v>
      </c>
      <c r="P55" s="33" t="s">
        <v>23</v>
      </c>
      <c r="Q55" s="37" t="s">
        <v>24</v>
      </c>
      <c r="R55" s="32" t="s">
        <v>25</v>
      </c>
    </row>
    <row r="56" spans="1:18" ht="15" customHeight="1" x14ac:dyDescent="0.3">
      <c r="A56" s="8" t="s">
        <v>26</v>
      </c>
      <c r="B56" s="8" t="s">
        <v>1214</v>
      </c>
      <c r="C56" s="9">
        <v>0.3611111111111111</v>
      </c>
      <c r="D56" s="8" t="s">
        <v>1215</v>
      </c>
      <c r="E56" s="8" t="s">
        <v>85</v>
      </c>
      <c r="F56" s="8" t="s">
        <v>1127</v>
      </c>
      <c r="G56" s="304"/>
      <c r="H56" s="10"/>
      <c r="I56" s="11"/>
      <c r="J56" s="11"/>
      <c r="K56" s="11"/>
      <c r="L56" s="11"/>
      <c r="M56" s="11"/>
      <c r="N56" s="11"/>
      <c r="O56" s="12"/>
      <c r="P56" s="11"/>
      <c r="Q56" s="13"/>
      <c r="R56" s="14"/>
    </row>
    <row r="57" spans="1:18" ht="15" customHeight="1" x14ac:dyDescent="0.3">
      <c r="A57" s="15" t="s">
        <v>26</v>
      </c>
      <c r="B57" s="15" t="s">
        <v>1214</v>
      </c>
      <c r="C57" s="16">
        <v>0.3611111111111111</v>
      </c>
      <c r="D57" s="15" t="s">
        <v>31</v>
      </c>
      <c r="E57" s="15" t="s">
        <v>87</v>
      </c>
      <c r="F57" s="15" t="s">
        <v>1233</v>
      </c>
      <c r="G57" s="298"/>
      <c r="H57" s="10"/>
      <c r="I57" s="11"/>
      <c r="J57" s="11"/>
      <c r="K57" s="11"/>
      <c r="L57" s="11"/>
      <c r="M57" s="11"/>
      <c r="N57" s="11"/>
      <c r="O57" s="12"/>
      <c r="P57" s="11"/>
      <c r="Q57" s="13"/>
      <c r="R57" s="14"/>
    </row>
    <row r="58" spans="1:18" ht="15" customHeight="1" x14ac:dyDescent="0.3">
      <c r="A58" s="15" t="s">
        <v>26</v>
      </c>
      <c r="B58" s="15" t="s">
        <v>1214</v>
      </c>
      <c r="C58" s="16">
        <v>0.3611111111111111</v>
      </c>
      <c r="D58" s="15" t="s">
        <v>34</v>
      </c>
      <c r="E58" s="15" t="s">
        <v>87</v>
      </c>
      <c r="F58" s="15" t="s">
        <v>1234</v>
      </c>
      <c r="G58" s="298"/>
      <c r="H58" s="10"/>
      <c r="I58" s="11"/>
      <c r="J58" s="11"/>
      <c r="K58" s="11"/>
      <c r="L58" s="11"/>
      <c r="M58" s="11"/>
      <c r="N58" s="11"/>
      <c r="O58" s="12"/>
      <c r="P58" s="11"/>
      <c r="Q58" s="13"/>
      <c r="R58" s="14"/>
    </row>
    <row r="59" spans="1:18" ht="15" customHeight="1" x14ac:dyDescent="0.3">
      <c r="A59" s="144" t="s">
        <v>77</v>
      </c>
      <c r="B59" s="144" t="s">
        <v>1226</v>
      </c>
      <c r="C59" s="145">
        <v>0.43055555555555558</v>
      </c>
      <c r="D59" s="144" t="s">
        <v>101</v>
      </c>
      <c r="E59" s="144" t="s">
        <v>63</v>
      </c>
      <c r="F59" s="144" t="s">
        <v>1227</v>
      </c>
      <c r="G59" s="298"/>
      <c r="H59" s="147" t="s">
        <v>1228</v>
      </c>
      <c r="I59" s="216">
        <v>0.58660000000000001</v>
      </c>
      <c r="J59" s="149">
        <v>105</v>
      </c>
      <c r="K59" s="150">
        <v>45980</v>
      </c>
      <c r="L59" s="149">
        <v>24</v>
      </c>
      <c r="M59" s="149">
        <v>1</v>
      </c>
      <c r="N59" s="149">
        <v>2</v>
      </c>
      <c r="O59" s="151" t="s">
        <v>538</v>
      </c>
      <c r="P59" s="152">
        <v>0.43055555555555558</v>
      </c>
      <c r="Q59" s="149">
        <v>179</v>
      </c>
      <c r="R59" s="153" t="s">
        <v>1235</v>
      </c>
    </row>
    <row r="60" spans="1:18" ht="15" customHeight="1" x14ac:dyDescent="0.3">
      <c r="A60" s="19" t="s">
        <v>48</v>
      </c>
      <c r="B60" s="19" t="s">
        <v>1230</v>
      </c>
      <c r="C60" s="20">
        <v>0.43055555555555558</v>
      </c>
      <c r="D60" s="19" t="s">
        <v>50</v>
      </c>
      <c r="E60" s="19" t="s">
        <v>83</v>
      </c>
      <c r="F60" s="19" t="s">
        <v>1231</v>
      </c>
      <c r="G60" s="298"/>
      <c r="H60" s="10"/>
      <c r="I60" s="11"/>
      <c r="J60" s="11"/>
      <c r="K60" s="11"/>
      <c r="L60" s="11"/>
      <c r="M60" s="11"/>
      <c r="N60" s="11"/>
      <c r="O60" s="12"/>
      <c r="P60" s="11"/>
      <c r="Q60" s="13"/>
      <c r="R60" s="14"/>
    </row>
    <row r="61" spans="1:18" ht="18" x14ac:dyDescent="0.3">
      <c r="A61" s="312" t="s">
        <v>1219</v>
      </c>
      <c r="B61" s="313"/>
      <c r="C61" s="313"/>
      <c r="D61" s="313"/>
      <c r="E61" s="313"/>
      <c r="F61" s="314"/>
      <c r="G61" s="298"/>
      <c r="H61" s="138"/>
      <c r="I61" s="138"/>
      <c r="J61" s="138"/>
      <c r="K61" s="138"/>
      <c r="L61" s="138"/>
      <c r="M61" s="138"/>
      <c r="N61" s="138"/>
      <c r="O61" s="139"/>
      <c r="P61" s="138"/>
      <c r="Q61" s="99"/>
      <c r="R61" s="99"/>
    </row>
    <row r="62" spans="1:18" ht="15" customHeight="1" x14ac:dyDescent="0.3">
      <c r="A62" s="17" t="s">
        <v>41</v>
      </c>
      <c r="B62" s="17" t="s">
        <v>1030</v>
      </c>
      <c r="C62" s="18" t="s">
        <v>1208</v>
      </c>
      <c r="D62" s="17" t="s">
        <v>43</v>
      </c>
      <c r="E62" s="17" t="s">
        <v>259</v>
      </c>
      <c r="F62" s="17" t="s">
        <v>909</v>
      </c>
      <c r="G62" s="298"/>
      <c r="H62" s="138"/>
      <c r="I62" s="138"/>
      <c r="J62" s="138"/>
      <c r="K62" s="138"/>
      <c r="L62" s="138"/>
      <c r="M62" s="138"/>
      <c r="N62" s="138"/>
      <c r="O62" s="139"/>
      <c r="P62" s="138"/>
      <c r="Q62" s="99"/>
      <c r="R62" s="99"/>
    </row>
    <row r="63" spans="1:18" ht="15" customHeight="1" x14ac:dyDescent="0.3">
      <c r="A63" s="17" t="s">
        <v>41</v>
      </c>
      <c r="B63" s="17" t="s">
        <v>1034</v>
      </c>
      <c r="C63" s="18" t="s">
        <v>1209</v>
      </c>
      <c r="D63" s="17" t="s">
        <v>43</v>
      </c>
      <c r="E63" s="17" t="s">
        <v>255</v>
      </c>
      <c r="F63" s="17" t="s">
        <v>909</v>
      </c>
      <c r="G63" s="298"/>
      <c r="H63" s="138"/>
      <c r="I63" s="138"/>
      <c r="J63" s="138"/>
      <c r="K63" s="138"/>
      <c r="L63" s="138"/>
      <c r="M63" s="138"/>
      <c r="N63" s="138"/>
      <c r="O63" s="139"/>
      <c r="P63" s="138"/>
      <c r="Q63" s="99"/>
      <c r="R63" s="99"/>
    </row>
    <row r="64" spans="1:18" ht="15" customHeight="1" x14ac:dyDescent="0.3">
      <c r="A64" s="17" t="s">
        <v>41</v>
      </c>
      <c r="B64" s="17" t="s">
        <v>1037</v>
      </c>
      <c r="C64" s="18" t="s">
        <v>748</v>
      </c>
      <c r="D64" s="17" t="s">
        <v>43</v>
      </c>
      <c r="E64" s="17" t="s">
        <v>795</v>
      </c>
      <c r="F64" s="17" t="s">
        <v>909</v>
      </c>
      <c r="G64" s="298"/>
      <c r="H64" s="138"/>
      <c r="I64" s="138"/>
      <c r="J64" s="138"/>
      <c r="K64" s="138"/>
      <c r="L64" s="138"/>
      <c r="M64" s="138"/>
      <c r="N64" s="138"/>
      <c r="O64" s="139"/>
      <c r="P64" s="138"/>
      <c r="Q64" s="99"/>
      <c r="R64" s="99"/>
    </row>
    <row r="65" spans="1:18" ht="15" customHeight="1" x14ac:dyDescent="0.3">
      <c r="A65" s="17" t="s">
        <v>41</v>
      </c>
      <c r="B65" s="17" t="s">
        <v>1040</v>
      </c>
      <c r="C65" s="18" t="s">
        <v>750</v>
      </c>
      <c r="D65" s="17" t="s">
        <v>43</v>
      </c>
      <c r="E65" s="17" t="s">
        <v>774</v>
      </c>
      <c r="F65" s="17" t="s">
        <v>909</v>
      </c>
      <c r="G65" s="298"/>
      <c r="H65" s="138"/>
      <c r="I65" s="138"/>
      <c r="J65" s="138"/>
      <c r="K65" s="138"/>
      <c r="L65" s="138"/>
      <c r="M65" s="138"/>
      <c r="N65" s="138"/>
      <c r="O65" s="139"/>
      <c r="P65" s="138"/>
      <c r="Q65" s="99"/>
      <c r="R65" s="99"/>
    </row>
    <row r="66" spans="1:18" ht="15" customHeight="1" x14ac:dyDescent="0.3">
      <c r="A66" s="17" t="s">
        <v>26</v>
      </c>
      <c r="B66" s="17" t="s">
        <v>1026</v>
      </c>
      <c r="C66" s="18" t="s">
        <v>615</v>
      </c>
      <c r="D66" s="17" t="s">
        <v>28</v>
      </c>
      <c r="E66" s="17" t="s">
        <v>254</v>
      </c>
      <c r="F66" s="17" t="s">
        <v>1091</v>
      </c>
      <c r="G66" s="298"/>
      <c r="H66" s="138"/>
      <c r="I66" s="138"/>
      <c r="J66" s="138"/>
      <c r="K66" s="138"/>
      <c r="L66" s="138"/>
      <c r="M66" s="138"/>
      <c r="N66" s="138"/>
      <c r="O66" s="139"/>
      <c r="P66" s="138"/>
      <c r="Q66" s="99"/>
      <c r="R66" s="99"/>
    </row>
    <row r="67" spans="1:18" ht="15" customHeight="1" x14ac:dyDescent="0.3">
      <c r="A67" s="17" t="s">
        <v>26</v>
      </c>
      <c r="B67" s="17" t="s">
        <v>1017</v>
      </c>
      <c r="C67" s="18" t="s">
        <v>1207</v>
      </c>
      <c r="D67" s="17" t="s">
        <v>28</v>
      </c>
      <c r="E67" s="17" t="s">
        <v>255</v>
      </c>
      <c r="F67" s="17" t="s">
        <v>1091</v>
      </c>
      <c r="G67" s="298"/>
      <c r="H67" s="138"/>
      <c r="I67" s="138"/>
      <c r="J67" s="138"/>
      <c r="K67" s="138"/>
      <c r="L67" s="138"/>
      <c r="M67" s="138"/>
      <c r="N67" s="138"/>
      <c r="O67" s="139"/>
      <c r="P67" s="138"/>
      <c r="Q67" s="99"/>
      <c r="R67" s="99"/>
    </row>
    <row r="68" spans="1:18" ht="15" customHeight="1" x14ac:dyDescent="0.3">
      <c r="A68" s="17" t="s">
        <v>26</v>
      </c>
      <c r="B68" s="17" t="s">
        <v>1021</v>
      </c>
      <c r="C68" s="18" t="s">
        <v>1210</v>
      </c>
      <c r="D68" s="17" t="s">
        <v>28</v>
      </c>
      <c r="E68" s="17" t="s">
        <v>254</v>
      </c>
      <c r="F68" s="17" t="s">
        <v>1091</v>
      </c>
      <c r="G68" s="298"/>
      <c r="H68" s="138"/>
      <c r="I68" s="138"/>
      <c r="J68" s="138"/>
      <c r="K68" s="138"/>
      <c r="L68" s="138"/>
      <c r="M68" s="138"/>
      <c r="N68" s="138"/>
      <c r="O68" s="139"/>
      <c r="P68" s="138"/>
      <c r="Q68" s="99"/>
      <c r="R68" s="99"/>
    </row>
    <row r="69" spans="1:18" ht="15" customHeight="1" x14ac:dyDescent="0.3">
      <c r="A69" s="17" t="s">
        <v>26</v>
      </c>
      <c r="B69" s="17" t="s">
        <v>1029</v>
      </c>
      <c r="C69" s="18" t="s">
        <v>1212</v>
      </c>
      <c r="D69" s="17" t="s">
        <v>28</v>
      </c>
      <c r="E69" s="17" t="s">
        <v>254</v>
      </c>
      <c r="F69" s="17" t="s">
        <v>1091</v>
      </c>
      <c r="G69" s="298"/>
      <c r="H69" s="138"/>
      <c r="I69" s="138"/>
      <c r="J69" s="138"/>
      <c r="K69" s="138"/>
      <c r="L69" s="138"/>
      <c r="M69" s="138"/>
      <c r="N69" s="138"/>
      <c r="O69" s="139"/>
      <c r="P69" s="138"/>
      <c r="Q69" s="99"/>
      <c r="R69" s="99"/>
    </row>
    <row r="70" spans="1:18" ht="15" customHeight="1" x14ac:dyDescent="0.3">
      <c r="A70" s="17" t="s">
        <v>26</v>
      </c>
      <c r="B70" s="17" t="s">
        <v>1023</v>
      </c>
      <c r="C70" s="18" t="s">
        <v>617</v>
      </c>
      <c r="D70" s="17" t="s">
        <v>28</v>
      </c>
      <c r="E70" s="17" t="s">
        <v>254</v>
      </c>
      <c r="F70" s="17" t="s">
        <v>1028</v>
      </c>
      <c r="G70" s="298"/>
      <c r="H70" s="138"/>
      <c r="I70" s="138"/>
      <c r="J70" s="138"/>
      <c r="K70" s="138"/>
      <c r="L70" s="138"/>
      <c r="M70" s="138"/>
      <c r="N70" s="138"/>
      <c r="O70" s="139"/>
      <c r="P70" s="138"/>
      <c r="Q70" s="99"/>
      <c r="R70" s="99"/>
    </row>
    <row r="71" spans="1:18" ht="15" customHeight="1" thickBot="1" x14ac:dyDescent="0.35">
      <c r="A71" s="39" t="s">
        <v>26</v>
      </c>
      <c r="B71" s="39" t="s">
        <v>1024</v>
      </c>
      <c r="C71" s="40" t="s">
        <v>218</v>
      </c>
      <c r="D71" s="39" t="s">
        <v>28</v>
      </c>
      <c r="E71" s="39" t="s">
        <v>255</v>
      </c>
      <c r="F71" s="39" t="s">
        <v>1028</v>
      </c>
      <c r="G71" s="299"/>
      <c r="H71" s="140"/>
      <c r="I71" s="140"/>
      <c r="J71" s="140"/>
      <c r="K71" s="140"/>
      <c r="L71" s="140"/>
      <c r="M71" s="140"/>
      <c r="N71" s="140"/>
      <c r="O71" s="141"/>
      <c r="P71" s="140"/>
      <c r="Q71" s="142"/>
      <c r="R71" s="142"/>
    </row>
    <row r="72" spans="1:18" ht="17.399999999999999" customHeight="1" thickBot="1" x14ac:dyDescent="0.35">
      <c r="A72" s="329"/>
      <c r="B72" s="330"/>
      <c r="C72" s="330"/>
      <c r="D72" s="330"/>
      <c r="E72" s="330"/>
      <c r="F72" s="330"/>
      <c r="G72" s="330"/>
      <c r="H72" s="330"/>
      <c r="I72" s="330"/>
      <c r="J72" s="330"/>
      <c r="K72" s="330"/>
      <c r="L72" s="330"/>
      <c r="M72" s="330"/>
      <c r="N72" s="330"/>
      <c r="O72" s="330"/>
      <c r="P72" s="330"/>
      <c r="Q72" s="330"/>
      <c r="R72" s="331"/>
    </row>
    <row r="73" spans="1:18" ht="22.05" customHeight="1" thickTop="1" thickBot="1" x14ac:dyDescent="0.35">
      <c r="A73" s="300" t="s">
        <v>6</v>
      </c>
      <c r="B73" s="295"/>
      <c r="C73" s="295"/>
      <c r="D73" s="295"/>
      <c r="E73" s="295"/>
      <c r="F73" s="296"/>
      <c r="G73" s="31">
        <v>45987</v>
      </c>
      <c r="H73" s="294" t="s">
        <v>7</v>
      </c>
      <c r="I73" s="295"/>
      <c r="J73" s="295"/>
      <c r="K73" s="295"/>
      <c r="L73" s="295"/>
      <c r="M73" s="295"/>
      <c r="N73" s="295"/>
      <c r="O73" s="295"/>
      <c r="P73" s="295"/>
      <c r="Q73" s="295"/>
      <c r="R73" s="296"/>
    </row>
    <row r="74" spans="1:18" ht="24" customHeight="1" x14ac:dyDescent="0.3">
      <c r="A74" s="32" t="s">
        <v>8</v>
      </c>
      <c r="B74" s="32" t="s">
        <v>9</v>
      </c>
      <c r="C74" s="33" t="s">
        <v>10</v>
      </c>
      <c r="D74" s="32" t="s">
        <v>11</v>
      </c>
      <c r="E74" s="32" t="s">
        <v>12</v>
      </c>
      <c r="F74" s="34" t="s">
        <v>13</v>
      </c>
      <c r="G74" s="35" t="s">
        <v>14</v>
      </c>
      <c r="H74" s="32" t="s">
        <v>15</v>
      </c>
      <c r="I74" s="36" t="s">
        <v>16</v>
      </c>
      <c r="J74" s="37" t="s">
        <v>17</v>
      </c>
      <c r="K74" s="38" t="s">
        <v>18</v>
      </c>
      <c r="L74" s="37" t="s">
        <v>19</v>
      </c>
      <c r="M74" s="37" t="s">
        <v>20</v>
      </c>
      <c r="N74" s="37" t="s">
        <v>21</v>
      </c>
      <c r="O74" s="32" t="s">
        <v>22</v>
      </c>
      <c r="P74" s="33" t="s">
        <v>23</v>
      </c>
      <c r="Q74" s="37" t="s">
        <v>24</v>
      </c>
      <c r="R74" s="32" t="s">
        <v>25</v>
      </c>
    </row>
    <row r="75" spans="1:18" ht="15" customHeight="1" x14ac:dyDescent="0.3">
      <c r="A75" s="75" t="s">
        <v>77</v>
      </c>
      <c r="B75" s="75" t="s">
        <v>1236</v>
      </c>
      <c r="C75" s="76">
        <v>0.40625</v>
      </c>
      <c r="D75" s="75" t="s">
        <v>101</v>
      </c>
      <c r="E75" s="75" t="s">
        <v>63</v>
      </c>
      <c r="F75" s="75" t="s">
        <v>141</v>
      </c>
      <c r="G75" s="304"/>
      <c r="H75" s="78" t="s">
        <v>1237</v>
      </c>
      <c r="I75" s="220">
        <v>0.79890000000000005</v>
      </c>
      <c r="J75" s="80">
        <v>143</v>
      </c>
      <c r="K75" s="81">
        <v>45980</v>
      </c>
      <c r="L75" s="80">
        <v>22</v>
      </c>
      <c r="M75" s="80">
        <v>1</v>
      </c>
      <c r="N75" s="80">
        <v>0</v>
      </c>
      <c r="O75" s="82" t="s">
        <v>1238</v>
      </c>
      <c r="P75" s="83">
        <v>0.40625</v>
      </c>
      <c r="Q75" s="80">
        <v>179</v>
      </c>
      <c r="R75" s="84" t="s">
        <v>1239</v>
      </c>
    </row>
    <row r="76" spans="1:18" ht="15" customHeight="1" x14ac:dyDescent="0.3">
      <c r="A76" s="19" t="s">
        <v>48</v>
      </c>
      <c r="B76" s="19" t="s">
        <v>1240</v>
      </c>
      <c r="C76" s="20">
        <v>0.40625</v>
      </c>
      <c r="D76" s="19" t="s">
        <v>50</v>
      </c>
      <c r="E76" s="19" t="s">
        <v>83</v>
      </c>
      <c r="F76" s="19" t="s">
        <v>1241</v>
      </c>
      <c r="G76" s="298"/>
      <c r="H76" s="10"/>
      <c r="I76" s="11"/>
      <c r="J76" s="11"/>
      <c r="K76" s="11"/>
      <c r="L76" s="11"/>
      <c r="M76" s="11"/>
      <c r="N76" s="11"/>
      <c r="O76" s="12"/>
      <c r="P76" s="11"/>
      <c r="Q76" s="13"/>
      <c r="R76" s="14"/>
    </row>
    <row r="77" spans="1:18" ht="18" x14ac:dyDescent="0.3">
      <c r="A77" s="312" t="s">
        <v>1219</v>
      </c>
      <c r="B77" s="313"/>
      <c r="C77" s="313"/>
      <c r="D77" s="313"/>
      <c r="E77" s="313"/>
      <c r="F77" s="314"/>
      <c r="G77" s="298"/>
      <c r="H77" s="138"/>
      <c r="I77" s="138"/>
      <c r="J77" s="138"/>
      <c r="K77" s="138"/>
      <c r="L77" s="138"/>
      <c r="M77" s="138"/>
      <c r="N77" s="138"/>
      <c r="O77" s="139"/>
      <c r="P77" s="138"/>
      <c r="Q77" s="99"/>
      <c r="R77" s="99"/>
    </row>
    <row r="78" spans="1:18" ht="15" customHeight="1" x14ac:dyDescent="0.3">
      <c r="A78" s="17" t="s">
        <v>41</v>
      </c>
      <c r="B78" s="17" t="s">
        <v>1030</v>
      </c>
      <c r="C78" s="18" t="s">
        <v>1208</v>
      </c>
      <c r="D78" s="17" t="s">
        <v>43</v>
      </c>
      <c r="E78" s="17" t="s">
        <v>303</v>
      </c>
      <c r="F78" s="17" t="s">
        <v>1128</v>
      </c>
      <c r="G78" s="298"/>
      <c r="H78" s="138"/>
      <c r="I78" s="138"/>
      <c r="J78" s="138"/>
      <c r="K78" s="138"/>
      <c r="L78" s="138"/>
      <c r="M78" s="138"/>
      <c r="N78" s="138"/>
      <c r="O78" s="139"/>
      <c r="P78" s="138"/>
      <c r="Q78" s="99"/>
      <c r="R78" s="99"/>
    </row>
    <row r="79" spans="1:18" ht="15" customHeight="1" x14ac:dyDescent="0.3">
      <c r="A79" s="17" t="s">
        <v>41</v>
      </c>
      <c r="B79" s="17" t="s">
        <v>1037</v>
      </c>
      <c r="C79" s="18" t="s">
        <v>748</v>
      </c>
      <c r="D79" s="17" t="s">
        <v>43</v>
      </c>
      <c r="E79" s="17" t="s">
        <v>303</v>
      </c>
      <c r="F79" s="17" t="s">
        <v>1093</v>
      </c>
      <c r="G79" s="298"/>
      <c r="H79" s="138"/>
      <c r="I79" s="138"/>
      <c r="J79" s="138"/>
      <c r="K79" s="138"/>
      <c r="L79" s="138"/>
      <c r="M79" s="138"/>
      <c r="N79" s="138"/>
      <c r="O79" s="139"/>
      <c r="P79" s="138"/>
      <c r="Q79" s="99"/>
      <c r="R79" s="99"/>
    </row>
    <row r="80" spans="1:18" ht="15" customHeight="1" x14ac:dyDescent="0.3">
      <c r="A80" s="17" t="s">
        <v>41</v>
      </c>
      <c r="B80" s="17" t="s">
        <v>1040</v>
      </c>
      <c r="C80" s="18" t="s">
        <v>750</v>
      </c>
      <c r="D80" s="17" t="s">
        <v>43</v>
      </c>
      <c r="E80" s="17" t="s">
        <v>262</v>
      </c>
      <c r="F80" s="17" t="s">
        <v>1093</v>
      </c>
      <c r="G80" s="298"/>
      <c r="H80" s="138"/>
      <c r="I80" s="138"/>
      <c r="J80" s="138"/>
      <c r="K80" s="138"/>
      <c r="L80" s="138"/>
      <c r="M80" s="138"/>
      <c r="N80" s="138"/>
      <c r="O80" s="139"/>
      <c r="P80" s="138"/>
      <c r="Q80" s="99"/>
      <c r="R80" s="99"/>
    </row>
    <row r="81" spans="1:18" ht="15" customHeight="1" x14ac:dyDescent="0.3">
      <c r="A81" s="17" t="s">
        <v>41</v>
      </c>
      <c r="B81" s="17" t="s">
        <v>1034</v>
      </c>
      <c r="C81" s="18" t="s">
        <v>1209</v>
      </c>
      <c r="D81" s="17" t="s">
        <v>43</v>
      </c>
      <c r="E81" s="17" t="s">
        <v>254</v>
      </c>
      <c r="F81" s="17" t="s">
        <v>1028</v>
      </c>
      <c r="G81" s="298"/>
      <c r="H81" s="138"/>
      <c r="I81" s="138"/>
      <c r="J81" s="138"/>
      <c r="K81" s="138"/>
      <c r="L81" s="138"/>
      <c r="M81" s="138"/>
      <c r="N81" s="138"/>
      <c r="O81" s="139"/>
      <c r="P81" s="138"/>
      <c r="Q81" s="99"/>
      <c r="R81" s="99"/>
    </row>
    <row r="82" spans="1:18" ht="15" customHeight="1" x14ac:dyDescent="0.3">
      <c r="A82" s="17" t="s">
        <v>388</v>
      </c>
      <c r="B82" s="17" t="s">
        <v>1129</v>
      </c>
      <c r="C82" s="18" t="s">
        <v>660</v>
      </c>
      <c r="D82" s="17" t="s">
        <v>390</v>
      </c>
      <c r="E82" s="17" t="s">
        <v>254</v>
      </c>
      <c r="F82" s="17" t="s">
        <v>1130</v>
      </c>
      <c r="G82" s="298"/>
      <c r="H82" s="138"/>
      <c r="I82" s="138"/>
      <c r="J82" s="138"/>
      <c r="K82" s="138"/>
      <c r="L82" s="138"/>
      <c r="M82" s="138"/>
      <c r="N82" s="138"/>
      <c r="O82" s="139"/>
      <c r="P82" s="138"/>
      <c r="Q82" s="99"/>
      <c r="R82" s="99"/>
    </row>
    <row r="83" spans="1:18" ht="15" customHeight="1" x14ac:dyDescent="0.3">
      <c r="A83" s="17" t="s">
        <v>77</v>
      </c>
      <c r="B83" s="17" t="s">
        <v>1052</v>
      </c>
      <c r="C83" s="18" t="s">
        <v>1176</v>
      </c>
      <c r="D83" s="17" t="s">
        <v>101</v>
      </c>
      <c r="E83" s="17" t="s">
        <v>256</v>
      </c>
      <c r="F83" s="17" t="s">
        <v>779</v>
      </c>
      <c r="G83" s="298"/>
      <c r="H83" s="138"/>
      <c r="I83" s="138"/>
      <c r="J83" s="138"/>
      <c r="K83" s="138"/>
      <c r="L83" s="138"/>
      <c r="M83" s="138"/>
      <c r="N83" s="138"/>
      <c r="O83" s="139"/>
      <c r="P83" s="138"/>
      <c r="Q83" s="99"/>
      <c r="R83" s="99"/>
    </row>
    <row r="84" spans="1:18" ht="15" customHeight="1" x14ac:dyDescent="0.3">
      <c r="A84" s="17" t="s">
        <v>458</v>
      </c>
      <c r="B84" s="17" t="s">
        <v>1048</v>
      </c>
      <c r="C84" s="18" t="s">
        <v>1211</v>
      </c>
      <c r="D84" s="17" t="s">
        <v>101</v>
      </c>
      <c r="E84" s="17" t="s">
        <v>256</v>
      </c>
      <c r="F84" s="17" t="s">
        <v>1124</v>
      </c>
      <c r="G84" s="298"/>
      <c r="H84" s="138"/>
      <c r="I84" s="138"/>
      <c r="J84" s="138"/>
      <c r="K84" s="138"/>
      <c r="L84" s="138"/>
      <c r="M84" s="138"/>
      <c r="N84" s="138"/>
      <c r="O84" s="139"/>
      <c r="P84" s="138"/>
      <c r="Q84" s="99"/>
      <c r="R84" s="99"/>
    </row>
    <row r="85" spans="1:18" ht="15" customHeight="1" x14ac:dyDescent="0.3">
      <c r="A85" s="17" t="s">
        <v>41</v>
      </c>
      <c r="B85" s="17" t="s">
        <v>1030</v>
      </c>
      <c r="C85" s="18" t="s">
        <v>1208</v>
      </c>
      <c r="D85" s="17" t="s">
        <v>45</v>
      </c>
      <c r="E85" s="17" t="s">
        <v>303</v>
      </c>
      <c r="F85" s="17" t="s">
        <v>44</v>
      </c>
      <c r="G85" s="298"/>
      <c r="H85" s="138"/>
      <c r="I85" s="138"/>
      <c r="J85" s="138"/>
      <c r="K85" s="138"/>
      <c r="L85" s="138"/>
      <c r="M85" s="138"/>
      <c r="N85" s="138"/>
      <c r="O85" s="139"/>
      <c r="P85" s="138"/>
      <c r="Q85" s="99"/>
      <c r="R85" s="99"/>
    </row>
    <row r="86" spans="1:18" ht="15" customHeight="1" x14ac:dyDescent="0.3">
      <c r="A86" s="17" t="s">
        <v>41</v>
      </c>
      <c r="B86" s="17" t="s">
        <v>1037</v>
      </c>
      <c r="C86" s="18" t="s">
        <v>748</v>
      </c>
      <c r="D86" s="17" t="s">
        <v>45</v>
      </c>
      <c r="E86" s="17" t="s">
        <v>303</v>
      </c>
      <c r="F86" s="17" t="s">
        <v>1092</v>
      </c>
      <c r="G86" s="298"/>
      <c r="H86" s="138"/>
      <c r="I86" s="138"/>
      <c r="J86" s="138"/>
      <c r="K86" s="138"/>
      <c r="L86" s="138"/>
      <c r="M86" s="138"/>
      <c r="N86" s="138"/>
      <c r="O86" s="139"/>
      <c r="P86" s="138"/>
      <c r="Q86" s="99"/>
      <c r="R86" s="99"/>
    </row>
    <row r="87" spans="1:18" ht="15" customHeight="1" thickBot="1" x14ac:dyDescent="0.35">
      <c r="A87" s="39" t="s">
        <v>41</v>
      </c>
      <c r="B87" s="39" t="s">
        <v>1040</v>
      </c>
      <c r="C87" s="40" t="s">
        <v>750</v>
      </c>
      <c r="D87" s="39" t="s">
        <v>45</v>
      </c>
      <c r="E87" s="39" t="s">
        <v>262</v>
      </c>
      <c r="F87" s="39" t="s">
        <v>1092</v>
      </c>
      <c r="G87" s="299"/>
      <c r="H87" s="140"/>
      <c r="I87" s="140"/>
      <c r="J87" s="140"/>
      <c r="K87" s="140"/>
      <c r="L87" s="140"/>
      <c r="M87" s="140"/>
      <c r="N87" s="140"/>
      <c r="O87" s="141"/>
      <c r="P87" s="140"/>
      <c r="Q87" s="142"/>
      <c r="R87" s="142"/>
    </row>
    <row r="88" spans="1:18" ht="17.399999999999999" customHeight="1" thickBot="1" x14ac:dyDescent="0.35">
      <c r="A88" s="329"/>
      <c r="B88" s="330"/>
      <c r="C88" s="330"/>
      <c r="D88" s="330"/>
      <c r="E88" s="330"/>
      <c r="F88" s="330"/>
      <c r="G88" s="330"/>
      <c r="H88" s="330"/>
      <c r="I88" s="330"/>
      <c r="J88" s="330"/>
      <c r="K88" s="330"/>
      <c r="L88" s="330"/>
      <c r="M88" s="330"/>
      <c r="N88" s="330"/>
      <c r="O88" s="330"/>
      <c r="P88" s="330"/>
      <c r="Q88" s="330"/>
      <c r="R88" s="331"/>
    </row>
    <row r="89" spans="1:18" ht="22.05" customHeight="1" thickTop="1" thickBot="1" x14ac:dyDescent="0.35">
      <c r="A89" s="300" t="s">
        <v>6</v>
      </c>
      <c r="B89" s="295"/>
      <c r="C89" s="295"/>
      <c r="D89" s="295"/>
      <c r="E89" s="295"/>
      <c r="F89" s="296"/>
      <c r="G89" s="31">
        <v>45988</v>
      </c>
      <c r="H89" s="294" t="s">
        <v>7</v>
      </c>
      <c r="I89" s="295"/>
      <c r="J89" s="295"/>
      <c r="K89" s="295"/>
      <c r="L89" s="295"/>
      <c r="M89" s="295"/>
      <c r="N89" s="295"/>
      <c r="O89" s="295"/>
      <c r="P89" s="295"/>
      <c r="Q89" s="295"/>
      <c r="R89" s="296"/>
    </row>
    <row r="90" spans="1:18" ht="24" customHeight="1" x14ac:dyDescent="0.3">
      <c r="A90" s="32" t="s">
        <v>8</v>
      </c>
      <c r="B90" s="32" t="s">
        <v>9</v>
      </c>
      <c r="C90" s="33" t="s">
        <v>10</v>
      </c>
      <c r="D90" s="32" t="s">
        <v>11</v>
      </c>
      <c r="E90" s="32" t="s">
        <v>12</v>
      </c>
      <c r="F90" s="34" t="s">
        <v>13</v>
      </c>
      <c r="G90" s="35" t="s">
        <v>14</v>
      </c>
      <c r="H90" s="32" t="s">
        <v>15</v>
      </c>
      <c r="I90" s="36" t="s">
        <v>16</v>
      </c>
      <c r="J90" s="37" t="s">
        <v>17</v>
      </c>
      <c r="K90" s="38" t="s">
        <v>18</v>
      </c>
      <c r="L90" s="37" t="s">
        <v>19</v>
      </c>
      <c r="M90" s="37" t="s">
        <v>20</v>
      </c>
      <c r="N90" s="37" t="s">
        <v>21</v>
      </c>
      <c r="O90" s="32" t="s">
        <v>22</v>
      </c>
      <c r="P90" s="33" t="s">
        <v>23</v>
      </c>
      <c r="Q90" s="37" t="s">
        <v>24</v>
      </c>
      <c r="R90" s="32" t="s">
        <v>25</v>
      </c>
    </row>
    <row r="91" spans="1:18" ht="15" customHeight="1" x14ac:dyDescent="0.3">
      <c r="A91" s="8" t="s">
        <v>26</v>
      </c>
      <c r="B91" s="8" t="s">
        <v>1214</v>
      </c>
      <c r="C91" s="9">
        <v>0.3611111111111111</v>
      </c>
      <c r="D91" s="8" t="s">
        <v>1215</v>
      </c>
      <c r="E91" s="8" t="s">
        <v>138</v>
      </c>
      <c r="F91" s="8" t="s">
        <v>441</v>
      </c>
      <c r="G91" s="297"/>
      <c r="H91" s="10"/>
      <c r="I91" s="11"/>
      <c r="J91" s="11"/>
      <c r="K91" s="11"/>
      <c r="L91" s="11"/>
      <c r="M91" s="11"/>
      <c r="N91" s="11"/>
      <c r="O91" s="12"/>
      <c r="P91" s="11"/>
      <c r="Q91" s="13"/>
      <c r="R91" s="14"/>
    </row>
    <row r="92" spans="1:18" ht="15" customHeight="1" x14ac:dyDescent="0.3">
      <c r="A92" s="15" t="s">
        <v>26</v>
      </c>
      <c r="B92" s="15" t="s">
        <v>1214</v>
      </c>
      <c r="C92" s="16">
        <v>0.3611111111111111</v>
      </c>
      <c r="D92" s="15" t="s">
        <v>31</v>
      </c>
      <c r="E92" s="15" t="s">
        <v>38</v>
      </c>
      <c r="F92" s="15" t="s">
        <v>1148</v>
      </c>
      <c r="G92" s="298"/>
      <c r="H92" s="10"/>
      <c r="I92" s="11"/>
      <c r="J92" s="11"/>
      <c r="K92" s="11"/>
      <c r="L92" s="11"/>
      <c r="M92" s="11"/>
      <c r="N92" s="11"/>
      <c r="O92" s="12"/>
      <c r="P92" s="11"/>
      <c r="Q92" s="13"/>
      <c r="R92" s="14"/>
    </row>
    <row r="93" spans="1:18" ht="15" customHeight="1" x14ac:dyDescent="0.3">
      <c r="A93" s="15" t="s">
        <v>26</v>
      </c>
      <c r="B93" s="15" t="s">
        <v>1214</v>
      </c>
      <c r="C93" s="16">
        <v>0.3611111111111111</v>
      </c>
      <c r="D93" s="15" t="s">
        <v>34</v>
      </c>
      <c r="E93" s="15" t="s">
        <v>38</v>
      </c>
      <c r="F93" s="15" t="s">
        <v>1224</v>
      </c>
      <c r="G93" s="298"/>
      <c r="H93" s="10"/>
      <c r="I93" s="11"/>
      <c r="J93" s="11"/>
      <c r="K93" s="11"/>
      <c r="L93" s="11"/>
      <c r="M93" s="11"/>
      <c r="N93" s="11"/>
      <c r="O93" s="12"/>
      <c r="P93" s="11"/>
      <c r="Q93" s="13"/>
      <c r="R93" s="14"/>
    </row>
    <row r="94" spans="1:18" ht="18" x14ac:dyDescent="0.3">
      <c r="A94" s="312" t="s">
        <v>1219</v>
      </c>
      <c r="B94" s="313"/>
      <c r="C94" s="313"/>
      <c r="D94" s="313"/>
      <c r="E94" s="313"/>
      <c r="F94" s="314"/>
      <c r="G94" s="298"/>
      <c r="H94" s="138"/>
      <c r="I94" s="138"/>
      <c r="J94" s="138"/>
      <c r="K94" s="138"/>
      <c r="L94" s="138"/>
      <c r="M94" s="138"/>
      <c r="N94" s="138"/>
      <c r="O94" s="139"/>
      <c r="P94" s="138"/>
      <c r="Q94" s="99"/>
      <c r="R94" s="99"/>
    </row>
    <row r="95" spans="1:18" ht="15" customHeight="1" x14ac:dyDescent="0.3">
      <c r="A95" s="17" t="s">
        <v>41</v>
      </c>
      <c r="B95" s="17" t="s">
        <v>1037</v>
      </c>
      <c r="C95" s="18" t="s">
        <v>748</v>
      </c>
      <c r="D95" s="17" t="s">
        <v>43</v>
      </c>
      <c r="E95" s="17" t="s">
        <v>273</v>
      </c>
      <c r="F95" s="17" t="s">
        <v>431</v>
      </c>
      <c r="G95" s="298"/>
      <c r="H95" s="138"/>
      <c r="I95" s="138"/>
      <c r="J95" s="138"/>
      <c r="K95" s="138"/>
      <c r="L95" s="138"/>
      <c r="M95" s="138"/>
      <c r="N95" s="138"/>
      <c r="O95" s="139"/>
      <c r="P95" s="138"/>
      <c r="Q95" s="99"/>
      <c r="R95" s="99"/>
    </row>
    <row r="96" spans="1:18" ht="15" customHeight="1" x14ac:dyDescent="0.3">
      <c r="A96" s="17" t="s">
        <v>41</v>
      </c>
      <c r="B96" s="17" t="s">
        <v>1030</v>
      </c>
      <c r="C96" s="18" t="s">
        <v>1208</v>
      </c>
      <c r="D96" s="17" t="s">
        <v>43</v>
      </c>
      <c r="E96" s="17" t="s">
        <v>275</v>
      </c>
      <c r="F96" s="17" t="s">
        <v>44</v>
      </c>
      <c r="G96" s="298"/>
      <c r="H96" s="138"/>
      <c r="I96" s="138"/>
      <c r="J96" s="138"/>
      <c r="K96" s="138"/>
      <c r="L96" s="138"/>
      <c r="M96" s="138"/>
      <c r="N96" s="138"/>
      <c r="O96" s="139"/>
      <c r="P96" s="138"/>
      <c r="Q96" s="99"/>
      <c r="R96" s="99"/>
    </row>
    <row r="97" spans="1:18" ht="15" customHeight="1" x14ac:dyDescent="0.3">
      <c r="A97" s="17" t="s">
        <v>41</v>
      </c>
      <c r="B97" s="17" t="s">
        <v>1040</v>
      </c>
      <c r="C97" s="18" t="s">
        <v>750</v>
      </c>
      <c r="D97" s="17" t="s">
        <v>43</v>
      </c>
      <c r="E97" s="17" t="s">
        <v>262</v>
      </c>
      <c r="F97" s="17" t="s">
        <v>44</v>
      </c>
      <c r="G97" s="298"/>
      <c r="H97" s="138"/>
      <c r="I97" s="138"/>
      <c r="J97" s="138"/>
      <c r="K97" s="138"/>
      <c r="L97" s="138"/>
      <c r="M97" s="138"/>
      <c r="N97" s="138"/>
      <c r="O97" s="139"/>
      <c r="P97" s="138"/>
      <c r="Q97" s="99"/>
      <c r="R97" s="99"/>
    </row>
    <row r="98" spans="1:18" ht="15" customHeight="1" x14ac:dyDescent="0.3">
      <c r="A98" s="17" t="s">
        <v>26</v>
      </c>
      <c r="B98" s="17" t="s">
        <v>1026</v>
      </c>
      <c r="C98" s="18" t="s">
        <v>615</v>
      </c>
      <c r="D98" s="17" t="s">
        <v>28</v>
      </c>
      <c r="E98" s="17" t="s">
        <v>254</v>
      </c>
      <c r="F98" s="17" t="s">
        <v>1092</v>
      </c>
      <c r="G98" s="298"/>
      <c r="H98" s="138"/>
      <c r="I98" s="138"/>
      <c r="J98" s="138"/>
      <c r="K98" s="138"/>
      <c r="L98" s="138"/>
      <c r="M98" s="138"/>
      <c r="N98" s="138"/>
      <c r="O98" s="139"/>
      <c r="P98" s="138"/>
      <c r="Q98" s="99"/>
      <c r="R98" s="99"/>
    </row>
    <row r="99" spans="1:18" ht="15" customHeight="1" x14ac:dyDescent="0.3">
      <c r="A99" s="17" t="s">
        <v>26</v>
      </c>
      <c r="B99" s="17" t="s">
        <v>1021</v>
      </c>
      <c r="C99" s="18" t="s">
        <v>1210</v>
      </c>
      <c r="D99" s="17" t="s">
        <v>28</v>
      </c>
      <c r="E99" s="17" t="s">
        <v>260</v>
      </c>
      <c r="F99" s="17" t="s">
        <v>1092</v>
      </c>
      <c r="G99" s="298"/>
      <c r="H99" s="138"/>
      <c r="I99" s="138"/>
      <c r="J99" s="138"/>
      <c r="K99" s="138"/>
      <c r="L99" s="138"/>
      <c r="M99" s="138"/>
      <c r="N99" s="138"/>
      <c r="O99" s="139"/>
      <c r="P99" s="138"/>
      <c r="Q99" s="99"/>
      <c r="R99" s="99"/>
    </row>
    <row r="100" spans="1:18" ht="15" customHeight="1" x14ac:dyDescent="0.3">
      <c r="A100" s="17" t="s">
        <v>26</v>
      </c>
      <c r="B100" s="17" t="s">
        <v>1029</v>
      </c>
      <c r="C100" s="18" t="s">
        <v>1212</v>
      </c>
      <c r="D100" s="17" t="s">
        <v>28</v>
      </c>
      <c r="E100" s="17" t="s">
        <v>254</v>
      </c>
      <c r="F100" s="17" t="s">
        <v>1092</v>
      </c>
      <c r="G100" s="298"/>
      <c r="H100" s="138"/>
      <c r="I100" s="138"/>
      <c r="J100" s="138"/>
      <c r="K100" s="138"/>
      <c r="L100" s="138"/>
      <c r="M100" s="138"/>
      <c r="N100" s="138"/>
      <c r="O100" s="139"/>
      <c r="P100" s="138"/>
      <c r="Q100" s="99"/>
      <c r="R100" s="99"/>
    </row>
    <row r="101" spans="1:18" ht="15" customHeight="1" x14ac:dyDescent="0.3">
      <c r="A101" s="17" t="s">
        <v>77</v>
      </c>
      <c r="B101" s="17" t="s">
        <v>1052</v>
      </c>
      <c r="C101" s="18" t="s">
        <v>1176</v>
      </c>
      <c r="D101" s="17" t="s">
        <v>101</v>
      </c>
      <c r="E101" s="17" t="s">
        <v>255</v>
      </c>
      <c r="F101" s="17" t="s">
        <v>1133</v>
      </c>
      <c r="G101" s="298"/>
      <c r="H101" s="138"/>
      <c r="I101" s="138"/>
      <c r="J101" s="138"/>
      <c r="K101" s="138"/>
      <c r="L101" s="138"/>
      <c r="M101" s="138"/>
      <c r="N101" s="138"/>
      <c r="O101" s="139"/>
      <c r="P101" s="138"/>
      <c r="Q101" s="99"/>
      <c r="R101" s="99"/>
    </row>
    <row r="102" spans="1:18" ht="15" customHeight="1" x14ac:dyDescent="0.3">
      <c r="A102" s="17" t="s">
        <v>388</v>
      </c>
      <c r="B102" s="17" t="s">
        <v>1056</v>
      </c>
      <c r="C102" s="18" t="s">
        <v>615</v>
      </c>
      <c r="D102" s="17" t="s">
        <v>390</v>
      </c>
      <c r="E102" s="17" t="s">
        <v>254</v>
      </c>
      <c r="F102" s="17" t="s">
        <v>1141</v>
      </c>
      <c r="G102" s="298"/>
      <c r="H102" s="138"/>
      <c r="I102" s="138"/>
      <c r="J102" s="138"/>
      <c r="K102" s="138"/>
      <c r="L102" s="138"/>
      <c r="M102" s="138"/>
      <c r="N102" s="138"/>
      <c r="O102" s="139"/>
      <c r="P102" s="138"/>
      <c r="Q102" s="99"/>
      <c r="R102" s="99"/>
    </row>
    <row r="103" spans="1:18" ht="15" customHeight="1" x14ac:dyDescent="0.3">
      <c r="A103" s="17" t="s">
        <v>41</v>
      </c>
      <c r="B103" s="17" t="s">
        <v>1034</v>
      </c>
      <c r="C103" s="18" t="s">
        <v>1209</v>
      </c>
      <c r="D103" s="17" t="s">
        <v>43</v>
      </c>
      <c r="E103" s="17" t="s">
        <v>303</v>
      </c>
      <c r="F103" s="17" t="s">
        <v>33</v>
      </c>
      <c r="G103" s="298"/>
      <c r="H103" s="138"/>
      <c r="I103" s="138"/>
      <c r="J103" s="138"/>
      <c r="K103" s="138"/>
      <c r="L103" s="138"/>
      <c r="M103" s="138"/>
      <c r="N103" s="138"/>
      <c r="O103" s="139"/>
      <c r="P103" s="138"/>
      <c r="Q103" s="99"/>
      <c r="R103" s="99"/>
    </row>
    <row r="104" spans="1:18" ht="15" customHeight="1" thickBot="1" x14ac:dyDescent="0.35">
      <c r="A104" s="39" t="s">
        <v>26</v>
      </c>
      <c r="B104" s="39" t="s">
        <v>1023</v>
      </c>
      <c r="C104" s="40" t="s">
        <v>617</v>
      </c>
      <c r="D104" s="39" t="s">
        <v>28</v>
      </c>
      <c r="E104" s="39" t="s">
        <v>254</v>
      </c>
      <c r="F104" s="39" t="s">
        <v>95</v>
      </c>
      <c r="G104" s="299"/>
      <c r="H104" s="140"/>
      <c r="I104" s="140"/>
      <c r="J104" s="140"/>
      <c r="K104" s="140"/>
      <c r="L104" s="140"/>
      <c r="M104" s="140"/>
      <c r="N104" s="140"/>
      <c r="O104" s="141"/>
      <c r="P104" s="140"/>
      <c r="Q104" s="142"/>
      <c r="R104" s="142"/>
    </row>
    <row r="105" spans="1:18" ht="17.399999999999999" customHeight="1" thickBot="1" x14ac:dyDescent="0.35">
      <c r="A105" s="329"/>
      <c r="B105" s="330"/>
      <c r="C105" s="330"/>
      <c r="D105" s="330"/>
      <c r="E105" s="330"/>
      <c r="F105" s="330"/>
      <c r="G105" s="330"/>
      <c r="H105" s="330"/>
      <c r="I105" s="330"/>
      <c r="J105" s="330"/>
      <c r="K105" s="330"/>
      <c r="L105" s="330"/>
      <c r="M105" s="330"/>
      <c r="N105" s="330"/>
      <c r="O105" s="330"/>
      <c r="P105" s="330"/>
      <c r="Q105" s="330"/>
      <c r="R105" s="331"/>
    </row>
    <row r="106" spans="1:18" ht="22.05" customHeight="1" thickTop="1" thickBot="1" x14ac:dyDescent="0.35">
      <c r="A106" s="300" t="s">
        <v>6</v>
      </c>
      <c r="B106" s="295"/>
      <c r="C106" s="295"/>
      <c r="D106" s="295"/>
      <c r="E106" s="295"/>
      <c r="F106" s="296"/>
      <c r="G106" s="31">
        <v>45990</v>
      </c>
      <c r="H106" s="294" t="s">
        <v>7</v>
      </c>
      <c r="I106" s="295"/>
      <c r="J106" s="295"/>
      <c r="K106" s="295"/>
      <c r="L106" s="295"/>
      <c r="M106" s="295"/>
      <c r="N106" s="295"/>
      <c r="O106" s="295"/>
      <c r="P106" s="295"/>
      <c r="Q106" s="295"/>
      <c r="R106" s="296"/>
    </row>
    <row r="107" spans="1:18" ht="24" customHeight="1" x14ac:dyDescent="0.3">
      <c r="A107" s="32" t="s">
        <v>8</v>
      </c>
      <c r="B107" s="32" t="s">
        <v>9</v>
      </c>
      <c r="C107" s="33" t="s">
        <v>10</v>
      </c>
      <c r="D107" s="32" t="s">
        <v>11</v>
      </c>
      <c r="E107" s="32" t="s">
        <v>12</v>
      </c>
      <c r="F107" s="34" t="s">
        <v>13</v>
      </c>
      <c r="G107" s="35" t="s">
        <v>14</v>
      </c>
      <c r="H107" s="32" t="s">
        <v>15</v>
      </c>
      <c r="I107" s="36" t="s">
        <v>16</v>
      </c>
      <c r="J107" s="37" t="s">
        <v>17</v>
      </c>
      <c r="K107" s="38" t="s">
        <v>18</v>
      </c>
      <c r="L107" s="37" t="s">
        <v>19</v>
      </c>
      <c r="M107" s="37" t="s">
        <v>20</v>
      </c>
      <c r="N107" s="37" t="s">
        <v>21</v>
      </c>
      <c r="O107" s="32" t="s">
        <v>22</v>
      </c>
      <c r="P107" s="33" t="s">
        <v>23</v>
      </c>
      <c r="Q107" s="37" t="s">
        <v>24</v>
      </c>
      <c r="R107" s="32" t="s">
        <v>25</v>
      </c>
    </row>
    <row r="108" spans="1:18" ht="15" customHeight="1" x14ac:dyDescent="0.3">
      <c r="A108" s="8" t="s">
        <v>26</v>
      </c>
      <c r="B108" s="8" t="s">
        <v>1214</v>
      </c>
      <c r="C108" s="9">
        <v>0.3611111111111111</v>
      </c>
      <c r="D108" s="8" t="s">
        <v>1215</v>
      </c>
      <c r="E108" s="8" t="s">
        <v>51</v>
      </c>
      <c r="F108" s="8" t="s">
        <v>1242</v>
      </c>
      <c r="G108" s="297"/>
      <c r="H108" s="10"/>
      <c r="I108" s="11"/>
      <c r="J108" s="11"/>
      <c r="K108" s="11"/>
      <c r="L108" s="11"/>
      <c r="M108" s="11"/>
      <c r="N108" s="11"/>
      <c r="O108" s="12"/>
      <c r="P108" s="11"/>
      <c r="Q108" s="13"/>
      <c r="R108" s="14"/>
    </row>
    <row r="109" spans="1:18" ht="15" customHeight="1" x14ac:dyDescent="0.3">
      <c r="A109" s="15" t="s">
        <v>26</v>
      </c>
      <c r="B109" s="15" t="s">
        <v>1214</v>
      </c>
      <c r="C109" s="16">
        <v>0.3611111111111111</v>
      </c>
      <c r="D109" s="15" t="s">
        <v>31</v>
      </c>
      <c r="E109" s="15" t="s">
        <v>133</v>
      </c>
      <c r="F109" s="15" t="s">
        <v>1243</v>
      </c>
      <c r="G109" s="298"/>
      <c r="H109" s="10"/>
      <c r="I109" s="11"/>
      <c r="J109" s="11"/>
      <c r="K109" s="11"/>
      <c r="L109" s="11"/>
      <c r="M109" s="11"/>
      <c r="N109" s="11"/>
      <c r="O109" s="12"/>
      <c r="P109" s="11"/>
      <c r="Q109" s="13"/>
      <c r="R109" s="14"/>
    </row>
    <row r="110" spans="1:18" ht="15" customHeight="1" x14ac:dyDescent="0.3">
      <c r="A110" s="15" t="s">
        <v>26</v>
      </c>
      <c r="B110" s="15" t="s">
        <v>1214</v>
      </c>
      <c r="C110" s="16">
        <v>0.3611111111111111</v>
      </c>
      <c r="D110" s="15" t="s">
        <v>34</v>
      </c>
      <c r="E110" s="15" t="s">
        <v>133</v>
      </c>
      <c r="F110" s="15" t="s">
        <v>1244</v>
      </c>
      <c r="G110" s="298"/>
      <c r="H110" s="10"/>
      <c r="I110" s="11"/>
      <c r="J110" s="11"/>
      <c r="K110" s="11"/>
      <c r="L110" s="11"/>
      <c r="M110" s="11"/>
      <c r="N110" s="11"/>
      <c r="O110" s="12"/>
      <c r="P110" s="11"/>
      <c r="Q110" s="13"/>
      <c r="R110" s="14"/>
    </row>
    <row r="111" spans="1:18" ht="18" x14ac:dyDescent="0.3">
      <c r="A111" s="312" t="s">
        <v>1219</v>
      </c>
      <c r="B111" s="313"/>
      <c r="C111" s="313"/>
      <c r="D111" s="313"/>
      <c r="E111" s="313"/>
      <c r="F111" s="314"/>
      <c r="G111" s="298"/>
      <c r="H111" s="138"/>
      <c r="I111" s="138"/>
      <c r="J111" s="138"/>
      <c r="K111" s="138"/>
      <c r="L111" s="138"/>
      <c r="M111" s="138"/>
      <c r="N111" s="138"/>
      <c r="O111" s="139"/>
      <c r="P111" s="138"/>
      <c r="Q111" s="99"/>
      <c r="R111" s="99"/>
    </row>
    <row r="112" spans="1:18" ht="15" customHeight="1" x14ac:dyDescent="0.3">
      <c r="A112" s="17" t="s">
        <v>458</v>
      </c>
      <c r="B112" s="17" t="s">
        <v>1048</v>
      </c>
      <c r="C112" s="18" t="s">
        <v>862</v>
      </c>
      <c r="D112" s="17" t="s">
        <v>101</v>
      </c>
      <c r="E112" s="17" t="s">
        <v>256</v>
      </c>
      <c r="F112" s="17" t="s">
        <v>1158</v>
      </c>
      <c r="G112" s="298"/>
      <c r="H112" s="138"/>
      <c r="I112" s="138"/>
      <c r="J112" s="138"/>
      <c r="K112" s="138"/>
      <c r="L112" s="138"/>
      <c r="M112" s="138"/>
      <c r="N112" s="138"/>
      <c r="O112" s="139"/>
      <c r="P112" s="138"/>
      <c r="Q112" s="99"/>
      <c r="R112" s="99"/>
    </row>
    <row r="113" spans="1:18" ht="15" customHeight="1" x14ac:dyDescent="0.3">
      <c r="A113" s="17" t="s">
        <v>41</v>
      </c>
      <c r="B113" s="17" t="s">
        <v>1030</v>
      </c>
      <c r="C113" s="18" t="s">
        <v>1208</v>
      </c>
      <c r="D113" s="17" t="s">
        <v>43</v>
      </c>
      <c r="E113" s="17" t="s">
        <v>254</v>
      </c>
      <c r="F113" s="17" t="s">
        <v>457</v>
      </c>
      <c r="G113" s="298"/>
      <c r="H113" s="138"/>
      <c r="I113" s="138"/>
      <c r="J113" s="138"/>
      <c r="K113" s="138"/>
      <c r="L113" s="138"/>
      <c r="M113" s="138"/>
      <c r="N113" s="138"/>
      <c r="O113" s="139"/>
      <c r="P113" s="138"/>
      <c r="Q113" s="99"/>
      <c r="R113" s="99"/>
    </row>
    <row r="114" spans="1:18" ht="15" customHeight="1" x14ac:dyDescent="0.3">
      <c r="A114" s="17" t="s">
        <v>41</v>
      </c>
      <c r="B114" s="17" t="s">
        <v>1034</v>
      </c>
      <c r="C114" s="18" t="s">
        <v>1209</v>
      </c>
      <c r="D114" s="17" t="s">
        <v>43</v>
      </c>
      <c r="E114" s="17" t="s">
        <v>259</v>
      </c>
      <c r="F114" s="17" t="s">
        <v>457</v>
      </c>
      <c r="G114" s="298"/>
      <c r="H114" s="138"/>
      <c r="I114" s="138"/>
      <c r="J114" s="138"/>
      <c r="K114" s="138"/>
      <c r="L114" s="138"/>
      <c r="M114" s="138"/>
      <c r="N114" s="138"/>
      <c r="O114" s="139"/>
      <c r="P114" s="138"/>
      <c r="Q114" s="99"/>
      <c r="R114" s="99"/>
    </row>
    <row r="115" spans="1:18" ht="15" customHeight="1" x14ac:dyDescent="0.3">
      <c r="A115" s="17" t="s">
        <v>41</v>
      </c>
      <c r="B115" s="17" t="s">
        <v>1040</v>
      </c>
      <c r="C115" s="18" t="s">
        <v>750</v>
      </c>
      <c r="D115" s="17" t="s">
        <v>43</v>
      </c>
      <c r="E115" s="17" t="s">
        <v>269</v>
      </c>
      <c r="F115" s="17" t="s">
        <v>457</v>
      </c>
      <c r="G115" s="298"/>
      <c r="H115" s="138"/>
      <c r="I115" s="138"/>
      <c r="J115" s="138"/>
      <c r="K115" s="138"/>
      <c r="L115" s="138"/>
      <c r="M115" s="138"/>
      <c r="N115" s="138"/>
      <c r="O115" s="139"/>
      <c r="P115" s="138"/>
      <c r="Q115" s="99"/>
      <c r="R115" s="99"/>
    </row>
    <row r="116" spans="1:18" ht="15" customHeight="1" x14ac:dyDescent="0.3">
      <c r="A116" s="17" t="s">
        <v>388</v>
      </c>
      <c r="B116" s="17" t="s">
        <v>1056</v>
      </c>
      <c r="C116" s="18" t="s">
        <v>615</v>
      </c>
      <c r="D116" s="17" t="s">
        <v>390</v>
      </c>
      <c r="E116" s="17" t="s">
        <v>254</v>
      </c>
      <c r="F116" s="17" t="s">
        <v>1160</v>
      </c>
      <c r="G116" s="298"/>
      <c r="H116" s="138"/>
      <c r="I116" s="138"/>
      <c r="J116" s="138"/>
      <c r="K116" s="138"/>
      <c r="L116" s="138"/>
      <c r="M116" s="138"/>
      <c r="N116" s="138"/>
      <c r="O116" s="139"/>
      <c r="P116" s="138"/>
      <c r="Q116" s="99"/>
      <c r="R116" s="99"/>
    </row>
    <row r="117" spans="1:18" ht="15" customHeight="1" x14ac:dyDescent="0.3">
      <c r="A117" s="17" t="s">
        <v>385</v>
      </c>
      <c r="B117" s="17" t="s">
        <v>1043</v>
      </c>
      <c r="C117" s="18" t="s">
        <v>853</v>
      </c>
      <c r="D117" s="17" t="s">
        <v>101</v>
      </c>
      <c r="E117" s="17" t="s">
        <v>255</v>
      </c>
      <c r="F117" s="17" t="s">
        <v>1149</v>
      </c>
      <c r="G117" s="298"/>
      <c r="H117" s="138"/>
      <c r="I117" s="138"/>
      <c r="J117" s="138"/>
      <c r="K117" s="138"/>
      <c r="L117" s="138"/>
      <c r="M117" s="138"/>
      <c r="N117" s="138"/>
      <c r="O117" s="139"/>
      <c r="P117" s="138"/>
      <c r="Q117" s="99"/>
      <c r="R117" s="99"/>
    </row>
    <row r="118" spans="1:18" ht="15" customHeight="1" x14ac:dyDescent="0.3">
      <c r="A118" s="17" t="s">
        <v>385</v>
      </c>
      <c r="B118" s="17" t="s">
        <v>1162</v>
      </c>
      <c r="C118" s="18" t="s">
        <v>1245</v>
      </c>
      <c r="D118" s="17" t="s">
        <v>101</v>
      </c>
      <c r="E118" s="17" t="s">
        <v>273</v>
      </c>
      <c r="F118" s="17" t="s">
        <v>1149</v>
      </c>
      <c r="G118" s="298"/>
      <c r="H118" s="138"/>
      <c r="I118" s="138"/>
      <c r="J118" s="138"/>
      <c r="K118" s="138"/>
      <c r="L118" s="138"/>
      <c r="M118" s="138"/>
      <c r="N118" s="138"/>
      <c r="O118" s="139"/>
      <c r="P118" s="138"/>
      <c r="Q118" s="99"/>
      <c r="R118" s="99"/>
    </row>
    <row r="119" spans="1:18" ht="15" customHeight="1" x14ac:dyDescent="0.3">
      <c r="A119" s="17" t="s">
        <v>26</v>
      </c>
      <c r="B119" s="17" t="s">
        <v>1026</v>
      </c>
      <c r="C119" s="18" t="s">
        <v>615</v>
      </c>
      <c r="D119" s="17" t="s">
        <v>28</v>
      </c>
      <c r="E119" s="17" t="s">
        <v>275</v>
      </c>
      <c r="F119" s="17" t="s">
        <v>532</v>
      </c>
      <c r="G119" s="298"/>
      <c r="H119" s="138"/>
      <c r="I119" s="138"/>
      <c r="J119" s="138"/>
      <c r="K119" s="138"/>
      <c r="L119" s="138"/>
      <c r="M119" s="138"/>
      <c r="N119" s="138"/>
      <c r="O119" s="139"/>
      <c r="P119" s="138"/>
      <c r="Q119" s="99"/>
      <c r="R119" s="99"/>
    </row>
    <row r="120" spans="1:18" ht="15" customHeight="1" x14ac:dyDescent="0.3">
      <c r="A120" s="17" t="s">
        <v>458</v>
      </c>
      <c r="B120" s="17" t="s">
        <v>1050</v>
      </c>
      <c r="C120" s="18" t="s">
        <v>1246</v>
      </c>
      <c r="D120" s="17" t="s">
        <v>101</v>
      </c>
      <c r="E120" s="17" t="s">
        <v>253</v>
      </c>
      <c r="F120" s="17" t="s">
        <v>1159</v>
      </c>
      <c r="G120" s="298"/>
      <c r="H120" s="138"/>
      <c r="I120" s="138"/>
      <c r="J120" s="138"/>
      <c r="K120" s="138"/>
      <c r="L120" s="138"/>
      <c r="M120" s="138"/>
      <c r="N120" s="138"/>
      <c r="O120" s="139"/>
      <c r="P120" s="138"/>
      <c r="Q120" s="99"/>
      <c r="R120" s="99"/>
    </row>
    <row r="121" spans="1:18" ht="15" customHeight="1" thickBot="1" x14ac:dyDescent="0.35">
      <c r="A121" s="39" t="s">
        <v>41</v>
      </c>
      <c r="B121" s="39" t="s">
        <v>1037</v>
      </c>
      <c r="C121" s="40" t="s">
        <v>748</v>
      </c>
      <c r="D121" s="39" t="s">
        <v>43</v>
      </c>
      <c r="E121" s="39" t="s">
        <v>844</v>
      </c>
      <c r="F121" s="39" t="s">
        <v>479</v>
      </c>
      <c r="G121" s="299"/>
      <c r="H121" s="140"/>
      <c r="I121" s="140"/>
      <c r="J121" s="140"/>
      <c r="K121" s="140"/>
      <c r="L121" s="140"/>
      <c r="M121" s="140"/>
      <c r="N121" s="140"/>
      <c r="O121" s="141"/>
      <c r="P121" s="140"/>
      <c r="Q121" s="142"/>
      <c r="R121" s="142"/>
    </row>
    <row r="122" spans="1:18" ht="17.399999999999999" customHeight="1" thickBot="1" x14ac:dyDescent="0.35">
      <c r="A122" s="329"/>
      <c r="B122" s="330"/>
      <c r="C122" s="330"/>
      <c r="D122" s="330"/>
      <c r="E122" s="330"/>
      <c r="F122" s="330"/>
      <c r="G122" s="330"/>
      <c r="H122" s="330"/>
      <c r="I122" s="330"/>
      <c r="J122" s="330"/>
      <c r="K122" s="330"/>
      <c r="L122" s="330"/>
      <c r="M122" s="330"/>
      <c r="N122" s="330"/>
      <c r="O122" s="330"/>
      <c r="P122" s="330"/>
      <c r="Q122" s="330"/>
      <c r="R122" s="331"/>
    </row>
    <row r="123" spans="1:18" ht="22.05" customHeight="1" thickTop="1" thickBot="1" x14ac:dyDescent="0.35">
      <c r="A123" s="300" t="s">
        <v>6</v>
      </c>
      <c r="B123" s="295"/>
      <c r="C123" s="295"/>
      <c r="D123" s="295"/>
      <c r="E123" s="295"/>
      <c r="F123" s="296"/>
      <c r="G123" s="31">
        <v>45991</v>
      </c>
      <c r="H123" s="294" t="s">
        <v>7</v>
      </c>
      <c r="I123" s="295"/>
      <c r="J123" s="295"/>
      <c r="K123" s="295"/>
      <c r="L123" s="295"/>
      <c r="M123" s="295"/>
      <c r="N123" s="295"/>
      <c r="O123" s="295"/>
      <c r="P123" s="295"/>
      <c r="Q123" s="295"/>
      <c r="R123" s="296"/>
    </row>
    <row r="124" spans="1:18" ht="24" customHeight="1" x14ac:dyDescent="0.3">
      <c r="A124" s="32" t="s">
        <v>8</v>
      </c>
      <c r="B124" s="32" t="s">
        <v>9</v>
      </c>
      <c r="C124" s="33" t="s">
        <v>10</v>
      </c>
      <c r="D124" s="32" t="s">
        <v>11</v>
      </c>
      <c r="E124" s="32" t="s">
        <v>12</v>
      </c>
      <c r="F124" s="34" t="s">
        <v>13</v>
      </c>
      <c r="G124" s="35" t="s">
        <v>14</v>
      </c>
      <c r="H124" s="32" t="s">
        <v>15</v>
      </c>
      <c r="I124" s="36" t="s">
        <v>16</v>
      </c>
      <c r="J124" s="37" t="s">
        <v>17</v>
      </c>
      <c r="K124" s="38" t="s">
        <v>18</v>
      </c>
      <c r="L124" s="37" t="s">
        <v>19</v>
      </c>
      <c r="M124" s="37" t="s">
        <v>20</v>
      </c>
      <c r="N124" s="37" t="s">
        <v>21</v>
      </c>
      <c r="O124" s="32" t="s">
        <v>22</v>
      </c>
      <c r="P124" s="33" t="s">
        <v>23</v>
      </c>
      <c r="Q124" s="37" t="s">
        <v>24</v>
      </c>
      <c r="R124" s="32" t="s">
        <v>25</v>
      </c>
    </row>
    <row r="125" spans="1:18" ht="15" customHeight="1" x14ac:dyDescent="0.3">
      <c r="A125" s="204" t="s">
        <v>77</v>
      </c>
      <c r="B125" s="204" t="s">
        <v>1226</v>
      </c>
      <c r="C125" s="205">
        <v>0.42708333333333331</v>
      </c>
      <c r="D125" s="204" t="s">
        <v>101</v>
      </c>
      <c r="E125" s="204" t="s">
        <v>63</v>
      </c>
      <c r="F125" s="204" t="s">
        <v>1150</v>
      </c>
      <c r="G125" s="297"/>
      <c r="H125" s="206" t="s">
        <v>1228</v>
      </c>
      <c r="I125" s="253">
        <v>0.51959999999999995</v>
      </c>
      <c r="J125" s="208">
        <v>93</v>
      </c>
      <c r="K125" s="209">
        <v>45980</v>
      </c>
      <c r="L125" s="208">
        <v>13</v>
      </c>
      <c r="M125" s="208">
        <v>2</v>
      </c>
      <c r="N125" s="208">
        <v>2</v>
      </c>
      <c r="O125" s="210" t="s">
        <v>1247</v>
      </c>
      <c r="P125" s="211">
        <v>0.42708333333333331</v>
      </c>
      <c r="Q125" s="208">
        <v>179</v>
      </c>
      <c r="R125" s="212" t="s">
        <v>1248</v>
      </c>
    </row>
    <row r="126" spans="1:18" ht="15" customHeight="1" x14ac:dyDescent="0.3">
      <c r="A126" s="19" t="s">
        <v>48</v>
      </c>
      <c r="B126" s="19" t="s">
        <v>1230</v>
      </c>
      <c r="C126" s="20">
        <v>0.42708333333333331</v>
      </c>
      <c r="D126" s="19" t="s">
        <v>50</v>
      </c>
      <c r="E126" s="19" t="s">
        <v>83</v>
      </c>
      <c r="F126" s="19" t="s">
        <v>1249</v>
      </c>
      <c r="G126" s="298"/>
      <c r="H126" s="10"/>
      <c r="I126" s="11"/>
      <c r="J126" s="11"/>
      <c r="K126" s="11"/>
      <c r="L126" s="11"/>
      <c r="M126" s="11"/>
      <c r="N126" s="11"/>
      <c r="O126" s="12"/>
      <c r="P126" s="11"/>
      <c r="Q126" s="13"/>
      <c r="R126" s="14"/>
    </row>
    <row r="127" spans="1:18" ht="18" x14ac:dyDescent="0.3">
      <c r="A127" s="312" t="s">
        <v>1219</v>
      </c>
      <c r="B127" s="313"/>
      <c r="C127" s="313"/>
      <c r="D127" s="313"/>
      <c r="E127" s="313"/>
      <c r="F127" s="314"/>
      <c r="G127" s="298"/>
      <c r="H127" s="138"/>
      <c r="I127" s="138"/>
      <c r="J127" s="138"/>
      <c r="K127" s="138"/>
      <c r="L127" s="138"/>
      <c r="M127" s="138"/>
      <c r="N127" s="138"/>
      <c r="O127" s="139"/>
      <c r="P127" s="138"/>
      <c r="Q127" s="99"/>
      <c r="R127" s="99"/>
    </row>
    <row r="128" spans="1:18" ht="15" customHeight="1" x14ac:dyDescent="0.3">
      <c r="A128" s="17" t="s">
        <v>26</v>
      </c>
      <c r="B128" s="17" t="s">
        <v>1026</v>
      </c>
      <c r="C128" s="18" t="s">
        <v>615</v>
      </c>
      <c r="D128" s="17" t="s">
        <v>28</v>
      </c>
      <c r="E128" s="17" t="s">
        <v>259</v>
      </c>
      <c r="F128" s="17" t="s">
        <v>810</v>
      </c>
      <c r="G128" s="298"/>
      <c r="H128" s="138"/>
      <c r="I128" s="138"/>
      <c r="J128" s="138"/>
      <c r="K128" s="138"/>
      <c r="L128" s="138"/>
      <c r="M128" s="138"/>
      <c r="N128" s="138"/>
      <c r="O128" s="139"/>
      <c r="P128" s="138"/>
      <c r="Q128" s="99"/>
      <c r="R128" s="99"/>
    </row>
    <row r="129" spans="1:18" ht="15" customHeight="1" x14ac:dyDescent="0.3">
      <c r="A129" s="17" t="s">
        <v>41</v>
      </c>
      <c r="B129" s="17" t="s">
        <v>1037</v>
      </c>
      <c r="C129" s="18" t="s">
        <v>748</v>
      </c>
      <c r="D129" s="17" t="s">
        <v>43</v>
      </c>
      <c r="E129" s="17" t="s">
        <v>273</v>
      </c>
      <c r="F129" s="17" t="s">
        <v>33</v>
      </c>
      <c r="G129" s="298"/>
      <c r="H129" s="138"/>
      <c r="I129" s="138"/>
      <c r="J129" s="138"/>
      <c r="K129" s="138"/>
      <c r="L129" s="138"/>
      <c r="M129" s="138"/>
      <c r="N129" s="138"/>
      <c r="O129" s="139"/>
      <c r="P129" s="138"/>
      <c r="Q129" s="99"/>
      <c r="R129" s="99"/>
    </row>
    <row r="130" spans="1:18" ht="15" customHeight="1" x14ac:dyDescent="0.3">
      <c r="A130" s="17" t="s">
        <v>26</v>
      </c>
      <c r="B130" s="17" t="s">
        <v>1026</v>
      </c>
      <c r="C130" s="18" t="s">
        <v>615</v>
      </c>
      <c r="D130" s="17" t="s">
        <v>31</v>
      </c>
      <c r="E130" s="17" t="s">
        <v>259</v>
      </c>
      <c r="F130" s="17" t="s">
        <v>1097</v>
      </c>
      <c r="G130" s="298"/>
      <c r="H130" s="138"/>
      <c r="I130" s="138"/>
      <c r="J130" s="138"/>
      <c r="K130" s="138"/>
      <c r="L130" s="138"/>
      <c r="M130" s="138"/>
      <c r="N130" s="138"/>
      <c r="O130" s="139"/>
      <c r="P130" s="138"/>
      <c r="Q130" s="99"/>
      <c r="R130" s="99"/>
    </row>
    <row r="131" spans="1:18" ht="15" customHeight="1" x14ac:dyDescent="0.3">
      <c r="A131" s="17" t="s">
        <v>77</v>
      </c>
      <c r="B131" s="17" t="s">
        <v>1052</v>
      </c>
      <c r="C131" s="18" t="s">
        <v>1183</v>
      </c>
      <c r="D131" s="17" t="s">
        <v>101</v>
      </c>
      <c r="E131" s="17" t="s">
        <v>259</v>
      </c>
      <c r="F131" s="17" t="s">
        <v>1171</v>
      </c>
      <c r="G131" s="298"/>
      <c r="H131" s="138"/>
      <c r="I131" s="138"/>
      <c r="J131" s="138"/>
      <c r="K131" s="138"/>
      <c r="L131" s="138"/>
      <c r="M131" s="138"/>
      <c r="N131" s="138"/>
      <c r="O131" s="139"/>
      <c r="P131" s="138"/>
      <c r="Q131" s="99"/>
      <c r="R131" s="99"/>
    </row>
    <row r="132" spans="1:18" ht="15" customHeight="1" x14ac:dyDescent="0.3">
      <c r="A132" s="17" t="s">
        <v>41</v>
      </c>
      <c r="B132" s="17" t="s">
        <v>1034</v>
      </c>
      <c r="C132" s="18" t="s">
        <v>1209</v>
      </c>
      <c r="D132" s="17" t="s">
        <v>43</v>
      </c>
      <c r="E132" s="17" t="s">
        <v>266</v>
      </c>
      <c r="F132" s="17" t="s">
        <v>143</v>
      </c>
      <c r="G132" s="298"/>
      <c r="H132" s="138"/>
      <c r="I132" s="138"/>
      <c r="J132" s="138"/>
      <c r="K132" s="138"/>
      <c r="L132" s="138"/>
      <c r="M132" s="138"/>
      <c r="N132" s="138"/>
      <c r="O132" s="139"/>
      <c r="P132" s="138"/>
      <c r="Q132" s="99"/>
      <c r="R132" s="99"/>
    </row>
    <row r="133" spans="1:18" ht="15" customHeight="1" x14ac:dyDescent="0.3">
      <c r="A133" s="17" t="s">
        <v>26</v>
      </c>
      <c r="B133" s="17" t="s">
        <v>1017</v>
      </c>
      <c r="C133" s="18" t="s">
        <v>1207</v>
      </c>
      <c r="D133" s="17" t="s">
        <v>28</v>
      </c>
      <c r="E133" s="17" t="s">
        <v>273</v>
      </c>
      <c r="F133" s="17" t="s">
        <v>143</v>
      </c>
      <c r="G133" s="298"/>
      <c r="H133" s="138"/>
      <c r="I133" s="138"/>
      <c r="J133" s="138"/>
      <c r="K133" s="138"/>
      <c r="L133" s="138"/>
      <c r="M133" s="138"/>
      <c r="N133" s="138"/>
      <c r="O133" s="139"/>
      <c r="P133" s="138"/>
      <c r="Q133" s="99"/>
      <c r="R133" s="99"/>
    </row>
    <row r="134" spans="1:18" ht="15" customHeight="1" x14ac:dyDescent="0.3">
      <c r="A134" s="17" t="s">
        <v>26</v>
      </c>
      <c r="B134" s="17" t="s">
        <v>1021</v>
      </c>
      <c r="C134" s="18" t="s">
        <v>1210</v>
      </c>
      <c r="D134" s="17" t="s">
        <v>28</v>
      </c>
      <c r="E134" s="17" t="s">
        <v>254</v>
      </c>
      <c r="F134" s="17" t="s">
        <v>143</v>
      </c>
      <c r="G134" s="298"/>
      <c r="H134" s="138"/>
      <c r="I134" s="138"/>
      <c r="J134" s="138"/>
      <c r="K134" s="138"/>
      <c r="L134" s="138"/>
      <c r="M134" s="138"/>
      <c r="N134" s="138"/>
      <c r="O134" s="139"/>
      <c r="P134" s="138"/>
      <c r="Q134" s="99"/>
      <c r="R134" s="99"/>
    </row>
    <row r="135" spans="1:18" ht="15" customHeight="1" x14ac:dyDescent="0.3">
      <c r="A135" s="17" t="s">
        <v>26</v>
      </c>
      <c r="B135" s="17" t="s">
        <v>1023</v>
      </c>
      <c r="C135" s="18" t="s">
        <v>617</v>
      </c>
      <c r="D135" s="17" t="s">
        <v>28</v>
      </c>
      <c r="E135" s="17" t="s">
        <v>275</v>
      </c>
      <c r="F135" s="17" t="s">
        <v>143</v>
      </c>
      <c r="G135" s="298"/>
      <c r="H135" s="138"/>
      <c r="I135" s="138"/>
      <c r="J135" s="138"/>
      <c r="K135" s="138"/>
      <c r="L135" s="138"/>
      <c r="M135" s="138"/>
      <c r="N135" s="138"/>
      <c r="O135" s="139"/>
      <c r="P135" s="138"/>
      <c r="Q135" s="99"/>
      <c r="R135" s="99"/>
    </row>
    <row r="136" spans="1:18" ht="15" customHeight="1" x14ac:dyDescent="0.3">
      <c r="A136" s="17" t="s">
        <v>26</v>
      </c>
      <c r="B136" s="17" t="s">
        <v>1025</v>
      </c>
      <c r="C136" s="18" t="s">
        <v>239</v>
      </c>
      <c r="D136" s="17" t="s">
        <v>28</v>
      </c>
      <c r="E136" s="17" t="s">
        <v>253</v>
      </c>
      <c r="F136" s="17" t="s">
        <v>143</v>
      </c>
      <c r="G136" s="298"/>
      <c r="H136" s="138"/>
      <c r="I136" s="138"/>
      <c r="J136" s="138"/>
      <c r="K136" s="138"/>
      <c r="L136" s="138"/>
      <c r="M136" s="138"/>
      <c r="N136" s="138"/>
      <c r="O136" s="139"/>
      <c r="P136" s="138"/>
      <c r="Q136" s="99"/>
      <c r="R136" s="99"/>
    </row>
    <row r="137" spans="1:18" ht="15" customHeight="1" x14ac:dyDescent="0.3">
      <c r="A137" s="39" t="s">
        <v>458</v>
      </c>
      <c r="B137" s="39" t="s">
        <v>1111</v>
      </c>
      <c r="C137" s="40" t="s">
        <v>746</v>
      </c>
      <c r="D137" s="39" t="s">
        <v>101</v>
      </c>
      <c r="E137" s="39" t="s">
        <v>275</v>
      </c>
      <c r="F137" s="39" t="s">
        <v>1174</v>
      </c>
      <c r="G137" s="299"/>
      <c r="H137" s="140"/>
      <c r="I137" s="140"/>
      <c r="J137" s="140"/>
      <c r="K137" s="140"/>
      <c r="L137" s="140"/>
      <c r="M137" s="140"/>
      <c r="N137" s="140"/>
      <c r="O137" s="141"/>
      <c r="P137" s="140"/>
      <c r="Q137" s="142"/>
      <c r="R137" s="142"/>
    </row>
  </sheetData>
  <mergeCells count="46">
    <mergeCell ref="A127:F127"/>
    <mergeCell ref="A77:F77"/>
    <mergeCell ref="A73:F73"/>
    <mergeCell ref="G40:G52"/>
    <mergeCell ref="G75:G87"/>
    <mergeCell ref="A123:F123"/>
    <mergeCell ref="A94:F94"/>
    <mergeCell ref="A61:F61"/>
    <mergeCell ref="G108:G121"/>
    <mergeCell ref="A88:R88"/>
    <mergeCell ref="A122:R122"/>
    <mergeCell ref="A53:R53"/>
    <mergeCell ref="A72:R72"/>
    <mergeCell ref="G23:G36"/>
    <mergeCell ref="A9:F9"/>
    <mergeCell ref="A111:F111"/>
    <mergeCell ref="G6:G19"/>
    <mergeCell ref="G125:G137"/>
    <mergeCell ref="A21:F21"/>
    <mergeCell ref="H4:R4"/>
    <mergeCell ref="A105:R105"/>
    <mergeCell ref="A2:F2"/>
    <mergeCell ref="A3:R3"/>
    <mergeCell ref="A42:F42"/>
    <mergeCell ref="G56:G71"/>
    <mergeCell ref="H21:R21"/>
    <mergeCell ref="A106:F106"/>
    <mergeCell ref="H73:R73"/>
    <mergeCell ref="G2:J2"/>
    <mergeCell ref="A4:F4"/>
    <mergeCell ref="H89:R89"/>
    <mergeCell ref="H123:R123"/>
    <mergeCell ref="A38:F38"/>
    <mergeCell ref="H1:L1"/>
    <mergeCell ref="A1:E1"/>
    <mergeCell ref="G91:G104"/>
    <mergeCell ref="A37:R37"/>
    <mergeCell ref="A26:F26"/>
    <mergeCell ref="N1:R1"/>
    <mergeCell ref="A20:R20"/>
    <mergeCell ref="K2:R2"/>
    <mergeCell ref="A54:F54"/>
    <mergeCell ref="H106:R106"/>
    <mergeCell ref="H38:R38"/>
    <mergeCell ref="A89:F89"/>
    <mergeCell ref="H54:R5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6"/>
  <sheetViews>
    <sheetView workbookViewId="0"/>
  </sheetViews>
  <sheetFormatPr defaultRowHeight="15.6" outlineLevelCol="1" x14ac:dyDescent="0.3"/>
  <cols>
    <col min="1" max="1" width="11.5546875" style="316" bestFit="1" customWidth="1"/>
    <col min="2" max="2" width="10.44140625" style="316" bestFit="1" customWidth="1"/>
    <col min="3" max="3" width="6.77734375" style="316" bestFit="1" customWidth="1"/>
    <col min="4" max="4" width="5.5546875" style="316" bestFit="1" customWidth="1"/>
    <col min="5" max="5" width="8.554687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0" width="3.88671875" style="316" bestFit="1" customWidth="1"/>
    <col min="21" max="21" width="4.5546875" style="316" bestFit="1" customWidth="1"/>
    <col min="22" max="22" width="3.88671875" style="316" bestFit="1" customWidth="1"/>
    <col min="23" max="23" width="4.33203125" style="316" bestFit="1" customWidth="1"/>
    <col min="24" max="24" width="4.1093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0" width="4.5546875" style="316" bestFit="1" customWidth="1"/>
    <col min="31"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203</v>
      </c>
      <c r="B2" s="318">
        <v>45984</v>
      </c>
      <c r="C2" s="319" t="s">
        <v>1228</v>
      </c>
      <c r="D2" s="320" t="s">
        <v>1183</v>
      </c>
      <c r="E2" s="319" t="s">
        <v>1213</v>
      </c>
      <c r="F2" s="319" t="s">
        <v>189</v>
      </c>
      <c r="G2" s="321">
        <v>0.73180000000000001</v>
      </c>
      <c r="H2" s="322">
        <v>179</v>
      </c>
      <c r="I2" s="322">
        <v>131</v>
      </c>
      <c r="J2" s="322">
        <v>0</v>
      </c>
      <c r="K2" s="319" t="s">
        <v>190</v>
      </c>
      <c r="L2" s="323">
        <v>45980</v>
      </c>
      <c r="M2" s="322">
        <v>4</v>
      </c>
      <c r="N2" s="322">
        <v>6</v>
      </c>
      <c r="O2" s="322">
        <v>51</v>
      </c>
      <c r="P2" s="319" t="s">
        <v>538</v>
      </c>
      <c r="Q2" s="315"/>
      <c r="R2" s="315"/>
      <c r="S2" s="315"/>
      <c r="T2" s="322" t="s">
        <v>1250</v>
      </c>
      <c r="U2" s="322" t="s">
        <v>542</v>
      </c>
      <c r="V2" s="315"/>
      <c r="W2" s="322" t="s">
        <v>1251</v>
      </c>
      <c r="X2" s="322" t="s">
        <v>1252</v>
      </c>
      <c r="Y2" s="315"/>
      <c r="Z2" s="322" t="s">
        <v>1253</v>
      </c>
      <c r="AA2" s="322" t="s">
        <v>728</v>
      </c>
      <c r="AB2" s="315"/>
      <c r="AC2" s="322" t="s">
        <v>1254</v>
      </c>
      <c r="AD2" s="322" t="s">
        <v>953</v>
      </c>
      <c r="AE2" s="322" t="s">
        <v>284</v>
      </c>
      <c r="AF2" s="322" t="s">
        <v>951</v>
      </c>
      <c r="AG2" s="315"/>
      <c r="AH2" s="315"/>
      <c r="AI2" s="315"/>
      <c r="AJ2" s="315"/>
    </row>
    <row r="3" spans="1:36" x14ac:dyDescent="0.3">
      <c r="A3" s="317" t="s">
        <v>213</v>
      </c>
      <c r="B3" s="318">
        <v>45986</v>
      </c>
      <c r="C3" s="319" t="s">
        <v>1228</v>
      </c>
      <c r="D3" s="320" t="s">
        <v>1255</v>
      </c>
      <c r="E3" s="319" t="s">
        <v>1213</v>
      </c>
      <c r="F3" s="319" t="s">
        <v>189</v>
      </c>
      <c r="G3" s="321">
        <v>0.58660000000000001</v>
      </c>
      <c r="H3" s="322">
        <v>179</v>
      </c>
      <c r="I3" s="322">
        <v>105</v>
      </c>
      <c r="J3" s="322">
        <v>0</v>
      </c>
      <c r="K3" s="319" t="s">
        <v>190</v>
      </c>
      <c r="L3" s="323">
        <v>45980</v>
      </c>
      <c r="M3" s="322">
        <v>1</v>
      </c>
      <c r="N3" s="322">
        <v>2</v>
      </c>
      <c r="O3" s="322">
        <v>24</v>
      </c>
      <c r="P3" s="319" t="s">
        <v>538</v>
      </c>
      <c r="Q3" s="315"/>
      <c r="R3" s="315"/>
      <c r="S3" s="315"/>
      <c r="T3" s="315"/>
      <c r="U3" s="315"/>
      <c r="V3" s="315"/>
      <c r="W3" s="322" t="s">
        <v>736</v>
      </c>
      <c r="X3" s="322" t="s">
        <v>732</v>
      </c>
      <c r="Y3" s="322" t="s">
        <v>723</v>
      </c>
      <c r="Z3" s="322" t="s">
        <v>1253</v>
      </c>
      <c r="AA3" s="322" t="s">
        <v>1198</v>
      </c>
      <c r="AB3" s="322" t="s">
        <v>596</v>
      </c>
      <c r="AC3" s="322" t="s">
        <v>228</v>
      </c>
      <c r="AD3" s="322" t="s">
        <v>194</v>
      </c>
      <c r="AE3" s="322" t="s">
        <v>598</v>
      </c>
      <c r="AF3" s="315"/>
      <c r="AG3" s="315"/>
      <c r="AH3" s="315"/>
      <c r="AI3" s="315"/>
      <c r="AJ3" s="315"/>
    </row>
    <row r="4" spans="1:36" x14ac:dyDescent="0.3">
      <c r="A4" s="317" t="s">
        <v>290</v>
      </c>
      <c r="B4" s="318">
        <v>45987</v>
      </c>
      <c r="C4" s="319" t="s">
        <v>1237</v>
      </c>
      <c r="D4" s="320" t="s">
        <v>590</v>
      </c>
      <c r="E4" s="319" t="s">
        <v>1213</v>
      </c>
      <c r="F4" s="319" t="s">
        <v>189</v>
      </c>
      <c r="G4" s="321">
        <v>0.79890000000000005</v>
      </c>
      <c r="H4" s="322">
        <v>179</v>
      </c>
      <c r="I4" s="322">
        <v>143</v>
      </c>
      <c r="J4" s="322">
        <v>0</v>
      </c>
      <c r="K4" s="319" t="s">
        <v>190</v>
      </c>
      <c r="L4" s="323">
        <v>45980</v>
      </c>
      <c r="M4" s="322">
        <v>1</v>
      </c>
      <c r="N4" s="322">
        <v>0</v>
      </c>
      <c r="O4" s="322">
        <v>22</v>
      </c>
      <c r="P4" s="319" t="s">
        <v>1238</v>
      </c>
      <c r="Q4" s="322" t="s">
        <v>329</v>
      </c>
      <c r="R4" s="315"/>
      <c r="S4" s="315"/>
      <c r="T4" s="322" t="s">
        <v>1250</v>
      </c>
      <c r="U4" s="315"/>
      <c r="V4" s="315"/>
      <c r="W4" s="322" t="s">
        <v>112</v>
      </c>
      <c r="X4" s="322" t="s">
        <v>1256</v>
      </c>
      <c r="Y4" s="322" t="s">
        <v>1257</v>
      </c>
      <c r="Z4" s="322" t="s">
        <v>1258</v>
      </c>
      <c r="AA4" s="322" t="s">
        <v>1259</v>
      </c>
      <c r="AB4" s="322" t="s">
        <v>1260</v>
      </c>
      <c r="AC4" s="322" t="s">
        <v>324</v>
      </c>
      <c r="AD4" s="322" t="s">
        <v>1261</v>
      </c>
      <c r="AE4" s="322" t="s">
        <v>225</v>
      </c>
      <c r="AF4" s="315"/>
      <c r="AG4" s="315"/>
      <c r="AH4" s="315"/>
      <c r="AI4" s="315"/>
      <c r="AJ4" s="315"/>
    </row>
    <row r="5" spans="1:36" x14ac:dyDescent="0.3">
      <c r="A5" s="317" t="s">
        <v>203</v>
      </c>
      <c r="B5" s="318">
        <v>45991</v>
      </c>
      <c r="C5" s="319" t="s">
        <v>1228</v>
      </c>
      <c r="D5" s="320" t="s">
        <v>1183</v>
      </c>
      <c r="E5" s="319" t="s">
        <v>1213</v>
      </c>
      <c r="F5" s="319" t="s">
        <v>189</v>
      </c>
      <c r="G5" s="321">
        <v>0.51959999999999995</v>
      </c>
      <c r="H5" s="322">
        <v>179</v>
      </c>
      <c r="I5" s="322">
        <v>93</v>
      </c>
      <c r="J5" s="322">
        <v>0</v>
      </c>
      <c r="K5" s="319" t="s">
        <v>190</v>
      </c>
      <c r="L5" s="323">
        <v>45980</v>
      </c>
      <c r="M5" s="322">
        <v>2</v>
      </c>
      <c r="N5" s="322">
        <v>2</v>
      </c>
      <c r="O5" s="322">
        <v>13</v>
      </c>
      <c r="P5" s="319" t="s">
        <v>1247</v>
      </c>
      <c r="Q5" s="315"/>
      <c r="R5" s="315"/>
      <c r="S5" s="315"/>
      <c r="T5" s="322" t="s">
        <v>1250</v>
      </c>
      <c r="U5" s="322" t="s">
        <v>1262</v>
      </c>
      <c r="V5" s="322" t="s">
        <v>538</v>
      </c>
      <c r="W5" s="322" t="s">
        <v>738</v>
      </c>
      <c r="X5" s="322" t="s">
        <v>224</v>
      </c>
      <c r="Y5" s="315"/>
      <c r="Z5" s="322" t="s">
        <v>283</v>
      </c>
      <c r="AA5" s="322" t="s">
        <v>575</v>
      </c>
      <c r="AB5" s="322" t="s">
        <v>983</v>
      </c>
      <c r="AC5" s="322" t="s">
        <v>627</v>
      </c>
      <c r="AD5" s="322" t="s">
        <v>953</v>
      </c>
      <c r="AE5" s="322" t="s">
        <v>1193</v>
      </c>
      <c r="AF5" s="322" t="s">
        <v>973</v>
      </c>
      <c r="AG5" s="315"/>
      <c r="AH5" s="315"/>
      <c r="AI5" s="315"/>
      <c r="AJ5" s="315"/>
    </row>
    <row r="6" spans="1:36" ht="21" x14ac:dyDescent="0.3">
      <c r="A6" s="324" t="s">
        <v>1638</v>
      </c>
      <c r="B6" s="325"/>
      <c r="C6" s="324">
        <f>SUBTOTAL(103,ATZ_RUH_LF_LEGACY[Flt])</f>
        <v>4</v>
      </c>
      <c r="D6" s="324"/>
      <c r="E6" s="324">
        <f>SUBTOTAL(103,ATZ_RUH_LF_LEGACY[Brd-Off])</f>
        <v>4</v>
      </c>
      <c r="F6" s="324"/>
      <c r="G6" s="326">
        <f>SUBTOTAL(101,ATZ_RUH_LF_LEGACY[LF%])</f>
        <v>0.65922500000000006</v>
      </c>
      <c r="H6" s="327">
        <f>SUBTOTAL(109,ATZ_RUH_LF_LEGACY[CAP])</f>
        <v>716</v>
      </c>
      <c r="I6" s="327">
        <f>SUBTOTAL(109,ATZ_RUH_LF_LEGACY[BKG(Y)])</f>
        <v>472</v>
      </c>
      <c r="J6" s="327">
        <f>SUBTOTAL(109,ATZ_RUH_LF_LEGACY[GRP(Y)])</f>
        <v>0</v>
      </c>
      <c r="K6" s="324"/>
      <c r="L6" s="325"/>
      <c r="M6" s="327">
        <f>SUBTOTAL(109,ATZ_RUH_LF_LEGACY[TO-DAY])</f>
        <v>8</v>
      </c>
      <c r="N6" s="327">
        <f>SUBTOTAL(109,ATZ_RUH_LF_LEGACY[Y-DAY])</f>
        <v>10</v>
      </c>
      <c r="O6" s="327">
        <f>SUBTOTAL(109,ATZ_RUH_LF_LEGACY[WEEKLY])</f>
        <v>110</v>
      </c>
      <c r="P6" s="328"/>
      <c r="Q6" s="327">
        <f>SUBTOTAL(109,ATZ_RUH_LF_LEGACY[Y])</f>
        <v>0</v>
      </c>
      <c r="R6" s="327">
        <f>SUBTOTAL(109,ATZ_RUH_LF_LEGACY[B])</f>
        <v>0</v>
      </c>
      <c r="S6" s="327">
        <f>SUBTOTAL(109,ATZ_RUH_LF_LEGACY[M])</f>
        <v>0</v>
      </c>
      <c r="T6" s="327">
        <f>SUBTOTAL(109,ATZ_RUH_LF_LEGACY[H])</f>
        <v>0</v>
      </c>
      <c r="U6" s="327">
        <f>SUBTOTAL(109,ATZ_RUH_LF_LEGACY[Q])</f>
        <v>0</v>
      </c>
      <c r="V6" s="327">
        <f>SUBTOTAL(109,ATZ_RUH_LF_LEGACY[K])</f>
        <v>0</v>
      </c>
      <c r="W6" s="327">
        <f>SUBTOTAL(109,ATZ_RUH_LF_LEGACY[V])</f>
        <v>0</v>
      </c>
      <c r="X6" s="327">
        <f>SUBTOTAL(109,ATZ_RUH_LF_LEGACY[L])</f>
        <v>0</v>
      </c>
      <c r="Y6" s="327">
        <f>SUBTOTAL(109,ATZ_RUH_LF_LEGACY[G])</f>
        <v>0</v>
      </c>
      <c r="Z6" s="327">
        <f>SUBTOTAL(109,ATZ_RUH_LF_LEGACY[S])</f>
        <v>0</v>
      </c>
      <c r="AA6" s="327">
        <f>SUBTOTAL(109,ATZ_RUH_LF_LEGACY[W])</f>
        <v>0</v>
      </c>
      <c r="AB6" s="327">
        <f>SUBTOTAL(109,ATZ_RUH_LF_LEGACY[T])</f>
        <v>0</v>
      </c>
      <c r="AC6" s="327">
        <f>SUBTOTAL(109,ATZ_RUH_LF_LEGACY[X])</f>
        <v>0</v>
      </c>
      <c r="AD6" s="327">
        <f>SUBTOTAL(109,ATZ_RUH_LF_LEGACY[U])</f>
        <v>0</v>
      </c>
      <c r="AE6" s="327">
        <f>SUBTOTAL(109,ATZ_RUH_LF_LEGACY[O])</f>
        <v>0</v>
      </c>
      <c r="AF6" s="327">
        <f>SUBTOTAL(109,ATZ_RUH_LF_LEGACY[I])</f>
        <v>0</v>
      </c>
      <c r="AG6" s="327">
        <f>SUBTOTAL(109,ATZ_RUH_LF_LEGACY[E])</f>
        <v>0</v>
      </c>
      <c r="AH6" s="327">
        <f>SUBTOTAL(109,ATZ_RUH_LF_LEGACY[A])</f>
        <v>0</v>
      </c>
      <c r="AI6" s="327">
        <f>SUBTOTAL(109,ATZ_RUH_LF_LEGACY[P])</f>
        <v>0</v>
      </c>
      <c r="AJ6" s="327">
        <f>SUBTOTAL(103,ATZ_RUH_LF_LEGACY[N])</f>
        <v>0</v>
      </c>
    </row>
  </sheetData>
  <pageMargins left="0.75" right="0.75" top="1" bottom="1" header="0.5" footer="0.5"/>
  <tableParts count="1">
    <tablePart r:id="rId1"/>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4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3.77734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26</v>
      </c>
      <c r="C2" s="105" t="s">
        <v>1214</v>
      </c>
      <c r="D2" s="104" t="s">
        <v>1213</v>
      </c>
      <c r="E2" s="104" t="s">
        <v>888</v>
      </c>
      <c r="F2" s="104" t="s">
        <v>1215</v>
      </c>
      <c r="G2" s="106">
        <v>9</v>
      </c>
      <c r="H2" s="107" t="s">
        <v>1216</v>
      </c>
    </row>
    <row r="3" spans="1:8" ht="19.8" customHeight="1" x14ac:dyDescent="0.3">
      <c r="A3" s="103" t="s">
        <v>235</v>
      </c>
      <c r="B3" s="104" t="s">
        <v>26</v>
      </c>
      <c r="C3" s="105" t="s">
        <v>1214</v>
      </c>
      <c r="D3" s="104" t="s">
        <v>1213</v>
      </c>
      <c r="E3" s="104" t="s">
        <v>888</v>
      </c>
      <c r="F3" s="104" t="s">
        <v>31</v>
      </c>
      <c r="G3" s="106">
        <v>9</v>
      </c>
      <c r="H3" s="107" t="s">
        <v>1217</v>
      </c>
    </row>
    <row r="4" spans="1:8" ht="19.8" customHeight="1" x14ac:dyDescent="0.3">
      <c r="A4" s="103" t="s">
        <v>235</v>
      </c>
      <c r="B4" s="104" t="s">
        <v>26</v>
      </c>
      <c r="C4" s="105" t="s">
        <v>1214</v>
      </c>
      <c r="D4" s="104" t="s">
        <v>1213</v>
      </c>
      <c r="E4" s="104" t="s">
        <v>888</v>
      </c>
      <c r="F4" s="104" t="s">
        <v>34</v>
      </c>
      <c r="G4" s="106">
        <v>9</v>
      </c>
      <c r="H4" s="107" t="s">
        <v>1218</v>
      </c>
    </row>
    <row r="5" spans="1:8" ht="19.8" customHeight="1" x14ac:dyDescent="0.3">
      <c r="A5" s="175"/>
      <c r="B5" s="176"/>
      <c r="C5" s="176"/>
      <c r="D5" s="176"/>
      <c r="E5" s="176"/>
      <c r="F5" s="177" t="s">
        <v>1263</v>
      </c>
      <c r="G5" s="176"/>
      <c r="H5" s="178"/>
    </row>
    <row r="6" spans="1:8" ht="19.8" customHeight="1" x14ac:dyDescent="0.3">
      <c r="A6" s="103" t="s">
        <v>235</v>
      </c>
      <c r="B6" s="104" t="s">
        <v>26</v>
      </c>
      <c r="C6" s="105" t="s">
        <v>1017</v>
      </c>
      <c r="D6" s="104" t="s">
        <v>1016</v>
      </c>
      <c r="E6" s="104" t="s">
        <v>1207</v>
      </c>
      <c r="F6" s="104" t="s">
        <v>351</v>
      </c>
      <c r="G6" s="106">
        <v>8</v>
      </c>
      <c r="H6" s="107" t="s">
        <v>1018</v>
      </c>
    </row>
    <row r="7" spans="1:8" ht="19.8" customHeight="1" x14ac:dyDescent="0.3">
      <c r="A7" s="103" t="s">
        <v>235</v>
      </c>
      <c r="B7" s="104" t="s">
        <v>26</v>
      </c>
      <c r="C7" s="105" t="s">
        <v>1017</v>
      </c>
      <c r="D7" s="104" t="s">
        <v>1016</v>
      </c>
      <c r="E7" s="104" t="s">
        <v>1207</v>
      </c>
      <c r="F7" s="104" t="s">
        <v>28</v>
      </c>
      <c r="G7" s="106">
        <v>8</v>
      </c>
      <c r="H7" s="107" t="s">
        <v>1018</v>
      </c>
    </row>
    <row r="8" spans="1:8" ht="19.8" customHeight="1" x14ac:dyDescent="0.3">
      <c r="A8" s="103" t="s">
        <v>235</v>
      </c>
      <c r="B8" s="104" t="s">
        <v>41</v>
      </c>
      <c r="C8" s="105" t="s">
        <v>1030</v>
      </c>
      <c r="D8" s="104" t="s">
        <v>1016</v>
      </c>
      <c r="E8" s="104" t="s">
        <v>1208</v>
      </c>
      <c r="F8" s="104" t="s">
        <v>337</v>
      </c>
      <c r="G8" s="106">
        <v>57</v>
      </c>
      <c r="H8" s="107" t="s">
        <v>1032</v>
      </c>
    </row>
    <row r="9" spans="1:8" ht="19.8" customHeight="1" x14ac:dyDescent="0.3">
      <c r="A9" s="103" t="s">
        <v>235</v>
      </c>
      <c r="B9" s="104" t="s">
        <v>41</v>
      </c>
      <c r="C9" s="105" t="s">
        <v>1030</v>
      </c>
      <c r="D9" s="104" t="s">
        <v>1016</v>
      </c>
      <c r="E9" s="104" t="s">
        <v>1208</v>
      </c>
      <c r="F9" s="104" t="s">
        <v>43</v>
      </c>
      <c r="G9" s="106">
        <v>57</v>
      </c>
      <c r="H9" s="107" t="s">
        <v>1032</v>
      </c>
    </row>
    <row r="10" spans="1:8" ht="19.8" customHeight="1" x14ac:dyDescent="0.3">
      <c r="A10" s="103" t="s">
        <v>235</v>
      </c>
      <c r="B10" s="104" t="s">
        <v>41</v>
      </c>
      <c r="C10" s="105" t="s">
        <v>1034</v>
      </c>
      <c r="D10" s="104" t="s">
        <v>1016</v>
      </c>
      <c r="E10" s="104" t="s">
        <v>1209</v>
      </c>
      <c r="F10" s="104" t="s">
        <v>337</v>
      </c>
      <c r="G10" s="106">
        <v>68</v>
      </c>
      <c r="H10" s="107" t="s">
        <v>1032</v>
      </c>
    </row>
    <row r="11" spans="1:8" ht="19.8" customHeight="1" x14ac:dyDescent="0.3">
      <c r="A11" s="103" t="s">
        <v>235</v>
      </c>
      <c r="B11" s="104" t="s">
        <v>41</v>
      </c>
      <c r="C11" s="105" t="s">
        <v>1034</v>
      </c>
      <c r="D11" s="104" t="s">
        <v>1016</v>
      </c>
      <c r="E11" s="104" t="s">
        <v>1209</v>
      </c>
      <c r="F11" s="104" t="s">
        <v>43</v>
      </c>
      <c r="G11" s="106">
        <v>68</v>
      </c>
      <c r="H11" s="107" t="s">
        <v>1032</v>
      </c>
    </row>
    <row r="12" spans="1:8" ht="19.8" customHeight="1" x14ac:dyDescent="0.3">
      <c r="A12" s="103" t="s">
        <v>235</v>
      </c>
      <c r="B12" s="104" t="s">
        <v>41</v>
      </c>
      <c r="C12" s="105" t="s">
        <v>1037</v>
      </c>
      <c r="D12" s="104" t="s">
        <v>1016</v>
      </c>
      <c r="E12" s="104" t="s">
        <v>748</v>
      </c>
      <c r="F12" s="104" t="s">
        <v>43</v>
      </c>
      <c r="G12" s="106">
        <v>81</v>
      </c>
      <c r="H12" s="107" t="s">
        <v>1032</v>
      </c>
    </row>
    <row r="13" spans="1:8" ht="19.8" customHeight="1" x14ac:dyDescent="0.3">
      <c r="A13" s="103" t="s">
        <v>235</v>
      </c>
      <c r="B13" s="104" t="s">
        <v>41</v>
      </c>
      <c r="C13" s="105" t="s">
        <v>1040</v>
      </c>
      <c r="D13" s="104" t="s">
        <v>1016</v>
      </c>
      <c r="E13" s="104" t="s">
        <v>750</v>
      </c>
      <c r="F13" s="104" t="s">
        <v>337</v>
      </c>
      <c r="G13" s="106">
        <v>79</v>
      </c>
      <c r="H13" s="107" t="s">
        <v>1032</v>
      </c>
    </row>
    <row r="14" spans="1:8" ht="19.8" customHeight="1" x14ac:dyDescent="0.3">
      <c r="A14" s="103" t="s">
        <v>235</v>
      </c>
      <c r="B14" s="104" t="s">
        <v>41</v>
      </c>
      <c r="C14" s="105" t="s">
        <v>1040</v>
      </c>
      <c r="D14" s="104" t="s">
        <v>1016</v>
      </c>
      <c r="E14" s="104" t="s">
        <v>750</v>
      </c>
      <c r="F14" s="104" t="s">
        <v>43</v>
      </c>
      <c r="G14" s="106">
        <v>79</v>
      </c>
      <c r="H14" s="107" t="s">
        <v>1032</v>
      </c>
    </row>
    <row r="15" spans="1:8" ht="19.8" customHeight="1" x14ac:dyDescent="0.3">
      <c r="A15" s="190" t="s">
        <v>235</v>
      </c>
      <c r="B15" s="115" t="s">
        <v>26</v>
      </c>
      <c r="C15" s="116" t="s">
        <v>1021</v>
      </c>
      <c r="D15" s="115" t="s">
        <v>1016</v>
      </c>
      <c r="E15" s="115" t="s">
        <v>1210</v>
      </c>
      <c r="F15" s="115" t="s">
        <v>351</v>
      </c>
      <c r="G15" s="118">
        <v>7</v>
      </c>
      <c r="H15" s="119" t="s">
        <v>1022</v>
      </c>
    </row>
    <row r="16" spans="1:8" ht="19.8" customHeight="1" x14ac:dyDescent="0.3">
      <c r="A16" s="175"/>
      <c r="B16" s="176"/>
      <c r="C16" s="176"/>
      <c r="D16" s="176"/>
      <c r="E16" s="176"/>
      <c r="F16" s="177" t="s">
        <v>1263</v>
      </c>
      <c r="G16" s="176"/>
      <c r="H16" s="178"/>
    </row>
    <row r="17" spans="1:8" ht="19.8" customHeight="1" x14ac:dyDescent="0.3">
      <c r="A17" s="103" t="s">
        <v>333</v>
      </c>
      <c r="B17" s="104" t="s">
        <v>41</v>
      </c>
      <c r="C17" s="105" t="s">
        <v>1030</v>
      </c>
      <c r="D17" s="104" t="s">
        <v>1016</v>
      </c>
      <c r="E17" s="104" t="s">
        <v>1208</v>
      </c>
      <c r="F17" s="104" t="s">
        <v>337</v>
      </c>
      <c r="G17" s="106">
        <v>16</v>
      </c>
      <c r="H17" s="107" t="s">
        <v>1032</v>
      </c>
    </row>
    <row r="18" spans="1:8" ht="19.8" customHeight="1" x14ac:dyDescent="0.3">
      <c r="A18" s="103" t="s">
        <v>333</v>
      </c>
      <c r="B18" s="104" t="s">
        <v>41</v>
      </c>
      <c r="C18" s="105" t="s">
        <v>1030</v>
      </c>
      <c r="D18" s="104" t="s">
        <v>1016</v>
      </c>
      <c r="E18" s="104" t="s">
        <v>1208</v>
      </c>
      <c r="F18" s="104" t="s">
        <v>43</v>
      </c>
      <c r="G18" s="106">
        <v>16</v>
      </c>
      <c r="H18" s="107" t="s">
        <v>1032</v>
      </c>
    </row>
    <row r="19" spans="1:8" ht="19.8" customHeight="1" x14ac:dyDescent="0.3">
      <c r="A19" s="103" t="s">
        <v>333</v>
      </c>
      <c r="B19" s="104" t="s">
        <v>41</v>
      </c>
      <c r="C19" s="105" t="s">
        <v>1034</v>
      </c>
      <c r="D19" s="104" t="s">
        <v>1016</v>
      </c>
      <c r="E19" s="104" t="s">
        <v>1209</v>
      </c>
      <c r="F19" s="104" t="s">
        <v>337</v>
      </c>
      <c r="G19" s="106">
        <v>36</v>
      </c>
      <c r="H19" s="107" t="s">
        <v>1032</v>
      </c>
    </row>
    <row r="20" spans="1:8" ht="19.8" customHeight="1" x14ac:dyDescent="0.3">
      <c r="A20" s="103" t="s">
        <v>333</v>
      </c>
      <c r="B20" s="104" t="s">
        <v>41</v>
      </c>
      <c r="C20" s="105" t="s">
        <v>1034</v>
      </c>
      <c r="D20" s="104" t="s">
        <v>1016</v>
      </c>
      <c r="E20" s="104" t="s">
        <v>1209</v>
      </c>
      <c r="F20" s="104" t="s">
        <v>43</v>
      </c>
      <c r="G20" s="106">
        <v>36</v>
      </c>
      <c r="H20" s="107" t="s">
        <v>1032</v>
      </c>
    </row>
    <row r="21" spans="1:8" ht="19.8" customHeight="1" x14ac:dyDescent="0.3">
      <c r="A21" s="103" t="s">
        <v>333</v>
      </c>
      <c r="B21" s="104" t="s">
        <v>26</v>
      </c>
      <c r="C21" s="105" t="s">
        <v>1023</v>
      </c>
      <c r="D21" s="104" t="s">
        <v>1016</v>
      </c>
      <c r="E21" s="104" t="s">
        <v>617</v>
      </c>
      <c r="F21" s="104" t="s">
        <v>351</v>
      </c>
      <c r="G21" s="106">
        <v>2</v>
      </c>
      <c r="H21" s="107" t="s">
        <v>1022</v>
      </c>
    </row>
    <row r="22" spans="1:8" ht="19.8" customHeight="1" x14ac:dyDescent="0.3">
      <c r="A22" s="103" t="s">
        <v>333</v>
      </c>
      <c r="B22" s="104" t="s">
        <v>26</v>
      </c>
      <c r="C22" s="105" t="s">
        <v>1023</v>
      </c>
      <c r="D22" s="104" t="s">
        <v>1016</v>
      </c>
      <c r="E22" s="104" t="s">
        <v>617</v>
      </c>
      <c r="F22" s="104" t="s">
        <v>28</v>
      </c>
      <c r="G22" s="106">
        <v>2</v>
      </c>
      <c r="H22" s="107" t="s">
        <v>1022</v>
      </c>
    </row>
    <row r="23" spans="1:8" ht="19.8" customHeight="1" x14ac:dyDescent="0.3">
      <c r="A23" s="103" t="s">
        <v>333</v>
      </c>
      <c r="B23" s="104" t="s">
        <v>26</v>
      </c>
      <c r="C23" s="105" t="s">
        <v>1029</v>
      </c>
      <c r="D23" s="104" t="s">
        <v>1016</v>
      </c>
      <c r="E23" s="104" t="s">
        <v>1212</v>
      </c>
      <c r="F23" s="104" t="s">
        <v>351</v>
      </c>
      <c r="G23" s="106">
        <v>1</v>
      </c>
      <c r="H23" s="107" t="s">
        <v>1022</v>
      </c>
    </row>
    <row r="24" spans="1:8" ht="19.8" customHeight="1" x14ac:dyDescent="0.3">
      <c r="A24" s="103" t="s">
        <v>333</v>
      </c>
      <c r="B24" s="104" t="s">
        <v>26</v>
      </c>
      <c r="C24" s="105" t="s">
        <v>1029</v>
      </c>
      <c r="D24" s="104" t="s">
        <v>1016</v>
      </c>
      <c r="E24" s="104" t="s">
        <v>1212</v>
      </c>
      <c r="F24" s="104" t="s">
        <v>28</v>
      </c>
      <c r="G24" s="106">
        <v>1</v>
      </c>
      <c r="H24" s="107" t="s">
        <v>1022</v>
      </c>
    </row>
    <row r="25" spans="1:8" ht="19.8" customHeight="1" x14ac:dyDescent="0.3">
      <c r="A25" s="103" t="s">
        <v>333</v>
      </c>
      <c r="B25" s="104" t="s">
        <v>41</v>
      </c>
      <c r="C25" s="105" t="s">
        <v>1037</v>
      </c>
      <c r="D25" s="104" t="s">
        <v>1016</v>
      </c>
      <c r="E25" s="104" t="s">
        <v>748</v>
      </c>
      <c r="F25" s="104" t="s">
        <v>337</v>
      </c>
      <c r="G25" s="106">
        <v>30</v>
      </c>
      <c r="H25" s="107" t="s">
        <v>1079</v>
      </c>
    </row>
    <row r="26" spans="1:8" ht="19.8" customHeight="1" x14ac:dyDescent="0.3">
      <c r="A26" s="190" t="s">
        <v>333</v>
      </c>
      <c r="B26" s="115" t="s">
        <v>41</v>
      </c>
      <c r="C26" s="116" t="s">
        <v>1037</v>
      </c>
      <c r="D26" s="115" t="s">
        <v>1016</v>
      </c>
      <c r="E26" s="115" t="s">
        <v>748</v>
      </c>
      <c r="F26" s="115" t="s">
        <v>43</v>
      </c>
      <c r="G26" s="118">
        <v>30</v>
      </c>
      <c r="H26" s="119" t="s">
        <v>1079</v>
      </c>
    </row>
    <row r="27" spans="1:8" ht="19.8" customHeight="1" x14ac:dyDescent="0.3">
      <c r="A27" s="103" t="s">
        <v>334</v>
      </c>
      <c r="B27" s="104" t="s">
        <v>26</v>
      </c>
      <c r="C27" s="105" t="s">
        <v>1214</v>
      </c>
      <c r="D27" s="104" t="s">
        <v>1213</v>
      </c>
      <c r="E27" s="104" t="s">
        <v>888</v>
      </c>
      <c r="F27" s="104" t="s">
        <v>1215</v>
      </c>
      <c r="G27" s="106">
        <v>8</v>
      </c>
      <c r="H27" s="107" t="s">
        <v>441</v>
      </c>
    </row>
    <row r="28" spans="1:8" ht="19.8" customHeight="1" x14ac:dyDescent="0.3">
      <c r="A28" s="103" t="s">
        <v>334</v>
      </c>
      <c r="B28" s="104" t="s">
        <v>26</v>
      </c>
      <c r="C28" s="105" t="s">
        <v>1214</v>
      </c>
      <c r="D28" s="104" t="s">
        <v>1213</v>
      </c>
      <c r="E28" s="104" t="s">
        <v>888</v>
      </c>
      <c r="F28" s="104" t="s">
        <v>31</v>
      </c>
      <c r="G28" s="106">
        <v>8</v>
      </c>
      <c r="H28" s="107" t="s">
        <v>1148</v>
      </c>
    </row>
    <row r="29" spans="1:8" ht="19.8" customHeight="1" x14ac:dyDescent="0.3">
      <c r="A29" s="103" t="s">
        <v>334</v>
      </c>
      <c r="B29" s="104" t="s">
        <v>26</v>
      </c>
      <c r="C29" s="105" t="s">
        <v>1214</v>
      </c>
      <c r="D29" s="104" t="s">
        <v>1213</v>
      </c>
      <c r="E29" s="104" t="s">
        <v>888</v>
      </c>
      <c r="F29" s="104" t="s">
        <v>34</v>
      </c>
      <c r="G29" s="106">
        <v>8</v>
      </c>
      <c r="H29" s="107" t="s">
        <v>1224</v>
      </c>
    </row>
    <row r="30" spans="1:8" ht="19.8" customHeight="1" x14ac:dyDescent="0.3">
      <c r="A30" s="175"/>
      <c r="B30" s="176"/>
      <c r="C30" s="176"/>
      <c r="D30" s="176"/>
      <c r="E30" s="176"/>
      <c r="F30" s="177" t="s">
        <v>1263</v>
      </c>
      <c r="G30" s="176"/>
      <c r="H30" s="178"/>
    </row>
    <row r="31" spans="1:8" ht="19.8" customHeight="1" x14ac:dyDescent="0.3">
      <c r="A31" s="103" t="s">
        <v>334</v>
      </c>
      <c r="B31" s="104" t="s">
        <v>26</v>
      </c>
      <c r="C31" s="105" t="s">
        <v>1026</v>
      </c>
      <c r="D31" s="104" t="s">
        <v>1016</v>
      </c>
      <c r="E31" s="104" t="s">
        <v>615</v>
      </c>
      <c r="F31" s="104" t="s">
        <v>351</v>
      </c>
      <c r="G31" s="106">
        <v>9</v>
      </c>
      <c r="H31" s="107" t="s">
        <v>1091</v>
      </c>
    </row>
    <row r="32" spans="1:8" ht="19.8" customHeight="1" x14ac:dyDescent="0.3">
      <c r="A32" s="103" t="s">
        <v>334</v>
      </c>
      <c r="B32" s="104" t="s">
        <v>26</v>
      </c>
      <c r="C32" s="105" t="s">
        <v>1026</v>
      </c>
      <c r="D32" s="104" t="s">
        <v>1016</v>
      </c>
      <c r="E32" s="104" t="s">
        <v>615</v>
      </c>
      <c r="F32" s="104" t="s">
        <v>28</v>
      </c>
      <c r="G32" s="106">
        <v>9</v>
      </c>
      <c r="H32" s="107" t="s">
        <v>1091</v>
      </c>
    </row>
    <row r="33" spans="1:8" ht="19.8" customHeight="1" x14ac:dyDescent="0.3">
      <c r="A33" s="103" t="s">
        <v>334</v>
      </c>
      <c r="B33" s="104" t="s">
        <v>26</v>
      </c>
      <c r="C33" s="105" t="s">
        <v>1029</v>
      </c>
      <c r="D33" s="104" t="s">
        <v>1016</v>
      </c>
      <c r="E33" s="104" t="s">
        <v>1212</v>
      </c>
      <c r="F33" s="104" t="s">
        <v>351</v>
      </c>
      <c r="G33" s="106">
        <v>9</v>
      </c>
      <c r="H33" s="107" t="s">
        <v>1091</v>
      </c>
    </row>
    <row r="34" spans="1:8" ht="19.8" customHeight="1" x14ac:dyDescent="0.3">
      <c r="A34" s="103" t="s">
        <v>334</v>
      </c>
      <c r="B34" s="104" t="s">
        <v>26</v>
      </c>
      <c r="C34" s="105" t="s">
        <v>1029</v>
      </c>
      <c r="D34" s="104" t="s">
        <v>1016</v>
      </c>
      <c r="E34" s="104" t="s">
        <v>1212</v>
      </c>
      <c r="F34" s="104" t="s">
        <v>28</v>
      </c>
      <c r="G34" s="106">
        <v>9</v>
      </c>
      <c r="H34" s="107" t="s">
        <v>1091</v>
      </c>
    </row>
    <row r="35" spans="1:8" ht="19.8" customHeight="1" x14ac:dyDescent="0.3">
      <c r="A35" s="103" t="s">
        <v>334</v>
      </c>
      <c r="B35" s="104" t="s">
        <v>41</v>
      </c>
      <c r="C35" s="105" t="s">
        <v>1030</v>
      </c>
      <c r="D35" s="104" t="s">
        <v>1016</v>
      </c>
      <c r="E35" s="104" t="s">
        <v>1208</v>
      </c>
      <c r="F35" s="104" t="s">
        <v>337</v>
      </c>
      <c r="G35" s="106">
        <v>7</v>
      </c>
      <c r="H35" s="107" t="s">
        <v>1093</v>
      </c>
    </row>
    <row r="36" spans="1:8" ht="19.8" customHeight="1" x14ac:dyDescent="0.3">
      <c r="A36" s="103" t="s">
        <v>334</v>
      </c>
      <c r="B36" s="104" t="s">
        <v>41</v>
      </c>
      <c r="C36" s="105" t="s">
        <v>1030</v>
      </c>
      <c r="D36" s="104" t="s">
        <v>1016</v>
      </c>
      <c r="E36" s="104" t="s">
        <v>1208</v>
      </c>
      <c r="F36" s="104" t="s">
        <v>43</v>
      </c>
      <c r="G36" s="106">
        <v>7</v>
      </c>
      <c r="H36" s="107" t="s">
        <v>1093</v>
      </c>
    </row>
    <row r="37" spans="1:8" ht="19.8" customHeight="1" x14ac:dyDescent="0.3">
      <c r="A37" s="103" t="s">
        <v>334</v>
      </c>
      <c r="B37" s="104" t="s">
        <v>41</v>
      </c>
      <c r="C37" s="105" t="s">
        <v>1034</v>
      </c>
      <c r="D37" s="104" t="s">
        <v>1016</v>
      </c>
      <c r="E37" s="104" t="s">
        <v>1209</v>
      </c>
      <c r="F37" s="104" t="s">
        <v>337</v>
      </c>
      <c r="G37" s="106">
        <v>17</v>
      </c>
      <c r="H37" s="107" t="s">
        <v>1093</v>
      </c>
    </row>
    <row r="38" spans="1:8" ht="19.8" customHeight="1" x14ac:dyDescent="0.3">
      <c r="A38" s="103" t="s">
        <v>334</v>
      </c>
      <c r="B38" s="104" t="s">
        <v>41</v>
      </c>
      <c r="C38" s="105" t="s">
        <v>1034</v>
      </c>
      <c r="D38" s="104" t="s">
        <v>1016</v>
      </c>
      <c r="E38" s="104" t="s">
        <v>1209</v>
      </c>
      <c r="F38" s="104" t="s">
        <v>43</v>
      </c>
      <c r="G38" s="106">
        <v>17</v>
      </c>
      <c r="H38" s="107" t="s">
        <v>1093</v>
      </c>
    </row>
    <row r="39" spans="1:8" ht="19.8" customHeight="1" x14ac:dyDescent="0.3">
      <c r="A39" s="103" t="s">
        <v>334</v>
      </c>
      <c r="B39" s="104" t="s">
        <v>41</v>
      </c>
      <c r="C39" s="105" t="s">
        <v>1037</v>
      </c>
      <c r="D39" s="104" t="s">
        <v>1016</v>
      </c>
      <c r="E39" s="104" t="s">
        <v>748</v>
      </c>
      <c r="F39" s="104" t="s">
        <v>337</v>
      </c>
      <c r="G39" s="106">
        <v>16</v>
      </c>
      <c r="H39" s="107" t="s">
        <v>1028</v>
      </c>
    </row>
    <row r="40" spans="1:8" ht="19.8" customHeight="1" x14ac:dyDescent="0.3">
      <c r="A40" s="190" t="s">
        <v>334</v>
      </c>
      <c r="B40" s="115" t="s">
        <v>41</v>
      </c>
      <c r="C40" s="116" t="s">
        <v>1037</v>
      </c>
      <c r="D40" s="115" t="s">
        <v>1016</v>
      </c>
      <c r="E40" s="115" t="s">
        <v>748</v>
      </c>
      <c r="F40" s="115" t="s">
        <v>43</v>
      </c>
      <c r="G40" s="118">
        <v>16</v>
      </c>
      <c r="H40" s="119" t="s">
        <v>1028</v>
      </c>
    </row>
    <row r="41" spans="1:8" ht="19.8" customHeight="1" x14ac:dyDescent="0.3">
      <c r="A41" s="174" t="s">
        <v>1011</v>
      </c>
      <c r="B41" s="121" t="s">
        <v>77</v>
      </c>
      <c r="C41" s="122" t="s">
        <v>1226</v>
      </c>
      <c r="D41" s="121" t="s">
        <v>1213</v>
      </c>
      <c r="E41" s="121" t="s">
        <v>1183</v>
      </c>
      <c r="F41" s="121" t="s">
        <v>101</v>
      </c>
      <c r="G41" s="124">
        <v>9</v>
      </c>
      <c r="H41" s="125" t="s">
        <v>1227</v>
      </c>
    </row>
    <row r="42" spans="1:8" ht="19.8" customHeight="1" x14ac:dyDescent="0.3">
      <c r="A42" s="112">
        <v>45984</v>
      </c>
      <c r="B42" s="104" t="s">
        <v>48</v>
      </c>
      <c r="C42" s="105" t="s">
        <v>1230</v>
      </c>
      <c r="D42" s="104" t="s">
        <v>1213</v>
      </c>
      <c r="E42" s="113">
        <v>1.427083333333333</v>
      </c>
      <c r="F42" s="104" t="s">
        <v>50</v>
      </c>
      <c r="G42" s="106">
        <v>4</v>
      </c>
      <c r="H42" s="107" t="s">
        <v>1231</v>
      </c>
    </row>
    <row r="43" spans="1:8" ht="19.8" customHeight="1" x14ac:dyDescent="0.3">
      <c r="A43" s="175"/>
      <c r="B43" s="176"/>
      <c r="C43" s="176"/>
      <c r="D43" s="176"/>
      <c r="E43" s="176"/>
      <c r="F43" s="177" t="s">
        <v>1263</v>
      </c>
      <c r="G43" s="176"/>
      <c r="H43" s="178"/>
    </row>
    <row r="44" spans="1:8" ht="19.8" customHeight="1" x14ac:dyDescent="0.3">
      <c r="A44" s="112">
        <v>45984</v>
      </c>
      <c r="B44" s="104" t="s">
        <v>41</v>
      </c>
      <c r="C44" s="105" t="s">
        <v>1030</v>
      </c>
      <c r="D44" s="104" t="s">
        <v>1016</v>
      </c>
      <c r="E44" s="113">
        <v>1.5763888888888891</v>
      </c>
      <c r="F44" s="104" t="s">
        <v>337</v>
      </c>
      <c r="G44" s="106">
        <v>4</v>
      </c>
      <c r="H44" s="107" t="s">
        <v>1079</v>
      </c>
    </row>
    <row r="45" spans="1:8" ht="19.8" customHeight="1" x14ac:dyDescent="0.3">
      <c r="A45" s="112">
        <v>45984</v>
      </c>
      <c r="B45" s="104" t="s">
        <v>41</v>
      </c>
      <c r="C45" s="105" t="s">
        <v>1030</v>
      </c>
      <c r="D45" s="104" t="s">
        <v>1016</v>
      </c>
      <c r="E45" s="113">
        <v>1.5763888888888891</v>
      </c>
      <c r="F45" s="104" t="s">
        <v>43</v>
      </c>
      <c r="G45" s="106">
        <v>4</v>
      </c>
      <c r="H45" s="107" t="s">
        <v>1079</v>
      </c>
    </row>
    <row r="46" spans="1:8" ht="19.8" customHeight="1" x14ac:dyDescent="0.3">
      <c r="A46" s="112">
        <v>45984</v>
      </c>
      <c r="B46" s="104" t="s">
        <v>26</v>
      </c>
      <c r="C46" s="105" t="s">
        <v>1026</v>
      </c>
      <c r="D46" s="104" t="s">
        <v>1016</v>
      </c>
      <c r="E46" s="113">
        <v>1.4375</v>
      </c>
      <c r="F46" s="104" t="s">
        <v>351</v>
      </c>
      <c r="G46" s="106">
        <v>4</v>
      </c>
      <c r="H46" s="107" t="s">
        <v>1027</v>
      </c>
    </row>
    <row r="47" spans="1:8" ht="19.8" customHeight="1" x14ac:dyDescent="0.3">
      <c r="A47" s="112">
        <v>45984</v>
      </c>
      <c r="B47" s="104" t="s">
        <v>26</v>
      </c>
      <c r="C47" s="105" t="s">
        <v>1026</v>
      </c>
      <c r="D47" s="104" t="s">
        <v>1016</v>
      </c>
      <c r="E47" s="113">
        <v>1.4375</v>
      </c>
      <c r="F47" s="104" t="s">
        <v>28</v>
      </c>
      <c r="G47" s="106">
        <v>4</v>
      </c>
      <c r="H47" s="107" t="s">
        <v>1027</v>
      </c>
    </row>
    <row r="48" spans="1:8" ht="19.8" customHeight="1" x14ac:dyDescent="0.3">
      <c r="A48" s="112">
        <v>45984</v>
      </c>
      <c r="B48" s="104" t="s">
        <v>26</v>
      </c>
      <c r="C48" s="105" t="s">
        <v>1023</v>
      </c>
      <c r="D48" s="104" t="s">
        <v>1016</v>
      </c>
      <c r="E48" s="113">
        <v>1.5590277777777779</v>
      </c>
      <c r="F48" s="104" t="s">
        <v>351</v>
      </c>
      <c r="G48" s="106">
        <v>9</v>
      </c>
      <c r="H48" s="107" t="s">
        <v>1027</v>
      </c>
    </row>
    <row r="49" spans="1:8" ht="19.8" customHeight="1" x14ac:dyDescent="0.3">
      <c r="A49" s="112">
        <v>45984</v>
      </c>
      <c r="B49" s="104" t="s">
        <v>26</v>
      </c>
      <c r="C49" s="105" t="s">
        <v>1023</v>
      </c>
      <c r="D49" s="104" t="s">
        <v>1016</v>
      </c>
      <c r="E49" s="113">
        <v>1.5590277777777779</v>
      </c>
      <c r="F49" s="104" t="s">
        <v>28</v>
      </c>
      <c r="G49" s="106">
        <v>9</v>
      </c>
      <c r="H49" s="107" t="s">
        <v>1027</v>
      </c>
    </row>
    <row r="50" spans="1:8" ht="19.8" customHeight="1" x14ac:dyDescent="0.3">
      <c r="A50" s="112">
        <v>45984</v>
      </c>
      <c r="B50" s="104" t="s">
        <v>41</v>
      </c>
      <c r="C50" s="105" t="s">
        <v>1034</v>
      </c>
      <c r="D50" s="104" t="s">
        <v>1016</v>
      </c>
      <c r="E50" s="113">
        <v>1.6284722222222221</v>
      </c>
      <c r="F50" s="104" t="s">
        <v>43</v>
      </c>
      <c r="G50" s="106">
        <v>18</v>
      </c>
      <c r="H50" s="107" t="s">
        <v>909</v>
      </c>
    </row>
    <row r="51" spans="1:8" ht="19.8" customHeight="1" x14ac:dyDescent="0.3">
      <c r="A51" s="112">
        <v>45984</v>
      </c>
      <c r="B51" s="104" t="s">
        <v>41</v>
      </c>
      <c r="C51" s="105" t="s">
        <v>1037</v>
      </c>
      <c r="D51" s="104" t="s">
        <v>1016</v>
      </c>
      <c r="E51" s="113">
        <v>1.8888888888888891</v>
      </c>
      <c r="F51" s="104" t="s">
        <v>43</v>
      </c>
      <c r="G51" s="106">
        <v>12</v>
      </c>
      <c r="H51" s="107" t="s">
        <v>909</v>
      </c>
    </row>
    <row r="52" spans="1:8" ht="19.8" customHeight="1" x14ac:dyDescent="0.3">
      <c r="A52" s="112">
        <v>45984</v>
      </c>
      <c r="B52" s="104" t="s">
        <v>41</v>
      </c>
      <c r="C52" s="105" t="s">
        <v>1040</v>
      </c>
      <c r="D52" s="104" t="s">
        <v>1016</v>
      </c>
      <c r="E52" s="113">
        <v>1.944444444444444</v>
      </c>
      <c r="F52" s="104" t="s">
        <v>337</v>
      </c>
      <c r="G52" s="106">
        <v>16</v>
      </c>
      <c r="H52" s="107" t="s">
        <v>909</v>
      </c>
    </row>
    <row r="53" spans="1:8" ht="19.8" customHeight="1" x14ac:dyDescent="0.3">
      <c r="A53" s="114">
        <v>45984</v>
      </c>
      <c r="B53" s="115" t="s">
        <v>41</v>
      </c>
      <c r="C53" s="116" t="s">
        <v>1040</v>
      </c>
      <c r="D53" s="115" t="s">
        <v>1016</v>
      </c>
      <c r="E53" s="117">
        <v>1.944444444444444</v>
      </c>
      <c r="F53" s="115" t="s">
        <v>43</v>
      </c>
      <c r="G53" s="118">
        <v>16</v>
      </c>
      <c r="H53" s="119" t="s">
        <v>909</v>
      </c>
    </row>
    <row r="54" spans="1:8" ht="19.8" customHeight="1" x14ac:dyDescent="0.3">
      <c r="A54" s="175"/>
      <c r="B54" s="176"/>
      <c r="C54" s="176"/>
      <c r="D54" s="176"/>
      <c r="E54" s="176"/>
      <c r="F54" s="177" t="s">
        <v>1263</v>
      </c>
      <c r="G54" s="176"/>
      <c r="H54" s="178"/>
    </row>
    <row r="55" spans="1:8" ht="19.8" customHeight="1" x14ac:dyDescent="0.3">
      <c r="A55" s="112">
        <v>45985</v>
      </c>
      <c r="B55" s="104" t="s">
        <v>26</v>
      </c>
      <c r="C55" s="105" t="s">
        <v>1025</v>
      </c>
      <c r="D55" s="104" t="s">
        <v>1016</v>
      </c>
      <c r="E55" s="113">
        <v>1.697916666666667</v>
      </c>
      <c r="F55" s="104" t="s">
        <v>28</v>
      </c>
      <c r="G55" s="106">
        <v>5</v>
      </c>
      <c r="H55" s="107" t="s">
        <v>1027</v>
      </c>
    </row>
    <row r="56" spans="1:8" ht="19.8" customHeight="1" x14ac:dyDescent="0.3">
      <c r="A56" s="112">
        <v>45985</v>
      </c>
      <c r="B56" s="104" t="s">
        <v>41</v>
      </c>
      <c r="C56" s="105" t="s">
        <v>1030</v>
      </c>
      <c r="D56" s="104" t="s">
        <v>1016</v>
      </c>
      <c r="E56" s="113">
        <v>1.5763888888888891</v>
      </c>
      <c r="F56" s="104" t="s">
        <v>337</v>
      </c>
      <c r="G56" s="106">
        <v>9</v>
      </c>
      <c r="H56" s="107" t="s">
        <v>909</v>
      </c>
    </row>
    <row r="57" spans="1:8" ht="19.8" customHeight="1" x14ac:dyDescent="0.3">
      <c r="A57" s="112">
        <v>45985</v>
      </c>
      <c r="B57" s="104" t="s">
        <v>41</v>
      </c>
      <c r="C57" s="105" t="s">
        <v>1030</v>
      </c>
      <c r="D57" s="104" t="s">
        <v>1016</v>
      </c>
      <c r="E57" s="113">
        <v>1.5763888888888891</v>
      </c>
      <c r="F57" s="104" t="s">
        <v>43</v>
      </c>
      <c r="G57" s="106">
        <v>9</v>
      </c>
      <c r="H57" s="107" t="s">
        <v>909</v>
      </c>
    </row>
    <row r="58" spans="1:8" ht="19.8" customHeight="1" x14ac:dyDescent="0.3">
      <c r="A58" s="112">
        <v>45985</v>
      </c>
      <c r="B58" s="104" t="s">
        <v>41</v>
      </c>
      <c r="C58" s="105" t="s">
        <v>1034</v>
      </c>
      <c r="D58" s="104" t="s">
        <v>1016</v>
      </c>
      <c r="E58" s="113">
        <v>1.6284722222222221</v>
      </c>
      <c r="F58" s="104" t="s">
        <v>337</v>
      </c>
      <c r="G58" s="106">
        <v>10</v>
      </c>
      <c r="H58" s="107" t="s">
        <v>909</v>
      </c>
    </row>
    <row r="59" spans="1:8" ht="19.8" customHeight="1" x14ac:dyDescent="0.3">
      <c r="A59" s="112">
        <v>45985</v>
      </c>
      <c r="B59" s="104" t="s">
        <v>41</v>
      </c>
      <c r="C59" s="105" t="s">
        <v>1034</v>
      </c>
      <c r="D59" s="104" t="s">
        <v>1016</v>
      </c>
      <c r="E59" s="113">
        <v>1.6284722222222221</v>
      </c>
      <c r="F59" s="104" t="s">
        <v>43</v>
      </c>
      <c r="G59" s="106">
        <v>10</v>
      </c>
      <c r="H59" s="107" t="s">
        <v>909</v>
      </c>
    </row>
    <row r="60" spans="1:8" ht="19.8" customHeight="1" x14ac:dyDescent="0.3">
      <c r="A60" s="112">
        <v>45985</v>
      </c>
      <c r="B60" s="104" t="s">
        <v>41</v>
      </c>
      <c r="C60" s="105" t="s">
        <v>1037</v>
      </c>
      <c r="D60" s="104" t="s">
        <v>1016</v>
      </c>
      <c r="E60" s="113">
        <v>1.8888888888888891</v>
      </c>
      <c r="F60" s="104" t="s">
        <v>337</v>
      </c>
      <c r="G60" s="106">
        <v>14</v>
      </c>
      <c r="H60" s="107" t="s">
        <v>909</v>
      </c>
    </row>
    <row r="61" spans="1:8" ht="19.8" customHeight="1" x14ac:dyDescent="0.3">
      <c r="A61" s="112">
        <v>45985</v>
      </c>
      <c r="B61" s="104" t="s">
        <v>41</v>
      </c>
      <c r="C61" s="105" t="s">
        <v>1037</v>
      </c>
      <c r="D61" s="104" t="s">
        <v>1016</v>
      </c>
      <c r="E61" s="113">
        <v>1.8888888888888891</v>
      </c>
      <c r="F61" s="104" t="s">
        <v>43</v>
      </c>
      <c r="G61" s="106">
        <v>14</v>
      </c>
      <c r="H61" s="107" t="s">
        <v>909</v>
      </c>
    </row>
    <row r="62" spans="1:8" ht="19.8" customHeight="1" x14ac:dyDescent="0.3">
      <c r="A62" s="112">
        <v>45985</v>
      </c>
      <c r="B62" s="104" t="s">
        <v>41</v>
      </c>
      <c r="C62" s="105" t="s">
        <v>1040</v>
      </c>
      <c r="D62" s="104" t="s">
        <v>1016</v>
      </c>
      <c r="E62" s="113">
        <v>1.944444444444444</v>
      </c>
      <c r="F62" s="104" t="s">
        <v>337</v>
      </c>
      <c r="G62" s="106">
        <v>11</v>
      </c>
      <c r="H62" s="107" t="s">
        <v>909</v>
      </c>
    </row>
    <row r="63" spans="1:8" ht="19.8" customHeight="1" x14ac:dyDescent="0.3">
      <c r="A63" s="112">
        <v>45985</v>
      </c>
      <c r="B63" s="104" t="s">
        <v>41</v>
      </c>
      <c r="C63" s="105" t="s">
        <v>1040</v>
      </c>
      <c r="D63" s="104" t="s">
        <v>1016</v>
      </c>
      <c r="E63" s="113">
        <v>1.944444444444444</v>
      </c>
      <c r="F63" s="104" t="s">
        <v>43</v>
      </c>
      <c r="G63" s="106">
        <v>11</v>
      </c>
      <c r="H63" s="107" t="s">
        <v>909</v>
      </c>
    </row>
    <row r="64" spans="1:8" ht="19.8" customHeight="1" x14ac:dyDescent="0.3">
      <c r="A64" s="114">
        <v>45985</v>
      </c>
      <c r="B64" s="115" t="s">
        <v>26</v>
      </c>
      <c r="C64" s="116" t="s">
        <v>1026</v>
      </c>
      <c r="D64" s="115" t="s">
        <v>1016</v>
      </c>
      <c r="E64" s="117">
        <v>1.4375</v>
      </c>
      <c r="F64" s="115" t="s">
        <v>351</v>
      </c>
      <c r="G64" s="118">
        <v>9</v>
      </c>
      <c r="H64" s="119" t="s">
        <v>1091</v>
      </c>
    </row>
    <row r="65" spans="1:8" ht="19.8" customHeight="1" x14ac:dyDescent="0.3">
      <c r="A65" s="112">
        <v>45986</v>
      </c>
      <c r="B65" s="104" t="s">
        <v>26</v>
      </c>
      <c r="C65" s="105" t="s">
        <v>1214</v>
      </c>
      <c r="D65" s="104" t="s">
        <v>1213</v>
      </c>
      <c r="E65" s="113">
        <v>1.3611111111111109</v>
      </c>
      <c r="F65" s="104" t="s">
        <v>1215</v>
      </c>
      <c r="G65" s="106">
        <v>1</v>
      </c>
      <c r="H65" s="107" t="s">
        <v>1127</v>
      </c>
    </row>
    <row r="66" spans="1:8" ht="19.8" customHeight="1" x14ac:dyDescent="0.3">
      <c r="A66" s="112">
        <v>45986</v>
      </c>
      <c r="B66" s="104" t="s">
        <v>26</v>
      </c>
      <c r="C66" s="105" t="s">
        <v>1214</v>
      </c>
      <c r="D66" s="104" t="s">
        <v>1213</v>
      </c>
      <c r="E66" s="113">
        <v>1.3611111111111109</v>
      </c>
      <c r="F66" s="104" t="s">
        <v>31</v>
      </c>
      <c r="G66" s="106">
        <v>1</v>
      </c>
      <c r="H66" s="107" t="s">
        <v>1233</v>
      </c>
    </row>
    <row r="67" spans="1:8" ht="19.8" customHeight="1" x14ac:dyDescent="0.3">
      <c r="A67" s="112">
        <v>45986</v>
      </c>
      <c r="B67" s="104" t="s">
        <v>26</v>
      </c>
      <c r="C67" s="105" t="s">
        <v>1214</v>
      </c>
      <c r="D67" s="104" t="s">
        <v>1213</v>
      </c>
      <c r="E67" s="113">
        <v>1.3611111111111109</v>
      </c>
      <c r="F67" s="104" t="s">
        <v>34</v>
      </c>
      <c r="G67" s="106">
        <v>1</v>
      </c>
      <c r="H67" s="107" t="s">
        <v>1234</v>
      </c>
    </row>
    <row r="68" spans="1:8" ht="19.8" customHeight="1" x14ac:dyDescent="0.3">
      <c r="A68" s="120">
        <v>45986</v>
      </c>
      <c r="B68" s="121" t="s">
        <v>77</v>
      </c>
      <c r="C68" s="122" t="s">
        <v>1226</v>
      </c>
      <c r="D68" s="121" t="s">
        <v>1213</v>
      </c>
      <c r="E68" s="123">
        <v>1.430555555555556</v>
      </c>
      <c r="F68" s="121" t="s">
        <v>101</v>
      </c>
      <c r="G68" s="124">
        <v>9</v>
      </c>
      <c r="H68" s="125" t="s">
        <v>1227</v>
      </c>
    </row>
    <row r="69" spans="1:8" ht="19.8" customHeight="1" x14ac:dyDescent="0.3">
      <c r="A69" s="112">
        <v>45986</v>
      </c>
      <c r="B69" s="104" t="s">
        <v>48</v>
      </c>
      <c r="C69" s="105" t="s">
        <v>1230</v>
      </c>
      <c r="D69" s="104" t="s">
        <v>1213</v>
      </c>
      <c r="E69" s="113">
        <v>1.430555555555556</v>
      </c>
      <c r="F69" s="104" t="s">
        <v>50</v>
      </c>
      <c r="G69" s="106">
        <v>4</v>
      </c>
      <c r="H69" s="107" t="s">
        <v>1231</v>
      </c>
    </row>
    <row r="70" spans="1:8" ht="19.8" customHeight="1" x14ac:dyDescent="0.3">
      <c r="A70" s="175"/>
      <c r="B70" s="176"/>
      <c r="C70" s="176"/>
      <c r="D70" s="176"/>
      <c r="E70" s="176"/>
      <c r="F70" s="177" t="s">
        <v>1263</v>
      </c>
      <c r="G70" s="176"/>
      <c r="H70" s="178"/>
    </row>
    <row r="71" spans="1:8" ht="19.8" customHeight="1" x14ac:dyDescent="0.3">
      <c r="A71" s="112">
        <v>45986</v>
      </c>
      <c r="B71" s="104" t="s">
        <v>41</v>
      </c>
      <c r="C71" s="105" t="s">
        <v>1030</v>
      </c>
      <c r="D71" s="104" t="s">
        <v>1016</v>
      </c>
      <c r="E71" s="113">
        <v>1.5763888888888891</v>
      </c>
      <c r="F71" s="104" t="s">
        <v>43</v>
      </c>
      <c r="G71" s="106">
        <v>4</v>
      </c>
      <c r="H71" s="107" t="s">
        <v>909</v>
      </c>
    </row>
    <row r="72" spans="1:8" ht="19.8" customHeight="1" x14ac:dyDescent="0.3">
      <c r="A72" s="112">
        <v>45986</v>
      </c>
      <c r="B72" s="104" t="s">
        <v>41</v>
      </c>
      <c r="C72" s="105" t="s">
        <v>1034</v>
      </c>
      <c r="D72" s="104" t="s">
        <v>1016</v>
      </c>
      <c r="E72" s="113">
        <v>1.6284722222222221</v>
      </c>
      <c r="F72" s="104" t="s">
        <v>43</v>
      </c>
      <c r="G72" s="106">
        <v>8</v>
      </c>
      <c r="H72" s="107" t="s">
        <v>909</v>
      </c>
    </row>
    <row r="73" spans="1:8" ht="19.8" customHeight="1" x14ac:dyDescent="0.3">
      <c r="A73" s="112">
        <v>45986</v>
      </c>
      <c r="B73" s="104" t="s">
        <v>41</v>
      </c>
      <c r="C73" s="105" t="s">
        <v>1037</v>
      </c>
      <c r="D73" s="104" t="s">
        <v>1016</v>
      </c>
      <c r="E73" s="113">
        <v>1.8888888888888891</v>
      </c>
      <c r="F73" s="104" t="s">
        <v>43</v>
      </c>
      <c r="G73" s="106">
        <v>11</v>
      </c>
      <c r="H73" s="107" t="s">
        <v>909</v>
      </c>
    </row>
    <row r="74" spans="1:8" ht="19.8" customHeight="1" x14ac:dyDescent="0.3">
      <c r="A74" s="112">
        <v>45986</v>
      </c>
      <c r="B74" s="104" t="s">
        <v>41</v>
      </c>
      <c r="C74" s="105" t="s">
        <v>1040</v>
      </c>
      <c r="D74" s="104" t="s">
        <v>1016</v>
      </c>
      <c r="E74" s="113">
        <v>1.944444444444444</v>
      </c>
      <c r="F74" s="104" t="s">
        <v>43</v>
      </c>
      <c r="G74" s="106">
        <v>14</v>
      </c>
      <c r="H74" s="107" t="s">
        <v>909</v>
      </c>
    </row>
    <row r="75" spans="1:8" ht="19.8" customHeight="1" x14ac:dyDescent="0.3">
      <c r="A75" s="112">
        <v>45986</v>
      </c>
      <c r="B75" s="104" t="s">
        <v>26</v>
      </c>
      <c r="C75" s="105" t="s">
        <v>1026</v>
      </c>
      <c r="D75" s="104" t="s">
        <v>1016</v>
      </c>
      <c r="E75" s="113">
        <v>1.4375</v>
      </c>
      <c r="F75" s="104" t="s">
        <v>28</v>
      </c>
      <c r="G75" s="106">
        <v>9</v>
      </c>
      <c r="H75" s="107" t="s">
        <v>1091</v>
      </c>
    </row>
    <row r="76" spans="1:8" ht="19.8" customHeight="1" x14ac:dyDescent="0.3">
      <c r="A76" s="112">
        <v>45986</v>
      </c>
      <c r="B76" s="104" t="s">
        <v>26</v>
      </c>
      <c r="C76" s="105" t="s">
        <v>1017</v>
      </c>
      <c r="D76" s="104" t="s">
        <v>1016</v>
      </c>
      <c r="E76" s="113">
        <v>1.958333333333333</v>
      </c>
      <c r="F76" s="104" t="s">
        <v>28</v>
      </c>
      <c r="G76" s="106">
        <v>8</v>
      </c>
      <c r="H76" s="107" t="s">
        <v>1091</v>
      </c>
    </row>
    <row r="77" spans="1:8" ht="19.8" customHeight="1" x14ac:dyDescent="0.3">
      <c r="A77" s="112">
        <v>45986</v>
      </c>
      <c r="B77" s="104" t="s">
        <v>26</v>
      </c>
      <c r="C77" s="105" t="s">
        <v>1021</v>
      </c>
      <c r="D77" s="104" t="s">
        <v>1016</v>
      </c>
      <c r="E77" s="113">
        <v>1.631944444444444</v>
      </c>
      <c r="F77" s="104" t="s">
        <v>28</v>
      </c>
      <c r="G77" s="106">
        <v>9</v>
      </c>
      <c r="H77" s="107" t="s">
        <v>1091</v>
      </c>
    </row>
    <row r="78" spans="1:8" ht="19.8" customHeight="1" x14ac:dyDescent="0.3">
      <c r="A78" s="112">
        <v>45986</v>
      </c>
      <c r="B78" s="104" t="s">
        <v>26</v>
      </c>
      <c r="C78" s="105" t="s">
        <v>1029</v>
      </c>
      <c r="D78" s="104" t="s">
        <v>1016</v>
      </c>
      <c r="E78" s="113">
        <v>1.506944444444444</v>
      </c>
      <c r="F78" s="104" t="s">
        <v>28</v>
      </c>
      <c r="G78" s="106">
        <v>9</v>
      </c>
      <c r="H78" s="107" t="s">
        <v>1091</v>
      </c>
    </row>
    <row r="79" spans="1:8" ht="19.8" customHeight="1" x14ac:dyDescent="0.3">
      <c r="A79" s="112">
        <v>45986</v>
      </c>
      <c r="B79" s="104" t="s">
        <v>26</v>
      </c>
      <c r="C79" s="105" t="s">
        <v>1023</v>
      </c>
      <c r="D79" s="104" t="s">
        <v>1016</v>
      </c>
      <c r="E79" s="113">
        <v>1.5590277777777779</v>
      </c>
      <c r="F79" s="104" t="s">
        <v>28</v>
      </c>
      <c r="G79" s="106">
        <v>9</v>
      </c>
      <c r="H79" s="107" t="s">
        <v>1028</v>
      </c>
    </row>
    <row r="80" spans="1:8" ht="19.8" customHeight="1" x14ac:dyDescent="0.3">
      <c r="A80" s="114">
        <v>45986</v>
      </c>
      <c r="B80" s="115" t="s">
        <v>26</v>
      </c>
      <c r="C80" s="116" t="s">
        <v>1024</v>
      </c>
      <c r="D80" s="115" t="s">
        <v>1016</v>
      </c>
      <c r="E80" s="117">
        <v>1.819444444444444</v>
      </c>
      <c r="F80" s="115" t="s">
        <v>28</v>
      </c>
      <c r="G80" s="118">
        <v>8</v>
      </c>
      <c r="H80" s="119" t="s">
        <v>1028</v>
      </c>
    </row>
    <row r="81" spans="1:8" ht="19.8" customHeight="1" x14ac:dyDescent="0.3">
      <c r="A81" s="120">
        <v>45987</v>
      </c>
      <c r="B81" s="121" t="s">
        <v>77</v>
      </c>
      <c r="C81" s="122" t="s">
        <v>1236</v>
      </c>
      <c r="D81" s="121" t="s">
        <v>1213</v>
      </c>
      <c r="E81" s="123">
        <v>1.40625</v>
      </c>
      <c r="F81" s="121" t="s">
        <v>101</v>
      </c>
      <c r="G81" s="124">
        <v>9</v>
      </c>
      <c r="H81" s="125" t="s">
        <v>141</v>
      </c>
    </row>
    <row r="82" spans="1:8" ht="19.8" customHeight="1" x14ac:dyDescent="0.3">
      <c r="A82" s="112">
        <v>45987</v>
      </c>
      <c r="B82" s="104" t="s">
        <v>48</v>
      </c>
      <c r="C82" s="105" t="s">
        <v>1240</v>
      </c>
      <c r="D82" s="104" t="s">
        <v>1213</v>
      </c>
      <c r="E82" s="113">
        <v>1.40625</v>
      </c>
      <c r="F82" s="104" t="s">
        <v>50</v>
      </c>
      <c r="G82" s="106">
        <v>4</v>
      </c>
      <c r="H82" s="107" t="s">
        <v>1241</v>
      </c>
    </row>
    <row r="83" spans="1:8" ht="19.8" customHeight="1" x14ac:dyDescent="0.3">
      <c r="A83" s="175"/>
      <c r="B83" s="176"/>
      <c r="C83" s="176"/>
      <c r="D83" s="176"/>
      <c r="E83" s="176"/>
      <c r="F83" s="177" t="s">
        <v>1263</v>
      </c>
      <c r="G83" s="176"/>
      <c r="H83" s="178"/>
    </row>
    <row r="84" spans="1:8" ht="19.8" customHeight="1" x14ac:dyDescent="0.3">
      <c r="A84" s="112">
        <v>45987</v>
      </c>
      <c r="B84" s="104" t="s">
        <v>41</v>
      </c>
      <c r="C84" s="105" t="s">
        <v>1030</v>
      </c>
      <c r="D84" s="104" t="s">
        <v>1016</v>
      </c>
      <c r="E84" s="113">
        <v>1.5763888888888891</v>
      </c>
      <c r="F84" s="104" t="s">
        <v>43</v>
      </c>
      <c r="G84" s="106">
        <v>6</v>
      </c>
      <c r="H84" s="107" t="s">
        <v>1128</v>
      </c>
    </row>
    <row r="85" spans="1:8" ht="19.8" customHeight="1" x14ac:dyDescent="0.3">
      <c r="A85" s="112">
        <v>45987</v>
      </c>
      <c r="B85" s="104" t="s">
        <v>41</v>
      </c>
      <c r="C85" s="105" t="s">
        <v>1037</v>
      </c>
      <c r="D85" s="104" t="s">
        <v>1016</v>
      </c>
      <c r="E85" s="113">
        <v>1.8888888888888891</v>
      </c>
      <c r="F85" s="104" t="s">
        <v>43</v>
      </c>
      <c r="G85" s="106">
        <v>6</v>
      </c>
      <c r="H85" s="107" t="s">
        <v>1093</v>
      </c>
    </row>
    <row r="86" spans="1:8" ht="19.8" customHeight="1" x14ac:dyDescent="0.3">
      <c r="A86" s="112">
        <v>45987</v>
      </c>
      <c r="B86" s="104" t="s">
        <v>41</v>
      </c>
      <c r="C86" s="105" t="s">
        <v>1040</v>
      </c>
      <c r="D86" s="104" t="s">
        <v>1016</v>
      </c>
      <c r="E86" s="113">
        <v>1.944444444444444</v>
      </c>
      <c r="F86" s="104" t="s">
        <v>43</v>
      </c>
      <c r="G86" s="106">
        <v>10</v>
      </c>
      <c r="H86" s="107" t="s">
        <v>1093</v>
      </c>
    </row>
    <row r="87" spans="1:8" ht="19.8" customHeight="1" x14ac:dyDescent="0.3">
      <c r="A87" s="112">
        <v>45987</v>
      </c>
      <c r="B87" s="104" t="s">
        <v>41</v>
      </c>
      <c r="C87" s="105" t="s">
        <v>1034</v>
      </c>
      <c r="D87" s="104" t="s">
        <v>1016</v>
      </c>
      <c r="E87" s="113">
        <v>1.6284722222222221</v>
      </c>
      <c r="F87" s="104" t="s">
        <v>43</v>
      </c>
      <c r="G87" s="106">
        <v>9</v>
      </c>
      <c r="H87" s="107" t="s">
        <v>1028</v>
      </c>
    </row>
    <row r="88" spans="1:8" ht="19.8" customHeight="1" x14ac:dyDescent="0.3">
      <c r="A88" s="112">
        <v>45987</v>
      </c>
      <c r="B88" s="104" t="s">
        <v>388</v>
      </c>
      <c r="C88" s="105" t="s">
        <v>1129</v>
      </c>
      <c r="D88" s="104" t="s">
        <v>1016</v>
      </c>
      <c r="E88" s="113">
        <v>1.052083333333333</v>
      </c>
      <c r="F88" s="104" t="s">
        <v>390</v>
      </c>
      <c r="G88" s="106">
        <v>9</v>
      </c>
      <c r="H88" s="107" t="s">
        <v>1130</v>
      </c>
    </row>
    <row r="89" spans="1:8" ht="19.8" customHeight="1" x14ac:dyDescent="0.3">
      <c r="A89" s="112">
        <v>45987</v>
      </c>
      <c r="B89" s="104" t="s">
        <v>77</v>
      </c>
      <c r="C89" s="105" t="s">
        <v>1052</v>
      </c>
      <c r="D89" s="104" t="s">
        <v>1016</v>
      </c>
      <c r="E89" s="113">
        <v>1.413194444444444</v>
      </c>
      <c r="F89" s="104" t="s">
        <v>101</v>
      </c>
      <c r="G89" s="106">
        <v>9</v>
      </c>
      <c r="H89" s="107" t="s">
        <v>779</v>
      </c>
    </row>
    <row r="90" spans="1:8" ht="19.8" customHeight="1" x14ac:dyDescent="0.3">
      <c r="A90" s="112">
        <v>45987</v>
      </c>
      <c r="B90" s="104" t="s">
        <v>458</v>
      </c>
      <c r="C90" s="105" t="s">
        <v>1048</v>
      </c>
      <c r="D90" s="104" t="s">
        <v>1016</v>
      </c>
      <c r="E90" s="113">
        <v>1.0902777777777779</v>
      </c>
      <c r="F90" s="104" t="s">
        <v>101</v>
      </c>
      <c r="G90" s="106">
        <v>9</v>
      </c>
      <c r="H90" s="107" t="s">
        <v>1124</v>
      </c>
    </row>
    <row r="91" spans="1:8" ht="19.8" customHeight="1" x14ac:dyDescent="0.3">
      <c r="A91" s="112">
        <v>45987</v>
      </c>
      <c r="B91" s="104" t="s">
        <v>41</v>
      </c>
      <c r="C91" s="105" t="s">
        <v>1030</v>
      </c>
      <c r="D91" s="104" t="s">
        <v>1016</v>
      </c>
      <c r="E91" s="113">
        <v>1.5763888888888891</v>
      </c>
      <c r="F91" s="104" t="s">
        <v>45</v>
      </c>
      <c r="G91" s="106">
        <v>6</v>
      </c>
      <c r="H91" s="107" t="s">
        <v>44</v>
      </c>
    </row>
    <row r="92" spans="1:8" ht="19.8" customHeight="1" x14ac:dyDescent="0.3">
      <c r="A92" s="112">
        <v>45987</v>
      </c>
      <c r="B92" s="104" t="s">
        <v>41</v>
      </c>
      <c r="C92" s="105" t="s">
        <v>1037</v>
      </c>
      <c r="D92" s="104" t="s">
        <v>1016</v>
      </c>
      <c r="E92" s="113">
        <v>1.8888888888888891</v>
      </c>
      <c r="F92" s="104" t="s">
        <v>45</v>
      </c>
      <c r="G92" s="106">
        <v>6</v>
      </c>
      <c r="H92" s="107" t="s">
        <v>1092</v>
      </c>
    </row>
    <row r="93" spans="1:8" ht="19.8" customHeight="1" x14ac:dyDescent="0.3">
      <c r="A93" s="114">
        <v>45987</v>
      </c>
      <c r="B93" s="115" t="s">
        <v>41</v>
      </c>
      <c r="C93" s="116" t="s">
        <v>1040</v>
      </c>
      <c r="D93" s="115" t="s">
        <v>1016</v>
      </c>
      <c r="E93" s="117">
        <v>1.944444444444444</v>
      </c>
      <c r="F93" s="115" t="s">
        <v>45</v>
      </c>
      <c r="G93" s="118">
        <v>10</v>
      </c>
      <c r="H93" s="119" t="s">
        <v>1092</v>
      </c>
    </row>
    <row r="94" spans="1:8" ht="19.8" customHeight="1" x14ac:dyDescent="0.3">
      <c r="A94" s="112">
        <v>45988</v>
      </c>
      <c r="B94" s="104" t="s">
        <v>26</v>
      </c>
      <c r="C94" s="105" t="s">
        <v>1214</v>
      </c>
      <c r="D94" s="104" t="s">
        <v>1213</v>
      </c>
      <c r="E94" s="113">
        <v>1.3611111111111109</v>
      </c>
      <c r="F94" s="104" t="s">
        <v>1215</v>
      </c>
      <c r="G94" s="106">
        <v>9</v>
      </c>
      <c r="H94" s="107" t="s">
        <v>441</v>
      </c>
    </row>
    <row r="95" spans="1:8" ht="19.8" customHeight="1" x14ac:dyDescent="0.3">
      <c r="A95" s="112">
        <v>45988</v>
      </c>
      <c r="B95" s="104" t="s">
        <v>26</v>
      </c>
      <c r="C95" s="105" t="s">
        <v>1214</v>
      </c>
      <c r="D95" s="104" t="s">
        <v>1213</v>
      </c>
      <c r="E95" s="113">
        <v>1.3611111111111109</v>
      </c>
      <c r="F95" s="104" t="s">
        <v>31</v>
      </c>
      <c r="G95" s="106">
        <v>9</v>
      </c>
      <c r="H95" s="107" t="s">
        <v>1148</v>
      </c>
    </row>
    <row r="96" spans="1:8" ht="19.8" customHeight="1" x14ac:dyDescent="0.3">
      <c r="A96" s="112">
        <v>45988</v>
      </c>
      <c r="B96" s="104" t="s">
        <v>26</v>
      </c>
      <c r="C96" s="105" t="s">
        <v>1214</v>
      </c>
      <c r="D96" s="104" t="s">
        <v>1213</v>
      </c>
      <c r="E96" s="113">
        <v>1.3611111111111109</v>
      </c>
      <c r="F96" s="104" t="s">
        <v>34</v>
      </c>
      <c r="G96" s="106">
        <v>9</v>
      </c>
      <c r="H96" s="107" t="s">
        <v>1224</v>
      </c>
    </row>
    <row r="97" spans="1:8" ht="19.8" customHeight="1" x14ac:dyDescent="0.3">
      <c r="A97" s="175"/>
      <c r="B97" s="176"/>
      <c r="C97" s="176"/>
      <c r="D97" s="176"/>
      <c r="E97" s="176"/>
      <c r="F97" s="177" t="s">
        <v>1263</v>
      </c>
      <c r="G97" s="176"/>
      <c r="H97" s="178"/>
    </row>
    <row r="98" spans="1:8" ht="19.8" customHeight="1" x14ac:dyDescent="0.3">
      <c r="A98" s="112">
        <v>45988</v>
      </c>
      <c r="B98" s="104" t="s">
        <v>41</v>
      </c>
      <c r="C98" s="105" t="s">
        <v>1037</v>
      </c>
      <c r="D98" s="104" t="s">
        <v>1016</v>
      </c>
      <c r="E98" s="113">
        <v>1.8888888888888891</v>
      </c>
      <c r="F98" s="104" t="s">
        <v>43</v>
      </c>
      <c r="G98" s="106">
        <v>2</v>
      </c>
      <c r="H98" s="107" t="s">
        <v>431</v>
      </c>
    </row>
    <row r="99" spans="1:8" ht="19.8" customHeight="1" x14ac:dyDescent="0.3">
      <c r="A99" s="112">
        <v>45988</v>
      </c>
      <c r="B99" s="104" t="s">
        <v>41</v>
      </c>
      <c r="C99" s="105" t="s">
        <v>1030</v>
      </c>
      <c r="D99" s="104" t="s">
        <v>1016</v>
      </c>
      <c r="E99" s="113">
        <v>1.5763888888888891</v>
      </c>
      <c r="F99" s="104" t="s">
        <v>43</v>
      </c>
      <c r="G99" s="106">
        <v>7</v>
      </c>
      <c r="H99" s="107" t="s">
        <v>44</v>
      </c>
    </row>
    <row r="100" spans="1:8" ht="19.8" customHeight="1" x14ac:dyDescent="0.3">
      <c r="A100" s="112">
        <v>45988</v>
      </c>
      <c r="B100" s="104" t="s">
        <v>41</v>
      </c>
      <c r="C100" s="105" t="s">
        <v>1040</v>
      </c>
      <c r="D100" s="104" t="s">
        <v>1016</v>
      </c>
      <c r="E100" s="113">
        <v>1.944444444444444</v>
      </c>
      <c r="F100" s="104" t="s">
        <v>43</v>
      </c>
      <c r="G100" s="106">
        <v>10</v>
      </c>
      <c r="H100" s="107" t="s">
        <v>44</v>
      </c>
    </row>
    <row r="101" spans="1:8" ht="19.8" customHeight="1" x14ac:dyDescent="0.3">
      <c r="A101" s="112">
        <v>45988</v>
      </c>
      <c r="B101" s="104" t="s">
        <v>26</v>
      </c>
      <c r="C101" s="105" t="s">
        <v>1026</v>
      </c>
      <c r="D101" s="104" t="s">
        <v>1016</v>
      </c>
      <c r="E101" s="113">
        <v>1.4375</v>
      </c>
      <c r="F101" s="104" t="s">
        <v>28</v>
      </c>
      <c r="G101" s="106">
        <v>9</v>
      </c>
      <c r="H101" s="107" t="s">
        <v>1092</v>
      </c>
    </row>
    <row r="102" spans="1:8" ht="19.8" customHeight="1" x14ac:dyDescent="0.3">
      <c r="A102" s="112">
        <v>45988</v>
      </c>
      <c r="B102" s="104" t="s">
        <v>26</v>
      </c>
      <c r="C102" s="105" t="s">
        <v>1021</v>
      </c>
      <c r="D102" s="104" t="s">
        <v>1016</v>
      </c>
      <c r="E102" s="113">
        <v>1.631944444444444</v>
      </c>
      <c r="F102" s="104" t="s">
        <v>28</v>
      </c>
      <c r="G102" s="106">
        <v>1</v>
      </c>
      <c r="H102" s="107" t="s">
        <v>1092</v>
      </c>
    </row>
    <row r="103" spans="1:8" ht="19.8" customHeight="1" x14ac:dyDescent="0.3">
      <c r="A103" s="112">
        <v>45988</v>
      </c>
      <c r="B103" s="104" t="s">
        <v>26</v>
      </c>
      <c r="C103" s="105" t="s">
        <v>1029</v>
      </c>
      <c r="D103" s="104" t="s">
        <v>1016</v>
      </c>
      <c r="E103" s="113">
        <v>1.506944444444444</v>
      </c>
      <c r="F103" s="104" t="s">
        <v>28</v>
      </c>
      <c r="G103" s="106">
        <v>9</v>
      </c>
      <c r="H103" s="107" t="s">
        <v>1092</v>
      </c>
    </row>
    <row r="104" spans="1:8" ht="19.8" customHeight="1" x14ac:dyDescent="0.3">
      <c r="A104" s="112">
        <v>45988</v>
      </c>
      <c r="B104" s="104" t="s">
        <v>77</v>
      </c>
      <c r="C104" s="105" t="s">
        <v>1052</v>
      </c>
      <c r="D104" s="104" t="s">
        <v>1016</v>
      </c>
      <c r="E104" s="113">
        <v>1.413194444444444</v>
      </c>
      <c r="F104" s="104" t="s">
        <v>101</v>
      </c>
      <c r="G104" s="106">
        <v>8</v>
      </c>
      <c r="H104" s="107" t="s">
        <v>1133</v>
      </c>
    </row>
    <row r="105" spans="1:8" ht="19.8" customHeight="1" x14ac:dyDescent="0.3">
      <c r="A105" s="112">
        <v>45988</v>
      </c>
      <c r="B105" s="104" t="s">
        <v>388</v>
      </c>
      <c r="C105" s="105" t="s">
        <v>1056</v>
      </c>
      <c r="D105" s="104" t="s">
        <v>1016</v>
      </c>
      <c r="E105" s="113">
        <v>1.4375</v>
      </c>
      <c r="F105" s="104" t="s">
        <v>390</v>
      </c>
      <c r="G105" s="106">
        <v>9</v>
      </c>
      <c r="H105" s="107" t="s">
        <v>1141</v>
      </c>
    </row>
    <row r="106" spans="1:8" ht="19.8" customHeight="1" x14ac:dyDescent="0.3">
      <c r="A106" s="112">
        <v>45988</v>
      </c>
      <c r="B106" s="104" t="s">
        <v>41</v>
      </c>
      <c r="C106" s="105" t="s">
        <v>1034</v>
      </c>
      <c r="D106" s="104" t="s">
        <v>1016</v>
      </c>
      <c r="E106" s="113">
        <v>1.6284722222222221</v>
      </c>
      <c r="F106" s="104" t="s">
        <v>43</v>
      </c>
      <c r="G106" s="106">
        <v>6</v>
      </c>
      <c r="H106" s="107" t="s">
        <v>33</v>
      </c>
    </row>
    <row r="107" spans="1:8" ht="19.8" customHeight="1" x14ac:dyDescent="0.3">
      <c r="A107" s="114">
        <v>45988</v>
      </c>
      <c r="B107" s="115" t="s">
        <v>26</v>
      </c>
      <c r="C107" s="116" t="s">
        <v>1023</v>
      </c>
      <c r="D107" s="115" t="s">
        <v>1016</v>
      </c>
      <c r="E107" s="117">
        <v>1.5590277777777779</v>
      </c>
      <c r="F107" s="115" t="s">
        <v>28</v>
      </c>
      <c r="G107" s="118">
        <v>9</v>
      </c>
      <c r="H107" s="119" t="s">
        <v>95</v>
      </c>
    </row>
    <row r="108" spans="1:8" ht="19.8" customHeight="1" x14ac:dyDescent="0.3">
      <c r="A108" s="175"/>
      <c r="B108" s="176"/>
      <c r="C108" s="176"/>
      <c r="D108" s="176"/>
      <c r="E108" s="176"/>
      <c r="F108" s="177" t="s">
        <v>1263</v>
      </c>
      <c r="G108" s="176"/>
      <c r="H108" s="178"/>
    </row>
    <row r="109" spans="1:8" ht="19.8" customHeight="1" x14ac:dyDescent="0.3">
      <c r="A109" s="112">
        <v>45989</v>
      </c>
      <c r="B109" s="104" t="s">
        <v>41</v>
      </c>
      <c r="C109" s="105" t="s">
        <v>1030</v>
      </c>
      <c r="D109" s="104" t="s">
        <v>1016</v>
      </c>
      <c r="E109" s="113">
        <v>1.5763888888888891</v>
      </c>
      <c r="F109" s="104" t="s">
        <v>337</v>
      </c>
      <c r="G109" s="106">
        <v>10</v>
      </c>
      <c r="H109" s="107" t="s">
        <v>154</v>
      </c>
    </row>
    <row r="110" spans="1:8" ht="19.8" customHeight="1" x14ac:dyDescent="0.3">
      <c r="A110" s="112">
        <v>45989</v>
      </c>
      <c r="B110" s="104" t="s">
        <v>41</v>
      </c>
      <c r="C110" s="105" t="s">
        <v>1034</v>
      </c>
      <c r="D110" s="104" t="s">
        <v>1016</v>
      </c>
      <c r="E110" s="113">
        <v>1.6284722222222221</v>
      </c>
      <c r="F110" s="104" t="s">
        <v>337</v>
      </c>
      <c r="G110" s="106">
        <v>11</v>
      </c>
      <c r="H110" s="107" t="s">
        <v>154</v>
      </c>
    </row>
    <row r="111" spans="1:8" ht="19.8" customHeight="1" x14ac:dyDescent="0.3">
      <c r="A111" s="112">
        <v>45989</v>
      </c>
      <c r="B111" s="104" t="s">
        <v>26</v>
      </c>
      <c r="C111" s="105" t="s">
        <v>1026</v>
      </c>
      <c r="D111" s="104" t="s">
        <v>1016</v>
      </c>
      <c r="E111" s="113">
        <v>1.4375</v>
      </c>
      <c r="F111" s="104" t="s">
        <v>351</v>
      </c>
      <c r="G111" s="106">
        <v>7</v>
      </c>
      <c r="H111" s="107" t="s">
        <v>149</v>
      </c>
    </row>
    <row r="112" spans="1:8" ht="19.8" customHeight="1" x14ac:dyDescent="0.3">
      <c r="A112" s="112">
        <v>45989</v>
      </c>
      <c r="B112" s="104" t="s">
        <v>26</v>
      </c>
      <c r="C112" s="105" t="s">
        <v>1021</v>
      </c>
      <c r="D112" s="104" t="s">
        <v>1016</v>
      </c>
      <c r="E112" s="113">
        <v>1.631944444444444</v>
      </c>
      <c r="F112" s="104" t="s">
        <v>351</v>
      </c>
      <c r="G112" s="106">
        <v>3</v>
      </c>
      <c r="H112" s="107" t="s">
        <v>149</v>
      </c>
    </row>
    <row r="113" spans="1:8" ht="19.8" customHeight="1" x14ac:dyDescent="0.3">
      <c r="A113" s="112">
        <v>45989</v>
      </c>
      <c r="B113" s="104" t="s">
        <v>41</v>
      </c>
      <c r="C113" s="105" t="s">
        <v>1037</v>
      </c>
      <c r="D113" s="104" t="s">
        <v>1016</v>
      </c>
      <c r="E113" s="113">
        <v>1.8888888888888891</v>
      </c>
      <c r="F113" s="104" t="s">
        <v>337</v>
      </c>
      <c r="G113" s="106">
        <v>8</v>
      </c>
      <c r="H113" s="107" t="s">
        <v>123</v>
      </c>
    </row>
    <row r="114" spans="1:8" ht="19.8" customHeight="1" x14ac:dyDescent="0.3">
      <c r="A114" s="112">
        <v>45989</v>
      </c>
      <c r="B114" s="104" t="s">
        <v>41</v>
      </c>
      <c r="C114" s="105" t="s">
        <v>1040</v>
      </c>
      <c r="D114" s="104" t="s">
        <v>1016</v>
      </c>
      <c r="E114" s="113">
        <v>1.944444444444444</v>
      </c>
      <c r="F114" s="104" t="s">
        <v>337</v>
      </c>
      <c r="G114" s="106">
        <v>5</v>
      </c>
      <c r="H114" s="107" t="s">
        <v>123</v>
      </c>
    </row>
    <row r="115" spans="1:8" ht="19.8" customHeight="1" x14ac:dyDescent="0.3">
      <c r="A115" s="112">
        <v>45989</v>
      </c>
      <c r="B115" s="104" t="s">
        <v>26</v>
      </c>
      <c r="C115" s="105" t="s">
        <v>1017</v>
      </c>
      <c r="D115" s="104" t="s">
        <v>1016</v>
      </c>
      <c r="E115" s="113">
        <v>1.958333333333333</v>
      </c>
      <c r="F115" s="104" t="s">
        <v>351</v>
      </c>
      <c r="G115" s="106">
        <v>9</v>
      </c>
      <c r="H115" s="107" t="s">
        <v>150</v>
      </c>
    </row>
    <row r="116" spans="1:8" ht="19.8" customHeight="1" x14ac:dyDescent="0.3">
      <c r="A116" s="112">
        <v>45989</v>
      </c>
      <c r="B116" s="104" t="s">
        <v>26</v>
      </c>
      <c r="C116" s="105" t="s">
        <v>1023</v>
      </c>
      <c r="D116" s="104" t="s">
        <v>1016</v>
      </c>
      <c r="E116" s="113">
        <v>1.5590277777777779</v>
      </c>
      <c r="F116" s="104" t="s">
        <v>351</v>
      </c>
      <c r="G116" s="106">
        <v>9</v>
      </c>
      <c r="H116" s="107" t="s">
        <v>150</v>
      </c>
    </row>
    <row r="117" spans="1:8" ht="19.8" customHeight="1" x14ac:dyDescent="0.3">
      <c r="A117" s="112">
        <v>45989</v>
      </c>
      <c r="B117" s="104" t="s">
        <v>26</v>
      </c>
      <c r="C117" s="105" t="s">
        <v>1024</v>
      </c>
      <c r="D117" s="104" t="s">
        <v>1016</v>
      </c>
      <c r="E117" s="113">
        <v>1.819444444444444</v>
      </c>
      <c r="F117" s="104" t="s">
        <v>351</v>
      </c>
      <c r="G117" s="106">
        <v>9</v>
      </c>
      <c r="H117" s="107" t="s">
        <v>150</v>
      </c>
    </row>
    <row r="118" spans="1:8" ht="19.8" customHeight="1" x14ac:dyDescent="0.3">
      <c r="A118" s="114">
        <v>45989</v>
      </c>
      <c r="B118" s="115" t="s">
        <v>26</v>
      </c>
      <c r="C118" s="116" t="s">
        <v>1029</v>
      </c>
      <c r="D118" s="115" t="s">
        <v>1016</v>
      </c>
      <c r="E118" s="117">
        <v>1.506944444444444</v>
      </c>
      <c r="F118" s="115" t="s">
        <v>351</v>
      </c>
      <c r="G118" s="118">
        <v>9</v>
      </c>
      <c r="H118" s="119" t="s">
        <v>150</v>
      </c>
    </row>
    <row r="119" spans="1:8" ht="19.8" customHeight="1" x14ac:dyDescent="0.3">
      <c r="A119" s="112">
        <v>45990</v>
      </c>
      <c r="B119" s="104" t="s">
        <v>26</v>
      </c>
      <c r="C119" s="105" t="s">
        <v>1214</v>
      </c>
      <c r="D119" s="104" t="s">
        <v>1213</v>
      </c>
      <c r="E119" s="113">
        <v>1.3611111111111109</v>
      </c>
      <c r="F119" s="104" t="s">
        <v>1215</v>
      </c>
      <c r="G119" s="106">
        <v>8</v>
      </c>
      <c r="H119" s="107" t="s">
        <v>1242</v>
      </c>
    </row>
    <row r="120" spans="1:8" ht="19.8" customHeight="1" x14ac:dyDescent="0.3">
      <c r="A120" s="112">
        <v>45990</v>
      </c>
      <c r="B120" s="104" t="s">
        <v>26</v>
      </c>
      <c r="C120" s="105" t="s">
        <v>1214</v>
      </c>
      <c r="D120" s="104" t="s">
        <v>1213</v>
      </c>
      <c r="E120" s="113">
        <v>1.3611111111111109</v>
      </c>
      <c r="F120" s="104" t="s">
        <v>31</v>
      </c>
      <c r="G120" s="106">
        <v>8</v>
      </c>
      <c r="H120" s="107" t="s">
        <v>1243</v>
      </c>
    </row>
    <row r="121" spans="1:8" ht="19.8" customHeight="1" x14ac:dyDescent="0.3">
      <c r="A121" s="112">
        <v>45990</v>
      </c>
      <c r="B121" s="104" t="s">
        <v>26</v>
      </c>
      <c r="C121" s="105" t="s">
        <v>1214</v>
      </c>
      <c r="D121" s="104" t="s">
        <v>1213</v>
      </c>
      <c r="E121" s="113">
        <v>1.3611111111111109</v>
      </c>
      <c r="F121" s="104" t="s">
        <v>34</v>
      </c>
      <c r="G121" s="106">
        <v>8</v>
      </c>
      <c r="H121" s="107" t="s">
        <v>1244</v>
      </c>
    </row>
    <row r="122" spans="1:8" ht="19.8" customHeight="1" x14ac:dyDescent="0.3">
      <c r="A122" s="175"/>
      <c r="B122" s="176"/>
      <c r="C122" s="176"/>
      <c r="D122" s="176"/>
      <c r="E122" s="176"/>
      <c r="F122" s="177" t="s">
        <v>1263</v>
      </c>
      <c r="G122" s="176"/>
      <c r="H122" s="178"/>
    </row>
    <row r="123" spans="1:8" ht="19.8" customHeight="1" x14ac:dyDescent="0.3">
      <c r="A123" s="112">
        <v>45990</v>
      </c>
      <c r="B123" s="104" t="s">
        <v>458</v>
      </c>
      <c r="C123" s="105" t="s">
        <v>1048</v>
      </c>
      <c r="D123" s="104" t="s">
        <v>1016</v>
      </c>
      <c r="E123" s="113">
        <v>1.086805555555556</v>
      </c>
      <c r="F123" s="104" t="s">
        <v>101</v>
      </c>
      <c r="G123" s="106">
        <v>9</v>
      </c>
      <c r="H123" s="107" t="s">
        <v>1158</v>
      </c>
    </row>
    <row r="124" spans="1:8" ht="19.8" customHeight="1" x14ac:dyDescent="0.3">
      <c r="A124" s="112">
        <v>45990</v>
      </c>
      <c r="B124" s="104" t="s">
        <v>41</v>
      </c>
      <c r="C124" s="105" t="s">
        <v>1030</v>
      </c>
      <c r="D124" s="104" t="s">
        <v>1016</v>
      </c>
      <c r="E124" s="113">
        <v>1.5763888888888891</v>
      </c>
      <c r="F124" s="104" t="s">
        <v>43</v>
      </c>
      <c r="G124" s="106">
        <v>9</v>
      </c>
      <c r="H124" s="107" t="s">
        <v>457</v>
      </c>
    </row>
    <row r="125" spans="1:8" ht="19.8" customHeight="1" x14ac:dyDescent="0.3">
      <c r="A125" s="112">
        <v>45990</v>
      </c>
      <c r="B125" s="104" t="s">
        <v>41</v>
      </c>
      <c r="C125" s="105" t="s">
        <v>1034</v>
      </c>
      <c r="D125" s="104" t="s">
        <v>1016</v>
      </c>
      <c r="E125" s="113">
        <v>1.6284722222222221</v>
      </c>
      <c r="F125" s="104" t="s">
        <v>43</v>
      </c>
      <c r="G125" s="106">
        <v>4</v>
      </c>
      <c r="H125" s="107" t="s">
        <v>457</v>
      </c>
    </row>
    <row r="126" spans="1:8" ht="19.8" customHeight="1" x14ac:dyDescent="0.3">
      <c r="A126" s="112">
        <v>45990</v>
      </c>
      <c r="B126" s="104" t="s">
        <v>41</v>
      </c>
      <c r="C126" s="105" t="s">
        <v>1040</v>
      </c>
      <c r="D126" s="104" t="s">
        <v>1016</v>
      </c>
      <c r="E126" s="113">
        <v>1.944444444444444</v>
      </c>
      <c r="F126" s="104" t="s">
        <v>43</v>
      </c>
      <c r="G126" s="106">
        <v>3</v>
      </c>
      <c r="H126" s="107" t="s">
        <v>457</v>
      </c>
    </row>
    <row r="127" spans="1:8" ht="19.8" customHeight="1" x14ac:dyDescent="0.3">
      <c r="A127" s="112">
        <v>45990</v>
      </c>
      <c r="B127" s="104" t="s">
        <v>388</v>
      </c>
      <c r="C127" s="105" t="s">
        <v>1056</v>
      </c>
      <c r="D127" s="104" t="s">
        <v>1016</v>
      </c>
      <c r="E127" s="113">
        <v>1.4375</v>
      </c>
      <c r="F127" s="104" t="s">
        <v>390</v>
      </c>
      <c r="G127" s="106">
        <v>9</v>
      </c>
      <c r="H127" s="107" t="s">
        <v>1160</v>
      </c>
    </row>
    <row r="128" spans="1:8" ht="19.8" customHeight="1" x14ac:dyDescent="0.3">
      <c r="A128" s="112">
        <v>45990</v>
      </c>
      <c r="B128" s="104" t="s">
        <v>385</v>
      </c>
      <c r="C128" s="105" t="s">
        <v>1043</v>
      </c>
      <c r="D128" s="104" t="s">
        <v>1016</v>
      </c>
      <c r="E128" s="113">
        <v>1.1701388888888891</v>
      </c>
      <c r="F128" s="104" t="s">
        <v>101</v>
      </c>
      <c r="G128" s="106">
        <v>8</v>
      </c>
      <c r="H128" s="107" t="s">
        <v>1149</v>
      </c>
    </row>
    <row r="129" spans="1:8" ht="19.8" customHeight="1" x14ac:dyDescent="0.3">
      <c r="A129" s="112">
        <v>45990</v>
      </c>
      <c r="B129" s="104" t="s">
        <v>385</v>
      </c>
      <c r="C129" s="105" t="s">
        <v>1162</v>
      </c>
      <c r="D129" s="104" t="s">
        <v>1016</v>
      </c>
      <c r="E129" s="113">
        <v>1.024305555555556</v>
      </c>
      <c r="F129" s="104" t="s">
        <v>101</v>
      </c>
      <c r="G129" s="106">
        <v>2</v>
      </c>
      <c r="H129" s="107" t="s">
        <v>1149</v>
      </c>
    </row>
    <row r="130" spans="1:8" ht="19.8" customHeight="1" x14ac:dyDescent="0.3">
      <c r="A130" s="112">
        <v>45990</v>
      </c>
      <c r="B130" s="104" t="s">
        <v>26</v>
      </c>
      <c r="C130" s="105" t="s">
        <v>1026</v>
      </c>
      <c r="D130" s="104" t="s">
        <v>1016</v>
      </c>
      <c r="E130" s="113">
        <v>1.4375</v>
      </c>
      <c r="F130" s="104" t="s">
        <v>28</v>
      </c>
      <c r="G130" s="106">
        <v>7</v>
      </c>
      <c r="H130" s="107" t="s">
        <v>532</v>
      </c>
    </row>
    <row r="131" spans="1:8" ht="19.8" customHeight="1" x14ac:dyDescent="0.3">
      <c r="A131" s="112">
        <v>45990</v>
      </c>
      <c r="B131" s="104" t="s">
        <v>458</v>
      </c>
      <c r="C131" s="105" t="s">
        <v>1050</v>
      </c>
      <c r="D131" s="104" t="s">
        <v>1016</v>
      </c>
      <c r="E131" s="113">
        <v>1.6840277777777779</v>
      </c>
      <c r="F131" s="104" t="s">
        <v>101</v>
      </c>
      <c r="G131" s="106">
        <v>5</v>
      </c>
      <c r="H131" s="107" t="s">
        <v>1159</v>
      </c>
    </row>
    <row r="132" spans="1:8" ht="19.8" customHeight="1" x14ac:dyDescent="0.3">
      <c r="A132" s="114">
        <v>45990</v>
      </c>
      <c r="B132" s="115" t="s">
        <v>41</v>
      </c>
      <c r="C132" s="116" t="s">
        <v>1037</v>
      </c>
      <c r="D132" s="115" t="s">
        <v>1016</v>
      </c>
      <c r="E132" s="117">
        <v>1.8888888888888891</v>
      </c>
      <c r="F132" s="115" t="s">
        <v>43</v>
      </c>
      <c r="G132" s="118">
        <v>13</v>
      </c>
      <c r="H132" s="119" t="s">
        <v>479</v>
      </c>
    </row>
    <row r="133" spans="1:8" ht="19.8" customHeight="1" x14ac:dyDescent="0.3">
      <c r="A133" s="120">
        <v>45991</v>
      </c>
      <c r="B133" s="121" t="s">
        <v>77</v>
      </c>
      <c r="C133" s="122" t="s">
        <v>1226</v>
      </c>
      <c r="D133" s="121" t="s">
        <v>1213</v>
      </c>
      <c r="E133" s="123">
        <v>1.427083333333333</v>
      </c>
      <c r="F133" s="121" t="s">
        <v>101</v>
      </c>
      <c r="G133" s="124">
        <v>9</v>
      </c>
      <c r="H133" s="125" t="s">
        <v>1150</v>
      </c>
    </row>
    <row r="134" spans="1:8" ht="19.8" customHeight="1" x14ac:dyDescent="0.3">
      <c r="A134" s="112">
        <v>45991</v>
      </c>
      <c r="B134" s="104" t="s">
        <v>48</v>
      </c>
      <c r="C134" s="105" t="s">
        <v>1230</v>
      </c>
      <c r="D134" s="104" t="s">
        <v>1213</v>
      </c>
      <c r="E134" s="113">
        <v>1.427083333333333</v>
      </c>
      <c r="F134" s="104" t="s">
        <v>50</v>
      </c>
      <c r="G134" s="106">
        <v>4</v>
      </c>
      <c r="H134" s="107" t="s">
        <v>1249</v>
      </c>
    </row>
    <row r="135" spans="1:8" ht="19.8" customHeight="1" x14ac:dyDescent="0.3">
      <c r="A135" s="175"/>
      <c r="B135" s="176"/>
      <c r="C135" s="176"/>
      <c r="D135" s="176"/>
      <c r="E135" s="176"/>
      <c r="F135" s="177" t="s">
        <v>1263</v>
      </c>
      <c r="G135" s="176"/>
      <c r="H135" s="178"/>
    </row>
    <row r="136" spans="1:8" ht="19.8" customHeight="1" x14ac:dyDescent="0.3">
      <c r="A136" s="112">
        <v>45991</v>
      </c>
      <c r="B136" s="104" t="s">
        <v>26</v>
      </c>
      <c r="C136" s="105" t="s">
        <v>1026</v>
      </c>
      <c r="D136" s="104" t="s">
        <v>1016</v>
      </c>
      <c r="E136" s="113">
        <v>1.4375</v>
      </c>
      <c r="F136" s="104" t="s">
        <v>28</v>
      </c>
      <c r="G136" s="106">
        <v>4</v>
      </c>
      <c r="H136" s="107" t="s">
        <v>810</v>
      </c>
    </row>
    <row r="137" spans="1:8" ht="19.8" customHeight="1" x14ac:dyDescent="0.3">
      <c r="A137" s="112">
        <v>45991</v>
      </c>
      <c r="B137" s="104" t="s">
        <v>41</v>
      </c>
      <c r="C137" s="105" t="s">
        <v>1037</v>
      </c>
      <c r="D137" s="104" t="s">
        <v>1016</v>
      </c>
      <c r="E137" s="113">
        <v>1.8888888888888891</v>
      </c>
      <c r="F137" s="104" t="s">
        <v>43</v>
      </c>
      <c r="G137" s="106">
        <v>2</v>
      </c>
      <c r="H137" s="107" t="s">
        <v>33</v>
      </c>
    </row>
    <row r="138" spans="1:8" ht="19.8" customHeight="1" x14ac:dyDescent="0.3">
      <c r="A138" s="112">
        <v>45991</v>
      </c>
      <c r="B138" s="104" t="s">
        <v>26</v>
      </c>
      <c r="C138" s="105" t="s">
        <v>1026</v>
      </c>
      <c r="D138" s="104" t="s">
        <v>1016</v>
      </c>
      <c r="E138" s="113">
        <v>1.4375</v>
      </c>
      <c r="F138" s="104" t="s">
        <v>31</v>
      </c>
      <c r="G138" s="106">
        <v>4</v>
      </c>
      <c r="H138" s="107" t="s">
        <v>1097</v>
      </c>
    </row>
    <row r="139" spans="1:8" ht="19.8" customHeight="1" x14ac:dyDescent="0.3">
      <c r="A139" s="112">
        <v>45991</v>
      </c>
      <c r="B139" s="104" t="s">
        <v>77</v>
      </c>
      <c r="C139" s="105" t="s">
        <v>1052</v>
      </c>
      <c r="D139" s="104" t="s">
        <v>1016</v>
      </c>
      <c r="E139" s="113">
        <v>1.427083333333333</v>
      </c>
      <c r="F139" s="104" t="s">
        <v>101</v>
      </c>
      <c r="G139" s="106">
        <v>4</v>
      </c>
      <c r="H139" s="107" t="s">
        <v>1171</v>
      </c>
    </row>
    <row r="140" spans="1:8" ht="19.8" customHeight="1" x14ac:dyDescent="0.3">
      <c r="A140" s="112">
        <v>45991</v>
      </c>
      <c r="B140" s="104" t="s">
        <v>41</v>
      </c>
      <c r="C140" s="105" t="s">
        <v>1034</v>
      </c>
      <c r="D140" s="104" t="s">
        <v>1016</v>
      </c>
      <c r="E140" s="113">
        <v>1.6284722222222221</v>
      </c>
      <c r="F140" s="104" t="s">
        <v>43</v>
      </c>
      <c r="G140" s="106">
        <v>12</v>
      </c>
      <c r="H140" s="107" t="s">
        <v>143</v>
      </c>
    </row>
    <row r="141" spans="1:8" ht="19.8" customHeight="1" x14ac:dyDescent="0.3">
      <c r="A141" s="112">
        <v>45991</v>
      </c>
      <c r="B141" s="104" t="s">
        <v>26</v>
      </c>
      <c r="C141" s="105" t="s">
        <v>1017</v>
      </c>
      <c r="D141" s="104" t="s">
        <v>1016</v>
      </c>
      <c r="E141" s="113">
        <v>1.958333333333333</v>
      </c>
      <c r="F141" s="104" t="s">
        <v>28</v>
      </c>
      <c r="G141" s="106">
        <v>2</v>
      </c>
      <c r="H141" s="107" t="s">
        <v>143</v>
      </c>
    </row>
    <row r="142" spans="1:8" ht="19.8" customHeight="1" x14ac:dyDescent="0.3">
      <c r="A142" s="112">
        <v>45991</v>
      </c>
      <c r="B142" s="104" t="s">
        <v>26</v>
      </c>
      <c r="C142" s="105" t="s">
        <v>1021</v>
      </c>
      <c r="D142" s="104" t="s">
        <v>1016</v>
      </c>
      <c r="E142" s="113">
        <v>1.631944444444444</v>
      </c>
      <c r="F142" s="104" t="s">
        <v>28</v>
      </c>
      <c r="G142" s="106">
        <v>9</v>
      </c>
      <c r="H142" s="107" t="s">
        <v>143</v>
      </c>
    </row>
    <row r="143" spans="1:8" ht="19.8" customHeight="1" x14ac:dyDescent="0.3">
      <c r="A143" s="112">
        <v>45991</v>
      </c>
      <c r="B143" s="104" t="s">
        <v>26</v>
      </c>
      <c r="C143" s="105" t="s">
        <v>1023</v>
      </c>
      <c r="D143" s="104" t="s">
        <v>1016</v>
      </c>
      <c r="E143" s="113">
        <v>1.5590277777777779</v>
      </c>
      <c r="F143" s="104" t="s">
        <v>28</v>
      </c>
      <c r="G143" s="106">
        <v>7</v>
      </c>
      <c r="H143" s="107" t="s">
        <v>143</v>
      </c>
    </row>
    <row r="144" spans="1:8" ht="19.8" customHeight="1" x14ac:dyDescent="0.3">
      <c r="A144" s="112">
        <v>45991</v>
      </c>
      <c r="B144" s="104" t="s">
        <v>26</v>
      </c>
      <c r="C144" s="105" t="s">
        <v>1025</v>
      </c>
      <c r="D144" s="104" t="s">
        <v>1016</v>
      </c>
      <c r="E144" s="113">
        <v>1.697916666666667</v>
      </c>
      <c r="F144" s="104" t="s">
        <v>28</v>
      </c>
      <c r="G144" s="106">
        <v>5</v>
      </c>
      <c r="H144" s="107" t="s">
        <v>143</v>
      </c>
    </row>
    <row r="145" spans="1:8" ht="19.8" customHeight="1" x14ac:dyDescent="0.3">
      <c r="A145" s="114">
        <v>45991</v>
      </c>
      <c r="B145" s="115" t="s">
        <v>458</v>
      </c>
      <c r="C145" s="116" t="s">
        <v>1111</v>
      </c>
      <c r="D145" s="115" t="s">
        <v>1016</v>
      </c>
      <c r="E145" s="117">
        <v>1.399305555555556</v>
      </c>
      <c r="F145" s="115" t="s">
        <v>101</v>
      </c>
      <c r="G145" s="118">
        <v>7</v>
      </c>
      <c r="H145" s="119" t="s">
        <v>1174</v>
      </c>
    </row>
  </sheetData>
  <pageMargins left="0.75" right="0.75" top="1" bottom="1" header="0.5" footer="0.5"/>
  <legacyDrawing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N205"/>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86.33203125" bestFit="1" customWidth="1"/>
  </cols>
  <sheetData>
    <row r="1" spans="1:92" ht="28.8" customHeight="1" x14ac:dyDescent="0.3">
      <c r="A1" s="303" t="s">
        <v>0</v>
      </c>
      <c r="B1" s="302"/>
      <c r="C1" s="302"/>
      <c r="D1" s="302"/>
      <c r="E1" s="302"/>
      <c r="F1" s="1" t="s">
        <v>1264</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45980.583779909321</v>
      </c>
      <c r="H2" s="302"/>
      <c r="I2" s="302"/>
      <c r="J2" s="302"/>
      <c r="K2" s="311">
        <v>45980.583779909699</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41</v>
      </c>
      <c r="B6" s="8" t="s">
        <v>1265</v>
      </c>
      <c r="C6" s="9">
        <v>0.44791666666666669</v>
      </c>
      <c r="D6" s="8" t="s">
        <v>43</v>
      </c>
      <c r="E6" s="8" t="s">
        <v>430</v>
      </c>
      <c r="F6" s="8" t="s">
        <v>909</v>
      </c>
      <c r="G6" s="304"/>
      <c r="H6" s="10"/>
      <c r="I6" s="11"/>
      <c r="J6" s="11"/>
      <c r="K6" s="11"/>
      <c r="L6" s="11"/>
      <c r="M6" s="11"/>
      <c r="N6" s="11"/>
      <c r="O6" s="12"/>
      <c r="P6" s="11"/>
      <c r="Q6" s="13"/>
      <c r="R6" s="14"/>
    </row>
    <row r="7" spans="1:92" ht="15" customHeight="1" x14ac:dyDescent="0.3">
      <c r="A7" s="15" t="s">
        <v>41</v>
      </c>
      <c r="B7" s="15" t="s">
        <v>1265</v>
      </c>
      <c r="C7" s="16">
        <v>0.44791666666666669</v>
      </c>
      <c r="D7" s="15" t="s">
        <v>45</v>
      </c>
      <c r="E7" s="15" t="s">
        <v>349</v>
      </c>
      <c r="F7" s="15" t="s">
        <v>431</v>
      </c>
      <c r="G7" s="298"/>
      <c r="H7" s="10"/>
      <c r="I7" s="11"/>
      <c r="J7" s="11"/>
      <c r="K7" s="11"/>
      <c r="L7" s="11"/>
      <c r="M7" s="11"/>
      <c r="N7" s="11"/>
      <c r="O7" s="12"/>
      <c r="P7" s="11"/>
      <c r="Q7" s="13"/>
      <c r="R7" s="14"/>
    </row>
    <row r="8" spans="1:92" ht="15" customHeight="1" x14ac:dyDescent="0.3">
      <c r="A8" s="15" t="s">
        <v>41</v>
      </c>
      <c r="B8" s="15" t="s">
        <v>1265</v>
      </c>
      <c r="C8" s="16">
        <v>0.44791666666666669</v>
      </c>
      <c r="D8" s="15" t="s">
        <v>46</v>
      </c>
      <c r="E8" s="15" t="s">
        <v>349</v>
      </c>
      <c r="F8" s="15" t="s">
        <v>146</v>
      </c>
      <c r="G8" s="298"/>
      <c r="H8" s="10"/>
      <c r="I8" s="11"/>
      <c r="J8" s="11"/>
      <c r="K8" s="11"/>
      <c r="L8" s="11"/>
      <c r="M8" s="11"/>
      <c r="N8" s="11"/>
      <c r="O8" s="12"/>
      <c r="P8" s="11"/>
      <c r="Q8" s="13"/>
      <c r="R8" s="14"/>
    </row>
    <row r="9" spans="1:92" ht="15" customHeight="1" x14ac:dyDescent="0.3">
      <c r="A9" s="19" t="s">
        <v>26</v>
      </c>
      <c r="B9" s="19" t="s">
        <v>1266</v>
      </c>
      <c r="C9" s="20">
        <v>0.33680555555555558</v>
      </c>
      <c r="D9" s="19" t="s">
        <v>28</v>
      </c>
      <c r="E9" s="19" t="s">
        <v>138</v>
      </c>
      <c r="F9" s="19" t="s">
        <v>1128</v>
      </c>
      <c r="G9" s="298"/>
      <c r="H9" s="10"/>
      <c r="I9" s="11"/>
      <c r="J9" s="11"/>
      <c r="K9" s="11"/>
      <c r="L9" s="11"/>
      <c r="M9" s="11"/>
      <c r="N9" s="11"/>
      <c r="O9" s="12"/>
      <c r="P9" s="11"/>
      <c r="Q9" s="13"/>
      <c r="R9" s="14"/>
    </row>
    <row r="10" spans="1:92" ht="15" customHeight="1" x14ac:dyDescent="0.3">
      <c r="A10" s="15" t="s">
        <v>26</v>
      </c>
      <c r="B10" s="15" t="s">
        <v>1266</v>
      </c>
      <c r="C10" s="16">
        <v>0.33680555555555558</v>
      </c>
      <c r="D10" s="15" t="s">
        <v>31</v>
      </c>
      <c r="E10" s="15" t="s">
        <v>38</v>
      </c>
      <c r="F10" s="15" t="s">
        <v>93</v>
      </c>
      <c r="G10" s="298"/>
      <c r="H10" s="10"/>
      <c r="I10" s="11"/>
      <c r="J10" s="11"/>
      <c r="K10" s="11"/>
      <c r="L10" s="11"/>
      <c r="M10" s="11"/>
      <c r="N10" s="11"/>
      <c r="O10" s="12"/>
      <c r="P10" s="11"/>
      <c r="Q10" s="13"/>
      <c r="R10" s="14"/>
    </row>
    <row r="11" spans="1:92" ht="15" customHeight="1" x14ac:dyDescent="0.3">
      <c r="A11" s="15" t="s">
        <v>26</v>
      </c>
      <c r="B11" s="15" t="s">
        <v>1266</v>
      </c>
      <c r="C11" s="16">
        <v>0.33680555555555558</v>
      </c>
      <c r="D11" s="15" t="s">
        <v>34</v>
      </c>
      <c r="E11" s="15" t="s">
        <v>38</v>
      </c>
      <c r="F11" s="15" t="s">
        <v>1267</v>
      </c>
      <c r="G11" s="298"/>
      <c r="H11" s="10"/>
      <c r="I11" s="11"/>
      <c r="J11" s="11"/>
      <c r="K11" s="11"/>
      <c r="L11" s="11"/>
      <c r="M11" s="11"/>
      <c r="N11" s="11"/>
      <c r="O11" s="12"/>
      <c r="P11" s="11"/>
      <c r="Q11" s="13"/>
      <c r="R11" s="14"/>
    </row>
    <row r="12" spans="1:92" ht="15" customHeight="1" x14ac:dyDescent="0.3">
      <c r="A12" s="17" t="s">
        <v>26</v>
      </c>
      <c r="B12" s="17" t="s">
        <v>1268</v>
      </c>
      <c r="C12" s="18">
        <v>0.97222222222222221</v>
      </c>
      <c r="D12" s="17" t="s">
        <v>28</v>
      </c>
      <c r="E12" s="17" t="s">
        <v>121</v>
      </c>
      <c r="F12" s="17" t="s">
        <v>1269</v>
      </c>
      <c r="G12" s="298"/>
      <c r="H12" s="10"/>
      <c r="I12" s="11"/>
      <c r="J12" s="11"/>
      <c r="K12" s="11"/>
      <c r="L12" s="11"/>
      <c r="M12" s="11"/>
      <c r="N12" s="11"/>
      <c r="O12" s="12"/>
      <c r="P12" s="11"/>
      <c r="Q12" s="13"/>
      <c r="R12" s="14"/>
    </row>
    <row r="13" spans="1:92" ht="15" customHeight="1" x14ac:dyDescent="0.3">
      <c r="A13" s="15" t="s">
        <v>26</v>
      </c>
      <c r="B13" s="15" t="s">
        <v>1268</v>
      </c>
      <c r="C13" s="16">
        <v>0.97222222222222221</v>
      </c>
      <c r="D13" s="15" t="s">
        <v>351</v>
      </c>
      <c r="E13" s="15" t="s">
        <v>32</v>
      </c>
      <c r="F13" s="15" t="s">
        <v>1269</v>
      </c>
      <c r="G13" s="298"/>
      <c r="H13" s="10"/>
      <c r="I13" s="11"/>
      <c r="J13" s="11"/>
      <c r="K13" s="11"/>
      <c r="L13" s="11"/>
      <c r="M13" s="11"/>
      <c r="N13" s="11"/>
      <c r="O13" s="12"/>
      <c r="P13" s="11"/>
      <c r="Q13" s="13"/>
      <c r="R13" s="14"/>
    </row>
    <row r="14" spans="1:92" ht="15" customHeight="1" x14ac:dyDescent="0.3">
      <c r="A14" s="15" t="s">
        <v>26</v>
      </c>
      <c r="B14" s="15" t="s">
        <v>1268</v>
      </c>
      <c r="C14" s="16">
        <v>0.97222222222222221</v>
      </c>
      <c r="D14" s="15" t="s">
        <v>31</v>
      </c>
      <c r="E14" s="15" t="s">
        <v>32</v>
      </c>
      <c r="F14" s="15" t="s">
        <v>810</v>
      </c>
      <c r="G14" s="298"/>
      <c r="H14" s="10"/>
      <c r="I14" s="11"/>
      <c r="J14" s="11"/>
      <c r="K14" s="11"/>
      <c r="L14" s="11"/>
      <c r="M14" s="11"/>
      <c r="N14" s="11"/>
      <c r="O14" s="12"/>
      <c r="P14" s="11"/>
      <c r="Q14" s="13"/>
      <c r="R14" s="14"/>
    </row>
    <row r="15" spans="1:92" ht="15" customHeight="1" x14ac:dyDescent="0.3">
      <c r="A15" s="15" t="s">
        <v>26</v>
      </c>
      <c r="B15" s="15" t="s">
        <v>1268</v>
      </c>
      <c r="C15" s="16">
        <v>0.97222222222222221</v>
      </c>
      <c r="D15" s="15" t="s">
        <v>34</v>
      </c>
      <c r="E15" s="15" t="s">
        <v>32</v>
      </c>
      <c r="F15" s="15" t="s">
        <v>153</v>
      </c>
      <c r="G15" s="298"/>
      <c r="H15" s="10"/>
      <c r="I15" s="11"/>
      <c r="J15" s="11"/>
      <c r="K15" s="11"/>
      <c r="L15" s="11"/>
      <c r="M15" s="11"/>
      <c r="N15" s="11"/>
      <c r="O15" s="12"/>
      <c r="P15" s="11"/>
      <c r="Q15" s="13"/>
      <c r="R15" s="14"/>
    </row>
    <row r="16" spans="1:92" ht="15" customHeight="1" x14ac:dyDescent="0.3">
      <c r="A16" s="19" t="s">
        <v>458</v>
      </c>
      <c r="B16" s="19" t="s">
        <v>1270</v>
      </c>
      <c r="C16" s="20">
        <v>7.6388888888888895E-2</v>
      </c>
      <c r="D16" s="19" t="s">
        <v>101</v>
      </c>
      <c r="E16" s="19" t="s">
        <v>63</v>
      </c>
      <c r="F16" s="19" t="s">
        <v>1271</v>
      </c>
      <c r="G16" s="298"/>
      <c r="H16" s="10"/>
      <c r="I16" s="11"/>
      <c r="J16" s="11"/>
      <c r="K16" s="11"/>
      <c r="L16" s="11"/>
      <c r="M16" s="11"/>
      <c r="N16" s="11"/>
      <c r="O16" s="12"/>
      <c r="P16" s="11"/>
      <c r="Q16" s="13"/>
      <c r="R16" s="14"/>
    </row>
    <row r="17" spans="1:18" ht="15" customHeight="1" x14ac:dyDescent="0.3">
      <c r="A17" s="17" t="s">
        <v>458</v>
      </c>
      <c r="B17" s="17" t="s">
        <v>1272</v>
      </c>
      <c r="C17" s="18">
        <v>0.68055555555555547</v>
      </c>
      <c r="D17" s="17" t="s">
        <v>101</v>
      </c>
      <c r="E17" s="17" t="s">
        <v>144</v>
      </c>
      <c r="F17" s="17" t="s">
        <v>1271</v>
      </c>
      <c r="G17" s="298"/>
      <c r="H17" s="10"/>
      <c r="I17" s="11"/>
      <c r="J17" s="11"/>
      <c r="K17" s="11"/>
      <c r="L17" s="11"/>
      <c r="M17" s="11"/>
      <c r="N17" s="11"/>
      <c r="O17" s="12"/>
      <c r="P17" s="11"/>
      <c r="Q17" s="13"/>
      <c r="R17" s="14"/>
    </row>
    <row r="18" spans="1:18" ht="15" customHeight="1" x14ac:dyDescent="0.3">
      <c r="A18" s="19" t="s">
        <v>385</v>
      </c>
      <c r="B18" s="19" t="s">
        <v>1273</v>
      </c>
      <c r="C18" s="20">
        <v>0.3611111111111111</v>
      </c>
      <c r="D18" s="19" t="s">
        <v>101</v>
      </c>
      <c r="E18" s="19" t="s">
        <v>63</v>
      </c>
      <c r="F18" s="19" t="s">
        <v>1274</v>
      </c>
      <c r="G18" s="298"/>
      <c r="H18" s="10"/>
      <c r="I18" s="11"/>
      <c r="J18" s="11"/>
      <c r="K18" s="11"/>
      <c r="L18" s="11"/>
      <c r="M18" s="11"/>
      <c r="N18" s="11"/>
      <c r="O18" s="12"/>
      <c r="P18" s="11"/>
      <c r="Q18" s="13"/>
      <c r="R18" s="14"/>
    </row>
    <row r="19" spans="1:18" ht="15" customHeight="1" x14ac:dyDescent="0.3">
      <c r="A19" s="17" t="s">
        <v>385</v>
      </c>
      <c r="B19" s="17" t="s">
        <v>1275</v>
      </c>
      <c r="C19" s="18">
        <v>0.75694444444444453</v>
      </c>
      <c r="D19" s="17" t="s">
        <v>101</v>
      </c>
      <c r="E19" s="17" t="s">
        <v>54</v>
      </c>
      <c r="F19" s="17" t="s">
        <v>1276</v>
      </c>
      <c r="G19" s="298"/>
      <c r="H19" s="10"/>
      <c r="I19" s="11"/>
      <c r="J19" s="11"/>
      <c r="K19" s="11"/>
      <c r="L19" s="11"/>
      <c r="M19" s="11"/>
      <c r="N19" s="11"/>
      <c r="O19" s="12"/>
      <c r="P19" s="11"/>
      <c r="Q19" s="13"/>
      <c r="R19" s="14"/>
    </row>
    <row r="20" spans="1:18" ht="15" customHeight="1" x14ac:dyDescent="0.3">
      <c r="A20" s="19" t="s">
        <v>48</v>
      </c>
      <c r="B20" s="19" t="s">
        <v>1277</v>
      </c>
      <c r="C20" s="20">
        <v>0.33680555555555558</v>
      </c>
      <c r="D20" s="19" t="s">
        <v>50</v>
      </c>
      <c r="E20" s="19" t="s">
        <v>96</v>
      </c>
      <c r="F20" s="19" t="s">
        <v>1278</v>
      </c>
      <c r="G20" s="298"/>
      <c r="H20" s="10"/>
      <c r="I20" s="11"/>
      <c r="J20" s="11"/>
      <c r="K20" s="11"/>
      <c r="L20" s="11"/>
      <c r="M20" s="11"/>
      <c r="N20" s="11"/>
      <c r="O20" s="12"/>
      <c r="P20" s="11"/>
      <c r="Q20" s="13"/>
      <c r="R20" s="14"/>
    </row>
    <row r="21" spans="1:18" ht="15" customHeight="1" x14ac:dyDescent="0.3">
      <c r="A21" s="17" t="s">
        <v>48</v>
      </c>
      <c r="B21" s="17" t="s">
        <v>1279</v>
      </c>
      <c r="C21" s="18">
        <v>0.97916666666666663</v>
      </c>
      <c r="D21" s="17" t="s">
        <v>50</v>
      </c>
      <c r="E21" s="17" t="s">
        <v>54</v>
      </c>
      <c r="F21" s="17" t="s">
        <v>132</v>
      </c>
      <c r="G21" s="298"/>
      <c r="H21" s="10"/>
      <c r="I21" s="11"/>
      <c r="J21" s="11"/>
      <c r="K21" s="11"/>
      <c r="L21" s="11"/>
      <c r="M21" s="11"/>
      <c r="N21" s="11"/>
      <c r="O21" s="12"/>
      <c r="P21" s="11"/>
      <c r="Q21" s="13"/>
      <c r="R21" s="14"/>
    </row>
    <row r="22" spans="1:18" ht="15" customHeight="1" x14ac:dyDescent="0.3">
      <c r="A22" s="17" t="s">
        <v>48</v>
      </c>
      <c r="B22" s="17" t="s">
        <v>1280</v>
      </c>
      <c r="C22" s="18">
        <v>0.67708333333333337</v>
      </c>
      <c r="D22" s="17" t="s">
        <v>50</v>
      </c>
      <c r="E22" s="17" t="s">
        <v>54</v>
      </c>
      <c r="F22" s="17" t="s">
        <v>1281</v>
      </c>
      <c r="G22" s="298"/>
      <c r="H22" s="10"/>
      <c r="I22" s="11"/>
      <c r="J22" s="11"/>
      <c r="K22" s="11"/>
      <c r="L22" s="11"/>
      <c r="M22" s="11"/>
      <c r="N22" s="11"/>
      <c r="O22" s="12"/>
      <c r="P22" s="11"/>
      <c r="Q22" s="13"/>
      <c r="R22" s="14"/>
    </row>
    <row r="23" spans="1:18" ht="15" customHeight="1" x14ac:dyDescent="0.3">
      <c r="A23" s="204" t="s">
        <v>77</v>
      </c>
      <c r="B23" s="204" t="s">
        <v>1282</v>
      </c>
      <c r="C23" s="205">
        <v>0.72222222222222221</v>
      </c>
      <c r="D23" s="204" t="s">
        <v>101</v>
      </c>
      <c r="E23" s="204" t="s">
        <v>111</v>
      </c>
      <c r="F23" s="204" t="s">
        <v>153</v>
      </c>
      <c r="G23" s="298"/>
      <c r="H23" s="206" t="s">
        <v>1283</v>
      </c>
      <c r="I23" s="253">
        <v>0.47870000000000001</v>
      </c>
      <c r="J23" s="208">
        <v>90</v>
      </c>
      <c r="K23" s="209">
        <v>45980</v>
      </c>
      <c r="L23" s="208">
        <v>23</v>
      </c>
      <c r="M23" s="208">
        <v>1</v>
      </c>
      <c r="N23" s="208">
        <v>1</v>
      </c>
      <c r="O23" s="210" t="s">
        <v>568</v>
      </c>
      <c r="P23" s="211">
        <v>0.72222222222222221</v>
      </c>
      <c r="Q23" s="208">
        <v>188</v>
      </c>
      <c r="R23" s="212" t="s">
        <v>1284</v>
      </c>
    </row>
    <row r="24" spans="1:18" ht="15" customHeight="1" thickBot="1" x14ac:dyDescent="0.35">
      <c r="A24" s="231" t="s">
        <v>60</v>
      </c>
      <c r="B24" s="231" t="s">
        <v>1285</v>
      </c>
      <c r="C24" s="232">
        <v>0.44791666666666669</v>
      </c>
      <c r="D24" s="231" t="s">
        <v>65</v>
      </c>
      <c r="E24" s="231" t="s">
        <v>83</v>
      </c>
      <c r="F24" s="231" t="s">
        <v>1175</v>
      </c>
      <c r="G24" s="299"/>
      <c r="H24" s="41"/>
      <c r="I24" s="42"/>
      <c r="J24" s="42"/>
      <c r="K24" s="42"/>
      <c r="L24" s="42"/>
      <c r="M24" s="42"/>
      <c r="N24" s="42"/>
      <c r="O24" s="43"/>
      <c r="P24" s="42"/>
      <c r="Q24" s="44"/>
      <c r="R24" s="45"/>
    </row>
    <row r="25" spans="1:18" ht="17.399999999999999" customHeight="1" thickBot="1" x14ac:dyDescent="0.35">
      <c r="A25" s="329"/>
      <c r="B25" s="330"/>
      <c r="C25" s="330"/>
      <c r="D25" s="330"/>
      <c r="E25" s="330"/>
      <c r="F25" s="330"/>
      <c r="G25" s="330"/>
      <c r="H25" s="330"/>
      <c r="I25" s="330"/>
      <c r="J25" s="330"/>
      <c r="K25" s="330"/>
      <c r="L25" s="330"/>
      <c r="M25" s="330"/>
      <c r="N25" s="330"/>
      <c r="O25" s="330"/>
      <c r="P25" s="330"/>
      <c r="Q25" s="330"/>
      <c r="R25" s="331"/>
    </row>
    <row r="26" spans="1:18" ht="22.05" customHeight="1" thickTop="1" thickBot="1" x14ac:dyDescent="0.35">
      <c r="A26" s="300" t="s">
        <v>6</v>
      </c>
      <c r="B26" s="295"/>
      <c r="C26" s="295"/>
      <c r="D26" s="295"/>
      <c r="E26" s="295"/>
      <c r="F26" s="296"/>
      <c r="G26" s="31">
        <v>45982</v>
      </c>
      <c r="H26" s="294" t="s">
        <v>7</v>
      </c>
      <c r="I26" s="295"/>
      <c r="J26" s="295"/>
      <c r="K26" s="295"/>
      <c r="L26" s="295"/>
      <c r="M26" s="295"/>
      <c r="N26" s="295"/>
      <c r="O26" s="295"/>
      <c r="P26" s="295"/>
      <c r="Q26" s="295"/>
      <c r="R26" s="296"/>
    </row>
    <row r="27" spans="1:18" ht="24" customHeight="1" x14ac:dyDescent="0.3">
      <c r="A27" s="32" t="s">
        <v>8</v>
      </c>
      <c r="B27" s="32" t="s">
        <v>9</v>
      </c>
      <c r="C27" s="33" t="s">
        <v>10</v>
      </c>
      <c r="D27" s="32" t="s">
        <v>11</v>
      </c>
      <c r="E27" s="32" t="s">
        <v>12</v>
      </c>
      <c r="F27" s="34" t="s">
        <v>13</v>
      </c>
      <c r="G27" s="35" t="s">
        <v>14</v>
      </c>
      <c r="H27" s="32" t="s">
        <v>15</v>
      </c>
      <c r="I27" s="36" t="s">
        <v>16</v>
      </c>
      <c r="J27" s="37" t="s">
        <v>17</v>
      </c>
      <c r="K27" s="38" t="s">
        <v>18</v>
      </c>
      <c r="L27" s="37" t="s">
        <v>19</v>
      </c>
      <c r="M27" s="37" t="s">
        <v>20</v>
      </c>
      <c r="N27" s="37" t="s">
        <v>21</v>
      </c>
      <c r="O27" s="32" t="s">
        <v>22</v>
      </c>
      <c r="P27" s="33" t="s">
        <v>23</v>
      </c>
      <c r="Q27" s="37" t="s">
        <v>24</v>
      </c>
      <c r="R27" s="32" t="s">
        <v>25</v>
      </c>
    </row>
    <row r="28" spans="1:18" ht="15" customHeight="1" x14ac:dyDescent="0.3">
      <c r="A28" s="8" t="s">
        <v>458</v>
      </c>
      <c r="B28" s="8" t="s">
        <v>1286</v>
      </c>
      <c r="C28" s="9">
        <v>6.9444444444444441E-3</v>
      </c>
      <c r="D28" s="8" t="s">
        <v>101</v>
      </c>
      <c r="E28" s="8" t="s">
        <v>111</v>
      </c>
      <c r="F28" s="8" t="s">
        <v>1271</v>
      </c>
      <c r="G28" s="304"/>
      <c r="H28" s="10"/>
      <c r="I28" s="11"/>
      <c r="J28" s="11"/>
      <c r="K28" s="11"/>
      <c r="L28" s="11"/>
      <c r="M28" s="11"/>
      <c r="N28" s="11"/>
      <c r="O28" s="12"/>
      <c r="P28" s="11"/>
      <c r="Q28" s="13"/>
      <c r="R28" s="14"/>
    </row>
    <row r="29" spans="1:18" ht="15" customHeight="1" x14ac:dyDescent="0.3">
      <c r="A29" s="17" t="s">
        <v>458</v>
      </c>
      <c r="B29" s="17" t="s">
        <v>1272</v>
      </c>
      <c r="C29" s="18">
        <v>0.96527777777777779</v>
      </c>
      <c r="D29" s="17" t="s">
        <v>101</v>
      </c>
      <c r="E29" s="17" t="s">
        <v>75</v>
      </c>
      <c r="F29" s="17" t="s">
        <v>1124</v>
      </c>
      <c r="G29" s="298"/>
      <c r="H29" s="10"/>
      <c r="I29" s="11"/>
      <c r="J29" s="11"/>
      <c r="K29" s="11"/>
      <c r="L29" s="11"/>
      <c r="M29" s="11"/>
      <c r="N29" s="11"/>
      <c r="O29" s="12"/>
      <c r="P29" s="11"/>
      <c r="Q29" s="13"/>
      <c r="R29" s="14"/>
    </row>
    <row r="30" spans="1:18" ht="15" customHeight="1" x14ac:dyDescent="0.3">
      <c r="A30" s="19" t="s">
        <v>41</v>
      </c>
      <c r="B30" s="19" t="s">
        <v>1265</v>
      </c>
      <c r="C30" s="20">
        <v>0.44791666666666669</v>
      </c>
      <c r="D30" s="19" t="s">
        <v>43</v>
      </c>
      <c r="E30" s="19" t="s">
        <v>105</v>
      </c>
      <c r="F30" s="19" t="s">
        <v>779</v>
      </c>
      <c r="G30" s="298"/>
      <c r="H30" s="10"/>
      <c r="I30" s="11"/>
      <c r="J30" s="11"/>
      <c r="K30" s="11"/>
      <c r="L30" s="11"/>
      <c r="M30" s="11"/>
      <c r="N30" s="11"/>
      <c r="O30" s="12"/>
      <c r="P30" s="11"/>
      <c r="Q30" s="13"/>
      <c r="R30" s="14"/>
    </row>
    <row r="31" spans="1:18" ht="15" customHeight="1" x14ac:dyDescent="0.3">
      <c r="A31" s="15" t="s">
        <v>41</v>
      </c>
      <c r="B31" s="15" t="s">
        <v>1265</v>
      </c>
      <c r="C31" s="16">
        <v>0.44791666666666669</v>
      </c>
      <c r="D31" s="15" t="s">
        <v>45</v>
      </c>
      <c r="E31" s="15" t="s">
        <v>106</v>
      </c>
      <c r="F31" s="15" t="s">
        <v>1097</v>
      </c>
      <c r="G31" s="298"/>
      <c r="H31" s="10"/>
      <c r="I31" s="11"/>
      <c r="J31" s="11"/>
      <c r="K31" s="11"/>
      <c r="L31" s="11"/>
      <c r="M31" s="11"/>
      <c r="N31" s="11"/>
      <c r="O31" s="12"/>
      <c r="P31" s="11"/>
      <c r="Q31" s="13"/>
      <c r="R31" s="14"/>
    </row>
    <row r="32" spans="1:18" ht="15" customHeight="1" x14ac:dyDescent="0.3">
      <c r="A32" s="15" t="s">
        <v>41</v>
      </c>
      <c r="B32" s="15" t="s">
        <v>1265</v>
      </c>
      <c r="C32" s="16">
        <v>0.44791666666666669</v>
      </c>
      <c r="D32" s="15" t="s">
        <v>46</v>
      </c>
      <c r="E32" s="15" t="s">
        <v>106</v>
      </c>
      <c r="F32" s="15" t="s">
        <v>1287</v>
      </c>
      <c r="G32" s="298"/>
      <c r="H32" s="10"/>
      <c r="I32" s="11"/>
      <c r="J32" s="11"/>
      <c r="K32" s="11"/>
      <c r="L32" s="11"/>
      <c r="M32" s="11"/>
      <c r="N32" s="11"/>
      <c r="O32" s="12"/>
      <c r="P32" s="11"/>
      <c r="Q32" s="13"/>
      <c r="R32" s="14"/>
    </row>
    <row r="33" spans="1:18" ht="15" customHeight="1" x14ac:dyDescent="0.3">
      <c r="A33" s="19" t="s">
        <v>26</v>
      </c>
      <c r="B33" s="19" t="s">
        <v>1268</v>
      </c>
      <c r="C33" s="20">
        <v>0.97222222222222221</v>
      </c>
      <c r="D33" s="19" t="s">
        <v>28</v>
      </c>
      <c r="E33" s="19" t="s">
        <v>83</v>
      </c>
      <c r="F33" s="19" t="s">
        <v>431</v>
      </c>
      <c r="G33" s="298"/>
      <c r="H33" s="10"/>
      <c r="I33" s="11"/>
      <c r="J33" s="11"/>
      <c r="K33" s="11"/>
      <c r="L33" s="11"/>
      <c r="M33" s="11"/>
      <c r="N33" s="11"/>
      <c r="O33" s="12"/>
      <c r="P33" s="11"/>
      <c r="Q33" s="13"/>
      <c r="R33" s="14"/>
    </row>
    <row r="34" spans="1:18" ht="15" customHeight="1" x14ac:dyDescent="0.3">
      <c r="A34" s="15" t="s">
        <v>26</v>
      </c>
      <c r="B34" s="15" t="s">
        <v>1268</v>
      </c>
      <c r="C34" s="16">
        <v>0.97222222222222221</v>
      </c>
      <c r="D34" s="15" t="s">
        <v>31</v>
      </c>
      <c r="E34" s="15" t="s">
        <v>84</v>
      </c>
      <c r="F34" s="15" t="s">
        <v>508</v>
      </c>
      <c r="G34" s="298"/>
      <c r="H34" s="10"/>
      <c r="I34" s="11"/>
      <c r="J34" s="11"/>
      <c r="K34" s="11"/>
      <c r="L34" s="11"/>
      <c r="M34" s="11"/>
      <c r="N34" s="11"/>
      <c r="O34" s="12"/>
      <c r="P34" s="11"/>
      <c r="Q34" s="13"/>
      <c r="R34" s="14"/>
    </row>
    <row r="35" spans="1:18" ht="15" customHeight="1" x14ac:dyDescent="0.3">
      <c r="A35" s="15" t="s">
        <v>26</v>
      </c>
      <c r="B35" s="15" t="s">
        <v>1268</v>
      </c>
      <c r="C35" s="16">
        <v>0.97222222222222221</v>
      </c>
      <c r="D35" s="15" t="s">
        <v>34</v>
      </c>
      <c r="E35" s="15" t="s">
        <v>84</v>
      </c>
      <c r="F35" s="15" t="s">
        <v>39</v>
      </c>
      <c r="G35" s="298"/>
      <c r="H35" s="10"/>
      <c r="I35" s="11"/>
      <c r="J35" s="11"/>
      <c r="K35" s="11"/>
      <c r="L35" s="11"/>
      <c r="M35" s="11"/>
      <c r="N35" s="11"/>
      <c r="O35" s="12"/>
      <c r="P35" s="11"/>
      <c r="Q35" s="13"/>
      <c r="R35" s="14"/>
    </row>
    <row r="36" spans="1:18" ht="15" customHeight="1" x14ac:dyDescent="0.3">
      <c r="A36" s="19" t="s">
        <v>385</v>
      </c>
      <c r="B36" s="19" t="s">
        <v>1288</v>
      </c>
      <c r="C36" s="20">
        <v>0.80555555555555547</v>
      </c>
      <c r="D36" s="19" t="s">
        <v>101</v>
      </c>
      <c r="E36" s="19" t="s">
        <v>118</v>
      </c>
      <c r="F36" s="19" t="s">
        <v>1289</v>
      </c>
      <c r="G36" s="298"/>
      <c r="H36" s="10"/>
      <c r="I36" s="11"/>
      <c r="J36" s="11"/>
      <c r="K36" s="11"/>
      <c r="L36" s="11"/>
      <c r="M36" s="11"/>
      <c r="N36" s="11"/>
      <c r="O36" s="12"/>
      <c r="P36" s="11"/>
      <c r="Q36" s="13"/>
      <c r="R36" s="14"/>
    </row>
    <row r="37" spans="1:18" ht="15" customHeight="1" x14ac:dyDescent="0.3">
      <c r="A37" s="164" t="s">
        <v>77</v>
      </c>
      <c r="B37" s="164" t="s">
        <v>1282</v>
      </c>
      <c r="C37" s="165">
        <v>0.38194444444444442</v>
      </c>
      <c r="D37" s="164" t="s">
        <v>101</v>
      </c>
      <c r="E37" s="164" t="s">
        <v>85</v>
      </c>
      <c r="F37" s="164" t="s">
        <v>153</v>
      </c>
      <c r="G37" s="298"/>
      <c r="H37" s="167" t="s">
        <v>1283</v>
      </c>
      <c r="I37" s="215">
        <v>0.55559999999999998</v>
      </c>
      <c r="J37" s="169">
        <v>100</v>
      </c>
      <c r="K37" s="170">
        <v>45980</v>
      </c>
      <c r="L37" s="169">
        <v>56</v>
      </c>
      <c r="M37" s="169">
        <v>5</v>
      </c>
      <c r="N37" s="169">
        <v>5</v>
      </c>
      <c r="O37" s="171" t="s">
        <v>224</v>
      </c>
      <c r="P37" s="172">
        <v>0.38194444444444442</v>
      </c>
      <c r="Q37" s="169">
        <v>180</v>
      </c>
      <c r="R37" s="173" t="s">
        <v>1290</v>
      </c>
    </row>
    <row r="38" spans="1:18" ht="15" customHeight="1" x14ac:dyDescent="0.3">
      <c r="A38" s="19" t="s">
        <v>48</v>
      </c>
      <c r="B38" s="19" t="s">
        <v>1277</v>
      </c>
      <c r="C38" s="20">
        <v>0.33680555555555558</v>
      </c>
      <c r="D38" s="19" t="s">
        <v>50</v>
      </c>
      <c r="E38" s="19" t="s">
        <v>63</v>
      </c>
      <c r="F38" s="19" t="s">
        <v>1281</v>
      </c>
      <c r="G38" s="298"/>
      <c r="H38" s="10"/>
      <c r="I38" s="11"/>
      <c r="J38" s="11"/>
      <c r="K38" s="11"/>
      <c r="L38" s="11"/>
      <c r="M38" s="11"/>
      <c r="N38" s="11"/>
      <c r="O38" s="12"/>
      <c r="P38" s="11"/>
      <c r="Q38" s="13"/>
      <c r="R38" s="14"/>
    </row>
    <row r="39" spans="1:18" ht="15" customHeight="1" x14ac:dyDescent="0.3">
      <c r="A39" s="17" t="s">
        <v>48</v>
      </c>
      <c r="B39" s="17" t="s">
        <v>1279</v>
      </c>
      <c r="C39" s="18">
        <v>0.97916666666666663</v>
      </c>
      <c r="D39" s="17" t="s">
        <v>50</v>
      </c>
      <c r="E39" s="17" t="s">
        <v>54</v>
      </c>
      <c r="F39" s="17" t="s">
        <v>1281</v>
      </c>
      <c r="G39" s="298"/>
      <c r="H39" s="10"/>
      <c r="I39" s="11"/>
      <c r="J39" s="11"/>
      <c r="K39" s="11"/>
      <c r="L39" s="11"/>
      <c r="M39" s="11"/>
      <c r="N39" s="11"/>
      <c r="O39" s="12"/>
      <c r="P39" s="11"/>
      <c r="Q39" s="13"/>
      <c r="R39" s="14"/>
    </row>
    <row r="40" spans="1:18" ht="15" customHeight="1" x14ac:dyDescent="0.3">
      <c r="A40" s="17" t="s">
        <v>48</v>
      </c>
      <c r="B40" s="17" t="s">
        <v>1280</v>
      </c>
      <c r="C40" s="18">
        <v>0.67361111111111116</v>
      </c>
      <c r="D40" s="17" t="s">
        <v>50</v>
      </c>
      <c r="E40" s="17" t="s">
        <v>353</v>
      </c>
      <c r="F40" s="17" t="s">
        <v>1291</v>
      </c>
      <c r="G40" s="298"/>
      <c r="H40" s="10"/>
      <c r="I40" s="11"/>
      <c r="J40" s="11"/>
      <c r="K40" s="11"/>
      <c r="L40" s="11"/>
      <c r="M40" s="11"/>
      <c r="N40" s="11"/>
      <c r="O40" s="12"/>
      <c r="P40" s="11"/>
      <c r="Q40" s="13"/>
      <c r="R40" s="14"/>
    </row>
    <row r="41" spans="1:18" ht="15" customHeight="1" x14ac:dyDescent="0.3">
      <c r="A41" s="19" t="s">
        <v>60</v>
      </c>
      <c r="B41" s="19" t="s">
        <v>1285</v>
      </c>
      <c r="C41" s="20">
        <v>0.44791666666666669</v>
      </c>
      <c r="D41" s="19" t="s">
        <v>65</v>
      </c>
      <c r="E41" s="19" t="s">
        <v>83</v>
      </c>
      <c r="F41" s="19" t="s">
        <v>1106</v>
      </c>
      <c r="G41" s="298"/>
      <c r="H41" s="10"/>
      <c r="I41" s="11"/>
      <c r="J41" s="11"/>
      <c r="K41" s="11"/>
      <c r="L41" s="11"/>
      <c r="M41" s="11"/>
      <c r="N41" s="11"/>
      <c r="O41" s="12"/>
      <c r="P41" s="11"/>
      <c r="Q41" s="13"/>
      <c r="R41" s="14"/>
    </row>
    <row r="42" spans="1:18" ht="15" customHeight="1" thickBot="1" x14ac:dyDescent="0.35">
      <c r="A42" s="64" t="s">
        <v>60</v>
      </c>
      <c r="B42" s="64" t="s">
        <v>1285</v>
      </c>
      <c r="C42" s="65">
        <v>0.44791666666666669</v>
      </c>
      <c r="D42" s="64" t="s">
        <v>50</v>
      </c>
      <c r="E42" s="64" t="s">
        <v>84</v>
      </c>
      <c r="F42" s="64" t="s">
        <v>1106</v>
      </c>
      <c r="G42" s="299"/>
      <c r="H42" s="41"/>
      <c r="I42" s="42"/>
      <c r="J42" s="42"/>
      <c r="K42" s="42"/>
      <c r="L42" s="42"/>
      <c r="M42" s="42"/>
      <c r="N42" s="42"/>
      <c r="O42" s="43"/>
      <c r="P42" s="42"/>
      <c r="Q42" s="44"/>
      <c r="R42" s="45"/>
    </row>
    <row r="43" spans="1:18" ht="17.399999999999999" customHeight="1" thickBot="1" x14ac:dyDescent="0.35">
      <c r="A43" s="329"/>
      <c r="B43" s="330"/>
      <c r="C43" s="330"/>
      <c r="D43" s="330"/>
      <c r="E43" s="330"/>
      <c r="F43" s="330"/>
      <c r="G43" s="330"/>
      <c r="H43" s="330"/>
      <c r="I43" s="330"/>
      <c r="J43" s="330"/>
      <c r="K43" s="330"/>
      <c r="L43" s="330"/>
      <c r="M43" s="330"/>
      <c r="N43" s="330"/>
      <c r="O43" s="330"/>
      <c r="P43" s="330"/>
      <c r="Q43" s="330"/>
      <c r="R43" s="331"/>
    </row>
    <row r="44" spans="1:18" ht="22.05" customHeight="1" thickTop="1" thickBot="1" x14ac:dyDescent="0.35">
      <c r="A44" s="300" t="s">
        <v>6</v>
      </c>
      <c r="B44" s="295"/>
      <c r="C44" s="295"/>
      <c r="D44" s="295"/>
      <c r="E44" s="295"/>
      <c r="F44" s="296"/>
      <c r="G44" s="31">
        <v>45983</v>
      </c>
      <c r="H44" s="294" t="s">
        <v>7</v>
      </c>
      <c r="I44" s="295"/>
      <c r="J44" s="295"/>
      <c r="K44" s="295"/>
      <c r="L44" s="295"/>
      <c r="M44" s="295"/>
      <c r="N44" s="295"/>
      <c r="O44" s="295"/>
      <c r="P44" s="295"/>
      <c r="Q44" s="295"/>
      <c r="R44" s="296"/>
    </row>
    <row r="45" spans="1:18" ht="24" customHeight="1" x14ac:dyDescent="0.3">
      <c r="A45" s="32" t="s">
        <v>8</v>
      </c>
      <c r="B45" s="32" t="s">
        <v>9</v>
      </c>
      <c r="C45" s="33" t="s">
        <v>10</v>
      </c>
      <c r="D45" s="32" t="s">
        <v>11</v>
      </c>
      <c r="E45" s="32" t="s">
        <v>12</v>
      </c>
      <c r="F45" s="34" t="s">
        <v>13</v>
      </c>
      <c r="G45" s="35" t="s">
        <v>14</v>
      </c>
      <c r="H45" s="32" t="s">
        <v>15</v>
      </c>
      <c r="I45" s="36" t="s">
        <v>16</v>
      </c>
      <c r="J45" s="37" t="s">
        <v>17</v>
      </c>
      <c r="K45" s="38" t="s">
        <v>18</v>
      </c>
      <c r="L45" s="37" t="s">
        <v>19</v>
      </c>
      <c r="M45" s="37" t="s">
        <v>20</v>
      </c>
      <c r="N45" s="37" t="s">
        <v>21</v>
      </c>
      <c r="O45" s="32" t="s">
        <v>22</v>
      </c>
      <c r="P45" s="33" t="s">
        <v>23</v>
      </c>
      <c r="Q45" s="37" t="s">
        <v>24</v>
      </c>
      <c r="R45" s="32" t="s">
        <v>25</v>
      </c>
    </row>
    <row r="46" spans="1:18" ht="15" customHeight="1" x14ac:dyDescent="0.3">
      <c r="A46" s="8" t="s">
        <v>41</v>
      </c>
      <c r="B46" s="8" t="s">
        <v>1265</v>
      </c>
      <c r="C46" s="9">
        <v>0.44791666666666669</v>
      </c>
      <c r="D46" s="8" t="s">
        <v>43</v>
      </c>
      <c r="E46" s="8" t="s">
        <v>139</v>
      </c>
      <c r="F46" s="8" t="s">
        <v>779</v>
      </c>
      <c r="G46" s="304"/>
      <c r="H46" s="10"/>
      <c r="I46" s="11"/>
      <c r="J46" s="11"/>
      <c r="K46" s="11"/>
      <c r="L46" s="11"/>
      <c r="M46" s="11"/>
      <c r="N46" s="11"/>
      <c r="O46" s="12"/>
      <c r="P46" s="11"/>
      <c r="Q46" s="13"/>
      <c r="R46" s="14"/>
    </row>
    <row r="47" spans="1:18" ht="15" customHeight="1" x14ac:dyDescent="0.3">
      <c r="A47" s="15" t="s">
        <v>41</v>
      </c>
      <c r="B47" s="15" t="s">
        <v>1265</v>
      </c>
      <c r="C47" s="16">
        <v>0.44791666666666669</v>
      </c>
      <c r="D47" s="15" t="s">
        <v>45</v>
      </c>
      <c r="E47" s="15" t="s">
        <v>98</v>
      </c>
      <c r="F47" s="15" t="s">
        <v>1097</v>
      </c>
      <c r="G47" s="298"/>
      <c r="H47" s="10"/>
      <c r="I47" s="11"/>
      <c r="J47" s="11"/>
      <c r="K47" s="11"/>
      <c r="L47" s="11"/>
      <c r="M47" s="11"/>
      <c r="N47" s="11"/>
      <c r="O47" s="12"/>
      <c r="P47" s="11"/>
      <c r="Q47" s="13"/>
      <c r="R47" s="14"/>
    </row>
    <row r="48" spans="1:18" ht="15" customHeight="1" x14ac:dyDescent="0.3">
      <c r="A48" s="15" t="s">
        <v>41</v>
      </c>
      <c r="B48" s="15" t="s">
        <v>1265</v>
      </c>
      <c r="C48" s="16">
        <v>0.44791666666666669</v>
      </c>
      <c r="D48" s="15" t="s">
        <v>46</v>
      </c>
      <c r="E48" s="15" t="s">
        <v>98</v>
      </c>
      <c r="F48" s="15" t="s">
        <v>146</v>
      </c>
      <c r="G48" s="298"/>
      <c r="H48" s="10"/>
      <c r="I48" s="11"/>
      <c r="J48" s="11"/>
      <c r="K48" s="11"/>
      <c r="L48" s="11"/>
      <c r="M48" s="11"/>
      <c r="N48" s="11"/>
      <c r="O48" s="12"/>
      <c r="P48" s="11"/>
      <c r="Q48" s="13"/>
      <c r="R48" s="14"/>
    </row>
    <row r="49" spans="1:18" ht="15" customHeight="1" x14ac:dyDescent="0.3">
      <c r="A49" s="19" t="s">
        <v>26</v>
      </c>
      <c r="B49" s="19" t="s">
        <v>1266</v>
      </c>
      <c r="C49" s="20">
        <v>0.33680555555555558</v>
      </c>
      <c r="D49" s="19" t="s">
        <v>28</v>
      </c>
      <c r="E49" s="19" t="s">
        <v>83</v>
      </c>
      <c r="F49" s="19" t="s">
        <v>431</v>
      </c>
      <c r="G49" s="298"/>
      <c r="H49" s="10"/>
      <c r="I49" s="11"/>
      <c r="J49" s="11"/>
      <c r="K49" s="11"/>
      <c r="L49" s="11"/>
      <c r="M49" s="11"/>
      <c r="N49" s="11"/>
      <c r="O49" s="12"/>
      <c r="P49" s="11"/>
      <c r="Q49" s="13"/>
      <c r="R49" s="14"/>
    </row>
    <row r="50" spans="1:18" ht="15" customHeight="1" x14ac:dyDescent="0.3">
      <c r="A50" s="15" t="s">
        <v>26</v>
      </c>
      <c r="B50" s="15" t="s">
        <v>1266</v>
      </c>
      <c r="C50" s="16">
        <v>0.33680555555555558</v>
      </c>
      <c r="D50" s="15" t="s">
        <v>31</v>
      </c>
      <c r="E50" s="15" t="s">
        <v>84</v>
      </c>
      <c r="F50" s="15" t="s">
        <v>508</v>
      </c>
      <c r="G50" s="298"/>
      <c r="H50" s="10"/>
      <c r="I50" s="11"/>
      <c r="J50" s="11"/>
      <c r="K50" s="11"/>
      <c r="L50" s="11"/>
      <c r="M50" s="11"/>
      <c r="N50" s="11"/>
      <c r="O50" s="12"/>
      <c r="P50" s="11"/>
      <c r="Q50" s="13"/>
      <c r="R50" s="14"/>
    </row>
    <row r="51" spans="1:18" ht="15" customHeight="1" x14ac:dyDescent="0.3">
      <c r="A51" s="15" t="s">
        <v>26</v>
      </c>
      <c r="B51" s="15" t="s">
        <v>1266</v>
      </c>
      <c r="C51" s="16">
        <v>0.33680555555555558</v>
      </c>
      <c r="D51" s="15" t="s">
        <v>34</v>
      </c>
      <c r="E51" s="15" t="s">
        <v>84</v>
      </c>
      <c r="F51" s="15" t="s">
        <v>39</v>
      </c>
      <c r="G51" s="298"/>
      <c r="H51" s="10"/>
      <c r="I51" s="11"/>
      <c r="J51" s="11"/>
      <c r="K51" s="11"/>
      <c r="L51" s="11"/>
      <c r="M51" s="11"/>
      <c r="N51" s="11"/>
      <c r="O51" s="12"/>
      <c r="P51" s="11"/>
      <c r="Q51" s="13"/>
      <c r="R51" s="14"/>
    </row>
    <row r="52" spans="1:18" ht="15" customHeight="1" x14ac:dyDescent="0.3">
      <c r="A52" s="17" t="s">
        <v>26</v>
      </c>
      <c r="B52" s="17" t="s">
        <v>1268</v>
      </c>
      <c r="C52" s="18">
        <v>0.97222222222222221</v>
      </c>
      <c r="D52" s="17" t="s">
        <v>28</v>
      </c>
      <c r="E52" s="17" t="s">
        <v>37</v>
      </c>
      <c r="F52" s="17" t="s">
        <v>150</v>
      </c>
      <c r="G52" s="298"/>
      <c r="H52" s="10"/>
      <c r="I52" s="11"/>
      <c r="J52" s="11"/>
      <c r="K52" s="11"/>
      <c r="L52" s="11"/>
      <c r="M52" s="11"/>
      <c r="N52" s="11"/>
      <c r="O52" s="12"/>
      <c r="P52" s="11"/>
      <c r="Q52" s="13"/>
      <c r="R52" s="14"/>
    </row>
    <row r="53" spans="1:18" ht="15" customHeight="1" x14ac:dyDescent="0.3">
      <c r="A53" s="15" t="s">
        <v>26</v>
      </c>
      <c r="B53" s="15" t="s">
        <v>1268</v>
      </c>
      <c r="C53" s="16">
        <v>0.97222222222222221</v>
      </c>
      <c r="D53" s="15" t="s">
        <v>351</v>
      </c>
      <c r="E53" s="15" t="s">
        <v>38</v>
      </c>
      <c r="F53" s="15" t="s">
        <v>150</v>
      </c>
      <c r="G53" s="298"/>
      <c r="H53" s="10"/>
      <c r="I53" s="11"/>
      <c r="J53" s="11"/>
      <c r="K53" s="11"/>
      <c r="L53" s="11"/>
      <c r="M53" s="11"/>
      <c r="N53" s="11"/>
      <c r="O53" s="12"/>
      <c r="P53" s="11"/>
      <c r="Q53" s="13"/>
      <c r="R53" s="14"/>
    </row>
    <row r="54" spans="1:18" ht="15" customHeight="1" x14ac:dyDescent="0.3">
      <c r="A54" s="15" t="s">
        <v>26</v>
      </c>
      <c r="B54" s="15" t="s">
        <v>1268</v>
      </c>
      <c r="C54" s="16">
        <v>0.97222222222222221</v>
      </c>
      <c r="D54" s="15" t="s">
        <v>31</v>
      </c>
      <c r="E54" s="15" t="s">
        <v>38</v>
      </c>
      <c r="F54" s="15" t="s">
        <v>1159</v>
      </c>
      <c r="G54" s="298"/>
      <c r="H54" s="10"/>
      <c r="I54" s="11"/>
      <c r="J54" s="11"/>
      <c r="K54" s="11"/>
      <c r="L54" s="11"/>
      <c r="M54" s="11"/>
      <c r="N54" s="11"/>
      <c r="O54" s="12"/>
      <c r="P54" s="11"/>
      <c r="Q54" s="13"/>
      <c r="R54" s="14"/>
    </row>
    <row r="55" spans="1:18" ht="15" customHeight="1" x14ac:dyDescent="0.3">
      <c r="A55" s="15" t="s">
        <v>26</v>
      </c>
      <c r="B55" s="15" t="s">
        <v>1268</v>
      </c>
      <c r="C55" s="16">
        <v>0.97222222222222221</v>
      </c>
      <c r="D55" s="15" t="s">
        <v>34</v>
      </c>
      <c r="E55" s="15" t="s">
        <v>38</v>
      </c>
      <c r="F55" s="15" t="s">
        <v>1292</v>
      </c>
      <c r="G55" s="298"/>
      <c r="H55" s="10"/>
      <c r="I55" s="11"/>
      <c r="J55" s="11"/>
      <c r="K55" s="11"/>
      <c r="L55" s="11"/>
      <c r="M55" s="11"/>
      <c r="N55" s="11"/>
      <c r="O55" s="12"/>
      <c r="P55" s="11"/>
      <c r="Q55" s="13"/>
      <c r="R55" s="14"/>
    </row>
    <row r="56" spans="1:18" ht="15" customHeight="1" x14ac:dyDescent="0.3">
      <c r="A56" s="55" t="s">
        <v>77</v>
      </c>
      <c r="B56" s="55" t="s">
        <v>1282</v>
      </c>
      <c r="C56" s="56">
        <v>0.72222222222222221</v>
      </c>
      <c r="D56" s="55" t="s">
        <v>101</v>
      </c>
      <c r="E56" s="55" t="s">
        <v>111</v>
      </c>
      <c r="F56" s="55" t="s">
        <v>153</v>
      </c>
      <c r="G56" s="298"/>
      <c r="H56" s="57" t="s">
        <v>1283</v>
      </c>
      <c r="I56" s="189">
        <v>0.63890000000000002</v>
      </c>
      <c r="J56" s="59">
        <v>115</v>
      </c>
      <c r="K56" s="60">
        <v>45980</v>
      </c>
      <c r="L56" s="59">
        <v>61</v>
      </c>
      <c r="M56" s="59">
        <v>8</v>
      </c>
      <c r="N56" s="59">
        <v>16</v>
      </c>
      <c r="O56" s="61" t="s">
        <v>568</v>
      </c>
      <c r="P56" s="62">
        <v>0.72222222222222221</v>
      </c>
      <c r="Q56" s="59">
        <v>180</v>
      </c>
      <c r="R56" s="63" t="s">
        <v>1293</v>
      </c>
    </row>
    <row r="57" spans="1:18" ht="15" customHeight="1" x14ac:dyDescent="0.3">
      <c r="A57" s="19" t="s">
        <v>385</v>
      </c>
      <c r="B57" s="19" t="s">
        <v>1275</v>
      </c>
      <c r="C57" s="20">
        <v>0.69444444444444453</v>
      </c>
      <c r="D57" s="19" t="s">
        <v>101</v>
      </c>
      <c r="E57" s="19" t="s">
        <v>118</v>
      </c>
      <c r="F57" s="19" t="s">
        <v>493</v>
      </c>
      <c r="G57" s="298"/>
      <c r="H57" s="10"/>
      <c r="I57" s="11"/>
      <c r="J57" s="11"/>
      <c r="K57" s="11"/>
      <c r="L57" s="11"/>
      <c r="M57" s="11"/>
      <c r="N57" s="11"/>
      <c r="O57" s="12"/>
      <c r="P57" s="11"/>
      <c r="Q57" s="13"/>
      <c r="R57" s="14"/>
    </row>
    <row r="58" spans="1:18" ht="15" customHeight="1" x14ac:dyDescent="0.3">
      <c r="A58" s="19" t="s">
        <v>388</v>
      </c>
      <c r="B58" s="19" t="s">
        <v>1294</v>
      </c>
      <c r="C58" s="20">
        <v>0.78472222222222221</v>
      </c>
      <c r="D58" s="19" t="s">
        <v>390</v>
      </c>
      <c r="E58" s="19" t="s">
        <v>85</v>
      </c>
      <c r="F58" s="19" t="s">
        <v>1295</v>
      </c>
      <c r="G58" s="298"/>
      <c r="H58" s="10"/>
      <c r="I58" s="11"/>
      <c r="J58" s="11"/>
      <c r="K58" s="11"/>
      <c r="L58" s="11"/>
      <c r="M58" s="11"/>
      <c r="N58" s="11"/>
      <c r="O58" s="12"/>
      <c r="P58" s="11"/>
      <c r="Q58" s="13"/>
      <c r="R58" s="14"/>
    </row>
    <row r="59" spans="1:18" ht="15" customHeight="1" x14ac:dyDescent="0.3">
      <c r="A59" s="15" t="s">
        <v>388</v>
      </c>
      <c r="B59" s="15" t="s">
        <v>1294</v>
      </c>
      <c r="C59" s="16">
        <v>0.78472222222222221</v>
      </c>
      <c r="D59" s="15" t="s">
        <v>46</v>
      </c>
      <c r="E59" s="15" t="s">
        <v>87</v>
      </c>
      <c r="F59" s="15" t="s">
        <v>1296</v>
      </c>
      <c r="G59" s="298"/>
      <c r="H59" s="10"/>
      <c r="I59" s="11"/>
      <c r="J59" s="11"/>
      <c r="K59" s="11"/>
      <c r="L59" s="11"/>
      <c r="M59" s="11"/>
      <c r="N59" s="11"/>
      <c r="O59" s="12"/>
      <c r="P59" s="11"/>
      <c r="Q59" s="13"/>
      <c r="R59" s="14"/>
    </row>
    <row r="60" spans="1:18" ht="15" customHeight="1" x14ac:dyDescent="0.3">
      <c r="A60" s="19" t="s">
        <v>48</v>
      </c>
      <c r="B60" s="19" t="s">
        <v>1279</v>
      </c>
      <c r="C60" s="20">
        <v>0.97916666666666663</v>
      </c>
      <c r="D60" s="19" t="s">
        <v>50</v>
      </c>
      <c r="E60" s="19" t="s">
        <v>63</v>
      </c>
      <c r="F60" s="19" t="s">
        <v>1297</v>
      </c>
      <c r="G60" s="298"/>
      <c r="H60" s="10"/>
      <c r="I60" s="11"/>
      <c r="J60" s="11"/>
      <c r="K60" s="11"/>
      <c r="L60" s="11"/>
      <c r="M60" s="11"/>
      <c r="N60" s="11"/>
      <c r="O60" s="12"/>
      <c r="P60" s="11"/>
      <c r="Q60" s="13"/>
      <c r="R60" s="14"/>
    </row>
    <row r="61" spans="1:18" ht="15" customHeight="1" x14ac:dyDescent="0.3">
      <c r="A61" s="19" t="s">
        <v>60</v>
      </c>
      <c r="B61" s="19" t="s">
        <v>1285</v>
      </c>
      <c r="C61" s="20">
        <v>0.44791666666666669</v>
      </c>
      <c r="D61" s="19" t="s">
        <v>65</v>
      </c>
      <c r="E61" s="19" t="s">
        <v>83</v>
      </c>
      <c r="F61" s="19" t="s">
        <v>1146</v>
      </c>
      <c r="G61" s="298"/>
      <c r="H61" s="10"/>
      <c r="I61" s="11"/>
      <c r="J61" s="11"/>
      <c r="K61" s="11"/>
      <c r="L61" s="11"/>
      <c r="M61" s="11"/>
      <c r="N61" s="11"/>
      <c r="O61" s="12"/>
      <c r="P61" s="11"/>
      <c r="Q61" s="13"/>
      <c r="R61" s="14"/>
    </row>
    <row r="62" spans="1:18" ht="15" customHeight="1" thickBot="1" x14ac:dyDescent="0.35">
      <c r="A62" s="64" t="s">
        <v>60</v>
      </c>
      <c r="B62" s="64" t="s">
        <v>1285</v>
      </c>
      <c r="C62" s="65">
        <v>0.44791666666666669</v>
      </c>
      <c r="D62" s="64" t="s">
        <v>50</v>
      </c>
      <c r="E62" s="64" t="s">
        <v>84</v>
      </c>
      <c r="F62" s="64" t="s">
        <v>1146</v>
      </c>
      <c r="G62" s="299"/>
      <c r="H62" s="41"/>
      <c r="I62" s="42"/>
      <c r="J62" s="42"/>
      <c r="K62" s="42"/>
      <c r="L62" s="42"/>
      <c r="M62" s="42"/>
      <c r="N62" s="42"/>
      <c r="O62" s="43"/>
      <c r="P62" s="42"/>
      <c r="Q62" s="44"/>
      <c r="R62" s="45"/>
    </row>
    <row r="63" spans="1:18" ht="17.399999999999999" customHeight="1" thickBot="1" x14ac:dyDescent="0.35">
      <c r="A63" s="329"/>
      <c r="B63" s="330"/>
      <c r="C63" s="330"/>
      <c r="D63" s="330"/>
      <c r="E63" s="330"/>
      <c r="F63" s="330"/>
      <c r="G63" s="330"/>
      <c r="H63" s="330"/>
      <c r="I63" s="330"/>
      <c r="J63" s="330"/>
      <c r="K63" s="330"/>
      <c r="L63" s="330"/>
      <c r="M63" s="330"/>
      <c r="N63" s="330"/>
      <c r="O63" s="330"/>
      <c r="P63" s="330"/>
      <c r="Q63" s="330"/>
      <c r="R63" s="331"/>
    </row>
    <row r="64" spans="1:18" ht="22.05" customHeight="1" thickTop="1" thickBot="1" x14ac:dyDescent="0.35">
      <c r="A64" s="300" t="s">
        <v>6</v>
      </c>
      <c r="B64" s="295"/>
      <c r="C64" s="295"/>
      <c r="D64" s="295"/>
      <c r="E64" s="295"/>
      <c r="F64" s="296"/>
      <c r="G64" s="31">
        <v>45984</v>
      </c>
      <c r="H64" s="294" t="s">
        <v>7</v>
      </c>
      <c r="I64" s="295"/>
      <c r="J64" s="295"/>
      <c r="K64" s="295"/>
      <c r="L64" s="295"/>
      <c r="M64" s="295"/>
      <c r="N64" s="295"/>
      <c r="O64" s="295"/>
      <c r="P64" s="295"/>
      <c r="Q64" s="295"/>
      <c r="R64" s="296"/>
    </row>
    <row r="65" spans="1:18" ht="24" customHeight="1" x14ac:dyDescent="0.3">
      <c r="A65" s="32" t="s">
        <v>8</v>
      </c>
      <c r="B65" s="32" t="s">
        <v>9</v>
      </c>
      <c r="C65" s="33" t="s">
        <v>10</v>
      </c>
      <c r="D65" s="32" t="s">
        <v>11</v>
      </c>
      <c r="E65" s="32" t="s">
        <v>12</v>
      </c>
      <c r="F65" s="34" t="s">
        <v>13</v>
      </c>
      <c r="G65" s="35" t="s">
        <v>14</v>
      </c>
      <c r="H65" s="32" t="s">
        <v>15</v>
      </c>
      <c r="I65" s="36" t="s">
        <v>16</v>
      </c>
      <c r="J65" s="37" t="s">
        <v>17</v>
      </c>
      <c r="K65" s="38" t="s">
        <v>18</v>
      </c>
      <c r="L65" s="37" t="s">
        <v>19</v>
      </c>
      <c r="M65" s="37" t="s">
        <v>20</v>
      </c>
      <c r="N65" s="37" t="s">
        <v>21</v>
      </c>
      <c r="O65" s="32" t="s">
        <v>22</v>
      </c>
      <c r="P65" s="33" t="s">
        <v>23</v>
      </c>
      <c r="Q65" s="37" t="s">
        <v>24</v>
      </c>
      <c r="R65" s="32" t="s">
        <v>25</v>
      </c>
    </row>
    <row r="66" spans="1:18" ht="15" customHeight="1" x14ac:dyDescent="0.3">
      <c r="A66" s="8" t="s">
        <v>41</v>
      </c>
      <c r="B66" s="8" t="s">
        <v>1265</v>
      </c>
      <c r="C66" s="9">
        <v>0.44791666666666669</v>
      </c>
      <c r="D66" s="8" t="s">
        <v>43</v>
      </c>
      <c r="E66" s="8" t="s">
        <v>138</v>
      </c>
      <c r="F66" s="8" t="s">
        <v>1028</v>
      </c>
      <c r="G66" s="304"/>
      <c r="H66" s="10"/>
      <c r="I66" s="11"/>
      <c r="J66" s="11"/>
      <c r="K66" s="11"/>
      <c r="L66" s="11"/>
      <c r="M66" s="11"/>
      <c r="N66" s="11"/>
      <c r="O66" s="12"/>
      <c r="P66" s="11"/>
      <c r="Q66" s="13"/>
      <c r="R66" s="14"/>
    </row>
    <row r="67" spans="1:18" ht="15" customHeight="1" x14ac:dyDescent="0.3">
      <c r="A67" s="15" t="s">
        <v>41</v>
      </c>
      <c r="B67" s="15" t="s">
        <v>1265</v>
      </c>
      <c r="C67" s="16">
        <v>0.44791666666666669</v>
      </c>
      <c r="D67" s="15" t="s">
        <v>45</v>
      </c>
      <c r="E67" s="15" t="s">
        <v>38</v>
      </c>
      <c r="F67" s="15" t="s">
        <v>33</v>
      </c>
      <c r="G67" s="298"/>
      <c r="H67" s="10"/>
      <c r="I67" s="11"/>
      <c r="J67" s="11"/>
      <c r="K67" s="11"/>
      <c r="L67" s="11"/>
      <c r="M67" s="11"/>
      <c r="N67" s="11"/>
      <c r="O67" s="12"/>
      <c r="P67" s="11"/>
      <c r="Q67" s="13"/>
      <c r="R67" s="14"/>
    </row>
    <row r="68" spans="1:18" ht="15" customHeight="1" x14ac:dyDescent="0.3">
      <c r="A68" s="15" t="s">
        <v>41</v>
      </c>
      <c r="B68" s="15" t="s">
        <v>1265</v>
      </c>
      <c r="C68" s="16">
        <v>0.44791666666666669</v>
      </c>
      <c r="D68" s="15" t="s">
        <v>46</v>
      </c>
      <c r="E68" s="15" t="s">
        <v>38</v>
      </c>
      <c r="F68" s="15" t="s">
        <v>146</v>
      </c>
      <c r="G68" s="298"/>
      <c r="H68" s="10"/>
      <c r="I68" s="11"/>
      <c r="J68" s="11"/>
      <c r="K68" s="11"/>
      <c r="L68" s="11"/>
      <c r="M68" s="11"/>
      <c r="N68" s="11"/>
      <c r="O68" s="12"/>
      <c r="P68" s="11"/>
      <c r="Q68" s="13"/>
      <c r="R68" s="14"/>
    </row>
    <row r="69" spans="1:18" ht="15" customHeight="1" x14ac:dyDescent="0.3">
      <c r="A69" s="19" t="s">
        <v>26</v>
      </c>
      <c r="B69" s="19" t="s">
        <v>1268</v>
      </c>
      <c r="C69" s="20">
        <v>0.97222222222222221</v>
      </c>
      <c r="D69" s="19" t="s">
        <v>28</v>
      </c>
      <c r="E69" s="19" t="s">
        <v>83</v>
      </c>
      <c r="F69" s="19" t="s">
        <v>431</v>
      </c>
      <c r="G69" s="298"/>
      <c r="H69" s="10"/>
      <c r="I69" s="11"/>
      <c r="J69" s="11"/>
      <c r="K69" s="11"/>
      <c r="L69" s="11"/>
      <c r="M69" s="11"/>
      <c r="N69" s="11"/>
      <c r="O69" s="12"/>
      <c r="P69" s="11"/>
      <c r="Q69" s="13"/>
      <c r="R69" s="14"/>
    </row>
    <row r="70" spans="1:18" ht="15" customHeight="1" x14ac:dyDescent="0.3">
      <c r="A70" s="15" t="s">
        <v>26</v>
      </c>
      <c r="B70" s="15" t="s">
        <v>1268</v>
      </c>
      <c r="C70" s="16">
        <v>0.97222222222222221</v>
      </c>
      <c r="D70" s="15" t="s">
        <v>351</v>
      </c>
      <c r="E70" s="15" t="s">
        <v>84</v>
      </c>
      <c r="F70" s="15" t="s">
        <v>431</v>
      </c>
      <c r="G70" s="298"/>
      <c r="H70" s="10"/>
      <c r="I70" s="11"/>
      <c r="J70" s="11"/>
      <c r="K70" s="11"/>
      <c r="L70" s="11"/>
      <c r="M70" s="11"/>
      <c r="N70" s="11"/>
      <c r="O70" s="12"/>
      <c r="P70" s="11"/>
      <c r="Q70" s="13"/>
      <c r="R70" s="14"/>
    </row>
    <row r="71" spans="1:18" ht="15" customHeight="1" x14ac:dyDescent="0.3">
      <c r="A71" s="15" t="s">
        <v>26</v>
      </c>
      <c r="B71" s="15" t="s">
        <v>1268</v>
      </c>
      <c r="C71" s="16">
        <v>0.97222222222222221</v>
      </c>
      <c r="D71" s="15" t="s">
        <v>31</v>
      </c>
      <c r="E71" s="15" t="s">
        <v>84</v>
      </c>
      <c r="F71" s="15" t="s">
        <v>508</v>
      </c>
      <c r="G71" s="298"/>
      <c r="H71" s="10"/>
      <c r="I71" s="11"/>
      <c r="J71" s="11"/>
      <c r="K71" s="11"/>
      <c r="L71" s="11"/>
      <c r="M71" s="11"/>
      <c r="N71" s="11"/>
      <c r="O71" s="12"/>
      <c r="P71" s="11"/>
      <c r="Q71" s="13"/>
      <c r="R71" s="14"/>
    </row>
    <row r="72" spans="1:18" ht="15" customHeight="1" x14ac:dyDescent="0.3">
      <c r="A72" s="15" t="s">
        <v>26</v>
      </c>
      <c r="B72" s="15" t="s">
        <v>1268</v>
      </c>
      <c r="C72" s="16">
        <v>0.97222222222222221</v>
      </c>
      <c r="D72" s="15" t="s">
        <v>34</v>
      </c>
      <c r="E72" s="15" t="s">
        <v>84</v>
      </c>
      <c r="F72" s="15" t="s">
        <v>39</v>
      </c>
      <c r="G72" s="298"/>
      <c r="H72" s="10"/>
      <c r="I72" s="11"/>
      <c r="J72" s="11"/>
      <c r="K72" s="11"/>
      <c r="L72" s="11"/>
      <c r="M72" s="11"/>
      <c r="N72" s="11"/>
      <c r="O72" s="12"/>
      <c r="P72" s="11"/>
      <c r="Q72" s="13"/>
      <c r="R72" s="14"/>
    </row>
    <row r="73" spans="1:18" ht="15" customHeight="1" x14ac:dyDescent="0.3">
      <c r="A73" s="19" t="s">
        <v>385</v>
      </c>
      <c r="B73" s="19" t="s">
        <v>1273</v>
      </c>
      <c r="C73" s="20">
        <v>0.75694444444444453</v>
      </c>
      <c r="D73" s="19" t="s">
        <v>101</v>
      </c>
      <c r="E73" s="19" t="s">
        <v>63</v>
      </c>
      <c r="F73" s="19" t="s">
        <v>1171</v>
      </c>
      <c r="G73" s="298"/>
      <c r="H73" s="10"/>
      <c r="I73" s="11"/>
      <c r="J73" s="11"/>
      <c r="K73" s="11"/>
      <c r="L73" s="11"/>
      <c r="M73" s="11"/>
      <c r="N73" s="11"/>
      <c r="O73" s="12"/>
      <c r="P73" s="11"/>
      <c r="Q73" s="13"/>
      <c r="R73" s="14"/>
    </row>
    <row r="74" spans="1:18" ht="15" customHeight="1" x14ac:dyDescent="0.3">
      <c r="A74" s="19" t="s">
        <v>458</v>
      </c>
      <c r="B74" s="19" t="s">
        <v>1286</v>
      </c>
      <c r="C74" s="20">
        <v>6.9444444444444441E-3</v>
      </c>
      <c r="D74" s="19" t="s">
        <v>101</v>
      </c>
      <c r="E74" s="19" t="s">
        <v>63</v>
      </c>
      <c r="F74" s="19" t="s">
        <v>1121</v>
      </c>
      <c r="G74" s="298"/>
      <c r="H74" s="10"/>
      <c r="I74" s="11"/>
      <c r="J74" s="11"/>
      <c r="K74" s="11"/>
      <c r="L74" s="11"/>
      <c r="M74" s="11"/>
      <c r="N74" s="11"/>
      <c r="O74" s="12"/>
      <c r="P74" s="11"/>
      <c r="Q74" s="13"/>
      <c r="R74" s="14"/>
    </row>
    <row r="75" spans="1:18" ht="15" customHeight="1" x14ac:dyDescent="0.3">
      <c r="A75" s="19" t="s">
        <v>48</v>
      </c>
      <c r="B75" s="19" t="s">
        <v>1277</v>
      </c>
      <c r="C75" s="20">
        <v>0.38194444444444442</v>
      </c>
      <c r="D75" s="19" t="s">
        <v>50</v>
      </c>
      <c r="E75" s="19" t="s">
        <v>63</v>
      </c>
      <c r="F75" s="19" t="s">
        <v>1281</v>
      </c>
      <c r="G75" s="298"/>
      <c r="H75" s="10"/>
      <c r="I75" s="11"/>
      <c r="J75" s="11"/>
      <c r="K75" s="11"/>
      <c r="L75" s="11"/>
      <c r="M75" s="11"/>
      <c r="N75" s="11"/>
      <c r="O75" s="12"/>
      <c r="P75" s="11"/>
      <c r="Q75" s="13"/>
      <c r="R75" s="14"/>
    </row>
    <row r="76" spans="1:18" ht="15" customHeight="1" x14ac:dyDescent="0.3">
      <c r="A76" s="17" t="s">
        <v>48</v>
      </c>
      <c r="B76" s="17" t="s">
        <v>1279</v>
      </c>
      <c r="C76" s="18">
        <v>0.97916666666666663</v>
      </c>
      <c r="D76" s="17" t="s">
        <v>50</v>
      </c>
      <c r="E76" s="17" t="s">
        <v>54</v>
      </c>
      <c r="F76" s="17" t="s">
        <v>1281</v>
      </c>
      <c r="G76" s="298"/>
      <c r="H76" s="10"/>
      <c r="I76" s="11"/>
      <c r="J76" s="11"/>
      <c r="K76" s="11"/>
      <c r="L76" s="11"/>
      <c r="M76" s="11"/>
      <c r="N76" s="11"/>
      <c r="O76" s="12"/>
      <c r="P76" s="11"/>
      <c r="Q76" s="13"/>
      <c r="R76" s="14"/>
    </row>
    <row r="77" spans="1:18" ht="15" customHeight="1" x14ac:dyDescent="0.3">
      <c r="A77" s="17" t="s">
        <v>48</v>
      </c>
      <c r="B77" s="17" t="s">
        <v>1280</v>
      </c>
      <c r="C77" s="18">
        <v>0.67361111111111116</v>
      </c>
      <c r="D77" s="17" t="s">
        <v>50</v>
      </c>
      <c r="E77" s="17" t="s">
        <v>54</v>
      </c>
      <c r="F77" s="17" t="s">
        <v>1297</v>
      </c>
      <c r="G77" s="298"/>
      <c r="H77" s="10"/>
      <c r="I77" s="11"/>
      <c r="J77" s="11"/>
      <c r="K77" s="11"/>
      <c r="L77" s="11"/>
      <c r="M77" s="11"/>
      <c r="N77" s="11"/>
      <c r="O77" s="12"/>
      <c r="P77" s="11"/>
      <c r="Q77" s="13"/>
      <c r="R77" s="14"/>
    </row>
    <row r="78" spans="1:18" ht="15" customHeight="1" thickBot="1" x14ac:dyDescent="0.35">
      <c r="A78" s="231" t="s">
        <v>60</v>
      </c>
      <c r="B78" s="231" t="s">
        <v>1285</v>
      </c>
      <c r="C78" s="232">
        <v>0.44791666666666669</v>
      </c>
      <c r="D78" s="231" t="s">
        <v>65</v>
      </c>
      <c r="E78" s="231" t="s">
        <v>83</v>
      </c>
      <c r="F78" s="231" t="s">
        <v>1105</v>
      </c>
      <c r="G78" s="299"/>
      <c r="H78" s="41"/>
      <c r="I78" s="42"/>
      <c r="J78" s="42"/>
      <c r="K78" s="42"/>
      <c r="L78" s="42"/>
      <c r="M78" s="42"/>
      <c r="N78" s="42"/>
      <c r="O78" s="43"/>
      <c r="P78" s="42"/>
      <c r="Q78" s="44"/>
      <c r="R78" s="45"/>
    </row>
    <row r="79" spans="1:18" ht="17.399999999999999" customHeight="1" thickBot="1" x14ac:dyDescent="0.35">
      <c r="A79" s="329"/>
      <c r="B79" s="330"/>
      <c r="C79" s="330"/>
      <c r="D79" s="330"/>
      <c r="E79" s="330"/>
      <c r="F79" s="330"/>
      <c r="G79" s="330"/>
      <c r="H79" s="330"/>
      <c r="I79" s="330"/>
      <c r="J79" s="330"/>
      <c r="K79" s="330"/>
      <c r="L79" s="330"/>
      <c r="M79" s="330"/>
      <c r="N79" s="330"/>
      <c r="O79" s="330"/>
      <c r="P79" s="330"/>
      <c r="Q79" s="330"/>
      <c r="R79" s="331"/>
    </row>
    <row r="80" spans="1:18" ht="22.05" customHeight="1" thickTop="1" thickBot="1" x14ac:dyDescent="0.35">
      <c r="A80" s="300" t="s">
        <v>6</v>
      </c>
      <c r="B80" s="295"/>
      <c r="C80" s="295"/>
      <c r="D80" s="295"/>
      <c r="E80" s="295"/>
      <c r="F80" s="296"/>
      <c r="G80" s="31">
        <v>45985</v>
      </c>
      <c r="H80" s="294" t="s">
        <v>7</v>
      </c>
      <c r="I80" s="295"/>
      <c r="J80" s="295"/>
      <c r="K80" s="295"/>
      <c r="L80" s="295"/>
      <c r="M80" s="295"/>
      <c r="N80" s="295"/>
      <c r="O80" s="295"/>
      <c r="P80" s="295"/>
      <c r="Q80" s="295"/>
      <c r="R80" s="296"/>
    </row>
    <row r="81" spans="1:18" ht="24" customHeight="1" x14ac:dyDescent="0.3">
      <c r="A81" s="32" t="s">
        <v>8</v>
      </c>
      <c r="B81" s="32" t="s">
        <v>9</v>
      </c>
      <c r="C81" s="33" t="s">
        <v>10</v>
      </c>
      <c r="D81" s="32" t="s">
        <v>11</v>
      </c>
      <c r="E81" s="32" t="s">
        <v>12</v>
      </c>
      <c r="F81" s="34" t="s">
        <v>13</v>
      </c>
      <c r="G81" s="35" t="s">
        <v>14</v>
      </c>
      <c r="H81" s="32" t="s">
        <v>15</v>
      </c>
      <c r="I81" s="36" t="s">
        <v>16</v>
      </c>
      <c r="J81" s="37" t="s">
        <v>17</v>
      </c>
      <c r="K81" s="38" t="s">
        <v>18</v>
      </c>
      <c r="L81" s="37" t="s">
        <v>19</v>
      </c>
      <c r="M81" s="37" t="s">
        <v>20</v>
      </c>
      <c r="N81" s="37" t="s">
        <v>21</v>
      </c>
      <c r="O81" s="32" t="s">
        <v>22</v>
      </c>
      <c r="P81" s="33" t="s">
        <v>23</v>
      </c>
      <c r="Q81" s="37" t="s">
        <v>24</v>
      </c>
      <c r="R81" s="32" t="s">
        <v>25</v>
      </c>
    </row>
    <row r="82" spans="1:18" ht="15" customHeight="1" x14ac:dyDescent="0.3">
      <c r="A82" s="8" t="s">
        <v>41</v>
      </c>
      <c r="B82" s="8" t="s">
        <v>1265</v>
      </c>
      <c r="C82" s="9">
        <v>0.44791666666666669</v>
      </c>
      <c r="D82" s="8" t="s">
        <v>43</v>
      </c>
      <c r="E82" s="8" t="s">
        <v>83</v>
      </c>
      <c r="F82" s="8" t="s">
        <v>1028</v>
      </c>
      <c r="G82" s="304"/>
      <c r="H82" s="10"/>
      <c r="I82" s="11"/>
      <c r="J82" s="11"/>
      <c r="K82" s="11"/>
      <c r="L82" s="11"/>
      <c r="M82" s="11"/>
      <c r="N82" s="11"/>
      <c r="O82" s="12"/>
      <c r="P82" s="11"/>
      <c r="Q82" s="13"/>
      <c r="R82" s="14"/>
    </row>
    <row r="83" spans="1:18" ht="15" customHeight="1" x14ac:dyDescent="0.3">
      <c r="A83" s="15" t="s">
        <v>41</v>
      </c>
      <c r="B83" s="15" t="s">
        <v>1265</v>
      </c>
      <c r="C83" s="16">
        <v>0.44791666666666669</v>
      </c>
      <c r="D83" s="15" t="s">
        <v>45</v>
      </c>
      <c r="E83" s="15" t="s">
        <v>84</v>
      </c>
      <c r="F83" s="15" t="s">
        <v>33</v>
      </c>
      <c r="G83" s="298"/>
      <c r="H83" s="10"/>
      <c r="I83" s="11"/>
      <c r="J83" s="11"/>
      <c r="K83" s="11"/>
      <c r="L83" s="11"/>
      <c r="M83" s="11"/>
      <c r="N83" s="11"/>
      <c r="O83" s="12"/>
      <c r="P83" s="11"/>
      <c r="Q83" s="13"/>
      <c r="R83" s="14"/>
    </row>
    <row r="84" spans="1:18" ht="15" customHeight="1" x14ac:dyDescent="0.3">
      <c r="A84" s="15" t="s">
        <v>41</v>
      </c>
      <c r="B84" s="15" t="s">
        <v>1265</v>
      </c>
      <c r="C84" s="16">
        <v>0.44791666666666669</v>
      </c>
      <c r="D84" s="15" t="s">
        <v>46</v>
      </c>
      <c r="E84" s="15" t="s">
        <v>84</v>
      </c>
      <c r="F84" s="15" t="s">
        <v>146</v>
      </c>
      <c r="G84" s="298"/>
      <c r="H84" s="10"/>
      <c r="I84" s="11"/>
      <c r="J84" s="11"/>
      <c r="K84" s="11"/>
      <c r="L84" s="11"/>
      <c r="M84" s="11"/>
      <c r="N84" s="11"/>
      <c r="O84" s="12"/>
      <c r="P84" s="11"/>
      <c r="Q84" s="13"/>
      <c r="R84" s="14"/>
    </row>
    <row r="85" spans="1:18" ht="15" customHeight="1" x14ac:dyDescent="0.3">
      <c r="A85" s="19" t="s">
        <v>26</v>
      </c>
      <c r="B85" s="19" t="s">
        <v>1266</v>
      </c>
      <c r="C85" s="20">
        <v>0.33680555555555558</v>
      </c>
      <c r="D85" s="19" t="s">
        <v>28</v>
      </c>
      <c r="E85" s="19" t="s">
        <v>96</v>
      </c>
      <c r="F85" s="19" t="s">
        <v>431</v>
      </c>
      <c r="G85" s="298"/>
      <c r="H85" s="10"/>
      <c r="I85" s="11"/>
      <c r="J85" s="11"/>
      <c r="K85" s="11"/>
      <c r="L85" s="11"/>
      <c r="M85" s="11"/>
      <c r="N85" s="11"/>
      <c r="O85" s="12"/>
      <c r="P85" s="11"/>
      <c r="Q85" s="13"/>
      <c r="R85" s="14"/>
    </row>
    <row r="86" spans="1:18" ht="15" customHeight="1" x14ac:dyDescent="0.3">
      <c r="A86" s="15" t="s">
        <v>26</v>
      </c>
      <c r="B86" s="15" t="s">
        <v>1266</v>
      </c>
      <c r="C86" s="16">
        <v>0.33680555555555558</v>
      </c>
      <c r="D86" s="15" t="s">
        <v>31</v>
      </c>
      <c r="E86" s="15" t="s">
        <v>97</v>
      </c>
      <c r="F86" s="15" t="s">
        <v>508</v>
      </c>
      <c r="G86" s="298"/>
      <c r="H86" s="10"/>
      <c r="I86" s="11"/>
      <c r="J86" s="11"/>
      <c r="K86" s="11"/>
      <c r="L86" s="11"/>
      <c r="M86" s="11"/>
      <c r="N86" s="11"/>
      <c r="O86" s="12"/>
      <c r="P86" s="11"/>
      <c r="Q86" s="13"/>
      <c r="R86" s="14"/>
    </row>
    <row r="87" spans="1:18" ht="15" customHeight="1" x14ac:dyDescent="0.3">
      <c r="A87" s="15" t="s">
        <v>26</v>
      </c>
      <c r="B87" s="15" t="s">
        <v>1266</v>
      </c>
      <c r="C87" s="16">
        <v>0.33680555555555558</v>
      </c>
      <c r="D87" s="15" t="s">
        <v>34</v>
      </c>
      <c r="E87" s="15" t="s">
        <v>97</v>
      </c>
      <c r="F87" s="15" t="s">
        <v>39</v>
      </c>
      <c r="G87" s="298"/>
      <c r="H87" s="10"/>
      <c r="I87" s="11"/>
      <c r="J87" s="11"/>
      <c r="K87" s="11"/>
      <c r="L87" s="11"/>
      <c r="M87" s="11"/>
      <c r="N87" s="11"/>
      <c r="O87" s="12"/>
      <c r="P87" s="11"/>
      <c r="Q87" s="13"/>
      <c r="R87" s="14"/>
    </row>
    <row r="88" spans="1:18" ht="15" customHeight="1" x14ac:dyDescent="0.3">
      <c r="A88" s="17" t="s">
        <v>26</v>
      </c>
      <c r="B88" s="17" t="s">
        <v>1268</v>
      </c>
      <c r="C88" s="18">
        <v>0.97222222222222221</v>
      </c>
      <c r="D88" s="17" t="s">
        <v>351</v>
      </c>
      <c r="E88" s="17" t="s">
        <v>58</v>
      </c>
      <c r="F88" s="17" t="s">
        <v>431</v>
      </c>
      <c r="G88" s="298"/>
      <c r="H88" s="10"/>
      <c r="I88" s="11"/>
      <c r="J88" s="11"/>
      <c r="K88" s="11"/>
      <c r="L88" s="11"/>
      <c r="M88" s="11"/>
      <c r="N88" s="11"/>
      <c r="O88" s="12"/>
      <c r="P88" s="11"/>
      <c r="Q88" s="13"/>
      <c r="R88" s="14"/>
    </row>
    <row r="89" spans="1:18" ht="15" customHeight="1" x14ac:dyDescent="0.3">
      <c r="A89" s="15" t="s">
        <v>26</v>
      </c>
      <c r="B89" s="15" t="s">
        <v>1268</v>
      </c>
      <c r="C89" s="16">
        <v>0.97222222222222221</v>
      </c>
      <c r="D89" s="15" t="s">
        <v>28</v>
      </c>
      <c r="E89" s="15" t="s">
        <v>119</v>
      </c>
      <c r="F89" s="15" t="s">
        <v>431</v>
      </c>
      <c r="G89" s="298"/>
      <c r="H89" s="10"/>
      <c r="I89" s="11"/>
      <c r="J89" s="11"/>
      <c r="K89" s="11"/>
      <c r="L89" s="11"/>
      <c r="M89" s="11"/>
      <c r="N89" s="11"/>
      <c r="O89" s="12"/>
      <c r="P89" s="11"/>
      <c r="Q89" s="13"/>
      <c r="R89" s="14"/>
    </row>
    <row r="90" spans="1:18" ht="15" customHeight="1" x14ac:dyDescent="0.3">
      <c r="A90" s="15" t="s">
        <v>26</v>
      </c>
      <c r="B90" s="15" t="s">
        <v>1268</v>
      </c>
      <c r="C90" s="16">
        <v>0.97222222222222221</v>
      </c>
      <c r="D90" s="15" t="s">
        <v>31</v>
      </c>
      <c r="E90" s="15" t="s">
        <v>119</v>
      </c>
      <c r="F90" s="15" t="s">
        <v>508</v>
      </c>
      <c r="G90" s="298"/>
      <c r="H90" s="10"/>
      <c r="I90" s="11"/>
      <c r="J90" s="11"/>
      <c r="K90" s="11"/>
      <c r="L90" s="11"/>
      <c r="M90" s="11"/>
      <c r="N90" s="11"/>
      <c r="O90" s="12"/>
      <c r="P90" s="11"/>
      <c r="Q90" s="13"/>
      <c r="R90" s="14"/>
    </row>
    <row r="91" spans="1:18" ht="15" customHeight="1" x14ac:dyDescent="0.3">
      <c r="A91" s="15" t="s">
        <v>26</v>
      </c>
      <c r="B91" s="15" t="s">
        <v>1268</v>
      </c>
      <c r="C91" s="16">
        <v>0.97222222222222221</v>
      </c>
      <c r="D91" s="15" t="s">
        <v>34</v>
      </c>
      <c r="E91" s="15" t="s">
        <v>119</v>
      </c>
      <c r="F91" s="15" t="s">
        <v>39</v>
      </c>
      <c r="G91" s="298"/>
      <c r="H91" s="10"/>
      <c r="I91" s="11"/>
      <c r="J91" s="11"/>
      <c r="K91" s="11"/>
      <c r="L91" s="11"/>
      <c r="M91" s="11"/>
      <c r="N91" s="11"/>
      <c r="O91" s="12"/>
      <c r="P91" s="11"/>
      <c r="Q91" s="13"/>
      <c r="R91" s="14"/>
    </row>
    <row r="92" spans="1:18" ht="15" customHeight="1" x14ac:dyDescent="0.3">
      <c r="A92" s="19" t="s">
        <v>385</v>
      </c>
      <c r="B92" s="19" t="s">
        <v>1288</v>
      </c>
      <c r="C92" s="20">
        <v>0.75694444444444453</v>
      </c>
      <c r="D92" s="19" t="s">
        <v>101</v>
      </c>
      <c r="E92" s="19" t="s">
        <v>63</v>
      </c>
      <c r="F92" s="19" t="s">
        <v>1171</v>
      </c>
      <c r="G92" s="298"/>
      <c r="H92" s="10"/>
      <c r="I92" s="11"/>
      <c r="J92" s="11"/>
      <c r="K92" s="11"/>
      <c r="L92" s="11"/>
      <c r="M92" s="11"/>
      <c r="N92" s="11"/>
      <c r="O92" s="12"/>
      <c r="P92" s="11"/>
      <c r="Q92" s="13"/>
      <c r="R92" s="14"/>
    </row>
    <row r="93" spans="1:18" ht="15" customHeight="1" x14ac:dyDescent="0.3">
      <c r="A93" s="19" t="s">
        <v>48</v>
      </c>
      <c r="B93" s="19" t="s">
        <v>1277</v>
      </c>
      <c r="C93" s="20">
        <v>0.3263888888888889</v>
      </c>
      <c r="D93" s="19" t="s">
        <v>50</v>
      </c>
      <c r="E93" s="19" t="s">
        <v>63</v>
      </c>
      <c r="F93" s="19" t="s">
        <v>132</v>
      </c>
      <c r="G93" s="298"/>
      <c r="H93" s="10"/>
      <c r="I93" s="11"/>
      <c r="J93" s="11"/>
      <c r="K93" s="11"/>
      <c r="L93" s="11"/>
      <c r="M93" s="11"/>
      <c r="N93" s="11"/>
      <c r="O93" s="12"/>
      <c r="P93" s="11"/>
      <c r="Q93" s="13"/>
      <c r="R93" s="14"/>
    </row>
    <row r="94" spans="1:18" ht="15" customHeight="1" x14ac:dyDescent="0.3">
      <c r="A94" s="17" t="s">
        <v>48</v>
      </c>
      <c r="B94" s="17" t="s">
        <v>1279</v>
      </c>
      <c r="C94" s="18">
        <v>0.97916666666666663</v>
      </c>
      <c r="D94" s="17" t="s">
        <v>50</v>
      </c>
      <c r="E94" s="17" t="s">
        <v>54</v>
      </c>
      <c r="F94" s="17" t="s">
        <v>1281</v>
      </c>
      <c r="G94" s="298"/>
      <c r="H94" s="10"/>
      <c r="I94" s="11"/>
      <c r="J94" s="11"/>
      <c r="K94" s="11"/>
      <c r="L94" s="11"/>
      <c r="M94" s="11"/>
      <c r="N94" s="11"/>
      <c r="O94" s="12"/>
      <c r="P94" s="11"/>
      <c r="Q94" s="13"/>
      <c r="R94" s="14"/>
    </row>
    <row r="95" spans="1:18" ht="15" customHeight="1" x14ac:dyDescent="0.3">
      <c r="A95" s="17" t="s">
        <v>48</v>
      </c>
      <c r="B95" s="17" t="s">
        <v>1280</v>
      </c>
      <c r="C95" s="18">
        <v>0.69444444444444453</v>
      </c>
      <c r="D95" s="17" t="s">
        <v>50</v>
      </c>
      <c r="E95" s="17" t="s">
        <v>54</v>
      </c>
      <c r="F95" s="17" t="s">
        <v>1281</v>
      </c>
      <c r="G95" s="298"/>
      <c r="H95" s="10"/>
      <c r="I95" s="11"/>
      <c r="J95" s="11"/>
      <c r="K95" s="11"/>
      <c r="L95" s="11"/>
      <c r="M95" s="11"/>
      <c r="N95" s="11"/>
      <c r="O95" s="12"/>
      <c r="P95" s="11"/>
      <c r="Q95" s="13"/>
      <c r="R95" s="14"/>
    </row>
    <row r="96" spans="1:18" ht="15" customHeight="1" x14ac:dyDescent="0.3">
      <c r="A96" s="19" t="s">
        <v>60</v>
      </c>
      <c r="B96" s="19" t="s">
        <v>1285</v>
      </c>
      <c r="C96" s="20">
        <v>0.44791666666666669</v>
      </c>
      <c r="D96" s="19" t="s">
        <v>50</v>
      </c>
      <c r="E96" s="19" t="s">
        <v>83</v>
      </c>
      <c r="F96" s="19" t="s">
        <v>1105</v>
      </c>
      <c r="G96" s="298"/>
      <c r="H96" s="10"/>
      <c r="I96" s="11"/>
      <c r="J96" s="11"/>
      <c r="K96" s="11"/>
      <c r="L96" s="11"/>
      <c r="M96" s="11"/>
      <c r="N96" s="11"/>
      <c r="O96" s="12"/>
      <c r="P96" s="11"/>
      <c r="Q96" s="13"/>
      <c r="R96" s="14"/>
    </row>
    <row r="97" spans="1:18" ht="15" customHeight="1" thickBot="1" x14ac:dyDescent="0.35">
      <c r="A97" s="64" t="s">
        <v>60</v>
      </c>
      <c r="B97" s="64" t="s">
        <v>1285</v>
      </c>
      <c r="C97" s="65">
        <v>0.44791666666666669</v>
      </c>
      <c r="D97" s="64" t="s">
        <v>65</v>
      </c>
      <c r="E97" s="64" t="s">
        <v>84</v>
      </c>
      <c r="F97" s="64" t="s">
        <v>1105</v>
      </c>
      <c r="G97" s="299"/>
      <c r="H97" s="41"/>
      <c r="I97" s="42"/>
      <c r="J97" s="42"/>
      <c r="K97" s="42"/>
      <c r="L97" s="42"/>
      <c r="M97" s="42"/>
      <c r="N97" s="42"/>
      <c r="O97" s="43"/>
      <c r="P97" s="42"/>
      <c r="Q97" s="44"/>
      <c r="R97" s="45"/>
    </row>
    <row r="98" spans="1:18" ht="17.399999999999999" customHeight="1" thickBot="1" x14ac:dyDescent="0.35">
      <c r="A98" s="329"/>
      <c r="B98" s="330"/>
      <c r="C98" s="330"/>
      <c r="D98" s="330"/>
      <c r="E98" s="330"/>
      <c r="F98" s="330"/>
      <c r="G98" s="330"/>
      <c r="H98" s="330"/>
      <c r="I98" s="330"/>
      <c r="J98" s="330"/>
      <c r="K98" s="330"/>
      <c r="L98" s="330"/>
      <c r="M98" s="330"/>
      <c r="N98" s="330"/>
      <c r="O98" s="330"/>
      <c r="P98" s="330"/>
      <c r="Q98" s="330"/>
      <c r="R98" s="331"/>
    </row>
    <row r="99" spans="1:18" ht="22.05" customHeight="1" thickTop="1" thickBot="1" x14ac:dyDescent="0.35">
      <c r="A99" s="300" t="s">
        <v>6</v>
      </c>
      <c r="B99" s="295"/>
      <c r="C99" s="295"/>
      <c r="D99" s="295"/>
      <c r="E99" s="295"/>
      <c r="F99" s="296"/>
      <c r="G99" s="31">
        <v>45986</v>
      </c>
      <c r="H99" s="294" t="s">
        <v>7</v>
      </c>
      <c r="I99" s="295"/>
      <c r="J99" s="295"/>
      <c r="K99" s="295"/>
      <c r="L99" s="295"/>
      <c r="M99" s="295"/>
      <c r="N99" s="295"/>
      <c r="O99" s="295"/>
      <c r="P99" s="295"/>
      <c r="Q99" s="295"/>
      <c r="R99" s="296"/>
    </row>
    <row r="100" spans="1:18" ht="24" customHeight="1" x14ac:dyDescent="0.3">
      <c r="A100" s="32" t="s">
        <v>8</v>
      </c>
      <c r="B100" s="32" t="s">
        <v>9</v>
      </c>
      <c r="C100" s="33" t="s">
        <v>10</v>
      </c>
      <c r="D100" s="32" t="s">
        <v>11</v>
      </c>
      <c r="E100" s="32" t="s">
        <v>12</v>
      </c>
      <c r="F100" s="34" t="s">
        <v>13</v>
      </c>
      <c r="G100" s="35" t="s">
        <v>14</v>
      </c>
      <c r="H100" s="32" t="s">
        <v>15</v>
      </c>
      <c r="I100" s="36" t="s">
        <v>16</v>
      </c>
      <c r="J100" s="37" t="s">
        <v>17</v>
      </c>
      <c r="K100" s="38" t="s">
        <v>18</v>
      </c>
      <c r="L100" s="37" t="s">
        <v>19</v>
      </c>
      <c r="M100" s="37" t="s">
        <v>20</v>
      </c>
      <c r="N100" s="37" t="s">
        <v>21</v>
      </c>
      <c r="O100" s="32" t="s">
        <v>22</v>
      </c>
      <c r="P100" s="33" t="s">
        <v>23</v>
      </c>
      <c r="Q100" s="37" t="s">
        <v>24</v>
      </c>
      <c r="R100" s="32" t="s">
        <v>25</v>
      </c>
    </row>
    <row r="101" spans="1:18" ht="15" customHeight="1" x14ac:dyDescent="0.3">
      <c r="A101" s="8" t="s">
        <v>41</v>
      </c>
      <c r="B101" s="8" t="s">
        <v>1265</v>
      </c>
      <c r="C101" s="9">
        <v>0.44791666666666669</v>
      </c>
      <c r="D101" s="8" t="s">
        <v>43</v>
      </c>
      <c r="E101" s="8" t="s">
        <v>29</v>
      </c>
      <c r="F101" s="8" t="s">
        <v>779</v>
      </c>
      <c r="G101" s="304"/>
      <c r="H101" s="10"/>
      <c r="I101" s="11"/>
      <c r="J101" s="11"/>
      <c r="K101" s="11"/>
      <c r="L101" s="11"/>
      <c r="M101" s="11"/>
      <c r="N101" s="11"/>
      <c r="O101" s="12"/>
      <c r="P101" s="11"/>
      <c r="Q101" s="13"/>
      <c r="R101" s="14"/>
    </row>
    <row r="102" spans="1:18" ht="15" customHeight="1" x14ac:dyDescent="0.3">
      <c r="A102" s="15" t="s">
        <v>41</v>
      </c>
      <c r="B102" s="15" t="s">
        <v>1265</v>
      </c>
      <c r="C102" s="16">
        <v>0.44791666666666669</v>
      </c>
      <c r="D102" s="15" t="s">
        <v>45</v>
      </c>
      <c r="E102" s="15" t="s">
        <v>32</v>
      </c>
      <c r="F102" s="15" t="s">
        <v>1097</v>
      </c>
      <c r="G102" s="298"/>
      <c r="H102" s="10"/>
      <c r="I102" s="11"/>
      <c r="J102" s="11"/>
      <c r="K102" s="11"/>
      <c r="L102" s="11"/>
      <c r="M102" s="11"/>
      <c r="N102" s="11"/>
      <c r="O102" s="12"/>
      <c r="P102" s="11"/>
      <c r="Q102" s="13"/>
      <c r="R102" s="14"/>
    </row>
    <row r="103" spans="1:18" ht="15" customHeight="1" x14ac:dyDescent="0.3">
      <c r="A103" s="15" t="s">
        <v>41</v>
      </c>
      <c r="B103" s="15" t="s">
        <v>1265</v>
      </c>
      <c r="C103" s="16">
        <v>0.44791666666666669</v>
      </c>
      <c r="D103" s="15" t="s">
        <v>46</v>
      </c>
      <c r="E103" s="15" t="s">
        <v>32</v>
      </c>
      <c r="F103" s="15" t="s">
        <v>146</v>
      </c>
      <c r="G103" s="298"/>
      <c r="H103" s="10"/>
      <c r="I103" s="11"/>
      <c r="J103" s="11"/>
      <c r="K103" s="11"/>
      <c r="L103" s="11"/>
      <c r="M103" s="11"/>
      <c r="N103" s="11"/>
      <c r="O103" s="12"/>
      <c r="P103" s="11"/>
      <c r="Q103" s="13"/>
      <c r="R103" s="14"/>
    </row>
    <row r="104" spans="1:18" ht="15" customHeight="1" x14ac:dyDescent="0.3">
      <c r="A104" s="19" t="s">
        <v>26</v>
      </c>
      <c r="B104" s="19" t="s">
        <v>1266</v>
      </c>
      <c r="C104" s="20">
        <v>0.33680555555555558</v>
      </c>
      <c r="D104" s="19" t="s">
        <v>28</v>
      </c>
      <c r="E104" s="19" t="s">
        <v>139</v>
      </c>
      <c r="F104" s="19" t="s">
        <v>431</v>
      </c>
      <c r="G104" s="298"/>
      <c r="H104" s="10"/>
      <c r="I104" s="11"/>
      <c r="J104" s="11"/>
      <c r="K104" s="11"/>
      <c r="L104" s="11"/>
      <c r="M104" s="11"/>
      <c r="N104" s="11"/>
      <c r="O104" s="12"/>
      <c r="P104" s="11"/>
      <c r="Q104" s="13"/>
      <c r="R104" s="14"/>
    </row>
    <row r="105" spans="1:18" ht="15" customHeight="1" x14ac:dyDescent="0.3">
      <c r="A105" s="15" t="s">
        <v>26</v>
      </c>
      <c r="B105" s="15" t="s">
        <v>1266</v>
      </c>
      <c r="C105" s="16">
        <v>0.33680555555555558</v>
      </c>
      <c r="D105" s="15" t="s">
        <v>31</v>
      </c>
      <c r="E105" s="15" t="s">
        <v>98</v>
      </c>
      <c r="F105" s="15" t="s">
        <v>508</v>
      </c>
      <c r="G105" s="298"/>
      <c r="H105" s="10"/>
      <c r="I105" s="11"/>
      <c r="J105" s="11"/>
      <c r="K105" s="11"/>
      <c r="L105" s="11"/>
      <c r="M105" s="11"/>
      <c r="N105" s="11"/>
      <c r="O105" s="12"/>
      <c r="P105" s="11"/>
      <c r="Q105" s="13"/>
      <c r="R105" s="14"/>
    </row>
    <row r="106" spans="1:18" ht="15" customHeight="1" x14ac:dyDescent="0.3">
      <c r="A106" s="15" t="s">
        <v>26</v>
      </c>
      <c r="B106" s="15" t="s">
        <v>1266</v>
      </c>
      <c r="C106" s="16">
        <v>0.33680555555555558</v>
      </c>
      <c r="D106" s="15" t="s">
        <v>34</v>
      </c>
      <c r="E106" s="15" t="s">
        <v>98</v>
      </c>
      <c r="F106" s="15" t="s">
        <v>39</v>
      </c>
      <c r="G106" s="298"/>
      <c r="H106" s="10"/>
      <c r="I106" s="11"/>
      <c r="J106" s="11"/>
      <c r="K106" s="11"/>
      <c r="L106" s="11"/>
      <c r="M106" s="11"/>
      <c r="N106" s="11"/>
      <c r="O106" s="12"/>
      <c r="P106" s="11"/>
      <c r="Q106" s="13"/>
      <c r="R106" s="14"/>
    </row>
    <row r="107" spans="1:18" ht="15" customHeight="1" x14ac:dyDescent="0.3">
      <c r="A107" s="17" t="s">
        <v>26</v>
      </c>
      <c r="B107" s="17" t="s">
        <v>1268</v>
      </c>
      <c r="C107" s="18">
        <v>0.97222222222222221</v>
      </c>
      <c r="D107" s="17" t="s">
        <v>28</v>
      </c>
      <c r="E107" s="17" t="s">
        <v>37</v>
      </c>
      <c r="F107" s="17" t="s">
        <v>431</v>
      </c>
      <c r="G107" s="298"/>
      <c r="H107" s="10"/>
      <c r="I107" s="11"/>
      <c r="J107" s="11"/>
      <c r="K107" s="11"/>
      <c r="L107" s="11"/>
      <c r="M107" s="11"/>
      <c r="N107" s="11"/>
      <c r="O107" s="12"/>
      <c r="P107" s="11"/>
      <c r="Q107" s="13"/>
      <c r="R107" s="14"/>
    </row>
    <row r="108" spans="1:18" ht="15" customHeight="1" x14ac:dyDescent="0.3">
      <c r="A108" s="15" t="s">
        <v>26</v>
      </c>
      <c r="B108" s="15" t="s">
        <v>1268</v>
      </c>
      <c r="C108" s="16">
        <v>0.97222222222222221</v>
      </c>
      <c r="D108" s="15" t="s">
        <v>31</v>
      </c>
      <c r="E108" s="15" t="s">
        <v>38</v>
      </c>
      <c r="F108" s="15" t="s">
        <v>508</v>
      </c>
      <c r="G108" s="298"/>
      <c r="H108" s="10"/>
      <c r="I108" s="11"/>
      <c r="J108" s="11"/>
      <c r="K108" s="11"/>
      <c r="L108" s="11"/>
      <c r="M108" s="11"/>
      <c r="N108" s="11"/>
      <c r="O108" s="12"/>
      <c r="P108" s="11"/>
      <c r="Q108" s="13"/>
      <c r="R108" s="14"/>
    </row>
    <row r="109" spans="1:18" ht="15" customHeight="1" x14ac:dyDescent="0.3">
      <c r="A109" s="15" t="s">
        <v>26</v>
      </c>
      <c r="B109" s="15" t="s">
        <v>1268</v>
      </c>
      <c r="C109" s="16">
        <v>0.97222222222222221</v>
      </c>
      <c r="D109" s="15" t="s">
        <v>34</v>
      </c>
      <c r="E109" s="15" t="s">
        <v>38</v>
      </c>
      <c r="F109" s="15" t="s">
        <v>39</v>
      </c>
      <c r="G109" s="298"/>
      <c r="H109" s="10"/>
      <c r="I109" s="11"/>
      <c r="J109" s="11"/>
      <c r="K109" s="11"/>
      <c r="L109" s="11"/>
      <c r="M109" s="11"/>
      <c r="N109" s="11"/>
      <c r="O109" s="12"/>
      <c r="P109" s="11"/>
      <c r="Q109" s="13"/>
      <c r="R109" s="14"/>
    </row>
    <row r="110" spans="1:18" ht="15" customHeight="1" x14ac:dyDescent="0.3">
      <c r="A110" s="179" t="s">
        <v>77</v>
      </c>
      <c r="B110" s="179" t="s">
        <v>1282</v>
      </c>
      <c r="C110" s="180">
        <v>6.9444444444444434E-2</v>
      </c>
      <c r="D110" s="179" t="s">
        <v>101</v>
      </c>
      <c r="E110" s="179" t="s">
        <v>63</v>
      </c>
      <c r="F110" s="179" t="s">
        <v>153</v>
      </c>
      <c r="G110" s="298"/>
      <c r="H110" s="181" t="s">
        <v>1283</v>
      </c>
      <c r="I110" s="236">
        <v>0.38329999999999997</v>
      </c>
      <c r="J110" s="183">
        <v>69</v>
      </c>
      <c r="K110" s="184">
        <v>45980</v>
      </c>
      <c r="L110" s="183">
        <v>25</v>
      </c>
      <c r="M110" s="183">
        <v>4</v>
      </c>
      <c r="N110" s="183">
        <v>12</v>
      </c>
      <c r="O110" s="185" t="s">
        <v>739</v>
      </c>
      <c r="P110" s="186">
        <v>6.9444444444444434E-2</v>
      </c>
      <c r="Q110" s="183">
        <v>180</v>
      </c>
      <c r="R110" s="187" t="s">
        <v>1298</v>
      </c>
    </row>
    <row r="111" spans="1:18" ht="15" customHeight="1" x14ac:dyDescent="0.3">
      <c r="A111" s="19" t="s">
        <v>458</v>
      </c>
      <c r="B111" s="19" t="s">
        <v>1272</v>
      </c>
      <c r="C111" s="20">
        <v>0.88194444444444453</v>
      </c>
      <c r="D111" s="19" t="s">
        <v>101</v>
      </c>
      <c r="E111" s="19" t="s">
        <v>29</v>
      </c>
      <c r="F111" s="19" t="s">
        <v>1121</v>
      </c>
      <c r="G111" s="298"/>
      <c r="H111" s="10"/>
      <c r="I111" s="11"/>
      <c r="J111" s="11"/>
      <c r="K111" s="11"/>
      <c r="L111" s="11"/>
      <c r="M111" s="11"/>
      <c r="N111" s="11"/>
      <c r="O111" s="12"/>
      <c r="P111" s="11"/>
      <c r="Q111" s="13"/>
      <c r="R111" s="14"/>
    </row>
    <row r="112" spans="1:18" ht="15" customHeight="1" x14ac:dyDescent="0.3">
      <c r="A112" s="19" t="s">
        <v>385</v>
      </c>
      <c r="B112" s="19" t="s">
        <v>1275</v>
      </c>
      <c r="C112" s="20">
        <v>0.75694444444444453</v>
      </c>
      <c r="D112" s="19" t="s">
        <v>101</v>
      </c>
      <c r="E112" s="19" t="s">
        <v>85</v>
      </c>
      <c r="F112" s="19" t="s">
        <v>493</v>
      </c>
      <c r="G112" s="298"/>
      <c r="H112" s="10"/>
      <c r="I112" s="11"/>
      <c r="J112" s="11"/>
      <c r="K112" s="11"/>
      <c r="L112" s="11"/>
      <c r="M112" s="11"/>
      <c r="N112" s="11"/>
      <c r="O112" s="12"/>
      <c r="P112" s="11"/>
      <c r="Q112" s="13"/>
      <c r="R112" s="14"/>
    </row>
    <row r="113" spans="1:18" ht="15" customHeight="1" x14ac:dyDescent="0.3">
      <c r="A113" s="19" t="s">
        <v>48</v>
      </c>
      <c r="B113" s="19" t="s">
        <v>1277</v>
      </c>
      <c r="C113" s="20">
        <v>0.33680555555555558</v>
      </c>
      <c r="D113" s="19" t="s">
        <v>50</v>
      </c>
      <c r="E113" s="19" t="s">
        <v>63</v>
      </c>
      <c r="F113" s="19" t="s">
        <v>1281</v>
      </c>
      <c r="G113" s="298"/>
      <c r="H113" s="10"/>
      <c r="I113" s="11"/>
      <c r="J113" s="11"/>
      <c r="K113" s="11"/>
      <c r="L113" s="11"/>
      <c r="M113" s="11"/>
      <c r="N113" s="11"/>
      <c r="O113" s="12"/>
      <c r="P113" s="11"/>
      <c r="Q113" s="13"/>
      <c r="R113" s="14"/>
    </row>
    <row r="114" spans="1:18" ht="15" customHeight="1" x14ac:dyDescent="0.3">
      <c r="A114" s="17" t="s">
        <v>48</v>
      </c>
      <c r="B114" s="17" t="s">
        <v>1279</v>
      </c>
      <c r="C114" s="18">
        <v>0.97916666666666663</v>
      </c>
      <c r="D114" s="17" t="s">
        <v>50</v>
      </c>
      <c r="E114" s="17" t="s">
        <v>54</v>
      </c>
      <c r="F114" s="17" t="s">
        <v>1299</v>
      </c>
      <c r="G114" s="298"/>
      <c r="H114" s="10"/>
      <c r="I114" s="11"/>
      <c r="J114" s="11"/>
      <c r="K114" s="11"/>
      <c r="L114" s="11"/>
      <c r="M114" s="11"/>
      <c r="N114" s="11"/>
      <c r="O114" s="12"/>
      <c r="P114" s="11"/>
      <c r="Q114" s="13"/>
      <c r="R114" s="14"/>
    </row>
    <row r="115" spans="1:18" ht="15" customHeight="1" x14ac:dyDescent="0.3">
      <c r="A115" s="17" t="s">
        <v>48</v>
      </c>
      <c r="B115" s="17" t="s">
        <v>1280</v>
      </c>
      <c r="C115" s="18">
        <v>0.67361111111111116</v>
      </c>
      <c r="D115" s="17" t="s">
        <v>50</v>
      </c>
      <c r="E115" s="17" t="s">
        <v>144</v>
      </c>
      <c r="F115" s="17" t="s">
        <v>1291</v>
      </c>
      <c r="G115" s="298"/>
      <c r="H115" s="10"/>
      <c r="I115" s="11"/>
      <c r="J115" s="11"/>
      <c r="K115" s="11"/>
      <c r="L115" s="11"/>
      <c r="M115" s="11"/>
      <c r="N115" s="11"/>
      <c r="O115" s="12"/>
      <c r="P115" s="11"/>
      <c r="Q115" s="13"/>
      <c r="R115" s="14"/>
    </row>
    <row r="116" spans="1:18" ht="15" customHeight="1" thickBot="1" x14ac:dyDescent="0.35">
      <c r="A116" s="231" t="s">
        <v>60</v>
      </c>
      <c r="B116" s="231" t="s">
        <v>1285</v>
      </c>
      <c r="C116" s="232">
        <v>0.44791666666666669</v>
      </c>
      <c r="D116" s="231" t="s">
        <v>65</v>
      </c>
      <c r="E116" s="231" t="s">
        <v>83</v>
      </c>
      <c r="F116" s="231" t="s">
        <v>1146</v>
      </c>
      <c r="G116" s="299"/>
      <c r="H116" s="41"/>
      <c r="I116" s="42"/>
      <c r="J116" s="42"/>
      <c r="K116" s="42"/>
      <c r="L116" s="42"/>
      <c r="M116" s="42"/>
      <c r="N116" s="42"/>
      <c r="O116" s="43"/>
      <c r="P116" s="42"/>
      <c r="Q116" s="44"/>
      <c r="R116" s="45"/>
    </row>
    <row r="117" spans="1:18" ht="17.399999999999999" customHeight="1" thickBot="1" x14ac:dyDescent="0.35">
      <c r="A117" s="329"/>
      <c r="B117" s="330"/>
      <c r="C117" s="330"/>
      <c r="D117" s="330"/>
      <c r="E117" s="330"/>
      <c r="F117" s="330"/>
      <c r="G117" s="330"/>
      <c r="H117" s="330"/>
      <c r="I117" s="330"/>
      <c r="J117" s="330"/>
      <c r="K117" s="330"/>
      <c r="L117" s="330"/>
      <c r="M117" s="330"/>
      <c r="N117" s="330"/>
      <c r="O117" s="330"/>
      <c r="P117" s="330"/>
      <c r="Q117" s="330"/>
      <c r="R117" s="331"/>
    </row>
    <row r="118" spans="1:18" ht="22.05" customHeight="1" thickTop="1" thickBot="1" x14ac:dyDescent="0.35">
      <c r="A118" s="300" t="s">
        <v>6</v>
      </c>
      <c r="B118" s="295"/>
      <c r="C118" s="295"/>
      <c r="D118" s="295"/>
      <c r="E118" s="295"/>
      <c r="F118" s="296"/>
      <c r="G118" s="31">
        <v>45987</v>
      </c>
      <c r="H118" s="294" t="s">
        <v>7</v>
      </c>
      <c r="I118" s="295"/>
      <c r="J118" s="295"/>
      <c r="K118" s="295"/>
      <c r="L118" s="295"/>
      <c r="M118" s="295"/>
      <c r="N118" s="295"/>
      <c r="O118" s="295"/>
      <c r="P118" s="295"/>
      <c r="Q118" s="295"/>
      <c r="R118" s="296"/>
    </row>
    <row r="119" spans="1:18" ht="24" customHeight="1" x14ac:dyDescent="0.3">
      <c r="A119" s="32" t="s">
        <v>8</v>
      </c>
      <c r="B119" s="32" t="s">
        <v>9</v>
      </c>
      <c r="C119" s="33" t="s">
        <v>10</v>
      </c>
      <c r="D119" s="32" t="s">
        <v>11</v>
      </c>
      <c r="E119" s="32" t="s">
        <v>12</v>
      </c>
      <c r="F119" s="34" t="s">
        <v>13</v>
      </c>
      <c r="G119" s="35" t="s">
        <v>14</v>
      </c>
      <c r="H119" s="32" t="s">
        <v>15</v>
      </c>
      <c r="I119" s="36" t="s">
        <v>16</v>
      </c>
      <c r="J119" s="37" t="s">
        <v>17</v>
      </c>
      <c r="K119" s="38" t="s">
        <v>18</v>
      </c>
      <c r="L119" s="37" t="s">
        <v>19</v>
      </c>
      <c r="M119" s="37" t="s">
        <v>20</v>
      </c>
      <c r="N119" s="37" t="s">
        <v>21</v>
      </c>
      <c r="O119" s="32" t="s">
        <v>22</v>
      </c>
      <c r="P119" s="33" t="s">
        <v>23</v>
      </c>
      <c r="Q119" s="37" t="s">
        <v>24</v>
      </c>
      <c r="R119" s="32" t="s">
        <v>25</v>
      </c>
    </row>
    <row r="120" spans="1:18" ht="15" customHeight="1" x14ac:dyDescent="0.3">
      <c r="A120" s="8" t="s">
        <v>41</v>
      </c>
      <c r="B120" s="8" t="s">
        <v>1265</v>
      </c>
      <c r="C120" s="9">
        <v>0.44791666666666669</v>
      </c>
      <c r="D120" s="8" t="s">
        <v>43</v>
      </c>
      <c r="E120" s="8" t="s">
        <v>96</v>
      </c>
      <c r="F120" s="8" t="s">
        <v>143</v>
      </c>
      <c r="G120" s="304"/>
      <c r="H120" s="10"/>
      <c r="I120" s="11"/>
      <c r="J120" s="11"/>
      <c r="K120" s="11"/>
      <c r="L120" s="11"/>
      <c r="M120" s="11"/>
      <c r="N120" s="11"/>
      <c r="O120" s="12"/>
      <c r="P120" s="11"/>
      <c r="Q120" s="13"/>
      <c r="R120" s="14"/>
    </row>
    <row r="121" spans="1:18" ht="15" customHeight="1" x14ac:dyDescent="0.3">
      <c r="A121" s="15" t="s">
        <v>41</v>
      </c>
      <c r="B121" s="15" t="s">
        <v>1265</v>
      </c>
      <c r="C121" s="16">
        <v>0.44791666666666669</v>
      </c>
      <c r="D121" s="15" t="s">
        <v>45</v>
      </c>
      <c r="E121" s="15" t="s">
        <v>97</v>
      </c>
      <c r="F121" s="15" t="s">
        <v>47</v>
      </c>
      <c r="G121" s="298"/>
      <c r="H121" s="10"/>
      <c r="I121" s="11"/>
      <c r="J121" s="11"/>
      <c r="K121" s="11"/>
      <c r="L121" s="11"/>
      <c r="M121" s="11"/>
      <c r="N121" s="11"/>
      <c r="O121" s="12"/>
      <c r="P121" s="11"/>
      <c r="Q121" s="13"/>
      <c r="R121" s="14"/>
    </row>
    <row r="122" spans="1:18" ht="15" customHeight="1" x14ac:dyDescent="0.3">
      <c r="A122" s="15" t="s">
        <v>41</v>
      </c>
      <c r="B122" s="15" t="s">
        <v>1265</v>
      </c>
      <c r="C122" s="16">
        <v>0.44791666666666669</v>
      </c>
      <c r="D122" s="15" t="s">
        <v>46</v>
      </c>
      <c r="E122" s="15" t="s">
        <v>97</v>
      </c>
      <c r="F122" s="15" t="s">
        <v>146</v>
      </c>
      <c r="G122" s="298"/>
      <c r="H122" s="10"/>
      <c r="I122" s="11"/>
      <c r="J122" s="11"/>
      <c r="K122" s="11"/>
      <c r="L122" s="11"/>
      <c r="M122" s="11"/>
      <c r="N122" s="11"/>
      <c r="O122" s="12"/>
      <c r="P122" s="11"/>
      <c r="Q122" s="13"/>
      <c r="R122" s="14"/>
    </row>
    <row r="123" spans="1:18" ht="15" customHeight="1" x14ac:dyDescent="0.3">
      <c r="A123" s="19" t="s">
        <v>26</v>
      </c>
      <c r="B123" s="19" t="s">
        <v>1268</v>
      </c>
      <c r="C123" s="20">
        <v>0.97222222222222221</v>
      </c>
      <c r="D123" s="19" t="s">
        <v>28</v>
      </c>
      <c r="E123" s="19" t="s">
        <v>139</v>
      </c>
      <c r="F123" s="19" t="s">
        <v>493</v>
      </c>
      <c r="G123" s="298"/>
      <c r="H123" s="10"/>
      <c r="I123" s="11"/>
      <c r="J123" s="11"/>
      <c r="K123" s="11"/>
      <c r="L123" s="11"/>
      <c r="M123" s="11"/>
      <c r="N123" s="11"/>
      <c r="O123" s="12"/>
      <c r="P123" s="11"/>
      <c r="Q123" s="13"/>
      <c r="R123" s="14"/>
    </row>
    <row r="124" spans="1:18" ht="15" customHeight="1" x14ac:dyDescent="0.3">
      <c r="A124" s="15" t="s">
        <v>26</v>
      </c>
      <c r="B124" s="15" t="s">
        <v>1268</v>
      </c>
      <c r="C124" s="16">
        <v>0.97222222222222221</v>
      </c>
      <c r="D124" s="15" t="s">
        <v>31</v>
      </c>
      <c r="E124" s="15" t="s">
        <v>98</v>
      </c>
      <c r="F124" s="15" t="s">
        <v>47</v>
      </c>
      <c r="G124" s="298"/>
      <c r="H124" s="10"/>
      <c r="I124" s="11"/>
      <c r="J124" s="11"/>
      <c r="K124" s="11"/>
      <c r="L124" s="11"/>
      <c r="M124" s="11"/>
      <c r="N124" s="11"/>
      <c r="O124" s="12"/>
      <c r="P124" s="11"/>
      <c r="Q124" s="13"/>
      <c r="R124" s="14"/>
    </row>
    <row r="125" spans="1:18" ht="15" customHeight="1" x14ac:dyDescent="0.3">
      <c r="A125" s="15" t="s">
        <v>26</v>
      </c>
      <c r="B125" s="15" t="s">
        <v>1268</v>
      </c>
      <c r="C125" s="16">
        <v>0.97222222222222221</v>
      </c>
      <c r="D125" s="15" t="s">
        <v>34</v>
      </c>
      <c r="E125" s="15" t="s">
        <v>98</v>
      </c>
      <c r="F125" s="15" t="s">
        <v>1139</v>
      </c>
      <c r="G125" s="298"/>
      <c r="H125" s="10"/>
      <c r="I125" s="11"/>
      <c r="J125" s="11"/>
      <c r="K125" s="11"/>
      <c r="L125" s="11"/>
      <c r="M125" s="11"/>
      <c r="N125" s="11"/>
      <c r="O125" s="12"/>
      <c r="P125" s="11"/>
      <c r="Q125" s="13"/>
      <c r="R125" s="14"/>
    </row>
    <row r="126" spans="1:18" ht="15" customHeight="1" x14ac:dyDescent="0.3">
      <c r="A126" s="19" t="s">
        <v>385</v>
      </c>
      <c r="B126" s="19" t="s">
        <v>1288</v>
      </c>
      <c r="C126" s="20">
        <v>0.69791666666666663</v>
      </c>
      <c r="D126" s="19" t="s">
        <v>101</v>
      </c>
      <c r="E126" s="19" t="s">
        <v>63</v>
      </c>
      <c r="F126" s="19" t="s">
        <v>1300</v>
      </c>
      <c r="G126" s="298"/>
      <c r="H126" s="10"/>
      <c r="I126" s="11"/>
      <c r="J126" s="11"/>
      <c r="K126" s="11"/>
      <c r="L126" s="11"/>
      <c r="M126" s="11"/>
      <c r="N126" s="11"/>
      <c r="O126" s="12"/>
      <c r="P126" s="11"/>
      <c r="Q126" s="13"/>
      <c r="R126" s="14"/>
    </row>
    <row r="127" spans="1:18" ht="15" customHeight="1" x14ac:dyDescent="0.3">
      <c r="A127" s="19" t="s">
        <v>48</v>
      </c>
      <c r="B127" s="19" t="s">
        <v>1277</v>
      </c>
      <c r="C127" s="20">
        <v>0.33680555555555558</v>
      </c>
      <c r="D127" s="19" t="s">
        <v>50</v>
      </c>
      <c r="E127" s="19" t="s">
        <v>63</v>
      </c>
      <c r="F127" s="19" t="s">
        <v>1299</v>
      </c>
      <c r="G127" s="298"/>
      <c r="H127" s="10"/>
      <c r="I127" s="11"/>
      <c r="J127" s="11"/>
      <c r="K127" s="11"/>
      <c r="L127" s="11"/>
      <c r="M127" s="11"/>
      <c r="N127" s="11"/>
      <c r="O127" s="12"/>
      <c r="P127" s="11"/>
      <c r="Q127" s="13"/>
      <c r="R127" s="14"/>
    </row>
    <row r="128" spans="1:18" ht="15" customHeight="1" x14ac:dyDescent="0.3">
      <c r="A128" s="17" t="s">
        <v>48</v>
      </c>
      <c r="B128" s="17" t="s">
        <v>1279</v>
      </c>
      <c r="C128" s="18">
        <v>0.97916666666666663</v>
      </c>
      <c r="D128" s="17" t="s">
        <v>50</v>
      </c>
      <c r="E128" s="17" t="s">
        <v>58</v>
      </c>
      <c r="F128" s="17" t="s">
        <v>1301</v>
      </c>
      <c r="G128" s="298"/>
      <c r="H128" s="10"/>
      <c r="I128" s="11"/>
      <c r="J128" s="11"/>
      <c r="K128" s="11"/>
      <c r="L128" s="11"/>
      <c r="M128" s="11"/>
      <c r="N128" s="11"/>
      <c r="O128" s="12"/>
      <c r="P128" s="11"/>
      <c r="Q128" s="13"/>
      <c r="R128" s="14"/>
    </row>
    <row r="129" spans="1:18" ht="15" customHeight="1" x14ac:dyDescent="0.3">
      <c r="A129" s="17" t="s">
        <v>48</v>
      </c>
      <c r="B129" s="17" t="s">
        <v>1280</v>
      </c>
      <c r="C129" s="18">
        <v>0.67708333333333337</v>
      </c>
      <c r="D129" s="17" t="s">
        <v>50</v>
      </c>
      <c r="E129" s="17" t="s">
        <v>69</v>
      </c>
      <c r="F129" s="17" t="s">
        <v>1302</v>
      </c>
      <c r="G129" s="298"/>
      <c r="H129" s="10"/>
      <c r="I129" s="11"/>
      <c r="J129" s="11"/>
      <c r="K129" s="11"/>
      <c r="L129" s="11"/>
      <c r="M129" s="11"/>
      <c r="N129" s="11"/>
      <c r="O129" s="12"/>
      <c r="P129" s="11"/>
      <c r="Q129" s="13"/>
      <c r="R129" s="14"/>
    </row>
    <row r="130" spans="1:18" ht="15" customHeight="1" thickBot="1" x14ac:dyDescent="0.35">
      <c r="A130" s="231" t="s">
        <v>60</v>
      </c>
      <c r="B130" s="231" t="s">
        <v>1285</v>
      </c>
      <c r="C130" s="232">
        <v>0.44791666666666669</v>
      </c>
      <c r="D130" s="231" t="s">
        <v>65</v>
      </c>
      <c r="E130" s="231" t="s">
        <v>83</v>
      </c>
      <c r="F130" s="231" t="s">
        <v>1147</v>
      </c>
      <c r="G130" s="299"/>
      <c r="H130" s="41"/>
      <c r="I130" s="42"/>
      <c r="J130" s="42"/>
      <c r="K130" s="42"/>
      <c r="L130" s="42"/>
      <c r="M130" s="42"/>
      <c r="N130" s="42"/>
      <c r="O130" s="43"/>
      <c r="P130" s="42"/>
      <c r="Q130" s="44"/>
      <c r="R130" s="45"/>
    </row>
    <row r="131" spans="1:18" ht="17.399999999999999" customHeight="1" thickBot="1" x14ac:dyDescent="0.35">
      <c r="A131" s="329"/>
      <c r="B131" s="330"/>
      <c r="C131" s="330"/>
      <c r="D131" s="330"/>
      <c r="E131" s="330"/>
      <c r="F131" s="330"/>
      <c r="G131" s="330"/>
      <c r="H131" s="330"/>
      <c r="I131" s="330"/>
      <c r="J131" s="330"/>
      <c r="K131" s="330"/>
      <c r="L131" s="330"/>
      <c r="M131" s="330"/>
      <c r="N131" s="330"/>
      <c r="O131" s="330"/>
      <c r="P131" s="330"/>
      <c r="Q131" s="330"/>
      <c r="R131" s="331"/>
    </row>
    <row r="132" spans="1:18" ht="22.05" customHeight="1" thickTop="1" thickBot="1" x14ac:dyDescent="0.35">
      <c r="A132" s="300" t="s">
        <v>6</v>
      </c>
      <c r="B132" s="295"/>
      <c r="C132" s="295"/>
      <c r="D132" s="295"/>
      <c r="E132" s="295"/>
      <c r="F132" s="296"/>
      <c r="G132" s="31">
        <v>45988</v>
      </c>
      <c r="H132" s="294" t="s">
        <v>7</v>
      </c>
      <c r="I132" s="295"/>
      <c r="J132" s="295"/>
      <c r="K132" s="295"/>
      <c r="L132" s="295"/>
      <c r="M132" s="295"/>
      <c r="N132" s="295"/>
      <c r="O132" s="295"/>
      <c r="P132" s="295"/>
      <c r="Q132" s="295"/>
      <c r="R132" s="296"/>
    </row>
    <row r="133" spans="1:18" ht="24" customHeight="1" x14ac:dyDescent="0.3">
      <c r="A133" s="32" t="s">
        <v>8</v>
      </c>
      <c r="B133" s="32" t="s">
        <v>9</v>
      </c>
      <c r="C133" s="33" t="s">
        <v>10</v>
      </c>
      <c r="D133" s="32" t="s">
        <v>11</v>
      </c>
      <c r="E133" s="32" t="s">
        <v>12</v>
      </c>
      <c r="F133" s="34" t="s">
        <v>13</v>
      </c>
      <c r="G133" s="35" t="s">
        <v>14</v>
      </c>
      <c r="H133" s="32" t="s">
        <v>15</v>
      </c>
      <c r="I133" s="36" t="s">
        <v>16</v>
      </c>
      <c r="J133" s="37" t="s">
        <v>17</v>
      </c>
      <c r="K133" s="38" t="s">
        <v>18</v>
      </c>
      <c r="L133" s="37" t="s">
        <v>19</v>
      </c>
      <c r="M133" s="37" t="s">
        <v>20</v>
      </c>
      <c r="N133" s="37" t="s">
        <v>21</v>
      </c>
      <c r="O133" s="32" t="s">
        <v>22</v>
      </c>
      <c r="P133" s="33" t="s">
        <v>23</v>
      </c>
      <c r="Q133" s="37" t="s">
        <v>24</v>
      </c>
      <c r="R133" s="32" t="s">
        <v>25</v>
      </c>
    </row>
    <row r="134" spans="1:18" ht="15" customHeight="1" x14ac:dyDescent="0.3">
      <c r="A134" s="8" t="s">
        <v>41</v>
      </c>
      <c r="B134" s="8" t="s">
        <v>1265</v>
      </c>
      <c r="C134" s="9">
        <v>0.44791666666666669</v>
      </c>
      <c r="D134" s="8" t="s">
        <v>43</v>
      </c>
      <c r="E134" s="8" t="s">
        <v>83</v>
      </c>
      <c r="F134" s="8" t="s">
        <v>143</v>
      </c>
      <c r="G134" s="297"/>
      <c r="H134" s="10"/>
      <c r="I134" s="11"/>
      <c r="J134" s="11"/>
      <c r="K134" s="11"/>
      <c r="L134" s="11"/>
      <c r="M134" s="11"/>
      <c r="N134" s="11"/>
      <c r="O134" s="12"/>
      <c r="P134" s="11"/>
      <c r="Q134" s="13"/>
      <c r="R134" s="14"/>
    </row>
    <row r="135" spans="1:18" ht="15" customHeight="1" x14ac:dyDescent="0.3">
      <c r="A135" s="15" t="s">
        <v>41</v>
      </c>
      <c r="B135" s="15" t="s">
        <v>1265</v>
      </c>
      <c r="C135" s="16">
        <v>0.44791666666666669</v>
      </c>
      <c r="D135" s="15" t="s">
        <v>45</v>
      </c>
      <c r="E135" s="15" t="s">
        <v>84</v>
      </c>
      <c r="F135" s="15" t="s">
        <v>47</v>
      </c>
      <c r="G135" s="298"/>
      <c r="H135" s="10"/>
      <c r="I135" s="11"/>
      <c r="J135" s="11"/>
      <c r="K135" s="11"/>
      <c r="L135" s="11"/>
      <c r="M135" s="11"/>
      <c r="N135" s="11"/>
      <c r="O135" s="12"/>
      <c r="P135" s="11"/>
      <c r="Q135" s="13"/>
      <c r="R135" s="14"/>
    </row>
    <row r="136" spans="1:18" ht="15" customHeight="1" x14ac:dyDescent="0.3">
      <c r="A136" s="15" t="s">
        <v>41</v>
      </c>
      <c r="B136" s="15" t="s">
        <v>1265</v>
      </c>
      <c r="C136" s="16">
        <v>0.44791666666666669</v>
      </c>
      <c r="D136" s="15" t="s">
        <v>46</v>
      </c>
      <c r="E136" s="15" t="s">
        <v>84</v>
      </c>
      <c r="F136" s="15" t="s">
        <v>146</v>
      </c>
      <c r="G136" s="298"/>
      <c r="H136" s="10"/>
      <c r="I136" s="11"/>
      <c r="J136" s="11"/>
      <c r="K136" s="11"/>
      <c r="L136" s="11"/>
      <c r="M136" s="11"/>
      <c r="N136" s="11"/>
      <c r="O136" s="12"/>
      <c r="P136" s="11"/>
      <c r="Q136" s="13"/>
      <c r="R136" s="14"/>
    </row>
    <row r="137" spans="1:18" ht="15" customHeight="1" x14ac:dyDescent="0.3">
      <c r="A137" s="19" t="s">
        <v>26</v>
      </c>
      <c r="B137" s="19" t="s">
        <v>1266</v>
      </c>
      <c r="C137" s="20">
        <v>0.33680555555555558</v>
      </c>
      <c r="D137" s="19" t="s">
        <v>28</v>
      </c>
      <c r="E137" s="19" t="s">
        <v>138</v>
      </c>
      <c r="F137" s="19" t="s">
        <v>493</v>
      </c>
      <c r="G137" s="298"/>
      <c r="H137" s="10"/>
      <c r="I137" s="11"/>
      <c r="J137" s="11"/>
      <c r="K137" s="11"/>
      <c r="L137" s="11"/>
      <c r="M137" s="11"/>
      <c r="N137" s="11"/>
      <c r="O137" s="12"/>
      <c r="P137" s="11"/>
      <c r="Q137" s="13"/>
      <c r="R137" s="14"/>
    </row>
    <row r="138" spans="1:18" ht="15" customHeight="1" x14ac:dyDescent="0.3">
      <c r="A138" s="15" t="s">
        <v>26</v>
      </c>
      <c r="B138" s="15" t="s">
        <v>1266</v>
      </c>
      <c r="C138" s="16">
        <v>0.33680555555555558</v>
      </c>
      <c r="D138" s="15" t="s">
        <v>31</v>
      </c>
      <c r="E138" s="15" t="s">
        <v>38</v>
      </c>
      <c r="F138" s="15" t="s">
        <v>47</v>
      </c>
      <c r="G138" s="298"/>
      <c r="H138" s="10"/>
      <c r="I138" s="11"/>
      <c r="J138" s="11"/>
      <c r="K138" s="11"/>
      <c r="L138" s="11"/>
      <c r="M138" s="11"/>
      <c r="N138" s="11"/>
      <c r="O138" s="12"/>
      <c r="P138" s="11"/>
      <c r="Q138" s="13"/>
      <c r="R138" s="14"/>
    </row>
    <row r="139" spans="1:18" ht="15" customHeight="1" x14ac:dyDescent="0.3">
      <c r="A139" s="15" t="s">
        <v>26</v>
      </c>
      <c r="B139" s="15" t="s">
        <v>1266</v>
      </c>
      <c r="C139" s="16">
        <v>0.33680555555555558</v>
      </c>
      <c r="D139" s="15" t="s">
        <v>34</v>
      </c>
      <c r="E139" s="15" t="s">
        <v>38</v>
      </c>
      <c r="F139" s="15" t="s">
        <v>1139</v>
      </c>
      <c r="G139" s="298"/>
      <c r="H139" s="10"/>
      <c r="I139" s="11"/>
      <c r="J139" s="11"/>
      <c r="K139" s="11"/>
      <c r="L139" s="11"/>
      <c r="M139" s="11"/>
      <c r="N139" s="11"/>
      <c r="O139" s="12"/>
      <c r="P139" s="11"/>
      <c r="Q139" s="13"/>
      <c r="R139" s="14"/>
    </row>
    <row r="140" spans="1:18" ht="15" customHeight="1" x14ac:dyDescent="0.3">
      <c r="A140" s="17" t="s">
        <v>26</v>
      </c>
      <c r="B140" s="17" t="s">
        <v>1268</v>
      </c>
      <c r="C140" s="18">
        <v>0.97222222222222221</v>
      </c>
      <c r="D140" s="17" t="s">
        <v>28</v>
      </c>
      <c r="E140" s="17" t="s">
        <v>37</v>
      </c>
      <c r="F140" s="17" t="s">
        <v>150</v>
      </c>
      <c r="G140" s="298"/>
      <c r="H140" s="10"/>
      <c r="I140" s="11"/>
      <c r="J140" s="11"/>
      <c r="K140" s="11"/>
      <c r="L140" s="11"/>
      <c r="M140" s="11"/>
      <c r="N140" s="11"/>
      <c r="O140" s="12"/>
      <c r="P140" s="11"/>
      <c r="Q140" s="13"/>
      <c r="R140" s="14"/>
    </row>
    <row r="141" spans="1:18" ht="15" customHeight="1" x14ac:dyDescent="0.3">
      <c r="A141" s="15" t="s">
        <v>26</v>
      </c>
      <c r="B141" s="15" t="s">
        <v>1268</v>
      </c>
      <c r="C141" s="16">
        <v>0.97222222222222221</v>
      </c>
      <c r="D141" s="15" t="s">
        <v>31</v>
      </c>
      <c r="E141" s="15" t="s">
        <v>38</v>
      </c>
      <c r="F141" s="15" t="s">
        <v>1159</v>
      </c>
      <c r="G141" s="298"/>
      <c r="H141" s="10"/>
      <c r="I141" s="11"/>
      <c r="J141" s="11"/>
      <c r="K141" s="11"/>
      <c r="L141" s="11"/>
      <c r="M141" s="11"/>
      <c r="N141" s="11"/>
      <c r="O141" s="12"/>
      <c r="P141" s="11"/>
      <c r="Q141" s="13"/>
      <c r="R141" s="14"/>
    </row>
    <row r="142" spans="1:18" ht="15" customHeight="1" x14ac:dyDescent="0.3">
      <c r="A142" s="15" t="s">
        <v>26</v>
      </c>
      <c r="B142" s="15" t="s">
        <v>1268</v>
      </c>
      <c r="C142" s="16">
        <v>0.97222222222222221</v>
      </c>
      <c r="D142" s="15" t="s">
        <v>34</v>
      </c>
      <c r="E142" s="15" t="s">
        <v>38</v>
      </c>
      <c r="F142" s="15" t="s">
        <v>1292</v>
      </c>
      <c r="G142" s="298"/>
      <c r="H142" s="10"/>
      <c r="I142" s="11"/>
      <c r="J142" s="11"/>
      <c r="K142" s="11"/>
      <c r="L142" s="11"/>
      <c r="M142" s="11"/>
      <c r="N142" s="11"/>
      <c r="O142" s="12"/>
      <c r="P142" s="11"/>
      <c r="Q142" s="13"/>
      <c r="R142" s="14"/>
    </row>
    <row r="143" spans="1:18" ht="15" customHeight="1" x14ac:dyDescent="0.3">
      <c r="A143" s="19" t="s">
        <v>385</v>
      </c>
      <c r="B143" s="19" t="s">
        <v>1273</v>
      </c>
      <c r="C143" s="20">
        <v>0.3611111111111111</v>
      </c>
      <c r="D143" s="19" t="s">
        <v>101</v>
      </c>
      <c r="E143" s="19" t="s">
        <v>51</v>
      </c>
      <c r="F143" s="19" t="s">
        <v>1303</v>
      </c>
      <c r="G143" s="298"/>
      <c r="H143" s="10"/>
      <c r="I143" s="11"/>
      <c r="J143" s="11"/>
      <c r="K143" s="11"/>
      <c r="L143" s="11"/>
      <c r="M143" s="11"/>
      <c r="N143" s="11"/>
      <c r="O143" s="12"/>
      <c r="P143" s="11"/>
      <c r="Q143" s="13"/>
      <c r="R143" s="14"/>
    </row>
    <row r="144" spans="1:18" ht="15" customHeight="1" x14ac:dyDescent="0.3">
      <c r="A144" s="17" t="s">
        <v>385</v>
      </c>
      <c r="B144" s="17" t="s">
        <v>1275</v>
      </c>
      <c r="C144" s="18">
        <v>0.75694444444444453</v>
      </c>
      <c r="D144" s="17" t="s">
        <v>101</v>
      </c>
      <c r="E144" s="17" t="s">
        <v>58</v>
      </c>
      <c r="F144" s="17" t="s">
        <v>1300</v>
      </c>
      <c r="G144" s="298"/>
      <c r="H144" s="10"/>
      <c r="I144" s="11"/>
      <c r="J144" s="11"/>
      <c r="K144" s="11"/>
      <c r="L144" s="11"/>
      <c r="M144" s="11"/>
      <c r="N144" s="11"/>
      <c r="O144" s="12"/>
      <c r="P144" s="11"/>
      <c r="Q144" s="13"/>
      <c r="R144" s="14"/>
    </row>
    <row r="145" spans="1:18" ht="15" customHeight="1" x14ac:dyDescent="0.3">
      <c r="A145" s="19" t="s">
        <v>458</v>
      </c>
      <c r="B145" s="19" t="s">
        <v>1286</v>
      </c>
      <c r="C145" s="20">
        <v>0.96527777777777779</v>
      </c>
      <c r="D145" s="19" t="s">
        <v>101</v>
      </c>
      <c r="E145" s="19" t="s">
        <v>29</v>
      </c>
      <c r="F145" s="19" t="s">
        <v>1304</v>
      </c>
      <c r="G145" s="298"/>
      <c r="H145" s="10"/>
      <c r="I145" s="11"/>
      <c r="J145" s="11"/>
      <c r="K145" s="11"/>
      <c r="L145" s="11"/>
      <c r="M145" s="11"/>
      <c r="N145" s="11"/>
      <c r="O145" s="12"/>
      <c r="P145" s="11"/>
      <c r="Q145" s="13"/>
      <c r="R145" s="14"/>
    </row>
    <row r="146" spans="1:18" ht="15" customHeight="1" x14ac:dyDescent="0.3">
      <c r="A146" s="17" t="s">
        <v>458</v>
      </c>
      <c r="B146" s="17" t="s">
        <v>1270</v>
      </c>
      <c r="C146" s="18">
        <v>7.6388888888888895E-2</v>
      </c>
      <c r="D146" s="17" t="s">
        <v>101</v>
      </c>
      <c r="E146" s="17" t="s">
        <v>54</v>
      </c>
      <c r="F146" s="17" t="s">
        <v>1304</v>
      </c>
      <c r="G146" s="298"/>
      <c r="H146" s="10"/>
      <c r="I146" s="11"/>
      <c r="J146" s="11"/>
      <c r="K146" s="11"/>
      <c r="L146" s="11"/>
      <c r="M146" s="11"/>
      <c r="N146" s="11"/>
      <c r="O146" s="12"/>
      <c r="P146" s="11"/>
      <c r="Q146" s="13"/>
      <c r="R146" s="14"/>
    </row>
    <row r="147" spans="1:18" ht="15" customHeight="1" x14ac:dyDescent="0.3">
      <c r="A147" s="17" t="s">
        <v>458</v>
      </c>
      <c r="B147" s="17" t="s">
        <v>1272</v>
      </c>
      <c r="C147" s="18">
        <v>0.68055555555555547</v>
      </c>
      <c r="D147" s="17" t="s">
        <v>101</v>
      </c>
      <c r="E147" s="17" t="s">
        <v>121</v>
      </c>
      <c r="F147" s="17" t="s">
        <v>1304</v>
      </c>
      <c r="G147" s="298"/>
      <c r="H147" s="10"/>
      <c r="I147" s="11"/>
      <c r="J147" s="11"/>
      <c r="K147" s="11"/>
      <c r="L147" s="11"/>
      <c r="M147" s="11"/>
      <c r="N147" s="11"/>
      <c r="O147" s="12"/>
      <c r="P147" s="11"/>
      <c r="Q147" s="13"/>
      <c r="R147" s="14"/>
    </row>
    <row r="148" spans="1:18" ht="15" customHeight="1" x14ac:dyDescent="0.3">
      <c r="A148" s="164" t="s">
        <v>77</v>
      </c>
      <c r="B148" s="164" t="s">
        <v>1282</v>
      </c>
      <c r="C148" s="165">
        <v>0.72222222222222221</v>
      </c>
      <c r="D148" s="164" t="s">
        <v>101</v>
      </c>
      <c r="E148" s="164" t="s">
        <v>139</v>
      </c>
      <c r="F148" s="164" t="s">
        <v>1305</v>
      </c>
      <c r="G148" s="298"/>
      <c r="H148" s="167" t="s">
        <v>1283</v>
      </c>
      <c r="I148" s="215">
        <v>0.7</v>
      </c>
      <c r="J148" s="169">
        <v>126</v>
      </c>
      <c r="K148" s="170">
        <v>45979</v>
      </c>
      <c r="L148" s="169">
        <v>11</v>
      </c>
      <c r="M148" s="169">
        <v>0</v>
      </c>
      <c r="N148" s="169">
        <v>1</v>
      </c>
      <c r="O148" s="171" t="s">
        <v>277</v>
      </c>
      <c r="P148" s="172">
        <v>0.72222222222222221</v>
      </c>
      <c r="Q148" s="169">
        <v>180</v>
      </c>
      <c r="R148" s="173" t="s">
        <v>1306</v>
      </c>
    </row>
    <row r="149" spans="1:18" ht="15" customHeight="1" x14ac:dyDescent="0.3">
      <c r="A149" s="19" t="s">
        <v>48</v>
      </c>
      <c r="B149" s="19" t="s">
        <v>1277</v>
      </c>
      <c r="C149" s="20">
        <v>0.33680555555555558</v>
      </c>
      <c r="D149" s="19" t="s">
        <v>50</v>
      </c>
      <c r="E149" s="19" t="s">
        <v>63</v>
      </c>
      <c r="F149" s="19" t="s">
        <v>1297</v>
      </c>
      <c r="G149" s="298"/>
      <c r="H149" s="10"/>
      <c r="I149" s="11"/>
      <c r="J149" s="11"/>
      <c r="K149" s="11"/>
      <c r="L149" s="11"/>
      <c r="M149" s="11"/>
      <c r="N149" s="11"/>
      <c r="O149" s="12"/>
      <c r="P149" s="11"/>
      <c r="Q149" s="13"/>
      <c r="R149" s="14"/>
    </row>
    <row r="150" spans="1:18" ht="15" customHeight="1" x14ac:dyDescent="0.3">
      <c r="A150" s="17" t="s">
        <v>48</v>
      </c>
      <c r="B150" s="17" t="s">
        <v>1279</v>
      </c>
      <c r="C150" s="18">
        <v>0.97916666666666663</v>
      </c>
      <c r="D150" s="17" t="s">
        <v>50</v>
      </c>
      <c r="E150" s="17" t="s">
        <v>54</v>
      </c>
      <c r="F150" s="17" t="s">
        <v>1307</v>
      </c>
      <c r="G150" s="298"/>
      <c r="H150" s="10"/>
      <c r="I150" s="11"/>
      <c r="J150" s="11"/>
      <c r="K150" s="11"/>
      <c r="L150" s="11"/>
      <c r="M150" s="11"/>
      <c r="N150" s="11"/>
      <c r="O150" s="12"/>
      <c r="P150" s="11"/>
      <c r="Q150" s="13"/>
      <c r="R150" s="14"/>
    </row>
    <row r="151" spans="1:18" ht="15" customHeight="1" x14ac:dyDescent="0.3">
      <c r="A151" s="17" t="s">
        <v>48</v>
      </c>
      <c r="B151" s="17" t="s">
        <v>1280</v>
      </c>
      <c r="C151" s="18">
        <v>0.69444444444444453</v>
      </c>
      <c r="D151" s="17" t="s">
        <v>50</v>
      </c>
      <c r="E151" s="17" t="s">
        <v>54</v>
      </c>
      <c r="F151" s="17" t="s">
        <v>1308</v>
      </c>
      <c r="G151" s="298"/>
      <c r="H151" s="10"/>
      <c r="I151" s="11"/>
      <c r="J151" s="11"/>
      <c r="K151" s="11"/>
      <c r="L151" s="11"/>
      <c r="M151" s="11"/>
      <c r="N151" s="11"/>
      <c r="O151" s="12"/>
      <c r="P151" s="11"/>
      <c r="Q151" s="13"/>
      <c r="R151" s="14"/>
    </row>
    <row r="152" spans="1:18" ht="15" customHeight="1" thickBot="1" x14ac:dyDescent="0.35">
      <c r="A152" s="231" t="s">
        <v>60</v>
      </c>
      <c r="B152" s="231" t="s">
        <v>1285</v>
      </c>
      <c r="C152" s="232">
        <v>0.44791666666666669</v>
      </c>
      <c r="D152" s="231" t="s">
        <v>65</v>
      </c>
      <c r="E152" s="231" t="s">
        <v>83</v>
      </c>
      <c r="F152" s="231" t="s">
        <v>1147</v>
      </c>
      <c r="G152" s="299"/>
      <c r="H152" s="41"/>
      <c r="I152" s="42"/>
      <c r="J152" s="42"/>
      <c r="K152" s="42"/>
      <c r="L152" s="42"/>
      <c r="M152" s="42"/>
      <c r="N152" s="42"/>
      <c r="O152" s="43"/>
      <c r="P152" s="42"/>
      <c r="Q152" s="44"/>
      <c r="R152" s="45"/>
    </row>
    <row r="153" spans="1:18" ht="17.399999999999999" customHeight="1" thickBot="1" x14ac:dyDescent="0.35">
      <c r="A153" s="329"/>
      <c r="B153" s="330"/>
      <c r="C153" s="330"/>
      <c r="D153" s="330"/>
      <c r="E153" s="330"/>
      <c r="F153" s="330"/>
      <c r="G153" s="330"/>
      <c r="H153" s="330"/>
      <c r="I153" s="330"/>
      <c r="J153" s="330"/>
      <c r="K153" s="330"/>
      <c r="L153" s="330"/>
      <c r="M153" s="330"/>
      <c r="N153" s="330"/>
      <c r="O153" s="330"/>
      <c r="P153" s="330"/>
      <c r="Q153" s="330"/>
      <c r="R153" s="331"/>
    </row>
    <row r="154" spans="1:18" ht="22.05" customHeight="1" thickTop="1" thickBot="1" x14ac:dyDescent="0.35">
      <c r="A154" s="300" t="s">
        <v>6</v>
      </c>
      <c r="B154" s="295"/>
      <c r="C154" s="295"/>
      <c r="D154" s="295"/>
      <c r="E154" s="295"/>
      <c r="F154" s="296"/>
      <c r="G154" s="31">
        <v>45989</v>
      </c>
      <c r="H154" s="294" t="s">
        <v>7</v>
      </c>
      <c r="I154" s="295"/>
      <c r="J154" s="295"/>
      <c r="K154" s="295"/>
      <c r="L154" s="295"/>
      <c r="M154" s="295"/>
      <c r="N154" s="295"/>
      <c r="O154" s="295"/>
      <c r="P154" s="295"/>
      <c r="Q154" s="295"/>
      <c r="R154" s="296"/>
    </row>
    <row r="155" spans="1:18" ht="24" customHeight="1" x14ac:dyDescent="0.3">
      <c r="A155" s="32" t="s">
        <v>8</v>
      </c>
      <c r="B155" s="32" t="s">
        <v>9</v>
      </c>
      <c r="C155" s="33" t="s">
        <v>10</v>
      </c>
      <c r="D155" s="32" t="s">
        <v>11</v>
      </c>
      <c r="E155" s="32" t="s">
        <v>12</v>
      </c>
      <c r="F155" s="34" t="s">
        <v>13</v>
      </c>
      <c r="G155" s="35" t="s">
        <v>14</v>
      </c>
      <c r="H155" s="32" t="s">
        <v>15</v>
      </c>
      <c r="I155" s="36" t="s">
        <v>16</v>
      </c>
      <c r="J155" s="37" t="s">
        <v>17</v>
      </c>
      <c r="K155" s="38" t="s">
        <v>18</v>
      </c>
      <c r="L155" s="37" t="s">
        <v>19</v>
      </c>
      <c r="M155" s="37" t="s">
        <v>20</v>
      </c>
      <c r="N155" s="37" t="s">
        <v>21</v>
      </c>
      <c r="O155" s="32" t="s">
        <v>22</v>
      </c>
      <c r="P155" s="33" t="s">
        <v>23</v>
      </c>
      <c r="Q155" s="37" t="s">
        <v>24</v>
      </c>
      <c r="R155" s="32" t="s">
        <v>25</v>
      </c>
    </row>
    <row r="156" spans="1:18" ht="15" customHeight="1" x14ac:dyDescent="0.3">
      <c r="A156" s="8" t="s">
        <v>41</v>
      </c>
      <c r="B156" s="8" t="s">
        <v>1265</v>
      </c>
      <c r="C156" s="9">
        <v>0.44791666666666669</v>
      </c>
      <c r="D156" s="8" t="s">
        <v>43</v>
      </c>
      <c r="E156" s="8" t="s">
        <v>138</v>
      </c>
      <c r="F156" s="8" t="s">
        <v>1309</v>
      </c>
      <c r="G156" s="304"/>
      <c r="H156" s="10"/>
      <c r="I156" s="11"/>
      <c r="J156" s="11"/>
      <c r="K156" s="11"/>
      <c r="L156" s="11"/>
      <c r="M156" s="11"/>
      <c r="N156" s="11"/>
      <c r="O156" s="12"/>
      <c r="P156" s="11"/>
      <c r="Q156" s="13"/>
      <c r="R156" s="14"/>
    </row>
    <row r="157" spans="1:18" ht="15" customHeight="1" x14ac:dyDescent="0.3">
      <c r="A157" s="15" t="s">
        <v>41</v>
      </c>
      <c r="B157" s="15" t="s">
        <v>1265</v>
      </c>
      <c r="C157" s="16">
        <v>0.44791666666666669</v>
      </c>
      <c r="D157" s="15" t="s">
        <v>45</v>
      </c>
      <c r="E157" s="15" t="s">
        <v>38</v>
      </c>
      <c r="F157" s="15" t="s">
        <v>1310</v>
      </c>
      <c r="G157" s="298"/>
      <c r="H157" s="10"/>
      <c r="I157" s="11"/>
      <c r="J157" s="11"/>
      <c r="K157" s="11"/>
      <c r="L157" s="11"/>
      <c r="M157" s="11"/>
      <c r="N157" s="11"/>
      <c r="O157" s="12"/>
      <c r="P157" s="11"/>
      <c r="Q157" s="13"/>
      <c r="R157" s="14"/>
    </row>
    <row r="158" spans="1:18" ht="15" customHeight="1" x14ac:dyDescent="0.3">
      <c r="A158" s="15" t="s">
        <v>41</v>
      </c>
      <c r="B158" s="15" t="s">
        <v>1265</v>
      </c>
      <c r="C158" s="16">
        <v>0.44791666666666669</v>
      </c>
      <c r="D158" s="15" t="s">
        <v>46</v>
      </c>
      <c r="E158" s="15" t="s">
        <v>38</v>
      </c>
      <c r="F158" s="15" t="s">
        <v>1287</v>
      </c>
      <c r="G158" s="298"/>
      <c r="H158" s="10"/>
      <c r="I158" s="11"/>
      <c r="J158" s="11"/>
      <c r="K158" s="11"/>
      <c r="L158" s="11"/>
      <c r="M158" s="11"/>
      <c r="N158" s="11"/>
      <c r="O158" s="12"/>
      <c r="P158" s="11"/>
      <c r="Q158" s="13"/>
      <c r="R158" s="14"/>
    </row>
    <row r="159" spans="1:18" ht="15" customHeight="1" x14ac:dyDescent="0.3">
      <c r="A159" s="19" t="s">
        <v>26</v>
      </c>
      <c r="B159" s="19" t="s">
        <v>1268</v>
      </c>
      <c r="C159" s="20">
        <v>0.97222222222222221</v>
      </c>
      <c r="D159" s="19" t="s">
        <v>28</v>
      </c>
      <c r="E159" s="19" t="s">
        <v>51</v>
      </c>
      <c r="F159" s="19" t="s">
        <v>550</v>
      </c>
      <c r="G159" s="298"/>
      <c r="H159" s="10"/>
      <c r="I159" s="11"/>
      <c r="J159" s="11"/>
      <c r="K159" s="11"/>
      <c r="L159" s="11"/>
      <c r="M159" s="11"/>
      <c r="N159" s="11"/>
      <c r="O159" s="12"/>
      <c r="P159" s="11"/>
      <c r="Q159" s="13"/>
      <c r="R159" s="14"/>
    </row>
    <row r="160" spans="1:18" ht="15" customHeight="1" x14ac:dyDescent="0.3">
      <c r="A160" s="15" t="s">
        <v>26</v>
      </c>
      <c r="B160" s="15" t="s">
        <v>1268</v>
      </c>
      <c r="C160" s="16">
        <v>0.97222222222222221</v>
      </c>
      <c r="D160" s="15" t="s">
        <v>31</v>
      </c>
      <c r="E160" s="15" t="s">
        <v>133</v>
      </c>
      <c r="F160" s="15" t="s">
        <v>551</v>
      </c>
      <c r="G160" s="298"/>
      <c r="H160" s="10"/>
      <c r="I160" s="11"/>
      <c r="J160" s="11"/>
      <c r="K160" s="11"/>
      <c r="L160" s="11"/>
      <c r="M160" s="11"/>
      <c r="N160" s="11"/>
      <c r="O160" s="12"/>
      <c r="P160" s="11"/>
      <c r="Q160" s="13"/>
      <c r="R160" s="14"/>
    </row>
    <row r="161" spans="1:18" ht="15" customHeight="1" x14ac:dyDescent="0.3">
      <c r="A161" s="15" t="s">
        <v>26</v>
      </c>
      <c r="B161" s="15" t="s">
        <v>1268</v>
      </c>
      <c r="C161" s="16">
        <v>0.97222222222222221</v>
      </c>
      <c r="D161" s="15" t="s">
        <v>34</v>
      </c>
      <c r="E161" s="15" t="s">
        <v>133</v>
      </c>
      <c r="F161" s="15" t="s">
        <v>552</v>
      </c>
      <c r="G161" s="298"/>
      <c r="H161" s="10"/>
      <c r="I161" s="11"/>
      <c r="J161" s="11"/>
      <c r="K161" s="11"/>
      <c r="L161" s="11"/>
      <c r="M161" s="11"/>
      <c r="N161" s="11"/>
      <c r="O161" s="12"/>
      <c r="P161" s="11"/>
      <c r="Q161" s="13"/>
      <c r="R161" s="14"/>
    </row>
    <row r="162" spans="1:18" ht="15" customHeight="1" x14ac:dyDescent="0.3">
      <c r="A162" s="19" t="s">
        <v>458</v>
      </c>
      <c r="B162" s="19" t="s">
        <v>1272</v>
      </c>
      <c r="C162" s="20">
        <v>0.96527777777777779</v>
      </c>
      <c r="D162" s="19" t="s">
        <v>101</v>
      </c>
      <c r="E162" s="19" t="s">
        <v>63</v>
      </c>
      <c r="F162" s="19" t="s">
        <v>1311</v>
      </c>
      <c r="G162" s="298"/>
      <c r="H162" s="10"/>
      <c r="I162" s="11"/>
      <c r="J162" s="11"/>
      <c r="K162" s="11"/>
      <c r="L162" s="11"/>
      <c r="M162" s="11"/>
      <c r="N162" s="11"/>
      <c r="O162" s="12"/>
      <c r="P162" s="11"/>
      <c r="Q162" s="13"/>
      <c r="R162" s="14"/>
    </row>
    <row r="163" spans="1:18" ht="15" customHeight="1" x14ac:dyDescent="0.3">
      <c r="A163" s="75" t="s">
        <v>77</v>
      </c>
      <c r="B163" s="75" t="s">
        <v>1282</v>
      </c>
      <c r="C163" s="76">
        <v>0.38194444444444442</v>
      </c>
      <c r="D163" s="75" t="s">
        <v>101</v>
      </c>
      <c r="E163" s="75" t="s">
        <v>63</v>
      </c>
      <c r="F163" s="75" t="s">
        <v>1312</v>
      </c>
      <c r="G163" s="298"/>
      <c r="H163" s="78" t="s">
        <v>1283</v>
      </c>
      <c r="I163" s="220">
        <v>0.69350000000000001</v>
      </c>
      <c r="J163" s="80">
        <v>129</v>
      </c>
      <c r="K163" s="81">
        <v>45979</v>
      </c>
      <c r="L163" s="80">
        <v>15</v>
      </c>
      <c r="M163" s="80">
        <v>0</v>
      </c>
      <c r="N163" s="80">
        <v>3</v>
      </c>
      <c r="O163" s="82" t="s">
        <v>1166</v>
      </c>
      <c r="P163" s="83">
        <v>0.38194444444444442</v>
      </c>
      <c r="Q163" s="80">
        <v>186</v>
      </c>
      <c r="R163" s="84" t="s">
        <v>1313</v>
      </c>
    </row>
    <row r="164" spans="1:18" ht="15" customHeight="1" x14ac:dyDescent="0.3">
      <c r="A164" s="19" t="s">
        <v>385</v>
      </c>
      <c r="B164" s="19" t="s">
        <v>1288</v>
      </c>
      <c r="C164" s="20">
        <v>0.75694444444444453</v>
      </c>
      <c r="D164" s="19" t="s">
        <v>101</v>
      </c>
      <c r="E164" s="19" t="s">
        <v>118</v>
      </c>
      <c r="F164" s="19" t="s">
        <v>1314</v>
      </c>
      <c r="G164" s="298"/>
      <c r="H164" s="10"/>
      <c r="I164" s="11"/>
      <c r="J164" s="11"/>
      <c r="K164" s="11"/>
      <c r="L164" s="11"/>
      <c r="M164" s="11"/>
      <c r="N164" s="11"/>
      <c r="O164" s="12"/>
      <c r="P164" s="11"/>
      <c r="Q164" s="13"/>
      <c r="R164" s="14"/>
    </row>
    <row r="165" spans="1:18" ht="15" customHeight="1" x14ac:dyDescent="0.3">
      <c r="A165" s="19" t="s">
        <v>48</v>
      </c>
      <c r="B165" s="19" t="s">
        <v>1279</v>
      </c>
      <c r="C165" s="20">
        <v>0.97916666666666663</v>
      </c>
      <c r="D165" s="19" t="s">
        <v>50</v>
      </c>
      <c r="E165" s="19" t="s">
        <v>63</v>
      </c>
      <c r="F165" s="19" t="s">
        <v>1307</v>
      </c>
      <c r="G165" s="298"/>
      <c r="H165" s="10"/>
      <c r="I165" s="11"/>
      <c r="J165" s="11"/>
      <c r="K165" s="11"/>
      <c r="L165" s="11"/>
      <c r="M165" s="11"/>
      <c r="N165" s="11"/>
      <c r="O165" s="12"/>
      <c r="P165" s="11"/>
      <c r="Q165" s="13"/>
      <c r="R165" s="14"/>
    </row>
    <row r="166" spans="1:18" ht="15" customHeight="1" x14ac:dyDescent="0.3">
      <c r="A166" s="17" t="s">
        <v>48</v>
      </c>
      <c r="B166" s="17" t="s">
        <v>1277</v>
      </c>
      <c r="C166" s="18">
        <v>0.3263888888888889</v>
      </c>
      <c r="D166" s="17" t="s">
        <v>50</v>
      </c>
      <c r="E166" s="17" t="s">
        <v>54</v>
      </c>
      <c r="F166" s="17" t="s">
        <v>1315</v>
      </c>
      <c r="G166" s="298"/>
      <c r="H166" s="10"/>
      <c r="I166" s="11"/>
      <c r="J166" s="11"/>
      <c r="K166" s="11"/>
      <c r="L166" s="11"/>
      <c r="M166" s="11"/>
      <c r="N166" s="11"/>
      <c r="O166" s="12"/>
      <c r="P166" s="11"/>
      <c r="Q166" s="13"/>
      <c r="R166" s="14"/>
    </row>
    <row r="167" spans="1:18" ht="15" customHeight="1" thickBot="1" x14ac:dyDescent="0.35">
      <c r="A167" s="231" t="s">
        <v>60</v>
      </c>
      <c r="B167" s="231" t="s">
        <v>1285</v>
      </c>
      <c r="C167" s="232">
        <v>0.44791666666666669</v>
      </c>
      <c r="D167" s="231" t="s">
        <v>65</v>
      </c>
      <c r="E167" s="231" t="s">
        <v>83</v>
      </c>
      <c r="F167" s="231" t="s">
        <v>1316</v>
      </c>
      <c r="G167" s="299"/>
      <c r="H167" s="41"/>
      <c r="I167" s="42"/>
      <c r="J167" s="42"/>
      <c r="K167" s="42"/>
      <c r="L167" s="42"/>
      <c r="M167" s="42"/>
      <c r="N167" s="42"/>
      <c r="O167" s="43"/>
      <c r="P167" s="42"/>
      <c r="Q167" s="44"/>
      <c r="R167" s="45"/>
    </row>
    <row r="168" spans="1:18" ht="17.399999999999999" customHeight="1" thickBot="1" x14ac:dyDescent="0.35">
      <c r="A168" s="329"/>
      <c r="B168" s="330"/>
      <c r="C168" s="330"/>
      <c r="D168" s="330"/>
      <c r="E168" s="330"/>
      <c r="F168" s="330"/>
      <c r="G168" s="330"/>
      <c r="H168" s="330"/>
      <c r="I168" s="330"/>
      <c r="J168" s="330"/>
      <c r="K168" s="330"/>
      <c r="L168" s="330"/>
      <c r="M168" s="330"/>
      <c r="N168" s="330"/>
      <c r="O168" s="330"/>
      <c r="P168" s="330"/>
      <c r="Q168" s="330"/>
      <c r="R168" s="331"/>
    </row>
    <row r="169" spans="1:18" ht="22.05" customHeight="1" thickTop="1" thickBot="1" x14ac:dyDescent="0.35">
      <c r="A169" s="300" t="s">
        <v>6</v>
      </c>
      <c r="B169" s="295"/>
      <c r="C169" s="295"/>
      <c r="D169" s="295"/>
      <c r="E169" s="295"/>
      <c r="F169" s="296"/>
      <c r="G169" s="31">
        <v>45990</v>
      </c>
      <c r="H169" s="294" t="s">
        <v>7</v>
      </c>
      <c r="I169" s="295"/>
      <c r="J169" s="295"/>
      <c r="K169" s="295"/>
      <c r="L169" s="295"/>
      <c r="M169" s="295"/>
      <c r="N169" s="295"/>
      <c r="O169" s="295"/>
      <c r="P169" s="295"/>
      <c r="Q169" s="295"/>
      <c r="R169" s="296"/>
    </row>
    <row r="170" spans="1:18" ht="24" customHeight="1" x14ac:dyDescent="0.3">
      <c r="A170" s="32" t="s">
        <v>8</v>
      </c>
      <c r="B170" s="32" t="s">
        <v>9</v>
      </c>
      <c r="C170" s="33" t="s">
        <v>10</v>
      </c>
      <c r="D170" s="32" t="s">
        <v>11</v>
      </c>
      <c r="E170" s="32" t="s">
        <v>12</v>
      </c>
      <c r="F170" s="34" t="s">
        <v>13</v>
      </c>
      <c r="G170" s="35" t="s">
        <v>14</v>
      </c>
      <c r="H170" s="32" t="s">
        <v>15</v>
      </c>
      <c r="I170" s="36" t="s">
        <v>16</v>
      </c>
      <c r="J170" s="37" t="s">
        <v>17</v>
      </c>
      <c r="K170" s="38" t="s">
        <v>18</v>
      </c>
      <c r="L170" s="37" t="s">
        <v>19</v>
      </c>
      <c r="M170" s="37" t="s">
        <v>20</v>
      </c>
      <c r="N170" s="37" t="s">
        <v>21</v>
      </c>
      <c r="O170" s="32" t="s">
        <v>22</v>
      </c>
      <c r="P170" s="33" t="s">
        <v>23</v>
      </c>
      <c r="Q170" s="37" t="s">
        <v>24</v>
      </c>
      <c r="R170" s="32" t="s">
        <v>25</v>
      </c>
    </row>
    <row r="171" spans="1:18" ht="15" customHeight="1" x14ac:dyDescent="0.3">
      <c r="A171" s="8" t="s">
        <v>26</v>
      </c>
      <c r="B171" s="8" t="s">
        <v>1266</v>
      </c>
      <c r="C171" s="9">
        <v>0.33680555555555558</v>
      </c>
      <c r="D171" s="8" t="s">
        <v>351</v>
      </c>
      <c r="E171" s="8" t="s">
        <v>111</v>
      </c>
      <c r="F171" s="8" t="s">
        <v>1317</v>
      </c>
      <c r="G171" s="297"/>
      <c r="H171" s="10"/>
      <c r="I171" s="11"/>
      <c r="J171" s="11"/>
      <c r="K171" s="11"/>
      <c r="L171" s="11"/>
      <c r="M171" s="11"/>
      <c r="N171" s="11"/>
      <c r="O171" s="12"/>
      <c r="P171" s="11"/>
      <c r="Q171" s="13"/>
      <c r="R171" s="14"/>
    </row>
    <row r="172" spans="1:18" ht="15" customHeight="1" x14ac:dyDescent="0.3">
      <c r="A172" s="15" t="s">
        <v>26</v>
      </c>
      <c r="B172" s="15" t="s">
        <v>1266</v>
      </c>
      <c r="C172" s="16">
        <v>0.33680555555555558</v>
      </c>
      <c r="D172" s="15" t="s">
        <v>28</v>
      </c>
      <c r="E172" s="15" t="s">
        <v>115</v>
      </c>
      <c r="F172" s="15" t="s">
        <v>1317</v>
      </c>
      <c r="G172" s="298"/>
      <c r="H172" s="10"/>
      <c r="I172" s="11"/>
      <c r="J172" s="11"/>
      <c r="K172" s="11"/>
      <c r="L172" s="11"/>
      <c r="M172" s="11"/>
      <c r="N172" s="11"/>
      <c r="O172" s="12"/>
      <c r="P172" s="11"/>
      <c r="Q172" s="13"/>
      <c r="R172" s="14"/>
    </row>
    <row r="173" spans="1:18" ht="15" customHeight="1" x14ac:dyDescent="0.3">
      <c r="A173" s="15" t="s">
        <v>26</v>
      </c>
      <c r="B173" s="15" t="s">
        <v>1266</v>
      </c>
      <c r="C173" s="16">
        <v>0.33680555555555558</v>
      </c>
      <c r="D173" s="15" t="s">
        <v>31</v>
      </c>
      <c r="E173" s="15" t="s">
        <v>115</v>
      </c>
      <c r="F173" s="15" t="s">
        <v>1318</v>
      </c>
      <c r="G173" s="298"/>
      <c r="H173" s="10"/>
      <c r="I173" s="11"/>
      <c r="J173" s="11"/>
      <c r="K173" s="11"/>
      <c r="L173" s="11"/>
      <c r="M173" s="11"/>
      <c r="N173" s="11"/>
      <c r="O173" s="12"/>
      <c r="P173" s="11"/>
      <c r="Q173" s="13"/>
      <c r="R173" s="14"/>
    </row>
    <row r="174" spans="1:18" ht="15" customHeight="1" x14ac:dyDescent="0.3">
      <c r="A174" s="15" t="s">
        <v>26</v>
      </c>
      <c r="B174" s="15" t="s">
        <v>1266</v>
      </c>
      <c r="C174" s="16">
        <v>0.33680555555555558</v>
      </c>
      <c r="D174" s="15" t="s">
        <v>34</v>
      </c>
      <c r="E174" s="15" t="s">
        <v>115</v>
      </c>
      <c r="F174" s="15" t="s">
        <v>1319</v>
      </c>
      <c r="G174" s="298"/>
      <c r="H174" s="10"/>
      <c r="I174" s="11"/>
      <c r="J174" s="11"/>
      <c r="K174" s="11"/>
      <c r="L174" s="11"/>
      <c r="M174" s="11"/>
      <c r="N174" s="11"/>
      <c r="O174" s="12"/>
      <c r="P174" s="11"/>
      <c r="Q174" s="13"/>
      <c r="R174" s="14"/>
    </row>
    <row r="175" spans="1:18" ht="15" customHeight="1" x14ac:dyDescent="0.3">
      <c r="A175" s="17" t="s">
        <v>26</v>
      </c>
      <c r="B175" s="17" t="s">
        <v>1268</v>
      </c>
      <c r="C175" s="18">
        <v>0.97222222222222221</v>
      </c>
      <c r="D175" s="17" t="s">
        <v>351</v>
      </c>
      <c r="E175" s="17" t="s">
        <v>37</v>
      </c>
      <c r="F175" s="17" t="s">
        <v>550</v>
      </c>
      <c r="G175" s="298"/>
      <c r="H175" s="10"/>
      <c r="I175" s="11"/>
      <c r="J175" s="11"/>
      <c r="K175" s="11"/>
      <c r="L175" s="11"/>
      <c r="M175" s="11"/>
      <c r="N175" s="11"/>
      <c r="O175" s="12"/>
      <c r="P175" s="11"/>
      <c r="Q175" s="13"/>
      <c r="R175" s="14"/>
    </row>
    <row r="176" spans="1:18" ht="15" customHeight="1" x14ac:dyDescent="0.3">
      <c r="A176" s="15" t="s">
        <v>26</v>
      </c>
      <c r="B176" s="15" t="s">
        <v>1268</v>
      </c>
      <c r="C176" s="16">
        <v>0.97222222222222221</v>
      </c>
      <c r="D176" s="15" t="s">
        <v>28</v>
      </c>
      <c r="E176" s="15" t="s">
        <v>38</v>
      </c>
      <c r="F176" s="15" t="s">
        <v>550</v>
      </c>
      <c r="G176" s="298"/>
      <c r="H176" s="10"/>
      <c r="I176" s="11"/>
      <c r="J176" s="11"/>
      <c r="K176" s="11"/>
      <c r="L176" s="11"/>
      <c r="M176" s="11"/>
      <c r="N176" s="11"/>
      <c r="O176" s="12"/>
      <c r="P176" s="11"/>
      <c r="Q176" s="13"/>
      <c r="R176" s="14"/>
    </row>
    <row r="177" spans="1:18" ht="15" customHeight="1" x14ac:dyDescent="0.3">
      <c r="A177" s="15" t="s">
        <v>26</v>
      </c>
      <c r="B177" s="15" t="s">
        <v>1268</v>
      </c>
      <c r="C177" s="16">
        <v>0.97222222222222221</v>
      </c>
      <c r="D177" s="15" t="s">
        <v>31</v>
      </c>
      <c r="E177" s="15" t="s">
        <v>38</v>
      </c>
      <c r="F177" s="15" t="s">
        <v>551</v>
      </c>
      <c r="G177" s="298"/>
      <c r="H177" s="10"/>
      <c r="I177" s="11"/>
      <c r="J177" s="11"/>
      <c r="K177" s="11"/>
      <c r="L177" s="11"/>
      <c r="M177" s="11"/>
      <c r="N177" s="11"/>
      <c r="O177" s="12"/>
      <c r="P177" s="11"/>
      <c r="Q177" s="13"/>
      <c r="R177" s="14"/>
    </row>
    <row r="178" spans="1:18" ht="15" customHeight="1" x14ac:dyDescent="0.3">
      <c r="A178" s="15" t="s">
        <v>26</v>
      </c>
      <c r="B178" s="15" t="s">
        <v>1268</v>
      </c>
      <c r="C178" s="16">
        <v>0.97222222222222221</v>
      </c>
      <c r="D178" s="15" t="s">
        <v>34</v>
      </c>
      <c r="E178" s="15" t="s">
        <v>38</v>
      </c>
      <c r="F178" s="15" t="s">
        <v>552</v>
      </c>
      <c r="G178" s="298"/>
      <c r="H178" s="10"/>
      <c r="I178" s="11"/>
      <c r="J178" s="11"/>
      <c r="K178" s="11"/>
      <c r="L178" s="11"/>
      <c r="M178" s="11"/>
      <c r="N178" s="11"/>
      <c r="O178" s="12"/>
      <c r="P178" s="11"/>
      <c r="Q178" s="13"/>
      <c r="R178" s="14"/>
    </row>
    <row r="179" spans="1:18" ht="15" customHeight="1" x14ac:dyDescent="0.3">
      <c r="A179" s="19" t="s">
        <v>41</v>
      </c>
      <c r="B179" s="19" t="s">
        <v>1265</v>
      </c>
      <c r="C179" s="20">
        <v>0.44791666666666669</v>
      </c>
      <c r="D179" s="19" t="s">
        <v>337</v>
      </c>
      <c r="E179" s="19" t="s">
        <v>138</v>
      </c>
      <c r="F179" s="19" t="s">
        <v>1309</v>
      </c>
      <c r="G179" s="298"/>
      <c r="H179" s="10"/>
      <c r="I179" s="11"/>
      <c r="J179" s="11"/>
      <c r="K179" s="11"/>
      <c r="L179" s="11"/>
      <c r="M179" s="11"/>
      <c r="N179" s="11"/>
      <c r="O179" s="12"/>
      <c r="P179" s="11"/>
      <c r="Q179" s="13"/>
      <c r="R179" s="14"/>
    </row>
    <row r="180" spans="1:18" ht="15" customHeight="1" x14ac:dyDescent="0.3">
      <c r="A180" s="15" t="s">
        <v>41</v>
      </c>
      <c r="B180" s="15" t="s">
        <v>1265</v>
      </c>
      <c r="C180" s="16">
        <v>0.44791666666666669</v>
      </c>
      <c r="D180" s="15" t="s">
        <v>43</v>
      </c>
      <c r="E180" s="15" t="s">
        <v>115</v>
      </c>
      <c r="F180" s="15" t="s">
        <v>1309</v>
      </c>
      <c r="G180" s="298"/>
      <c r="H180" s="10"/>
      <c r="I180" s="11"/>
      <c r="J180" s="11"/>
      <c r="K180" s="11"/>
      <c r="L180" s="11"/>
      <c r="M180" s="11"/>
      <c r="N180" s="11"/>
      <c r="O180" s="12"/>
      <c r="P180" s="11"/>
      <c r="Q180" s="13"/>
      <c r="R180" s="14"/>
    </row>
    <row r="181" spans="1:18" ht="15" customHeight="1" x14ac:dyDescent="0.3">
      <c r="A181" s="15" t="s">
        <v>41</v>
      </c>
      <c r="B181" s="15" t="s">
        <v>1265</v>
      </c>
      <c r="C181" s="16">
        <v>0.44791666666666669</v>
      </c>
      <c r="D181" s="15" t="s">
        <v>45</v>
      </c>
      <c r="E181" s="15" t="s">
        <v>115</v>
      </c>
      <c r="F181" s="15" t="s">
        <v>1310</v>
      </c>
      <c r="G181" s="298"/>
      <c r="H181" s="10"/>
      <c r="I181" s="11"/>
      <c r="J181" s="11"/>
      <c r="K181" s="11"/>
      <c r="L181" s="11"/>
      <c r="M181" s="11"/>
      <c r="N181" s="11"/>
      <c r="O181" s="12"/>
      <c r="P181" s="11"/>
      <c r="Q181" s="13"/>
      <c r="R181" s="14"/>
    </row>
    <row r="182" spans="1:18" ht="15" customHeight="1" x14ac:dyDescent="0.3">
      <c r="A182" s="15" t="s">
        <v>41</v>
      </c>
      <c r="B182" s="15" t="s">
        <v>1265</v>
      </c>
      <c r="C182" s="16">
        <v>0.44791666666666669</v>
      </c>
      <c r="D182" s="15" t="s">
        <v>46</v>
      </c>
      <c r="E182" s="15" t="s">
        <v>115</v>
      </c>
      <c r="F182" s="15" t="s">
        <v>1287</v>
      </c>
      <c r="G182" s="298"/>
      <c r="H182" s="10"/>
      <c r="I182" s="11"/>
      <c r="J182" s="11"/>
      <c r="K182" s="11"/>
      <c r="L182" s="11"/>
      <c r="M182" s="11"/>
      <c r="N182" s="11"/>
      <c r="O182" s="12"/>
      <c r="P182" s="11"/>
      <c r="Q182" s="13"/>
      <c r="R182" s="14"/>
    </row>
    <row r="183" spans="1:18" ht="15" customHeight="1" x14ac:dyDescent="0.3">
      <c r="A183" s="19" t="s">
        <v>385</v>
      </c>
      <c r="B183" s="19" t="s">
        <v>1320</v>
      </c>
      <c r="C183" s="20">
        <v>0.96180555555555547</v>
      </c>
      <c r="D183" s="19" t="s">
        <v>101</v>
      </c>
      <c r="E183" s="19" t="s">
        <v>51</v>
      </c>
      <c r="F183" s="19" t="s">
        <v>1321</v>
      </c>
      <c r="G183" s="298"/>
      <c r="H183" s="10"/>
      <c r="I183" s="11"/>
      <c r="J183" s="11"/>
      <c r="K183" s="11"/>
      <c r="L183" s="11"/>
      <c r="M183" s="11"/>
      <c r="N183" s="11"/>
      <c r="O183" s="12"/>
      <c r="P183" s="11"/>
      <c r="Q183" s="13"/>
      <c r="R183" s="14"/>
    </row>
    <row r="184" spans="1:18" ht="15" customHeight="1" x14ac:dyDescent="0.3">
      <c r="A184" s="17" t="s">
        <v>385</v>
      </c>
      <c r="B184" s="17" t="s">
        <v>1275</v>
      </c>
      <c r="C184" s="18">
        <v>0.69444444444444453</v>
      </c>
      <c r="D184" s="17" t="s">
        <v>101</v>
      </c>
      <c r="E184" s="17" t="s">
        <v>144</v>
      </c>
      <c r="F184" s="17" t="s">
        <v>1322</v>
      </c>
      <c r="G184" s="298"/>
      <c r="H184" s="10"/>
      <c r="I184" s="11"/>
      <c r="J184" s="11"/>
      <c r="K184" s="11"/>
      <c r="L184" s="11"/>
      <c r="M184" s="11"/>
      <c r="N184" s="11"/>
      <c r="O184" s="12"/>
      <c r="P184" s="11"/>
      <c r="Q184" s="13"/>
      <c r="R184" s="14"/>
    </row>
    <row r="185" spans="1:18" ht="15" customHeight="1" x14ac:dyDescent="0.3">
      <c r="A185" s="19" t="s">
        <v>388</v>
      </c>
      <c r="B185" s="19" t="s">
        <v>1294</v>
      </c>
      <c r="C185" s="20">
        <v>0.74652777777777779</v>
      </c>
      <c r="D185" s="19" t="s">
        <v>461</v>
      </c>
      <c r="E185" s="19" t="s">
        <v>138</v>
      </c>
      <c r="F185" s="19" t="s">
        <v>1323</v>
      </c>
      <c r="G185" s="298"/>
      <c r="H185" s="10"/>
      <c r="I185" s="11"/>
      <c r="J185" s="11"/>
      <c r="K185" s="11"/>
      <c r="L185" s="11"/>
      <c r="M185" s="11"/>
      <c r="N185" s="11"/>
      <c r="O185" s="12"/>
      <c r="P185" s="11"/>
      <c r="Q185" s="13"/>
      <c r="R185" s="14"/>
    </row>
    <row r="186" spans="1:18" ht="15" customHeight="1" x14ac:dyDescent="0.3">
      <c r="A186" s="15" t="s">
        <v>388</v>
      </c>
      <c r="B186" s="15" t="s">
        <v>1294</v>
      </c>
      <c r="C186" s="16">
        <v>0.74652777777777779</v>
      </c>
      <c r="D186" s="15" t="s">
        <v>390</v>
      </c>
      <c r="E186" s="15" t="s">
        <v>38</v>
      </c>
      <c r="F186" s="15" t="s">
        <v>1323</v>
      </c>
      <c r="G186" s="298"/>
      <c r="H186" s="10"/>
      <c r="I186" s="11"/>
      <c r="J186" s="11"/>
      <c r="K186" s="11"/>
      <c r="L186" s="11"/>
      <c r="M186" s="11"/>
      <c r="N186" s="11"/>
      <c r="O186" s="12"/>
      <c r="P186" s="11"/>
      <c r="Q186" s="13"/>
      <c r="R186" s="14"/>
    </row>
    <row r="187" spans="1:18" ht="15" customHeight="1" x14ac:dyDescent="0.3">
      <c r="A187" s="15" t="s">
        <v>388</v>
      </c>
      <c r="B187" s="15" t="s">
        <v>1294</v>
      </c>
      <c r="C187" s="16">
        <v>0.74652777777777779</v>
      </c>
      <c r="D187" s="15" t="s">
        <v>46</v>
      </c>
      <c r="E187" s="15" t="s">
        <v>38</v>
      </c>
      <c r="F187" s="15" t="s">
        <v>1324</v>
      </c>
      <c r="G187" s="298"/>
      <c r="H187" s="10"/>
      <c r="I187" s="11"/>
      <c r="J187" s="11"/>
      <c r="K187" s="11"/>
      <c r="L187" s="11"/>
      <c r="M187" s="11"/>
      <c r="N187" s="11"/>
      <c r="O187" s="12"/>
      <c r="P187" s="11"/>
      <c r="Q187" s="13"/>
      <c r="R187" s="14"/>
    </row>
    <row r="188" spans="1:18" ht="15" customHeight="1" x14ac:dyDescent="0.3">
      <c r="A188" s="75" t="s">
        <v>77</v>
      </c>
      <c r="B188" s="75" t="s">
        <v>1282</v>
      </c>
      <c r="C188" s="76">
        <v>0.72222222222222221</v>
      </c>
      <c r="D188" s="75" t="s">
        <v>101</v>
      </c>
      <c r="E188" s="75" t="s">
        <v>63</v>
      </c>
      <c r="F188" s="75" t="s">
        <v>1312</v>
      </c>
      <c r="G188" s="298"/>
      <c r="H188" s="78" t="s">
        <v>1283</v>
      </c>
      <c r="I188" s="220">
        <v>0.67220000000000002</v>
      </c>
      <c r="J188" s="80">
        <v>121</v>
      </c>
      <c r="K188" s="81">
        <v>45978</v>
      </c>
      <c r="L188" s="80">
        <v>12</v>
      </c>
      <c r="M188" s="80">
        <v>0</v>
      </c>
      <c r="N188" s="80">
        <v>0</v>
      </c>
      <c r="O188" s="82" t="s">
        <v>1166</v>
      </c>
      <c r="P188" s="83">
        <v>0.72222222222222221</v>
      </c>
      <c r="Q188" s="80">
        <v>180</v>
      </c>
      <c r="R188" s="84" t="s">
        <v>1325</v>
      </c>
    </row>
    <row r="189" spans="1:18" ht="15" customHeight="1" thickBot="1" x14ac:dyDescent="0.35">
      <c r="A189" s="231" t="s">
        <v>60</v>
      </c>
      <c r="B189" s="231" t="s">
        <v>1285</v>
      </c>
      <c r="C189" s="232">
        <v>0.44791666666666669</v>
      </c>
      <c r="D189" s="231" t="s">
        <v>65</v>
      </c>
      <c r="E189" s="231" t="s">
        <v>83</v>
      </c>
      <c r="F189" s="231" t="s">
        <v>1316</v>
      </c>
      <c r="G189" s="299"/>
      <c r="H189" s="41"/>
      <c r="I189" s="42"/>
      <c r="J189" s="42"/>
      <c r="K189" s="42"/>
      <c r="L189" s="42"/>
      <c r="M189" s="42"/>
      <c r="N189" s="42"/>
      <c r="O189" s="43"/>
      <c r="P189" s="42"/>
      <c r="Q189" s="44"/>
      <c r="R189" s="45"/>
    </row>
    <row r="190" spans="1:18" ht="17.399999999999999" customHeight="1" thickBot="1" x14ac:dyDescent="0.35">
      <c r="A190" s="329"/>
      <c r="B190" s="330"/>
      <c r="C190" s="330"/>
      <c r="D190" s="330"/>
      <c r="E190" s="330"/>
      <c r="F190" s="330"/>
      <c r="G190" s="330"/>
      <c r="H190" s="330"/>
      <c r="I190" s="330"/>
      <c r="J190" s="330"/>
      <c r="K190" s="330"/>
      <c r="L190" s="330"/>
      <c r="M190" s="330"/>
      <c r="N190" s="330"/>
      <c r="O190" s="330"/>
      <c r="P190" s="330"/>
      <c r="Q190" s="330"/>
      <c r="R190" s="331"/>
    </row>
    <row r="191" spans="1:18" ht="22.05" customHeight="1" thickTop="1" thickBot="1" x14ac:dyDescent="0.35">
      <c r="A191" s="300" t="s">
        <v>6</v>
      </c>
      <c r="B191" s="295"/>
      <c r="C191" s="295"/>
      <c r="D191" s="295"/>
      <c r="E191" s="295"/>
      <c r="F191" s="296"/>
      <c r="G191" s="31">
        <v>45991</v>
      </c>
      <c r="H191" s="294" t="s">
        <v>7</v>
      </c>
      <c r="I191" s="295"/>
      <c r="J191" s="295"/>
      <c r="K191" s="295"/>
      <c r="L191" s="295"/>
      <c r="M191" s="295"/>
      <c r="N191" s="295"/>
      <c r="O191" s="295"/>
      <c r="P191" s="295"/>
      <c r="Q191" s="295"/>
      <c r="R191" s="296"/>
    </row>
    <row r="192" spans="1:18" ht="24" customHeight="1" x14ac:dyDescent="0.3">
      <c r="A192" s="32" t="s">
        <v>8</v>
      </c>
      <c r="B192" s="32" t="s">
        <v>9</v>
      </c>
      <c r="C192" s="33" t="s">
        <v>10</v>
      </c>
      <c r="D192" s="32" t="s">
        <v>11</v>
      </c>
      <c r="E192" s="32" t="s">
        <v>12</v>
      </c>
      <c r="F192" s="34" t="s">
        <v>13</v>
      </c>
      <c r="G192" s="35" t="s">
        <v>14</v>
      </c>
      <c r="H192" s="32" t="s">
        <v>15</v>
      </c>
      <c r="I192" s="36" t="s">
        <v>16</v>
      </c>
      <c r="J192" s="37" t="s">
        <v>17</v>
      </c>
      <c r="K192" s="38" t="s">
        <v>18</v>
      </c>
      <c r="L192" s="37" t="s">
        <v>19</v>
      </c>
      <c r="M192" s="37" t="s">
        <v>20</v>
      </c>
      <c r="N192" s="37" t="s">
        <v>21</v>
      </c>
      <c r="O192" s="32" t="s">
        <v>22</v>
      </c>
      <c r="P192" s="33" t="s">
        <v>23</v>
      </c>
      <c r="Q192" s="37" t="s">
        <v>24</v>
      </c>
      <c r="R192" s="32" t="s">
        <v>25</v>
      </c>
    </row>
    <row r="193" spans="1:18" ht="15" customHeight="1" x14ac:dyDescent="0.3">
      <c r="A193" s="8" t="s">
        <v>41</v>
      </c>
      <c r="B193" s="8" t="s">
        <v>1265</v>
      </c>
      <c r="C193" s="9">
        <v>0.44791666666666669</v>
      </c>
      <c r="D193" s="8" t="s">
        <v>43</v>
      </c>
      <c r="E193" s="8" t="s">
        <v>118</v>
      </c>
      <c r="F193" s="8" t="s">
        <v>154</v>
      </c>
      <c r="G193" s="297"/>
      <c r="H193" s="10"/>
      <c r="I193" s="11"/>
      <c r="J193" s="11"/>
      <c r="K193" s="11"/>
      <c r="L193" s="11"/>
      <c r="M193" s="11"/>
      <c r="N193" s="11"/>
      <c r="O193" s="12"/>
      <c r="P193" s="11"/>
      <c r="Q193" s="13"/>
      <c r="R193" s="14"/>
    </row>
    <row r="194" spans="1:18" ht="15" customHeight="1" x14ac:dyDescent="0.3">
      <c r="A194" s="15" t="s">
        <v>41</v>
      </c>
      <c r="B194" s="15" t="s">
        <v>1265</v>
      </c>
      <c r="C194" s="16">
        <v>0.44791666666666669</v>
      </c>
      <c r="D194" s="15" t="s">
        <v>45</v>
      </c>
      <c r="E194" s="15" t="s">
        <v>119</v>
      </c>
      <c r="F194" s="15" t="s">
        <v>124</v>
      </c>
      <c r="G194" s="298"/>
      <c r="H194" s="10"/>
      <c r="I194" s="11"/>
      <c r="J194" s="11"/>
      <c r="K194" s="11"/>
      <c r="L194" s="11"/>
      <c r="M194" s="11"/>
      <c r="N194" s="11"/>
      <c r="O194" s="12"/>
      <c r="P194" s="11"/>
      <c r="Q194" s="13"/>
      <c r="R194" s="14"/>
    </row>
    <row r="195" spans="1:18" ht="15" customHeight="1" x14ac:dyDescent="0.3">
      <c r="A195" s="15" t="s">
        <v>41</v>
      </c>
      <c r="B195" s="15" t="s">
        <v>1265</v>
      </c>
      <c r="C195" s="16">
        <v>0.44791666666666669</v>
      </c>
      <c r="D195" s="15" t="s">
        <v>46</v>
      </c>
      <c r="E195" s="15" t="s">
        <v>119</v>
      </c>
      <c r="F195" s="15" t="s">
        <v>1287</v>
      </c>
      <c r="G195" s="298"/>
      <c r="H195" s="10"/>
      <c r="I195" s="11"/>
      <c r="J195" s="11"/>
      <c r="K195" s="11"/>
      <c r="L195" s="11"/>
      <c r="M195" s="11"/>
      <c r="N195" s="11"/>
      <c r="O195" s="12"/>
      <c r="P195" s="11"/>
      <c r="Q195" s="13"/>
      <c r="R195" s="14"/>
    </row>
    <row r="196" spans="1:18" ht="15" customHeight="1" x14ac:dyDescent="0.3">
      <c r="A196" s="19" t="s">
        <v>26</v>
      </c>
      <c r="B196" s="19" t="s">
        <v>1268</v>
      </c>
      <c r="C196" s="20">
        <v>0.97222222222222221</v>
      </c>
      <c r="D196" s="19" t="s">
        <v>28</v>
      </c>
      <c r="E196" s="19" t="s">
        <v>111</v>
      </c>
      <c r="F196" s="19" t="s">
        <v>478</v>
      </c>
      <c r="G196" s="298"/>
      <c r="H196" s="10"/>
      <c r="I196" s="11"/>
      <c r="J196" s="11"/>
      <c r="K196" s="11"/>
      <c r="L196" s="11"/>
      <c r="M196" s="11"/>
      <c r="N196" s="11"/>
      <c r="O196" s="12"/>
      <c r="P196" s="11"/>
      <c r="Q196" s="13"/>
      <c r="R196" s="14"/>
    </row>
    <row r="197" spans="1:18" ht="15" customHeight="1" x14ac:dyDescent="0.3">
      <c r="A197" s="15" t="s">
        <v>26</v>
      </c>
      <c r="B197" s="15" t="s">
        <v>1268</v>
      </c>
      <c r="C197" s="16">
        <v>0.97222222222222221</v>
      </c>
      <c r="D197" s="15" t="s">
        <v>31</v>
      </c>
      <c r="E197" s="15" t="s">
        <v>115</v>
      </c>
      <c r="F197" s="15" t="s">
        <v>457</v>
      </c>
      <c r="G197" s="298"/>
      <c r="H197" s="10"/>
      <c r="I197" s="11"/>
      <c r="J197" s="11"/>
      <c r="K197" s="11"/>
      <c r="L197" s="11"/>
      <c r="M197" s="11"/>
      <c r="N197" s="11"/>
      <c r="O197" s="12"/>
      <c r="P197" s="11"/>
      <c r="Q197" s="13"/>
      <c r="R197" s="14"/>
    </row>
    <row r="198" spans="1:18" ht="15" customHeight="1" x14ac:dyDescent="0.3">
      <c r="A198" s="15" t="s">
        <v>26</v>
      </c>
      <c r="B198" s="15" t="s">
        <v>1268</v>
      </c>
      <c r="C198" s="16">
        <v>0.97222222222222221</v>
      </c>
      <c r="D198" s="15" t="s">
        <v>34</v>
      </c>
      <c r="E198" s="15" t="s">
        <v>115</v>
      </c>
      <c r="F198" s="15" t="s">
        <v>479</v>
      </c>
      <c r="G198" s="298"/>
      <c r="H198" s="10"/>
      <c r="I198" s="11"/>
      <c r="J198" s="11"/>
      <c r="K198" s="11"/>
      <c r="L198" s="11"/>
      <c r="M198" s="11"/>
      <c r="N198" s="11"/>
      <c r="O198" s="12"/>
      <c r="P198" s="11"/>
      <c r="Q198" s="13"/>
      <c r="R198" s="14"/>
    </row>
    <row r="199" spans="1:18" ht="15" customHeight="1" x14ac:dyDescent="0.3">
      <c r="A199" s="19" t="s">
        <v>458</v>
      </c>
      <c r="B199" s="19" t="s">
        <v>1270</v>
      </c>
      <c r="C199" s="20">
        <v>0.92013888888888884</v>
      </c>
      <c r="D199" s="19" t="s">
        <v>101</v>
      </c>
      <c r="E199" s="19" t="s">
        <v>111</v>
      </c>
      <c r="F199" s="19" t="s">
        <v>1326</v>
      </c>
      <c r="G199" s="298"/>
      <c r="H199" s="10"/>
      <c r="I199" s="11"/>
      <c r="J199" s="11"/>
      <c r="K199" s="11"/>
      <c r="L199" s="11"/>
      <c r="M199" s="11"/>
      <c r="N199" s="11"/>
      <c r="O199" s="12"/>
      <c r="P199" s="11"/>
      <c r="Q199" s="13"/>
      <c r="R199" s="14"/>
    </row>
    <row r="200" spans="1:18" ht="15" customHeight="1" x14ac:dyDescent="0.3">
      <c r="A200" s="17" t="s">
        <v>458</v>
      </c>
      <c r="B200" s="17" t="s">
        <v>1286</v>
      </c>
      <c r="C200" s="18">
        <v>6.9444444444444441E-3</v>
      </c>
      <c r="D200" s="17" t="s">
        <v>101</v>
      </c>
      <c r="E200" s="17" t="s">
        <v>54</v>
      </c>
      <c r="F200" s="17" t="s">
        <v>1304</v>
      </c>
      <c r="G200" s="298"/>
      <c r="H200" s="10"/>
      <c r="I200" s="11"/>
      <c r="J200" s="11"/>
      <c r="K200" s="11"/>
      <c r="L200" s="11"/>
      <c r="M200" s="11"/>
      <c r="N200" s="11"/>
      <c r="O200" s="12"/>
      <c r="P200" s="11"/>
      <c r="Q200" s="13"/>
      <c r="R200" s="14"/>
    </row>
    <row r="201" spans="1:18" ht="15" customHeight="1" x14ac:dyDescent="0.3">
      <c r="A201" s="19" t="s">
        <v>385</v>
      </c>
      <c r="B201" s="19" t="s">
        <v>1327</v>
      </c>
      <c r="C201" s="20">
        <v>0.4826388888888889</v>
      </c>
      <c r="D201" s="19" t="s">
        <v>101</v>
      </c>
      <c r="E201" s="19" t="s">
        <v>29</v>
      </c>
      <c r="F201" s="19" t="s">
        <v>1300</v>
      </c>
      <c r="G201" s="298"/>
      <c r="H201" s="10"/>
      <c r="I201" s="11"/>
      <c r="J201" s="11"/>
      <c r="K201" s="11"/>
      <c r="L201" s="11"/>
      <c r="M201" s="11"/>
      <c r="N201" s="11"/>
      <c r="O201" s="12"/>
      <c r="P201" s="11"/>
      <c r="Q201" s="13"/>
      <c r="R201" s="14"/>
    </row>
    <row r="202" spans="1:18" ht="15" customHeight="1" x14ac:dyDescent="0.3">
      <c r="A202" s="17" t="s">
        <v>385</v>
      </c>
      <c r="B202" s="17" t="s">
        <v>1273</v>
      </c>
      <c r="C202" s="18">
        <v>0.75694444444444453</v>
      </c>
      <c r="D202" s="17" t="s">
        <v>101</v>
      </c>
      <c r="E202" s="17" t="s">
        <v>72</v>
      </c>
      <c r="F202" s="17" t="s">
        <v>1300</v>
      </c>
      <c r="G202" s="298"/>
      <c r="H202" s="10"/>
      <c r="I202" s="11"/>
      <c r="J202" s="11"/>
      <c r="K202" s="11"/>
      <c r="L202" s="11"/>
      <c r="M202" s="11"/>
      <c r="N202" s="11"/>
      <c r="O202" s="12"/>
      <c r="P202" s="11"/>
      <c r="Q202" s="13"/>
      <c r="R202" s="14"/>
    </row>
    <row r="203" spans="1:18" ht="15" customHeight="1" x14ac:dyDescent="0.3">
      <c r="A203" s="19" t="s">
        <v>60</v>
      </c>
      <c r="B203" s="19" t="s">
        <v>1285</v>
      </c>
      <c r="C203" s="20">
        <v>0.44791666666666669</v>
      </c>
      <c r="D203" s="19" t="s">
        <v>65</v>
      </c>
      <c r="E203" s="19" t="s">
        <v>83</v>
      </c>
      <c r="F203" s="19" t="s">
        <v>1156</v>
      </c>
      <c r="G203" s="298"/>
      <c r="H203" s="10"/>
      <c r="I203" s="11"/>
      <c r="J203" s="11"/>
      <c r="K203" s="11"/>
      <c r="L203" s="11"/>
      <c r="M203" s="11"/>
      <c r="N203" s="11"/>
      <c r="O203" s="12"/>
      <c r="P203" s="11"/>
      <c r="Q203" s="13"/>
      <c r="R203" s="14"/>
    </row>
    <row r="204" spans="1:18" ht="15" customHeight="1" x14ac:dyDescent="0.3">
      <c r="A204" s="19" t="s">
        <v>48</v>
      </c>
      <c r="B204" s="19" t="s">
        <v>1279</v>
      </c>
      <c r="C204" s="20">
        <v>0.97916666666666663</v>
      </c>
      <c r="D204" s="19" t="s">
        <v>50</v>
      </c>
      <c r="E204" s="19" t="s">
        <v>118</v>
      </c>
      <c r="F204" s="19" t="s">
        <v>1302</v>
      </c>
      <c r="G204" s="298"/>
      <c r="H204" s="10"/>
      <c r="I204" s="11"/>
      <c r="J204" s="11"/>
      <c r="K204" s="11"/>
      <c r="L204" s="11"/>
      <c r="M204" s="11"/>
      <c r="N204" s="11"/>
      <c r="O204" s="12"/>
      <c r="P204" s="11"/>
      <c r="Q204" s="13"/>
      <c r="R204" s="14"/>
    </row>
    <row r="205" spans="1:18" ht="15" customHeight="1" x14ac:dyDescent="0.3">
      <c r="A205" s="39" t="s">
        <v>48</v>
      </c>
      <c r="B205" s="39" t="s">
        <v>1280</v>
      </c>
      <c r="C205" s="40">
        <v>0.67361111111111116</v>
      </c>
      <c r="D205" s="39" t="s">
        <v>50</v>
      </c>
      <c r="E205" s="39" t="s">
        <v>54</v>
      </c>
      <c r="F205" s="39" t="s">
        <v>1302</v>
      </c>
      <c r="G205" s="299"/>
      <c r="H205" s="41"/>
      <c r="I205" s="42"/>
      <c r="J205" s="42"/>
      <c r="K205" s="42"/>
      <c r="L205" s="42"/>
      <c r="M205" s="42"/>
      <c r="N205" s="42"/>
      <c r="O205" s="43"/>
      <c r="P205" s="42"/>
      <c r="Q205" s="44"/>
      <c r="R205" s="45"/>
    </row>
  </sheetData>
  <mergeCells count="50">
    <mergeCell ref="G193:G205"/>
    <mergeCell ref="A191:F191"/>
    <mergeCell ref="A169:F169"/>
    <mergeCell ref="A132:F132"/>
    <mergeCell ref="A98:R98"/>
    <mergeCell ref="A168:R168"/>
    <mergeCell ref="G120:G130"/>
    <mergeCell ref="H154:R154"/>
    <mergeCell ref="N1:R1"/>
    <mergeCell ref="H132:R132"/>
    <mergeCell ref="G171:G189"/>
    <mergeCell ref="A43:R43"/>
    <mergeCell ref="A44:F44"/>
    <mergeCell ref="A63:R63"/>
    <mergeCell ref="K2:R2"/>
    <mergeCell ref="G6:G24"/>
    <mergeCell ref="A117:R117"/>
    <mergeCell ref="G156:G167"/>
    <mergeCell ref="H99:R99"/>
    <mergeCell ref="G82:G97"/>
    <mergeCell ref="G101:G116"/>
    <mergeCell ref="A64:F64"/>
    <mergeCell ref="H80:R80"/>
    <mergeCell ref="A79:R79"/>
    <mergeCell ref="H191:R191"/>
    <mergeCell ref="G2:J2"/>
    <mergeCell ref="G28:G42"/>
    <mergeCell ref="A4:F4"/>
    <mergeCell ref="H169:R169"/>
    <mergeCell ref="A131:R131"/>
    <mergeCell ref="A190:R190"/>
    <mergeCell ref="A154:F154"/>
    <mergeCell ref="H4:R4"/>
    <mergeCell ref="H44:R44"/>
    <mergeCell ref="G66:G78"/>
    <mergeCell ref="A2:F2"/>
    <mergeCell ref="A3:R3"/>
    <mergeCell ref="H118:R118"/>
    <mergeCell ref="H64:R64"/>
    <mergeCell ref="H1:L1"/>
    <mergeCell ref="A1:E1"/>
    <mergeCell ref="G46:G62"/>
    <mergeCell ref="G134:G152"/>
    <mergeCell ref="A26:F26"/>
    <mergeCell ref="A153:R153"/>
    <mergeCell ref="A99:F99"/>
    <mergeCell ref="H26:R26"/>
    <mergeCell ref="A25:R25"/>
    <mergeCell ref="A80:F80"/>
    <mergeCell ref="A118:F118"/>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J9"/>
  <sheetViews>
    <sheetView workbookViewId="0"/>
  </sheetViews>
  <sheetFormatPr defaultRowHeight="15.6" outlineLevelCol="1" x14ac:dyDescent="0.3"/>
  <cols>
    <col min="1" max="1" width="9.88671875" style="316" bestFit="1" customWidth="1"/>
    <col min="2" max="2" width="10.44140625" style="316" bestFit="1" customWidth="1"/>
    <col min="3" max="3" width="6.77734375" style="316" bestFit="1" customWidth="1"/>
    <col min="4" max="4" width="5.5546875" style="316" bestFit="1" customWidth="1"/>
    <col min="5" max="5" width="9.21875" style="316" bestFit="1" customWidth="1"/>
    <col min="6" max="6" width="4.21875" style="316" bestFit="1" customWidth="1"/>
    <col min="7" max="7" width="10" style="316" bestFit="1" customWidth="1"/>
    <col min="8" max="8" width="8.5546875" style="316" bestFit="1" customWidth="1"/>
    <col min="9"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18" width="3.88671875" style="316" bestFit="1" customWidth="1"/>
    <col min="19" max="19" width="4.88671875" style="316" bestFit="1" customWidth="1"/>
    <col min="20" max="20" width="4.44140625" style="316" bestFit="1" customWidth="1"/>
    <col min="21" max="21" width="4.5546875" style="316" bestFit="1" customWidth="1"/>
    <col min="22" max="22" width="4.21875" style="316" bestFit="1" customWidth="1"/>
    <col min="23" max="23" width="4.33203125" style="316" bestFit="1" customWidth="1"/>
    <col min="24" max="24" width="4.1093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1283</v>
      </c>
      <c r="D2" s="320" t="s">
        <v>1328</v>
      </c>
      <c r="E2" s="319" t="s">
        <v>1264</v>
      </c>
      <c r="F2" s="319" t="s">
        <v>189</v>
      </c>
      <c r="G2" s="321">
        <v>0.47870000000000001</v>
      </c>
      <c r="H2" s="322">
        <v>188</v>
      </c>
      <c r="I2" s="322">
        <v>90</v>
      </c>
      <c r="J2" s="322">
        <v>0</v>
      </c>
      <c r="K2" s="319" t="s">
        <v>190</v>
      </c>
      <c r="L2" s="323">
        <v>45980</v>
      </c>
      <c r="M2" s="322">
        <v>1</v>
      </c>
      <c r="N2" s="322">
        <v>1</v>
      </c>
      <c r="O2" s="322">
        <v>23</v>
      </c>
      <c r="P2" s="319" t="s">
        <v>568</v>
      </c>
      <c r="Q2" s="315"/>
      <c r="R2" s="315"/>
      <c r="S2" s="315"/>
      <c r="T2" s="315"/>
      <c r="U2" s="315"/>
      <c r="V2" s="315"/>
      <c r="W2" s="322" t="s">
        <v>112</v>
      </c>
      <c r="X2" s="322" t="s">
        <v>1329</v>
      </c>
      <c r="Y2" s="322" t="s">
        <v>723</v>
      </c>
      <c r="Z2" s="322" t="s">
        <v>1258</v>
      </c>
      <c r="AA2" s="315"/>
      <c r="AB2" s="315"/>
      <c r="AC2" s="315"/>
      <c r="AD2" s="322" t="s">
        <v>1330</v>
      </c>
      <c r="AE2" s="322" t="s">
        <v>225</v>
      </c>
      <c r="AF2" s="322" t="s">
        <v>1191</v>
      </c>
      <c r="AG2" s="315"/>
      <c r="AH2" s="315"/>
      <c r="AI2" s="315"/>
      <c r="AJ2" s="315"/>
    </row>
    <row r="3" spans="1:36" x14ac:dyDescent="0.3">
      <c r="A3" s="317" t="s">
        <v>606</v>
      </c>
      <c r="B3" s="318">
        <v>45982</v>
      </c>
      <c r="C3" s="319" t="s">
        <v>1283</v>
      </c>
      <c r="D3" s="320" t="s">
        <v>188</v>
      </c>
      <c r="E3" s="319" t="s">
        <v>1264</v>
      </c>
      <c r="F3" s="319" t="s">
        <v>189</v>
      </c>
      <c r="G3" s="321">
        <v>0.55559999999999998</v>
      </c>
      <c r="H3" s="322">
        <v>180</v>
      </c>
      <c r="I3" s="322">
        <v>100</v>
      </c>
      <c r="J3" s="322">
        <v>0</v>
      </c>
      <c r="K3" s="319" t="s">
        <v>190</v>
      </c>
      <c r="L3" s="323">
        <v>45980</v>
      </c>
      <c r="M3" s="322">
        <v>5</v>
      </c>
      <c r="N3" s="322">
        <v>5</v>
      </c>
      <c r="O3" s="322">
        <v>56</v>
      </c>
      <c r="P3" s="319" t="s">
        <v>224</v>
      </c>
      <c r="Q3" s="315"/>
      <c r="R3" s="315"/>
      <c r="S3" s="315"/>
      <c r="T3" s="315"/>
      <c r="U3" s="315"/>
      <c r="V3" s="315"/>
      <c r="W3" s="322" t="s">
        <v>103</v>
      </c>
      <c r="X3" s="322" t="s">
        <v>739</v>
      </c>
      <c r="Y3" s="322" t="s">
        <v>723</v>
      </c>
      <c r="Z3" s="322" t="s">
        <v>733</v>
      </c>
      <c r="AA3" s="322" t="s">
        <v>586</v>
      </c>
      <c r="AB3" s="322" t="s">
        <v>587</v>
      </c>
      <c r="AC3" s="322" t="s">
        <v>742</v>
      </c>
      <c r="AD3" s="315"/>
      <c r="AE3" s="322" t="s">
        <v>1331</v>
      </c>
      <c r="AF3" s="322" t="s">
        <v>599</v>
      </c>
      <c r="AG3" s="315"/>
      <c r="AH3" s="315"/>
      <c r="AI3" s="315"/>
      <c r="AJ3" s="315"/>
    </row>
    <row r="4" spans="1:36" x14ac:dyDescent="0.3">
      <c r="A4" s="317" t="s">
        <v>199</v>
      </c>
      <c r="B4" s="318">
        <v>45983</v>
      </c>
      <c r="C4" s="319" t="s">
        <v>1283</v>
      </c>
      <c r="D4" s="320" t="s">
        <v>1328</v>
      </c>
      <c r="E4" s="319" t="s">
        <v>1264</v>
      </c>
      <c r="F4" s="319" t="s">
        <v>189</v>
      </c>
      <c r="G4" s="321">
        <v>0.63890000000000002</v>
      </c>
      <c r="H4" s="322">
        <v>180</v>
      </c>
      <c r="I4" s="322">
        <v>115</v>
      </c>
      <c r="J4" s="322">
        <v>0</v>
      </c>
      <c r="K4" s="319" t="s">
        <v>190</v>
      </c>
      <c r="L4" s="323">
        <v>45980</v>
      </c>
      <c r="M4" s="322">
        <v>8</v>
      </c>
      <c r="N4" s="322">
        <v>16</v>
      </c>
      <c r="O4" s="322">
        <v>61</v>
      </c>
      <c r="P4" s="319" t="s">
        <v>568</v>
      </c>
      <c r="Q4" s="315"/>
      <c r="R4" s="315"/>
      <c r="S4" s="315"/>
      <c r="T4" s="315"/>
      <c r="U4" s="315"/>
      <c r="V4" s="315"/>
      <c r="W4" s="322" t="s">
        <v>738</v>
      </c>
      <c r="X4" s="322" t="s">
        <v>1332</v>
      </c>
      <c r="Y4" s="322" t="s">
        <v>1333</v>
      </c>
      <c r="Z4" s="322" t="s">
        <v>376</v>
      </c>
      <c r="AA4" s="322" t="s">
        <v>313</v>
      </c>
      <c r="AB4" s="322" t="s">
        <v>309</v>
      </c>
      <c r="AC4" s="322" t="s">
        <v>232</v>
      </c>
      <c r="AD4" s="322" t="s">
        <v>961</v>
      </c>
      <c r="AE4" s="322" t="s">
        <v>225</v>
      </c>
      <c r="AF4" s="322" t="s">
        <v>1195</v>
      </c>
      <c r="AG4" s="315"/>
      <c r="AH4" s="315"/>
      <c r="AI4" s="315"/>
      <c r="AJ4" s="315"/>
    </row>
    <row r="5" spans="1:36" x14ac:dyDescent="0.3">
      <c r="A5" s="317" t="s">
        <v>213</v>
      </c>
      <c r="B5" s="318">
        <v>45986</v>
      </c>
      <c r="C5" s="319" t="s">
        <v>1283</v>
      </c>
      <c r="D5" s="320" t="s">
        <v>1334</v>
      </c>
      <c r="E5" s="319" t="s">
        <v>1264</v>
      </c>
      <c r="F5" s="319" t="s">
        <v>189</v>
      </c>
      <c r="G5" s="321">
        <v>0.38329999999999997</v>
      </c>
      <c r="H5" s="322">
        <v>180</v>
      </c>
      <c r="I5" s="322">
        <v>69</v>
      </c>
      <c r="J5" s="322">
        <v>0</v>
      </c>
      <c r="K5" s="319" t="s">
        <v>190</v>
      </c>
      <c r="L5" s="323">
        <v>45980</v>
      </c>
      <c r="M5" s="322">
        <v>4</v>
      </c>
      <c r="N5" s="322">
        <v>12</v>
      </c>
      <c r="O5" s="322">
        <v>25</v>
      </c>
      <c r="P5" s="319" t="s">
        <v>739</v>
      </c>
      <c r="Q5" s="315"/>
      <c r="R5" s="315"/>
      <c r="S5" s="315"/>
      <c r="T5" s="315"/>
      <c r="U5" s="315"/>
      <c r="V5" s="315"/>
      <c r="W5" s="322" t="s">
        <v>103</v>
      </c>
      <c r="X5" s="322" t="s">
        <v>1329</v>
      </c>
      <c r="Y5" s="322" t="s">
        <v>1335</v>
      </c>
      <c r="Z5" s="322" t="s">
        <v>312</v>
      </c>
      <c r="AA5" s="315"/>
      <c r="AB5" s="322" t="s">
        <v>323</v>
      </c>
      <c r="AC5" s="322" t="s">
        <v>654</v>
      </c>
      <c r="AD5" s="322" t="s">
        <v>1185</v>
      </c>
      <c r="AE5" s="322" t="s">
        <v>639</v>
      </c>
      <c r="AF5" s="322" t="s">
        <v>1191</v>
      </c>
      <c r="AG5" s="315"/>
      <c r="AH5" s="315"/>
      <c r="AI5" s="315"/>
      <c r="AJ5" s="315"/>
    </row>
    <row r="6" spans="1:36" x14ac:dyDescent="0.3">
      <c r="A6" s="317" t="s">
        <v>187</v>
      </c>
      <c r="B6" s="318">
        <v>45988</v>
      </c>
      <c r="C6" s="319" t="s">
        <v>1283</v>
      </c>
      <c r="D6" s="320" t="s">
        <v>1328</v>
      </c>
      <c r="E6" s="319" t="s">
        <v>1264</v>
      </c>
      <c r="F6" s="319" t="s">
        <v>189</v>
      </c>
      <c r="G6" s="321">
        <v>0.7</v>
      </c>
      <c r="H6" s="322">
        <v>180</v>
      </c>
      <c r="I6" s="322">
        <v>126</v>
      </c>
      <c r="J6" s="322">
        <v>0</v>
      </c>
      <c r="K6" s="319" t="s">
        <v>190</v>
      </c>
      <c r="L6" s="323">
        <v>45979</v>
      </c>
      <c r="M6" s="322">
        <v>0</v>
      </c>
      <c r="N6" s="322">
        <v>1</v>
      </c>
      <c r="O6" s="322">
        <v>11</v>
      </c>
      <c r="P6" s="319" t="s">
        <v>277</v>
      </c>
      <c r="Q6" s="315"/>
      <c r="R6" s="315"/>
      <c r="S6" s="315"/>
      <c r="T6" s="322" t="s">
        <v>1250</v>
      </c>
      <c r="U6" s="322" t="s">
        <v>1336</v>
      </c>
      <c r="V6" s="322" t="s">
        <v>1337</v>
      </c>
      <c r="W6" s="322" t="s">
        <v>738</v>
      </c>
      <c r="X6" s="322" t="s">
        <v>887</v>
      </c>
      <c r="Y6" s="322" t="s">
        <v>469</v>
      </c>
      <c r="Z6" s="322" t="s">
        <v>486</v>
      </c>
      <c r="AA6" s="322" t="s">
        <v>886</v>
      </c>
      <c r="AB6" s="322" t="s">
        <v>215</v>
      </c>
      <c r="AC6" s="322" t="s">
        <v>228</v>
      </c>
      <c r="AD6" s="322" t="s">
        <v>881</v>
      </c>
      <c r="AE6" s="322" t="s">
        <v>281</v>
      </c>
      <c r="AF6" s="322" t="s">
        <v>1199</v>
      </c>
      <c r="AG6" s="315"/>
      <c r="AH6" s="315"/>
      <c r="AI6" s="315"/>
      <c r="AJ6" s="315"/>
    </row>
    <row r="7" spans="1:36" x14ac:dyDescent="0.3">
      <c r="A7" s="317" t="s">
        <v>606</v>
      </c>
      <c r="B7" s="318">
        <v>45989</v>
      </c>
      <c r="C7" s="319" t="s">
        <v>1283</v>
      </c>
      <c r="D7" s="320" t="s">
        <v>188</v>
      </c>
      <c r="E7" s="319" t="s">
        <v>1264</v>
      </c>
      <c r="F7" s="319" t="s">
        <v>189</v>
      </c>
      <c r="G7" s="321">
        <v>0.69350000000000001</v>
      </c>
      <c r="H7" s="322">
        <v>186</v>
      </c>
      <c r="I7" s="322">
        <v>129</v>
      </c>
      <c r="J7" s="322">
        <v>0</v>
      </c>
      <c r="K7" s="319" t="s">
        <v>190</v>
      </c>
      <c r="L7" s="323">
        <v>45979</v>
      </c>
      <c r="M7" s="322">
        <v>0</v>
      </c>
      <c r="N7" s="322">
        <v>3</v>
      </c>
      <c r="O7" s="322">
        <v>15</v>
      </c>
      <c r="P7" s="319" t="s">
        <v>1166</v>
      </c>
      <c r="Q7" s="315"/>
      <c r="R7" s="315"/>
      <c r="S7" s="322" t="s">
        <v>1338</v>
      </c>
      <c r="T7" s="322" t="s">
        <v>1339</v>
      </c>
      <c r="U7" s="322" t="s">
        <v>277</v>
      </c>
      <c r="V7" s="322" t="s">
        <v>1340</v>
      </c>
      <c r="W7" s="322" t="s">
        <v>738</v>
      </c>
      <c r="X7" s="322" t="s">
        <v>743</v>
      </c>
      <c r="Y7" s="322" t="s">
        <v>1341</v>
      </c>
      <c r="Z7" s="322" t="s">
        <v>1342</v>
      </c>
      <c r="AA7" s="322" t="s">
        <v>575</v>
      </c>
      <c r="AB7" s="322" t="s">
        <v>304</v>
      </c>
      <c r="AC7" s="322" t="s">
        <v>205</v>
      </c>
      <c r="AD7" s="322" t="s">
        <v>219</v>
      </c>
      <c r="AE7" s="322" t="s">
        <v>598</v>
      </c>
      <c r="AF7" s="322" t="s">
        <v>1191</v>
      </c>
      <c r="AG7" s="315"/>
      <c r="AH7" s="315"/>
      <c r="AI7" s="315"/>
      <c r="AJ7" s="315"/>
    </row>
    <row r="8" spans="1:36" x14ac:dyDescent="0.3">
      <c r="A8" s="317" t="s">
        <v>199</v>
      </c>
      <c r="B8" s="318">
        <v>45990</v>
      </c>
      <c r="C8" s="319" t="s">
        <v>1283</v>
      </c>
      <c r="D8" s="320" t="s">
        <v>1328</v>
      </c>
      <c r="E8" s="319" t="s">
        <v>1264</v>
      </c>
      <c r="F8" s="319" t="s">
        <v>189</v>
      </c>
      <c r="G8" s="321">
        <v>0.67220000000000002</v>
      </c>
      <c r="H8" s="322">
        <v>180</v>
      </c>
      <c r="I8" s="322">
        <v>121</v>
      </c>
      <c r="J8" s="322">
        <v>0</v>
      </c>
      <c r="K8" s="319" t="s">
        <v>190</v>
      </c>
      <c r="L8" s="323">
        <v>45978</v>
      </c>
      <c r="M8" s="322">
        <v>0</v>
      </c>
      <c r="N8" s="322">
        <v>0</v>
      </c>
      <c r="O8" s="322">
        <v>12</v>
      </c>
      <c r="P8" s="319" t="s">
        <v>1166</v>
      </c>
      <c r="Q8" s="315"/>
      <c r="R8" s="322" t="s">
        <v>1343</v>
      </c>
      <c r="S8" s="322" t="s">
        <v>1344</v>
      </c>
      <c r="T8" s="322" t="s">
        <v>1201</v>
      </c>
      <c r="U8" s="322" t="s">
        <v>1247</v>
      </c>
      <c r="V8" s="315"/>
      <c r="W8" s="322" t="s">
        <v>1204</v>
      </c>
      <c r="X8" s="322" t="s">
        <v>1256</v>
      </c>
      <c r="Y8" s="322" t="s">
        <v>469</v>
      </c>
      <c r="Z8" s="322" t="s">
        <v>368</v>
      </c>
      <c r="AA8" s="322" t="s">
        <v>422</v>
      </c>
      <c r="AB8" s="322" t="s">
        <v>587</v>
      </c>
      <c r="AC8" s="322" t="s">
        <v>280</v>
      </c>
      <c r="AD8" s="322" t="s">
        <v>873</v>
      </c>
      <c r="AE8" s="322" t="s">
        <v>281</v>
      </c>
      <c r="AF8" s="322" t="s">
        <v>292</v>
      </c>
      <c r="AG8" s="315"/>
      <c r="AH8" s="315"/>
      <c r="AI8" s="315"/>
      <c r="AJ8" s="315"/>
    </row>
    <row r="9" spans="1:36" ht="21" x14ac:dyDescent="0.3">
      <c r="A9" s="324" t="s">
        <v>1638</v>
      </c>
      <c r="B9" s="325"/>
      <c r="C9" s="324">
        <f>SUBTOTAL(103,CAI_DMM_LF_LEGACY[Flt])</f>
        <v>7</v>
      </c>
      <c r="D9" s="324"/>
      <c r="E9" s="324">
        <f>SUBTOTAL(103,CAI_DMM_LF_LEGACY[Brd-Off])</f>
        <v>7</v>
      </c>
      <c r="F9" s="324"/>
      <c r="G9" s="326">
        <f>SUBTOTAL(101,CAI_DMM_LF_LEGACY[LF%])</f>
        <v>0.58888571428571435</v>
      </c>
      <c r="H9" s="327">
        <f>SUBTOTAL(109,CAI_DMM_LF_LEGACY[CAP])</f>
        <v>1274</v>
      </c>
      <c r="I9" s="327">
        <f>SUBTOTAL(109,CAI_DMM_LF_LEGACY[BKG(Y)])</f>
        <v>750</v>
      </c>
      <c r="J9" s="327">
        <f>SUBTOTAL(109,CAI_DMM_LF_LEGACY[GRP(Y)])</f>
        <v>0</v>
      </c>
      <c r="K9" s="324"/>
      <c r="L9" s="325"/>
      <c r="M9" s="327">
        <f>SUBTOTAL(109,CAI_DMM_LF_LEGACY[TO-DAY])</f>
        <v>18</v>
      </c>
      <c r="N9" s="327">
        <f>SUBTOTAL(109,CAI_DMM_LF_LEGACY[Y-DAY])</f>
        <v>38</v>
      </c>
      <c r="O9" s="327">
        <f>SUBTOTAL(109,CAI_DMM_LF_LEGACY[WEEKLY])</f>
        <v>203</v>
      </c>
      <c r="P9" s="328"/>
      <c r="Q9" s="327">
        <f>SUBTOTAL(109,CAI_DMM_LF_LEGACY[Y])</f>
        <v>0</v>
      </c>
      <c r="R9" s="327">
        <f>SUBTOTAL(109,CAI_DMM_LF_LEGACY[B])</f>
        <v>0</v>
      </c>
      <c r="S9" s="327">
        <f>SUBTOTAL(109,CAI_DMM_LF_LEGACY[M])</f>
        <v>0</v>
      </c>
      <c r="T9" s="327">
        <f>SUBTOTAL(109,CAI_DMM_LF_LEGACY[H])</f>
        <v>0</v>
      </c>
      <c r="U9" s="327">
        <f>SUBTOTAL(109,CAI_DMM_LF_LEGACY[Q])</f>
        <v>0</v>
      </c>
      <c r="V9" s="327">
        <f>SUBTOTAL(109,CAI_DMM_LF_LEGACY[K])</f>
        <v>0</v>
      </c>
      <c r="W9" s="327">
        <f>SUBTOTAL(109,CAI_DMM_LF_LEGACY[V])</f>
        <v>0</v>
      </c>
      <c r="X9" s="327">
        <f>SUBTOTAL(109,CAI_DMM_LF_LEGACY[L])</f>
        <v>0</v>
      </c>
      <c r="Y9" s="327">
        <f>SUBTOTAL(109,CAI_DMM_LF_LEGACY[G])</f>
        <v>0</v>
      </c>
      <c r="Z9" s="327">
        <f>SUBTOTAL(109,CAI_DMM_LF_LEGACY[S])</f>
        <v>0</v>
      </c>
      <c r="AA9" s="327">
        <f>SUBTOTAL(109,CAI_DMM_LF_LEGACY[W])</f>
        <v>0</v>
      </c>
      <c r="AB9" s="327">
        <f>SUBTOTAL(109,CAI_DMM_LF_LEGACY[T])</f>
        <v>0</v>
      </c>
      <c r="AC9" s="327">
        <f>SUBTOTAL(109,CAI_DMM_LF_LEGACY[X])</f>
        <v>0</v>
      </c>
      <c r="AD9" s="327">
        <f>SUBTOTAL(109,CAI_DMM_LF_LEGACY[U])</f>
        <v>0</v>
      </c>
      <c r="AE9" s="327">
        <f>SUBTOTAL(109,CAI_DMM_LF_LEGACY[O])</f>
        <v>0</v>
      </c>
      <c r="AF9" s="327">
        <f>SUBTOTAL(109,CAI_DMM_LF_LEGACY[I])</f>
        <v>0</v>
      </c>
      <c r="AG9" s="327">
        <f>SUBTOTAL(109,CAI_DMM_LF_LEGACY[E])</f>
        <v>0</v>
      </c>
      <c r="AH9" s="327">
        <f>SUBTOTAL(109,CAI_DMM_LF_LEGACY[A])</f>
        <v>0</v>
      </c>
      <c r="AI9" s="327">
        <f>SUBTOTAL(109,CAI_DMM_LF_LEGACY[P])</f>
        <v>0</v>
      </c>
      <c r="AJ9" s="327">
        <f>SUBTOTAL(103,CAI_DMM_LF_LEGACY[N])</f>
        <v>0</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7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4.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41</v>
      </c>
      <c r="C2" s="105" t="s">
        <v>1265</v>
      </c>
      <c r="D2" s="104" t="s">
        <v>1264</v>
      </c>
      <c r="E2" s="104" t="s">
        <v>1345</v>
      </c>
      <c r="F2" s="104" t="s">
        <v>43</v>
      </c>
      <c r="G2" s="106">
        <v>16</v>
      </c>
      <c r="H2" s="107" t="s">
        <v>909</v>
      </c>
    </row>
    <row r="3" spans="1:8" ht="19.8" customHeight="1" x14ac:dyDescent="0.3">
      <c r="A3" s="103" t="s">
        <v>235</v>
      </c>
      <c r="B3" s="104" t="s">
        <v>26</v>
      </c>
      <c r="C3" s="105" t="s">
        <v>1266</v>
      </c>
      <c r="D3" s="104" t="s">
        <v>1264</v>
      </c>
      <c r="E3" s="104" t="s">
        <v>267</v>
      </c>
      <c r="F3" s="104" t="s">
        <v>28</v>
      </c>
      <c r="G3" s="106">
        <v>9</v>
      </c>
      <c r="H3" s="107" t="s">
        <v>1128</v>
      </c>
    </row>
    <row r="4" spans="1:8" ht="19.8" customHeight="1" x14ac:dyDescent="0.3">
      <c r="A4" s="103" t="s">
        <v>235</v>
      </c>
      <c r="B4" s="104" t="s">
        <v>26</v>
      </c>
      <c r="C4" s="105" t="s">
        <v>1268</v>
      </c>
      <c r="D4" s="104" t="s">
        <v>1264</v>
      </c>
      <c r="E4" s="104" t="s">
        <v>1346</v>
      </c>
      <c r="F4" s="104" t="s">
        <v>28</v>
      </c>
      <c r="G4" s="106">
        <v>5</v>
      </c>
      <c r="H4" s="107" t="s">
        <v>1269</v>
      </c>
    </row>
    <row r="5" spans="1:8" ht="19.8" customHeight="1" x14ac:dyDescent="0.3">
      <c r="A5" s="103" t="s">
        <v>235</v>
      </c>
      <c r="B5" s="104" t="s">
        <v>26</v>
      </c>
      <c r="C5" s="105" t="s">
        <v>1268</v>
      </c>
      <c r="D5" s="104" t="s">
        <v>1264</v>
      </c>
      <c r="E5" s="104" t="s">
        <v>1346</v>
      </c>
      <c r="F5" s="104" t="s">
        <v>351</v>
      </c>
      <c r="G5" s="106">
        <v>5</v>
      </c>
      <c r="H5" s="107" t="s">
        <v>1269</v>
      </c>
    </row>
    <row r="6" spans="1:8" ht="19.8" customHeight="1" x14ac:dyDescent="0.3">
      <c r="A6" s="103" t="s">
        <v>235</v>
      </c>
      <c r="B6" s="104" t="s">
        <v>458</v>
      </c>
      <c r="C6" s="105" t="s">
        <v>1270</v>
      </c>
      <c r="D6" s="104" t="s">
        <v>1264</v>
      </c>
      <c r="E6" s="104" t="s">
        <v>1347</v>
      </c>
      <c r="F6" s="104" t="s">
        <v>101</v>
      </c>
      <c r="G6" s="106">
        <v>9</v>
      </c>
      <c r="H6" s="107" t="s">
        <v>1271</v>
      </c>
    </row>
    <row r="7" spans="1:8" ht="19.8" customHeight="1" x14ac:dyDescent="0.3">
      <c r="A7" s="103" t="s">
        <v>235</v>
      </c>
      <c r="B7" s="104" t="s">
        <v>458</v>
      </c>
      <c r="C7" s="105" t="s">
        <v>1272</v>
      </c>
      <c r="D7" s="104" t="s">
        <v>1264</v>
      </c>
      <c r="E7" s="104" t="s">
        <v>1348</v>
      </c>
      <c r="F7" s="104" t="s">
        <v>101</v>
      </c>
      <c r="G7" s="106">
        <v>8</v>
      </c>
      <c r="H7" s="107" t="s">
        <v>1271</v>
      </c>
    </row>
    <row r="8" spans="1:8" ht="19.8" customHeight="1" x14ac:dyDescent="0.3">
      <c r="A8" s="103" t="s">
        <v>235</v>
      </c>
      <c r="B8" s="104" t="s">
        <v>26</v>
      </c>
      <c r="C8" s="105" t="s">
        <v>1266</v>
      </c>
      <c r="D8" s="104" t="s">
        <v>1264</v>
      </c>
      <c r="E8" s="104" t="s">
        <v>267</v>
      </c>
      <c r="F8" s="104" t="s">
        <v>31</v>
      </c>
      <c r="G8" s="106">
        <v>9</v>
      </c>
      <c r="H8" s="107" t="s">
        <v>93</v>
      </c>
    </row>
    <row r="9" spans="1:8" ht="19.8" customHeight="1" x14ac:dyDescent="0.3">
      <c r="A9" s="103" t="s">
        <v>235</v>
      </c>
      <c r="B9" s="104" t="s">
        <v>41</v>
      </c>
      <c r="C9" s="105" t="s">
        <v>1265</v>
      </c>
      <c r="D9" s="104" t="s">
        <v>1264</v>
      </c>
      <c r="E9" s="104" t="s">
        <v>1345</v>
      </c>
      <c r="F9" s="104" t="s">
        <v>45</v>
      </c>
      <c r="G9" s="106">
        <v>16</v>
      </c>
      <c r="H9" s="107" t="s">
        <v>431</v>
      </c>
    </row>
    <row r="10" spans="1:8" ht="19.8" customHeight="1" x14ac:dyDescent="0.3">
      <c r="A10" s="103" t="s">
        <v>235</v>
      </c>
      <c r="B10" s="104" t="s">
        <v>385</v>
      </c>
      <c r="C10" s="105" t="s">
        <v>1273</v>
      </c>
      <c r="D10" s="104" t="s">
        <v>1264</v>
      </c>
      <c r="E10" s="104" t="s">
        <v>888</v>
      </c>
      <c r="F10" s="104" t="s">
        <v>101</v>
      </c>
      <c r="G10" s="106">
        <v>9</v>
      </c>
      <c r="H10" s="107" t="s">
        <v>1274</v>
      </c>
    </row>
    <row r="11" spans="1:8" ht="19.8" customHeight="1" x14ac:dyDescent="0.3">
      <c r="A11" s="103" t="s">
        <v>235</v>
      </c>
      <c r="B11" s="104" t="s">
        <v>26</v>
      </c>
      <c r="C11" s="105" t="s">
        <v>1268</v>
      </c>
      <c r="D11" s="104" t="s">
        <v>1264</v>
      </c>
      <c r="E11" s="104" t="s">
        <v>1346</v>
      </c>
      <c r="F11" s="104" t="s">
        <v>31</v>
      </c>
      <c r="G11" s="106">
        <v>5</v>
      </c>
      <c r="H11" s="107" t="s">
        <v>810</v>
      </c>
    </row>
    <row r="12" spans="1:8" ht="19.8" customHeight="1" x14ac:dyDescent="0.3">
      <c r="A12" s="103" t="s">
        <v>235</v>
      </c>
      <c r="B12" s="104" t="s">
        <v>48</v>
      </c>
      <c r="C12" s="105" t="s">
        <v>1277</v>
      </c>
      <c r="D12" s="104" t="s">
        <v>1264</v>
      </c>
      <c r="E12" s="104" t="s">
        <v>267</v>
      </c>
      <c r="F12" s="104" t="s">
        <v>50</v>
      </c>
      <c r="G12" s="106">
        <v>6</v>
      </c>
      <c r="H12" s="107" t="s">
        <v>1278</v>
      </c>
    </row>
    <row r="13" spans="1:8" ht="19.8" customHeight="1" x14ac:dyDescent="0.3">
      <c r="A13" s="103" t="s">
        <v>235</v>
      </c>
      <c r="B13" s="104" t="s">
        <v>385</v>
      </c>
      <c r="C13" s="105" t="s">
        <v>1275</v>
      </c>
      <c r="D13" s="104" t="s">
        <v>1264</v>
      </c>
      <c r="E13" s="104" t="s">
        <v>667</v>
      </c>
      <c r="F13" s="104" t="s">
        <v>101</v>
      </c>
      <c r="G13" s="106">
        <v>9</v>
      </c>
      <c r="H13" s="107" t="s">
        <v>1276</v>
      </c>
    </row>
    <row r="14" spans="1:8" ht="19.8" customHeight="1" x14ac:dyDescent="0.3">
      <c r="A14" s="103" t="s">
        <v>235</v>
      </c>
      <c r="B14" s="104" t="s">
        <v>26</v>
      </c>
      <c r="C14" s="105" t="s">
        <v>1266</v>
      </c>
      <c r="D14" s="104" t="s">
        <v>1264</v>
      </c>
      <c r="E14" s="104" t="s">
        <v>267</v>
      </c>
      <c r="F14" s="104" t="s">
        <v>34</v>
      </c>
      <c r="G14" s="106">
        <v>9</v>
      </c>
      <c r="H14" s="107" t="s">
        <v>1267</v>
      </c>
    </row>
    <row r="15" spans="1:8" ht="19.8" customHeight="1" x14ac:dyDescent="0.3">
      <c r="A15" s="174" t="s">
        <v>235</v>
      </c>
      <c r="B15" s="121" t="s">
        <v>77</v>
      </c>
      <c r="C15" s="122" t="s">
        <v>1282</v>
      </c>
      <c r="D15" s="121" t="s">
        <v>1264</v>
      </c>
      <c r="E15" s="121" t="s">
        <v>1328</v>
      </c>
      <c r="F15" s="121" t="s">
        <v>101</v>
      </c>
      <c r="G15" s="124">
        <v>2</v>
      </c>
      <c r="H15" s="125" t="s">
        <v>153</v>
      </c>
    </row>
    <row r="16" spans="1:8" ht="19.8" customHeight="1" x14ac:dyDescent="0.3">
      <c r="A16" s="112">
        <v>45981</v>
      </c>
      <c r="B16" s="104" t="s">
        <v>26</v>
      </c>
      <c r="C16" s="105" t="s">
        <v>1268</v>
      </c>
      <c r="D16" s="104" t="s">
        <v>1264</v>
      </c>
      <c r="E16" s="113">
        <v>1.9722222222222221</v>
      </c>
      <c r="F16" s="104" t="s">
        <v>34</v>
      </c>
      <c r="G16" s="106">
        <v>5</v>
      </c>
      <c r="H16" s="107" t="s">
        <v>153</v>
      </c>
    </row>
    <row r="17" spans="1:8" ht="19.8" customHeight="1" x14ac:dyDescent="0.3">
      <c r="A17" s="112">
        <v>45981</v>
      </c>
      <c r="B17" s="104" t="s">
        <v>48</v>
      </c>
      <c r="C17" s="105" t="s">
        <v>1279</v>
      </c>
      <c r="D17" s="104" t="s">
        <v>1264</v>
      </c>
      <c r="E17" s="113">
        <v>1.979166666666667</v>
      </c>
      <c r="F17" s="104" t="s">
        <v>50</v>
      </c>
      <c r="G17" s="106">
        <v>9</v>
      </c>
      <c r="H17" s="107" t="s">
        <v>132</v>
      </c>
    </row>
    <row r="18" spans="1:8" ht="19.8" customHeight="1" x14ac:dyDescent="0.3">
      <c r="A18" s="112">
        <v>45981</v>
      </c>
      <c r="B18" s="104" t="s">
        <v>41</v>
      </c>
      <c r="C18" s="105" t="s">
        <v>1265</v>
      </c>
      <c r="D18" s="104" t="s">
        <v>1264</v>
      </c>
      <c r="E18" s="113">
        <v>1.447916666666667</v>
      </c>
      <c r="F18" s="104" t="s">
        <v>46</v>
      </c>
      <c r="G18" s="106">
        <v>16</v>
      </c>
      <c r="H18" s="107" t="s">
        <v>146</v>
      </c>
    </row>
    <row r="19" spans="1:8" ht="19.8" customHeight="1" x14ac:dyDescent="0.3">
      <c r="A19" s="112">
        <v>45981</v>
      </c>
      <c r="B19" s="104" t="s">
        <v>60</v>
      </c>
      <c r="C19" s="105" t="s">
        <v>1285</v>
      </c>
      <c r="D19" s="104" t="s">
        <v>1264</v>
      </c>
      <c r="E19" s="113">
        <v>1.447916666666667</v>
      </c>
      <c r="F19" s="104" t="s">
        <v>65</v>
      </c>
      <c r="G19" s="106">
        <v>4</v>
      </c>
      <c r="H19" s="107" t="s">
        <v>1175</v>
      </c>
    </row>
    <row r="20" spans="1:8" ht="19.8" customHeight="1" x14ac:dyDescent="0.3">
      <c r="A20" s="114">
        <v>45981</v>
      </c>
      <c r="B20" s="115" t="s">
        <v>48</v>
      </c>
      <c r="C20" s="116" t="s">
        <v>1280</v>
      </c>
      <c r="D20" s="115" t="s">
        <v>1264</v>
      </c>
      <c r="E20" s="117">
        <v>1.677083333333333</v>
      </c>
      <c r="F20" s="115" t="s">
        <v>50</v>
      </c>
      <c r="G20" s="118">
        <v>9</v>
      </c>
      <c r="H20" s="119" t="s">
        <v>1281</v>
      </c>
    </row>
    <row r="21" spans="1:8" ht="19.8" customHeight="1" x14ac:dyDescent="0.3">
      <c r="A21" s="112">
        <v>45982</v>
      </c>
      <c r="B21" s="104" t="s">
        <v>458</v>
      </c>
      <c r="C21" s="105" t="s">
        <v>1286</v>
      </c>
      <c r="D21" s="104" t="s">
        <v>1264</v>
      </c>
      <c r="E21" s="113">
        <v>1.006944444444444</v>
      </c>
      <c r="F21" s="104" t="s">
        <v>101</v>
      </c>
      <c r="G21" s="106">
        <v>2</v>
      </c>
      <c r="H21" s="107" t="s">
        <v>1271</v>
      </c>
    </row>
    <row r="22" spans="1:8" ht="19.8" customHeight="1" x14ac:dyDescent="0.3">
      <c r="A22" s="112">
        <v>45982</v>
      </c>
      <c r="B22" s="104" t="s">
        <v>41</v>
      </c>
      <c r="C22" s="105" t="s">
        <v>1265</v>
      </c>
      <c r="D22" s="104" t="s">
        <v>1264</v>
      </c>
      <c r="E22" s="113">
        <v>1.447916666666667</v>
      </c>
      <c r="F22" s="104" t="s">
        <v>43</v>
      </c>
      <c r="G22" s="106">
        <v>10</v>
      </c>
      <c r="H22" s="107" t="s">
        <v>779</v>
      </c>
    </row>
    <row r="23" spans="1:8" ht="19.8" customHeight="1" x14ac:dyDescent="0.3">
      <c r="A23" s="112">
        <v>45982</v>
      </c>
      <c r="B23" s="104" t="s">
        <v>458</v>
      </c>
      <c r="C23" s="105" t="s">
        <v>1272</v>
      </c>
      <c r="D23" s="104" t="s">
        <v>1264</v>
      </c>
      <c r="E23" s="113">
        <v>1.9652777777777779</v>
      </c>
      <c r="F23" s="104" t="s">
        <v>101</v>
      </c>
      <c r="G23" s="106">
        <v>3</v>
      </c>
      <c r="H23" s="107" t="s">
        <v>1124</v>
      </c>
    </row>
    <row r="24" spans="1:8" ht="19.8" customHeight="1" x14ac:dyDescent="0.3">
      <c r="A24" s="112">
        <v>45982</v>
      </c>
      <c r="B24" s="104" t="s">
        <v>26</v>
      </c>
      <c r="C24" s="105" t="s">
        <v>1268</v>
      </c>
      <c r="D24" s="104" t="s">
        <v>1264</v>
      </c>
      <c r="E24" s="113">
        <v>1.9722222222222221</v>
      </c>
      <c r="F24" s="104" t="s">
        <v>28</v>
      </c>
      <c r="G24" s="106">
        <v>4</v>
      </c>
      <c r="H24" s="107" t="s">
        <v>431</v>
      </c>
    </row>
    <row r="25" spans="1:8" ht="19.8" customHeight="1" x14ac:dyDescent="0.3">
      <c r="A25" s="112">
        <v>45982</v>
      </c>
      <c r="B25" s="104" t="s">
        <v>385</v>
      </c>
      <c r="C25" s="105" t="s">
        <v>1288</v>
      </c>
      <c r="D25" s="104" t="s">
        <v>1264</v>
      </c>
      <c r="E25" s="113">
        <v>1.805555555555556</v>
      </c>
      <c r="F25" s="104" t="s">
        <v>101</v>
      </c>
      <c r="G25" s="106">
        <v>7</v>
      </c>
      <c r="H25" s="107" t="s">
        <v>1289</v>
      </c>
    </row>
    <row r="26" spans="1:8" ht="19.8" customHeight="1" x14ac:dyDescent="0.3">
      <c r="A26" s="112">
        <v>45982</v>
      </c>
      <c r="B26" s="104" t="s">
        <v>26</v>
      </c>
      <c r="C26" s="105" t="s">
        <v>1268</v>
      </c>
      <c r="D26" s="104" t="s">
        <v>1264</v>
      </c>
      <c r="E26" s="113">
        <v>1.9722222222222221</v>
      </c>
      <c r="F26" s="104" t="s">
        <v>31</v>
      </c>
      <c r="G26" s="106">
        <v>4</v>
      </c>
      <c r="H26" s="107" t="s">
        <v>508</v>
      </c>
    </row>
    <row r="27" spans="1:8" ht="19.8" customHeight="1" x14ac:dyDescent="0.3">
      <c r="A27" s="120">
        <v>45982</v>
      </c>
      <c r="B27" s="121" t="s">
        <v>77</v>
      </c>
      <c r="C27" s="122" t="s">
        <v>1282</v>
      </c>
      <c r="D27" s="121" t="s">
        <v>1264</v>
      </c>
      <c r="E27" s="123">
        <v>1.381944444444444</v>
      </c>
      <c r="F27" s="121" t="s">
        <v>101</v>
      </c>
      <c r="G27" s="124">
        <v>1</v>
      </c>
      <c r="H27" s="125" t="s">
        <v>153</v>
      </c>
    </row>
    <row r="28" spans="1:8" ht="19.8" customHeight="1" x14ac:dyDescent="0.3">
      <c r="A28" s="112">
        <v>45982</v>
      </c>
      <c r="B28" s="104" t="s">
        <v>41</v>
      </c>
      <c r="C28" s="105" t="s">
        <v>1265</v>
      </c>
      <c r="D28" s="104" t="s">
        <v>1264</v>
      </c>
      <c r="E28" s="113">
        <v>1.447916666666667</v>
      </c>
      <c r="F28" s="104" t="s">
        <v>45</v>
      </c>
      <c r="G28" s="106">
        <v>10</v>
      </c>
      <c r="H28" s="107" t="s">
        <v>1097</v>
      </c>
    </row>
    <row r="29" spans="1:8" ht="19.8" customHeight="1" x14ac:dyDescent="0.3">
      <c r="A29" s="112">
        <v>45982</v>
      </c>
      <c r="B29" s="104" t="s">
        <v>26</v>
      </c>
      <c r="C29" s="105" t="s">
        <v>1268</v>
      </c>
      <c r="D29" s="104" t="s">
        <v>1264</v>
      </c>
      <c r="E29" s="113">
        <v>1.9722222222222221</v>
      </c>
      <c r="F29" s="104" t="s">
        <v>34</v>
      </c>
      <c r="G29" s="106">
        <v>4</v>
      </c>
      <c r="H29" s="107" t="s">
        <v>39</v>
      </c>
    </row>
    <row r="30" spans="1:8" ht="19.8" customHeight="1" x14ac:dyDescent="0.3">
      <c r="A30" s="112">
        <v>45982</v>
      </c>
      <c r="B30" s="104" t="s">
        <v>48</v>
      </c>
      <c r="C30" s="105" t="s">
        <v>1277</v>
      </c>
      <c r="D30" s="104" t="s">
        <v>1264</v>
      </c>
      <c r="E30" s="113">
        <v>1.336805555555556</v>
      </c>
      <c r="F30" s="104" t="s">
        <v>50</v>
      </c>
      <c r="G30" s="106">
        <v>9</v>
      </c>
      <c r="H30" s="107" t="s">
        <v>1281</v>
      </c>
    </row>
    <row r="31" spans="1:8" ht="19.8" customHeight="1" x14ac:dyDescent="0.3">
      <c r="A31" s="112">
        <v>45982</v>
      </c>
      <c r="B31" s="104" t="s">
        <v>48</v>
      </c>
      <c r="C31" s="105" t="s">
        <v>1279</v>
      </c>
      <c r="D31" s="104" t="s">
        <v>1264</v>
      </c>
      <c r="E31" s="113">
        <v>1.979166666666667</v>
      </c>
      <c r="F31" s="104" t="s">
        <v>50</v>
      </c>
      <c r="G31" s="106">
        <v>9</v>
      </c>
      <c r="H31" s="107" t="s">
        <v>1281</v>
      </c>
    </row>
    <row r="32" spans="1:8" ht="19.8" customHeight="1" x14ac:dyDescent="0.3">
      <c r="A32" s="112">
        <v>45982</v>
      </c>
      <c r="B32" s="104" t="s">
        <v>60</v>
      </c>
      <c r="C32" s="105" t="s">
        <v>1285</v>
      </c>
      <c r="D32" s="104" t="s">
        <v>1264</v>
      </c>
      <c r="E32" s="113">
        <v>1.447916666666667</v>
      </c>
      <c r="F32" s="104" t="s">
        <v>65</v>
      </c>
      <c r="G32" s="106">
        <v>4</v>
      </c>
      <c r="H32" s="107" t="s">
        <v>1106</v>
      </c>
    </row>
    <row r="33" spans="1:8" ht="19.8" customHeight="1" x14ac:dyDescent="0.3">
      <c r="A33" s="112">
        <v>45982</v>
      </c>
      <c r="B33" s="104" t="s">
        <v>60</v>
      </c>
      <c r="C33" s="105" t="s">
        <v>1285</v>
      </c>
      <c r="D33" s="104" t="s">
        <v>1264</v>
      </c>
      <c r="E33" s="113">
        <v>1.447916666666667</v>
      </c>
      <c r="F33" s="104" t="s">
        <v>50</v>
      </c>
      <c r="G33" s="106">
        <v>4</v>
      </c>
      <c r="H33" s="107" t="s">
        <v>1106</v>
      </c>
    </row>
    <row r="34" spans="1:8" ht="19.8" customHeight="1" x14ac:dyDescent="0.3">
      <c r="A34" s="112">
        <v>45982</v>
      </c>
      <c r="B34" s="104" t="s">
        <v>41</v>
      </c>
      <c r="C34" s="105" t="s">
        <v>1265</v>
      </c>
      <c r="D34" s="104" t="s">
        <v>1264</v>
      </c>
      <c r="E34" s="113">
        <v>1.447916666666667</v>
      </c>
      <c r="F34" s="104" t="s">
        <v>46</v>
      </c>
      <c r="G34" s="106">
        <v>10</v>
      </c>
      <c r="H34" s="107" t="s">
        <v>1287</v>
      </c>
    </row>
    <row r="35" spans="1:8" ht="19.8" customHeight="1" x14ac:dyDescent="0.3">
      <c r="A35" s="114">
        <v>45982</v>
      </c>
      <c r="B35" s="115" t="s">
        <v>48</v>
      </c>
      <c r="C35" s="116" t="s">
        <v>1280</v>
      </c>
      <c r="D35" s="115" t="s">
        <v>1264</v>
      </c>
      <c r="E35" s="117">
        <v>1.6736111111111109</v>
      </c>
      <c r="F35" s="115" t="s">
        <v>50</v>
      </c>
      <c r="G35" s="118">
        <v>6</v>
      </c>
      <c r="H35" s="119" t="s">
        <v>1291</v>
      </c>
    </row>
    <row r="36" spans="1:8" ht="19.8" customHeight="1" x14ac:dyDescent="0.3">
      <c r="A36" s="112">
        <v>45983</v>
      </c>
      <c r="B36" s="104" t="s">
        <v>41</v>
      </c>
      <c r="C36" s="105" t="s">
        <v>1265</v>
      </c>
      <c r="D36" s="104" t="s">
        <v>1264</v>
      </c>
      <c r="E36" s="113">
        <v>1.447916666666667</v>
      </c>
      <c r="F36" s="104" t="s">
        <v>43</v>
      </c>
      <c r="G36" s="106">
        <v>3</v>
      </c>
      <c r="H36" s="107" t="s">
        <v>779</v>
      </c>
    </row>
    <row r="37" spans="1:8" ht="19.8" customHeight="1" x14ac:dyDescent="0.3">
      <c r="A37" s="112">
        <v>45983</v>
      </c>
      <c r="B37" s="104" t="s">
        <v>26</v>
      </c>
      <c r="C37" s="105" t="s">
        <v>1266</v>
      </c>
      <c r="D37" s="104" t="s">
        <v>1264</v>
      </c>
      <c r="E37" s="113">
        <v>1.336805555555556</v>
      </c>
      <c r="F37" s="104" t="s">
        <v>28</v>
      </c>
      <c r="G37" s="106">
        <v>4</v>
      </c>
      <c r="H37" s="107" t="s">
        <v>431</v>
      </c>
    </row>
    <row r="38" spans="1:8" ht="19.8" customHeight="1" x14ac:dyDescent="0.3">
      <c r="A38" s="112">
        <v>45983</v>
      </c>
      <c r="B38" s="104" t="s">
        <v>26</v>
      </c>
      <c r="C38" s="105" t="s">
        <v>1266</v>
      </c>
      <c r="D38" s="104" t="s">
        <v>1264</v>
      </c>
      <c r="E38" s="113">
        <v>1.336805555555556</v>
      </c>
      <c r="F38" s="104" t="s">
        <v>31</v>
      </c>
      <c r="G38" s="106">
        <v>4</v>
      </c>
      <c r="H38" s="107" t="s">
        <v>508</v>
      </c>
    </row>
    <row r="39" spans="1:8" ht="19.8" customHeight="1" x14ac:dyDescent="0.3">
      <c r="A39" s="120">
        <v>45983</v>
      </c>
      <c r="B39" s="121" t="s">
        <v>77</v>
      </c>
      <c r="C39" s="122" t="s">
        <v>1282</v>
      </c>
      <c r="D39" s="121" t="s">
        <v>1264</v>
      </c>
      <c r="E39" s="123">
        <v>1.7222222222222221</v>
      </c>
      <c r="F39" s="121" t="s">
        <v>101</v>
      </c>
      <c r="G39" s="124">
        <v>2</v>
      </c>
      <c r="H39" s="125" t="s">
        <v>153</v>
      </c>
    </row>
    <row r="40" spans="1:8" ht="19.8" customHeight="1" x14ac:dyDescent="0.3">
      <c r="A40" s="112">
        <v>45983</v>
      </c>
      <c r="B40" s="104" t="s">
        <v>41</v>
      </c>
      <c r="C40" s="105" t="s">
        <v>1265</v>
      </c>
      <c r="D40" s="104" t="s">
        <v>1264</v>
      </c>
      <c r="E40" s="113">
        <v>1.447916666666667</v>
      </c>
      <c r="F40" s="104" t="s">
        <v>45</v>
      </c>
      <c r="G40" s="106">
        <v>3</v>
      </c>
      <c r="H40" s="107" t="s">
        <v>1097</v>
      </c>
    </row>
    <row r="41" spans="1:8" ht="19.8" customHeight="1" x14ac:dyDescent="0.3">
      <c r="A41" s="112">
        <v>45983</v>
      </c>
      <c r="B41" s="104" t="s">
        <v>26</v>
      </c>
      <c r="C41" s="105" t="s">
        <v>1266</v>
      </c>
      <c r="D41" s="104" t="s">
        <v>1264</v>
      </c>
      <c r="E41" s="113">
        <v>1.336805555555556</v>
      </c>
      <c r="F41" s="104" t="s">
        <v>34</v>
      </c>
      <c r="G41" s="106">
        <v>4</v>
      </c>
      <c r="H41" s="107" t="s">
        <v>39</v>
      </c>
    </row>
    <row r="42" spans="1:8" ht="19.8" customHeight="1" x14ac:dyDescent="0.3">
      <c r="A42" s="112">
        <v>45983</v>
      </c>
      <c r="B42" s="104" t="s">
        <v>385</v>
      </c>
      <c r="C42" s="105" t="s">
        <v>1275</v>
      </c>
      <c r="D42" s="104" t="s">
        <v>1264</v>
      </c>
      <c r="E42" s="113">
        <v>1.694444444444444</v>
      </c>
      <c r="F42" s="104" t="s">
        <v>101</v>
      </c>
      <c r="G42" s="106">
        <v>7</v>
      </c>
      <c r="H42" s="107" t="s">
        <v>493</v>
      </c>
    </row>
    <row r="43" spans="1:8" ht="19.8" customHeight="1" x14ac:dyDescent="0.3">
      <c r="A43" s="112">
        <v>45983</v>
      </c>
      <c r="B43" s="104" t="s">
        <v>388</v>
      </c>
      <c r="C43" s="105" t="s">
        <v>1294</v>
      </c>
      <c r="D43" s="104" t="s">
        <v>1264</v>
      </c>
      <c r="E43" s="113">
        <v>1.7847222222222221</v>
      </c>
      <c r="F43" s="104" t="s">
        <v>390</v>
      </c>
      <c r="G43" s="106">
        <v>1</v>
      </c>
      <c r="H43" s="107" t="s">
        <v>1295</v>
      </c>
    </row>
    <row r="44" spans="1:8" ht="19.8" customHeight="1" x14ac:dyDescent="0.3">
      <c r="A44" s="112">
        <v>45983</v>
      </c>
      <c r="B44" s="104" t="s">
        <v>26</v>
      </c>
      <c r="C44" s="105" t="s">
        <v>1268</v>
      </c>
      <c r="D44" s="104" t="s">
        <v>1264</v>
      </c>
      <c r="E44" s="113">
        <v>1.9722222222222221</v>
      </c>
      <c r="F44" s="104" t="s">
        <v>28</v>
      </c>
      <c r="G44" s="106">
        <v>9</v>
      </c>
      <c r="H44" s="107" t="s">
        <v>150</v>
      </c>
    </row>
    <row r="45" spans="1:8" ht="19.8" customHeight="1" x14ac:dyDescent="0.3">
      <c r="A45" s="112">
        <v>45983</v>
      </c>
      <c r="B45" s="104" t="s">
        <v>26</v>
      </c>
      <c r="C45" s="105" t="s">
        <v>1268</v>
      </c>
      <c r="D45" s="104" t="s">
        <v>1264</v>
      </c>
      <c r="E45" s="113">
        <v>1.9722222222222221</v>
      </c>
      <c r="F45" s="104" t="s">
        <v>351</v>
      </c>
      <c r="G45" s="106">
        <v>9</v>
      </c>
      <c r="H45" s="107" t="s">
        <v>150</v>
      </c>
    </row>
    <row r="46" spans="1:8" ht="19.8" customHeight="1" x14ac:dyDescent="0.3">
      <c r="A46" s="112">
        <v>45983</v>
      </c>
      <c r="B46" s="104" t="s">
        <v>26</v>
      </c>
      <c r="C46" s="105" t="s">
        <v>1268</v>
      </c>
      <c r="D46" s="104" t="s">
        <v>1264</v>
      </c>
      <c r="E46" s="113">
        <v>1.9722222222222221</v>
      </c>
      <c r="F46" s="104" t="s">
        <v>31</v>
      </c>
      <c r="G46" s="106">
        <v>9</v>
      </c>
      <c r="H46" s="107" t="s">
        <v>1159</v>
      </c>
    </row>
    <row r="47" spans="1:8" ht="19.8" customHeight="1" x14ac:dyDescent="0.3">
      <c r="A47" s="112">
        <v>45983</v>
      </c>
      <c r="B47" s="104" t="s">
        <v>388</v>
      </c>
      <c r="C47" s="105" t="s">
        <v>1294</v>
      </c>
      <c r="D47" s="104" t="s">
        <v>1264</v>
      </c>
      <c r="E47" s="113">
        <v>1.7847222222222221</v>
      </c>
      <c r="F47" s="104" t="s">
        <v>46</v>
      </c>
      <c r="G47" s="106">
        <v>1</v>
      </c>
      <c r="H47" s="107" t="s">
        <v>1296</v>
      </c>
    </row>
    <row r="48" spans="1:8" ht="19.8" customHeight="1" x14ac:dyDescent="0.3">
      <c r="A48" s="112">
        <v>45983</v>
      </c>
      <c r="B48" s="104" t="s">
        <v>41</v>
      </c>
      <c r="C48" s="105" t="s">
        <v>1265</v>
      </c>
      <c r="D48" s="104" t="s">
        <v>1264</v>
      </c>
      <c r="E48" s="113">
        <v>1.447916666666667</v>
      </c>
      <c r="F48" s="104" t="s">
        <v>46</v>
      </c>
      <c r="G48" s="106">
        <v>3</v>
      </c>
      <c r="H48" s="107" t="s">
        <v>146</v>
      </c>
    </row>
    <row r="49" spans="1:8" ht="19.8" customHeight="1" x14ac:dyDescent="0.3">
      <c r="A49" s="112">
        <v>45983</v>
      </c>
      <c r="B49" s="104" t="s">
        <v>26</v>
      </c>
      <c r="C49" s="105" t="s">
        <v>1268</v>
      </c>
      <c r="D49" s="104" t="s">
        <v>1264</v>
      </c>
      <c r="E49" s="113">
        <v>1.9722222222222221</v>
      </c>
      <c r="F49" s="104" t="s">
        <v>34</v>
      </c>
      <c r="G49" s="106">
        <v>9</v>
      </c>
      <c r="H49" s="107" t="s">
        <v>1292</v>
      </c>
    </row>
    <row r="50" spans="1:8" ht="19.8" customHeight="1" x14ac:dyDescent="0.3">
      <c r="A50" s="112">
        <v>45983</v>
      </c>
      <c r="B50" s="104" t="s">
        <v>48</v>
      </c>
      <c r="C50" s="105" t="s">
        <v>1279</v>
      </c>
      <c r="D50" s="104" t="s">
        <v>1264</v>
      </c>
      <c r="E50" s="113">
        <v>1.979166666666667</v>
      </c>
      <c r="F50" s="104" t="s">
        <v>50</v>
      </c>
      <c r="G50" s="106">
        <v>9</v>
      </c>
      <c r="H50" s="107" t="s">
        <v>1297</v>
      </c>
    </row>
    <row r="51" spans="1:8" ht="19.8" customHeight="1" x14ac:dyDescent="0.3">
      <c r="A51" s="112">
        <v>45983</v>
      </c>
      <c r="B51" s="104" t="s">
        <v>60</v>
      </c>
      <c r="C51" s="105" t="s">
        <v>1285</v>
      </c>
      <c r="D51" s="104" t="s">
        <v>1264</v>
      </c>
      <c r="E51" s="113">
        <v>1.447916666666667</v>
      </c>
      <c r="F51" s="104" t="s">
        <v>65</v>
      </c>
      <c r="G51" s="106">
        <v>4</v>
      </c>
      <c r="H51" s="107" t="s">
        <v>1146</v>
      </c>
    </row>
    <row r="52" spans="1:8" ht="19.8" customHeight="1" x14ac:dyDescent="0.3">
      <c r="A52" s="114">
        <v>45983</v>
      </c>
      <c r="B52" s="115" t="s">
        <v>60</v>
      </c>
      <c r="C52" s="116" t="s">
        <v>1285</v>
      </c>
      <c r="D52" s="115" t="s">
        <v>1264</v>
      </c>
      <c r="E52" s="117">
        <v>1.447916666666667</v>
      </c>
      <c r="F52" s="115" t="s">
        <v>50</v>
      </c>
      <c r="G52" s="118">
        <v>4</v>
      </c>
      <c r="H52" s="119" t="s">
        <v>1146</v>
      </c>
    </row>
    <row r="53" spans="1:8" ht="19.8" customHeight="1" x14ac:dyDescent="0.3">
      <c r="A53" s="112">
        <v>45984</v>
      </c>
      <c r="B53" s="104" t="s">
        <v>41</v>
      </c>
      <c r="C53" s="105" t="s">
        <v>1265</v>
      </c>
      <c r="D53" s="104" t="s">
        <v>1264</v>
      </c>
      <c r="E53" s="113">
        <v>1.447916666666667</v>
      </c>
      <c r="F53" s="104" t="s">
        <v>43</v>
      </c>
      <c r="G53" s="106">
        <v>9</v>
      </c>
      <c r="H53" s="107" t="s">
        <v>1028</v>
      </c>
    </row>
    <row r="54" spans="1:8" ht="19.8" customHeight="1" x14ac:dyDescent="0.3">
      <c r="A54" s="112">
        <v>45984</v>
      </c>
      <c r="B54" s="104" t="s">
        <v>26</v>
      </c>
      <c r="C54" s="105" t="s">
        <v>1268</v>
      </c>
      <c r="D54" s="104" t="s">
        <v>1264</v>
      </c>
      <c r="E54" s="113">
        <v>1.9722222222222221</v>
      </c>
      <c r="F54" s="104" t="s">
        <v>28</v>
      </c>
      <c r="G54" s="106">
        <v>4</v>
      </c>
      <c r="H54" s="107" t="s">
        <v>431</v>
      </c>
    </row>
    <row r="55" spans="1:8" ht="19.8" customHeight="1" x14ac:dyDescent="0.3">
      <c r="A55" s="112">
        <v>45984</v>
      </c>
      <c r="B55" s="104" t="s">
        <v>26</v>
      </c>
      <c r="C55" s="105" t="s">
        <v>1268</v>
      </c>
      <c r="D55" s="104" t="s">
        <v>1264</v>
      </c>
      <c r="E55" s="113">
        <v>1.9722222222222221</v>
      </c>
      <c r="F55" s="104" t="s">
        <v>351</v>
      </c>
      <c r="G55" s="106">
        <v>4</v>
      </c>
      <c r="H55" s="107" t="s">
        <v>431</v>
      </c>
    </row>
    <row r="56" spans="1:8" ht="19.8" customHeight="1" x14ac:dyDescent="0.3">
      <c r="A56" s="112">
        <v>45984</v>
      </c>
      <c r="B56" s="104" t="s">
        <v>41</v>
      </c>
      <c r="C56" s="105" t="s">
        <v>1265</v>
      </c>
      <c r="D56" s="104" t="s">
        <v>1264</v>
      </c>
      <c r="E56" s="113">
        <v>1.447916666666667</v>
      </c>
      <c r="F56" s="104" t="s">
        <v>45</v>
      </c>
      <c r="G56" s="106">
        <v>9</v>
      </c>
      <c r="H56" s="107" t="s">
        <v>33</v>
      </c>
    </row>
    <row r="57" spans="1:8" ht="19.8" customHeight="1" x14ac:dyDescent="0.3">
      <c r="A57" s="112">
        <v>45984</v>
      </c>
      <c r="B57" s="104" t="s">
        <v>26</v>
      </c>
      <c r="C57" s="105" t="s">
        <v>1268</v>
      </c>
      <c r="D57" s="104" t="s">
        <v>1264</v>
      </c>
      <c r="E57" s="113">
        <v>1.9722222222222221</v>
      </c>
      <c r="F57" s="104" t="s">
        <v>31</v>
      </c>
      <c r="G57" s="106">
        <v>4</v>
      </c>
      <c r="H57" s="107" t="s">
        <v>508</v>
      </c>
    </row>
    <row r="58" spans="1:8" ht="19.8" customHeight="1" x14ac:dyDescent="0.3">
      <c r="A58" s="112">
        <v>45984</v>
      </c>
      <c r="B58" s="104" t="s">
        <v>385</v>
      </c>
      <c r="C58" s="105" t="s">
        <v>1273</v>
      </c>
      <c r="D58" s="104" t="s">
        <v>1264</v>
      </c>
      <c r="E58" s="113">
        <v>1.756944444444444</v>
      </c>
      <c r="F58" s="104" t="s">
        <v>101</v>
      </c>
      <c r="G58" s="106">
        <v>9</v>
      </c>
      <c r="H58" s="107" t="s">
        <v>1171</v>
      </c>
    </row>
    <row r="59" spans="1:8" ht="19.8" customHeight="1" x14ac:dyDescent="0.3">
      <c r="A59" s="112">
        <v>45984</v>
      </c>
      <c r="B59" s="104" t="s">
        <v>458</v>
      </c>
      <c r="C59" s="105" t="s">
        <v>1286</v>
      </c>
      <c r="D59" s="104" t="s">
        <v>1264</v>
      </c>
      <c r="E59" s="113">
        <v>1.006944444444444</v>
      </c>
      <c r="F59" s="104" t="s">
        <v>101</v>
      </c>
      <c r="G59" s="106">
        <v>9</v>
      </c>
      <c r="H59" s="107" t="s">
        <v>1121</v>
      </c>
    </row>
    <row r="60" spans="1:8" ht="19.8" customHeight="1" x14ac:dyDescent="0.3">
      <c r="A60" s="112">
        <v>45984</v>
      </c>
      <c r="B60" s="104" t="s">
        <v>26</v>
      </c>
      <c r="C60" s="105" t="s">
        <v>1268</v>
      </c>
      <c r="D60" s="104" t="s">
        <v>1264</v>
      </c>
      <c r="E60" s="113">
        <v>1.9722222222222221</v>
      </c>
      <c r="F60" s="104" t="s">
        <v>34</v>
      </c>
      <c r="G60" s="106">
        <v>4</v>
      </c>
      <c r="H60" s="107" t="s">
        <v>39</v>
      </c>
    </row>
    <row r="61" spans="1:8" ht="19.8" customHeight="1" x14ac:dyDescent="0.3">
      <c r="A61" s="112">
        <v>45984</v>
      </c>
      <c r="B61" s="104" t="s">
        <v>41</v>
      </c>
      <c r="C61" s="105" t="s">
        <v>1265</v>
      </c>
      <c r="D61" s="104" t="s">
        <v>1264</v>
      </c>
      <c r="E61" s="113">
        <v>1.447916666666667</v>
      </c>
      <c r="F61" s="104" t="s">
        <v>46</v>
      </c>
      <c r="G61" s="106">
        <v>9</v>
      </c>
      <c r="H61" s="107" t="s">
        <v>146</v>
      </c>
    </row>
    <row r="62" spans="1:8" ht="19.8" customHeight="1" x14ac:dyDescent="0.3">
      <c r="A62" s="112">
        <v>45984</v>
      </c>
      <c r="B62" s="104" t="s">
        <v>48</v>
      </c>
      <c r="C62" s="105" t="s">
        <v>1277</v>
      </c>
      <c r="D62" s="104" t="s">
        <v>1264</v>
      </c>
      <c r="E62" s="113">
        <v>1.381944444444444</v>
      </c>
      <c r="F62" s="104" t="s">
        <v>50</v>
      </c>
      <c r="G62" s="106">
        <v>9</v>
      </c>
      <c r="H62" s="107" t="s">
        <v>1281</v>
      </c>
    </row>
    <row r="63" spans="1:8" ht="19.8" customHeight="1" x14ac:dyDescent="0.3">
      <c r="A63" s="112">
        <v>45984</v>
      </c>
      <c r="B63" s="104" t="s">
        <v>48</v>
      </c>
      <c r="C63" s="105" t="s">
        <v>1279</v>
      </c>
      <c r="D63" s="104" t="s">
        <v>1264</v>
      </c>
      <c r="E63" s="113">
        <v>1.979166666666667</v>
      </c>
      <c r="F63" s="104" t="s">
        <v>50</v>
      </c>
      <c r="G63" s="106">
        <v>9</v>
      </c>
      <c r="H63" s="107" t="s">
        <v>1281</v>
      </c>
    </row>
    <row r="64" spans="1:8" ht="19.8" customHeight="1" x14ac:dyDescent="0.3">
      <c r="A64" s="112">
        <v>45984</v>
      </c>
      <c r="B64" s="104" t="s">
        <v>60</v>
      </c>
      <c r="C64" s="105" t="s">
        <v>1285</v>
      </c>
      <c r="D64" s="104" t="s">
        <v>1264</v>
      </c>
      <c r="E64" s="113">
        <v>1.447916666666667</v>
      </c>
      <c r="F64" s="104" t="s">
        <v>65</v>
      </c>
      <c r="G64" s="106">
        <v>4</v>
      </c>
      <c r="H64" s="107" t="s">
        <v>1105</v>
      </c>
    </row>
    <row r="65" spans="1:8" ht="19.8" customHeight="1" x14ac:dyDescent="0.3">
      <c r="A65" s="114">
        <v>45984</v>
      </c>
      <c r="B65" s="115" t="s">
        <v>48</v>
      </c>
      <c r="C65" s="116" t="s">
        <v>1280</v>
      </c>
      <c r="D65" s="115" t="s">
        <v>1264</v>
      </c>
      <c r="E65" s="117">
        <v>1.6736111111111109</v>
      </c>
      <c r="F65" s="115" t="s">
        <v>50</v>
      </c>
      <c r="G65" s="118">
        <v>9</v>
      </c>
      <c r="H65" s="119" t="s">
        <v>1297</v>
      </c>
    </row>
    <row r="66" spans="1:8" ht="19.8" customHeight="1" x14ac:dyDescent="0.3">
      <c r="A66" s="112">
        <v>45985</v>
      </c>
      <c r="B66" s="104" t="s">
        <v>41</v>
      </c>
      <c r="C66" s="105" t="s">
        <v>1265</v>
      </c>
      <c r="D66" s="104" t="s">
        <v>1264</v>
      </c>
      <c r="E66" s="113">
        <v>1.447916666666667</v>
      </c>
      <c r="F66" s="104" t="s">
        <v>43</v>
      </c>
      <c r="G66" s="106">
        <v>4</v>
      </c>
      <c r="H66" s="107" t="s">
        <v>1028</v>
      </c>
    </row>
    <row r="67" spans="1:8" ht="19.8" customHeight="1" x14ac:dyDescent="0.3">
      <c r="A67" s="112">
        <v>45985</v>
      </c>
      <c r="B67" s="104" t="s">
        <v>26</v>
      </c>
      <c r="C67" s="105" t="s">
        <v>1266</v>
      </c>
      <c r="D67" s="104" t="s">
        <v>1264</v>
      </c>
      <c r="E67" s="113">
        <v>1.336805555555556</v>
      </c>
      <c r="F67" s="104" t="s">
        <v>28</v>
      </c>
      <c r="G67" s="106">
        <v>6</v>
      </c>
      <c r="H67" s="107" t="s">
        <v>431</v>
      </c>
    </row>
    <row r="68" spans="1:8" ht="19.8" customHeight="1" x14ac:dyDescent="0.3">
      <c r="A68" s="112">
        <v>45985</v>
      </c>
      <c r="B68" s="104" t="s">
        <v>26</v>
      </c>
      <c r="C68" s="105" t="s">
        <v>1268</v>
      </c>
      <c r="D68" s="104" t="s">
        <v>1264</v>
      </c>
      <c r="E68" s="113">
        <v>1.9722222222222221</v>
      </c>
      <c r="F68" s="104" t="s">
        <v>351</v>
      </c>
      <c r="G68" s="106">
        <v>7</v>
      </c>
      <c r="H68" s="107" t="s">
        <v>431</v>
      </c>
    </row>
    <row r="69" spans="1:8" ht="19.8" customHeight="1" x14ac:dyDescent="0.3">
      <c r="A69" s="112">
        <v>45985</v>
      </c>
      <c r="B69" s="104" t="s">
        <v>26</v>
      </c>
      <c r="C69" s="105" t="s">
        <v>1268</v>
      </c>
      <c r="D69" s="104" t="s">
        <v>1264</v>
      </c>
      <c r="E69" s="113">
        <v>1.9722222222222221</v>
      </c>
      <c r="F69" s="104" t="s">
        <v>28</v>
      </c>
      <c r="G69" s="106">
        <v>7</v>
      </c>
      <c r="H69" s="107" t="s">
        <v>431</v>
      </c>
    </row>
    <row r="70" spans="1:8" ht="19.8" customHeight="1" x14ac:dyDescent="0.3">
      <c r="A70" s="112">
        <v>45985</v>
      </c>
      <c r="B70" s="104" t="s">
        <v>41</v>
      </c>
      <c r="C70" s="105" t="s">
        <v>1265</v>
      </c>
      <c r="D70" s="104" t="s">
        <v>1264</v>
      </c>
      <c r="E70" s="113">
        <v>1.447916666666667</v>
      </c>
      <c r="F70" s="104" t="s">
        <v>45</v>
      </c>
      <c r="G70" s="106">
        <v>4</v>
      </c>
      <c r="H70" s="107" t="s">
        <v>33</v>
      </c>
    </row>
    <row r="71" spans="1:8" ht="19.8" customHeight="1" x14ac:dyDescent="0.3">
      <c r="A71" s="112">
        <v>45985</v>
      </c>
      <c r="B71" s="104" t="s">
        <v>26</v>
      </c>
      <c r="C71" s="105" t="s">
        <v>1266</v>
      </c>
      <c r="D71" s="104" t="s">
        <v>1264</v>
      </c>
      <c r="E71" s="113">
        <v>1.336805555555556</v>
      </c>
      <c r="F71" s="104" t="s">
        <v>31</v>
      </c>
      <c r="G71" s="106">
        <v>6</v>
      </c>
      <c r="H71" s="107" t="s">
        <v>508</v>
      </c>
    </row>
    <row r="72" spans="1:8" ht="19.8" customHeight="1" x14ac:dyDescent="0.3">
      <c r="A72" s="112">
        <v>45985</v>
      </c>
      <c r="B72" s="104" t="s">
        <v>26</v>
      </c>
      <c r="C72" s="105" t="s">
        <v>1268</v>
      </c>
      <c r="D72" s="104" t="s">
        <v>1264</v>
      </c>
      <c r="E72" s="113">
        <v>1.9722222222222221</v>
      </c>
      <c r="F72" s="104" t="s">
        <v>31</v>
      </c>
      <c r="G72" s="106">
        <v>7</v>
      </c>
      <c r="H72" s="107" t="s">
        <v>508</v>
      </c>
    </row>
    <row r="73" spans="1:8" ht="19.8" customHeight="1" x14ac:dyDescent="0.3">
      <c r="A73" s="112">
        <v>45985</v>
      </c>
      <c r="B73" s="104" t="s">
        <v>385</v>
      </c>
      <c r="C73" s="105" t="s">
        <v>1288</v>
      </c>
      <c r="D73" s="104" t="s">
        <v>1264</v>
      </c>
      <c r="E73" s="113">
        <v>1.756944444444444</v>
      </c>
      <c r="F73" s="104" t="s">
        <v>101</v>
      </c>
      <c r="G73" s="106">
        <v>9</v>
      </c>
      <c r="H73" s="107" t="s">
        <v>1171</v>
      </c>
    </row>
    <row r="74" spans="1:8" ht="19.8" customHeight="1" x14ac:dyDescent="0.3">
      <c r="A74" s="112">
        <v>45985</v>
      </c>
      <c r="B74" s="104" t="s">
        <v>26</v>
      </c>
      <c r="C74" s="105" t="s">
        <v>1266</v>
      </c>
      <c r="D74" s="104" t="s">
        <v>1264</v>
      </c>
      <c r="E74" s="113">
        <v>1.336805555555556</v>
      </c>
      <c r="F74" s="104" t="s">
        <v>34</v>
      </c>
      <c r="G74" s="106">
        <v>6</v>
      </c>
      <c r="H74" s="107" t="s">
        <v>39</v>
      </c>
    </row>
    <row r="75" spans="1:8" ht="19.8" customHeight="1" x14ac:dyDescent="0.3">
      <c r="A75" s="112">
        <v>45985</v>
      </c>
      <c r="B75" s="104" t="s">
        <v>26</v>
      </c>
      <c r="C75" s="105" t="s">
        <v>1268</v>
      </c>
      <c r="D75" s="104" t="s">
        <v>1264</v>
      </c>
      <c r="E75" s="113">
        <v>1.9722222222222221</v>
      </c>
      <c r="F75" s="104" t="s">
        <v>34</v>
      </c>
      <c r="G75" s="106">
        <v>7</v>
      </c>
      <c r="H75" s="107" t="s">
        <v>39</v>
      </c>
    </row>
    <row r="76" spans="1:8" ht="19.8" customHeight="1" x14ac:dyDescent="0.3">
      <c r="A76" s="112">
        <v>45985</v>
      </c>
      <c r="B76" s="104" t="s">
        <v>48</v>
      </c>
      <c r="C76" s="105" t="s">
        <v>1277</v>
      </c>
      <c r="D76" s="104" t="s">
        <v>1264</v>
      </c>
      <c r="E76" s="113">
        <v>1.3263888888888891</v>
      </c>
      <c r="F76" s="104" t="s">
        <v>50</v>
      </c>
      <c r="G76" s="106">
        <v>9</v>
      </c>
      <c r="H76" s="107" t="s">
        <v>132</v>
      </c>
    </row>
    <row r="77" spans="1:8" ht="19.8" customHeight="1" x14ac:dyDescent="0.3">
      <c r="A77" s="112">
        <v>45985</v>
      </c>
      <c r="B77" s="104" t="s">
        <v>41</v>
      </c>
      <c r="C77" s="105" t="s">
        <v>1265</v>
      </c>
      <c r="D77" s="104" t="s">
        <v>1264</v>
      </c>
      <c r="E77" s="113">
        <v>1.447916666666667</v>
      </c>
      <c r="F77" s="104" t="s">
        <v>46</v>
      </c>
      <c r="G77" s="106">
        <v>4</v>
      </c>
      <c r="H77" s="107" t="s">
        <v>146</v>
      </c>
    </row>
    <row r="78" spans="1:8" ht="19.8" customHeight="1" x14ac:dyDescent="0.3">
      <c r="A78" s="112">
        <v>45985</v>
      </c>
      <c r="B78" s="104" t="s">
        <v>48</v>
      </c>
      <c r="C78" s="105" t="s">
        <v>1279</v>
      </c>
      <c r="D78" s="104" t="s">
        <v>1264</v>
      </c>
      <c r="E78" s="113">
        <v>1.979166666666667</v>
      </c>
      <c r="F78" s="104" t="s">
        <v>50</v>
      </c>
      <c r="G78" s="106">
        <v>9</v>
      </c>
      <c r="H78" s="107" t="s">
        <v>1281</v>
      </c>
    </row>
    <row r="79" spans="1:8" ht="19.8" customHeight="1" x14ac:dyDescent="0.3">
      <c r="A79" s="112">
        <v>45985</v>
      </c>
      <c r="B79" s="104" t="s">
        <v>48</v>
      </c>
      <c r="C79" s="105" t="s">
        <v>1280</v>
      </c>
      <c r="D79" s="104" t="s">
        <v>1264</v>
      </c>
      <c r="E79" s="113">
        <v>1.694444444444444</v>
      </c>
      <c r="F79" s="104" t="s">
        <v>50</v>
      </c>
      <c r="G79" s="106">
        <v>9</v>
      </c>
      <c r="H79" s="107" t="s">
        <v>1281</v>
      </c>
    </row>
    <row r="80" spans="1:8" ht="19.8" customHeight="1" x14ac:dyDescent="0.3">
      <c r="A80" s="112">
        <v>45985</v>
      </c>
      <c r="B80" s="104" t="s">
        <v>60</v>
      </c>
      <c r="C80" s="105" t="s">
        <v>1285</v>
      </c>
      <c r="D80" s="104" t="s">
        <v>1264</v>
      </c>
      <c r="E80" s="113">
        <v>1.447916666666667</v>
      </c>
      <c r="F80" s="104" t="s">
        <v>50</v>
      </c>
      <c r="G80" s="106">
        <v>4</v>
      </c>
      <c r="H80" s="107" t="s">
        <v>1105</v>
      </c>
    </row>
    <row r="81" spans="1:8" ht="19.8" customHeight="1" x14ac:dyDescent="0.3">
      <c r="A81" s="114">
        <v>45985</v>
      </c>
      <c r="B81" s="115" t="s">
        <v>60</v>
      </c>
      <c r="C81" s="116" t="s">
        <v>1285</v>
      </c>
      <c r="D81" s="115" t="s">
        <v>1264</v>
      </c>
      <c r="E81" s="117">
        <v>1.447916666666667</v>
      </c>
      <c r="F81" s="115" t="s">
        <v>65</v>
      </c>
      <c r="G81" s="118">
        <v>4</v>
      </c>
      <c r="H81" s="119" t="s">
        <v>1105</v>
      </c>
    </row>
    <row r="82" spans="1:8" ht="19.8" customHeight="1" x14ac:dyDescent="0.3">
      <c r="A82" s="112">
        <v>45986</v>
      </c>
      <c r="B82" s="104" t="s">
        <v>41</v>
      </c>
      <c r="C82" s="105" t="s">
        <v>1265</v>
      </c>
      <c r="D82" s="104" t="s">
        <v>1264</v>
      </c>
      <c r="E82" s="113">
        <v>1.447916666666667</v>
      </c>
      <c r="F82" s="104" t="s">
        <v>43</v>
      </c>
      <c r="G82" s="106">
        <v>5</v>
      </c>
      <c r="H82" s="107" t="s">
        <v>779</v>
      </c>
    </row>
    <row r="83" spans="1:8" ht="19.8" customHeight="1" x14ac:dyDescent="0.3">
      <c r="A83" s="112">
        <v>45986</v>
      </c>
      <c r="B83" s="104" t="s">
        <v>26</v>
      </c>
      <c r="C83" s="105" t="s">
        <v>1266</v>
      </c>
      <c r="D83" s="104" t="s">
        <v>1264</v>
      </c>
      <c r="E83" s="113">
        <v>1.336805555555556</v>
      </c>
      <c r="F83" s="104" t="s">
        <v>28</v>
      </c>
      <c r="G83" s="106">
        <v>3</v>
      </c>
      <c r="H83" s="107" t="s">
        <v>431</v>
      </c>
    </row>
    <row r="84" spans="1:8" ht="19.8" customHeight="1" x14ac:dyDescent="0.3">
      <c r="A84" s="112">
        <v>45986</v>
      </c>
      <c r="B84" s="104" t="s">
        <v>26</v>
      </c>
      <c r="C84" s="105" t="s">
        <v>1268</v>
      </c>
      <c r="D84" s="104" t="s">
        <v>1264</v>
      </c>
      <c r="E84" s="113">
        <v>1.9722222222222221</v>
      </c>
      <c r="F84" s="104" t="s">
        <v>28</v>
      </c>
      <c r="G84" s="106">
        <v>9</v>
      </c>
      <c r="H84" s="107" t="s">
        <v>431</v>
      </c>
    </row>
    <row r="85" spans="1:8" ht="19.8" customHeight="1" x14ac:dyDescent="0.3">
      <c r="A85" s="112">
        <v>45986</v>
      </c>
      <c r="B85" s="104" t="s">
        <v>26</v>
      </c>
      <c r="C85" s="105" t="s">
        <v>1266</v>
      </c>
      <c r="D85" s="104" t="s">
        <v>1264</v>
      </c>
      <c r="E85" s="113">
        <v>1.336805555555556</v>
      </c>
      <c r="F85" s="104" t="s">
        <v>31</v>
      </c>
      <c r="G85" s="106">
        <v>3</v>
      </c>
      <c r="H85" s="107" t="s">
        <v>508</v>
      </c>
    </row>
    <row r="86" spans="1:8" ht="19.8" customHeight="1" x14ac:dyDescent="0.3">
      <c r="A86" s="112">
        <v>45986</v>
      </c>
      <c r="B86" s="104" t="s">
        <v>26</v>
      </c>
      <c r="C86" s="105" t="s">
        <v>1268</v>
      </c>
      <c r="D86" s="104" t="s">
        <v>1264</v>
      </c>
      <c r="E86" s="113">
        <v>1.9722222222222221</v>
      </c>
      <c r="F86" s="104" t="s">
        <v>31</v>
      </c>
      <c r="G86" s="106">
        <v>9</v>
      </c>
      <c r="H86" s="107" t="s">
        <v>508</v>
      </c>
    </row>
    <row r="87" spans="1:8" ht="19.8" customHeight="1" x14ac:dyDescent="0.3">
      <c r="A87" s="120">
        <v>45986</v>
      </c>
      <c r="B87" s="121" t="s">
        <v>77</v>
      </c>
      <c r="C87" s="122" t="s">
        <v>1282</v>
      </c>
      <c r="D87" s="121" t="s">
        <v>1264</v>
      </c>
      <c r="E87" s="123">
        <v>1.069444444444444</v>
      </c>
      <c r="F87" s="121" t="s">
        <v>101</v>
      </c>
      <c r="G87" s="124">
        <v>9</v>
      </c>
      <c r="H87" s="125" t="s">
        <v>153</v>
      </c>
    </row>
    <row r="88" spans="1:8" ht="19.8" customHeight="1" x14ac:dyDescent="0.3">
      <c r="A88" s="112">
        <v>45986</v>
      </c>
      <c r="B88" s="104" t="s">
        <v>41</v>
      </c>
      <c r="C88" s="105" t="s">
        <v>1265</v>
      </c>
      <c r="D88" s="104" t="s">
        <v>1264</v>
      </c>
      <c r="E88" s="113">
        <v>1.447916666666667</v>
      </c>
      <c r="F88" s="104" t="s">
        <v>45</v>
      </c>
      <c r="G88" s="106">
        <v>5</v>
      </c>
      <c r="H88" s="107" t="s">
        <v>1097</v>
      </c>
    </row>
    <row r="89" spans="1:8" ht="19.8" customHeight="1" x14ac:dyDescent="0.3">
      <c r="A89" s="112">
        <v>45986</v>
      </c>
      <c r="B89" s="104" t="s">
        <v>458</v>
      </c>
      <c r="C89" s="105" t="s">
        <v>1272</v>
      </c>
      <c r="D89" s="104" t="s">
        <v>1264</v>
      </c>
      <c r="E89" s="113">
        <v>1.881944444444444</v>
      </c>
      <c r="F89" s="104" t="s">
        <v>101</v>
      </c>
      <c r="G89" s="106">
        <v>5</v>
      </c>
      <c r="H89" s="107" t="s">
        <v>1121</v>
      </c>
    </row>
    <row r="90" spans="1:8" ht="19.8" customHeight="1" x14ac:dyDescent="0.3">
      <c r="A90" s="112">
        <v>45986</v>
      </c>
      <c r="B90" s="104" t="s">
        <v>26</v>
      </c>
      <c r="C90" s="105" t="s">
        <v>1266</v>
      </c>
      <c r="D90" s="104" t="s">
        <v>1264</v>
      </c>
      <c r="E90" s="113">
        <v>1.336805555555556</v>
      </c>
      <c r="F90" s="104" t="s">
        <v>34</v>
      </c>
      <c r="G90" s="106">
        <v>3</v>
      </c>
      <c r="H90" s="107" t="s">
        <v>39</v>
      </c>
    </row>
    <row r="91" spans="1:8" ht="19.8" customHeight="1" x14ac:dyDescent="0.3">
      <c r="A91" s="112">
        <v>45986</v>
      </c>
      <c r="B91" s="104" t="s">
        <v>26</v>
      </c>
      <c r="C91" s="105" t="s">
        <v>1268</v>
      </c>
      <c r="D91" s="104" t="s">
        <v>1264</v>
      </c>
      <c r="E91" s="113">
        <v>1.9722222222222221</v>
      </c>
      <c r="F91" s="104" t="s">
        <v>34</v>
      </c>
      <c r="G91" s="106">
        <v>9</v>
      </c>
      <c r="H91" s="107" t="s">
        <v>39</v>
      </c>
    </row>
    <row r="92" spans="1:8" ht="19.8" customHeight="1" x14ac:dyDescent="0.3">
      <c r="A92" s="112">
        <v>45986</v>
      </c>
      <c r="B92" s="104" t="s">
        <v>385</v>
      </c>
      <c r="C92" s="105" t="s">
        <v>1275</v>
      </c>
      <c r="D92" s="104" t="s">
        <v>1264</v>
      </c>
      <c r="E92" s="113">
        <v>1.756944444444444</v>
      </c>
      <c r="F92" s="104" t="s">
        <v>101</v>
      </c>
      <c r="G92" s="106">
        <v>1</v>
      </c>
      <c r="H92" s="107" t="s">
        <v>493</v>
      </c>
    </row>
    <row r="93" spans="1:8" ht="19.8" customHeight="1" x14ac:dyDescent="0.3">
      <c r="A93" s="112">
        <v>45986</v>
      </c>
      <c r="B93" s="104" t="s">
        <v>41</v>
      </c>
      <c r="C93" s="105" t="s">
        <v>1265</v>
      </c>
      <c r="D93" s="104" t="s">
        <v>1264</v>
      </c>
      <c r="E93" s="113">
        <v>1.447916666666667</v>
      </c>
      <c r="F93" s="104" t="s">
        <v>46</v>
      </c>
      <c r="G93" s="106">
        <v>5</v>
      </c>
      <c r="H93" s="107" t="s">
        <v>146</v>
      </c>
    </row>
    <row r="94" spans="1:8" ht="19.8" customHeight="1" x14ac:dyDescent="0.3">
      <c r="A94" s="112">
        <v>45986</v>
      </c>
      <c r="B94" s="104" t="s">
        <v>48</v>
      </c>
      <c r="C94" s="105" t="s">
        <v>1277</v>
      </c>
      <c r="D94" s="104" t="s">
        <v>1264</v>
      </c>
      <c r="E94" s="113">
        <v>1.336805555555556</v>
      </c>
      <c r="F94" s="104" t="s">
        <v>50</v>
      </c>
      <c r="G94" s="106">
        <v>9</v>
      </c>
      <c r="H94" s="107" t="s">
        <v>1281</v>
      </c>
    </row>
    <row r="95" spans="1:8" ht="19.8" customHeight="1" x14ac:dyDescent="0.3">
      <c r="A95" s="112">
        <v>45986</v>
      </c>
      <c r="B95" s="104" t="s">
        <v>48</v>
      </c>
      <c r="C95" s="105" t="s">
        <v>1279</v>
      </c>
      <c r="D95" s="104" t="s">
        <v>1264</v>
      </c>
      <c r="E95" s="113">
        <v>1.979166666666667</v>
      </c>
      <c r="F95" s="104" t="s">
        <v>50</v>
      </c>
      <c r="G95" s="106">
        <v>9</v>
      </c>
      <c r="H95" s="107" t="s">
        <v>1299</v>
      </c>
    </row>
    <row r="96" spans="1:8" ht="19.8" customHeight="1" x14ac:dyDescent="0.3">
      <c r="A96" s="112">
        <v>45986</v>
      </c>
      <c r="B96" s="104" t="s">
        <v>60</v>
      </c>
      <c r="C96" s="105" t="s">
        <v>1285</v>
      </c>
      <c r="D96" s="104" t="s">
        <v>1264</v>
      </c>
      <c r="E96" s="113">
        <v>1.447916666666667</v>
      </c>
      <c r="F96" s="104" t="s">
        <v>65</v>
      </c>
      <c r="G96" s="106">
        <v>4</v>
      </c>
      <c r="H96" s="107" t="s">
        <v>1146</v>
      </c>
    </row>
    <row r="97" spans="1:8" ht="19.8" customHeight="1" x14ac:dyDescent="0.3">
      <c r="A97" s="114">
        <v>45986</v>
      </c>
      <c r="B97" s="115" t="s">
        <v>48</v>
      </c>
      <c r="C97" s="116" t="s">
        <v>1280</v>
      </c>
      <c r="D97" s="115" t="s">
        <v>1264</v>
      </c>
      <c r="E97" s="117">
        <v>1.6736111111111109</v>
      </c>
      <c r="F97" s="115" t="s">
        <v>50</v>
      </c>
      <c r="G97" s="118">
        <v>8</v>
      </c>
      <c r="H97" s="119" t="s">
        <v>1291</v>
      </c>
    </row>
    <row r="98" spans="1:8" ht="19.8" customHeight="1" x14ac:dyDescent="0.3">
      <c r="A98" s="112">
        <v>45987</v>
      </c>
      <c r="B98" s="104" t="s">
        <v>41</v>
      </c>
      <c r="C98" s="105" t="s">
        <v>1265</v>
      </c>
      <c r="D98" s="104" t="s">
        <v>1264</v>
      </c>
      <c r="E98" s="113">
        <v>1.447916666666667</v>
      </c>
      <c r="F98" s="104" t="s">
        <v>43</v>
      </c>
      <c r="G98" s="106">
        <v>6</v>
      </c>
      <c r="H98" s="107" t="s">
        <v>143</v>
      </c>
    </row>
    <row r="99" spans="1:8" ht="19.8" customHeight="1" x14ac:dyDescent="0.3">
      <c r="A99" s="112">
        <v>45987</v>
      </c>
      <c r="B99" s="104" t="s">
        <v>26</v>
      </c>
      <c r="C99" s="105" t="s">
        <v>1268</v>
      </c>
      <c r="D99" s="104" t="s">
        <v>1264</v>
      </c>
      <c r="E99" s="113">
        <v>1.9722222222222221</v>
      </c>
      <c r="F99" s="104" t="s">
        <v>28</v>
      </c>
      <c r="G99" s="106">
        <v>3</v>
      </c>
      <c r="H99" s="107" t="s">
        <v>493</v>
      </c>
    </row>
    <row r="100" spans="1:8" ht="19.8" customHeight="1" x14ac:dyDescent="0.3">
      <c r="A100" s="112">
        <v>45987</v>
      </c>
      <c r="B100" s="104" t="s">
        <v>41</v>
      </c>
      <c r="C100" s="105" t="s">
        <v>1265</v>
      </c>
      <c r="D100" s="104" t="s">
        <v>1264</v>
      </c>
      <c r="E100" s="113">
        <v>1.447916666666667</v>
      </c>
      <c r="F100" s="104" t="s">
        <v>45</v>
      </c>
      <c r="G100" s="106">
        <v>6</v>
      </c>
      <c r="H100" s="107" t="s">
        <v>47</v>
      </c>
    </row>
    <row r="101" spans="1:8" ht="19.8" customHeight="1" x14ac:dyDescent="0.3">
      <c r="A101" s="112">
        <v>45987</v>
      </c>
      <c r="B101" s="104" t="s">
        <v>26</v>
      </c>
      <c r="C101" s="105" t="s">
        <v>1268</v>
      </c>
      <c r="D101" s="104" t="s">
        <v>1264</v>
      </c>
      <c r="E101" s="113">
        <v>1.9722222222222221</v>
      </c>
      <c r="F101" s="104" t="s">
        <v>31</v>
      </c>
      <c r="G101" s="106">
        <v>3</v>
      </c>
      <c r="H101" s="107" t="s">
        <v>47</v>
      </c>
    </row>
    <row r="102" spans="1:8" ht="19.8" customHeight="1" x14ac:dyDescent="0.3">
      <c r="A102" s="112">
        <v>45987</v>
      </c>
      <c r="B102" s="104" t="s">
        <v>385</v>
      </c>
      <c r="C102" s="105" t="s">
        <v>1288</v>
      </c>
      <c r="D102" s="104" t="s">
        <v>1264</v>
      </c>
      <c r="E102" s="113">
        <v>1.697916666666667</v>
      </c>
      <c r="F102" s="104" t="s">
        <v>101</v>
      </c>
      <c r="G102" s="106">
        <v>9</v>
      </c>
      <c r="H102" s="107" t="s">
        <v>1300</v>
      </c>
    </row>
    <row r="103" spans="1:8" ht="19.8" customHeight="1" x14ac:dyDescent="0.3">
      <c r="A103" s="112">
        <v>45987</v>
      </c>
      <c r="B103" s="104" t="s">
        <v>26</v>
      </c>
      <c r="C103" s="105" t="s">
        <v>1268</v>
      </c>
      <c r="D103" s="104" t="s">
        <v>1264</v>
      </c>
      <c r="E103" s="113">
        <v>1.9722222222222221</v>
      </c>
      <c r="F103" s="104" t="s">
        <v>34</v>
      </c>
      <c r="G103" s="106">
        <v>3</v>
      </c>
      <c r="H103" s="107" t="s">
        <v>1139</v>
      </c>
    </row>
    <row r="104" spans="1:8" ht="19.8" customHeight="1" x14ac:dyDescent="0.3">
      <c r="A104" s="112">
        <v>45987</v>
      </c>
      <c r="B104" s="104" t="s">
        <v>41</v>
      </c>
      <c r="C104" s="105" t="s">
        <v>1265</v>
      </c>
      <c r="D104" s="104" t="s">
        <v>1264</v>
      </c>
      <c r="E104" s="113">
        <v>1.447916666666667</v>
      </c>
      <c r="F104" s="104" t="s">
        <v>46</v>
      </c>
      <c r="G104" s="106">
        <v>6</v>
      </c>
      <c r="H104" s="107" t="s">
        <v>146</v>
      </c>
    </row>
    <row r="105" spans="1:8" ht="19.8" customHeight="1" x14ac:dyDescent="0.3">
      <c r="A105" s="112">
        <v>45987</v>
      </c>
      <c r="B105" s="104" t="s">
        <v>48</v>
      </c>
      <c r="C105" s="105" t="s">
        <v>1277</v>
      </c>
      <c r="D105" s="104" t="s">
        <v>1264</v>
      </c>
      <c r="E105" s="113">
        <v>1.336805555555556</v>
      </c>
      <c r="F105" s="104" t="s">
        <v>50</v>
      </c>
      <c r="G105" s="106">
        <v>9</v>
      </c>
      <c r="H105" s="107" t="s">
        <v>1299</v>
      </c>
    </row>
    <row r="106" spans="1:8" ht="19.8" customHeight="1" x14ac:dyDescent="0.3">
      <c r="A106" s="112">
        <v>45987</v>
      </c>
      <c r="B106" s="104" t="s">
        <v>60</v>
      </c>
      <c r="C106" s="105" t="s">
        <v>1285</v>
      </c>
      <c r="D106" s="104" t="s">
        <v>1264</v>
      </c>
      <c r="E106" s="113">
        <v>1.447916666666667</v>
      </c>
      <c r="F106" s="104" t="s">
        <v>65</v>
      </c>
      <c r="G106" s="106">
        <v>4</v>
      </c>
      <c r="H106" s="107" t="s">
        <v>1147</v>
      </c>
    </row>
    <row r="107" spans="1:8" ht="19.8" customHeight="1" x14ac:dyDescent="0.3">
      <c r="A107" s="112">
        <v>45987</v>
      </c>
      <c r="B107" s="104" t="s">
        <v>48</v>
      </c>
      <c r="C107" s="105" t="s">
        <v>1279</v>
      </c>
      <c r="D107" s="104" t="s">
        <v>1264</v>
      </c>
      <c r="E107" s="113">
        <v>1.979166666666667</v>
      </c>
      <c r="F107" s="104" t="s">
        <v>50</v>
      </c>
      <c r="G107" s="106">
        <v>7</v>
      </c>
      <c r="H107" s="107" t="s">
        <v>1301</v>
      </c>
    </row>
    <row r="108" spans="1:8" ht="19.8" customHeight="1" x14ac:dyDescent="0.3">
      <c r="A108" s="114">
        <v>45987</v>
      </c>
      <c r="B108" s="115" t="s">
        <v>48</v>
      </c>
      <c r="C108" s="116" t="s">
        <v>1280</v>
      </c>
      <c r="D108" s="115" t="s">
        <v>1264</v>
      </c>
      <c r="E108" s="117">
        <v>1.677083333333333</v>
      </c>
      <c r="F108" s="115" t="s">
        <v>50</v>
      </c>
      <c r="G108" s="118">
        <v>1</v>
      </c>
      <c r="H108" s="119" t="s">
        <v>1302</v>
      </c>
    </row>
    <row r="109" spans="1:8" ht="19.8" customHeight="1" x14ac:dyDescent="0.3">
      <c r="A109" s="112">
        <v>45988</v>
      </c>
      <c r="B109" s="104" t="s">
        <v>41</v>
      </c>
      <c r="C109" s="105" t="s">
        <v>1265</v>
      </c>
      <c r="D109" s="104" t="s">
        <v>1264</v>
      </c>
      <c r="E109" s="113">
        <v>1.447916666666667</v>
      </c>
      <c r="F109" s="104" t="s">
        <v>43</v>
      </c>
      <c r="G109" s="106">
        <v>4</v>
      </c>
      <c r="H109" s="107" t="s">
        <v>143</v>
      </c>
    </row>
    <row r="110" spans="1:8" ht="19.8" customHeight="1" x14ac:dyDescent="0.3">
      <c r="A110" s="112">
        <v>45988</v>
      </c>
      <c r="B110" s="104" t="s">
        <v>26</v>
      </c>
      <c r="C110" s="105" t="s">
        <v>1266</v>
      </c>
      <c r="D110" s="104" t="s">
        <v>1264</v>
      </c>
      <c r="E110" s="113">
        <v>1.336805555555556</v>
      </c>
      <c r="F110" s="104" t="s">
        <v>28</v>
      </c>
      <c r="G110" s="106">
        <v>9</v>
      </c>
      <c r="H110" s="107" t="s">
        <v>493</v>
      </c>
    </row>
    <row r="111" spans="1:8" ht="19.8" customHeight="1" x14ac:dyDescent="0.3">
      <c r="A111" s="112">
        <v>45988</v>
      </c>
      <c r="B111" s="104" t="s">
        <v>385</v>
      </c>
      <c r="C111" s="105" t="s">
        <v>1273</v>
      </c>
      <c r="D111" s="104" t="s">
        <v>1264</v>
      </c>
      <c r="E111" s="113">
        <v>1.3611111111111109</v>
      </c>
      <c r="F111" s="104" t="s">
        <v>101</v>
      </c>
      <c r="G111" s="106">
        <v>8</v>
      </c>
      <c r="H111" s="107" t="s">
        <v>1303</v>
      </c>
    </row>
    <row r="112" spans="1:8" ht="19.8" customHeight="1" x14ac:dyDescent="0.3">
      <c r="A112" s="112">
        <v>45988</v>
      </c>
      <c r="B112" s="104" t="s">
        <v>41</v>
      </c>
      <c r="C112" s="105" t="s">
        <v>1265</v>
      </c>
      <c r="D112" s="104" t="s">
        <v>1264</v>
      </c>
      <c r="E112" s="113">
        <v>1.447916666666667</v>
      </c>
      <c r="F112" s="104" t="s">
        <v>45</v>
      </c>
      <c r="G112" s="106">
        <v>4</v>
      </c>
      <c r="H112" s="107" t="s">
        <v>47</v>
      </c>
    </row>
    <row r="113" spans="1:8" ht="19.8" customHeight="1" x14ac:dyDescent="0.3">
      <c r="A113" s="112">
        <v>45988</v>
      </c>
      <c r="B113" s="104" t="s">
        <v>26</v>
      </c>
      <c r="C113" s="105" t="s">
        <v>1266</v>
      </c>
      <c r="D113" s="104" t="s">
        <v>1264</v>
      </c>
      <c r="E113" s="113">
        <v>1.336805555555556</v>
      </c>
      <c r="F113" s="104" t="s">
        <v>31</v>
      </c>
      <c r="G113" s="106">
        <v>9</v>
      </c>
      <c r="H113" s="107" t="s">
        <v>47</v>
      </c>
    </row>
    <row r="114" spans="1:8" ht="19.8" customHeight="1" x14ac:dyDescent="0.3">
      <c r="A114" s="112">
        <v>45988</v>
      </c>
      <c r="B114" s="104" t="s">
        <v>26</v>
      </c>
      <c r="C114" s="105" t="s">
        <v>1268</v>
      </c>
      <c r="D114" s="104" t="s">
        <v>1264</v>
      </c>
      <c r="E114" s="113">
        <v>1.9722222222222221</v>
      </c>
      <c r="F114" s="104" t="s">
        <v>28</v>
      </c>
      <c r="G114" s="106">
        <v>9</v>
      </c>
      <c r="H114" s="107" t="s">
        <v>150</v>
      </c>
    </row>
    <row r="115" spans="1:8" ht="19.8" customHeight="1" x14ac:dyDescent="0.3">
      <c r="A115" s="112">
        <v>45988</v>
      </c>
      <c r="B115" s="104" t="s">
        <v>385</v>
      </c>
      <c r="C115" s="105" t="s">
        <v>1275</v>
      </c>
      <c r="D115" s="104" t="s">
        <v>1264</v>
      </c>
      <c r="E115" s="113">
        <v>1.756944444444444</v>
      </c>
      <c r="F115" s="104" t="s">
        <v>101</v>
      </c>
      <c r="G115" s="106">
        <v>7</v>
      </c>
      <c r="H115" s="107" t="s">
        <v>1300</v>
      </c>
    </row>
    <row r="116" spans="1:8" ht="19.8" customHeight="1" x14ac:dyDescent="0.3">
      <c r="A116" s="112">
        <v>45988</v>
      </c>
      <c r="B116" s="104" t="s">
        <v>458</v>
      </c>
      <c r="C116" s="105" t="s">
        <v>1286</v>
      </c>
      <c r="D116" s="104" t="s">
        <v>1264</v>
      </c>
      <c r="E116" s="113">
        <v>1.9652777777777779</v>
      </c>
      <c r="F116" s="104" t="s">
        <v>101</v>
      </c>
      <c r="G116" s="106">
        <v>5</v>
      </c>
      <c r="H116" s="107" t="s">
        <v>1304</v>
      </c>
    </row>
    <row r="117" spans="1:8" ht="19.8" customHeight="1" x14ac:dyDescent="0.3">
      <c r="A117" s="112">
        <v>45988</v>
      </c>
      <c r="B117" s="104" t="s">
        <v>458</v>
      </c>
      <c r="C117" s="105" t="s">
        <v>1270</v>
      </c>
      <c r="D117" s="104" t="s">
        <v>1264</v>
      </c>
      <c r="E117" s="113">
        <v>1.0763888888888891</v>
      </c>
      <c r="F117" s="104" t="s">
        <v>101</v>
      </c>
      <c r="G117" s="106">
        <v>9</v>
      </c>
      <c r="H117" s="107" t="s">
        <v>1304</v>
      </c>
    </row>
    <row r="118" spans="1:8" ht="19.8" customHeight="1" x14ac:dyDescent="0.3">
      <c r="A118" s="112">
        <v>45988</v>
      </c>
      <c r="B118" s="104" t="s">
        <v>458</v>
      </c>
      <c r="C118" s="105" t="s">
        <v>1272</v>
      </c>
      <c r="D118" s="104" t="s">
        <v>1264</v>
      </c>
      <c r="E118" s="113">
        <v>1.680555555555556</v>
      </c>
      <c r="F118" s="104" t="s">
        <v>101</v>
      </c>
      <c r="G118" s="106">
        <v>5</v>
      </c>
      <c r="H118" s="107" t="s">
        <v>1304</v>
      </c>
    </row>
    <row r="119" spans="1:8" ht="19.8" customHeight="1" x14ac:dyDescent="0.3">
      <c r="A119" s="112">
        <v>45988</v>
      </c>
      <c r="B119" s="104" t="s">
        <v>26</v>
      </c>
      <c r="C119" s="105" t="s">
        <v>1266</v>
      </c>
      <c r="D119" s="104" t="s">
        <v>1264</v>
      </c>
      <c r="E119" s="113">
        <v>1.336805555555556</v>
      </c>
      <c r="F119" s="104" t="s">
        <v>34</v>
      </c>
      <c r="G119" s="106">
        <v>9</v>
      </c>
      <c r="H119" s="107" t="s">
        <v>1139</v>
      </c>
    </row>
    <row r="120" spans="1:8" ht="19.8" customHeight="1" x14ac:dyDescent="0.3">
      <c r="A120" s="120">
        <v>45988</v>
      </c>
      <c r="B120" s="121" t="s">
        <v>77</v>
      </c>
      <c r="C120" s="122" t="s">
        <v>1282</v>
      </c>
      <c r="D120" s="121" t="s">
        <v>1264</v>
      </c>
      <c r="E120" s="123">
        <v>1.7222222222222221</v>
      </c>
      <c r="F120" s="121" t="s">
        <v>101</v>
      </c>
      <c r="G120" s="124">
        <v>3</v>
      </c>
      <c r="H120" s="125" t="s">
        <v>1305</v>
      </c>
    </row>
    <row r="121" spans="1:8" ht="19.8" customHeight="1" x14ac:dyDescent="0.3">
      <c r="A121" s="112">
        <v>45988</v>
      </c>
      <c r="B121" s="104" t="s">
        <v>26</v>
      </c>
      <c r="C121" s="105" t="s">
        <v>1268</v>
      </c>
      <c r="D121" s="104" t="s">
        <v>1264</v>
      </c>
      <c r="E121" s="113">
        <v>1.9722222222222221</v>
      </c>
      <c r="F121" s="104" t="s">
        <v>31</v>
      </c>
      <c r="G121" s="106">
        <v>9</v>
      </c>
      <c r="H121" s="107" t="s">
        <v>1159</v>
      </c>
    </row>
    <row r="122" spans="1:8" ht="19.8" customHeight="1" x14ac:dyDescent="0.3">
      <c r="A122" s="112">
        <v>45988</v>
      </c>
      <c r="B122" s="104" t="s">
        <v>41</v>
      </c>
      <c r="C122" s="105" t="s">
        <v>1265</v>
      </c>
      <c r="D122" s="104" t="s">
        <v>1264</v>
      </c>
      <c r="E122" s="113">
        <v>1.447916666666667</v>
      </c>
      <c r="F122" s="104" t="s">
        <v>46</v>
      </c>
      <c r="G122" s="106">
        <v>4</v>
      </c>
      <c r="H122" s="107" t="s">
        <v>146</v>
      </c>
    </row>
    <row r="123" spans="1:8" ht="19.8" customHeight="1" x14ac:dyDescent="0.3">
      <c r="A123" s="112">
        <v>45988</v>
      </c>
      <c r="B123" s="104" t="s">
        <v>26</v>
      </c>
      <c r="C123" s="105" t="s">
        <v>1268</v>
      </c>
      <c r="D123" s="104" t="s">
        <v>1264</v>
      </c>
      <c r="E123" s="113">
        <v>1.9722222222222221</v>
      </c>
      <c r="F123" s="104" t="s">
        <v>34</v>
      </c>
      <c r="G123" s="106">
        <v>9</v>
      </c>
      <c r="H123" s="107" t="s">
        <v>1292</v>
      </c>
    </row>
    <row r="124" spans="1:8" ht="19.8" customHeight="1" x14ac:dyDescent="0.3">
      <c r="A124" s="112">
        <v>45988</v>
      </c>
      <c r="B124" s="104" t="s">
        <v>48</v>
      </c>
      <c r="C124" s="105" t="s">
        <v>1277</v>
      </c>
      <c r="D124" s="104" t="s">
        <v>1264</v>
      </c>
      <c r="E124" s="113">
        <v>1.336805555555556</v>
      </c>
      <c r="F124" s="104" t="s">
        <v>50</v>
      </c>
      <c r="G124" s="106">
        <v>9</v>
      </c>
      <c r="H124" s="107" t="s">
        <v>1297</v>
      </c>
    </row>
    <row r="125" spans="1:8" ht="19.8" customHeight="1" x14ac:dyDescent="0.3">
      <c r="A125" s="112">
        <v>45988</v>
      </c>
      <c r="B125" s="104" t="s">
        <v>60</v>
      </c>
      <c r="C125" s="105" t="s">
        <v>1285</v>
      </c>
      <c r="D125" s="104" t="s">
        <v>1264</v>
      </c>
      <c r="E125" s="113">
        <v>1.447916666666667</v>
      </c>
      <c r="F125" s="104" t="s">
        <v>65</v>
      </c>
      <c r="G125" s="106">
        <v>4</v>
      </c>
      <c r="H125" s="107" t="s">
        <v>1147</v>
      </c>
    </row>
    <row r="126" spans="1:8" ht="19.8" customHeight="1" x14ac:dyDescent="0.3">
      <c r="A126" s="112">
        <v>45988</v>
      </c>
      <c r="B126" s="104" t="s">
        <v>48</v>
      </c>
      <c r="C126" s="105" t="s">
        <v>1279</v>
      </c>
      <c r="D126" s="104" t="s">
        <v>1264</v>
      </c>
      <c r="E126" s="113">
        <v>1.979166666666667</v>
      </c>
      <c r="F126" s="104" t="s">
        <v>50</v>
      </c>
      <c r="G126" s="106">
        <v>9</v>
      </c>
      <c r="H126" s="107" t="s">
        <v>1307</v>
      </c>
    </row>
    <row r="127" spans="1:8" ht="19.8" customHeight="1" x14ac:dyDescent="0.3">
      <c r="A127" s="114">
        <v>45988</v>
      </c>
      <c r="B127" s="115" t="s">
        <v>48</v>
      </c>
      <c r="C127" s="116" t="s">
        <v>1280</v>
      </c>
      <c r="D127" s="115" t="s">
        <v>1264</v>
      </c>
      <c r="E127" s="117">
        <v>1.694444444444444</v>
      </c>
      <c r="F127" s="115" t="s">
        <v>50</v>
      </c>
      <c r="G127" s="118">
        <v>9</v>
      </c>
      <c r="H127" s="119" t="s">
        <v>1308</v>
      </c>
    </row>
    <row r="128" spans="1:8" ht="19.8" customHeight="1" x14ac:dyDescent="0.3">
      <c r="A128" s="112">
        <v>45989</v>
      </c>
      <c r="B128" s="104" t="s">
        <v>41</v>
      </c>
      <c r="C128" s="105" t="s">
        <v>1265</v>
      </c>
      <c r="D128" s="104" t="s">
        <v>1264</v>
      </c>
      <c r="E128" s="113">
        <v>1.447916666666667</v>
      </c>
      <c r="F128" s="104" t="s">
        <v>43</v>
      </c>
      <c r="G128" s="106">
        <v>9</v>
      </c>
      <c r="H128" s="107" t="s">
        <v>1309</v>
      </c>
    </row>
    <row r="129" spans="1:8" ht="19.8" customHeight="1" x14ac:dyDescent="0.3">
      <c r="A129" s="112">
        <v>45989</v>
      </c>
      <c r="B129" s="104" t="s">
        <v>26</v>
      </c>
      <c r="C129" s="105" t="s">
        <v>1268</v>
      </c>
      <c r="D129" s="104" t="s">
        <v>1264</v>
      </c>
      <c r="E129" s="113">
        <v>1.9722222222222221</v>
      </c>
      <c r="F129" s="104" t="s">
        <v>28</v>
      </c>
      <c r="G129" s="106">
        <v>8</v>
      </c>
      <c r="H129" s="107" t="s">
        <v>550</v>
      </c>
    </row>
    <row r="130" spans="1:8" ht="19.8" customHeight="1" x14ac:dyDescent="0.3">
      <c r="A130" s="112">
        <v>45989</v>
      </c>
      <c r="B130" s="104" t="s">
        <v>41</v>
      </c>
      <c r="C130" s="105" t="s">
        <v>1265</v>
      </c>
      <c r="D130" s="104" t="s">
        <v>1264</v>
      </c>
      <c r="E130" s="113">
        <v>1.447916666666667</v>
      </c>
      <c r="F130" s="104" t="s">
        <v>45</v>
      </c>
      <c r="G130" s="106">
        <v>9</v>
      </c>
      <c r="H130" s="107" t="s">
        <v>1310</v>
      </c>
    </row>
    <row r="131" spans="1:8" ht="19.8" customHeight="1" x14ac:dyDescent="0.3">
      <c r="A131" s="112">
        <v>45989</v>
      </c>
      <c r="B131" s="104" t="s">
        <v>26</v>
      </c>
      <c r="C131" s="105" t="s">
        <v>1268</v>
      </c>
      <c r="D131" s="104" t="s">
        <v>1264</v>
      </c>
      <c r="E131" s="113">
        <v>1.9722222222222221</v>
      </c>
      <c r="F131" s="104" t="s">
        <v>31</v>
      </c>
      <c r="G131" s="106">
        <v>8</v>
      </c>
      <c r="H131" s="107" t="s">
        <v>551</v>
      </c>
    </row>
    <row r="132" spans="1:8" ht="19.8" customHeight="1" x14ac:dyDescent="0.3">
      <c r="A132" s="112">
        <v>45989</v>
      </c>
      <c r="B132" s="104" t="s">
        <v>458</v>
      </c>
      <c r="C132" s="105" t="s">
        <v>1272</v>
      </c>
      <c r="D132" s="104" t="s">
        <v>1264</v>
      </c>
      <c r="E132" s="113">
        <v>1.9652777777777779</v>
      </c>
      <c r="F132" s="104" t="s">
        <v>101</v>
      </c>
      <c r="G132" s="106">
        <v>9</v>
      </c>
      <c r="H132" s="107" t="s">
        <v>1311</v>
      </c>
    </row>
    <row r="133" spans="1:8" ht="19.8" customHeight="1" x14ac:dyDescent="0.3">
      <c r="A133" s="120">
        <v>45989</v>
      </c>
      <c r="B133" s="121" t="s">
        <v>77</v>
      </c>
      <c r="C133" s="122" t="s">
        <v>1282</v>
      </c>
      <c r="D133" s="121" t="s">
        <v>1264</v>
      </c>
      <c r="E133" s="123">
        <v>1.381944444444444</v>
      </c>
      <c r="F133" s="121" t="s">
        <v>101</v>
      </c>
      <c r="G133" s="124">
        <v>9</v>
      </c>
      <c r="H133" s="125" t="s">
        <v>1312</v>
      </c>
    </row>
    <row r="134" spans="1:8" ht="19.8" customHeight="1" x14ac:dyDescent="0.3">
      <c r="A134" s="112">
        <v>45989</v>
      </c>
      <c r="B134" s="104" t="s">
        <v>385</v>
      </c>
      <c r="C134" s="105" t="s">
        <v>1288</v>
      </c>
      <c r="D134" s="104" t="s">
        <v>1264</v>
      </c>
      <c r="E134" s="113">
        <v>1.756944444444444</v>
      </c>
      <c r="F134" s="104" t="s">
        <v>101</v>
      </c>
      <c r="G134" s="106">
        <v>7</v>
      </c>
      <c r="H134" s="107" t="s">
        <v>1314</v>
      </c>
    </row>
    <row r="135" spans="1:8" ht="19.8" customHeight="1" x14ac:dyDescent="0.3">
      <c r="A135" s="112">
        <v>45989</v>
      </c>
      <c r="B135" s="104" t="s">
        <v>26</v>
      </c>
      <c r="C135" s="105" t="s">
        <v>1268</v>
      </c>
      <c r="D135" s="104" t="s">
        <v>1264</v>
      </c>
      <c r="E135" s="113">
        <v>1.9722222222222221</v>
      </c>
      <c r="F135" s="104" t="s">
        <v>34</v>
      </c>
      <c r="G135" s="106">
        <v>8</v>
      </c>
      <c r="H135" s="107" t="s">
        <v>552</v>
      </c>
    </row>
    <row r="136" spans="1:8" ht="19.8" customHeight="1" x14ac:dyDescent="0.3">
      <c r="A136" s="112">
        <v>45989</v>
      </c>
      <c r="B136" s="104" t="s">
        <v>41</v>
      </c>
      <c r="C136" s="105" t="s">
        <v>1265</v>
      </c>
      <c r="D136" s="104" t="s">
        <v>1264</v>
      </c>
      <c r="E136" s="113">
        <v>1.447916666666667</v>
      </c>
      <c r="F136" s="104" t="s">
        <v>46</v>
      </c>
      <c r="G136" s="106">
        <v>9</v>
      </c>
      <c r="H136" s="107" t="s">
        <v>1287</v>
      </c>
    </row>
    <row r="137" spans="1:8" ht="19.8" customHeight="1" x14ac:dyDescent="0.3">
      <c r="A137" s="112">
        <v>45989</v>
      </c>
      <c r="B137" s="104" t="s">
        <v>48</v>
      </c>
      <c r="C137" s="105" t="s">
        <v>1279</v>
      </c>
      <c r="D137" s="104" t="s">
        <v>1264</v>
      </c>
      <c r="E137" s="113">
        <v>1.979166666666667</v>
      </c>
      <c r="F137" s="104" t="s">
        <v>50</v>
      </c>
      <c r="G137" s="106">
        <v>9</v>
      </c>
      <c r="H137" s="107" t="s">
        <v>1307</v>
      </c>
    </row>
    <row r="138" spans="1:8" ht="19.8" customHeight="1" x14ac:dyDescent="0.3">
      <c r="A138" s="112">
        <v>45989</v>
      </c>
      <c r="B138" s="104" t="s">
        <v>60</v>
      </c>
      <c r="C138" s="105" t="s">
        <v>1285</v>
      </c>
      <c r="D138" s="104" t="s">
        <v>1264</v>
      </c>
      <c r="E138" s="113">
        <v>1.447916666666667</v>
      </c>
      <c r="F138" s="104" t="s">
        <v>65</v>
      </c>
      <c r="G138" s="106">
        <v>4</v>
      </c>
      <c r="H138" s="107" t="s">
        <v>1316</v>
      </c>
    </row>
    <row r="139" spans="1:8" ht="19.8" customHeight="1" x14ac:dyDescent="0.3">
      <c r="A139" s="114">
        <v>45989</v>
      </c>
      <c r="B139" s="115" t="s">
        <v>48</v>
      </c>
      <c r="C139" s="116" t="s">
        <v>1277</v>
      </c>
      <c r="D139" s="115" t="s">
        <v>1264</v>
      </c>
      <c r="E139" s="117">
        <v>1.3263888888888891</v>
      </c>
      <c r="F139" s="115" t="s">
        <v>50</v>
      </c>
      <c r="G139" s="118">
        <v>9</v>
      </c>
      <c r="H139" s="119" t="s">
        <v>1315</v>
      </c>
    </row>
    <row r="140" spans="1:8" ht="19.8" customHeight="1" x14ac:dyDescent="0.3">
      <c r="A140" s="112">
        <v>45990</v>
      </c>
      <c r="B140" s="104" t="s">
        <v>26</v>
      </c>
      <c r="C140" s="105" t="s">
        <v>1266</v>
      </c>
      <c r="D140" s="104" t="s">
        <v>1264</v>
      </c>
      <c r="E140" s="113">
        <v>1.336805555555556</v>
      </c>
      <c r="F140" s="104" t="s">
        <v>351</v>
      </c>
      <c r="G140" s="106">
        <v>2</v>
      </c>
      <c r="H140" s="107" t="s">
        <v>1317</v>
      </c>
    </row>
    <row r="141" spans="1:8" ht="19.8" customHeight="1" x14ac:dyDescent="0.3">
      <c r="A141" s="112">
        <v>45990</v>
      </c>
      <c r="B141" s="104" t="s">
        <v>26</v>
      </c>
      <c r="C141" s="105" t="s">
        <v>1266</v>
      </c>
      <c r="D141" s="104" t="s">
        <v>1264</v>
      </c>
      <c r="E141" s="113">
        <v>1.336805555555556</v>
      </c>
      <c r="F141" s="104" t="s">
        <v>28</v>
      </c>
      <c r="G141" s="106">
        <v>2</v>
      </c>
      <c r="H141" s="107" t="s">
        <v>1317</v>
      </c>
    </row>
    <row r="142" spans="1:8" ht="19.8" customHeight="1" x14ac:dyDescent="0.3">
      <c r="A142" s="112">
        <v>45990</v>
      </c>
      <c r="B142" s="104" t="s">
        <v>26</v>
      </c>
      <c r="C142" s="105" t="s">
        <v>1266</v>
      </c>
      <c r="D142" s="104" t="s">
        <v>1264</v>
      </c>
      <c r="E142" s="113">
        <v>1.336805555555556</v>
      </c>
      <c r="F142" s="104" t="s">
        <v>31</v>
      </c>
      <c r="G142" s="106">
        <v>2</v>
      </c>
      <c r="H142" s="107" t="s">
        <v>1318</v>
      </c>
    </row>
    <row r="143" spans="1:8" ht="19.8" customHeight="1" x14ac:dyDescent="0.3">
      <c r="A143" s="112">
        <v>45990</v>
      </c>
      <c r="B143" s="104" t="s">
        <v>41</v>
      </c>
      <c r="C143" s="105" t="s">
        <v>1265</v>
      </c>
      <c r="D143" s="104" t="s">
        <v>1264</v>
      </c>
      <c r="E143" s="113">
        <v>1.447916666666667</v>
      </c>
      <c r="F143" s="104" t="s">
        <v>337</v>
      </c>
      <c r="G143" s="106">
        <v>9</v>
      </c>
      <c r="H143" s="107" t="s">
        <v>1309</v>
      </c>
    </row>
    <row r="144" spans="1:8" ht="19.8" customHeight="1" x14ac:dyDescent="0.3">
      <c r="A144" s="112">
        <v>45990</v>
      </c>
      <c r="B144" s="104" t="s">
        <v>41</v>
      </c>
      <c r="C144" s="105" t="s">
        <v>1265</v>
      </c>
      <c r="D144" s="104" t="s">
        <v>1264</v>
      </c>
      <c r="E144" s="113">
        <v>1.447916666666667</v>
      </c>
      <c r="F144" s="104" t="s">
        <v>43</v>
      </c>
      <c r="G144" s="106">
        <v>2</v>
      </c>
      <c r="H144" s="107" t="s">
        <v>1309</v>
      </c>
    </row>
    <row r="145" spans="1:8" ht="19.8" customHeight="1" x14ac:dyDescent="0.3">
      <c r="A145" s="112">
        <v>45990</v>
      </c>
      <c r="B145" s="104" t="s">
        <v>385</v>
      </c>
      <c r="C145" s="105" t="s">
        <v>1320</v>
      </c>
      <c r="D145" s="104" t="s">
        <v>1264</v>
      </c>
      <c r="E145" s="113">
        <v>1.961805555555556</v>
      </c>
      <c r="F145" s="104" t="s">
        <v>101</v>
      </c>
      <c r="G145" s="106">
        <v>8</v>
      </c>
      <c r="H145" s="107" t="s">
        <v>1321</v>
      </c>
    </row>
    <row r="146" spans="1:8" ht="19.8" customHeight="1" x14ac:dyDescent="0.3">
      <c r="A146" s="112">
        <v>45990</v>
      </c>
      <c r="B146" s="104" t="s">
        <v>26</v>
      </c>
      <c r="C146" s="105" t="s">
        <v>1266</v>
      </c>
      <c r="D146" s="104" t="s">
        <v>1264</v>
      </c>
      <c r="E146" s="113">
        <v>1.336805555555556</v>
      </c>
      <c r="F146" s="104" t="s">
        <v>34</v>
      </c>
      <c r="G146" s="106">
        <v>2</v>
      </c>
      <c r="H146" s="107" t="s">
        <v>1319</v>
      </c>
    </row>
    <row r="147" spans="1:8" ht="19.8" customHeight="1" x14ac:dyDescent="0.3">
      <c r="A147" s="112">
        <v>45990</v>
      </c>
      <c r="B147" s="104" t="s">
        <v>388</v>
      </c>
      <c r="C147" s="105" t="s">
        <v>1294</v>
      </c>
      <c r="D147" s="104" t="s">
        <v>1264</v>
      </c>
      <c r="E147" s="113">
        <v>1.7465277777777779</v>
      </c>
      <c r="F147" s="104" t="s">
        <v>461</v>
      </c>
      <c r="G147" s="106">
        <v>9</v>
      </c>
      <c r="H147" s="107" t="s">
        <v>1323</v>
      </c>
    </row>
    <row r="148" spans="1:8" ht="19.8" customHeight="1" x14ac:dyDescent="0.3">
      <c r="A148" s="112">
        <v>45990</v>
      </c>
      <c r="B148" s="104" t="s">
        <v>388</v>
      </c>
      <c r="C148" s="105" t="s">
        <v>1294</v>
      </c>
      <c r="D148" s="104" t="s">
        <v>1264</v>
      </c>
      <c r="E148" s="113">
        <v>1.7465277777777779</v>
      </c>
      <c r="F148" s="104" t="s">
        <v>390</v>
      </c>
      <c r="G148" s="106">
        <v>9</v>
      </c>
      <c r="H148" s="107" t="s">
        <v>1323</v>
      </c>
    </row>
    <row r="149" spans="1:8" ht="19.8" customHeight="1" x14ac:dyDescent="0.3">
      <c r="A149" s="112">
        <v>45990</v>
      </c>
      <c r="B149" s="104" t="s">
        <v>26</v>
      </c>
      <c r="C149" s="105" t="s">
        <v>1268</v>
      </c>
      <c r="D149" s="104" t="s">
        <v>1264</v>
      </c>
      <c r="E149" s="113">
        <v>1.9722222222222221</v>
      </c>
      <c r="F149" s="104" t="s">
        <v>351</v>
      </c>
      <c r="G149" s="106">
        <v>9</v>
      </c>
      <c r="H149" s="107" t="s">
        <v>550</v>
      </c>
    </row>
    <row r="150" spans="1:8" ht="19.8" customHeight="1" x14ac:dyDescent="0.3">
      <c r="A150" s="112">
        <v>45990</v>
      </c>
      <c r="B150" s="104" t="s">
        <v>26</v>
      </c>
      <c r="C150" s="105" t="s">
        <v>1268</v>
      </c>
      <c r="D150" s="104" t="s">
        <v>1264</v>
      </c>
      <c r="E150" s="113">
        <v>1.9722222222222221</v>
      </c>
      <c r="F150" s="104" t="s">
        <v>28</v>
      </c>
      <c r="G150" s="106">
        <v>9</v>
      </c>
      <c r="H150" s="107" t="s">
        <v>550</v>
      </c>
    </row>
    <row r="151" spans="1:8" ht="19.8" customHeight="1" x14ac:dyDescent="0.3">
      <c r="A151" s="112">
        <v>45990</v>
      </c>
      <c r="B151" s="104" t="s">
        <v>385</v>
      </c>
      <c r="C151" s="105" t="s">
        <v>1275</v>
      </c>
      <c r="D151" s="104" t="s">
        <v>1264</v>
      </c>
      <c r="E151" s="113">
        <v>1.694444444444444</v>
      </c>
      <c r="F151" s="104" t="s">
        <v>101</v>
      </c>
      <c r="G151" s="106">
        <v>8</v>
      </c>
      <c r="H151" s="107" t="s">
        <v>1322</v>
      </c>
    </row>
    <row r="152" spans="1:8" ht="19.8" customHeight="1" x14ac:dyDescent="0.3">
      <c r="A152" s="112">
        <v>45990</v>
      </c>
      <c r="B152" s="104" t="s">
        <v>41</v>
      </c>
      <c r="C152" s="105" t="s">
        <v>1265</v>
      </c>
      <c r="D152" s="104" t="s">
        <v>1264</v>
      </c>
      <c r="E152" s="113">
        <v>1.447916666666667</v>
      </c>
      <c r="F152" s="104" t="s">
        <v>45</v>
      </c>
      <c r="G152" s="106">
        <v>2</v>
      </c>
      <c r="H152" s="107" t="s">
        <v>1310</v>
      </c>
    </row>
    <row r="153" spans="1:8" ht="19.8" customHeight="1" x14ac:dyDescent="0.3">
      <c r="A153" s="112">
        <v>45990</v>
      </c>
      <c r="B153" s="104" t="s">
        <v>26</v>
      </c>
      <c r="C153" s="105" t="s">
        <v>1268</v>
      </c>
      <c r="D153" s="104" t="s">
        <v>1264</v>
      </c>
      <c r="E153" s="113">
        <v>1.9722222222222221</v>
      </c>
      <c r="F153" s="104" t="s">
        <v>31</v>
      </c>
      <c r="G153" s="106">
        <v>9</v>
      </c>
      <c r="H153" s="107" t="s">
        <v>551</v>
      </c>
    </row>
    <row r="154" spans="1:8" ht="19.8" customHeight="1" x14ac:dyDescent="0.3">
      <c r="A154" s="120">
        <v>45990</v>
      </c>
      <c r="B154" s="121" t="s">
        <v>77</v>
      </c>
      <c r="C154" s="122" t="s">
        <v>1282</v>
      </c>
      <c r="D154" s="121" t="s">
        <v>1264</v>
      </c>
      <c r="E154" s="123">
        <v>1.7222222222222221</v>
      </c>
      <c r="F154" s="121" t="s">
        <v>101</v>
      </c>
      <c r="G154" s="124">
        <v>9</v>
      </c>
      <c r="H154" s="125" t="s">
        <v>1312</v>
      </c>
    </row>
    <row r="155" spans="1:8" ht="19.8" customHeight="1" x14ac:dyDescent="0.3">
      <c r="A155" s="112">
        <v>45990</v>
      </c>
      <c r="B155" s="104" t="s">
        <v>26</v>
      </c>
      <c r="C155" s="105" t="s">
        <v>1268</v>
      </c>
      <c r="D155" s="104" t="s">
        <v>1264</v>
      </c>
      <c r="E155" s="113">
        <v>1.9722222222222221</v>
      </c>
      <c r="F155" s="104" t="s">
        <v>34</v>
      </c>
      <c r="G155" s="106">
        <v>9</v>
      </c>
      <c r="H155" s="107" t="s">
        <v>552</v>
      </c>
    </row>
    <row r="156" spans="1:8" ht="19.8" customHeight="1" x14ac:dyDescent="0.3">
      <c r="A156" s="112">
        <v>45990</v>
      </c>
      <c r="B156" s="104" t="s">
        <v>388</v>
      </c>
      <c r="C156" s="105" t="s">
        <v>1294</v>
      </c>
      <c r="D156" s="104" t="s">
        <v>1264</v>
      </c>
      <c r="E156" s="113">
        <v>1.7465277777777779</v>
      </c>
      <c r="F156" s="104" t="s">
        <v>46</v>
      </c>
      <c r="G156" s="106">
        <v>9</v>
      </c>
      <c r="H156" s="107" t="s">
        <v>1324</v>
      </c>
    </row>
    <row r="157" spans="1:8" ht="19.8" customHeight="1" x14ac:dyDescent="0.3">
      <c r="A157" s="112">
        <v>45990</v>
      </c>
      <c r="B157" s="104" t="s">
        <v>41</v>
      </c>
      <c r="C157" s="105" t="s">
        <v>1265</v>
      </c>
      <c r="D157" s="104" t="s">
        <v>1264</v>
      </c>
      <c r="E157" s="113">
        <v>1.447916666666667</v>
      </c>
      <c r="F157" s="104" t="s">
        <v>46</v>
      </c>
      <c r="G157" s="106">
        <v>2</v>
      </c>
      <c r="H157" s="107" t="s">
        <v>1287</v>
      </c>
    </row>
    <row r="158" spans="1:8" ht="19.8" customHeight="1" x14ac:dyDescent="0.3">
      <c r="A158" s="114">
        <v>45990</v>
      </c>
      <c r="B158" s="115" t="s">
        <v>60</v>
      </c>
      <c r="C158" s="116" t="s">
        <v>1285</v>
      </c>
      <c r="D158" s="115" t="s">
        <v>1264</v>
      </c>
      <c r="E158" s="117">
        <v>1.447916666666667</v>
      </c>
      <c r="F158" s="115" t="s">
        <v>65</v>
      </c>
      <c r="G158" s="118">
        <v>4</v>
      </c>
      <c r="H158" s="119" t="s">
        <v>1316</v>
      </c>
    </row>
    <row r="159" spans="1:8" ht="19.8" customHeight="1" x14ac:dyDescent="0.3">
      <c r="A159" s="112">
        <v>45991</v>
      </c>
      <c r="B159" s="104" t="s">
        <v>41</v>
      </c>
      <c r="C159" s="105" t="s">
        <v>1265</v>
      </c>
      <c r="D159" s="104" t="s">
        <v>1264</v>
      </c>
      <c r="E159" s="113">
        <v>1.447916666666667</v>
      </c>
      <c r="F159" s="104" t="s">
        <v>43</v>
      </c>
      <c r="G159" s="106">
        <v>7</v>
      </c>
      <c r="H159" s="107" t="s">
        <v>154</v>
      </c>
    </row>
    <row r="160" spans="1:8" ht="19.8" customHeight="1" x14ac:dyDescent="0.3">
      <c r="A160" s="112">
        <v>45991</v>
      </c>
      <c r="B160" s="104" t="s">
        <v>26</v>
      </c>
      <c r="C160" s="105" t="s">
        <v>1268</v>
      </c>
      <c r="D160" s="104" t="s">
        <v>1264</v>
      </c>
      <c r="E160" s="113">
        <v>1.9722222222222221</v>
      </c>
      <c r="F160" s="104" t="s">
        <v>28</v>
      </c>
      <c r="G160" s="106">
        <v>2</v>
      </c>
      <c r="H160" s="107" t="s">
        <v>478</v>
      </c>
    </row>
    <row r="161" spans="1:8" ht="19.8" customHeight="1" x14ac:dyDescent="0.3">
      <c r="A161" s="112">
        <v>45991</v>
      </c>
      <c r="B161" s="104" t="s">
        <v>458</v>
      </c>
      <c r="C161" s="105" t="s">
        <v>1270</v>
      </c>
      <c r="D161" s="104" t="s">
        <v>1264</v>
      </c>
      <c r="E161" s="113">
        <v>1.9201388888888891</v>
      </c>
      <c r="F161" s="104" t="s">
        <v>101</v>
      </c>
      <c r="G161" s="106">
        <v>2</v>
      </c>
      <c r="H161" s="107" t="s">
        <v>1326</v>
      </c>
    </row>
    <row r="162" spans="1:8" ht="19.8" customHeight="1" x14ac:dyDescent="0.3">
      <c r="A162" s="112">
        <v>45991</v>
      </c>
      <c r="B162" s="104" t="s">
        <v>26</v>
      </c>
      <c r="C162" s="105" t="s">
        <v>1268</v>
      </c>
      <c r="D162" s="104" t="s">
        <v>1264</v>
      </c>
      <c r="E162" s="113">
        <v>1.9722222222222221</v>
      </c>
      <c r="F162" s="104" t="s">
        <v>31</v>
      </c>
      <c r="G162" s="106">
        <v>2</v>
      </c>
      <c r="H162" s="107" t="s">
        <v>457</v>
      </c>
    </row>
    <row r="163" spans="1:8" ht="19.8" customHeight="1" x14ac:dyDescent="0.3">
      <c r="A163" s="112">
        <v>45991</v>
      </c>
      <c r="B163" s="104" t="s">
        <v>385</v>
      </c>
      <c r="C163" s="105" t="s">
        <v>1327</v>
      </c>
      <c r="D163" s="104" t="s">
        <v>1264</v>
      </c>
      <c r="E163" s="113">
        <v>1.4826388888888891</v>
      </c>
      <c r="F163" s="104" t="s">
        <v>101</v>
      </c>
      <c r="G163" s="106">
        <v>5</v>
      </c>
      <c r="H163" s="107" t="s">
        <v>1300</v>
      </c>
    </row>
    <row r="164" spans="1:8" ht="19.8" customHeight="1" x14ac:dyDescent="0.3">
      <c r="A164" s="112">
        <v>45991</v>
      </c>
      <c r="B164" s="104" t="s">
        <v>385</v>
      </c>
      <c r="C164" s="105" t="s">
        <v>1273</v>
      </c>
      <c r="D164" s="104" t="s">
        <v>1264</v>
      </c>
      <c r="E164" s="113">
        <v>1.756944444444444</v>
      </c>
      <c r="F164" s="104" t="s">
        <v>101</v>
      </c>
      <c r="G164" s="106">
        <v>4</v>
      </c>
      <c r="H164" s="107" t="s">
        <v>1300</v>
      </c>
    </row>
    <row r="165" spans="1:8" ht="19.8" customHeight="1" x14ac:dyDescent="0.3">
      <c r="A165" s="112">
        <v>45991</v>
      </c>
      <c r="B165" s="104" t="s">
        <v>41</v>
      </c>
      <c r="C165" s="105" t="s">
        <v>1265</v>
      </c>
      <c r="D165" s="104" t="s">
        <v>1264</v>
      </c>
      <c r="E165" s="113">
        <v>1.447916666666667</v>
      </c>
      <c r="F165" s="104" t="s">
        <v>45</v>
      </c>
      <c r="G165" s="106">
        <v>7</v>
      </c>
      <c r="H165" s="107" t="s">
        <v>124</v>
      </c>
    </row>
    <row r="166" spans="1:8" ht="19.8" customHeight="1" x14ac:dyDescent="0.3">
      <c r="A166" s="112">
        <v>45991</v>
      </c>
      <c r="B166" s="104" t="s">
        <v>458</v>
      </c>
      <c r="C166" s="105" t="s">
        <v>1286</v>
      </c>
      <c r="D166" s="104" t="s">
        <v>1264</v>
      </c>
      <c r="E166" s="113">
        <v>1.006944444444444</v>
      </c>
      <c r="F166" s="104" t="s">
        <v>101</v>
      </c>
      <c r="G166" s="106">
        <v>9</v>
      </c>
      <c r="H166" s="107" t="s">
        <v>1304</v>
      </c>
    </row>
    <row r="167" spans="1:8" ht="19.8" customHeight="1" x14ac:dyDescent="0.3">
      <c r="A167" s="112">
        <v>45991</v>
      </c>
      <c r="B167" s="104" t="s">
        <v>26</v>
      </c>
      <c r="C167" s="105" t="s">
        <v>1268</v>
      </c>
      <c r="D167" s="104" t="s">
        <v>1264</v>
      </c>
      <c r="E167" s="113">
        <v>1.9722222222222221</v>
      </c>
      <c r="F167" s="104" t="s">
        <v>34</v>
      </c>
      <c r="G167" s="106">
        <v>2</v>
      </c>
      <c r="H167" s="107" t="s">
        <v>479</v>
      </c>
    </row>
    <row r="168" spans="1:8" ht="19.8" customHeight="1" x14ac:dyDescent="0.3">
      <c r="A168" s="112">
        <v>45991</v>
      </c>
      <c r="B168" s="104" t="s">
        <v>41</v>
      </c>
      <c r="C168" s="105" t="s">
        <v>1265</v>
      </c>
      <c r="D168" s="104" t="s">
        <v>1264</v>
      </c>
      <c r="E168" s="113">
        <v>1.447916666666667</v>
      </c>
      <c r="F168" s="104" t="s">
        <v>46</v>
      </c>
      <c r="G168" s="106">
        <v>7</v>
      </c>
      <c r="H168" s="107" t="s">
        <v>1287</v>
      </c>
    </row>
    <row r="169" spans="1:8" ht="19.8" customHeight="1" x14ac:dyDescent="0.3">
      <c r="A169" s="112">
        <v>45991</v>
      </c>
      <c r="B169" s="104" t="s">
        <v>60</v>
      </c>
      <c r="C169" s="105" t="s">
        <v>1285</v>
      </c>
      <c r="D169" s="104" t="s">
        <v>1264</v>
      </c>
      <c r="E169" s="113">
        <v>1.447916666666667</v>
      </c>
      <c r="F169" s="104" t="s">
        <v>65</v>
      </c>
      <c r="G169" s="106">
        <v>4</v>
      </c>
      <c r="H169" s="107" t="s">
        <v>1156</v>
      </c>
    </row>
    <row r="170" spans="1:8" ht="19.8" customHeight="1" x14ac:dyDescent="0.3">
      <c r="A170" s="112">
        <v>45991</v>
      </c>
      <c r="B170" s="104" t="s">
        <v>48</v>
      </c>
      <c r="C170" s="105" t="s">
        <v>1279</v>
      </c>
      <c r="D170" s="104" t="s">
        <v>1264</v>
      </c>
      <c r="E170" s="113">
        <v>1.979166666666667</v>
      </c>
      <c r="F170" s="104" t="s">
        <v>50</v>
      </c>
      <c r="G170" s="106">
        <v>7</v>
      </c>
      <c r="H170" s="107" t="s">
        <v>1302</v>
      </c>
    </row>
    <row r="171" spans="1:8" ht="19.8" customHeight="1" x14ac:dyDescent="0.3">
      <c r="A171" s="114">
        <v>45991</v>
      </c>
      <c r="B171" s="115" t="s">
        <v>48</v>
      </c>
      <c r="C171" s="116" t="s">
        <v>1280</v>
      </c>
      <c r="D171" s="115" t="s">
        <v>1264</v>
      </c>
      <c r="E171" s="117">
        <v>1.6736111111111109</v>
      </c>
      <c r="F171" s="115" t="s">
        <v>50</v>
      </c>
      <c r="G171" s="118">
        <v>9</v>
      </c>
      <c r="H171" s="119" t="s">
        <v>1302</v>
      </c>
    </row>
  </sheetData>
  <pageMargins left="0.75" right="0.75" top="1" bottom="1" header="0.5" footer="0.5"/>
  <legacyDrawing r:id="rId1"/>
  <tableParts count="1">
    <tablePart r:id="rId2"/>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62"/>
  <sheetViews>
    <sheetView workbookViewId="0"/>
  </sheetViews>
  <sheetFormatPr defaultRowHeight="14.4" x14ac:dyDescent="0.3"/>
  <cols>
    <col min="1" max="1" width="11.2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4.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8" t="s">
        <v>235</v>
      </c>
      <c r="B2" s="109" t="s">
        <v>77</v>
      </c>
      <c r="C2" s="110" t="s">
        <v>1282</v>
      </c>
      <c r="D2" s="109" t="s">
        <v>1264</v>
      </c>
      <c r="E2" s="109" t="s">
        <v>1328</v>
      </c>
      <c r="F2" s="109" t="s">
        <v>101</v>
      </c>
      <c r="G2" s="128">
        <v>2</v>
      </c>
      <c r="H2" s="111" t="s">
        <v>153</v>
      </c>
    </row>
    <row r="3" spans="1:8" ht="19.8" customHeight="1" x14ac:dyDescent="0.3">
      <c r="A3" s="126">
        <v>45982</v>
      </c>
      <c r="B3" s="109" t="s">
        <v>77</v>
      </c>
      <c r="C3" s="110" t="s">
        <v>1282</v>
      </c>
      <c r="D3" s="109" t="s">
        <v>1264</v>
      </c>
      <c r="E3" s="127">
        <v>1.381944444444444</v>
      </c>
      <c r="F3" s="109" t="s">
        <v>101</v>
      </c>
      <c r="G3" s="128">
        <v>1</v>
      </c>
      <c r="H3" s="111" t="s">
        <v>153</v>
      </c>
    </row>
    <row r="4" spans="1:8" ht="19.8" customHeight="1" x14ac:dyDescent="0.3">
      <c r="A4" s="126">
        <v>45983</v>
      </c>
      <c r="B4" s="109" t="s">
        <v>77</v>
      </c>
      <c r="C4" s="110" t="s">
        <v>1282</v>
      </c>
      <c r="D4" s="109" t="s">
        <v>1264</v>
      </c>
      <c r="E4" s="127">
        <v>1.7222222222222221</v>
      </c>
      <c r="F4" s="109" t="s">
        <v>101</v>
      </c>
      <c r="G4" s="128">
        <v>2</v>
      </c>
      <c r="H4" s="111" t="s">
        <v>153</v>
      </c>
    </row>
    <row r="5" spans="1:8" ht="19.8" customHeight="1" x14ac:dyDescent="0.3">
      <c r="A5" s="112">
        <v>45984</v>
      </c>
      <c r="B5" s="104" t="s">
        <v>41</v>
      </c>
      <c r="C5" s="105" t="s">
        <v>1265</v>
      </c>
      <c r="D5" s="104" t="s">
        <v>1264</v>
      </c>
      <c r="E5" s="113">
        <v>1.447916666666667</v>
      </c>
      <c r="F5" s="104" t="s">
        <v>43</v>
      </c>
      <c r="G5" s="106">
        <v>9</v>
      </c>
      <c r="H5" s="107" t="s">
        <v>1028</v>
      </c>
    </row>
    <row r="6" spans="1:8" ht="19.8" customHeight="1" x14ac:dyDescent="0.3">
      <c r="A6" s="112">
        <v>45984</v>
      </c>
      <c r="B6" s="104" t="s">
        <v>26</v>
      </c>
      <c r="C6" s="105" t="s">
        <v>1268</v>
      </c>
      <c r="D6" s="104" t="s">
        <v>1264</v>
      </c>
      <c r="E6" s="113">
        <v>1.9722222222222221</v>
      </c>
      <c r="F6" s="104" t="s">
        <v>28</v>
      </c>
      <c r="G6" s="106">
        <v>4</v>
      </c>
      <c r="H6" s="107" t="s">
        <v>431</v>
      </c>
    </row>
    <row r="7" spans="1:8" ht="19.8" customHeight="1" x14ac:dyDescent="0.3">
      <c r="A7" s="112">
        <v>45984</v>
      </c>
      <c r="B7" s="104" t="s">
        <v>26</v>
      </c>
      <c r="C7" s="105" t="s">
        <v>1268</v>
      </c>
      <c r="D7" s="104" t="s">
        <v>1264</v>
      </c>
      <c r="E7" s="113">
        <v>1.9722222222222221</v>
      </c>
      <c r="F7" s="104" t="s">
        <v>351</v>
      </c>
      <c r="G7" s="106">
        <v>4</v>
      </c>
      <c r="H7" s="107" t="s">
        <v>431</v>
      </c>
    </row>
    <row r="8" spans="1:8" ht="19.8" customHeight="1" x14ac:dyDescent="0.3">
      <c r="A8" s="112">
        <v>45984</v>
      </c>
      <c r="B8" s="104" t="s">
        <v>41</v>
      </c>
      <c r="C8" s="105" t="s">
        <v>1265</v>
      </c>
      <c r="D8" s="104" t="s">
        <v>1264</v>
      </c>
      <c r="E8" s="113">
        <v>1.447916666666667</v>
      </c>
      <c r="F8" s="104" t="s">
        <v>45</v>
      </c>
      <c r="G8" s="106">
        <v>9</v>
      </c>
      <c r="H8" s="107" t="s">
        <v>33</v>
      </c>
    </row>
    <row r="9" spans="1:8" ht="19.8" customHeight="1" x14ac:dyDescent="0.3">
      <c r="A9" s="112">
        <v>45984</v>
      </c>
      <c r="B9" s="104" t="s">
        <v>26</v>
      </c>
      <c r="C9" s="105" t="s">
        <v>1268</v>
      </c>
      <c r="D9" s="104" t="s">
        <v>1264</v>
      </c>
      <c r="E9" s="113">
        <v>1.9722222222222221</v>
      </c>
      <c r="F9" s="104" t="s">
        <v>31</v>
      </c>
      <c r="G9" s="106">
        <v>4</v>
      </c>
      <c r="H9" s="107" t="s">
        <v>508</v>
      </c>
    </row>
    <row r="10" spans="1:8" ht="19.8" customHeight="1" x14ac:dyDescent="0.3">
      <c r="A10" s="112">
        <v>45984</v>
      </c>
      <c r="B10" s="104" t="s">
        <v>385</v>
      </c>
      <c r="C10" s="105" t="s">
        <v>1273</v>
      </c>
      <c r="D10" s="104" t="s">
        <v>1264</v>
      </c>
      <c r="E10" s="113">
        <v>1.756944444444444</v>
      </c>
      <c r="F10" s="104" t="s">
        <v>101</v>
      </c>
      <c r="G10" s="106">
        <v>9</v>
      </c>
      <c r="H10" s="107" t="s">
        <v>1171</v>
      </c>
    </row>
    <row r="11" spans="1:8" ht="19.8" customHeight="1" x14ac:dyDescent="0.3">
      <c r="A11" s="112">
        <v>45984</v>
      </c>
      <c r="B11" s="104" t="s">
        <v>458</v>
      </c>
      <c r="C11" s="105" t="s">
        <v>1286</v>
      </c>
      <c r="D11" s="104" t="s">
        <v>1264</v>
      </c>
      <c r="E11" s="113">
        <v>1.006944444444444</v>
      </c>
      <c r="F11" s="104" t="s">
        <v>101</v>
      </c>
      <c r="G11" s="106">
        <v>9</v>
      </c>
      <c r="H11" s="107" t="s">
        <v>1121</v>
      </c>
    </row>
    <row r="12" spans="1:8" ht="19.8" customHeight="1" x14ac:dyDescent="0.3">
      <c r="A12" s="112">
        <v>45984</v>
      </c>
      <c r="B12" s="104" t="s">
        <v>26</v>
      </c>
      <c r="C12" s="105" t="s">
        <v>1268</v>
      </c>
      <c r="D12" s="104" t="s">
        <v>1264</v>
      </c>
      <c r="E12" s="113">
        <v>1.9722222222222221</v>
      </c>
      <c r="F12" s="104" t="s">
        <v>34</v>
      </c>
      <c r="G12" s="106">
        <v>4</v>
      </c>
      <c r="H12" s="107" t="s">
        <v>39</v>
      </c>
    </row>
    <row r="13" spans="1:8" ht="19.8" customHeight="1" x14ac:dyDescent="0.3">
      <c r="A13" s="112">
        <v>45984</v>
      </c>
      <c r="B13" s="104" t="s">
        <v>41</v>
      </c>
      <c r="C13" s="105" t="s">
        <v>1265</v>
      </c>
      <c r="D13" s="104" t="s">
        <v>1264</v>
      </c>
      <c r="E13" s="113">
        <v>1.447916666666667</v>
      </c>
      <c r="F13" s="104" t="s">
        <v>46</v>
      </c>
      <c r="G13" s="106">
        <v>9</v>
      </c>
      <c r="H13" s="107" t="s">
        <v>146</v>
      </c>
    </row>
    <row r="14" spans="1:8" ht="19.8" customHeight="1" x14ac:dyDescent="0.3">
      <c r="A14" s="112">
        <v>45984</v>
      </c>
      <c r="B14" s="104" t="s">
        <v>48</v>
      </c>
      <c r="C14" s="105" t="s">
        <v>1277</v>
      </c>
      <c r="D14" s="104" t="s">
        <v>1264</v>
      </c>
      <c r="E14" s="113">
        <v>1.381944444444444</v>
      </c>
      <c r="F14" s="104" t="s">
        <v>50</v>
      </c>
      <c r="G14" s="106">
        <v>9</v>
      </c>
      <c r="H14" s="107" t="s">
        <v>1281</v>
      </c>
    </row>
    <row r="15" spans="1:8" ht="19.8" customHeight="1" x14ac:dyDescent="0.3">
      <c r="A15" s="112">
        <v>45984</v>
      </c>
      <c r="B15" s="104" t="s">
        <v>48</v>
      </c>
      <c r="C15" s="105" t="s">
        <v>1279</v>
      </c>
      <c r="D15" s="104" t="s">
        <v>1264</v>
      </c>
      <c r="E15" s="113">
        <v>1.979166666666667</v>
      </c>
      <c r="F15" s="104" t="s">
        <v>50</v>
      </c>
      <c r="G15" s="106">
        <v>9</v>
      </c>
      <c r="H15" s="107" t="s">
        <v>1281</v>
      </c>
    </row>
    <row r="16" spans="1:8" ht="19.8" customHeight="1" x14ac:dyDescent="0.3">
      <c r="A16" s="112">
        <v>45984</v>
      </c>
      <c r="B16" s="104" t="s">
        <v>60</v>
      </c>
      <c r="C16" s="105" t="s">
        <v>1285</v>
      </c>
      <c r="D16" s="104" t="s">
        <v>1264</v>
      </c>
      <c r="E16" s="113">
        <v>1.447916666666667</v>
      </c>
      <c r="F16" s="104" t="s">
        <v>65</v>
      </c>
      <c r="G16" s="106">
        <v>4</v>
      </c>
      <c r="H16" s="107" t="s">
        <v>1105</v>
      </c>
    </row>
    <row r="17" spans="1:8" ht="19.8" customHeight="1" x14ac:dyDescent="0.3">
      <c r="A17" s="114">
        <v>45984</v>
      </c>
      <c r="B17" s="115" t="s">
        <v>48</v>
      </c>
      <c r="C17" s="116" t="s">
        <v>1280</v>
      </c>
      <c r="D17" s="115" t="s">
        <v>1264</v>
      </c>
      <c r="E17" s="117">
        <v>1.6736111111111109</v>
      </c>
      <c r="F17" s="115" t="s">
        <v>50</v>
      </c>
      <c r="G17" s="118">
        <v>9</v>
      </c>
      <c r="H17" s="119" t="s">
        <v>1297</v>
      </c>
    </row>
    <row r="18" spans="1:8" ht="19.8" customHeight="1" x14ac:dyDescent="0.3">
      <c r="A18" s="112">
        <v>45985</v>
      </c>
      <c r="B18" s="104" t="s">
        <v>41</v>
      </c>
      <c r="C18" s="105" t="s">
        <v>1265</v>
      </c>
      <c r="D18" s="104" t="s">
        <v>1264</v>
      </c>
      <c r="E18" s="113">
        <v>1.447916666666667</v>
      </c>
      <c r="F18" s="104" t="s">
        <v>43</v>
      </c>
      <c r="G18" s="106">
        <v>4</v>
      </c>
      <c r="H18" s="107" t="s">
        <v>1028</v>
      </c>
    </row>
    <row r="19" spans="1:8" ht="19.8" customHeight="1" x14ac:dyDescent="0.3">
      <c r="A19" s="112">
        <v>45985</v>
      </c>
      <c r="B19" s="104" t="s">
        <v>26</v>
      </c>
      <c r="C19" s="105" t="s">
        <v>1266</v>
      </c>
      <c r="D19" s="104" t="s">
        <v>1264</v>
      </c>
      <c r="E19" s="113">
        <v>1.336805555555556</v>
      </c>
      <c r="F19" s="104" t="s">
        <v>28</v>
      </c>
      <c r="G19" s="106">
        <v>6</v>
      </c>
      <c r="H19" s="107" t="s">
        <v>431</v>
      </c>
    </row>
    <row r="20" spans="1:8" ht="19.8" customHeight="1" x14ac:dyDescent="0.3">
      <c r="A20" s="112">
        <v>45985</v>
      </c>
      <c r="B20" s="104" t="s">
        <v>26</v>
      </c>
      <c r="C20" s="105" t="s">
        <v>1268</v>
      </c>
      <c r="D20" s="104" t="s">
        <v>1264</v>
      </c>
      <c r="E20" s="113">
        <v>1.9722222222222221</v>
      </c>
      <c r="F20" s="104" t="s">
        <v>351</v>
      </c>
      <c r="G20" s="106">
        <v>7</v>
      </c>
      <c r="H20" s="107" t="s">
        <v>431</v>
      </c>
    </row>
    <row r="21" spans="1:8" ht="19.8" customHeight="1" x14ac:dyDescent="0.3">
      <c r="A21" s="112">
        <v>45985</v>
      </c>
      <c r="B21" s="104" t="s">
        <v>26</v>
      </c>
      <c r="C21" s="105" t="s">
        <v>1268</v>
      </c>
      <c r="D21" s="104" t="s">
        <v>1264</v>
      </c>
      <c r="E21" s="113">
        <v>1.9722222222222221</v>
      </c>
      <c r="F21" s="104" t="s">
        <v>28</v>
      </c>
      <c r="G21" s="106">
        <v>7</v>
      </c>
      <c r="H21" s="107" t="s">
        <v>431</v>
      </c>
    </row>
    <row r="22" spans="1:8" ht="19.8" customHeight="1" x14ac:dyDescent="0.3">
      <c r="A22" s="112">
        <v>45985</v>
      </c>
      <c r="B22" s="104" t="s">
        <v>41</v>
      </c>
      <c r="C22" s="105" t="s">
        <v>1265</v>
      </c>
      <c r="D22" s="104" t="s">
        <v>1264</v>
      </c>
      <c r="E22" s="113">
        <v>1.447916666666667</v>
      </c>
      <c r="F22" s="104" t="s">
        <v>45</v>
      </c>
      <c r="G22" s="106">
        <v>4</v>
      </c>
      <c r="H22" s="107" t="s">
        <v>33</v>
      </c>
    </row>
    <row r="23" spans="1:8" ht="19.8" customHeight="1" x14ac:dyDescent="0.3">
      <c r="A23" s="112">
        <v>45985</v>
      </c>
      <c r="B23" s="104" t="s">
        <v>26</v>
      </c>
      <c r="C23" s="105" t="s">
        <v>1266</v>
      </c>
      <c r="D23" s="104" t="s">
        <v>1264</v>
      </c>
      <c r="E23" s="113">
        <v>1.336805555555556</v>
      </c>
      <c r="F23" s="104" t="s">
        <v>31</v>
      </c>
      <c r="G23" s="106">
        <v>6</v>
      </c>
      <c r="H23" s="107" t="s">
        <v>508</v>
      </c>
    </row>
    <row r="24" spans="1:8" ht="19.8" customHeight="1" x14ac:dyDescent="0.3">
      <c r="A24" s="112">
        <v>45985</v>
      </c>
      <c r="B24" s="104" t="s">
        <v>26</v>
      </c>
      <c r="C24" s="105" t="s">
        <v>1268</v>
      </c>
      <c r="D24" s="104" t="s">
        <v>1264</v>
      </c>
      <c r="E24" s="113">
        <v>1.9722222222222221</v>
      </c>
      <c r="F24" s="104" t="s">
        <v>31</v>
      </c>
      <c r="G24" s="106">
        <v>7</v>
      </c>
      <c r="H24" s="107" t="s">
        <v>508</v>
      </c>
    </row>
    <row r="25" spans="1:8" ht="19.8" customHeight="1" x14ac:dyDescent="0.3">
      <c r="A25" s="112">
        <v>45985</v>
      </c>
      <c r="B25" s="104" t="s">
        <v>385</v>
      </c>
      <c r="C25" s="105" t="s">
        <v>1288</v>
      </c>
      <c r="D25" s="104" t="s">
        <v>1264</v>
      </c>
      <c r="E25" s="113">
        <v>1.756944444444444</v>
      </c>
      <c r="F25" s="104" t="s">
        <v>101</v>
      </c>
      <c r="G25" s="106">
        <v>9</v>
      </c>
      <c r="H25" s="107" t="s">
        <v>1171</v>
      </c>
    </row>
    <row r="26" spans="1:8" ht="19.8" customHeight="1" x14ac:dyDescent="0.3">
      <c r="A26" s="112">
        <v>45985</v>
      </c>
      <c r="B26" s="104" t="s">
        <v>26</v>
      </c>
      <c r="C26" s="105" t="s">
        <v>1266</v>
      </c>
      <c r="D26" s="104" t="s">
        <v>1264</v>
      </c>
      <c r="E26" s="113">
        <v>1.336805555555556</v>
      </c>
      <c r="F26" s="104" t="s">
        <v>34</v>
      </c>
      <c r="G26" s="106">
        <v>6</v>
      </c>
      <c r="H26" s="107" t="s">
        <v>39</v>
      </c>
    </row>
    <row r="27" spans="1:8" ht="19.8" customHeight="1" x14ac:dyDescent="0.3">
      <c r="A27" s="112">
        <v>45985</v>
      </c>
      <c r="B27" s="104" t="s">
        <v>26</v>
      </c>
      <c r="C27" s="105" t="s">
        <v>1268</v>
      </c>
      <c r="D27" s="104" t="s">
        <v>1264</v>
      </c>
      <c r="E27" s="113">
        <v>1.9722222222222221</v>
      </c>
      <c r="F27" s="104" t="s">
        <v>34</v>
      </c>
      <c r="G27" s="106">
        <v>7</v>
      </c>
      <c r="H27" s="107" t="s">
        <v>39</v>
      </c>
    </row>
    <row r="28" spans="1:8" ht="19.8" customHeight="1" x14ac:dyDescent="0.3">
      <c r="A28" s="112">
        <v>45985</v>
      </c>
      <c r="B28" s="104" t="s">
        <v>48</v>
      </c>
      <c r="C28" s="105" t="s">
        <v>1277</v>
      </c>
      <c r="D28" s="104" t="s">
        <v>1264</v>
      </c>
      <c r="E28" s="113">
        <v>1.3263888888888891</v>
      </c>
      <c r="F28" s="104" t="s">
        <v>50</v>
      </c>
      <c r="G28" s="106">
        <v>9</v>
      </c>
      <c r="H28" s="107" t="s">
        <v>132</v>
      </c>
    </row>
    <row r="29" spans="1:8" ht="19.8" customHeight="1" x14ac:dyDescent="0.3">
      <c r="A29" s="112">
        <v>45985</v>
      </c>
      <c r="B29" s="104" t="s">
        <v>41</v>
      </c>
      <c r="C29" s="105" t="s">
        <v>1265</v>
      </c>
      <c r="D29" s="104" t="s">
        <v>1264</v>
      </c>
      <c r="E29" s="113">
        <v>1.447916666666667</v>
      </c>
      <c r="F29" s="104" t="s">
        <v>46</v>
      </c>
      <c r="G29" s="106">
        <v>4</v>
      </c>
      <c r="H29" s="107" t="s">
        <v>146</v>
      </c>
    </row>
    <row r="30" spans="1:8" ht="19.8" customHeight="1" x14ac:dyDescent="0.3">
      <c r="A30" s="112">
        <v>45985</v>
      </c>
      <c r="B30" s="104" t="s">
        <v>48</v>
      </c>
      <c r="C30" s="105" t="s">
        <v>1279</v>
      </c>
      <c r="D30" s="104" t="s">
        <v>1264</v>
      </c>
      <c r="E30" s="113">
        <v>1.979166666666667</v>
      </c>
      <c r="F30" s="104" t="s">
        <v>50</v>
      </c>
      <c r="G30" s="106">
        <v>9</v>
      </c>
      <c r="H30" s="107" t="s">
        <v>1281</v>
      </c>
    </row>
    <row r="31" spans="1:8" ht="19.8" customHeight="1" x14ac:dyDescent="0.3">
      <c r="A31" s="112">
        <v>45985</v>
      </c>
      <c r="B31" s="104" t="s">
        <v>48</v>
      </c>
      <c r="C31" s="105" t="s">
        <v>1280</v>
      </c>
      <c r="D31" s="104" t="s">
        <v>1264</v>
      </c>
      <c r="E31" s="113">
        <v>1.694444444444444</v>
      </c>
      <c r="F31" s="104" t="s">
        <v>50</v>
      </c>
      <c r="G31" s="106">
        <v>9</v>
      </c>
      <c r="H31" s="107" t="s">
        <v>1281</v>
      </c>
    </row>
    <row r="32" spans="1:8" ht="19.8" customHeight="1" x14ac:dyDescent="0.3">
      <c r="A32" s="112">
        <v>45985</v>
      </c>
      <c r="B32" s="104" t="s">
        <v>60</v>
      </c>
      <c r="C32" s="105" t="s">
        <v>1285</v>
      </c>
      <c r="D32" s="104" t="s">
        <v>1264</v>
      </c>
      <c r="E32" s="113">
        <v>1.447916666666667</v>
      </c>
      <c r="F32" s="104" t="s">
        <v>50</v>
      </c>
      <c r="G32" s="106">
        <v>4</v>
      </c>
      <c r="H32" s="107" t="s">
        <v>1105</v>
      </c>
    </row>
    <row r="33" spans="1:8" ht="19.8" customHeight="1" x14ac:dyDescent="0.3">
      <c r="A33" s="114">
        <v>45985</v>
      </c>
      <c r="B33" s="115" t="s">
        <v>60</v>
      </c>
      <c r="C33" s="116" t="s">
        <v>1285</v>
      </c>
      <c r="D33" s="115" t="s">
        <v>1264</v>
      </c>
      <c r="E33" s="117">
        <v>1.447916666666667</v>
      </c>
      <c r="F33" s="115" t="s">
        <v>65</v>
      </c>
      <c r="G33" s="118">
        <v>4</v>
      </c>
      <c r="H33" s="119" t="s">
        <v>1105</v>
      </c>
    </row>
    <row r="34" spans="1:8" ht="19.8" customHeight="1" x14ac:dyDescent="0.3">
      <c r="A34" s="126">
        <v>45986</v>
      </c>
      <c r="B34" s="109" t="s">
        <v>77</v>
      </c>
      <c r="C34" s="110" t="s">
        <v>1282</v>
      </c>
      <c r="D34" s="109" t="s">
        <v>1264</v>
      </c>
      <c r="E34" s="127">
        <v>1.069444444444444</v>
      </c>
      <c r="F34" s="109" t="s">
        <v>101</v>
      </c>
      <c r="G34" s="128">
        <v>9</v>
      </c>
      <c r="H34" s="111" t="s">
        <v>153</v>
      </c>
    </row>
    <row r="35" spans="1:8" ht="19.8" customHeight="1" x14ac:dyDescent="0.3">
      <c r="A35" s="112">
        <v>45987</v>
      </c>
      <c r="B35" s="104" t="s">
        <v>41</v>
      </c>
      <c r="C35" s="105" t="s">
        <v>1265</v>
      </c>
      <c r="D35" s="104" t="s">
        <v>1264</v>
      </c>
      <c r="E35" s="113">
        <v>1.447916666666667</v>
      </c>
      <c r="F35" s="104" t="s">
        <v>43</v>
      </c>
      <c r="G35" s="106">
        <v>6</v>
      </c>
      <c r="H35" s="107" t="s">
        <v>143</v>
      </c>
    </row>
    <row r="36" spans="1:8" ht="19.8" customHeight="1" x14ac:dyDescent="0.3">
      <c r="A36" s="112">
        <v>45987</v>
      </c>
      <c r="B36" s="104" t="s">
        <v>26</v>
      </c>
      <c r="C36" s="105" t="s">
        <v>1268</v>
      </c>
      <c r="D36" s="104" t="s">
        <v>1264</v>
      </c>
      <c r="E36" s="113">
        <v>1.9722222222222221</v>
      </c>
      <c r="F36" s="104" t="s">
        <v>28</v>
      </c>
      <c r="G36" s="106">
        <v>3</v>
      </c>
      <c r="H36" s="107" t="s">
        <v>493</v>
      </c>
    </row>
    <row r="37" spans="1:8" ht="19.8" customHeight="1" x14ac:dyDescent="0.3">
      <c r="A37" s="112">
        <v>45987</v>
      </c>
      <c r="B37" s="104" t="s">
        <v>41</v>
      </c>
      <c r="C37" s="105" t="s">
        <v>1265</v>
      </c>
      <c r="D37" s="104" t="s">
        <v>1264</v>
      </c>
      <c r="E37" s="113">
        <v>1.447916666666667</v>
      </c>
      <c r="F37" s="104" t="s">
        <v>45</v>
      </c>
      <c r="G37" s="106">
        <v>6</v>
      </c>
      <c r="H37" s="107" t="s">
        <v>47</v>
      </c>
    </row>
    <row r="38" spans="1:8" ht="19.8" customHeight="1" x14ac:dyDescent="0.3">
      <c r="A38" s="112">
        <v>45987</v>
      </c>
      <c r="B38" s="104" t="s">
        <v>26</v>
      </c>
      <c r="C38" s="105" t="s">
        <v>1268</v>
      </c>
      <c r="D38" s="104" t="s">
        <v>1264</v>
      </c>
      <c r="E38" s="113">
        <v>1.9722222222222221</v>
      </c>
      <c r="F38" s="104" t="s">
        <v>31</v>
      </c>
      <c r="G38" s="106">
        <v>3</v>
      </c>
      <c r="H38" s="107" t="s">
        <v>47</v>
      </c>
    </row>
    <row r="39" spans="1:8" ht="19.8" customHeight="1" x14ac:dyDescent="0.3">
      <c r="A39" s="112">
        <v>45987</v>
      </c>
      <c r="B39" s="104" t="s">
        <v>385</v>
      </c>
      <c r="C39" s="105" t="s">
        <v>1288</v>
      </c>
      <c r="D39" s="104" t="s">
        <v>1264</v>
      </c>
      <c r="E39" s="113">
        <v>1.697916666666667</v>
      </c>
      <c r="F39" s="104" t="s">
        <v>101</v>
      </c>
      <c r="G39" s="106">
        <v>9</v>
      </c>
      <c r="H39" s="107" t="s">
        <v>1300</v>
      </c>
    </row>
    <row r="40" spans="1:8" ht="19.8" customHeight="1" x14ac:dyDescent="0.3">
      <c r="A40" s="112">
        <v>45987</v>
      </c>
      <c r="B40" s="104" t="s">
        <v>26</v>
      </c>
      <c r="C40" s="105" t="s">
        <v>1268</v>
      </c>
      <c r="D40" s="104" t="s">
        <v>1264</v>
      </c>
      <c r="E40" s="113">
        <v>1.9722222222222221</v>
      </c>
      <c r="F40" s="104" t="s">
        <v>34</v>
      </c>
      <c r="G40" s="106">
        <v>3</v>
      </c>
      <c r="H40" s="107" t="s">
        <v>1139</v>
      </c>
    </row>
    <row r="41" spans="1:8" ht="19.8" customHeight="1" x14ac:dyDescent="0.3">
      <c r="A41" s="112">
        <v>45987</v>
      </c>
      <c r="B41" s="104" t="s">
        <v>41</v>
      </c>
      <c r="C41" s="105" t="s">
        <v>1265</v>
      </c>
      <c r="D41" s="104" t="s">
        <v>1264</v>
      </c>
      <c r="E41" s="113">
        <v>1.447916666666667</v>
      </c>
      <c r="F41" s="104" t="s">
        <v>46</v>
      </c>
      <c r="G41" s="106">
        <v>6</v>
      </c>
      <c r="H41" s="107" t="s">
        <v>146</v>
      </c>
    </row>
    <row r="42" spans="1:8" ht="19.8" customHeight="1" x14ac:dyDescent="0.3">
      <c r="A42" s="112">
        <v>45987</v>
      </c>
      <c r="B42" s="104" t="s">
        <v>48</v>
      </c>
      <c r="C42" s="105" t="s">
        <v>1277</v>
      </c>
      <c r="D42" s="104" t="s">
        <v>1264</v>
      </c>
      <c r="E42" s="113">
        <v>1.336805555555556</v>
      </c>
      <c r="F42" s="104" t="s">
        <v>50</v>
      </c>
      <c r="G42" s="106">
        <v>9</v>
      </c>
      <c r="H42" s="107" t="s">
        <v>1299</v>
      </c>
    </row>
    <row r="43" spans="1:8" ht="19.8" customHeight="1" x14ac:dyDescent="0.3">
      <c r="A43" s="112">
        <v>45987</v>
      </c>
      <c r="B43" s="104" t="s">
        <v>60</v>
      </c>
      <c r="C43" s="105" t="s">
        <v>1285</v>
      </c>
      <c r="D43" s="104" t="s">
        <v>1264</v>
      </c>
      <c r="E43" s="113">
        <v>1.447916666666667</v>
      </c>
      <c r="F43" s="104" t="s">
        <v>65</v>
      </c>
      <c r="G43" s="106">
        <v>4</v>
      </c>
      <c r="H43" s="107" t="s">
        <v>1147</v>
      </c>
    </row>
    <row r="44" spans="1:8" ht="19.8" customHeight="1" x14ac:dyDescent="0.3">
      <c r="A44" s="112">
        <v>45987</v>
      </c>
      <c r="B44" s="104" t="s">
        <v>48</v>
      </c>
      <c r="C44" s="105" t="s">
        <v>1279</v>
      </c>
      <c r="D44" s="104" t="s">
        <v>1264</v>
      </c>
      <c r="E44" s="113">
        <v>1.979166666666667</v>
      </c>
      <c r="F44" s="104" t="s">
        <v>50</v>
      </c>
      <c r="G44" s="106">
        <v>7</v>
      </c>
      <c r="H44" s="107" t="s">
        <v>1301</v>
      </c>
    </row>
    <row r="45" spans="1:8" ht="19.8" customHeight="1" x14ac:dyDescent="0.3">
      <c r="A45" s="114">
        <v>45987</v>
      </c>
      <c r="B45" s="115" t="s">
        <v>48</v>
      </c>
      <c r="C45" s="116" t="s">
        <v>1280</v>
      </c>
      <c r="D45" s="115" t="s">
        <v>1264</v>
      </c>
      <c r="E45" s="117">
        <v>1.677083333333333</v>
      </c>
      <c r="F45" s="115" t="s">
        <v>50</v>
      </c>
      <c r="G45" s="118">
        <v>1</v>
      </c>
      <c r="H45" s="119" t="s">
        <v>1302</v>
      </c>
    </row>
    <row r="46" spans="1:8" ht="19.8" customHeight="1" x14ac:dyDescent="0.3">
      <c r="A46" s="120">
        <v>45988</v>
      </c>
      <c r="B46" s="121" t="s">
        <v>77</v>
      </c>
      <c r="C46" s="122" t="s">
        <v>1282</v>
      </c>
      <c r="D46" s="121" t="s">
        <v>1264</v>
      </c>
      <c r="E46" s="123">
        <v>1.7222222222222221</v>
      </c>
      <c r="F46" s="121" t="s">
        <v>101</v>
      </c>
      <c r="G46" s="124">
        <v>3</v>
      </c>
      <c r="H46" s="125" t="s">
        <v>1305</v>
      </c>
    </row>
    <row r="47" spans="1:8" ht="19.8" customHeight="1" x14ac:dyDescent="0.3">
      <c r="A47" s="114">
        <v>45988</v>
      </c>
      <c r="B47" s="115" t="s">
        <v>26</v>
      </c>
      <c r="C47" s="116" t="s">
        <v>1268</v>
      </c>
      <c r="D47" s="115" t="s">
        <v>1264</v>
      </c>
      <c r="E47" s="117">
        <v>1.9722222222222221</v>
      </c>
      <c r="F47" s="115" t="s">
        <v>31</v>
      </c>
      <c r="G47" s="118">
        <v>9</v>
      </c>
      <c r="H47" s="119" t="s">
        <v>1159</v>
      </c>
    </row>
    <row r="48" spans="1:8" ht="19.8" customHeight="1" x14ac:dyDescent="0.3">
      <c r="A48" s="126">
        <v>45989</v>
      </c>
      <c r="B48" s="109" t="s">
        <v>77</v>
      </c>
      <c r="C48" s="110" t="s">
        <v>1282</v>
      </c>
      <c r="D48" s="109" t="s">
        <v>1264</v>
      </c>
      <c r="E48" s="127">
        <v>1.381944444444444</v>
      </c>
      <c r="F48" s="109" t="s">
        <v>101</v>
      </c>
      <c r="G48" s="128">
        <v>9</v>
      </c>
      <c r="H48" s="111" t="s">
        <v>1312</v>
      </c>
    </row>
    <row r="49" spans="1:8" ht="19.8" customHeight="1" x14ac:dyDescent="0.3">
      <c r="A49" s="126">
        <v>45990</v>
      </c>
      <c r="B49" s="109" t="s">
        <v>77</v>
      </c>
      <c r="C49" s="110" t="s">
        <v>1282</v>
      </c>
      <c r="D49" s="109" t="s">
        <v>1264</v>
      </c>
      <c r="E49" s="127">
        <v>1.7222222222222221</v>
      </c>
      <c r="F49" s="109" t="s">
        <v>101</v>
      </c>
      <c r="G49" s="128">
        <v>9</v>
      </c>
      <c r="H49" s="111" t="s">
        <v>1312</v>
      </c>
    </row>
    <row r="50" spans="1:8" ht="19.8" customHeight="1" x14ac:dyDescent="0.3">
      <c r="A50" s="112">
        <v>45991</v>
      </c>
      <c r="B50" s="104" t="s">
        <v>41</v>
      </c>
      <c r="C50" s="105" t="s">
        <v>1265</v>
      </c>
      <c r="D50" s="104" t="s">
        <v>1264</v>
      </c>
      <c r="E50" s="113">
        <v>1.447916666666667</v>
      </c>
      <c r="F50" s="104" t="s">
        <v>43</v>
      </c>
      <c r="G50" s="106">
        <v>7</v>
      </c>
      <c r="H50" s="107" t="s">
        <v>154</v>
      </c>
    </row>
    <row r="51" spans="1:8" ht="19.8" customHeight="1" x14ac:dyDescent="0.3">
      <c r="A51" s="112">
        <v>45991</v>
      </c>
      <c r="B51" s="104" t="s">
        <v>26</v>
      </c>
      <c r="C51" s="105" t="s">
        <v>1268</v>
      </c>
      <c r="D51" s="104" t="s">
        <v>1264</v>
      </c>
      <c r="E51" s="113">
        <v>1.9722222222222221</v>
      </c>
      <c r="F51" s="104" t="s">
        <v>28</v>
      </c>
      <c r="G51" s="106">
        <v>2</v>
      </c>
      <c r="H51" s="107" t="s">
        <v>478</v>
      </c>
    </row>
    <row r="52" spans="1:8" ht="19.8" customHeight="1" x14ac:dyDescent="0.3">
      <c r="A52" s="112">
        <v>45991</v>
      </c>
      <c r="B52" s="104" t="s">
        <v>458</v>
      </c>
      <c r="C52" s="105" t="s">
        <v>1270</v>
      </c>
      <c r="D52" s="104" t="s">
        <v>1264</v>
      </c>
      <c r="E52" s="113">
        <v>1.9201388888888891</v>
      </c>
      <c r="F52" s="104" t="s">
        <v>101</v>
      </c>
      <c r="G52" s="106">
        <v>2</v>
      </c>
      <c r="H52" s="107" t="s">
        <v>1326</v>
      </c>
    </row>
    <row r="53" spans="1:8" ht="19.8" customHeight="1" x14ac:dyDescent="0.3">
      <c r="A53" s="112">
        <v>45991</v>
      </c>
      <c r="B53" s="104" t="s">
        <v>26</v>
      </c>
      <c r="C53" s="105" t="s">
        <v>1268</v>
      </c>
      <c r="D53" s="104" t="s">
        <v>1264</v>
      </c>
      <c r="E53" s="113">
        <v>1.9722222222222221</v>
      </c>
      <c r="F53" s="104" t="s">
        <v>31</v>
      </c>
      <c r="G53" s="106">
        <v>2</v>
      </c>
      <c r="H53" s="107" t="s">
        <v>457</v>
      </c>
    </row>
    <row r="54" spans="1:8" ht="19.8" customHeight="1" x14ac:dyDescent="0.3">
      <c r="A54" s="112">
        <v>45991</v>
      </c>
      <c r="B54" s="104" t="s">
        <v>385</v>
      </c>
      <c r="C54" s="105" t="s">
        <v>1327</v>
      </c>
      <c r="D54" s="104" t="s">
        <v>1264</v>
      </c>
      <c r="E54" s="113">
        <v>1.4826388888888891</v>
      </c>
      <c r="F54" s="104" t="s">
        <v>101</v>
      </c>
      <c r="G54" s="106">
        <v>5</v>
      </c>
      <c r="H54" s="107" t="s">
        <v>1300</v>
      </c>
    </row>
    <row r="55" spans="1:8" ht="19.8" customHeight="1" x14ac:dyDescent="0.3">
      <c r="A55" s="112">
        <v>45991</v>
      </c>
      <c r="B55" s="104" t="s">
        <v>385</v>
      </c>
      <c r="C55" s="105" t="s">
        <v>1273</v>
      </c>
      <c r="D55" s="104" t="s">
        <v>1264</v>
      </c>
      <c r="E55" s="113">
        <v>1.756944444444444</v>
      </c>
      <c r="F55" s="104" t="s">
        <v>101</v>
      </c>
      <c r="G55" s="106">
        <v>4</v>
      </c>
      <c r="H55" s="107" t="s">
        <v>1300</v>
      </c>
    </row>
    <row r="56" spans="1:8" ht="19.8" customHeight="1" x14ac:dyDescent="0.3">
      <c r="A56" s="112">
        <v>45991</v>
      </c>
      <c r="B56" s="104" t="s">
        <v>41</v>
      </c>
      <c r="C56" s="105" t="s">
        <v>1265</v>
      </c>
      <c r="D56" s="104" t="s">
        <v>1264</v>
      </c>
      <c r="E56" s="113">
        <v>1.447916666666667</v>
      </c>
      <c r="F56" s="104" t="s">
        <v>45</v>
      </c>
      <c r="G56" s="106">
        <v>7</v>
      </c>
      <c r="H56" s="107" t="s">
        <v>124</v>
      </c>
    </row>
    <row r="57" spans="1:8" ht="19.8" customHeight="1" x14ac:dyDescent="0.3">
      <c r="A57" s="112">
        <v>45991</v>
      </c>
      <c r="B57" s="104" t="s">
        <v>458</v>
      </c>
      <c r="C57" s="105" t="s">
        <v>1286</v>
      </c>
      <c r="D57" s="104" t="s">
        <v>1264</v>
      </c>
      <c r="E57" s="113">
        <v>1.006944444444444</v>
      </c>
      <c r="F57" s="104" t="s">
        <v>101</v>
      </c>
      <c r="G57" s="106">
        <v>9</v>
      </c>
      <c r="H57" s="107" t="s">
        <v>1304</v>
      </c>
    </row>
    <row r="58" spans="1:8" ht="19.8" customHeight="1" x14ac:dyDescent="0.3">
      <c r="A58" s="112">
        <v>45991</v>
      </c>
      <c r="B58" s="104" t="s">
        <v>26</v>
      </c>
      <c r="C58" s="105" t="s">
        <v>1268</v>
      </c>
      <c r="D58" s="104" t="s">
        <v>1264</v>
      </c>
      <c r="E58" s="113">
        <v>1.9722222222222221</v>
      </c>
      <c r="F58" s="104" t="s">
        <v>34</v>
      </c>
      <c r="G58" s="106">
        <v>2</v>
      </c>
      <c r="H58" s="107" t="s">
        <v>479</v>
      </c>
    </row>
    <row r="59" spans="1:8" ht="19.8" customHeight="1" x14ac:dyDescent="0.3">
      <c r="A59" s="112">
        <v>45991</v>
      </c>
      <c r="B59" s="104" t="s">
        <v>41</v>
      </c>
      <c r="C59" s="105" t="s">
        <v>1265</v>
      </c>
      <c r="D59" s="104" t="s">
        <v>1264</v>
      </c>
      <c r="E59" s="113">
        <v>1.447916666666667</v>
      </c>
      <c r="F59" s="104" t="s">
        <v>46</v>
      </c>
      <c r="G59" s="106">
        <v>7</v>
      </c>
      <c r="H59" s="107" t="s">
        <v>1287</v>
      </c>
    </row>
    <row r="60" spans="1:8" ht="19.8" customHeight="1" x14ac:dyDescent="0.3">
      <c r="A60" s="112">
        <v>45991</v>
      </c>
      <c r="B60" s="104" t="s">
        <v>60</v>
      </c>
      <c r="C60" s="105" t="s">
        <v>1285</v>
      </c>
      <c r="D60" s="104" t="s">
        <v>1264</v>
      </c>
      <c r="E60" s="113">
        <v>1.447916666666667</v>
      </c>
      <c r="F60" s="104" t="s">
        <v>65</v>
      </c>
      <c r="G60" s="106">
        <v>4</v>
      </c>
      <c r="H60" s="107" t="s">
        <v>1156</v>
      </c>
    </row>
    <row r="61" spans="1:8" ht="19.8" customHeight="1" x14ac:dyDescent="0.3">
      <c r="A61" s="112">
        <v>45991</v>
      </c>
      <c r="B61" s="104" t="s">
        <v>48</v>
      </c>
      <c r="C61" s="105" t="s">
        <v>1279</v>
      </c>
      <c r="D61" s="104" t="s">
        <v>1264</v>
      </c>
      <c r="E61" s="113">
        <v>1.979166666666667</v>
      </c>
      <c r="F61" s="104" t="s">
        <v>50</v>
      </c>
      <c r="G61" s="106">
        <v>7</v>
      </c>
      <c r="H61" s="107" t="s">
        <v>1302</v>
      </c>
    </row>
    <row r="62" spans="1:8" ht="19.8" customHeight="1" x14ac:dyDescent="0.3">
      <c r="A62" s="114">
        <v>45991</v>
      </c>
      <c r="B62" s="115" t="s">
        <v>48</v>
      </c>
      <c r="C62" s="116" t="s">
        <v>1280</v>
      </c>
      <c r="D62" s="115" t="s">
        <v>1264</v>
      </c>
      <c r="E62" s="117">
        <v>1.6736111111111109</v>
      </c>
      <c r="F62" s="115" t="s">
        <v>50</v>
      </c>
      <c r="G62" s="118">
        <v>9</v>
      </c>
      <c r="H62" s="119" t="s">
        <v>1302</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49"/>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80.88671875" bestFit="1" customWidth="1"/>
  </cols>
  <sheetData>
    <row r="1" spans="1:92" ht="28.8" customHeight="1" x14ac:dyDescent="0.3">
      <c r="A1" s="303" t="s">
        <v>0</v>
      </c>
      <c r="B1" s="302"/>
      <c r="C1" s="302"/>
      <c r="D1" s="302"/>
      <c r="E1" s="302"/>
      <c r="F1" s="1" t="s">
        <v>1349</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45980.583825779577</v>
      </c>
      <c r="H2" s="302"/>
      <c r="I2" s="302"/>
      <c r="J2" s="302"/>
      <c r="K2" s="311">
        <v>45980.583825780013</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45982</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44" t="s">
        <v>77</v>
      </c>
      <c r="B6" s="144" t="s">
        <v>1350</v>
      </c>
      <c r="C6" s="145">
        <v>7.2916666666666671E-2</v>
      </c>
      <c r="D6" s="144" t="s">
        <v>79</v>
      </c>
      <c r="E6" s="146"/>
      <c r="F6" s="144" t="s">
        <v>80</v>
      </c>
      <c r="G6" s="297"/>
      <c r="H6" s="147" t="s">
        <v>1350</v>
      </c>
      <c r="I6" s="148">
        <v>0.98329999999999995</v>
      </c>
      <c r="J6" s="149">
        <v>177</v>
      </c>
      <c r="K6" s="150">
        <v>45980</v>
      </c>
      <c r="L6" s="149">
        <v>25</v>
      </c>
      <c r="M6" s="149">
        <v>4</v>
      </c>
      <c r="N6" s="149">
        <v>3</v>
      </c>
      <c r="O6" s="151" t="s">
        <v>81</v>
      </c>
      <c r="P6" s="152">
        <v>7.2916666666666671E-2</v>
      </c>
      <c r="Q6" s="149">
        <v>180</v>
      </c>
      <c r="R6" s="153" t="s">
        <v>1351</v>
      </c>
    </row>
    <row r="7" spans="1:92" ht="18" x14ac:dyDescent="0.3">
      <c r="A7" s="312" t="s">
        <v>1352</v>
      </c>
      <c r="B7" s="313"/>
      <c r="C7" s="313"/>
      <c r="D7" s="313"/>
      <c r="E7" s="313"/>
      <c r="F7" s="314"/>
      <c r="G7" s="298"/>
      <c r="H7" s="138"/>
      <c r="I7" s="138"/>
      <c r="J7" s="138"/>
      <c r="K7" s="138"/>
      <c r="L7" s="138"/>
      <c r="M7" s="138"/>
      <c r="N7" s="138"/>
      <c r="O7" s="139"/>
      <c r="P7" s="138"/>
      <c r="Q7" s="99"/>
      <c r="R7" s="99"/>
    </row>
    <row r="8" spans="1:92" ht="15" customHeight="1" x14ac:dyDescent="0.3">
      <c r="A8" s="17" t="s">
        <v>458</v>
      </c>
      <c r="B8" s="17" t="s">
        <v>1286</v>
      </c>
      <c r="C8" s="18" t="s">
        <v>1353</v>
      </c>
      <c r="D8" s="17" t="s">
        <v>101</v>
      </c>
      <c r="E8" s="17" t="s">
        <v>273</v>
      </c>
      <c r="F8" s="17" t="s">
        <v>1271</v>
      </c>
      <c r="G8" s="298"/>
      <c r="H8" s="138"/>
      <c r="I8" s="138"/>
      <c r="J8" s="138"/>
      <c r="K8" s="138"/>
      <c r="L8" s="138"/>
      <c r="M8" s="138"/>
      <c r="N8" s="138"/>
      <c r="O8" s="139"/>
      <c r="P8" s="138"/>
      <c r="Q8" s="99"/>
      <c r="R8" s="99"/>
    </row>
    <row r="9" spans="1:92" ht="15" customHeight="1" x14ac:dyDescent="0.3">
      <c r="A9" s="17" t="s">
        <v>41</v>
      </c>
      <c r="B9" s="17" t="s">
        <v>1265</v>
      </c>
      <c r="C9" s="18" t="s">
        <v>1345</v>
      </c>
      <c r="D9" s="17" t="s">
        <v>43</v>
      </c>
      <c r="E9" s="17" t="s">
        <v>262</v>
      </c>
      <c r="F9" s="17" t="s">
        <v>779</v>
      </c>
      <c r="G9" s="298"/>
      <c r="H9" s="138"/>
      <c r="I9" s="138"/>
      <c r="J9" s="138"/>
      <c r="K9" s="138"/>
      <c r="L9" s="138"/>
      <c r="M9" s="138"/>
      <c r="N9" s="138"/>
      <c r="O9" s="139"/>
      <c r="P9" s="138"/>
      <c r="Q9" s="99"/>
      <c r="R9" s="99"/>
    </row>
    <row r="10" spans="1:92" ht="15" customHeight="1" x14ac:dyDescent="0.3">
      <c r="A10" s="17" t="s">
        <v>458</v>
      </c>
      <c r="B10" s="17" t="s">
        <v>1272</v>
      </c>
      <c r="C10" s="18" t="s">
        <v>1354</v>
      </c>
      <c r="D10" s="17" t="s">
        <v>101</v>
      </c>
      <c r="E10" s="17" t="s">
        <v>269</v>
      </c>
      <c r="F10" s="17" t="s">
        <v>1124</v>
      </c>
      <c r="G10" s="298"/>
      <c r="H10" s="138"/>
      <c r="I10" s="138"/>
      <c r="J10" s="138"/>
      <c r="K10" s="138"/>
      <c r="L10" s="138"/>
      <c r="M10" s="138"/>
      <c r="N10" s="138"/>
      <c r="O10" s="139"/>
      <c r="P10" s="138"/>
      <c r="Q10" s="99"/>
      <c r="R10" s="99"/>
    </row>
    <row r="11" spans="1:92" ht="15" customHeight="1" x14ac:dyDescent="0.3">
      <c r="A11" s="17" t="s">
        <v>26</v>
      </c>
      <c r="B11" s="17" t="s">
        <v>1268</v>
      </c>
      <c r="C11" s="18" t="s">
        <v>1346</v>
      </c>
      <c r="D11" s="17" t="s">
        <v>28</v>
      </c>
      <c r="E11" s="17" t="s">
        <v>259</v>
      </c>
      <c r="F11" s="17" t="s">
        <v>431</v>
      </c>
      <c r="G11" s="298"/>
      <c r="H11" s="138"/>
      <c r="I11" s="138"/>
      <c r="J11" s="138"/>
      <c r="K11" s="138"/>
      <c r="L11" s="138"/>
      <c r="M11" s="138"/>
      <c r="N11" s="138"/>
      <c r="O11" s="139"/>
      <c r="P11" s="138"/>
      <c r="Q11" s="99"/>
      <c r="R11" s="99"/>
    </row>
    <row r="12" spans="1:92" ht="15" customHeight="1" x14ac:dyDescent="0.3">
      <c r="A12" s="17" t="s">
        <v>385</v>
      </c>
      <c r="B12" s="17" t="s">
        <v>1288</v>
      </c>
      <c r="C12" s="18" t="s">
        <v>1355</v>
      </c>
      <c r="D12" s="17" t="s">
        <v>101</v>
      </c>
      <c r="E12" s="17" t="s">
        <v>275</v>
      </c>
      <c r="F12" s="17" t="s">
        <v>1289</v>
      </c>
      <c r="G12" s="298"/>
      <c r="H12" s="138"/>
      <c r="I12" s="138"/>
      <c r="J12" s="138"/>
      <c r="K12" s="138"/>
      <c r="L12" s="138"/>
      <c r="M12" s="138"/>
      <c r="N12" s="138"/>
      <c r="O12" s="139"/>
      <c r="P12" s="138"/>
      <c r="Q12" s="99"/>
      <c r="R12" s="99"/>
    </row>
    <row r="13" spans="1:92" ht="15" customHeight="1" x14ac:dyDescent="0.3">
      <c r="A13" s="17" t="s">
        <v>26</v>
      </c>
      <c r="B13" s="17" t="s">
        <v>1268</v>
      </c>
      <c r="C13" s="18" t="s">
        <v>1346</v>
      </c>
      <c r="D13" s="17" t="s">
        <v>31</v>
      </c>
      <c r="E13" s="17" t="s">
        <v>259</v>
      </c>
      <c r="F13" s="17" t="s">
        <v>508</v>
      </c>
      <c r="G13" s="298"/>
      <c r="H13" s="138"/>
      <c r="I13" s="138"/>
      <c r="J13" s="138"/>
      <c r="K13" s="138"/>
      <c r="L13" s="138"/>
      <c r="M13" s="138"/>
      <c r="N13" s="138"/>
      <c r="O13" s="139"/>
      <c r="P13" s="138"/>
      <c r="Q13" s="99"/>
      <c r="R13" s="99"/>
    </row>
    <row r="14" spans="1:92" ht="15" customHeight="1" x14ac:dyDescent="0.3">
      <c r="A14" s="17" t="s">
        <v>77</v>
      </c>
      <c r="B14" s="17" t="s">
        <v>1282</v>
      </c>
      <c r="C14" s="18" t="s">
        <v>188</v>
      </c>
      <c r="D14" s="17" t="s">
        <v>101</v>
      </c>
      <c r="E14" s="17" t="s">
        <v>260</v>
      </c>
      <c r="F14" s="17" t="s">
        <v>153</v>
      </c>
      <c r="G14" s="298"/>
      <c r="H14" s="138"/>
      <c r="I14" s="138"/>
      <c r="J14" s="138"/>
      <c r="K14" s="138"/>
      <c r="L14" s="138"/>
      <c r="M14" s="138"/>
      <c r="N14" s="138"/>
      <c r="O14" s="139"/>
      <c r="P14" s="138"/>
      <c r="Q14" s="99"/>
      <c r="R14" s="99"/>
    </row>
    <row r="15" spans="1:92" ht="15" customHeight="1" x14ac:dyDescent="0.3">
      <c r="A15" s="17" t="s">
        <v>41</v>
      </c>
      <c r="B15" s="17" t="s">
        <v>1265</v>
      </c>
      <c r="C15" s="18" t="s">
        <v>1345</v>
      </c>
      <c r="D15" s="17" t="s">
        <v>45</v>
      </c>
      <c r="E15" s="17" t="s">
        <v>262</v>
      </c>
      <c r="F15" s="17" t="s">
        <v>1097</v>
      </c>
      <c r="G15" s="298"/>
      <c r="H15" s="138"/>
      <c r="I15" s="138"/>
      <c r="J15" s="138"/>
      <c r="K15" s="138"/>
      <c r="L15" s="138"/>
      <c r="M15" s="138"/>
      <c r="N15" s="138"/>
      <c r="O15" s="139"/>
      <c r="P15" s="138"/>
      <c r="Q15" s="99"/>
      <c r="R15" s="99"/>
    </row>
    <row r="16" spans="1:92" ht="15" customHeight="1" x14ac:dyDescent="0.3">
      <c r="A16" s="17" t="s">
        <v>26</v>
      </c>
      <c r="B16" s="17" t="s">
        <v>1268</v>
      </c>
      <c r="C16" s="18" t="s">
        <v>1346</v>
      </c>
      <c r="D16" s="17" t="s">
        <v>34</v>
      </c>
      <c r="E16" s="17" t="s">
        <v>259</v>
      </c>
      <c r="F16" s="17" t="s">
        <v>39</v>
      </c>
      <c r="G16" s="298"/>
      <c r="H16" s="138"/>
      <c r="I16" s="138"/>
      <c r="J16" s="138"/>
      <c r="K16" s="138"/>
      <c r="L16" s="138"/>
      <c r="M16" s="138"/>
      <c r="N16" s="138"/>
      <c r="O16" s="139"/>
      <c r="P16" s="138"/>
      <c r="Q16" s="99"/>
      <c r="R16" s="99"/>
    </row>
    <row r="17" spans="1:18" ht="15" customHeight="1" thickBot="1" x14ac:dyDescent="0.35">
      <c r="A17" s="39" t="s">
        <v>48</v>
      </c>
      <c r="B17" s="39" t="s">
        <v>1277</v>
      </c>
      <c r="C17" s="40" t="s">
        <v>267</v>
      </c>
      <c r="D17" s="39" t="s">
        <v>50</v>
      </c>
      <c r="E17" s="39" t="s">
        <v>256</v>
      </c>
      <c r="F17" s="39" t="s">
        <v>1281</v>
      </c>
      <c r="G17" s="299"/>
      <c r="H17" s="140"/>
      <c r="I17" s="140"/>
      <c r="J17" s="140"/>
      <c r="K17" s="140"/>
      <c r="L17" s="140"/>
      <c r="M17" s="140"/>
      <c r="N17" s="140"/>
      <c r="O17" s="141"/>
      <c r="P17" s="140"/>
      <c r="Q17" s="142"/>
      <c r="R17" s="142"/>
    </row>
    <row r="18" spans="1:18" ht="17.399999999999999" customHeight="1" thickBot="1" x14ac:dyDescent="0.35">
      <c r="A18" s="329"/>
      <c r="B18" s="330"/>
      <c r="C18" s="330"/>
      <c r="D18" s="330"/>
      <c r="E18" s="330"/>
      <c r="F18" s="330"/>
      <c r="G18" s="330"/>
      <c r="H18" s="330"/>
      <c r="I18" s="330"/>
      <c r="J18" s="330"/>
      <c r="K18" s="330"/>
      <c r="L18" s="330"/>
      <c r="M18" s="330"/>
      <c r="N18" s="330"/>
      <c r="O18" s="330"/>
      <c r="P18" s="330"/>
      <c r="Q18" s="330"/>
      <c r="R18" s="331"/>
    </row>
    <row r="19" spans="1:18" ht="22.05" customHeight="1" thickTop="1" thickBot="1" x14ac:dyDescent="0.35">
      <c r="A19" s="300" t="s">
        <v>6</v>
      </c>
      <c r="B19" s="295"/>
      <c r="C19" s="295"/>
      <c r="D19" s="295"/>
      <c r="E19" s="295"/>
      <c r="F19" s="296"/>
      <c r="G19" s="31">
        <v>45985</v>
      </c>
      <c r="H19" s="294" t="s">
        <v>7</v>
      </c>
      <c r="I19" s="295"/>
      <c r="J19" s="295"/>
      <c r="K19" s="295"/>
      <c r="L19" s="295"/>
      <c r="M19" s="295"/>
      <c r="N19" s="295"/>
      <c r="O19" s="295"/>
      <c r="P19" s="295"/>
      <c r="Q19" s="295"/>
      <c r="R19" s="296"/>
    </row>
    <row r="20" spans="1:18" ht="24" customHeight="1" x14ac:dyDescent="0.3">
      <c r="A20" s="32" t="s">
        <v>8</v>
      </c>
      <c r="B20" s="32" t="s">
        <v>9</v>
      </c>
      <c r="C20" s="33" t="s">
        <v>10</v>
      </c>
      <c r="D20" s="32" t="s">
        <v>11</v>
      </c>
      <c r="E20" s="32" t="s">
        <v>12</v>
      </c>
      <c r="F20" s="34" t="s">
        <v>13</v>
      </c>
      <c r="G20" s="35" t="s">
        <v>14</v>
      </c>
      <c r="H20" s="32" t="s">
        <v>15</v>
      </c>
      <c r="I20" s="36" t="s">
        <v>16</v>
      </c>
      <c r="J20" s="37" t="s">
        <v>17</v>
      </c>
      <c r="K20" s="38" t="s">
        <v>18</v>
      </c>
      <c r="L20" s="37" t="s">
        <v>19</v>
      </c>
      <c r="M20" s="37" t="s">
        <v>20</v>
      </c>
      <c r="N20" s="37" t="s">
        <v>21</v>
      </c>
      <c r="O20" s="32" t="s">
        <v>22</v>
      </c>
      <c r="P20" s="33" t="s">
        <v>23</v>
      </c>
      <c r="Q20" s="37" t="s">
        <v>24</v>
      </c>
      <c r="R20" s="32" t="s">
        <v>25</v>
      </c>
    </row>
    <row r="21" spans="1:18" ht="15" customHeight="1" x14ac:dyDescent="0.3">
      <c r="A21" s="129" t="s">
        <v>77</v>
      </c>
      <c r="B21" s="129" t="s">
        <v>1356</v>
      </c>
      <c r="C21" s="130">
        <v>0.29166666666666669</v>
      </c>
      <c r="D21" s="129" t="s">
        <v>101</v>
      </c>
      <c r="E21" s="129" t="s">
        <v>63</v>
      </c>
      <c r="F21" s="129" t="s">
        <v>1357</v>
      </c>
      <c r="G21" s="297"/>
      <c r="H21" s="131" t="s">
        <v>1350</v>
      </c>
      <c r="I21" s="132">
        <v>0.89439999999999997</v>
      </c>
      <c r="J21" s="133">
        <v>161</v>
      </c>
      <c r="K21" s="134">
        <v>45980</v>
      </c>
      <c r="L21" s="133">
        <v>64</v>
      </c>
      <c r="M21" s="133">
        <v>6</v>
      </c>
      <c r="N21" s="133">
        <v>5</v>
      </c>
      <c r="O21" s="135" t="s">
        <v>538</v>
      </c>
      <c r="P21" s="136">
        <v>0.29166666666666669</v>
      </c>
      <c r="Q21" s="133">
        <v>180</v>
      </c>
      <c r="R21" s="137" t="s">
        <v>1358</v>
      </c>
    </row>
    <row r="22" spans="1:18" ht="18" x14ac:dyDescent="0.3">
      <c r="A22" s="312" t="s">
        <v>1352</v>
      </c>
      <c r="B22" s="313"/>
      <c r="C22" s="313"/>
      <c r="D22" s="313"/>
      <c r="E22" s="313"/>
      <c r="F22" s="314"/>
      <c r="G22" s="298"/>
      <c r="H22" s="138"/>
      <c r="I22" s="138"/>
      <c r="J22" s="138"/>
      <c r="K22" s="138"/>
      <c r="L22" s="138"/>
      <c r="M22" s="138"/>
      <c r="N22" s="138"/>
      <c r="O22" s="139"/>
      <c r="P22" s="138"/>
      <c r="Q22" s="99"/>
      <c r="R22" s="99"/>
    </row>
    <row r="23" spans="1:18" ht="15" customHeight="1" x14ac:dyDescent="0.3">
      <c r="A23" s="17" t="s">
        <v>41</v>
      </c>
      <c r="B23" s="17" t="s">
        <v>1265</v>
      </c>
      <c r="C23" s="18" t="s">
        <v>1345</v>
      </c>
      <c r="D23" s="17" t="s">
        <v>43</v>
      </c>
      <c r="E23" s="17" t="s">
        <v>259</v>
      </c>
      <c r="F23" s="17" t="s">
        <v>1028</v>
      </c>
      <c r="G23" s="298"/>
      <c r="H23" s="138"/>
      <c r="I23" s="138"/>
      <c r="J23" s="138"/>
      <c r="K23" s="138"/>
      <c r="L23" s="138"/>
      <c r="M23" s="138"/>
      <c r="N23" s="138"/>
      <c r="O23" s="139"/>
      <c r="P23" s="138"/>
      <c r="Q23" s="99"/>
      <c r="R23" s="99"/>
    </row>
    <row r="24" spans="1:18" ht="15" customHeight="1" x14ac:dyDescent="0.3">
      <c r="A24" s="17" t="s">
        <v>26</v>
      </c>
      <c r="B24" s="17" t="s">
        <v>1266</v>
      </c>
      <c r="C24" s="18" t="s">
        <v>267</v>
      </c>
      <c r="D24" s="17" t="s">
        <v>28</v>
      </c>
      <c r="E24" s="17" t="s">
        <v>303</v>
      </c>
      <c r="F24" s="17" t="s">
        <v>431</v>
      </c>
      <c r="G24" s="298"/>
      <c r="H24" s="138"/>
      <c r="I24" s="138"/>
      <c r="J24" s="138"/>
      <c r="K24" s="138"/>
      <c r="L24" s="138"/>
      <c r="M24" s="138"/>
      <c r="N24" s="138"/>
      <c r="O24" s="139"/>
      <c r="P24" s="138"/>
      <c r="Q24" s="99"/>
      <c r="R24" s="99"/>
    </row>
    <row r="25" spans="1:18" ht="15" customHeight="1" x14ac:dyDescent="0.3">
      <c r="A25" s="17" t="s">
        <v>26</v>
      </c>
      <c r="B25" s="17" t="s">
        <v>1268</v>
      </c>
      <c r="C25" s="18" t="s">
        <v>1346</v>
      </c>
      <c r="D25" s="17" t="s">
        <v>351</v>
      </c>
      <c r="E25" s="17" t="s">
        <v>275</v>
      </c>
      <c r="F25" s="17" t="s">
        <v>431</v>
      </c>
      <c r="G25" s="298"/>
      <c r="H25" s="138"/>
      <c r="I25" s="138"/>
      <c r="J25" s="138"/>
      <c r="K25" s="138"/>
      <c r="L25" s="138"/>
      <c r="M25" s="138"/>
      <c r="N25" s="138"/>
      <c r="O25" s="139"/>
      <c r="P25" s="138"/>
      <c r="Q25" s="99"/>
      <c r="R25" s="99"/>
    </row>
    <row r="26" spans="1:18" ht="15" customHeight="1" x14ac:dyDescent="0.3">
      <c r="A26" s="17" t="s">
        <v>26</v>
      </c>
      <c r="B26" s="17" t="s">
        <v>1268</v>
      </c>
      <c r="C26" s="18" t="s">
        <v>1346</v>
      </c>
      <c r="D26" s="17" t="s">
        <v>28</v>
      </c>
      <c r="E26" s="17" t="s">
        <v>275</v>
      </c>
      <c r="F26" s="17" t="s">
        <v>431</v>
      </c>
      <c r="G26" s="298"/>
      <c r="H26" s="138"/>
      <c r="I26" s="138"/>
      <c r="J26" s="138"/>
      <c r="K26" s="138"/>
      <c r="L26" s="138"/>
      <c r="M26" s="138"/>
      <c r="N26" s="138"/>
      <c r="O26" s="139"/>
      <c r="P26" s="138"/>
      <c r="Q26" s="99"/>
      <c r="R26" s="99"/>
    </row>
    <row r="27" spans="1:18" ht="15" customHeight="1" x14ac:dyDescent="0.3">
      <c r="A27" s="17" t="s">
        <v>41</v>
      </c>
      <c r="B27" s="17" t="s">
        <v>1265</v>
      </c>
      <c r="C27" s="18" t="s">
        <v>1345</v>
      </c>
      <c r="D27" s="17" t="s">
        <v>45</v>
      </c>
      <c r="E27" s="17" t="s">
        <v>259</v>
      </c>
      <c r="F27" s="17" t="s">
        <v>33</v>
      </c>
      <c r="G27" s="298"/>
      <c r="H27" s="138"/>
      <c r="I27" s="138"/>
      <c r="J27" s="138"/>
      <c r="K27" s="138"/>
      <c r="L27" s="138"/>
      <c r="M27" s="138"/>
      <c r="N27" s="138"/>
      <c r="O27" s="139"/>
      <c r="P27" s="138"/>
      <c r="Q27" s="99"/>
      <c r="R27" s="99"/>
    </row>
    <row r="28" spans="1:18" ht="15" customHeight="1" x14ac:dyDescent="0.3">
      <c r="A28" s="17" t="s">
        <v>26</v>
      </c>
      <c r="B28" s="17" t="s">
        <v>1266</v>
      </c>
      <c r="C28" s="18" t="s">
        <v>267</v>
      </c>
      <c r="D28" s="17" t="s">
        <v>31</v>
      </c>
      <c r="E28" s="17" t="s">
        <v>303</v>
      </c>
      <c r="F28" s="17" t="s">
        <v>508</v>
      </c>
      <c r="G28" s="298"/>
      <c r="H28" s="138"/>
      <c r="I28" s="138"/>
      <c r="J28" s="138"/>
      <c r="K28" s="138"/>
      <c r="L28" s="138"/>
      <c r="M28" s="138"/>
      <c r="N28" s="138"/>
      <c r="O28" s="139"/>
      <c r="P28" s="138"/>
      <c r="Q28" s="99"/>
      <c r="R28" s="99"/>
    </row>
    <row r="29" spans="1:18" ht="15" customHeight="1" x14ac:dyDescent="0.3">
      <c r="A29" s="17" t="s">
        <v>26</v>
      </c>
      <c r="B29" s="17" t="s">
        <v>1268</v>
      </c>
      <c r="C29" s="18" t="s">
        <v>1346</v>
      </c>
      <c r="D29" s="17" t="s">
        <v>31</v>
      </c>
      <c r="E29" s="17" t="s">
        <v>275</v>
      </c>
      <c r="F29" s="17" t="s">
        <v>508</v>
      </c>
      <c r="G29" s="298"/>
      <c r="H29" s="138"/>
      <c r="I29" s="138"/>
      <c r="J29" s="138"/>
      <c r="K29" s="138"/>
      <c r="L29" s="138"/>
      <c r="M29" s="138"/>
      <c r="N29" s="138"/>
      <c r="O29" s="139"/>
      <c r="P29" s="138"/>
      <c r="Q29" s="99"/>
      <c r="R29" s="99"/>
    </row>
    <row r="30" spans="1:18" ht="15" customHeight="1" x14ac:dyDescent="0.3">
      <c r="A30" s="17" t="s">
        <v>385</v>
      </c>
      <c r="B30" s="17" t="s">
        <v>1288</v>
      </c>
      <c r="C30" s="18" t="s">
        <v>667</v>
      </c>
      <c r="D30" s="17" t="s">
        <v>101</v>
      </c>
      <c r="E30" s="17" t="s">
        <v>256</v>
      </c>
      <c r="F30" s="17" t="s">
        <v>1171</v>
      </c>
      <c r="G30" s="298"/>
      <c r="H30" s="138"/>
      <c r="I30" s="138"/>
      <c r="J30" s="138"/>
      <c r="K30" s="138"/>
      <c r="L30" s="138"/>
      <c r="M30" s="138"/>
      <c r="N30" s="138"/>
      <c r="O30" s="139"/>
      <c r="P30" s="138"/>
      <c r="Q30" s="99"/>
      <c r="R30" s="99"/>
    </row>
    <row r="31" spans="1:18" ht="15" customHeight="1" x14ac:dyDescent="0.3">
      <c r="A31" s="17" t="s">
        <v>26</v>
      </c>
      <c r="B31" s="17" t="s">
        <v>1266</v>
      </c>
      <c r="C31" s="18" t="s">
        <v>267</v>
      </c>
      <c r="D31" s="17" t="s">
        <v>34</v>
      </c>
      <c r="E31" s="17" t="s">
        <v>303</v>
      </c>
      <c r="F31" s="17" t="s">
        <v>39</v>
      </c>
      <c r="G31" s="298"/>
      <c r="H31" s="138"/>
      <c r="I31" s="138"/>
      <c r="J31" s="138"/>
      <c r="K31" s="138"/>
      <c r="L31" s="138"/>
      <c r="M31" s="138"/>
      <c r="N31" s="138"/>
      <c r="O31" s="139"/>
      <c r="P31" s="138"/>
      <c r="Q31" s="99"/>
      <c r="R31" s="99"/>
    </row>
    <row r="32" spans="1:18" ht="15" customHeight="1" thickBot="1" x14ac:dyDescent="0.35">
      <c r="A32" s="39" t="s">
        <v>26</v>
      </c>
      <c r="B32" s="39" t="s">
        <v>1268</v>
      </c>
      <c r="C32" s="40" t="s">
        <v>1346</v>
      </c>
      <c r="D32" s="39" t="s">
        <v>34</v>
      </c>
      <c r="E32" s="39" t="s">
        <v>275</v>
      </c>
      <c r="F32" s="39" t="s">
        <v>39</v>
      </c>
      <c r="G32" s="299"/>
      <c r="H32" s="140"/>
      <c r="I32" s="140"/>
      <c r="J32" s="140"/>
      <c r="K32" s="140"/>
      <c r="L32" s="140"/>
      <c r="M32" s="140"/>
      <c r="N32" s="140"/>
      <c r="O32" s="141"/>
      <c r="P32" s="140"/>
      <c r="Q32" s="142"/>
      <c r="R32" s="142"/>
    </row>
    <row r="33" spans="1:18" ht="17.399999999999999" customHeight="1" thickBot="1" x14ac:dyDescent="0.35">
      <c r="A33" s="329"/>
      <c r="B33" s="330"/>
      <c r="C33" s="330"/>
      <c r="D33" s="330"/>
      <c r="E33" s="330"/>
      <c r="F33" s="330"/>
      <c r="G33" s="330"/>
      <c r="H33" s="330"/>
      <c r="I33" s="330"/>
      <c r="J33" s="330"/>
      <c r="K33" s="330"/>
      <c r="L33" s="330"/>
      <c r="M33" s="330"/>
      <c r="N33" s="330"/>
      <c r="O33" s="330"/>
      <c r="P33" s="330"/>
      <c r="Q33" s="330"/>
      <c r="R33" s="331"/>
    </row>
    <row r="34" spans="1:18" ht="22.05" customHeight="1" thickTop="1" thickBot="1" x14ac:dyDescent="0.35">
      <c r="A34" s="300" t="s">
        <v>6</v>
      </c>
      <c r="B34" s="295"/>
      <c r="C34" s="295"/>
      <c r="D34" s="295"/>
      <c r="E34" s="295"/>
      <c r="F34" s="296"/>
      <c r="G34" s="31">
        <v>45989</v>
      </c>
      <c r="H34" s="294" t="s">
        <v>7</v>
      </c>
      <c r="I34" s="295"/>
      <c r="J34" s="295"/>
      <c r="K34" s="295"/>
      <c r="L34" s="295"/>
      <c r="M34" s="295"/>
      <c r="N34" s="295"/>
      <c r="O34" s="295"/>
      <c r="P34" s="295"/>
      <c r="Q34" s="295"/>
      <c r="R34" s="296"/>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15" customHeight="1" x14ac:dyDescent="0.3">
      <c r="A36" s="204" t="s">
        <v>77</v>
      </c>
      <c r="B36" s="204" t="s">
        <v>1356</v>
      </c>
      <c r="C36" s="205">
        <v>7.2916666666666671E-2</v>
      </c>
      <c r="D36" s="204" t="s">
        <v>101</v>
      </c>
      <c r="E36" s="204" t="s">
        <v>29</v>
      </c>
      <c r="F36" s="204" t="s">
        <v>1357</v>
      </c>
      <c r="G36" s="297"/>
      <c r="H36" s="206" t="s">
        <v>1350</v>
      </c>
      <c r="I36" s="207">
        <v>0.82220000000000004</v>
      </c>
      <c r="J36" s="208">
        <v>148</v>
      </c>
      <c r="K36" s="209">
        <v>45980</v>
      </c>
      <c r="L36" s="208">
        <v>48</v>
      </c>
      <c r="M36" s="208">
        <v>7</v>
      </c>
      <c r="N36" s="208">
        <v>11</v>
      </c>
      <c r="O36" s="210" t="s">
        <v>1359</v>
      </c>
      <c r="P36" s="211">
        <v>7.2916666666666671E-2</v>
      </c>
      <c r="Q36" s="208">
        <v>180</v>
      </c>
      <c r="R36" s="212" t="s">
        <v>1360</v>
      </c>
    </row>
    <row r="37" spans="1:18" ht="18" x14ac:dyDescent="0.3">
      <c r="A37" s="312" t="s">
        <v>1352</v>
      </c>
      <c r="B37" s="313"/>
      <c r="C37" s="313"/>
      <c r="D37" s="313"/>
      <c r="E37" s="313"/>
      <c r="F37" s="314"/>
      <c r="G37" s="298"/>
      <c r="H37" s="138"/>
      <c r="I37" s="138"/>
      <c r="J37" s="138"/>
      <c r="K37" s="138"/>
      <c r="L37" s="138"/>
      <c r="M37" s="138"/>
      <c r="N37" s="138"/>
      <c r="O37" s="139"/>
      <c r="P37" s="138"/>
      <c r="Q37" s="99"/>
      <c r="R37" s="99"/>
    </row>
    <row r="38" spans="1:18" ht="15" customHeight="1" x14ac:dyDescent="0.3">
      <c r="A38" s="17" t="s">
        <v>41</v>
      </c>
      <c r="B38" s="17" t="s">
        <v>1265</v>
      </c>
      <c r="C38" s="18" t="s">
        <v>1345</v>
      </c>
      <c r="D38" s="17" t="s">
        <v>43</v>
      </c>
      <c r="E38" s="17" t="s">
        <v>254</v>
      </c>
      <c r="F38" s="17" t="s">
        <v>1309</v>
      </c>
      <c r="G38" s="298"/>
      <c r="H38" s="138"/>
      <c r="I38" s="138"/>
      <c r="J38" s="138"/>
      <c r="K38" s="138"/>
      <c r="L38" s="138"/>
      <c r="M38" s="138"/>
      <c r="N38" s="138"/>
      <c r="O38" s="139"/>
      <c r="P38" s="138"/>
      <c r="Q38" s="99"/>
      <c r="R38" s="99"/>
    </row>
    <row r="39" spans="1:18" ht="15" customHeight="1" x14ac:dyDescent="0.3">
      <c r="A39" s="17" t="s">
        <v>26</v>
      </c>
      <c r="B39" s="17" t="s">
        <v>1268</v>
      </c>
      <c r="C39" s="18" t="s">
        <v>1346</v>
      </c>
      <c r="D39" s="17" t="s">
        <v>28</v>
      </c>
      <c r="E39" s="17" t="s">
        <v>255</v>
      </c>
      <c r="F39" s="17" t="s">
        <v>550</v>
      </c>
      <c r="G39" s="298"/>
      <c r="H39" s="138"/>
      <c r="I39" s="138"/>
      <c r="J39" s="138"/>
      <c r="K39" s="138"/>
      <c r="L39" s="138"/>
      <c r="M39" s="138"/>
      <c r="N39" s="138"/>
      <c r="O39" s="139"/>
      <c r="P39" s="138"/>
      <c r="Q39" s="99"/>
      <c r="R39" s="99"/>
    </row>
    <row r="40" spans="1:18" ht="15" customHeight="1" x14ac:dyDescent="0.3">
      <c r="A40" s="17" t="s">
        <v>41</v>
      </c>
      <c r="B40" s="17" t="s">
        <v>1265</v>
      </c>
      <c r="C40" s="18" t="s">
        <v>1345</v>
      </c>
      <c r="D40" s="17" t="s">
        <v>45</v>
      </c>
      <c r="E40" s="17" t="s">
        <v>254</v>
      </c>
      <c r="F40" s="17" t="s">
        <v>1310</v>
      </c>
      <c r="G40" s="298"/>
      <c r="H40" s="138"/>
      <c r="I40" s="138"/>
      <c r="J40" s="138"/>
      <c r="K40" s="138"/>
      <c r="L40" s="138"/>
      <c r="M40" s="138"/>
      <c r="N40" s="138"/>
      <c r="O40" s="139"/>
      <c r="P40" s="138"/>
      <c r="Q40" s="99"/>
      <c r="R40" s="99"/>
    </row>
    <row r="41" spans="1:18" ht="15" customHeight="1" x14ac:dyDescent="0.3">
      <c r="A41" s="17" t="s">
        <v>26</v>
      </c>
      <c r="B41" s="17" t="s">
        <v>1268</v>
      </c>
      <c r="C41" s="18" t="s">
        <v>1346</v>
      </c>
      <c r="D41" s="17" t="s">
        <v>31</v>
      </c>
      <c r="E41" s="17" t="s">
        <v>255</v>
      </c>
      <c r="F41" s="17" t="s">
        <v>551</v>
      </c>
      <c r="G41" s="298"/>
      <c r="H41" s="138"/>
      <c r="I41" s="138"/>
      <c r="J41" s="138"/>
      <c r="K41" s="138"/>
      <c r="L41" s="138"/>
      <c r="M41" s="138"/>
      <c r="N41" s="138"/>
      <c r="O41" s="139"/>
      <c r="P41" s="138"/>
      <c r="Q41" s="99"/>
      <c r="R41" s="99"/>
    </row>
    <row r="42" spans="1:18" ht="15" customHeight="1" x14ac:dyDescent="0.3">
      <c r="A42" s="17" t="s">
        <v>458</v>
      </c>
      <c r="B42" s="17" t="s">
        <v>1272</v>
      </c>
      <c r="C42" s="18" t="s">
        <v>1354</v>
      </c>
      <c r="D42" s="17" t="s">
        <v>101</v>
      </c>
      <c r="E42" s="17" t="s">
        <v>256</v>
      </c>
      <c r="F42" s="17" t="s">
        <v>1311</v>
      </c>
      <c r="G42" s="298"/>
      <c r="H42" s="138"/>
      <c r="I42" s="138"/>
      <c r="J42" s="138"/>
      <c r="K42" s="138"/>
      <c r="L42" s="138"/>
      <c r="M42" s="138"/>
      <c r="N42" s="138"/>
      <c r="O42" s="139"/>
      <c r="P42" s="138"/>
      <c r="Q42" s="99"/>
      <c r="R42" s="99"/>
    </row>
    <row r="43" spans="1:18" ht="15" customHeight="1" x14ac:dyDescent="0.3">
      <c r="A43" s="17" t="s">
        <v>77</v>
      </c>
      <c r="B43" s="17" t="s">
        <v>1282</v>
      </c>
      <c r="C43" s="18" t="s">
        <v>188</v>
      </c>
      <c r="D43" s="17" t="s">
        <v>101</v>
      </c>
      <c r="E43" s="17" t="s">
        <v>256</v>
      </c>
      <c r="F43" s="17" t="s">
        <v>1312</v>
      </c>
      <c r="G43" s="298"/>
      <c r="H43" s="138"/>
      <c r="I43" s="138"/>
      <c r="J43" s="138"/>
      <c r="K43" s="138"/>
      <c r="L43" s="138"/>
      <c r="M43" s="138"/>
      <c r="N43" s="138"/>
      <c r="O43" s="139"/>
      <c r="P43" s="138"/>
      <c r="Q43" s="99"/>
      <c r="R43" s="99"/>
    </row>
    <row r="44" spans="1:18" ht="15" customHeight="1" x14ac:dyDescent="0.3">
      <c r="A44" s="17" t="s">
        <v>385</v>
      </c>
      <c r="B44" s="17" t="s">
        <v>1288</v>
      </c>
      <c r="C44" s="18" t="s">
        <v>667</v>
      </c>
      <c r="D44" s="17" t="s">
        <v>101</v>
      </c>
      <c r="E44" s="17" t="s">
        <v>275</v>
      </c>
      <c r="F44" s="17" t="s">
        <v>1314</v>
      </c>
      <c r="G44" s="298"/>
      <c r="H44" s="138"/>
      <c r="I44" s="138"/>
      <c r="J44" s="138"/>
      <c r="K44" s="138"/>
      <c r="L44" s="138"/>
      <c r="M44" s="138"/>
      <c r="N44" s="138"/>
      <c r="O44" s="139"/>
      <c r="P44" s="138"/>
      <c r="Q44" s="99"/>
      <c r="R44" s="99"/>
    </row>
    <row r="45" spans="1:18" ht="15" customHeight="1" x14ac:dyDescent="0.3">
      <c r="A45" s="17" t="s">
        <v>26</v>
      </c>
      <c r="B45" s="17" t="s">
        <v>1268</v>
      </c>
      <c r="C45" s="18" t="s">
        <v>1346</v>
      </c>
      <c r="D45" s="17" t="s">
        <v>34</v>
      </c>
      <c r="E45" s="17" t="s">
        <v>255</v>
      </c>
      <c r="F45" s="17" t="s">
        <v>552</v>
      </c>
      <c r="G45" s="298"/>
      <c r="H45" s="138"/>
      <c r="I45" s="138"/>
      <c r="J45" s="138"/>
      <c r="K45" s="138"/>
      <c r="L45" s="138"/>
      <c r="M45" s="138"/>
      <c r="N45" s="138"/>
      <c r="O45" s="139"/>
      <c r="P45" s="138"/>
      <c r="Q45" s="99"/>
      <c r="R45" s="99"/>
    </row>
    <row r="46" spans="1:18" ht="15" customHeight="1" x14ac:dyDescent="0.3">
      <c r="A46" s="17" t="s">
        <v>41</v>
      </c>
      <c r="B46" s="17" t="s">
        <v>1265</v>
      </c>
      <c r="C46" s="18" t="s">
        <v>1345</v>
      </c>
      <c r="D46" s="17" t="s">
        <v>46</v>
      </c>
      <c r="E46" s="17" t="s">
        <v>254</v>
      </c>
      <c r="F46" s="17" t="s">
        <v>1287</v>
      </c>
      <c r="G46" s="298"/>
      <c r="H46" s="138"/>
      <c r="I46" s="138"/>
      <c r="J46" s="138"/>
      <c r="K46" s="138"/>
      <c r="L46" s="138"/>
      <c r="M46" s="138"/>
      <c r="N46" s="138"/>
      <c r="O46" s="139"/>
      <c r="P46" s="138"/>
      <c r="Q46" s="99"/>
      <c r="R46" s="99"/>
    </row>
    <row r="47" spans="1:18" ht="15" customHeight="1" thickBot="1" x14ac:dyDescent="0.35">
      <c r="A47" s="39" t="s">
        <v>48</v>
      </c>
      <c r="B47" s="39" t="s">
        <v>1279</v>
      </c>
      <c r="C47" s="40" t="s">
        <v>1361</v>
      </c>
      <c r="D47" s="39" t="s">
        <v>50</v>
      </c>
      <c r="E47" s="39" t="s">
        <v>256</v>
      </c>
      <c r="F47" s="39" t="s">
        <v>1307</v>
      </c>
      <c r="G47" s="299"/>
      <c r="H47" s="140"/>
      <c r="I47" s="140"/>
      <c r="J47" s="140"/>
      <c r="K47" s="140"/>
      <c r="L47" s="140"/>
      <c r="M47" s="140"/>
      <c r="N47" s="140"/>
      <c r="O47" s="141"/>
      <c r="P47" s="140"/>
      <c r="Q47" s="142"/>
      <c r="R47" s="142"/>
    </row>
    <row r="48" spans="1:18" ht="17.399999999999999" customHeight="1" thickBot="1" x14ac:dyDescent="0.35">
      <c r="A48" s="329"/>
      <c r="B48" s="330"/>
      <c r="C48" s="330"/>
      <c r="D48" s="330"/>
      <c r="E48" s="330"/>
      <c r="F48" s="330"/>
      <c r="G48" s="330"/>
      <c r="H48" s="330"/>
      <c r="I48" s="330"/>
      <c r="J48" s="330"/>
      <c r="K48" s="330"/>
      <c r="L48" s="330"/>
      <c r="M48" s="330"/>
      <c r="N48" s="330"/>
      <c r="O48" s="330"/>
      <c r="P48" s="330"/>
      <c r="Q48" s="330"/>
      <c r="R48" s="331"/>
    </row>
    <row r="49" ht="15" thickTop="1" x14ac:dyDescent="0.3"/>
  </sheetData>
  <mergeCells count="22">
    <mergeCell ref="K2:R2"/>
    <mergeCell ref="A34:F34"/>
    <mergeCell ref="H19:R19"/>
    <mergeCell ref="G6:G17"/>
    <mergeCell ref="A48:R48"/>
    <mergeCell ref="A7:F7"/>
    <mergeCell ref="A37:F37"/>
    <mergeCell ref="H1:L1"/>
    <mergeCell ref="A1:E1"/>
    <mergeCell ref="H4:R4"/>
    <mergeCell ref="A18:R18"/>
    <mergeCell ref="A2:F2"/>
    <mergeCell ref="A3:R3"/>
    <mergeCell ref="H34:R34"/>
    <mergeCell ref="A33:R33"/>
    <mergeCell ref="G21:G32"/>
    <mergeCell ref="A22:F22"/>
    <mergeCell ref="G2:J2"/>
    <mergeCell ref="A4:F4"/>
    <mergeCell ref="G36:G47"/>
    <mergeCell ref="N1:R1"/>
    <mergeCell ref="A19:F19"/>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J5"/>
  <sheetViews>
    <sheetView workbookViewId="0"/>
  </sheetViews>
  <sheetFormatPr defaultRowHeight="15.6" outlineLevelCol="1" x14ac:dyDescent="0.3"/>
  <cols>
    <col min="1" max="1" width="8.6640625" style="316" bestFit="1" customWidth="1"/>
    <col min="2" max="2" width="10.44140625" style="316" bestFit="1" customWidth="1"/>
    <col min="3" max="3" width="6.77734375" style="316" bestFit="1" customWidth="1"/>
    <col min="4" max="4" width="5.5546875" style="316" bestFit="1" customWidth="1"/>
    <col min="5" max="5" width="9.4414062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2" width="3.88671875" style="316" bestFit="1" customWidth="1"/>
    <col min="23" max="23" width="4.33203125" style="316" bestFit="1" customWidth="1"/>
    <col min="24" max="24" width="4.1093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606</v>
      </c>
      <c r="B2" s="318">
        <v>45982</v>
      </c>
      <c r="C2" s="319" t="s">
        <v>1350</v>
      </c>
      <c r="D2" s="320" t="s">
        <v>1362</v>
      </c>
      <c r="E2" s="319" t="s">
        <v>1349</v>
      </c>
      <c r="F2" s="319" t="s">
        <v>189</v>
      </c>
      <c r="G2" s="321">
        <v>0.98329999999999995</v>
      </c>
      <c r="H2" s="322">
        <v>180</v>
      </c>
      <c r="I2" s="322">
        <v>177</v>
      </c>
      <c r="J2" s="322">
        <v>0</v>
      </c>
      <c r="K2" s="319" t="s">
        <v>190</v>
      </c>
      <c r="L2" s="323">
        <v>45980</v>
      </c>
      <c r="M2" s="322">
        <v>4</v>
      </c>
      <c r="N2" s="322">
        <v>3</v>
      </c>
      <c r="O2" s="322">
        <v>25</v>
      </c>
      <c r="P2" s="319" t="s">
        <v>81</v>
      </c>
      <c r="Q2" s="322" t="s">
        <v>329</v>
      </c>
      <c r="R2" s="315"/>
      <c r="S2" s="315"/>
      <c r="T2" s="315"/>
      <c r="U2" s="315"/>
      <c r="V2" s="315"/>
      <c r="W2" s="322" t="s">
        <v>706</v>
      </c>
      <c r="X2" s="322" t="s">
        <v>743</v>
      </c>
      <c r="Y2" s="322" t="s">
        <v>741</v>
      </c>
      <c r="Z2" s="322" t="s">
        <v>1253</v>
      </c>
      <c r="AA2" s="322" t="s">
        <v>1363</v>
      </c>
      <c r="AB2" s="322" t="s">
        <v>983</v>
      </c>
      <c r="AC2" s="322" t="s">
        <v>675</v>
      </c>
      <c r="AD2" s="322" t="s">
        <v>647</v>
      </c>
      <c r="AE2" s="322" t="s">
        <v>676</v>
      </c>
      <c r="AF2" s="315"/>
      <c r="AG2" s="315"/>
      <c r="AH2" s="315"/>
      <c r="AI2" s="315"/>
      <c r="AJ2" s="315"/>
    </row>
    <row r="3" spans="1:36" x14ac:dyDescent="0.3">
      <c r="A3" s="317" t="s">
        <v>207</v>
      </c>
      <c r="B3" s="318">
        <v>45985</v>
      </c>
      <c r="C3" s="319" t="s">
        <v>1350</v>
      </c>
      <c r="D3" s="320" t="s">
        <v>1364</v>
      </c>
      <c r="E3" s="319" t="s">
        <v>1349</v>
      </c>
      <c r="F3" s="319" t="s">
        <v>189</v>
      </c>
      <c r="G3" s="321">
        <v>0.89439999999999997</v>
      </c>
      <c r="H3" s="322">
        <v>180</v>
      </c>
      <c r="I3" s="322">
        <v>161</v>
      </c>
      <c r="J3" s="322">
        <v>0</v>
      </c>
      <c r="K3" s="319" t="s">
        <v>190</v>
      </c>
      <c r="L3" s="323">
        <v>45980</v>
      </c>
      <c r="M3" s="322">
        <v>6</v>
      </c>
      <c r="N3" s="322">
        <v>5</v>
      </c>
      <c r="O3" s="322">
        <v>64</v>
      </c>
      <c r="P3" s="319" t="s">
        <v>538</v>
      </c>
      <c r="Q3" s="315"/>
      <c r="R3" s="315"/>
      <c r="S3" s="315"/>
      <c r="T3" s="315"/>
      <c r="U3" s="315"/>
      <c r="V3" s="322" t="s">
        <v>698</v>
      </c>
      <c r="W3" s="322" t="s">
        <v>717</v>
      </c>
      <c r="X3" s="322" t="s">
        <v>732</v>
      </c>
      <c r="Y3" s="322" t="s">
        <v>726</v>
      </c>
      <c r="Z3" s="322" t="s">
        <v>1253</v>
      </c>
      <c r="AA3" s="322" t="s">
        <v>623</v>
      </c>
      <c r="AB3" s="322" t="s">
        <v>680</v>
      </c>
      <c r="AC3" s="322" t="s">
        <v>637</v>
      </c>
      <c r="AD3" s="322" t="s">
        <v>638</v>
      </c>
      <c r="AE3" s="322" t="s">
        <v>588</v>
      </c>
      <c r="AF3" s="322" t="s">
        <v>1365</v>
      </c>
      <c r="AG3" s="315"/>
      <c r="AH3" s="315"/>
      <c r="AI3" s="315"/>
      <c r="AJ3" s="315"/>
    </row>
    <row r="4" spans="1:36" x14ac:dyDescent="0.3">
      <c r="A4" s="317" t="s">
        <v>606</v>
      </c>
      <c r="B4" s="318">
        <v>45989</v>
      </c>
      <c r="C4" s="319" t="s">
        <v>1350</v>
      </c>
      <c r="D4" s="320" t="s">
        <v>1362</v>
      </c>
      <c r="E4" s="319" t="s">
        <v>1349</v>
      </c>
      <c r="F4" s="319" t="s">
        <v>189</v>
      </c>
      <c r="G4" s="321">
        <v>0.82220000000000004</v>
      </c>
      <c r="H4" s="322">
        <v>180</v>
      </c>
      <c r="I4" s="322">
        <v>148</v>
      </c>
      <c r="J4" s="322">
        <v>0</v>
      </c>
      <c r="K4" s="319" t="s">
        <v>190</v>
      </c>
      <c r="L4" s="323">
        <v>45980</v>
      </c>
      <c r="M4" s="322">
        <v>7</v>
      </c>
      <c r="N4" s="322">
        <v>11</v>
      </c>
      <c r="O4" s="322">
        <v>48</v>
      </c>
      <c r="P4" s="319" t="s">
        <v>1359</v>
      </c>
      <c r="Q4" s="322" t="s">
        <v>980</v>
      </c>
      <c r="R4" s="315"/>
      <c r="S4" s="315"/>
      <c r="T4" s="315"/>
      <c r="U4" s="322" t="s">
        <v>542</v>
      </c>
      <c r="V4" s="322" t="s">
        <v>1359</v>
      </c>
      <c r="W4" s="322" t="s">
        <v>706</v>
      </c>
      <c r="X4" s="322" t="s">
        <v>732</v>
      </c>
      <c r="Y4" s="322" t="s">
        <v>1366</v>
      </c>
      <c r="Z4" s="322" t="s">
        <v>1367</v>
      </c>
      <c r="AA4" s="322" t="s">
        <v>1368</v>
      </c>
      <c r="AB4" s="322" t="s">
        <v>691</v>
      </c>
      <c r="AC4" s="322" t="s">
        <v>742</v>
      </c>
      <c r="AD4" s="322" t="s">
        <v>331</v>
      </c>
      <c r="AE4" s="322" t="s">
        <v>332</v>
      </c>
      <c r="AF4" s="322" t="s">
        <v>973</v>
      </c>
      <c r="AG4" s="315"/>
      <c r="AH4" s="315"/>
      <c r="AI4" s="315"/>
      <c r="AJ4" s="315"/>
    </row>
    <row r="5" spans="1:36" ht="21" x14ac:dyDescent="0.3">
      <c r="A5" s="324" t="s">
        <v>1638</v>
      </c>
      <c r="B5" s="325"/>
      <c r="C5" s="324">
        <f>SUBTOTAL(103,ATZ_DMM_LF_LEGACY[Flt])</f>
        <v>3</v>
      </c>
      <c r="D5" s="324"/>
      <c r="E5" s="324">
        <f>SUBTOTAL(103,ATZ_DMM_LF_LEGACY[Brd-Off])</f>
        <v>3</v>
      </c>
      <c r="F5" s="324"/>
      <c r="G5" s="326">
        <f>SUBTOTAL(101,ATZ_DMM_LF_LEGACY[LF%])</f>
        <v>0.89996666666666669</v>
      </c>
      <c r="H5" s="327">
        <f>SUBTOTAL(109,ATZ_DMM_LF_LEGACY[CAP])</f>
        <v>540</v>
      </c>
      <c r="I5" s="327">
        <f>SUBTOTAL(109,ATZ_DMM_LF_LEGACY[BKG(Y)])</f>
        <v>486</v>
      </c>
      <c r="J5" s="327">
        <f>SUBTOTAL(109,ATZ_DMM_LF_LEGACY[GRP(Y)])</f>
        <v>0</v>
      </c>
      <c r="K5" s="324"/>
      <c r="L5" s="325"/>
      <c r="M5" s="327">
        <f>SUBTOTAL(109,ATZ_DMM_LF_LEGACY[TO-DAY])</f>
        <v>17</v>
      </c>
      <c r="N5" s="327">
        <f>SUBTOTAL(109,ATZ_DMM_LF_LEGACY[Y-DAY])</f>
        <v>19</v>
      </c>
      <c r="O5" s="327">
        <f>SUBTOTAL(109,ATZ_DMM_LF_LEGACY[WEEKLY])</f>
        <v>137</v>
      </c>
      <c r="P5" s="328"/>
      <c r="Q5" s="327">
        <f>SUBTOTAL(109,ATZ_DMM_LF_LEGACY[Y])</f>
        <v>0</v>
      </c>
      <c r="R5" s="327">
        <f>SUBTOTAL(109,ATZ_DMM_LF_LEGACY[B])</f>
        <v>0</v>
      </c>
      <c r="S5" s="327">
        <f>SUBTOTAL(109,ATZ_DMM_LF_LEGACY[M])</f>
        <v>0</v>
      </c>
      <c r="T5" s="327">
        <f>SUBTOTAL(109,ATZ_DMM_LF_LEGACY[H])</f>
        <v>0</v>
      </c>
      <c r="U5" s="327">
        <f>SUBTOTAL(109,ATZ_DMM_LF_LEGACY[Q])</f>
        <v>0</v>
      </c>
      <c r="V5" s="327">
        <f>SUBTOTAL(109,ATZ_DMM_LF_LEGACY[K])</f>
        <v>0</v>
      </c>
      <c r="W5" s="327">
        <f>SUBTOTAL(109,ATZ_DMM_LF_LEGACY[V])</f>
        <v>0</v>
      </c>
      <c r="X5" s="327">
        <f>SUBTOTAL(109,ATZ_DMM_LF_LEGACY[L])</f>
        <v>0</v>
      </c>
      <c r="Y5" s="327">
        <f>SUBTOTAL(109,ATZ_DMM_LF_LEGACY[G])</f>
        <v>0</v>
      </c>
      <c r="Z5" s="327">
        <f>SUBTOTAL(109,ATZ_DMM_LF_LEGACY[S])</f>
        <v>0</v>
      </c>
      <c r="AA5" s="327">
        <f>SUBTOTAL(109,ATZ_DMM_LF_LEGACY[W])</f>
        <v>0</v>
      </c>
      <c r="AB5" s="327">
        <f>SUBTOTAL(109,ATZ_DMM_LF_LEGACY[T])</f>
        <v>0</v>
      </c>
      <c r="AC5" s="327">
        <f>SUBTOTAL(109,ATZ_DMM_LF_LEGACY[X])</f>
        <v>0</v>
      </c>
      <c r="AD5" s="327">
        <f>SUBTOTAL(109,ATZ_DMM_LF_LEGACY[U])</f>
        <v>0</v>
      </c>
      <c r="AE5" s="327">
        <f>SUBTOTAL(109,ATZ_DMM_LF_LEGACY[O])</f>
        <v>0</v>
      </c>
      <c r="AF5" s="327">
        <f>SUBTOTAL(109,ATZ_DMM_LF_LEGACY[I])</f>
        <v>0</v>
      </c>
      <c r="AG5" s="327">
        <f>SUBTOTAL(109,ATZ_DMM_LF_LEGACY[E])</f>
        <v>0</v>
      </c>
      <c r="AH5" s="327">
        <f>SUBTOTAL(109,ATZ_DMM_LF_LEGACY[A])</f>
        <v>0</v>
      </c>
      <c r="AI5" s="327">
        <f>SUBTOTAL(109,ATZ_DMM_LF_LEGACY[P])</f>
        <v>0</v>
      </c>
      <c r="AJ5" s="327">
        <f>SUBTOTAL(103,ATZ_DMM_LF_LEGACY[N])</f>
        <v>0</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12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211.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75"/>
      <c r="B2" s="176"/>
      <c r="C2" s="176"/>
      <c r="D2" s="176"/>
      <c r="E2" s="176"/>
      <c r="F2" s="177" t="s">
        <v>1369</v>
      </c>
      <c r="G2" s="176"/>
      <c r="H2" s="178"/>
    </row>
    <row r="3" spans="1:8" ht="19.8" customHeight="1" x14ac:dyDescent="0.3">
      <c r="A3" s="103" t="s">
        <v>235</v>
      </c>
      <c r="B3" s="104" t="s">
        <v>41</v>
      </c>
      <c r="C3" s="105" t="s">
        <v>1265</v>
      </c>
      <c r="D3" s="104" t="s">
        <v>1264</v>
      </c>
      <c r="E3" s="104" t="s">
        <v>1345</v>
      </c>
      <c r="F3" s="104" t="s">
        <v>43</v>
      </c>
      <c r="G3" s="106">
        <v>16</v>
      </c>
      <c r="H3" s="107" t="s">
        <v>909</v>
      </c>
    </row>
    <row r="4" spans="1:8" ht="19.8" customHeight="1" x14ac:dyDescent="0.3">
      <c r="A4" s="103" t="s">
        <v>235</v>
      </c>
      <c r="B4" s="104" t="s">
        <v>26</v>
      </c>
      <c r="C4" s="105" t="s">
        <v>1266</v>
      </c>
      <c r="D4" s="104" t="s">
        <v>1264</v>
      </c>
      <c r="E4" s="104" t="s">
        <v>267</v>
      </c>
      <c r="F4" s="104" t="s">
        <v>28</v>
      </c>
      <c r="G4" s="106">
        <v>9</v>
      </c>
      <c r="H4" s="107" t="s">
        <v>1128</v>
      </c>
    </row>
    <row r="5" spans="1:8" ht="19.8" customHeight="1" x14ac:dyDescent="0.3">
      <c r="A5" s="103" t="s">
        <v>235</v>
      </c>
      <c r="B5" s="104" t="s">
        <v>26</v>
      </c>
      <c r="C5" s="105" t="s">
        <v>1268</v>
      </c>
      <c r="D5" s="104" t="s">
        <v>1264</v>
      </c>
      <c r="E5" s="104" t="s">
        <v>1346</v>
      </c>
      <c r="F5" s="104" t="s">
        <v>28</v>
      </c>
      <c r="G5" s="106">
        <v>5</v>
      </c>
      <c r="H5" s="107" t="s">
        <v>1269</v>
      </c>
    </row>
    <row r="6" spans="1:8" ht="19.8" customHeight="1" x14ac:dyDescent="0.3">
      <c r="A6" s="103" t="s">
        <v>235</v>
      </c>
      <c r="B6" s="104" t="s">
        <v>26</v>
      </c>
      <c r="C6" s="105" t="s">
        <v>1268</v>
      </c>
      <c r="D6" s="104" t="s">
        <v>1264</v>
      </c>
      <c r="E6" s="104" t="s">
        <v>1346</v>
      </c>
      <c r="F6" s="104" t="s">
        <v>351</v>
      </c>
      <c r="G6" s="106">
        <v>5</v>
      </c>
      <c r="H6" s="107" t="s">
        <v>1269</v>
      </c>
    </row>
    <row r="7" spans="1:8" ht="19.8" customHeight="1" x14ac:dyDescent="0.3">
      <c r="A7" s="103" t="s">
        <v>235</v>
      </c>
      <c r="B7" s="104" t="s">
        <v>458</v>
      </c>
      <c r="C7" s="105" t="s">
        <v>1270</v>
      </c>
      <c r="D7" s="104" t="s">
        <v>1264</v>
      </c>
      <c r="E7" s="104" t="s">
        <v>1347</v>
      </c>
      <c r="F7" s="104" t="s">
        <v>101</v>
      </c>
      <c r="G7" s="106">
        <v>9</v>
      </c>
      <c r="H7" s="107" t="s">
        <v>1271</v>
      </c>
    </row>
    <row r="8" spans="1:8" ht="19.8" customHeight="1" x14ac:dyDescent="0.3">
      <c r="A8" s="103" t="s">
        <v>235</v>
      </c>
      <c r="B8" s="104" t="s">
        <v>458</v>
      </c>
      <c r="C8" s="105" t="s">
        <v>1272</v>
      </c>
      <c r="D8" s="104" t="s">
        <v>1264</v>
      </c>
      <c r="E8" s="104" t="s">
        <v>1348</v>
      </c>
      <c r="F8" s="104" t="s">
        <v>101</v>
      </c>
      <c r="G8" s="106">
        <v>8</v>
      </c>
      <c r="H8" s="107" t="s">
        <v>1271</v>
      </c>
    </row>
    <row r="9" spans="1:8" ht="19.8" customHeight="1" x14ac:dyDescent="0.3">
      <c r="A9" s="103" t="s">
        <v>235</v>
      </c>
      <c r="B9" s="104" t="s">
        <v>26</v>
      </c>
      <c r="C9" s="105" t="s">
        <v>1266</v>
      </c>
      <c r="D9" s="104" t="s">
        <v>1264</v>
      </c>
      <c r="E9" s="104" t="s">
        <v>267</v>
      </c>
      <c r="F9" s="104" t="s">
        <v>31</v>
      </c>
      <c r="G9" s="106">
        <v>9</v>
      </c>
      <c r="H9" s="107" t="s">
        <v>93</v>
      </c>
    </row>
    <row r="10" spans="1:8" ht="19.8" customHeight="1" x14ac:dyDescent="0.3">
      <c r="A10" s="103" t="s">
        <v>235</v>
      </c>
      <c r="B10" s="104" t="s">
        <v>41</v>
      </c>
      <c r="C10" s="105" t="s">
        <v>1265</v>
      </c>
      <c r="D10" s="104" t="s">
        <v>1264</v>
      </c>
      <c r="E10" s="104" t="s">
        <v>1345</v>
      </c>
      <c r="F10" s="104" t="s">
        <v>45</v>
      </c>
      <c r="G10" s="106">
        <v>16</v>
      </c>
      <c r="H10" s="107" t="s">
        <v>431</v>
      </c>
    </row>
    <row r="11" spans="1:8" ht="19.8" customHeight="1" x14ac:dyDescent="0.3">
      <c r="A11" s="103" t="s">
        <v>235</v>
      </c>
      <c r="B11" s="104" t="s">
        <v>385</v>
      </c>
      <c r="C11" s="105" t="s">
        <v>1273</v>
      </c>
      <c r="D11" s="104" t="s">
        <v>1264</v>
      </c>
      <c r="E11" s="104" t="s">
        <v>888</v>
      </c>
      <c r="F11" s="104" t="s">
        <v>101</v>
      </c>
      <c r="G11" s="106">
        <v>9</v>
      </c>
      <c r="H11" s="107" t="s">
        <v>1274</v>
      </c>
    </row>
    <row r="12" spans="1:8" ht="19.8" customHeight="1" x14ac:dyDescent="0.3">
      <c r="A12" s="190" t="s">
        <v>235</v>
      </c>
      <c r="B12" s="115" t="s">
        <v>26</v>
      </c>
      <c r="C12" s="116" t="s">
        <v>1268</v>
      </c>
      <c r="D12" s="115" t="s">
        <v>1264</v>
      </c>
      <c r="E12" s="115" t="s">
        <v>1346</v>
      </c>
      <c r="F12" s="115" t="s">
        <v>31</v>
      </c>
      <c r="G12" s="118">
        <v>5</v>
      </c>
      <c r="H12" s="119" t="s">
        <v>810</v>
      </c>
    </row>
    <row r="13" spans="1:8" ht="19.8" customHeight="1" x14ac:dyDescent="0.3">
      <c r="A13" s="174" t="s">
        <v>333</v>
      </c>
      <c r="B13" s="121" t="s">
        <v>77</v>
      </c>
      <c r="C13" s="122" t="s">
        <v>1356</v>
      </c>
      <c r="D13" s="121" t="s">
        <v>1349</v>
      </c>
      <c r="E13" s="121" t="s">
        <v>1362</v>
      </c>
      <c r="F13" s="121"/>
      <c r="G13" s="121"/>
      <c r="H13" s="125" t="s">
        <v>80</v>
      </c>
    </row>
    <row r="14" spans="1:8" ht="19.8" customHeight="1" x14ac:dyDescent="0.3">
      <c r="A14" s="175"/>
      <c r="B14" s="176"/>
      <c r="C14" s="176"/>
      <c r="D14" s="176"/>
      <c r="E14" s="176"/>
      <c r="F14" s="177" t="s">
        <v>1369</v>
      </c>
      <c r="G14" s="176"/>
      <c r="H14" s="178"/>
    </row>
    <row r="15" spans="1:8" ht="19.8" customHeight="1" x14ac:dyDescent="0.3">
      <c r="A15" s="112">
        <v>45982</v>
      </c>
      <c r="B15" s="104" t="s">
        <v>458</v>
      </c>
      <c r="C15" s="105" t="s">
        <v>1286</v>
      </c>
      <c r="D15" s="104" t="s">
        <v>1264</v>
      </c>
      <c r="E15" s="113">
        <v>1.006944444444444</v>
      </c>
      <c r="F15" s="104" t="s">
        <v>101</v>
      </c>
      <c r="G15" s="106">
        <v>2</v>
      </c>
      <c r="H15" s="107" t="s">
        <v>1271</v>
      </c>
    </row>
    <row r="16" spans="1:8" ht="19.8" customHeight="1" x14ac:dyDescent="0.3">
      <c r="A16" s="112">
        <v>45982</v>
      </c>
      <c r="B16" s="104" t="s">
        <v>41</v>
      </c>
      <c r="C16" s="105" t="s">
        <v>1265</v>
      </c>
      <c r="D16" s="104" t="s">
        <v>1264</v>
      </c>
      <c r="E16" s="113">
        <v>1.447916666666667</v>
      </c>
      <c r="F16" s="104" t="s">
        <v>43</v>
      </c>
      <c r="G16" s="106">
        <v>10</v>
      </c>
      <c r="H16" s="107" t="s">
        <v>779</v>
      </c>
    </row>
    <row r="17" spans="1:8" ht="19.8" customHeight="1" x14ac:dyDescent="0.3">
      <c r="A17" s="112">
        <v>45982</v>
      </c>
      <c r="B17" s="104" t="s">
        <v>458</v>
      </c>
      <c r="C17" s="105" t="s">
        <v>1272</v>
      </c>
      <c r="D17" s="104" t="s">
        <v>1264</v>
      </c>
      <c r="E17" s="113">
        <v>1.9652777777777779</v>
      </c>
      <c r="F17" s="104" t="s">
        <v>101</v>
      </c>
      <c r="G17" s="106">
        <v>3</v>
      </c>
      <c r="H17" s="107" t="s">
        <v>1124</v>
      </c>
    </row>
    <row r="18" spans="1:8" ht="19.8" customHeight="1" x14ac:dyDescent="0.3">
      <c r="A18" s="112">
        <v>45982</v>
      </c>
      <c r="B18" s="104" t="s">
        <v>26</v>
      </c>
      <c r="C18" s="105" t="s">
        <v>1268</v>
      </c>
      <c r="D18" s="104" t="s">
        <v>1264</v>
      </c>
      <c r="E18" s="113">
        <v>1.9722222222222221</v>
      </c>
      <c r="F18" s="104" t="s">
        <v>28</v>
      </c>
      <c r="G18" s="106">
        <v>4</v>
      </c>
      <c r="H18" s="107" t="s">
        <v>431</v>
      </c>
    </row>
    <row r="19" spans="1:8" ht="19.8" customHeight="1" x14ac:dyDescent="0.3">
      <c r="A19" s="112">
        <v>45982</v>
      </c>
      <c r="B19" s="104" t="s">
        <v>385</v>
      </c>
      <c r="C19" s="105" t="s">
        <v>1288</v>
      </c>
      <c r="D19" s="104" t="s">
        <v>1264</v>
      </c>
      <c r="E19" s="113">
        <v>1.805555555555556</v>
      </c>
      <c r="F19" s="104" t="s">
        <v>101</v>
      </c>
      <c r="G19" s="106">
        <v>7</v>
      </c>
      <c r="H19" s="107" t="s">
        <v>1289</v>
      </c>
    </row>
    <row r="20" spans="1:8" ht="19.8" customHeight="1" x14ac:dyDescent="0.3">
      <c r="A20" s="112">
        <v>45982</v>
      </c>
      <c r="B20" s="104" t="s">
        <v>26</v>
      </c>
      <c r="C20" s="105" t="s">
        <v>1268</v>
      </c>
      <c r="D20" s="104" t="s">
        <v>1264</v>
      </c>
      <c r="E20" s="113">
        <v>1.9722222222222221</v>
      </c>
      <c r="F20" s="104" t="s">
        <v>31</v>
      </c>
      <c r="G20" s="106">
        <v>4</v>
      </c>
      <c r="H20" s="107" t="s">
        <v>508</v>
      </c>
    </row>
    <row r="21" spans="1:8" ht="19.8" customHeight="1" x14ac:dyDescent="0.3">
      <c r="A21" s="112">
        <v>45982</v>
      </c>
      <c r="B21" s="104" t="s">
        <v>77</v>
      </c>
      <c r="C21" s="105" t="s">
        <v>1282</v>
      </c>
      <c r="D21" s="104" t="s">
        <v>1264</v>
      </c>
      <c r="E21" s="113">
        <v>1.381944444444444</v>
      </c>
      <c r="F21" s="104" t="s">
        <v>101</v>
      </c>
      <c r="G21" s="106">
        <v>1</v>
      </c>
      <c r="H21" s="107" t="s">
        <v>153</v>
      </c>
    </row>
    <row r="22" spans="1:8" ht="19.8" customHeight="1" x14ac:dyDescent="0.3">
      <c r="A22" s="112">
        <v>45982</v>
      </c>
      <c r="B22" s="104" t="s">
        <v>41</v>
      </c>
      <c r="C22" s="105" t="s">
        <v>1265</v>
      </c>
      <c r="D22" s="104" t="s">
        <v>1264</v>
      </c>
      <c r="E22" s="113">
        <v>1.447916666666667</v>
      </c>
      <c r="F22" s="104" t="s">
        <v>45</v>
      </c>
      <c r="G22" s="106">
        <v>10</v>
      </c>
      <c r="H22" s="107" t="s">
        <v>1097</v>
      </c>
    </row>
    <row r="23" spans="1:8" ht="19.8" customHeight="1" x14ac:dyDescent="0.3">
      <c r="A23" s="112">
        <v>45982</v>
      </c>
      <c r="B23" s="104" t="s">
        <v>26</v>
      </c>
      <c r="C23" s="105" t="s">
        <v>1268</v>
      </c>
      <c r="D23" s="104" t="s">
        <v>1264</v>
      </c>
      <c r="E23" s="113">
        <v>1.9722222222222221</v>
      </c>
      <c r="F23" s="104" t="s">
        <v>34</v>
      </c>
      <c r="G23" s="106">
        <v>4</v>
      </c>
      <c r="H23" s="107" t="s">
        <v>39</v>
      </c>
    </row>
    <row r="24" spans="1:8" ht="19.8" customHeight="1" x14ac:dyDescent="0.3">
      <c r="A24" s="114">
        <v>45982</v>
      </c>
      <c r="B24" s="115" t="s">
        <v>48</v>
      </c>
      <c r="C24" s="116" t="s">
        <v>1277</v>
      </c>
      <c r="D24" s="115" t="s">
        <v>1264</v>
      </c>
      <c r="E24" s="117">
        <v>1.336805555555556</v>
      </c>
      <c r="F24" s="115" t="s">
        <v>50</v>
      </c>
      <c r="G24" s="118">
        <v>9</v>
      </c>
      <c r="H24" s="119" t="s">
        <v>1281</v>
      </c>
    </row>
    <row r="25" spans="1:8" ht="19.8" customHeight="1" x14ac:dyDescent="0.3">
      <c r="A25" s="175"/>
      <c r="B25" s="176"/>
      <c r="C25" s="176"/>
      <c r="D25" s="176"/>
      <c r="E25" s="176"/>
      <c r="F25" s="177" t="s">
        <v>1369</v>
      </c>
      <c r="G25" s="176"/>
      <c r="H25" s="178"/>
    </row>
    <row r="26" spans="1:8" ht="19.8" customHeight="1" x14ac:dyDescent="0.3">
      <c r="A26" s="112">
        <v>45983</v>
      </c>
      <c r="B26" s="104" t="s">
        <v>41</v>
      </c>
      <c r="C26" s="105" t="s">
        <v>1265</v>
      </c>
      <c r="D26" s="104" t="s">
        <v>1264</v>
      </c>
      <c r="E26" s="113">
        <v>1.447916666666667</v>
      </c>
      <c r="F26" s="104" t="s">
        <v>43</v>
      </c>
      <c r="G26" s="106">
        <v>3</v>
      </c>
      <c r="H26" s="107" t="s">
        <v>779</v>
      </c>
    </row>
    <row r="27" spans="1:8" ht="19.8" customHeight="1" x14ac:dyDescent="0.3">
      <c r="A27" s="112">
        <v>45983</v>
      </c>
      <c r="B27" s="104" t="s">
        <v>26</v>
      </c>
      <c r="C27" s="105" t="s">
        <v>1266</v>
      </c>
      <c r="D27" s="104" t="s">
        <v>1264</v>
      </c>
      <c r="E27" s="113">
        <v>1.336805555555556</v>
      </c>
      <c r="F27" s="104" t="s">
        <v>28</v>
      </c>
      <c r="G27" s="106">
        <v>4</v>
      </c>
      <c r="H27" s="107" t="s">
        <v>431</v>
      </c>
    </row>
    <row r="28" spans="1:8" ht="19.8" customHeight="1" x14ac:dyDescent="0.3">
      <c r="A28" s="112">
        <v>45983</v>
      </c>
      <c r="B28" s="104" t="s">
        <v>26</v>
      </c>
      <c r="C28" s="105" t="s">
        <v>1266</v>
      </c>
      <c r="D28" s="104" t="s">
        <v>1264</v>
      </c>
      <c r="E28" s="113">
        <v>1.336805555555556</v>
      </c>
      <c r="F28" s="104" t="s">
        <v>31</v>
      </c>
      <c r="G28" s="106">
        <v>4</v>
      </c>
      <c r="H28" s="107" t="s">
        <v>508</v>
      </c>
    </row>
    <row r="29" spans="1:8" ht="19.8" customHeight="1" x14ac:dyDescent="0.3">
      <c r="A29" s="112">
        <v>45983</v>
      </c>
      <c r="B29" s="104" t="s">
        <v>77</v>
      </c>
      <c r="C29" s="105" t="s">
        <v>1282</v>
      </c>
      <c r="D29" s="104" t="s">
        <v>1264</v>
      </c>
      <c r="E29" s="113">
        <v>1.7222222222222221</v>
      </c>
      <c r="F29" s="104" t="s">
        <v>101</v>
      </c>
      <c r="G29" s="106">
        <v>2</v>
      </c>
      <c r="H29" s="107" t="s">
        <v>153</v>
      </c>
    </row>
    <row r="30" spans="1:8" ht="19.8" customHeight="1" x14ac:dyDescent="0.3">
      <c r="A30" s="112">
        <v>45983</v>
      </c>
      <c r="B30" s="104" t="s">
        <v>41</v>
      </c>
      <c r="C30" s="105" t="s">
        <v>1265</v>
      </c>
      <c r="D30" s="104" t="s">
        <v>1264</v>
      </c>
      <c r="E30" s="113">
        <v>1.447916666666667</v>
      </c>
      <c r="F30" s="104" t="s">
        <v>45</v>
      </c>
      <c r="G30" s="106">
        <v>3</v>
      </c>
      <c r="H30" s="107" t="s">
        <v>1097</v>
      </c>
    </row>
    <row r="31" spans="1:8" ht="19.8" customHeight="1" x14ac:dyDescent="0.3">
      <c r="A31" s="112">
        <v>45983</v>
      </c>
      <c r="B31" s="104" t="s">
        <v>26</v>
      </c>
      <c r="C31" s="105" t="s">
        <v>1266</v>
      </c>
      <c r="D31" s="104" t="s">
        <v>1264</v>
      </c>
      <c r="E31" s="113">
        <v>1.336805555555556</v>
      </c>
      <c r="F31" s="104" t="s">
        <v>34</v>
      </c>
      <c r="G31" s="106">
        <v>4</v>
      </c>
      <c r="H31" s="107" t="s">
        <v>39</v>
      </c>
    </row>
    <row r="32" spans="1:8" ht="19.8" customHeight="1" x14ac:dyDescent="0.3">
      <c r="A32" s="112">
        <v>45983</v>
      </c>
      <c r="B32" s="104" t="s">
        <v>385</v>
      </c>
      <c r="C32" s="105" t="s">
        <v>1275</v>
      </c>
      <c r="D32" s="104" t="s">
        <v>1264</v>
      </c>
      <c r="E32" s="113">
        <v>1.694444444444444</v>
      </c>
      <c r="F32" s="104" t="s">
        <v>101</v>
      </c>
      <c r="G32" s="106">
        <v>7</v>
      </c>
      <c r="H32" s="107" t="s">
        <v>493</v>
      </c>
    </row>
    <row r="33" spans="1:8" ht="19.8" customHeight="1" x14ac:dyDescent="0.3">
      <c r="A33" s="112">
        <v>45983</v>
      </c>
      <c r="B33" s="104" t="s">
        <v>388</v>
      </c>
      <c r="C33" s="105" t="s">
        <v>1294</v>
      </c>
      <c r="D33" s="104" t="s">
        <v>1264</v>
      </c>
      <c r="E33" s="113">
        <v>1.7847222222222221</v>
      </c>
      <c r="F33" s="104" t="s">
        <v>390</v>
      </c>
      <c r="G33" s="106">
        <v>1</v>
      </c>
      <c r="H33" s="107" t="s">
        <v>1295</v>
      </c>
    </row>
    <row r="34" spans="1:8" ht="19.8" customHeight="1" x14ac:dyDescent="0.3">
      <c r="A34" s="112">
        <v>45983</v>
      </c>
      <c r="B34" s="104" t="s">
        <v>26</v>
      </c>
      <c r="C34" s="105" t="s">
        <v>1268</v>
      </c>
      <c r="D34" s="104" t="s">
        <v>1264</v>
      </c>
      <c r="E34" s="113">
        <v>1.9722222222222221</v>
      </c>
      <c r="F34" s="104" t="s">
        <v>28</v>
      </c>
      <c r="G34" s="106">
        <v>9</v>
      </c>
      <c r="H34" s="107" t="s">
        <v>150</v>
      </c>
    </row>
    <row r="35" spans="1:8" ht="19.8" customHeight="1" x14ac:dyDescent="0.3">
      <c r="A35" s="114">
        <v>45983</v>
      </c>
      <c r="B35" s="115" t="s">
        <v>26</v>
      </c>
      <c r="C35" s="116" t="s">
        <v>1268</v>
      </c>
      <c r="D35" s="115" t="s">
        <v>1264</v>
      </c>
      <c r="E35" s="117">
        <v>1.9722222222222221</v>
      </c>
      <c r="F35" s="115" t="s">
        <v>351</v>
      </c>
      <c r="G35" s="118">
        <v>9</v>
      </c>
      <c r="H35" s="119" t="s">
        <v>150</v>
      </c>
    </row>
    <row r="36" spans="1:8" ht="19.8" customHeight="1" x14ac:dyDescent="0.3">
      <c r="A36" s="175"/>
      <c r="B36" s="176"/>
      <c r="C36" s="176"/>
      <c r="D36" s="176"/>
      <c r="E36" s="176"/>
      <c r="F36" s="177" t="s">
        <v>1369</v>
      </c>
      <c r="G36" s="176"/>
      <c r="H36" s="178"/>
    </row>
    <row r="37" spans="1:8" ht="19.8" customHeight="1" x14ac:dyDescent="0.3">
      <c r="A37" s="112">
        <v>45984</v>
      </c>
      <c r="B37" s="104" t="s">
        <v>41</v>
      </c>
      <c r="C37" s="105" t="s">
        <v>1265</v>
      </c>
      <c r="D37" s="104" t="s">
        <v>1264</v>
      </c>
      <c r="E37" s="113">
        <v>1.447916666666667</v>
      </c>
      <c r="F37" s="104" t="s">
        <v>43</v>
      </c>
      <c r="G37" s="106">
        <v>9</v>
      </c>
      <c r="H37" s="107" t="s">
        <v>1028</v>
      </c>
    </row>
    <row r="38" spans="1:8" ht="19.8" customHeight="1" x14ac:dyDescent="0.3">
      <c r="A38" s="112">
        <v>45984</v>
      </c>
      <c r="B38" s="104" t="s">
        <v>26</v>
      </c>
      <c r="C38" s="105" t="s">
        <v>1268</v>
      </c>
      <c r="D38" s="104" t="s">
        <v>1264</v>
      </c>
      <c r="E38" s="113">
        <v>1.9722222222222221</v>
      </c>
      <c r="F38" s="104" t="s">
        <v>28</v>
      </c>
      <c r="G38" s="106">
        <v>4</v>
      </c>
      <c r="H38" s="107" t="s">
        <v>431</v>
      </c>
    </row>
    <row r="39" spans="1:8" ht="19.8" customHeight="1" x14ac:dyDescent="0.3">
      <c r="A39" s="112">
        <v>45984</v>
      </c>
      <c r="B39" s="104" t="s">
        <v>26</v>
      </c>
      <c r="C39" s="105" t="s">
        <v>1268</v>
      </c>
      <c r="D39" s="104" t="s">
        <v>1264</v>
      </c>
      <c r="E39" s="113">
        <v>1.9722222222222221</v>
      </c>
      <c r="F39" s="104" t="s">
        <v>351</v>
      </c>
      <c r="G39" s="106">
        <v>4</v>
      </c>
      <c r="H39" s="107" t="s">
        <v>431</v>
      </c>
    </row>
    <row r="40" spans="1:8" ht="19.8" customHeight="1" x14ac:dyDescent="0.3">
      <c r="A40" s="112">
        <v>45984</v>
      </c>
      <c r="B40" s="104" t="s">
        <v>41</v>
      </c>
      <c r="C40" s="105" t="s">
        <v>1265</v>
      </c>
      <c r="D40" s="104" t="s">
        <v>1264</v>
      </c>
      <c r="E40" s="113">
        <v>1.447916666666667</v>
      </c>
      <c r="F40" s="104" t="s">
        <v>45</v>
      </c>
      <c r="G40" s="106">
        <v>9</v>
      </c>
      <c r="H40" s="107" t="s">
        <v>33</v>
      </c>
    </row>
    <row r="41" spans="1:8" ht="19.8" customHeight="1" x14ac:dyDescent="0.3">
      <c r="A41" s="112">
        <v>45984</v>
      </c>
      <c r="B41" s="104" t="s">
        <v>26</v>
      </c>
      <c r="C41" s="105" t="s">
        <v>1268</v>
      </c>
      <c r="D41" s="104" t="s">
        <v>1264</v>
      </c>
      <c r="E41" s="113">
        <v>1.9722222222222221</v>
      </c>
      <c r="F41" s="104" t="s">
        <v>31</v>
      </c>
      <c r="G41" s="106">
        <v>4</v>
      </c>
      <c r="H41" s="107" t="s">
        <v>508</v>
      </c>
    </row>
    <row r="42" spans="1:8" ht="19.8" customHeight="1" x14ac:dyDescent="0.3">
      <c r="A42" s="112">
        <v>45984</v>
      </c>
      <c r="B42" s="104" t="s">
        <v>385</v>
      </c>
      <c r="C42" s="105" t="s">
        <v>1273</v>
      </c>
      <c r="D42" s="104" t="s">
        <v>1264</v>
      </c>
      <c r="E42" s="113">
        <v>1.756944444444444</v>
      </c>
      <c r="F42" s="104" t="s">
        <v>101</v>
      </c>
      <c r="G42" s="106">
        <v>9</v>
      </c>
      <c r="H42" s="107" t="s">
        <v>1171</v>
      </c>
    </row>
    <row r="43" spans="1:8" ht="19.8" customHeight="1" x14ac:dyDescent="0.3">
      <c r="A43" s="112">
        <v>45984</v>
      </c>
      <c r="B43" s="104" t="s">
        <v>458</v>
      </c>
      <c r="C43" s="105" t="s">
        <v>1286</v>
      </c>
      <c r="D43" s="104" t="s">
        <v>1264</v>
      </c>
      <c r="E43" s="113">
        <v>1.006944444444444</v>
      </c>
      <c r="F43" s="104" t="s">
        <v>101</v>
      </c>
      <c r="G43" s="106">
        <v>9</v>
      </c>
      <c r="H43" s="107" t="s">
        <v>1121</v>
      </c>
    </row>
    <row r="44" spans="1:8" ht="19.8" customHeight="1" x14ac:dyDescent="0.3">
      <c r="A44" s="112">
        <v>45984</v>
      </c>
      <c r="B44" s="104" t="s">
        <v>26</v>
      </c>
      <c r="C44" s="105" t="s">
        <v>1268</v>
      </c>
      <c r="D44" s="104" t="s">
        <v>1264</v>
      </c>
      <c r="E44" s="113">
        <v>1.9722222222222221</v>
      </c>
      <c r="F44" s="104" t="s">
        <v>34</v>
      </c>
      <c r="G44" s="106">
        <v>4</v>
      </c>
      <c r="H44" s="107" t="s">
        <v>39</v>
      </c>
    </row>
    <row r="45" spans="1:8" ht="19.8" customHeight="1" x14ac:dyDescent="0.3">
      <c r="A45" s="112">
        <v>45984</v>
      </c>
      <c r="B45" s="104" t="s">
        <v>41</v>
      </c>
      <c r="C45" s="105" t="s">
        <v>1265</v>
      </c>
      <c r="D45" s="104" t="s">
        <v>1264</v>
      </c>
      <c r="E45" s="113">
        <v>1.447916666666667</v>
      </c>
      <c r="F45" s="104" t="s">
        <v>46</v>
      </c>
      <c r="G45" s="106">
        <v>9</v>
      </c>
      <c r="H45" s="107" t="s">
        <v>146</v>
      </c>
    </row>
    <row r="46" spans="1:8" ht="19.8" customHeight="1" x14ac:dyDescent="0.3">
      <c r="A46" s="114">
        <v>45984</v>
      </c>
      <c r="B46" s="115" t="s">
        <v>48</v>
      </c>
      <c r="C46" s="116" t="s">
        <v>1277</v>
      </c>
      <c r="D46" s="115" t="s">
        <v>1264</v>
      </c>
      <c r="E46" s="117">
        <v>1.381944444444444</v>
      </c>
      <c r="F46" s="115" t="s">
        <v>50</v>
      </c>
      <c r="G46" s="118">
        <v>9</v>
      </c>
      <c r="H46" s="119" t="s">
        <v>1281</v>
      </c>
    </row>
    <row r="47" spans="1:8" ht="19.8" customHeight="1" x14ac:dyDescent="0.3">
      <c r="A47" s="120">
        <v>45985</v>
      </c>
      <c r="B47" s="121" t="s">
        <v>77</v>
      </c>
      <c r="C47" s="122" t="s">
        <v>1356</v>
      </c>
      <c r="D47" s="121" t="s">
        <v>1349</v>
      </c>
      <c r="E47" s="123">
        <v>1.291666666666667</v>
      </c>
      <c r="F47" s="121" t="s">
        <v>101</v>
      </c>
      <c r="G47" s="124">
        <v>9</v>
      </c>
      <c r="H47" s="125" t="s">
        <v>1357</v>
      </c>
    </row>
    <row r="48" spans="1:8" ht="19.8" customHeight="1" x14ac:dyDescent="0.3">
      <c r="A48" s="175"/>
      <c r="B48" s="176"/>
      <c r="C48" s="176"/>
      <c r="D48" s="176"/>
      <c r="E48" s="176"/>
      <c r="F48" s="177" t="s">
        <v>1369</v>
      </c>
      <c r="G48" s="176"/>
      <c r="H48" s="178"/>
    </row>
    <row r="49" spans="1:8" ht="19.8" customHeight="1" x14ac:dyDescent="0.3">
      <c r="A49" s="112">
        <v>45985</v>
      </c>
      <c r="B49" s="104" t="s">
        <v>41</v>
      </c>
      <c r="C49" s="105" t="s">
        <v>1265</v>
      </c>
      <c r="D49" s="104" t="s">
        <v>1264</v>
      </c>
      <c r="E49" s="113">
        <v>1.447916666666667</v>
      </c>
      <c r="F49" s="104" t="s">
        <v>43</v>
      </c>
      <c r="G49" s="106">
        <v>4</v>
      </c>
      <c r="H49" s="107" t="s">
        <v>1028</v>
      </c>
    </row>
    <row r="50" spans="1:8" ht="19.8" customHeight="1" x14ac:dyDescent="0.3">
      <c r="A50" s="112">
        <v>45985</v>
      </c>
      <c r="B50" s="104" t="s">
        <v>26</v>
      </c>
      <c r="C50" s="105" t="s">
        <v>1266</v>
      </c>
      <c r="D50" s="104" t="s">
        <v>1264</v>
      </c>
      <c r="E50" s="113">
        <v>1.336805555555556</v>
      </c>
      <c r="F50" s="104" t="s">
        <v>28</v>
      </c>
      <c r="G50" s="106">
        <v>6</v>
      </c>
      <c r="H50" s="107" t="s">
        <v>431</v>
      </c>
    </row>
    <row r="51" spans="1:8" ht="19.8" customHeight="1" x14ac:dyDescent="0.3">
      <c r="A51" s="112">
        <v>45985</v>
      </c>
      <c r="B51" s="104" t="s">
        <v>26</v>
      </c>
      <c r="C51" s="105" t="s">
        <v>1268</v>
      </c>
      <c r="D51" s="104" t="s">
        <v>1264</v>
      </c>
      <c r="E51" s="113">
        <v>1.9722222222222221</v>
      </c>
      <c r="F51" s="104" t="s">
        <v>351</v>
      </c>
      <c r="G51" s="106">
        <v>7</v>
      </c>
      <c r="H51" s="107" t="s">
        <v>431</v>
      </c>
    </row>
    <row r="52" spans="1:8" ht="19.8" customHeight="1" x14ac:dyDescent="0.3">
      <c r="A52" s="112">
        <v>45985</v>
      </c>
      <c r="B52" s="104" t="s">
        <v>26</v>
      </c>
      <c r="C52" s="105" t="s">
        <v>1268</v>
      </c>
      <c r="D52" s="104" t="s">
        <v>1264</v>
      </c>
      <c r="E52" s="113">
        <v>1.9722222222222221</v>
      </c>
      <c r="F52" s="104" t="s">
        <v>28</v>
      </c>
      <c r="G52" s="106">
        <v>7</v>
      </c>
      <c r="H52" s="107" t="s">
        <v>431</v>
      </c>
    </row>
    <row r="53" spans="1:8" ht="19.8" customHeight="1" x14ac:dyDescent="0.3">
      <c r="A53" s="112">
        <v>45985</v>
      </c>
      <c r="B53" s="104" t="s">
        <v>41</v>
      </c>
      <c r="C53" s="105" t="s">
        <v>1265</v>
      </c>
      <c r="D53" s="104" t="s">
        <v>1264</v>
      </c>
      <c r="E53" s="113">
        <v>1.447916666666667</v>
      </c>
      <c r="F53" s="104" t="s">
        <v>45</v>
      </c>
      <c r="G53" s="106">
        <v>4</v>
      </c>
      <c r="H53" s="107" t="s">
        <v>33</v>
      </c>
    </row>
    <row r="54" spans="1:8" ht="19.8" customHeight="1" x14ac:dyDescent="0.3">
      <c r="A54" s="112">
        <v>45985</v>
      </c>
      <c r="B54" s="104" t="s">
        <v>26</v>
      </c>
      <c r="C54" s="105" t="s">
        <v>1266</v>
      </c>
      <c r="D54" s="104" t="s">
        <v>1264</v>
      </c>
      <c r="E54" s="113">
        <v>1.336805555555556</v>
      </c>
      <c r="F54" s="104" t="s">
        <v>31</v>
      </c>
      <c r="G54" s="106">
        <v>6</v>
      </c>
      <c r="H54" s="107" t="s">
        <v>508</v>
      </c>
    </row>
    <row r="55" spans="1:8" ht="19.8" customHeight="1" x14ac:dyDescent="0.3">
      <c r="A55" s="112">
        <v>45985</v>
      </c>
      <c r="B55" s="104" t="s">
        <v>26</v>
      </c>
      <c r="C55" s="105" t="s">
        <v>1268</v>
      </c>
      <c r="D55" s="104" t="s">
        <v>1264</v>
      </c>
      <c r="E55" s="113">
        <v>1.9722222222222221</v>
      </c>
      <c r="F55" s="104" t="s">
        <v>31</v>
      </c>
      <c r="G55" s="106">
        <v>7</v>
      </c>
      <c r="H55" s="107" t="s">
        <v>508</v>
      </c>
    </row>
    <row r="56" spans="1:8" ht="19.8" customHeight="1" x14ac:dyDescent="0.3">
      <c r="A56" s="112">
        <v>45985</v>
      </c>
      <c r="B56" s="104" t="s">
        <v>385</v>
      </c>
      <c r="C56" s="105" t="s">
        <v>1288</v>
      </c>
      <c r="D56" s="104" t="s">
        <v>1264</v>
      </c>
      <c r="E56" s="113">
        <v>1.756944444444444</v>
      </c>
      <c r="F56" s="104" t="s">
        <v>101</v>
      </c>
      <c r="G56" s="106">
        <v>9</v>
      </c>
      <c r="H56" s="107" t="s">
        <v>1171</v>
      </c>
    </row>
    <row r="57" spans="1:8" ht="19.8" customHeight="1" x14ac:dyDescent="0.3">
      <c r="A57" s="112">
        <v>45985</v>
      </c>
      <c r="B57" s="104" t="s">
        <v>26</v>
      </c>
      <c r="C57" s="105" t="s">
        <v>1266</v>
      </c>
      <c r="D57" s="104" t="s">
        <v>1264</v>
      </c>
      <c r="E57" s="113">
        <v>1.336805555555556</v>
      </c>
      <c r="F57" s="104" t="s">
        <v>34</v>
      </c>
      <c r="G57" s="106">
        <v>6</v>
      </c>
      <c r="H57" s="107" t="s">
        <v>39</v>
      </c>
    </row>
    <row r="58" spans="1:8" ht="19.8" customHeight="1" x14ac:dyDescent="0.3">
      <c r="A58" s="114">
        <v>45985</v>
      </c>
      <c r="B58" s="115" t="s">
        <v>26</v>
      </c>
      <c r="C58" s="116" t="s">
        <v>1268</v>
      </c>
      <c r="D58" s="115" t="s">
        <v>1264</v>
      </c>
      <c r="E58" s="117">
        <v>1.9722222222222221</v>
      </c>
      <c r="F58" s="115" t="s">
        <v>34</v>
      </c>
      <c r="G58" s="118">
        <v>7</v>
      </c>
      <c r="H58" s="119" t="s">
        <v>39</v>
      </c>
    </row>
    <row r="59" spans="1:8" ht="19.8" customHeight="1" x14ac:dyDescent="0.3">
      <c r="A59" s="175"/>
      <c r="B59" s="176"/>
      <c r="C59" s="176"/>
      <c r="D59" s="176"/>
      <c r="E59" s="176"/>
      <c r="F59" s="177" t="s">
        <v>1369</v>
      </c>
      <c r="G59" s="176"/>
      <c r="H59" s="178"/>
    </row>
    <row r="60" spans="1:8" ht="19.8" customHeight="1" x14ac:dyDescent="0.3">
      <c r="A60" s="112">
        <v>45986</v>
      </c>
      <c r="B60" s="104" t="s">
        <v>41</v>
      </c>
      <c r="C60" s="105" t="s">
        <v>1265</v>
      </c>
      <c r="D60" s="104" t="s">
        <v>1264</v>
      </c>
      <c r="E60" s="113">
        <v>1.447916666666667</v>
      </c>
      <c r="F60" s="104" t="s">
        <v>43</v>
      </c>
      <c r="G60" s="106">
        <v>5</v>
      </c>
      <c r="H60" s="107" t="s">
        <v>779</v>
      </c>
    </row>
    <row r="61" spans="1:8" ht="19.8" customHeight="1" x14ac:dyDescent="0.3">
      <c r="A61" s="112">
        <v>45986</v>
      </c>
      <c r="B61" s="104" t="s">
        <v>26</v>
      </c>
      <c r="C61" s="105" t="s">
        <v>1266</v>
      </c>
      <c r="D61" s="104" t="s">
        <v>1264</v>
      </c>
      <c r="E61" s="113">
        <v>1.336805555555556</v>
      </c>
      <c r="F61" s="104" t="s">
        <v>28</v>
      </c>
      <c r="G61" s="106">
        <v>3</v>
      </c>
      <c r="H61" s="107" t="s">
        <v>431</v>
      </c>
    </row>
    <row r="62" spans="1:8" ht="19.8" customHeight="1" x14ac:dyDescent="0.3">
      <c r="A62" s="112">
        <v>45986</v>
      </c>
      <c r="B62" s="104" t="s">
        <v>26</v>
      </c>
      <c r="C62" s="105" t="s">
        <v>1268</v>
      </c>
      <c r="D62" s="104" t="s">
        <v>1264</v>
      </c>
      <c r="E62" s="113">
        <v>1.9722222222222221</v>
      </c>
      <c r="F62" s="104" t="s">
        <v>28</v>
      </c>
      <c r="G62" s="106">
        <v>9</v>
      </c>
      <c r="H62" s="107" t="s">
        <v>431</v>
      </c>
    </row>
    <row r="63" spans="1:8" ht="19.8" customHeight="1" x14ac:dyDescent="0.3">
      <c r="A63" s="112">
        <v>45986</v>
      </c>
      <c r="B63" s="104" t="s">
        <v>26</v>
      </c>
      <c r="C63" s="105" t="s">
        <v>1266</v>
      </c>
      <c r="D63" s="104" t="s">
        <v>1264</v>
      </c>
      <c r="E63" s="113">
        <v>1.336805555555556</v>
      </c>
      <c r="F63" s="104" t="s">
        <v>31</v>
      </c>
      <c r="G63" s="106">
        <v>3</v>
      </c>
      <c r="H63" s="107" t="s">
        <v>508</v>
      </c>
    </row>
    <row r="64" spans="1:8" ht="19.8" customHeight="1" x14ac:dyDescent="0.3">
      <c r="A64" s="112">
        <v>45986</v>
      </c>
      <c r="B64" s="104" t="s">
        <v>26</v>
      </c>
      <c r="C64" s="105" t="s">
        <v>1268</v>
      </c>
      <c r="D64" s="104" t="s">
        <v>1264</v>
      </c>
      <c r="E64" s="113">
        <v>1.9722222222222221</v>
      </c>
      <c r="F64" s="104" t="s">
        <v>31</v>
      </c>
      <c r="G64" s="106">
        <v>9</v>
      </c>
      <c r="H64" s="107" t="s">
        <v>508</v>
      </c>
    </row>
    <row r="65" spans="1:8" ht="19.8" customHeight="1" x14ac:dyDescent="0.3">
      <c r="A65" s="112">
        <v>45986</v>
      </c>
      <c r="B65" s="104" t="s">
        <v>77</v>
      </c>
      <c r="C65" s="105" t="s">
        <v>1282</v>
      </c>
      <c r="D65" s="104" t="s">
        <v>1264</v>
      </c>
      <c r="E65" s="113">
        <v>1.069444444444444</v>
      </c>
      <c r="F65" s="104" t="s">
        <v>101</v>
      </c>
      <c r="G65" s="106">
        <v>9</v>
      </c>
      <c r="H65" s="107" t="s">
        <v>153</v>
      </c>
    </row>
    <row r="66" spans="1:8" ht="19.8" customHeight="1" x14ac:dyDescent="0.3">
      <c r="A66" s="112">
        <v>45986</v>
      </c>
      <c r="B66" s="104" t="s">
        <v>41</v>
      </c>
      <c r="C66" s="105" t="s">
        <v>1265</v>
      </c>
      <c r="D66" s="104" t="s">
        <v>1264</v>
      </c>
      <c r="E66" s="113">
        <v>1.447916666666667</v>
      </c>
      <c r="F66" s="104" t="s">
        <v>45</v>
      </c>
      <c r="G66" s="106">
        <v>5</v>
      </c>
      <c r="H66" s="107" t="s">
        <v>1097</v>
      </c>
    </row>
    <row r="67" spans="1:8" ht="19.8" customHeight="1" x14ac:dyDescent="0.3">
      <c r="A67" s="112">
        <v>45986</v>
      </c>
      <c r="B67" s="104" t="s">
        <v>458</v>
      </c>
      <c r="C67" s="105" t="s">
        <v>1272</v>
      </c>
      <c r="D67" s="104" t="s">
        <v>1264</v>
      </c>
      <c r="E67" s="113">
        <v>1.881944444444444</v>
      </c>
      <c r="F67" s="104" t="s">
        <v>101</v>
      </c>
      <c r="G67" s="106">
        <v>5</v>
      </c>
      <c r="H67" s="107" t="s">
        <v>1121</v>
      </c>
    </row>
    <row r="68" spans="1:8" ht="19.8" customHeight="1" x14ac:dyDescent="0.3">
      <c r="A68" s="112">
        <v>45986</v>
      </c>
      <c r="B68" s="104" t="s">
        <v>26</v>
      </c>
      <c r="C68" s="105" t="s">
        <v>1266</v>
      </c>
      <c r="D68" s="104" t="s">
        <v>1264</v>
      </c>
      <c r="E68" s="113">
        <v>1.336805555555556</v>
      </c>
      <c r="F68" s="104" t="s">
        <v>34</v>
      </c>
      <c r="G68" s="106">
        <v>3</v>
      </c>
      <c r="H68" s="107" t="s">
        <v>39</v>
      </c>
    </row>
    <row r="69" spans="1:8" ht="19.8" customHeight="1" x14ac:dyDescent="0.3">
      <c r="A69" s="114">
        <v>45986</v>
      </c>
      <c r="B69" s="115" t="s">
        <v>26</v>
      </c>
      <c r="C69" s="116" t="s">
        <v>1268</v>
      </c>
      <c r="D69" s="115" t="s">
        <v>1264</v>
      </c>
      <c r="E69" s="117">
        <v>1.9722222222222221</v>
      </c>
      <c r="F69" s="115" t="s">
        <v>34</v>
      </c>
      <c r="G69" s="118">
        <v>9</v>
      </c>
      <c r="H69" s="119" t="s">
        <v>39</v>
      </c>
    </row>
    <row r="70" spans="1:8" ht="19.8" customHeight="1" x14ac:dyDescent="0.3">
      <c r="A70" s="175"/>
      <c r="B70" s="176"/>
      <c r="C70" s="176"/>
      <c r="D70" s="176"/>
      <c r="E70" s="176"/>
      <c r="F70" s="177" t="s">
        <v>1369</v>
      </c>
      <c r="G70" s="176"/>
      <c r="H70" s="178"/>
    </row>
    <row r="71" spans="1:8" ht="19.8" customHeight="1" x14ac:dyDescent="0.3">
      <c r="A71" s="112">
        <v>45987</v>
      </c>
      <c r="B71" s="104" t="s">
        <v>41</v>
      </c>
      <c r="C71" s="105" t="s">
        <v>1265</v>
      </c>
      <c r="D71" s="104" t="s">
        <v>1264</v>
      </c>
      <c r="E71" s="113">
        <v>1.447916666666667</v>
      </c>
      <c r="F71" s="104" t="s">
        <v>43</v>
      </c>
      <c r="G71" s="106">
        <v>6</v>
      </c>
      <c r="H71" s="107" t="s">
        <v>143</v>
      </c>
    </row>
    <row r="72" spans="1:8" ht="19.8" customHeight="1" x14ac:dyDescent="0.3">
      <c r="A72" s="112">
        <v>45987</v>
      </c>
      <c r="B72" s="104" t="s">
        <v>26</v>
      </c>
      <c r="C72" s="105" t="s">
        <v>1268</v>
      </c>
      <c r="D72" s="104" t="s">
        <v>1264</v>
      </c>
      <c r="E72" s="113">
        <v>1.9722222222222221</v>
      </c>
      <c r="F72" s="104" t="s">
        <v>28</v>
      </c>
      <c r="G72" s="106">
        <v>3</v>
      </c>
      <c r="H72" s="107" t="s">
        <v>493</v>
      </c>
    </row>
    <row r="73" spans="1:8" ht="19.8" customHeight="1" x14ac:dyDescent="0.3">
      <c r="A73" s="112">
        <v>45987</v>
      </c>
      <c r="B73" s="104" t="s">
        <v>41</v>
      </c>
      <c r="C73" s="105" t="s">
        <v>1265</v>
      </c>
      <c r="D73" s="104" t="s">
        <v>1264</v>
      </c>
      <c r="E73" s="113">
        <v>1.447916666666667</v>
      </c>
      <c r="F73" s="104" t="s">
        <v>45</v>
      </c>
      <c r="G73" s="106">
        <v>6</v>
      </c>
      <c r="H73" s="107" t="s">
        <v>47</v>
      </c>
    </row>
    <row r="74" spans="1:8" ht="19.8" customHeight="1" x14ac:dyDescent="0.3">
      <c r="A74" s="112">
        <v>45987</v>
      </c>
      <c r="B74" s="104" t="s">
        <v>26</v>
      </c>
      <c r="C74" s="105" t="s">
        <v>1268</v>
      </c>
      <c r="D74" s="104" t="s">
        <v>1264</v>
      </c>
      <c r="E74" s="113">
        <v>1.9722222222222221</v>
      </c>
      <c r="F74" s="104" t="s">
        <v>31</v>
      </c>
      <c r="G74" s="106">
        <v>3</v>
      </c>
      <c r="H74" s="107" t="s">
        <v>47</v>
      </c>
    </row>
    <row r="75" spans="1:8" ht="19.8" customHeight="1" x14ac:dyDescent="0.3">
      <c r="A75" s="112">
        <v>45987</v>
      </c>
      <c r="B75" s="104" t="s">
        <v>385</v>
      </c>
      <c r="C75" s="105" t="s">
        <v>1288</v>
      </c>
      <c r="D75" s="104" t="s">
        <v>1264</v>
      </c>
      <c r="E75" s="113">
        <v>1.697916666666667</v>
      </c>
      <c r="F75" s="104" t="s">
        <v>101</v>
      </c>
      <c r="G75" s="106">
        <v>9</v>
      </c>
      <c r="H75" s="107" t="s">
        <v>1300</v>
      </c>
    </row>
    <row r="76" spans="1:8" ht="19.8" customHeight="1" x14ac:dyDescent="0.3">
      <c r="A76" s="112">
        <v>45987</v>
      </c>
      <c r="B76" s="104" t="s">
        <v>26</v>
      </c>
      <c r="C76" s="105" t="s">
        <v>1268</v>
      </c>
      <c r="D76" s="104" t="s">
        <v>1264</v>
      </c>
      <c r="E76" s="113">
        <v>1.9722222222222221</v>
      </c>
      <c r="F76" s="104" t="s">
        <v>34</v>
      </c>
      <c r="G76" s="106">
        <v>3</v>
      </c>
      <c r="H76" s="107" t="s">
        <v>1139</v>
      </c>
    </row>
    <row r="77" spans="1:8" ht="19.8" customHeight="1" x14ac:dyDescent="0.3">
      <c r="A77" s="112">
        <v>45987</v>
      </c>
      <c r="B77" s="104" t="s">
        <v>41</v>
      </c>
      <c r="C77" s="105" t="s">
        <v>1265</v>
      </c>
      <c r="D77" s="104" t="s">
        <v>1264</v>
      </c>
      <c r="E77" s="113">
        <v>1.447916666666667</v>
      </c>
      <c r="F77" s="104" t="s">
        <v>46</v>
      </c>
      <c r="G77" s="106">
        <v>6</v>
      </c>
      <c r="H77" s="107" t="s">
        <v>146</v>
      </c>
    </row>
    <row r="78" spans="1:8" ht="19.8" customHeight="1" x14ac:dyDescent="0.3">
      <c r="A78" s="112">
        <v>45987</v>
      </c>
      <c r="B78" s="104" t="s">
        <v>48</v>
      </c>
      <c r="C78" s="105" t="s">
        <v>1277</v>
      </c>
      <c r="D78" s="104" t="s">
        <v>1264</v>
      </c>
      <c r="E78" s="113">
        <v>1.336805555555556</v>
      </c>
      <c r="F78" s="104" t="s">
        <v>50</v>
      </c>
      <c r="G78" s="106">
        <v>9</v>
      </c>
      <c r="H78" s="107" t="s">
        <v>1299</v>
      </c>
    </row>
    <row r="79" spans="1:8" ht="19.8" customHeight="1" x14ac:dyDescent="0.3">
      <c r="A79" s="112">
        <v>45987</v>
      </c>
      <c r="B79" s="104" t="s">
        <v>60</v>
      </c>
      <c r="C79" s="105" t="s">
        <v>1285</v>
      </c>
      <c r="D79" s="104" t="s">
        <v>1264</v>
      </c>
      <c r="E79" s="113">
        <v>1.447916666666667</v>
      </c>
      <c r="F79" s="104" t="s">
        <v>65</v>
      </c>
      <c r="G79" s="106">
        <v>4</v>
      </c>
      <c r="H79" s="107" t="s">
        <v>1147</v>
      </c>
    </row>
    <row r="80" spans="1:8" ht="19.8" customHeight="1" x14ac:dyDescent="0.3">
      <c r="A80" s="114">
        <v>45987</v>
      </c>
      <c r="B80" s="115" t="s">
        <v>48</v>
      </c>
      <c r="C80" s="116" t="s">
        <v>1279</v>
      </c>
      <c r="D80" s="115" t="s">
        <v>1264</v>
      </c>
      <c r="E80" s="117">
        <v>1.979166666666667</v>
      </c>
      <c r="F80" s="115" t="s">
        <v>50</v>
      </c>
      <c r="G80" s="118">
        <v>7</v>
      </c>
      <c r="H80" s="119" t="s">
        <v>1301</v>
      </c>
    </row>
    <row r="81" spans="1:8" ht="19.8" customHeight="1" x14ac:dyDescent="0.3">
      <c r="A81" s="175"/>
      <c r="B81" s="176"/>
      <c r="C81" s="176"/>
      <c r="D81" s="176"/>
      <c r="E81" s="176"/>
      <c r="F81" s="177" t="s">
        <v>1369</v>
      </c>
      <c r="G81" s="176"/>
      <c r="H81" s="178"/>
    </row>
    <row r="82" spans="1:8" ht="19.8" customHeight="1" x14ac:dyDescent="0.3">
      <c r="A82" s="112">
        <v>45988</v>
      </c>
      <c r="B82" s="104" t="s">
        <v>41</v>
      </c>
      <c r="C82" s="105" t="s">
        <v>1265</v>
      </c>
      <c r="D82" s="104" t="s">
        <v>1264</v>
      </c>
      <c r="E82" s="113">
        <v>1.447916666666667</v>
      </c>
      <c r="F82" s="104" t="s">
        <v>43</v>
      </c>
      <c r="G82" s="106">
        <v>4</v>
      </c>
      <c r="H82" s="107" t="s">
        <v>143</v>
      </c>
    </row>
    <row r="83" spans="1:8" ht="19.8" customHeight="1" x14ac:dyDescent="0.3">
      <c r="A83" s="112">
        <v>45988</v>
      </c>
      <c r="B83" s="104" t="s">
        <v>26</v>
      </c>
      <c r="C83" s="105" t="s">
        <v>1266</v>
      </c>
      <c r="D83" s="104" t="s">
        <v>1264</v>
      </c>
      <c r="E83" s="113">
        <v>1.336805555555556</v>
      </c>
      <c r="F83" s="104" t="s">
        <v>28</v>
      </c>
      <c r="G83" s="106">
        <v>9</v>
      </c>
      <c r="H83" s="107" t="s">
        <v>493</v>
      </c>
    </row>
    <row r="84" spans="1:8" ht="19.8" customHeight="1" x14ac:dyDescent="0.3">
      <c r="A84" s="112">
        <v>45988</v>
      </c>
      <c r="B84" s="104" t="s">
        <v>385</v>
      </c>
      <c r="C84" s="105" t="s">
        <v>1273</v>
      </c>
      <c r="D84" s="104" t="s">
        <v>1264</v>
      </c>
      <c r="E84" s="113">
        <v>1.3611111111111109</v>
      </c>
      <c r="F84" s="104" t="s">
        <v>101</v>
      </c>
      <c r="G84" s="106">
        <v>8</v>
      </c>
      <c r="H84" s="107" t="s">
        <v>1303</v>
      </c>
    </row>
    <row r="85" spans="1:8" ht="19.8" customHeight="1" x14ac:dyDescent="0.3">
      <c r="A85" s="112">
        <v>45988</v>
      </c>
      <c r="B85" s="104" t="s">
        <v>41</v>
      </c>
      <c r="C85" s="105" t="s">
        <v>1265</v>
      </c>
      <c r="D85" s="104" t="s">
        <v>1264</v>
      </c>
      <c r="E85" s="113">
        <v>1.447916666666667</v>
      </c>
      <c r="F85" s="104" t="s">
        <v>45</v>
      </c>
      <c r="G85" s="106">
        <v>4</v>
      </c>
      <c r="H85" s="107" t="s">
        <v>47</v>
      </c>
    </row>
    <row r="86" spans="1:8" ht="19.8" customHeight="1" x14ac:dyDescent="0.3">
      <c r="A86" s="112">
        <v>45988</v>
      </c>
      <c r="B86" s="104" t="s">
        <v>26</v>
      </c>
      <c r="C86" s="105" t="s">
        <v>1266</v>
      </c>
      <c r="D86" s="104" t="s">
        <v>1264</v>
      </c>
      <c r="E86" s="113">
        <v>1.336805555555556</v>
      </c>
      <c r="F86" s="104" t="s">
        <v>31</v>
      </c>
      <c r="G86" s="106">
        <v>9</v>
      </c>
      <c r="H86" s="107" t="s">
        <v>47</v>
      </c>
    </row>
    <row r="87" spans="1:8" ht="19.8" customHeight="1" x14ac:dyDescent="0.3">
      <c r="A87" s="112">
        <v>45988</v>
      </c>
      <c r="B87" s="104" t="s">
        <v>26</v>
      </c>
      <c r="C87" s="105" t="s">
        <v>1268</v>
      </c>
      <c r="D87" s="104" t="s">
        <v>1264</v>
      </c>
      <c r="E87" s="113">
        <v>1.9722222222222221</v>
      </c>
      <c r="F87" s="104" t="s">
        <v>28</v>
      </c>
      <c r="G87" s="106">
        <v>9</v>
      </c>
      <c r="H87" s="107" t="s">
        <v>150</v>
      </c>
    </row>
    <row r="88" spans="1:8" ht="19.8" customHeight="1" x14ac:dyDescent="0.3">
      <c r="A88" s="112">
        <v>45988</v>
      </c>
      <c r="B88" s="104" t="s">
        <v>385</v>
      </c>
      <c r="C88" s="105" t="s">
        <v>1275</v>
      </c>
      <c r="D88" s="104" t="s">
        <v>1264</v>
      </c>
      <c r="E88" s="113">
        <v>1.756944444444444</v>
      </c>
      <c r="F88" s="104" t="s">
        <v>101</v>
      </c>
      <c r="G88" s="106">
        <v>7</v>
      </c>
      <c r="H88" s="107" t="s">
        <v>1300</v>
      </c>
    </row>
    <row r="89" spans="1:8" ht="19.8" customHeight="1" x14ac:dyDescent="0.3">
      <c r="A89" s="112">
        <v>45988</v>
      </c>
      <c r="B89" s="104" t="s">
        <v>458</v>
      </c>
      <c r="C89" s="105" t="s">
        <v>1286</v>
      </c>
      <c r="D89" s="104" t="s">
        <v>1264</v>
      </c>
      <c r="E89" s="113">
        <v>1.9652777777777779</v>
      </c>
      <c r="F89" s="104" t="s">
        <v>101</v>
      </c>
      <c r="G89" s="106">
        <v>5</v>
      </c>
      <c r="H89" s="107" t="s">
        <v>1304</v>
      </c>
    </row>
    <row r="90" spans="1:8" ht="19.8" customHeight="1" x14ac:dyDescent="0.3">
      <c r="A90" s="112">
        <v>45988</v>
      </c>
      <c r="B90" s="104" t="s">
        <v>458</v>
      </c>
      <c r="C90" s="105" t="s">
        <v>1270</v>
      </c>
      <c r="D90" s="104" t="s">
        <v>1264</v>
      </c>
      <c r="E90" s="113">
        <v>1.0763888888888891</v>
      </c>
      <c r="F90" s="104" t="s">
        <v>101</v>
      </c>
      <c r="G90" s="106">
        <v>9</v>
      </c>
      <c r="H90" s="107" t="s">
        <v>1304</v>
      </c>
    </row>
    <row r="91" spans="1:8" ht="19.8" customHeight="1" x14ac:dyDescent="0.3">
      <c r="A91" s="114">
        <v>45988</v>
      </c>
      <c r="B91" s="115" t="s">
        <v>458</v>
      </c>
      <c r="C91" s="116" t="s">
        <v>1272</v>
      </c>
      <c r="D91" s="115" t="s">
        <v>1264</v>
      </c>
      <c r="E91" s="117">
        <v>1.680555555555556</v>
      </c>
      <c r="F91" s="115" t="s">
        <v>101</v>
      </c>
      <c r="G91" s="118">
        <v>5</v>
      </c>
      <c r="H91" s="119" t="s">
        <v>1304</v>
      </c>
    </row>
    <row r="92" spans="1:8" ht="19.8" customHeight="1" x14ac:dyDescent="0.3">
      <c r="A92" s="120">
        <v>45989</v>
      </c>
      <c r="B92" s="121" t="s">
        <v>77</v>
      </c>
      <c r="C92" s="122" t="s">
        <v>1356</v>
      </c>
      <c r="D92" s="121" t="s">
        <v>1349</v>
      </c>
      <c r="E92" s="123">
        <v>1.072916666666667</v>
      </c>
      <c r="F92" s="121" t="s">
        <v>101</v>
      </c>
      <c r="G92" s="124">
        <v>5</v>
      </c>
      <c r="H92" s="125" t="s">
        <v>1357</v>
      </c>
    </row>
    <row r="93" spans="1:8" ht="19.8" customHeight="1" x14ac:dyDescent="0.3">
      <c r="A93" s="175"/>
      <c r="B93" s="176"/>
      <c r="C93" s="176"/>
      <c r="D93" s="176"/>
      <c r="E93" s="176"/>
      <c r="F93" s="177" t="s">
        <v>1369</v>
      </c>
      <c r="G93" s="176"/>
      <c r="H93" s="178"/>
    </row>
    <row r="94" spans="1:8" ht="19.8" customHeight="1" x14ac:dyDescent="0.3">
      <c r="A94" s="112">
        <v>45989</v>
      </c>
      <c r="B94" s="104" t="s">
        <v>41</v>
      </c>
      <c r="C94" s="105" t="s">
        <v>1265</v>
      </c>
      <c r="D94" s="104" t="s">
        <v>1264</v>
      </c>
      <c r="E94" s="113">
        <v>1.447916666666667</v>
      </c>
      <c r="F94" s="104" t="s">
        <v>43</v>
      </c>
      <c r="G94" s="106">
        <v>9</v>
      </c>
      <c r="H94" s="107" t="s">
        <v>1309</v>
      </c>
    </row>
    <row r="95" spans="1:8" ht="19.8" customHeight="1" x14ac:dyDescent="0.3">
      <c r="A95" s="112">
        <v>45989</v>
      </c>
      <c r="B95" s="104" t="s">
        <v>26</v>
      </c>
      <c r="C95" s="105" t="s">
        <v>1268</v>
      </c>
      <c r="D95" s="104" t="s">
        <v>1264</v>
      </c>
      <c r="E95" s="113">
        <v>1.9722222222222221</v>
      </c>
      <c r="F95" s="104" t="s">
        <v>28</v>
      </c>
      <c r="G95" s="106">
        <v>8</v>
      </c>
      <c r="H95" s="107" t="s">
        <v>550</v>
      </c>
    </row>
    <row r="96" spans="1:8" ht="19.8" customHeight="1" x14ac:dyDescent="0.3">
      <c r="A96" s="112">
        <v>45989</v>
      </c>
      <c r="B96" s="104" t="s">
        <v>41</v>
      </c>
      <c r="C96" s="105" t="s">
        <v>1265</v>
      </c>
      <c r="D96" s="104" t="s">
        <v>1264</v>
      </c>
      <c r="E96" s="113">
        <v>1.447916666666667</v>
      </c>
      <c r="F96" s="104" t="s">
        <v>45</v>
      </c>
      <c r="G96" s="106">
        <v>9</v>
      </c>
      <c r="H96" s="107" t="s">
        <v>1310</v>
      </c>
    </row>
    <row r="97" spans="1:8" ht="19.8" customHeight="1" x14ac:dyDescent="0.3">
      <c r="A97" s="112">
        <v>45989</v>
      </c>
      <c r="B97" s="104" t="s">
        <v>26</v>
      </c>
      <c r="C97" s="105" t="s">
        <v>1268</v>
      </c>
      <c r="D97" s="104" t="s">
        <v>1264</v>
      </c>
      <c r="E97" s="113">
        <v>1.9722222222222221</v>
      </c>
      <c r="F97" s="104" t="s">
        <v>31</v>
      </c>
      <c r="G97" s="106">
        <v>8</v>
      </c>
      <c r="H97" s="107" t="s">
        <v>551</v>
      </c>
    </row>
    <row r="98" spans="1:8" ht="19.8" customHeight="1" x14ac:dyDescent="0.3">
      <c r="A98" s="112">
        <v>45989</v>
      </c>
      <c r="B98" s="104" t="s">
        <v>458</v>
      </c>
      <c r="C98" s="105" t="s">
        <v>1272</v>
      </c>
      <c r="D98" s="104" t="s">
        <v>1264</v>
      </c>
      <c r="E98" s="113">
        <v>1.9652777777777779</v>
      </c>
      <c r="F98" s="104" t="s">
        <v>101</v>
      </c>
      <c r="G98" s="106">
        <v>9</v>
      </c>
      <c r="H98" s="107" t="s">
        <v>1311</v>
      </c>
    </row>
    <row r="99" spans="1:8" ht="19.8" customHeight="1" x14ac:dyDescent="0.3">
      <c r="A99" s="112">
        <v>45989</v>
      </c>
      <c r="B99" s="104" t="s">
        <v>77</v>
      </c>
      <c r="C99" s="105" t="s">
        <v>1282</v>
      </c>
      <c r="D99" s="104" t="s">
        <v>1264</v>
      </c>
      <c r="E99" s="113">
        <v>1.381944444444444</v>
      </c>
      <c r="F99" s="104" t="s">
        <v>101</v>
      </c>
      <c r="G99" s="106">
        <v>9</v>
      </c>
      <c r="H99" s="107" t="s">
        <v>1312</v>
      </c>
    </row>
    <row r="100" spans="1:8" ht="19.8" customHeight="1" x14ac:dyDescent="0.3">
      <c r="A100" s="112">
        <v>45989</v>
      </c>
      <c r="B100" s="104" t="s">
        <v>385</v>
      </c>
      <c r="C100" s="105" t="s">
        <v>1288</v>
      </c>
      <c r="D100" s="104" t="s">
        <v>1264</v>
      </c>
      <c r="E100" s="113">
        <v>1.756944444444444</v>
      </c>
      <c r="F100" s="104" t="s">
        <v>101</v>
      </c>
      <c r="G100" s="106">
        <v>7</v>
      </c>
      <c r="H100" s="107" t="s">
        <v>1314</v>
      </c>
    </row>
    <row r="101" spans="1:8" ht="19.8" customHeight="1" x14ac:dyDescent="0.3">
      <c r="A101" s="112">
        <v>45989</v>
      </c>
      <c r="B101" s="104" t="s">
        <v>26</v>
      </c>
      <c r="C101" s="105" t="s">
        <v>1268</v>
      </c>
      <c r="D101" s="104" t="s">
        <v>1264</v>
      </c>
      <c r="E101" s="113">
        <v>1.9722222222222221</v>
      </c>
      <c r="F101" s="104" t="s">
        <v>34</v>
      </c>
      <c r="G101" s="106">
        <v>8</v>
      </c>
      <c r="H101" s="107" t="s">
        <v>552</v>
      </c>
    </row>
    <row r="102" spans="1:8" ht="19.8" customHeight="1" x14ac:dyDescent="0.3">
      <c r="A102" s="112">
        <v>45989</v>
      </c>
      <c r="B102" s="104" t="s">
        <v>41</v>
      </c>
      <c r="C102" s="105" t="s">
        <v>1265</v>
      </c>
      <c r="D102" s="104" t="s">
        <v>1264</v>
      </c>
      <c r="E102" s="113">
        <v>1.447916666666667</v>
      </c>
      <c r="F102" s="104" t="s">
        <v>46</v>
      </c>
      <c r="G102" s="106">
        <v>9</v>
      </c>
      <c r="H102" s="107" t="s">
        <v>1287</v>
      </c>
    </row>
    <row r="103" spans="1:8" ht="19.8" customHeight="1" x14ac:dyDescent="0.3">
      <c r="A103" s="114">
        <v>45989</v>
      </c>
      <c r="B103" s="115" t="s">
        <v>48</v>
      </c>
      <c r="C103" s="116" t="s">
        <v>1279</v>
      </c>
      <c r="D103" s="115" t="s">
        <v>1264</v>
      </c>
      <c r="E103" s="117">
        <v>1.979166666666667</v>
      </c>
      <c r="F103" s="115" t="s">
        <v>50</v>
      </c>
      <c r="G103" s="118">
        <v>9</v>
      </c>
      <c r="H103" s="119" t="s">
        <v>1307</v>
      </c>
    </row>
    <row r="104" spans="1:8" ht="19.8" customHeight="1" x14ac:dyDescent="0.3">
      <c r="A104" s="175"/>
      <c r="B104" s="176"/>
      <c r="C104" s="176"/>
      <c r="D104" s="176"/>
      <c r="E104" s="176"/>
      <c r="F104" s="177" t="s">
        <v>1369</v>
      </c>
      <c r="G104" s="176"/>
      <c r="H104" s="178"/>
    </row>
    <row r="105" spans="1:8" ht="19.8" customHeight="1" x14ac:dyDescent="0.3">
      <c r="A105" s="112">
        <v>45990</v>
      </c>
      <c r="B105" s="104" t="s">
        <v>26</v>
      </c>
      <c r="C105" s="105" t="s">
        <v>1266</v>
      </c>
      <c r="D105" s="104" t="s">
        <v>1264</v>
      </c>
      <c r="E105" s="113">
        <v>1.336805555555556</v>
      </c>
      <c r="F105" s="104" t="s">
        <v>351</v>
      </c>
      <c r="G105" s="106">
        <v>2</v>
      </c>
      <c r="H105" s="107" t="s">
        <v>1317</v>
      </c>
    </row>
    <row r="106" spans="1:8" ht="19.8" customHeight="1" x14ac:dyDescent="0.3">
      <c r="A106" s="112">
        <v>45990</v>
      </c>
      <c r="B106" s="104" t="s">
        <v>26</v>
      </c>
      <c r="C106" s="105" t="s">
        <v>1266</v>
      </c>
      <c r="D106" s="104" t="s">
        <v>1264</v>
      </c>
      <c r="E106" s="113">
        <v>1.336805555555556</v>
      </c>
      <c r="F106" s="104" t="s">
        <v>28</v>
      </c>
      <c r="G106" s="106">
        <v>2</v>
      </c>
      <c r="H106" s="107" t="s">
        <v>1317</v>
      </c>
    </row>
    <row r="107" spans="1:8" ht="19.8" customHeight="1" x14ac:dyDescent="0.3">
      <c r="A107" s="112">
        <v>45990</v>
      </c>
      <c r="B107" s="104" t="s">
        <v>26</v>
      </c>
      <c r="C107" s="105" t="s">
        <v>1266</v>
      </c>
      <c r="D107" s="104" t="s">
        <v>1264</v>
      </c>
      <c r="E107" s="113">
        <v>1.336805555555556</v>
      </c>
      <c r="F107" s="104" t="s">
        <v>31</v>
      </c>
      <c r="G107" s="106">
        <v>2</v>
      </c>
      <c r="H107" s="107" t="s">
        <v>1318</v>
      </c>
    </row>
    <row r="108" spans="1:8" ht="19.8" customHeight="1" x14ac:dyDescent="0.3">
      <c r="A108" s="112">
        <v>45990</v>
      </c>
      <c r="B108" s="104" t="s">
        <v>41</v>
      </c>
      <c r="C108" s="105" t="s">
        <v>1265</v>
      </c>
      <c r="D108" s="104" t="s">
        <v>1264</v>
      </c>
      <c r="E108" s="113">
        <v>1.447916666666667</v>
      </c>
      <c r="F108" s="104" t="s">
        <v>337</v>
      </c>
      <c r="G108" s="106">
        <v>9</v>
      </c>
      <c r="H108" s="107" t="s">
        <v>1309</v>
      </c>
    </row>
    <row r="109" spans="1:8" ht="19.8" customHeight="1" x14ac:dyDescent="0.3">
      <c r="A109" s="112">
        <v>45990</v>
      </c>
      <c r="B109" s="104" t="s">
        <v>41</v>
      </c>
      <c r="C109" s="105" t="s">
        <v>1265</v>
      </c>
      <c r="D109" s="104" t="s">
        <v>1264</v>
      </c>
      <c r="E109" s="113">
        <v>1.447916666666667</v>
      </c>
      <c r="F109" s="104" t="s">
        <v>43</v>
      </c>
      <c r="G109" s="106">
        <v>2</v>
      </c>
      <c r="H109" s="107" t="s">
        <v>1309</v>
      </c>
    </row>
    <row r="110" spans="1:8" ht="19.8" customHeight="1" x14ac:dyDescent="0.3">
      <c r="A110" s="112">
        <v>45990</v>
      </c>
      <c r="B110" s="104" t="s">
        <v>385</v>
      </c>
      <c r="C110" s="105" t="s">
        <v>1320</v>
      </c>
      <c r="D110" s="104" t="s">
        <v>1264</v>
      </c>
      <c r="E110" s="113">
        <v>1.961805555555556</v>
      </c>
      <c r="F110" s="104" t="s">
        <v>101</v>
      </c>
      <c r="G110" s="106">
        <v>8</v>
      </c>
      <c r="H110" s="107" t="s">
        <v>1321</v>
      </c>
    </row>
    <row r="111" spans="1:8" ht="19.8" customHeight="1" x14ac:dyDescent="0.3">
      <c r="A111" s="112">
        <v>45990</v>
      </c>
      <c r="B111" s="104" t="s">
        <v>26</v>
      </c>
      <c r="C111" s="105" t="s">
        <v>1266</v>
      </c>
      <c r="D111" s="104" t="s">
        <v>1264</v>
      </c>
      <c r="E111" s="113">
        <v>1.336805555555556</v>
      </c>
      <c r="F111" s="104" t="s">
        <v>34</v>
      </c>
      <c r="G111" s="106">
        <v>2</v>
      </c>
      <c r="H111" s="107" t="s">
        <v>1319</v>
      </c>
    </row>
    <row r="112" spans="1:8" ht="19.8" customHeight="1" x14ac:dyDescent="0.3">
      <c r="A112" s="112">
        <v>45990</v>
      </c>
      <c r="B112" s="104" t="s">
        <v>388</v>
      </c>
      <c r="C112" s="105" t="s">
        <v>1294</v>
      </c>
      <c r="D112" s="104" t="s">
        <v>1264</v>
      </c>
      <c r="E112" s="113">
        <v>1.7465277777777779</v>
      </c>
      <c r="F112" s="104" t="s">
        <v>461</v>
      </c>
      <c r="G112" s="106">
        <v>9</v>
      </c>
      <c r="H112" s="107" t="s">
        <v>1323</v>
      </c>
    </row>
    <row r="113" spans="1:8" ht="19.8" customHeight="1" x14ac:dyDescent="0.3">
      <c r="A113" s="112">
        <v>45990</v>
      </c>
      <c r="B113" s="104" t="s">
        <v>388</v>
      </c>
      <c r="C113" s="105" t="s">
        <v>1294</v>
      </c>
      <c r="D113" s="104" t="s">
        <v>1264</v>
      </c>
      <c r="E113" s="113">
        <v>1.7465277777777779</v>
      </c>
      <c r="F113" s="104" t="s">
        <v>390</v>
      </c>
      <c r="G113" s="106">
        <v>9</v>
      </c>
      <c r="H113" s="107" t="s">
        <v>1323</v>
      </c>
    </row>
    <row r="114" spans="1:8" ht="19.8" customHeight="1" x14ac:dyDescent="0.3">
      <c r="A114" s="114">
        <v>45990</v>
      </c>
      <c r="B114" s="115" t="s">
        <v>26</v>
      </c>
      <c r="C114" s="116" t="s">
        <v>1268</v>
      </c>
      <c r="D114" s="115" t="s">
        <v>1264</v>
      </c>
      <c r="E114" s="117">
        <v>1.9722222222222221</v>
      </c>
      <c r="F114" s="115" t="s">
        <v>351</v>
      </c>
      <c r="G114" s="118">
        <v>9</v>
      </c>
      <c r="H114" s="119" t="s">
        <v>550</v>
      </c>
    </row>
    <row r="115" spans="1:8" ht="19.8" customHeight="1" x14ac:dyDescent="0.3">
      <c r="A115" s="175"/>
      <c r="B115" s="176"/>
      <c r="C115" s="176"/>
      <c r="D115" s="176"/>
      <c r="E115" s="176"/>
      <c r="F115" s="177" t="s">
        <v>1369</v>
      </c>
      <c r="G115" s="176"/>
      <c r="H115" s="178"/>
    </row>
    <row r="116" spans="1:8" ht="19.8" customHeight="1" x14ac:dyDescent="0.3">
      <c r="A116" s="112">
        <v>45991</v>
      </c>
      <c r="B116" s="104" t="s">
        <v>41</v>
      </c>
      <c r="C116" s="105" t="s">
        <v>1265</v>
      </c>
      <c r="D116" s="104" t="s">
        <v>1264</v>
      </c>
      <c r="E116" s="113">
        <v>1.447916666666667</v>
      </c>
      <c r="F116" s="104" t="s">
        <v>43</v>
      </c>
      <c r="G116" s="106">
        <v>7</v>
      </c>
      <c r="H116" s="107" t="s">
        <v>154</v>
      </c>
    </row>
    <row r="117" spans="1:8" ht="19.8" customHeight="1" x14ac:dyDescent="0.3">
      <c r="A117" s="112">
        <v>45991</v>
      </c>
      <c r="B117" s="104" t="s">
        <v>26</v>
      </c>
      <c r="C117" s="105" t="s">
        <v>1268</v>
      </c>
      <c r="D117" s="104" t="s">
        <v>1264</v>
      </c>
      <c r="E117" s="113">
        <v>1.9722222222222221</v>
      </c>
      <c r="F117" s="104" t="s">
        <v>28</v>
      </c>
      <c r="G117" s="106">
        <v>2</v>
      </c>
      <c r="H117" s="107" t="s">
        <v>478</v>
      </c>
    </row>
    <row r="118" spans="1:8" ht="19.8" customHeight="1" x14ac:dyDescent="0.3">
      <c r="A118" s="112">
        <v>45991</v>
      </c>
      <c r="B118" s="104" t="s">
        <v>458</v>
      </c>
      <c r="C118" s="105" t="s">
        <v>1270</v>
      </c>
      <c r="D118" s="104" t="s">
        <v>1264</v>
      </c>
      <c r="E118" s="113">
        <v>1.9201388888888891</v>
      </c>
      <c r="F118" s="104" t="s">
        <v>101</v>
      </c>
      <c r="G118" s="106">
        <v>2</v>
      </c>
      <c r="H118" s="107" t="s">
        <v>1326</v>
      </c>
    </row>
    <row r="119" spans="1:8" ht="19.8" customHeight="1" x14ac:dyDescent="0.3">
      <c r="A119" s="112">
        <v>45991</v>
      </c>
      <c r="B119" s="104" t="s">
        <v>26</v>
      </c>
      <c r="C119" s="105" t="s">
        <v>1268</v>
      </c>
      <c r="D119" s="104" t="s">
        <v>1264</v>
      </c>
      <c r="E119" s="113">
        <v>1.9722222222222221</v>
      </c>
      <c r="F119" s="104" t="s">
        <v>31</v>
      </c>
      <c r="G119" s="106">
        <v>2</v>
      </c>
      <c r="H119" s="107" t="s">
        <v>457</v>
      </c>
    </row>
    <row r="120" spans="1:8" ht="19.8" customHeight="1" x14ac:dyDescent="0.3">
      <c r="A120" s="112">
        <v>45991</v>
      </c>
      <c r="B120" s="104" t="s">
        <v>385</v>
      </c>
      <c r="C120" s="105" t="s">
        <v>1327</v>
      </c>
      <c r="D120" s="104" t="s">
        <v>1264</v>
      </c>
      <c r="E120" s="113">
        <v>1.4826388888888891</v>
      </c>
      <c r="F120" s="104" t="s">
        <v>101</v>
      </c>
      <c r="G120" s="106">
        <v>5</v>
      </c>
      <c r="H120" s="107" t="s">
        <v>1300</v>
      </c>
    </row>
    <row r="121" spans="1:8" ht="19.8" customHeight="1" x14ac:dyDescent="0.3">
      <c r="A121" s="112">
        <v>45991</v>
      </c>
      <c r="B121" s="104" t="s">
        <v>385</v>
      </c>
      <c r="C121" s="105" t="s">
        <v>1273</v>
      </c>
      <c r="D121" s="104" t="s">
        <v>1264</v>
      </c>
      <c r="E121" s="113">
        <v>1.756944444444444</v>
      </c>
      <c r="F121" s="104" t="s">
        <v>101</v>
      </c>
      <c r="G121" s="106">
        <v>4</v>
      </c>
      <c r="H121" s="107" t="s">
        <v>1300</v>
      </c>
    </row>
    <row r="122" spans="1:8" ht="19.8" customHeight="1" x14ac:dyDescent="0.3">
      <c r="A122" s="112">
        <v>45991</v>
      </c>
      <c r="B122" s="104" t="s">
        <v>41</v>
      </c>
      <c r="C122" s="105" t="s">
        <v>1265</v>
      </c>
      <c r="D122" s="104" t="s">
        <v>1264</v>
      </c>
      <c r="E122" s="113">
        <v>1.447916666666667</v>
      </c>
      <c r="F122" s="104" t="s">
        <v>45</v>
      </c>
      <c r="G122" s="106">
        <v>7</v>
      </c>
      <c r="H122" s="107" t="s">
        <v>124</v>
      </c>
    </row>
    <row r="123" spans="1:8" ht="19.8" customHeight="1" x14ac:dyDescent="0.3">
      <c r="A123" s="112">
        <v>45991</v>
      </c>
      <c r="B123" s="104" t="s">
        <v>458</v>
      </c>
      <c r="C123" s="105" t="s">
        <v>1286</v>
      </c>
      <c r="D123" s="104" t="s">
        <v>1264</v>
      </c>
      <c r="E123" s="113">
        <v>1.006944444444444</v>
      </c>
      <c r="F123" s="104" t="s">
        <v>101</v>
      </c>
      <c r="G123" s="106">
        <v>9</v>
      </c>
      <c r="H123" s="107" t="s">
        <v>1304</v>
      </c>
    </row>
    <row r="124" spans="1:8" ht="19.8" customHeight="1" x14ac:dyDescent="0.3">
      <c r="A124" s="112">
        <v>45991</v>
      </c>
      <c r="B124" s="104" t="s">
        <v>26</v>
      </c>
      <c r="C124" s="105" t="s">
        <v>1268</v>
      </c>
      <c r="D124" s="104" t="s">
        <v>1264</v>
      </c>
      <c r="E124" s="113">
        <v>1.9722222222222221</v>
      </c>
      <c r="F124" s="104" t="s">
        <v>34</v>
      </c>
      <c r="G124" s="106">
        <v>2</v>
      </c>
      <c r="H124" s="107" t="s">
        <v>479</v>
      </c>
    </row>
    <row r="125" spans="1:8" ht="19.8" customHeight="1" x14ac:dyDescent="0.3">
      <c r="A125" s="114">
        <v>45991</v>
      </c>
      <c r="B125" s="115" t="s">
        <v>41</v>
      </c>
      <c r="C125" s="116" t="s">
        <v>1265</v>
      </c>
      <c r="D125" s="115" t="s">
        <v>1264</v>
      </c>
      <c r="E125" s="117">
        <v>1.447916666666667</v>
      </c>
      <c r="F125" s="115" t="s">
        <v>46</v>
      </c>
      <c r="G125" s="118">
        <v>7</v>
      </c>
      <c r="H125" s="119" t="s">
        <v>1287</v>
      </c>
    </row>
  </sheetData>
  <pageMargins left="0.75" right="0.75" top="1" bottom="1" header="0.5" footer="0.5"/>
  <legacy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71"/>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6.77734375" bestFit="1" customWidth="1"/>
  </cols>
  <sheetData>
    <row r="1" spans="1:92" ht="28.8" customHeight="1" x14ac:dyDescent="0.3">
      <c r="A1" s="303" t="s">
        <v>0</v>
      </c>
      <c r="B1" s="302"/>
      <c r="C1" s="302"/>
      <c r="D1" s="302"/>
      <c r="E1" s="302"/>
      <c r="F1" s="1" t="s">
        <v>1370</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45980.583839450323</v>
      </c>
      <c r="H2" s="302"/>
      <c r="I2" s="302"/>
      <c r="J2" s="302"/>
      <c r="K2" s="311">
        <v>45980.583839450694</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385</v>
      </c>
      <c r="B6" s="8" t="s">
        <v>1371</v>
      </c>
      <c r="C6" s="9">
        <v>0.75694444444444453</v>
      </c>
      <c r="D6" s="8" t="s">
        <v>101</v>
      </c>
      <c r="E6" s="8" t="s">
        <v>63</v>
      </c>
      <c r="F6" s="8" t="s">
        <v>1372</v>
      </c>
      <c r="G6" s="304"/>
      <c r="H6" s="10"/>
      <c r="I6" s="11"/>
      <c r="J6" s="11"/>
      <c r="K6" s="11"/>
      <c r="L6" s="11"/>
      <c r="M6" s="11"/>
      <c r="N6" s="11"/>
      <c r="O6" s="12"/>
      <c r="P6" s="11"/>
      <c r="Q6" s="13"/>
      <c r="R6" s="14"/>
    </row>
    <row r="7" spans="1:92" ht="49.95" customHeight="1" x14ac:dyDescent="0.3">
      <c r="A7" s="75" t="s">
        <v>77</v>
      </c>
      <c r="B7" s="75" t="s">
        <v>1373</v>
      </c>
      <c r="C7" s="76">
        <v>0.71180555555555547</v>
      </c>
      <c r="D7" s="75" t="s">
        <v>101</v>
      </c>
      <c r="E7" s="75" t="s">
        <v>63</v>
      </c>
      <c r="F7" s="75" t="s">
        <v>779</v>
      </c>
      <c r="G7" s="298"/>
      <c r="H7" s="78" t="s">
        <v>1374</v>
      </c>
      <c r="I7" s="255">
        <v>0.35749999999999998</v>
      </c>
      <c r="J7" s="80">
        <v>64</v>
      </c>
      <c r="K7" s="81">
        <v>45979</v>
      </c>
      <c r="L7" s="80">
        <v>33</v>
      </c>
      <c r="M7" s="80">
        <v>0</v>
      </c>
      <c r="N7" s="80">
        <v>5</v>
      </c>
      <c r="O7" s="82" t="s">
        <v>210</v>
      </c>
      <c r="P7" s="83">
        <v>0.71180555555555547</v>
      </c>
      <c r="Q7" s="80">
        <v>179</v>
      </c>
      <c r="R7" s="84" t="s">
        <v>1375</v>
      </c>
    </row>
    <row r="8" spans="1:92" ht="49.95" customHeight="1" thickBot="1" x14ac:dyDescent="0.35">
      <c r="A8" s="231" t="s">
        <v>48</v>
      </c>
      <c r="B8" s="231" t="s">
        <v>1376</v>
      </c>
      <c r="C8" s="232">
        <v>0.98263888888888884</v>
      </c>
      <c r="D8" s="231" t="s">
        <v>50</v>
      </c>
      <c r="E8" s="231" t="s">
        <v>63</v>
      </c>
      <c r="F8" s="231" t="s">
        <v>1377</v>
      </c>
      <c r="G8" s="299"/>
      <c r="H8" s="41"/>
      <c r="I8" s="42"/>
      <c r="J8" s="42"/>
      <c r="K8" s="42"/>
      <c r="L8" s="42"/>
      <c r="M8" s="42"/>
      <c r="N8" s="42"/>
      <c r="O8" s="43"/>
      <c r="P8" s="42"/>
      <c r="Q8" s="44"/>
      <c r="R8" s="45"/>
    </row>
    <row r="9" spans="1:92" ht="17.399999999999999" customHeight="1" thickBot="1" x14ac:dyDescent="0.35">
      <c r="A9" s="329"/>
      <c r="B9" s="330"/>
      <c r="C9" s="330"/>
      <c r="D9" s="330"/>
      <c r="E9" s="330"/>
      <c r="F9" s="330"/>
      <c r="G9" s="330"/>
      <c r="H9" s="330"/>
      <c r="I9" s="330"/>
      <c r="J9" s="330"/>
      <c r="K9" s="330"/>
      <c r="L9" s="330"/>
      <c r="M9" s="330"/>
      <c r="N9" s="330"/>
      <c r="O9" s="330"/>
      <c r="P9" s="330"/>
      <c r="Q9" s="330"/>
      <c r="R9" s="331"/>
    </row>
    <row r="10" spans="1:92" ht="22.05" customHeight="1" thickTop="1" thickBot="1" x14ac:dyDescent="0.35">
      <c r="A10" s="300" t="s">
        <v>6</v>
      </c>
      <c r="B10" s="295"/>
      <c r="C10" s="295"/>
      <c r="D10" s="295"/>
      <c r="E10" s="295"/>
      <c r="F10" s="296"/>
      <c r="G10" s="31">
        <v>45982</v>
      </c>
      <c r="H10" s="294" t="s">
        <v>7</v>
      </c>
      <c r="I10" s="295"/>
      <c r="J10" s="295"/>
      <c r="K10" s="295"/>
      <c r="L10" s="295"/>
      <c r="M10" s="295"/>
      <c r="N10" s="295"/>
      <c r="O10" s="295"/>
      <c r="P10" s="295"/>
      <c r="Q10" s="295"/>
      <c r="R10" s="296"/>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x14ac:dyDescent="0.3">
      <c r="A12" s="8" t="s">
        <v>388</v>
      </c>
      <c r="B12" s="8" t="s">
        <v>1378</v>
      </c>
      <c r="C12" s="9">
        <v>0.49652777777777768</v>
      </c>
      <c r="D12" s="8" t="s">
        <v>390</v>
      </c>
      <c r="E12" s="8" t="s">
        <v>138</v>
      </c>
      <c r="F12" s="8" t="s">
        <v>1379</v>
      </c>
      <c r="G12" s="304"/>
      <c r="H12" s="10"/>
      <c r="I12" s="11"/>
      <c r="J12" s="11"/>
      <c r="K12" s="11"/>
      <c r="L12" s="11"/>
      <c r="M12" s="11"/>
      <c r="N12" s="11"/>
      <c r="O12" s="12"/>
      <c r="P12" s="11"/>
      <c r="Q12" s="13"/>
      <c r="R12" s="14"/>
    </row>
    <row r="13" spans="1:92" ht="49.95" customHeight="1" x14ac:dyDescent="0.3">
      <c r="A13" s="15" t="s">
        <v>388</v>
      </c>
      <c r="B13" s="15" t="s">
        <v>1378</v>
      </c>
      <c r="C13" s="16">
        <v>0.49652777777777768</v>
      </c>
      <c r="D13" s="15" t="s">
        <v>46</v>
      </c>
      <c r="E13" s="15" t="s">
        <v>38</v>
      </c>
      <c r="F13" s="15" t="s">
        <v>1380</v>
      </c>
      <c r="G13" s="298"/>
      <c r="H13" s="10"/>
      <c r="I13" s="11"/>
      <c r="J13" s="11"/>
      <c r="K13" s="11"/>
      <c r="L13" s="11"/>
      <c r="M13" s="11"/>
      <c r="N13" s="11"/>
      <c r="O13" s="12"/>
      <c r="P13" s="11"/>
      <c r="Q13" s="13"/>
      <c r="R13" s="14"/>
    </row>
    <row r="14" spans="1:92" ht="49.95" customHeight="1" x14ac:dyDescent="0.3">
      <c r="A14" s="19" t="s">
        <v>385</v>
      </c>
      <c r="B14" s="19" t="s">
        <v>1381</v>
      </c>
      <c r="C14" s="20">
        <v>0.75694444444444453</v>
      </c>
      <c r="D14" s="19" t="s">
        <v>101</v>
      </c>
      <c r="E14" s="19" t="s">
        <v>63</v>
      </c>
      <c r="F14" s="19" t="s">
        <v>1372</v>
      </c>
      <c r="G14" s="298"/>
      <c r="H14" s="10"/>
      <c r="I14" s="11"/>
      <c r="J14" s="11"/>
      <c r="K14" s="11"/>
      <c r="L14" s="11"/>
      <c r="M14" s="11"/>
      <c r="N14" s="11"/>
      <c r="O14" s="12"/>
      <c r="P14" s="11"/>
      <c r="Q14" s="13"/>
      <c r="R14" s="14"/>
    </row>
    <row r="15" spans="1:92" ht="49.95" customHeight="1" x14ac:dyDescent="0.3">
      <c r="A15" s="19" t="s">
        <v>458</v>
      </c>
      <c r="B15" s="19" t="s">
        <v>1382</v>
      </c>
      <c r="C15" s="20">
        <v>0.98611111111111116</v>
      </c>
      <c r="D15" s="19" t="s">
        <v>101</v>
      </c>
      <c r="E15" s="19" t="s">
        <v>63</v>
      </c>
      <c r="F15" s="19" t="s">
        <v>779</v>
      </c>
      <c r="G15" s="298"/>
      <c r="H15" s="10"/>
      <c r="I15" s="11"/>
      <c r="J15" s="11"/>
      <c r="K15" s="11"/>
      <c r="L15" s="11"/>
      <c r="M15" s="11"/>
      <c r="N15" s="11"/>
      <c r="O15" s="12"/>
      <c r="P15" s="11"/>
      <c r="Q15" s="13"/>
      <c r="R15" s="14"/>
    </row>
    <row r="16" spans="1:92" ht="49.95" customHeight="1" thickBot="1" x14ac:dyDescent="0.35">
      <c r="A16" s="231" t="s">
        <v>48</v>
      </c>
      <c r="B16" s="231" t="s">
        <v>1376</v>
      </c>
      <c r="C16" s="232">
        <v>0.98263888888888884</v>
      </c>
      <c r="D16" s="231" t="s">
        <v>50</v>
      </c>
      <c r="E16" s="231" t="s">
        <v>63</v>
      </c>
      <c r="F16" s="231" t="s">
        <v>1377</v>
      </c>
      <c r="G16" s="299"/>
      <c r="H16" s="41"/>
      <c r="I16" s="42"/>
      <c r="J16" s="42"/>
      <c r="K16" s="42"/>
      <c r="L16" s="42"/>
      <c r="M16" s="42"/>
      <c r="N16" s="42"/>
      <c r="O16" s="43"/>
      <c r="P16" s="42"/>
      <c r="Q16" s="44"/>
      <c r="R16" s="45"/>
    </row>
    <row r="17" spans="1:18" ht="17.399999999999999" customHeight="1" thickBot="1" x14ac:dyDescent="0.35">
      <c r="A17" s="329"/>
      <c r="B17" s="330"/>
      <c r="C17" s="330"/>
      <c r="D17" s="330"/>
      <c r="E17" s="330"/>
      <c r="F17" s="330"/>
      <c r="G17" s="330"/>
      <c r="H17" s="330"/>
      <c r="I17" s="330"/>
      <c r="J17" s="330"/>
      <c r="K17" s="330"/>
      <c r="L17" s="330"/>
      <c r="M17" s="330"/>
      <c r="N17" s="330"/>
      <c r="O17" s="330"/>
      <c r="P17" s="330"/>
      <c r="Q17" s="330"/>
      <c r="R17" s="331"/>
    </row>
    <row r="18" spans="1:18" ht="22.05" customHeight="1" thickTop="1" thickBot="1" x14ac:dyDescent="0.35">
      <c r="A18" s="300" t="s">
        <v>6</v>
      </c>
      <c r="B18" s="295"/>
      <c r="C18" s="295"/>
      <c r="D18" s="295"/>
      <c r="E18" s="295"/>
      <c r="F18" s="296"/>
      <c r="G18" s="31">
        <v>45983</v>
      </c>
      <c r="H18" s="294" t="s">
        <v>7</v>
      </c>
      <c r="I18" s="295"/>
      <c r="J18" s="295"/>
      <c r="K18" s="295"/>
      <c r="L18" s="295"/>
      <c r="M18" s="295"/>
      <c r="N18" s="295"/>
      <c r="O18" s="295"/>
      <c r="P18" s="295"/>
      <c r="Q18" s="295"/>
      <c r="R18" s="296"/>
    </row>
    <row r="19" spans="1:18" ht="24" customHeight="1" x14ac:dyDescent="0.3">
      <c r="A19" s="32" t="s">
        <v>8</v>
      </c>
      <c r="B19" s="32" t="s">
        <v>9</v>
      </c>
      <c r="C19" s="33" t="s">
        <v>10</v>
      </c>
      <c r="D19" s="32" t="s">
        <v>11</v>
      </c>
      <c r="E19" s="32" t="s">
        <v>12</v>
      </c>
      <c r="F19" s="34" t="s">
        <v>13</v>
      </c>
      <c r="G19" s="35" t="s">
        <v>14</v>
      </c>
      <c r="H19" s="32" t="s">
        <v>15</v>
      </c>
      <c r="I19" s="36" t="s">
        <v>16</v>
      </c>
      <c r="J19" s="37" t="s">
        <v>17</v>
      </c>
      <c r="K19" s="38" t="s">
        <v>18</v>
      </c>
      <c r="L19" s="37" t="s">
        <v>19</v>
      </c>
      <c r="M19" s="37" t="s">
        <v>20</v>
      </c>
      <c r="N19" s="37" t="s">
        <v>21</v>
      </c>
      <c r="O19" s="32" t="s">
        <v>22</v>
      </c>
      <c r="P19" s="33" t="s">
        <v>23</v>
      </c>
      <c r="Q19" s="37" t="s">
        <v>24</v>
      </c>
      <c r="R19" s="32" t="s">
        <v>25</v>
      </c>
    </row>
    <row r="20" spans="1:18" ht="49.95" customHeight="1" x14ac:dyDescent="0.3">
      <c r="A20" s="164" t="s">
        <v>77</v>
      </c>
      <c r="B20" s="164" t="s">
        <v>1373</v>
      </c>
      <c r="C20" s="165">
        <v>0.83680555555555547</v>
      </c>
      <c r="D20" s="164" t="s">
        <v>101</v>
      </c>
      <c r="E20" s="164" t="s">
        <v>63</v>
      </c>
      <c r="F20" s="164" t="s">
        <v>1383</v>
      </c>
      <c r="G20" s="304"/>
      <c r="H20" s="167" t="s">
        <v>1374</v>
      </c>
      <c r="I20" s="215">
        <v>0.68810000000000004</v>
      </c>
      <c r="J20" s="169">
        <v>75</v>
      </c>
      <c r="K20" s="170">
        <v>45980</v>
      </c>
      <c r="L20" s="169">
        <v>42</v>
      </c>
      <c r="M20" s="169">
        <v>2</v>
      </c>
      <c r="N20" s="169">
        <v>14</v>
      </c>
      <c r="O20" s="171" t="s">
        <v>316</v>
      </c>
      <c r="P20" s="172">
        <v>0.83680555555555547</v>
      </c>
      <c r="Q20" s="169">
        <v>109</v>
      </c>
      <c r="R20" s="173" t="s">
        <v>1384</v>
      </c>
    </row>
    <row r="21" spans="1:18" ht="49.95" customHeight="1" thickBot="1" x14ac:dyDescent="0.35">
      <c r="A21" s="231" t="s">
        <v>385</v>
      </c>
      <c r="B21" s="231" t="s">
        <v>1371</v>
      </c>
      <c r="C21" s="232">
        <v>0.75694444444444453</v>
      </c>
      <c r="D21" s="231" t="s">
        <v>101</v>
      </c>
      <c r="E21" s="231" t="s">
        <v>118</v>
      </c>
      <c r="F21" s="231" t="s">
        <v>492</v>
      </c>
      <c r="G21" s="299"/>
      <c r="H21" s="41"/>
      <c r="I21" s="42"/>
      <c r="J21" s="42"/>
      <c r="K21" s="42"/>
      <c r="L21" s="42"/>
      <c r="M21" s="42"/>
      <c r="N21" s="42"/>
      <c r="O21" s="43"/>
      <c r="P21" s="42"/>
      <c r="Q21" s="44"/>
      <c r="R21" s="45"/>
    </row>
    <row r="22" spans="1:18" ht="17.399999999999999" customHeight="1" thickBot="1" x14ac:dyDescent="0.35">
      <c r="A22" s="329"/>
      <c r="B22" s="330"/>
      <c r="C22" s="330"/>
      <c r="D22" s="330"/>
      <c r="E22" s="330"/>
      <c r="F22" s="330"/>
      <c r="G22" s="330"/>
      <c r="H22" s="330"/>
      <c r="I22" s="330"/>
      <c r="J22" s="330"/>
      <c r="K22" s="330"/>
      <c r="L22" s="330"/>
      <c r="M22" s="330"/>
      <c r="N22" s="330"/>
      <c r="O22" s="330"/>
      <c r="P22" s="330"/>
      <c r="Q22" s="330"/>
      <c r="R22" s="331"/>
    </row>
    <row r="23" spans="1:18" ht="22.05" customHeight="1" thickTop="1" thickBot="1" x14ac:dyDescent="0.35">
      <c r="A23" s="300" t="s">
        <v>6</v>
      </c>
      <c r="B23" s="295"/>
      <c r="C23" s="295"/>
      <c r="D23" s="295"/>
      <c r="E23" s="295"/>
      <c r="F23" s="296"/>
      <c r="G23" s="31">
        <v>45984</v>
      </c>
      <c r="H23" s="294" t="s">
        <v>7</v>
      </c>
      <c r="I23" s="295"/>
      <c r="J23" s="295"/>
      <c r="K23" s="295"/>
      <c r="L23" s="295"/>
      <c r="M23" s="295"/>
      <c r="N23" s="295"/>
      <c r="O23" s="295"/>
      <c r="P23" s="295"/>
      <c r="Q23" s="295"/>
      <c r="R23" s="296"/>
    </row>
    <row r="24" spans="1:18" ht="24" customHeight="1" x14ac:dyDescent="0.3">
      <c r="A24" s="32" t="s">
        <v>8</v>
      </c>
      <c r="B24" s="32" t="s">
        <v>9</v>
      </c>
      <c r="C24" s="33" t="s">
        <v>10</v>
      </c>
      <c r="D24" s="32" t="s">
        <v>11</v>
      </c>
      <c r="E24" s="32" t="s">
        <v>12</v>
      </c>
      <c r="F24" s="34" t="s">
        <v>13</v>
      </c>
      <c r="G24" s="35" t="s">
        <v>14</v>
      </c>
      <c r="H24" s="32" t="s">
        <v>15</v>
      </c>
      <c r="I24" s="36" t="s">
        <v>16</v>
      </c>
      <c r="J24" s="37" t="s">
        <v>17</v>
      </c>
      <c r="K24" s="38" t="s">
        <v>18</v>
      </c>
      <c r="L24" s="37" t="s">
        <v>19</v>
      </c>
      <c r="M24" s="37" t="s">
        <v>20</v>
      </c>
      <c r="N24" s="37" t="s">
        <v>21</v>
      </c>
      <c r="O24" s="32" t="s">
        <v>22</v>
      </c>
      <c r="P24" s="33" t="s">
        <v>23</v>
      </c>
      <c r="Q24" s="37" t="s">
        <v>24</v>
      </c>
      <c r="R24" s="32" t="s">
        <v>25</v>
      </c>
    </row>
    <row r="25" spans="1:18" ht="49.95" customHeight="1" x14ac:dyDescent="0.3">
      <c r="A25" s="8" t="s">
        <v>388</v>
      </c>
      <c r="B25" s="8" t="s">
        <v>1378</v>
      </c>
      <c r="C25" s="9">
        <v>0.53819444444444442</v>
      </c>
      <c r="D25" s="8" t="s">
        <v>390</v>
      </c>
      <c r="E25" s="8" t="s">
        <v>138</v>
      </c>
      <c r="F25" s="8" t="s">
        <v>1385</v>
      </c>
      <c r="G25" s="304"/>
      <c r="H25" s="10"/>
      <c r="I25" s="11"/>
      <c r="J25" s="11"/>
      <c r="K25" s="11"/>
      <c r="L25" s="11"/>
      <c r="M25" s="11"/>
      <c r="N25" s="11"/>
      <c r="O25" s="12"/>
      <c r="P25" s="11"/>
      <c r="Q25" s="13"/>
      <c r="R25" s="14"/>
    </row>
    <row r="26" spans="1:18" ht="49.95" customHeight="1" thickTop="1" thickBot="1" x14ac:dyDescent="0.35">
      <c r="A26" s="64" t="s">
        <v>388</v>
      </c>
      <c r="B26" s="64" t="s">
        <v>1378</v>
      </c>
      <c r="C26" s="65">
        <v>0.53819444444444442</v>
      </c>
      <c r="D26" s="64" t="s">
        <v>46</v>
      </c>
      <c r="E26" s="64" t="s">
        <v>38</v>
      </c>
      <c r="F26" s="64" t="s">
        <v>1386</v>
      </c>
      <c r="G26" s="299"/>
      <c r="H26" s="41"/>
      <c r="I26" s="42"/>
      <c r="J26" s="42"/>
      <c r="K26" s="42"/>
      <c r="L26" s="42"/>
      <c r="M26" s="42"/>
      <c r="N26" s="42"/>
      <c r="O26" s="43"/>
      <c r="P26" s="42"/>
      <c r="Q26" s="44"/>
      <c r="R26" s="45"/>
    </row>
    <row r="27" spans="1:18" ht="17.399999999999999" customHeight="1" thickBot="1" x14ac:dyDescent="0.35">
      <c r="A27" s="329"/>
      <c r="B27" s="330"/>
      <c r="C27" s="330"/>
      <c r="D27" s="330"/>
      <c r="E27" s="330"/>
      <c r="F27" s="330"/>
      <c r="G27" s="330"/>
      <c r="H27" s="330"/>
      <c r="I27" s="330"/>
      <c r="J27" s="330"/>
      <c r="K27" s="330"/>
      <c r="L27" s="330"/>
      <c r="M27" s="330"/>
      <c r="N27" s="330"/>
      <c r="O27" s="330"/>
      <c r="P27" s="330"/>
      <c r="Q27" s="330"/>
      <c r="R27" s="331"/>
    </row>
    <row r="28" spans="1:18" ht="22.05" customHeight="1" thickTop="1" thickBot="1" x14ac:dyDescent="0.35">
      <c r="A28" s="300" t="s">
        <v>6</v>
      </c>
      <c r="B28" s="295"/>
      <c r="C28" s="295"/>
      <c r="D28" s="295"/>
      <c r="E28" s="295"/>
      <c r="F28" s="296"/>
      <c r="G28" s="31">
        <v>45985</v>
      </c>
      <c r="H28" s="294" t="s">
        <v>7</v>
      </c>
      <c r="I28" s="295"/>
      <c r="J28" s="295"/>
      <c r="K28" s="295"/>
      <c r="L28" s="295"/>
      <c r="M28" s="295"/>
      <c r="N28" s="295"/>
      <c r="O28" s="295"/>
      <c r="P28" s="295"/>
      <c r="Q28" s="295"/>
      <c r="R28" s="296"/>
    </row>
    <row r="29" spans="1:18" ht="24" customHeight="1" x14ac:dyDescent="0.3">
      <c r="A29" s="32" t="s">
        <v>8</v>
      </c>
      <c r="B29" s="32" t="s">
        <v>9</v>
      </c>
      <c r="C29" s="33" t="s">
        <v>10</v>
      </c>
      <c r="D29" s="32" t="s">
        <v>11</v>
      </c>
      <c r="E29" s="32" t="s">
        <v>12</v>
      </c>
      <c r="F29" s="34" t="s">
        <v>13</v>
      </c>
      <c r="G29" s="35" t="s">
        <v>14</v>
      </c>
      <c r="H29" s="32" t="s">
        <v>15</v>
      </c>
      <c r="I29" s="36" t="s">
        <v>16</v>
      </c>
      <c r="J29" s="37" t="s">
        <v>17</v>
      </c>
      <c r="K29" s="38" t="s">
        <v>18</v>
      </c>
      <c r="L29" s="37" t="s">
        <v>19</v>
      </c>
      <c r="M29" s="37" t="s">
        <v>20</v>
      </c>
      <c r="N29" s="37" t="s">
        <v>21</v>
      </c>
      <c r="O29" s="32" t="s">
        <v>22</v>
      </c>
      <c r="P29" s="33" t="s">
        <v>23</v>
      </c>
      <c r="Q29" s="37" t="s">
        <v>24</v>
      </c>
      <c r="R29" s="32" t="s">
        <v>25</v>
      </c>
    </row>
    <row r="30" spans="1:18" ht="49.95" customHeight="1" x14ac:dyDescent="0.3">
      <c r="A30" s="8" t="s">
        <v>388</v>
      </c>
      <c r="B30" s="8" t="s">
        <v>1378</v>
      </c>
      <c r="C30" s="9">
        <v>0.53819444444444442</v>
      </c>
      <c r="D30" s="8" t="s">
        <v>390</v>
      </c>
      <c r="E30" s="8" t="s">
        <v>138</v>
      </c>
      <c r="F30" s="8" t="s">
        <v>1387</v>
      </c>
      <c r="G30" s="304"/>
      <c r="H30" s="10"/>
      <c r="I30" s="11"/>
      <c r="J30" s="11"/>
      <c r="K30" s="11"/>
      <c r="L30" s="11"/>
      <c r="M30" s="11"/>
      <c r="N30" s="11"/>
      <c r="O30" s="12"/>
      <c r="P30" s="11"/>
      <c r="Q30" s="13"/>
      <c r="R30" s="14"/>
    </row>
    <row r="31" spans="1:18" ht="49.95" customHeight="1" x14ac:dyDescent="0.3">
      <c r="A31" s="15" t="s">
        <v>388</v>
      </c>
      <c r="B31" s="15" t="s">
        <v>1378</v>
      </c>
      <c r="C31" s="16">
        <v>0.53819444444444442</v>
      </c>
      <c r="D31" s="15" t="s">
        <v>46</v>
      </c>
      <c r="E31" s="15" t="s">
        <v>38</v>
      </c>
      <c r="F31" s="15" t="s">
        <v>1388</v>
      </c>
      <c r="G31" s="298"/>
      <c r="H31" s="10"/>
      <c r="I31" s="11"/>
      <c r="J31" s="11"/>
      <c r="K31" s="11"/>
      <c r="L31" s="11"/>
      <c r="M31" s="11"/>
      <c r="N31" s="11"/>
      <c r="O31" s="12"/>
      <c r="P31" s="11"/>
      <c r="Q31" s="13"/>
      <c r="R31" s="14"/>
    </row>
    <row r="32" spans="1:18" ht="49.95" customHeight="1" x14ac:dyDescent="0.3">
      <c r="A32" s="19" t="s">
        <v>385</v>
      </c>
      <c r="B32" s="19" t="s">
        <v>1381</v>
      </c>
      <c r="C32" s="20">
        <v>0.71527777777777779</v>
      </c>
      <c r="D32" s="19" t="s">
        <v>101</v>
      </c>
      <c r="E32" s="19" t="s">
        <v>63</v>
      </c>
      <c r="F32" s="19" t="s">
        <v>1372</v>
      </c>
      <c r="G32" s="298"/>
      <c r="H32" s="10"/>
      <c r="I32" s="11"/>
      <c r="J32" s="11"/>
      <c r="K32" s="11"/>
      <c r="L32" s="11"/>
      <c r="M32" s="11"/>
      <c r="N32" s="11"/>
      <c r="O32" s="12"/>
      <c r="P32" s="11"/>
      <c r="Q32" s="13"/>
      <c r="R32" s="14"/>
    </row>
    <row r="33" spans="1:18" ht="49.95" customHeight="1" thickBot="1" x14ac:dyDescent="0.35">
      <c r="A33" s="231" t="s">
        <v>48</v>
      </c>
      <c r="B33" s="231" t="s">
        <v>1376</v>
      </c>
      <c r="C33" s="232">
        <v>0.98263888888888884</v>
      </c>
      <c r="D33" s="231" t="s">
        <v>50</v>
      </c>
      <c r="E33" s="231" t="s">
        <v>63</v>
      </c>
      <c r="F33" s="231" t="s">
        <v>1377</v>
      </c>
      <c r="G33" s="299"/>
      <c r="H33" s="41"/>
      <c r="I33" s="42"/>
      <c r="J33" s="42"/>
      <c r="K33" s="42"/>
      <c r="L33" s="42"/>
      <c r="M33" s="42"/>
      <c r="N33" s="42"/>
      <c r="O33" s="43"/>
      <c r="P33" s="42"/>
      <c r="Q33" s="44"/>
      <c r="R33" s="45"/>
    </row>
    <row r="34" spans="1:18" ht="17.399999999999999" customHeight="1" thickBot="1" x14ac:dyDescent="0.35">
      <c r="A34" s="329"/>
      <c r="B34" s="330"/>
      <c r="C34" s="330"/>
      <c r="D34" s="330"/>
      <c r="E34" s="330"/>
      <c r="F34" s="330"/>
      <c r="G34" s="330"/>
      <c r="H34" s="330"/>
      <c r="I34" s="330"/>
      <c r="J34" s="330"/>
      <c r="K34" s="330"/>
      <c r="L34" s="330"/>
      <c r="M34" s="330"/>
      <c r="N34" s="330"/>
      <c r="O34" s="330"/>
      <c r="P34" s="330"/>
      <c r="Q34" s="330"/>
      <c r="R34" s="331"/>
    </row>
    <row r="35" spans="1:18" ht="22.05" customHeight="1" thickTop="1" thickBot="1" x14ac:dyDescent="0.35">
      <c r="A35" s="300" t="s">
        <v>6</v>
      </c>
      <c r="B35" s="295"/>
      <c r="C35" s="295"/>
      <c r="D35" s="295"/>
      <c r="E35" s="295"/>
      <c r="F35" s="296"/>
      <c r="G35" s="31">
        <v>45986</v>
      </c>
      <c r="H35" s="294" t="s">
        <v>7</v>
      </c>
      <c r="I35" s="295"/>
      <c r="J35" s="295"/>
      <c r="K35" s="295"/>
      <c r="L35" s="295"/>
      <c r="M35" s="295"/>
      <c r="N35" s="295"/>
      <c r="O35" s="295"/>
      <c r="P35" s="295"/>
      <c r="Q35" s="295"/>
      <c r="R35" s="296"/>
    </row>
    <row r="36" spans="1:18" ht="24" customHeight="1" x14ac:dyDescent="0.3">
      <c r="A36" s="32" t="s">
        <v>8</v>
      </c>
      <c r="B36" s="32" t="s">
        <v>9</v>
      </c>
      <c r="C36" s="33" t="s">
        <v>10</v>
      </c>
      <c r="D36" s="32" t="s">
        <v>11</v>
      </c>
      <c r="E36" s="32" t="s">
        <v>12</v>
      </c>
      <c r="F36" s="34" t="s">
        <v>13</v>
      </c>
      <c r="G36" s="35" t="s">
        <v>14</v>
      </c>
      <c r="H36" s="32" t="s">
        <v>15</v>
      </c>
      <c r="I36" s="36" t="s">
        <v>16</v>
      </c>
      <c r="J36" s="37" t="s">
        <v>17</v>
      </c>
      <c r="K36" s="38" t="s">
        <v>18</v>
      </c>
      <c r="L36" s="37" t="s">
        <v>19</v>
      </c>
      <c r="M36" s="37" t="s">
        <v>20</v>
      </c>
      <c r="N36" s="37" t="s">
        <v>21</v>
      </c>
      <c r="O36" s="32" t="s">
        <v>22</v>
      </c>
      <c r="P36" s="33" t="s">
        <v>23</v>
      </c>
      <c r="Q36" s="37" t="s">
        <v>24</v>
      </c>
      <c r="R36" s="32" t="s">
        <v>25</v>
      </c>
    </row>
    <row r="37" spans="1:18" ht="49.95" customHeight="1" thickTop="1" thickBot="1" x14ac:dyDescent="0.35">
      <c r="A37" s="246" t="s">
        <v>458</v>
      </c>
      <c r="B37" s="246" t="s">
        <v>1382</v>
      </c>
      <c r="C37" s="247">
        <v>0.78125</v>
      </c>
      <c r="D37" s="246" t="s">
        <v>101</v>
      </c>
      <c r="E37" s="246" t="s">
        <v>96</v>
      </c>
      <c r="F37" s="246" t="s">
        <v>779</v>
      </c>
      <c r="G37" s="304"/>
      <c r="H37" s="41"/>
      <c r="I37" s="42"/>
      <c r="J37" s="42"/>
      <c r="K37" s="42"/>
      <c r="L37" s="42"/>
      <c r="M37" s="42"/>
      <c r="N37" s="42"/>
      <c r="O37" s="43"/>
      <c r="P37" s="42"/>
      <c r="Q37" s="44"/>
      <c r="R37" s="45"/>
    </row>
    <row r="38" spans="1:18" ht="17.399999999999999" customHeight="1" thickBot="1" x14ac:dyDescent="0.35">
      <c r="A38" s="329"/>
      <c r="B38" s="330"/>
      <c r="C38" s="330"/>
      <c r="D38" s="330"/>
      <c r="E38" s="330"/>
      <c r="F38" s="330"/>
      <c r="G38" s="330"/>
      <c r="H38" s="330"/>
      <c r="I38" s="330"/>
      <c r="J38" s="330"/>
      <c r="K38" s="330"/>
      <c r="L38" s="330"/>
      <c r="M38" s="330"/>
      <c r="N38" s="330"/>
      <c r="O38" s="330"/>
      <c r="P38" s="330"/>
      <c r="Q38" s="330"/>
      <c r="R38" s="331"/>
    </row>
    <row r="39" spans="1:18" ht="22.05" customHeight="1" thickTop="1" thickBot="1" x14ac:dyDescent="0.35">
      <c r="A39" s="300" t="s">
        <v>6</v>
      </c>
      <c r="B39" s="295"/>
      <c r="C39" s="295"/>
      <c r="D39" s="295"/>
      <c r="E39" s="295"/>
      <c r="F39" s="296"/>
      <c r="G39" s="31">
        <v>45987</v>
      </c>
      <c r="H39" s="294" t="s">
        <v>7</v>
      </c>
      <c r="I39" s="295"/>
      <c r="J39" s="295"/>
      <c r="K39" s="295"/>
      <c r="L39" s="295"/>
      <c r="M39" s="295"/>
      <c r="N39" s="295"/>
      <c r="O39" s="295"/>
      <c r="P39" s="295"/>
      <c r="Q39" s="295"/>
      <c r="R39" s="296"/>
    </row>
    <row r="40" spans="1:18" ht="24" customHeight="1" x14ac:dyDescent="0.3">
      <c r="A40" s="32" t="s">
        <v>8</v>
      </c>
      <c r="B40" s="32" t="s">
        <v>9</v>
      </c>
      <c r="C40" s="33" t="s">
        <v>10</v>
      </c>
      <c r="D40" s="32" t="s">
        <v>11</v>
      </c>
      <c r="E40" s="32" t="s">
        <v>12</v>
      </c>
      <c r="F40" s="34" t="s">
        <v>13</v>
      </c>
      <c r="G40" s="35" t="s">
        <v>14</v>
      </c>
      <c r="H40" s="32" t="s">
        <v>15</v>
      </c>
      <c r="I40" s="36" t="s">
        <v>16</v>
      </c>
      <c r="J40" s="37" t="s">
        <v>17</v>
      </c>
      <c r="K40" s="38" t="s">
        <v>18</v>
      </c>
      <c r="L40" s="37" t="s">
        <v>19</v>
      </c>
      <c r="M40" s="37" t="s">
        <v>20</v>
      </c>
      <c r="N40" s="37" t="s">
        <v>21</v>
      </c>
      <c r="O40" s="32" t="s">
        <v>22</v>
      </c>
      <c r="P40" s="33" t="s">
        <v>23</v>
      </c>
      <c r="Q40" s="37" t="s">
        <v>24</v>
      </c>
      <c r="R40" s="32" t="s">
        <v>25</v>
      </c>
    </row>
    <row r="41" spans="1:18" ht="49.95" customHeight="1" x14ac:dyDescent="0.3">
      <c r="A41" s="8" t="s">
        <v>388</v>
      </c>
      <c r="B41" s="8" t="s">
        <v>1378</v>
      </c>
      <c r="C41" s="9">
        <v>0.49652777777777768</v>
      </c>
      <c r="D41" s="8" t="s">
        <v>390</v>
      </c>
      <c r="E41" s="8" t="s">
        <v>138</v>
      </c>
      <c r="F41" s="8" t="s">
        <v>1387</v>
      </c>
      <c r="G41" s="304"/>
      <c r="H41" s="10"/>
      <c r="I41" s="11"/>
      <c r="J41" s="11"/>
      <c r="K41" s="11"/>
      <c r="L41" s="11"/>
      <c r="M41" s="11"/>
      <c r="N41" s="11"/>
      <c r="O41" s="12"/>
      <c r="P41" s="11"/>
      <c r="Q41" s="13"/>
      <c r="R41" s="14"/>
    </row>
    <row r="42" spans="1:18" ht="49.95" customHeight="1" x14ac:dyDescent="0.3">
      <c r="A42" s="15" t="s">
        <v>388</v>
      </c>
      <c r="B42" s="15" t="s">
        <v>1378</v>
      </c>
      <c r="C42" s="16">
        <v>0.49652777777777768</v>
      </c>
      <c r="D42" s="15" t="s">
        <v>46</v>
      </c>
      <c r="E42" s="15" t="s">
        <v>38</v>
      </c>
      <c r="F42" s="15" t="s">
        <v>1388</v>
      </c>
      <c r="G42" s="298"/>
      <c r="H42" s="10"/>
      <c r="I42" s="11"/>
      <c r="J42" s="11"/>
      <c r="K42" s="11"/>
      <c r="L42" s="11"/>
      <c r="M42" s="11"/>
      <c r="N42" s="11"/>
      <c r="O42" s="12"/>
      <c r="P42" s="11"/>
      <c r="Q42" s="13"/>
      <c r="R42" s="14"/>
    </row>
    <row r="43" spans="1:18" ht="49.95" customHeight="1" x14ac:dyDescent="0.3">
      <c r="A43" s="55" t="s">
        <v>77</v>
      </c>
      <c r="B43" s="55" t="s">
        <v>1373</v>
      </c>
      <c r="C43" s="56">
        <v>0.71180555555555547</v>
      </c>
      <c r="D43" s="55" t="s">
        <v>101</v>
      </c>
      <c r="E43" s="55" t="s">
        <v>51</v>
      </c>
      <c r="F43" s="55" t="s">
        <v>779</v>
      </c>
      <c r="G43" s="298"/>
      <c r="H43" s="57" t="s">
        <v>1374</v>
      </c>
      <c r="I43" s="256">
        <v>0.30170000000000002</v>
      </c>
      <c r="J43" s="59">
        <v>54</v>
      </c>
      <c r="K43" s="60">
        <v>45979</v>
      </c>
      <c r="L43" s="59">
        <v>7</v>
      </c>
      <c r="M43" s="59">
        <v>0</v>
      </c>
      <c r="N43" s="59">
        <v>1</v>
      </c>
      <c r="O43" s="61" t="s">
        <v>221</v>
      </c>
      <c r="P43" s="62">
        <v>0.71180555555555547</v>
      </c>
      <c r="Q43" s="59">
        <v>179</v>
      </c>
      <c r="R43" s="63" t="s">
        <v>1389</v>
      </c>
    </row>
    <row r="44" spans="1:18" ht="49.95" customHeight="1" x14ac:dyDescent="0.3">
      <c r="A44" s="19" t="s">
        <v>48</v>
      </c>
      <c r="B44" s="19" t="s">
        <v>1376</v>
      </c>
      <c r="C44" s="20">
        <v>0.98263888888888884</v>
      </c>
      <c r="D44" s="19" t="s">
        <v>50</v>
      </c>
      <c r="E44" s="19" t="s">
        <v>63</v>
      </c>
      <c r="F44" s="19" t="s">
        <v>1377</v>
      </c>
      <c r="G44" s="298"/>
      <c r="H44" s="10"/>
      <c r="I44" s="11"/>
      <c r="J44" s="11"/>
      <c r="K44" s="11"/>
      <c r="L44" s="11"/>
      <c r="M44" s="11"/>
      <c r="N44" s="11"/>
      <c r="O44" s="12"/>
      <c r="P44" s="11"/>
      <c r="Q44" s="13"/>
      <c r="R44" s="14"/>
    </row>
    <row r="45" spans="1:18" ht="49.95" customHeight="1" thickBot="1" x14ac:dyDescent="0.35">
      <c r="A45" s="231" t="s">
        <v>385</v>
      </c>
      <c r="B45" s="231" t="s">
        <v>1381</v>
      </c>
      <c r="C45" s="232">
        <v>0.75694444444444453</v>
      </c>
      <c r="D45" s="231" t="s">
        <v>101</v>
      </c>
      <c r="E45" s="231" t="s">
        <v>63</v>
      </c>
      <c r="F45" s="231" t="s">
        <v>492</v>
      </c>
      <c r="G45" s="299"/>
      <c r="H45" s="41"/>
      <c r="I45" s="42"/>
      <c r="J45" s="42"/>
      <c r="K45" s="42"/>
      <c r="L45" s="42"/>
      <c r="M45" s="42"/>
      <c r="N45" s="42"/>
      <c r="O45" s="43"/>
      <c r="P45" s="42"/>
      <c r="Q45" s="44"/>
      <c r="R45" s="45"/>
    </row>
    <row r="46" spans="1:18" ht="17.399999999999999" customHeight="1" thickBot="1" x14ac:dyDescent="0.35">
      <c r="A46" s="329"/>
      <c r="B46" s="330"/>
      <c r="C46" s="330"/>
      <c r="D46" s="330"/>
      <c r="E46" s="330"/>
      <c r="F46" s="330"/>
      <c r="G46" s="330"/>
      <c r="H46" s="330"/>
      <c r="I46" s="330"/>
      <c r="J46" s="330"/>
      <c r="K46" s="330"/>
      <c r="L46" s="330"/>
      <c r="M46" s="330"/>
      <c r="N46" s="330"/>
      <c r="O46" s="330"/>
      <c r="P46" s="330"/>
      <c r="Q46" s="330"/>
      <c r="R46" s="331"/>
    </row>
    <row r="47" spans="1:18" ht="22.05" customHeight="1" thickTop="1" thickBot="1" x14ac:dyDescent="0.35">
      <c r="A47" s="300" t="s">
        <v>6</v>
      </c>
      <c r="B47" s="295"/>
      <c r="C47" s="295"/>
      <c r="D47" s="295"/>
      <c r="E47" s="295"/>
      <c r="F47" s="296"/>
      <c r="G47" s="31">
        <v>45988</v>
      </c>
      <c r="H47" s="294" t="s">
        <v>7</v>
      </c>
      <c r="I47" s="295"/>
      <c r="J47" s="295"/>
      <c r="K47" s="295"/>
      <c r="L47" s="295"/>
      <c r="M47" s="295"/>
      <c r="N47" s="295"/>
      <c r="O47" s="295"/>
      <c r="P47" s="295"/>
      <c r="Q47" s="295"/>
      <c r="R47" s="296"/>
    </row>
    <row r="48" spans="1:18" ht="24" customHeight="1" x14ac:dyDescent="0.3">
      <c r="A48" s="32" t="s">
        <v>8</v>
      </c>
      <c r="B48" s="32" t="s">
        <v>9</v>
      </c>
      <c r="C48" s="33" t="s">
        <v>10</v>
      </c>
      <c r="D48" s="32" t="s">
        <v>11</v>
      </c>
      <c r="E48" s="32" t="s">
        <v>12</v>
      </c>
      <c r="F48" s="34" t="s">
        <v>13</v>
      </c>
      <c r="G48" s="35" t="s">
        <v>14</v>
      </c>
      <c r="H48" s="32" t="s">
        <v>15</v>
      </c>
      <c r="I48" s="36" t="s">
        <v>16</v>
      </c>
      <c r="J48" s="37" t="s">
        <v>17</v>
      </c>
      <c r="K48" s="38" t="s">
        <v>18</v>
      </c>
      <c r="L48" s="37" t="s">
        <v>19</v>
      </c>
      <c r="M48" s="37" t="s">
        <v>20</v>
      </c>
      <c r="N48" s="37" t="s">
        <v>21</v>
      </c>
      <c r="O48" s="32" t="s">
        <v>22</v>
      </c>
      <c r="P48" s="33" t="s">
        <v>23</v>
      </c>
      <c r="Q48" s="37" t="s">
        <v>24</v>
      </c>
      <c r="R48" s="32" t="s">
        <v>25</v>
      </c>
    </row>
    <row r="49" spans="1:18" ht="49.95" customHeight="1" x14ac:dyDescent="0.3">
      <c r="A49" s="8" t="s">
        <v>458</v>
      </c>
      <c r="B49" s="8" t="s">
        <v>1382</v>
      </c>
      <c r="C49" s="9">
        <v>0.80555555555555547</v>
      </c>
      <c r="D49" s="8" t="s">
        <v>101</v>
      </c>
      <c r="E49" s="8" t="s">
        <v>111</v>
      </c>
      <c r="F49" s="8" t="s">
        <v>779</v>
      </c>
      <c r="G49" s="304"/>
      <c r="H49" s="10"/>
      <c r="I49" s="11"/>
      <c r="J49" s="11"/>
      <c r="K49" s="11"/>
      <c r="L49" s="11"/>
      <c r="M49" s="11"/>
      <c r="N49" s="11"/>
      <c r="O49" s="12"/>
      <c r="P49" s="11"/>
      <c r="Q49" s="13"/>
      <c r="R49" s="14"/>
    </row>
    <row r="50" spans="1:18" ht="49.95" customHeight="1" x14ac:dyDescent="0.3">
      <c r="A50" s="19" t="s">
        <v>385</v>
      </c>
      <c r="B50" s="19" t="s">
        <v>1371</v>
      </c>
      <c r="C50" s="20">
        <v>0.75694444444444453</v>
      </c>
      <c r="D50" s="19" t="s">
        <v>101</v>
      </c>
      <c r="E50" s="19" t="s">
        <v>29</v>
      </c>
      <c r="F50" s="19" t="s">
        <v>492</v>
      </c>
      <c r="G50" s="298"/>
      <c r="H50" s="10"/>
      <c r="I50" s="11"/>
      <c r="J50" s="11"/>
      <c r="K50" s="11"/>
      <c r="L50" s="11"/>
      <c r="M50" s="11"/>
      <c r="N50" s="11"/>
      <c r="O50" s="12"/>
      <c r="P50" s="11"/>
      <c r="Q50" s="13"/>
      <c r="R50" s="14"/>
    </row>
    <row r="51" spans="1:18" ht="49.95" customHeight="1" x14ac:dyDescent="0.3">
      <c r="A51" s="154" t="s">
        <v>77</v>
      </c>
      <c r="B51" s="154" t="s">
        <v>1373</v>
      </c>
      <c r="C51" s="155">
        <v>0.71180555555555547</v>
      </c>
      <c r="D51" s="154" t="s">
        <v>101</v>
      </c>
      <c r="E51" s="154" t="s">
        <v>29</v>
      </c>
      <c r="F51" s="154" t="s">
        <v>1390</v>
      </c>
      <c r="G51" s="298"/>
      <c r="H51" s="157" t="s">
        <v>1374</v>
      </c>
      <c r="I51" s="254">
        <v>0.49719999999999998</v>
      </c>
      <c r="J51" s="159">
        <v>89</v>
      </c>
      <c r="K51" s="160">
        <v>45980</v>
      </c>
      <c r="L51" s="159">
        <v>25</v>
      </c>
      <c r="M51" s="159">
        <v>1</v>
      </c>
      <c r="N51" s="159">
        <v>11</v>
      </c>
      <c r="O51" s="161" t="s">
        <v>205</v>
      </c>
      <c r="P51" s="162">
        <v>0.71180555555555547</v>
      </c>
      <c r="Q51" s="159">
        <v>179</v>
      </c>
      <c r="R51" s="163" t="s">
        <v>1391</v>
      </c>
    </row>
    <row r="52" spans="1:18" ht="49.95" customHeight="1" thickBot="1" x14ac:dyDescent="0.35">
      <c r="A52" s="231" t="s">
        <v>48</v>
      </c>
      <c r="B52" s="231" t="s">
        <v>1376</v>
      </c>
      <c r="C52" s="232">
        <v>0.98263888888888884</v>
      </c>
      <c r="D52" s="231" t="s">
        <v>50</v>
      </c>
      <c r="E52" s="231" t="s">
        <v>63</v>
      </c>
      <c r="F52" s="231" t="s">
        <v>1392</v>
      </c>
      <c r="G52" s="299"/>
      <c r="H52" s="41"/>
      <c r="I52" s="42"/>
      <c r="J52" s="42"/>
      <c r="K52" s="42"/>
      <c r="L52" s="42"/>
      <c r="M52" s="42"/>
      <c r="N52" s="42"/>
      <c r="O52" s="43"/>
      <c r="P52" s="42"/>
      <c r="Q52" s="44"/>
      <c r="R52" s="45"/>
    </row>
    <row r="53" spans="1:18" ht="17.399999999999999" customHeight="1" thickBot="1" x14ac:dyDescent="0.35">
      <c r="A53" s="329"/>
      <c r="B53" s="330"/>
      <c r="C53" s="330"/>
      <c r="D53" s="330"/>
      <c r="E53" s="330"/>
      <c r="F53" s="330"/>
      <c r="G53" s="330"/>
      <c r="H53" s="330"/>
      <c r="I53" s="330"/>
      <c r="J53" s="330"/>
      <c r="K53" s="330"/>
      <c r="L53" s="330"/>
      <c r="M53" s="330"/>
      <c r="N53" s="330"/>
      <c r="O53" s="330"/>
      <c r="P53" s="330"/>
      <c r="Q53" s="330"/>
      <c r="R53" s="331"/>
    </row>
    <row r="54" spans="1:18" ht="22.05" customHeight="1" thickTop="1" thickBot="1" x14ac:dyDescent="0.35">
      <c r="A54" s="300" t="s">
        <v>6</v>
      </c>
      <c r="B54" s="295"/>
      <c r="C54" s="295"/>
      <c r="D54" s="295"/>
      <c r="E54" s="295"/>
      <c r="F54" s="296"/>
      <c r="G54" s="31">
        <v>45989</v>
      </c>
      <c r="H54" s="294" t="s">
        <v>7</v>
      </c>
      <c r="I54" s="295"/>
      <c r="J54" s="295"/>
      <c r="K54" s="295"/>
      <c r="L54" s="295"/>
      <c r="M54" s="295"/>
      <c r="N54" s="295"/>
      <c r="O54" s="295"/>
      <c r="P54" s="295"/>
      <c r="Q54" s="295"/>
      <c r="R54" s="296"/>
    </row>
    <row r="55" spans="1:18" ht="24" customHeight="1" x14ac:dyDescent="0.3">
      <c r="A55" s="32" t="s">
        <v>8</v>
      </c>
      <c r="B55" s="32" t="s">
        <v>9</v>
      </c>
      <c r="C55" s="33" t="s">
        <v>10</v>
      </c>
      <c r="D55" s="32" t="s">
        <v>11</v>
      </c>
      <c r="E55" s="32" t="s">
        <v>12</v>
      </c>
      <c r="F55" s="34" t="s">
        <v>13</v>
      </c>
      <c r="G55" s="35" t="s">
        <v>14</v>
      </c>
      <c r="H55" s="32" t="s">
        <v>15</v>
      </c>
      <c r="I55" s="36" t="s">
        <v>16</v>
      </c>
      <c r="J55" s="37" t="s">
        <v>17</v>
      </c>
      <c r="K55" s="38" t="s">
        <v>18</v>
      </c>
      <c r="L55" s="37" t="s">
        <v>19</v>
      </c>
      <c r="M55" s="37" t="s">
        <v>20</v>
      </c>
      <c r="N55" s="37" t="s">
        <v>21</v>
      </c>
      <c r="O55" s="32" t="s">
        <v>22</v>
      </c>
      <c r="P55" s="33" t="s">
        <v>23</v>
      </c>
      <c r="Q55" s="37" t="s">
        <v>24</v>
      </c>
      <c r="R55" s="32" t="s">
        <v>25</v>
      </c>
    </row>
    <row r="56" spans="1:18" ht="49.95" customHeight="1" x14ac:dyDescent="0.3">
      <c r="A56" s="8" t="s">
        <v>388</v>
      </c>
      <c r="B56" s="8" t="s">
        <v>1378</v>
      </c>
      <c r="C56" s="9">
        <v>0.49652777777777768</v>
      </c>
      <c r="D56" s="8" t="s">
        <v>461</v>
      </c>
      <c r="E56" s="8" t="s">
        <v>138</v>
      </c>
      <c r="F56" s="8" t="s">
        <v>1393</v>
      </c>
      <c r="G56" s="304"/>
      <c r="H56" s="10"/>
      <c r="I56" s="11"/>
      <c r="J56" s="11"/>
      <c r="K56" s="11"/>
      <c r="L56" s="11"/>
      <c r="M56" s="11"/>
      <c r="N56" s="11"/>
      <c r="O56" s="12"/>
      <c r="P56" s="11"/>
      <c r="Q56" s="13"/>
      <c r="R56" s="14"/>
    </row>
    <row r="57" spans="1:18" ht="49.95" customHeight="1" x14ac:dyDescent="0.3">
      <c r="A57" s="19" t="s">
        <v>385</v>
      </c>
      <c r="B57" s="19" t="s">
        <v>1381</v>
      </c>
      <c r="C57" s="20">
        <v>0.75694444444444453</v>
      </c>
      <c r="D57" s="19" t="s">
        <v>101</v>
      </c>
      <c r="E57" s="19" t="s">
        <v>96</v>
      </c>
      <c r="F57" s="19" t="s">
        <v>1394</v>
      </c>
      <c r="G57" s="298"/>
      <c r="H57" s="10"/>
      <c r="I57" s="11"/>
      <c r="J57" s="11"/>
      <c r="K57" s="11"/>
      <c r="L57" s="11"/>
      <c r="M57" s="11"/>
      <c r="N57" s="11"/>
      <c r="O57" s="12"/>
      <c r="P57" s="11"/>
      <c r="Q57" s="13"/>
      <c r="R57" s="14"/>
    </row>
    <row r="58" spans="1:18" ht="49.95" customHeight="1" thickBot="1" x14ac:dyDescent="0.35">
      <c r="A58" s="231" t="s">
        <v>48</v>
      </c>
      <c r="B58" s="231" t="s">
        <v>1376</v>
      </c>
      <c r="C58" s="232">
        <v>0.98263888888888884</v>
      </c>
      <c r="D58" s="231" t="s">
        <v>50</v>
      </c>
      <c r="E58" s="231" t="s">
        <v>51</v>
      </c>
      <c r="F58" s="231" t="s">
        <v>1395</v>
      </c>
      <c r="G58" s="299"/>
      <c r="H58" s="41"/>
      <c r="I58" s="42"/>
      <c r="J58" s="42"/>
      <c r="K58" s="42"/>
      <c r="L58" s="42"/>
      <c r="M58" s="42"/>
      <c r="N58" s="42"/>
      <c r="O58" s="43"/>
      <c r="P58" s="42"/>
      <c r="Q58" s="44"/>
      <c r="R58" s="45"/>
    </row>
    <row r="59" spans="1:18" ht="17.399999999999999" customHeight="1" thickBot="1" x14ac:dyDescent="0.35">
      <c r="A59" s="329"/>
      <c r="B59" s="330"/>
      <c r="C59" s="330"/>
      <c r="D59" s="330"/>
      <c r="E59" s="330"/>
      <c r="F59" s="330"/>
      <c r="G59" s="330"/>
      <c r="H59" s="330"/>
      <c r="I59" s="330"/>
      <c r="J59" s="330"/>
      <c r="K59" s="330"/>
      <c r="L59" s="330"/>
      <c r="M59" s="330"/>
      <c r="N59" s="330"/>
      <c r="O59" s="330"/>
      <c r="P59" s="330"/>
      <c r="Q59" s="330"/>
      <c r="R59" s="331"/>
    </row>
    <row r="60" spans="1:18" ht="22.05" customHeight="1" thickTop="1" thickBot="1" x14ac:dyDescent="0.35">
      <c r="A60" s="300" t="s">
        <v>6</v>
      </c>
      <c r="B60" s="295"/>
      <c r="C60" s="295"/>
      <c r="D60" s="295"/>
      <c r="E60" s="295"/>
      <c r="F60" s="296"/>
      <c r="G60" s="31">
        <v>45990</v>
      </c>
      <c r="H60" s="294" t="s">
        <v>7</v>
      </c>
      <c r="I60" s="295"/>
      <c r="J60" s="295"/>
      <c r="K60" s="295"/>
      <c r="L60" s="295"/>
      <c r="M60" s="295"/>
      <c r="N60" s="295"/>
      <c r="O60" s="295"/>
      <c r="P60" s="295"/>
      <c r="Q60" s="295"/>
      <c r="R60" s="296"/>
    </row>
    <row r="61" spans="1:18" ht="24" customHeight="1" x14ac:dyDescent="0.3">
      <c r="A61" s="32" t="s">
        <v>8</v>
      </c>
      <c r="B61" s="32" t="s">
        <v>9</v>
      </c>
      <c r="C61" s="33" t="s">
        <v>10</v>
      </c>
      <c r="D61" s="32" t="s">
        <v>11</v>
      </c>
      <c r="E61" s="32" t="s">
        <v>12</v>
      </c>
      <c r="F61" s="34" t="s">
        <v>13</v>
      </c>
      <c r="G61" s="35" t="s">
        <v>14</v>
      </c>
      <c r="H61" s="32" t="s">
        <v>15</v>
      </c>
      <c r="I61" s="36" t="s">
        <v>16</v>
      </c>
      <c r="J61" s="37" t="s">
        <v>17</v>
      </c>
      <c r="K61" s="38" t="s">
        <v>18</v>
      </c>
      <c r="L61" s="37" t="s">
        <v>19</v>
      </c>
      <c r="M61" s="37" t="s">
        <v>20</v>
      </c>
      <c r="N61" s="37" t="s">
        <v>21</v>
      </c>
      <c r="O61" s="32" t="s">
        <v>22</v>
      </c>
      <c r="P61" s="33" t="s">
        <v>23</v>
      </c>
      <c r="Q61" s="37" t="s">
        <v>24</v>
      </c>
      <c r="R61" s="32" t="s">
        <v>25</v>
      </c>
    </row>
    <row r="62" spans="1:18" ht="49.95" customHeight="1" x14ac:dyDescent="0.3">
      <c r="A62" s="8" t="s">
        <v>458</v>
      </c>
      <c r="B62" s="8" t="s">
        <v>1382</v>
      </c>
      <c r="C62" s="9">
        <v>2.0833333333333329E-2</v>
      </c>
      <c r="D62" s="8" t="s">
        <v>101</v>
      </c>
      <c r="E62" s="8" t="s">
        <v>51</v>
      </c>
      <c r="F62" s="8" t="s">
        <v>1396</v>
      </c>
      <c r="G62" s="297"/>
      <c r="H62" s="10"/>
      <c r="I62" s="11"/>
      <c r="J62" s="11"/>
      <c r="K62" s="11"/>
      <c r="L62" s="11"/>
      <c r="M62" s="11"/>
      <c r="N62" s="11"/>
      <c r="O62" s="12"/>
      <c r="P62" s="11"/>
      <c r="Q62" s="13"/>
      <c r="R62" s="14"/>
    </row>
    <row r="63" spans="1:18" ht="49.95" customHeight="1" x14ac:dyDescent="0.3">
      <c r="A63" s="19" t="s">
        <v>385</v>
      </c>
      <c r="B63" s="19" t="s">
        <v>1371</v>
      </c>
      <c r="C63" s="20">
        <v>0.75694444444444453</v>
      </c>
      <c r="D63" s="19" t="s">
        <v>101</v>
      </c>
      <c r="E63" s="19" t="s">
        <v>63</v>
      </c>
      <c r="F63" s="19" t="s">
        <v>1394</v>
      </c>
      <c r="G63" s="298"/>
      <c r="H63" s="10"/>
      <c r="I63" s="11"/>
      <c r="J63" s="11"/>
      <c r="K63" s="11"/>
      <c r="L63" s="11"/>
      <c r="M63" s="11"/>
      <c r="N63" s="11"/>
      <c r="O63" s="12"/>
      <c r="P63" s="11"/>
      <c r="Q63" s="13"/>
      <c r="R63" s="14"/>
    </row>
    <row r="64" spans="1:18" ht="49.95" customHeight="1" thickBot="1" x14ac:dyDescent="0.35">
      <c r="A64" s="46" t="s">
        <v>77</v>
      </c>
      <c r="B64" s="46" t="s">
        <v>1373</v>
      </c>
      <c r="C64" s="47">
        <v>0.83680555555555547</v>
      </c>
      <c r="D64" s="46" t="s">
        <v>101</v>
      </c>
      <c r="E64" s="46" t="s">
        <v>63</v>
      </c>
      <c r="F64" s="46" t="s">
        <v>1397</v>
      </c>
      <c r="G64" s="299"/>
      <c r="H64" s="48" t="s">
        <v>1374</v>
      </c>
      <c r="I64" s="257">
        <v>0.60340000000000005</v>
      </c>
      <c r="J64" s="50">
        <v>108</v>
      </c>
      <c r="K64" s="51">
        <v>45979</v>
      </c>
      <c r="L64" s="50">
        <v>3</v>
      </c>
      <c r="M64" s="50">
        <v>0</v>
      </c>
      <c r="N64" s="50">
        <v>1</v>
      </c>
      <c r="O64" s="52" t="s">
        <v>538</v>
      </c>
      <c r="P64" s="53">
        <v>0.83680555555555547</v>
      </c>
      <c r="Q64" s="50">
        <v>179</v>
      </c>
      <c r="R64" s="54" t="s">
        <v>1398</v>
      </c>
    </row>
    <row r="65" spans="1:18" ht="17.399999999999999" customHeight="1" thickBot="1" x14ac:dyDescent="0.35">
      <c r="A65" s="329"/>
      <c r="B65" s="330"/>
      <c r="C65" s="330"/>
      <c r="D65" s="330"/>
      <c r="E65" s="330"/>
      <c r="F65" s="330"/>
      <c r="G65" s="330"/>
      <c r="H65" s="330"/>
      <c r="I65" s="330"/>
      <c r="J65" s="330"/>
      <c r="K65" s="330"/>
      <c r="L65" s="330"/>
      <c r="M65" s="330"/>
      <c r="N65" s="330"/>
      <c r="O65" s="330"/>
      <c r="P65" s="330"/>
      <c r="Q65" s="330"/>
      <c r="R65" s="331"/>
    </row>
    <row r="66" spans="1:18" ht="22.05" customHeight="1" thickTop="1" thickBot="1" x14ac:dyDescent="0.35">
      <c r="A66" s="300" t="s">
        <v>6</v>
      </c>
      <c r="B66" s="295"/>
      <c r="C66" s="295"/>
      <c r="D66" s="295"/>
      <c r="E66" s="295"/>
      <c r="F66" s="296"/>
      <c r="G66" s="31">
        <v>45991</v>
      </c>
      <c r="H66" s="294" t="s">
        <v>7</v>
      </c>
      <c r="I66" s="295"/>
      <c r="J66" s="295"/>
      <c r="K66" s="295"/>
      <c r="L66" s="295"/>
      <c r="M66" s="295"/>
      <c r="N66" s="295"/>
      <c r="O66" s="295"/>
      <c r="P66" s="295"/>
      <c r="Q66" s="295"/>
      <c r="R66" s="296"/>
    </row>
    <row r="67" spans="1:18" ht="24" customHeight="1" x14ac:dyDescent="0.3">
      <c r="A67" s="32" t="s">
        <v>8</v>
      </c>
      <c r="B67" s="32" t="s">
        <v>9</v>
      </c>
      <c r="C67" s="33" t="s">
        <v>10</v>
      </c>
      <c r="D67" s="32" t="s">
        <v>11</v>
      </c>
      <c r="E67" s="32" t="s">
        <v>12</v>
      </c>
      <c r="F67" s="34" t="s">
        <v>13</v>
      </c>
      <c r="G67" s="35" t="s">
        <v>14</v>
      </c>
      <c r="H67" s="32" t="s">
        <v>15</v>
      </c>
      <c r="I67" s="36" t="s">
        <v>16</v>
      </c>
      <c r="J67" s="37" t="s">
        <v>17</v>
      </c>
      <c r="K67" s="38" t="s">
        <v>18</v>
      </c>
      <c r="L67" s="37" t="s">
        <v>19</v>
      </c>
      <c r="M67" s="37" t="s">
        <v>20</v>
      </c>
      <c r="N67" s="37" t="s">
        <v>21</v>
      </c>
      <c r="O67" s="32" t="s">
        <v>22</v>
      </c>
      <c r="P67" s="33" t="s">
        <v>23</v>
      </c>
      <c r="Q67" s="37" t="s">
        <v>24</v>
      </c>
      <c r="R67" s="32" t="s">
        <v>25</v>
      </c>
    </row>
    <row r="68" spans="1:18" ht="49.95" customHeight="1" x14ac:dyDescent="0.3">
      <c r="A68" s="8" t="s">
        <v>388</v>
      </c>
      <c r="B68" s="8" t="s">
        <v>1378</v>
      </c>
      <c r="C68" s="9">
        <v>0.53819444444444442</v>
      </c>
      <c r="D68" s="8" t="s">
        <v>390</v>
      </c>
      <c r="E68" s="8" t="s">
        <v>138</v>
      </c>
      <c r="F68" s="8" t="s">
        <v>1385</v>
      </c>
      <c r="G68" s="297"/>
      <c r="H68" s="10"/>
      <c r="I68" s="11"/>
      <c r="J68" s="11"/>
      <c r="K68" s="11"/>
      <c r="L68" s="11"/>
      <c r="M68" s="11"/>
      <c r="N68" s="11"/>
      <c r="O68" s="12"/>
      <c r="P68" s="11"/>
      <c r="Q68" s="13"/>
      <c r="R68" s="14"/>
    </row>
    <row r="69" spans="1:18" ht="49.95" customHeight="1" x14ac:dyDescent="0.3">
      <c r="A69" s="15" t="s">
        <v>388</v>
      </c>
      <c r="B69" s="15" t="s">
        <v>1378</v>
      </c>
      <c r="C69" s="16">
        <v>0.53819444444444442</v>
      </c>
      <c r="D69" s="15" t="s">
        <v>46</v>
      </c>
      <c r="E69" s="15" t="s">
        <v>38</v>
      </c>
      <c r="F69" s="15" t="s">
        <v>1386</v>
      </c>
      <c r="G69" s="298"/>
      <c r="H69" s="10"/>
      <c r="I69" s="11"/>
      <c r="J69" s="11"/>
      <c r="K69" s="11"/>
      <c r="L69" s="11"/>
      <c r="M69" s="11"/>
      <c r="N69" s="11"/>
      <c r="O69" s="12"/>
      <c r="P69" s="11"/>
      <c r="Q69" s="13"/>
      <c r="R69" s="14"/>
    </row>
    <row r="70" spans="1:18" ht="49.95" customHeight="1" x14ac:dyDescent="0.3">
      <c r="A70" s="19" t="s">
        <v>458</v>
      </c>
      <c r="B70" s="19" t="s">
        <v>1382</v>
      </c>
      <c r="C70" s="20">
        <v>0.71527777777777779</v>
      </c>
      <c r="D70" s="19" t="s">
        <v>101</v>
      </c>
      <c r="E70" s="19" t="s">
        <v>51</v>
      </c>
      <c r="F70" s="19" t="s">
        <v>779</v>
      </c>
      <c r="G70" s="298"/>
      <c r="H70" s="10"/>
      <c r="I70" s="11"/>
      <c r="J70" s="11"/>
      <c r="K70" s="11"/>
      <c r="L70" s="11"/>
      <c r="M70" s="11"/>
      <c r="N70" s="11"/>
      <c r="O70" s="12"/>
      <c r="P70" s="11"/>
      <c r="Q70" s="13"/>
      <c r="R70" s="14"/>
    </row>
    <row r="71" spans="1:18" ht="49.95" customHeight="1" x14ac:dyDescent="0.3">
      <c r="A71" s="231" t="s">
        <v>385</v>
      </c>
      <c r="B71" s="231" t="s">
        <v>1399</v>
      </c>
      <c r="C71" s="232">
        <v>0.75694444444444453</v>
      </c>
      <c r="D71" s="231" t="s">
        <v>101</v>
      </c>
      <c r="E71" s="231" t="s">
        <v>139</v>
      </c>
      <c r="F71" s="231" t="s">
        <v>492</v>
      </c>
      <c r="G71" s="299"/>
      <c r="H71" s="41"/>
      <c r="I71" s="42"/>
      <c r="J71" s="42"/>
      <c r="K71" s="42"/>
      <c r="L71" s="42"/>
      <c r="M71" s="42"/>
      <c r="N71" s="42"/>
      <c r="O71" s="43"/>
      <c r="P71" s="42"/>
      <c r="Q71" s="44"/>
      <c r="R71" s="45"/>
    </row>
  </sheetData>
  <mergeCells count="50">
    <mergeCell ref="A59:R59"/>
    <mergeCell ref="A60:F60"/>
    <mergeCell ref="G6:G8"/>
    <mergeCell ref="H18:R18"/>
    <mergeCell ref="G62:G64"/>
    <mergeCell ref="G68:G71"/>
    <mergeCell ref="G20:G21"/>
    <mergeCell ref="A22:R22"/>
    <mergeCell ref="N1:R1"/>
    <mergeCell ref="G49:G52"/>
    <mergeCell ref="A53:R53"/>
    <mergeCell ref="A10:F10"/>
    <mergeCell ref="A28:F28"/>
    <mergeCell ref="G30:G33"/>
    <mergeCell ref="A38:R38"/>
    <mergeCell ref="K2:R2"/>
    <mergeCell ref="A9:R9"/>
    <mergeCell ref="G25:G26"/>
    <mergeCell ref="A39:F39"/>
    <mergeCell ref="H28:R28"/>
    <mergeCell ref="A34:R34"/>
    <mergeCell ref="H1:L1"/>
    <mergeCell ref="A1:E1"/>
    <mergeCell ref="A18:F18"/>
    <mergeCell ref="H10:R10"/>
    <mergeCell ref="A27:R27"/>
    <mergeCell ref="H4:R4"/>
    <mergeCell ref="A2:F2"/>
    <mergeCell ref="A3:R3"/>
    <mergeCell ref="A23:F23"/>
    <mergeCell ref="G2:J2"/>
    <mergeCell ref="A4:F4"/>
    <mergeCell ref="G12:G16"/>
    <mergeCell ref="A17:R17"/>
    <mergeCell ref="H23:R23"/>
    <mergeCell ref="A54:F54"/>
    <mergeCell ref="A65:R65"/>
    <mergeCell ref="H35:R35"/>
    <mergeCell ref="A66:F66"/>
    <mergeCell ref="A46:R46"/>
    <mergeCell ref="H54:R54"/>
    <mergeCell ref="A47:F47"/>
    <mergeCell ref="H39:R39"/>
    <mergeCell ref="G56:G58"/>
    <mergeCell ref="G41:G45"/>
    <mergeCell ref="H60:R60"/>
    <mergeCell ref="A35:F35"/>
    <mergeCell ref="H66:R66"/>
    <mergeCell ref="G37"/>
    <mergeCell ref="H47:R47"/>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J7"/>
  <sheetViews>
    <sheetView workbookViewId="0"/>
  </sheetViews>
  <sheetFormatPr defaultRowHeight="15.6" outlineLevelCol="1" x14ac:dyDescent="0.3"/>
  <cols>
    <col min="1" max="1" width="11.5546875" style="316" bestFit="1" customWidth="1"/>
    <col min="2" max="2" width="10.44140625" style="316" bestFit="1" customWidth="1"/>
    <col min="3" max="3" width="6.77734375" style="316" bestFit="1" customWidth="1"/>
    <col min="4" max="4" width="5.5546875" style="316" bestFit="1" customWidth="1"/>
    <col min="5" max="5" width="8.3320312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1" width="3.88671875" style="316" bestFit="1" customWidth="1"/>
    <col min="22" max="22" width="4.21875" style="316" bestFit="1" customWidth="1"/>
    <col min="23" max="23" width="4.33203125" style="316" bestFit="1" customWidth="1"/>
    <col min="24" max="24" width="4.109375" style="316" bestFit="1" customWidth="1"/>
    <col min="25" max="28" width="3.88671875" style="316" bestFit="1" customWidth="1"/>
    <col min="29" max="29" width="4.21875" style="316" bestFit="1" customWidth="1"/>
    <col min="30"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1374</v>
      </c>
      <c r="D2" s="320" t="s">
        <v>1400</v>
      </c>
      <c r="E2" s="319" t="s">
        <v>1370</v>
      </c>
      <c r="F2" s="319" t="s">
        <v>189</v>
      </c>
      <c r="G2" s="321">
        <v>0.35749999999999998</v>
      </c>
      <c r="H2" s="322">
        <v>179</v>
      </c>
      <c r="I2" s="322">
        <v>64</v>
      </c>
      <c r="J2" s="322">
        <v>0</v>
      </c>
      <c r="K2" s="319" t="s">
        <v>190</v>
      </c>
      <c r="L2" s="323">
        <v>45979</v>
      </c>
      <c r="M2" s="322">
        <v>0</v>
      </c>
      <c r="N2" s="322">
        <v>5</v>
      </c>
      <c r="O2" s="322">
        <v>33</v>
      </c>
      <c r="P2" s="319" t="s">
        <v>210</v>
      </c>
      <c r="Q2" s="315"/>
      <c r="R2" s="315"/>
      <c r="S2" s="315"/>
      <c r="T2" s="315"/>
      <c r="U2" s="315"/>
      <c r="V2" s="315"/>
      <c r="W2" s="315"/>
      <c r="X2" s="315"/>
      <c r="Y2" s="315"/>
      <c r="Z2" s="322" t="s">
        <v>192</v>
      </c>
      <c r="AA2" s="315"/>
      <c r="AB2" s="315"/>
      <c r="AC2" s="315"/>
      <c r="AD2" s="322" t="s">
        <v>873</v>
      </c>
      <c r="AE2" s="322" t="s">
        <v>225</v>
      </c>
      <c r="AF2" s="322" t="s">
        <v>1401</v>
      </c>
      <c r="AG2" s="315"/>
      <c r="AH2" s="315"/>
      <c r="AI2" s="315"/>
      <c r="AJ2" s="315"/>
    </row>
    <row r="3" spans="1:36" x14ac:dyDescent="0.3">
      <c r="A3" s="317" t="s">
        <v>199</v>
      </c>
      <c r="B3" s="318">
        <v>45983</v>
      </c>
      <c r="C3" s="319" t="s">
        <v>1374</v>
      </c>
      <c r="D3" s="320" t="s">
        <v>752</v>
      </c>
      <c r="E3" s="319" t="s">
        <v>1370</v>
      </c>
      <c r="F3" s="319" t="s">
        <v>1402</v>
      </c>
      <c r="G3" s="321">
        <v>0.68810000000000004</v>
      </c>
      <c r="H3" s="322">
        <v>109</v>
      </c>
      <c r="I3" s="322">
        <v>75</v>
      </c>
      <c r="J3" s="322">
        <v>0</v>
      </c>
      <c r="K3" s="319" t="s">
        <v>190</v>
      </c>
      <c r="L3" s="323">
        <v>45980</v>
      </c>
      <c r="M3" s="322">
        <v>2</v>
      </c>
      <c r="N3" s="322">
        <v>14</v>
      </c>
      <c r="O3" s="322">
        <v>42</v>
      </c>
      <c r="P3" s="319" t="s">
        <v>316</v>
      </c>
      <c r="Q3" s="315"/>
      <c r="R3" s="315"/>
      <c r="S3" s="315"/>
      <c r="T3" s="315"/>
      <c r="U3" s="315"/>
      <c r="V3" s="315"/>
      <c r="W3" s="315"/>
      <c r="X3" s="315"/>
      <c r="Y3" s="315"/>
      <c r="Z3" s="322" t="s">
        <v>376</v>
      </c>
      <c r="AA3" s="315"/>
      <c r="AB3" s="315"/>
      <c r="AC3" s="315"/>
      <c r="AD3" s="322" t="s">
        <v>873</v>
      </c>
      <c r="AE3" s="322" t="s">
        <v>1403</v>
      </c>
      <c r="AF3" s="322" t="s">
        <v>1401</v>
      </c>
      <c r="AG3" s="315"/>
      <c r="AH3" s="315"/>
      <c r="AI3" s="315"/>
      <c r="AJ3" s="315"/>
    </row>
    <row r="4" spans="1:36" x14ac:dyDescent="0.3">
      <c r="A4" s="317" t="s">
        <v>290</v>
      </c>
      <c r="B4" s="318">
        <v>45987</v>
      </c>
      <c r="C4" s="319" t="s">
        <v>1374</v>
      </c>
      <c r="D4" s="320" t="s">
        <v>1400</v>
      </c>
      <c r="E4" s="319" t="s">
        <v>1370</v>
      </c>
      <c r="F4" s="319" t="s">
        <v>189</v>
      </c>
      <c r="G4" s="321">
        <v>0.30170000000000002</v>
      </c>
      <c r="H4" s="322">
        <v>179</v>
      </c>
      <c r="I4" s="322">
        <v>54</v>
      </c>
      <c r="J4" s="322">
        <v>0</v>
      </c>
      <c r="K4" s="319" t="s">
        <v>190</v>
      </c>
      <c r="L4" s="323">
        <v>45979</v>
      </c>
      <c r="M4" s="322">
        <v>0</v>
      </c>
      <c r="N4" s="322">
        <v>1</v>
      </c>
      <c r="O4" s="322">
        <v>7</v>
      </c>
      <c r="P4" s="319" t="s">
        <v>221</v>
      </c>
      <c r="Q4" s="315"/>
      <c r="R4" s="315"/>
      <c r="S4" s="315"/>
      <c r="T4" s="315"/>
      <c r="U4" s="315"/>
      <c r="V4" s="315"/>
      <c r="W4" s="315"/>
      <c r="X4" s="315"/>
      <c r="Y4" s="315"/>
      <c r="Z4" s="315"/>
      <c r="AA4" s="315"/>
      <c r="AB4" s="315"/>
      <c r="AC4" s="315"/>
      <c r="AD4" s="322" t="s">
        <v>868</v>
      </c>
      <c r="AE4" s="322" t="s">
        <v>609</v>
      </c>
      <c r="AF4" s="322" t="s">
        <v>1182</v>
      </c>
      <c r="AG4" s="315"/>
      <c r="AH4" s="315"/>
      <c r="AI4" s="315"/>
      <c r="AJ4" s="315"/>
    </row>
    <row r="5" spans="1:36" x14ac:dyDescent="0.3">
      <c r="A5" s="317" t="s">
        <v>187</v>
      </c>
      <c r="B5" s="318">
        <v>45988</v>
      </c>
      <c r="C5" s="319" t="s">
        <v>1374</v>
      </c>
      <c r="D5" s="320" t="s">
        <v>1400</v>
      </c>
      <c r="E5" s="319" t="s">
        <v>1370</v>
      </c>
      <c r="F5" s="319" t="s">
        <v>189</v>
      </c>
      <c r="G5" s="321">
        <v>0.49719999999999998</v>
      </c>
      <c r="H5" s="322">
        <v>179</v>
      </c>
      <c r="I5" s="322">
        <v>89</v>
      </c>
      <c r="J5" s="322">
        <v>0</v>
      </c>
      <c r="K5" s="319" t="s">
        <v>190</v>
      </c>
      <c r="L5" s="323">
        <v>45980</v>
      </c>
      <c r="M5" s="322">
        <v>1</v>
      </c>
      <c r="N5" s="322">
        <v>11</v>
      </c>
      <c r="O5" s="322">
        <v>25</v>
      </c>
      <c r="P5" s="319" t="s">
        <v>205</v>
      </c>
      <c r="Q5" s="315"/>
      <c r="R5" s="315"/>
      <c r="S5" s="315"/>
      <c r="T5" s="315"/>
      <c r="U5" s="315"/>
      <c r="V5" s="315"/>
      <c r="W5" s="315"/>
      <c r="X5" s="315"/>
      <c r="Y5" s="315"/>
      <c r="Z5" s="315"/>
      <c r="AA5" s="315"/>
      <c r="AB5" s="322" t="s">
        <v>215</v>
      </c>
      <c r="AC5" s="322" t="s">
        <v>193</v>
      </c>
      <c r="AD5" s="322" t="s">
        <v>216</v>
      </c>
      <c r="AE5" s="322" t="s">
        <v>620</v>
      </c>
      <c r="AF5" s="322" t="s">
        <v>582</v>
      </c>
      <c r="AG5" s="315"/>
      <c r="AH5" s="315"/>
      <c r="AI5" s="315"/>
      <c r="AJ5" s="315"/>
    </row>
    <row r="6" spans="1:36" x14ac:dyDescent="0.3">
      <c r="A6" s="317" t="s">
        <v>199</v>
      </c>
      <c r="B6" s="318">
        <v>45990</v>
      </c>
      <c r="C6" s="319" t="s">
        <v>1374</v>
      </c>
      <c r="D6" s="320" t="s">
        <v>752</v>
      </c>
      <c r="E6" s="319" t="s">
        <v>1370</v>
      </c>
      <c r="F6" s="319" t="s">
        <v>189</v>
      </c>
      <c r="G6" s="321">
        <v>0.60340000000000005</v>
      </c>
      <c r="H6" s="322">
        <v>179</v>
      </c>
      <c r="I6" s="322">
        <v>108</v>
      </c>
      <c r="J6" s="322">
        <v>0</v>
      </c>
      <c r="K6" s="319" t="s">
        <v>190</v>
      </c>
      <c r="L6" s="323">
        <v>45979</v>
      </c>
      <c r="M6" s="322">
        <v>0</v>
      </c>
      <c r="N6" s="322">
        <v>1</v>
      </c>
      <c r="O6" s="322">
        <v>3</v>
      </c>
      <c r="P6" s="319" t="s">
        <v>538</v>
      </c>
      <c r="Q6" s="315"/>
      <c r="R6" s="315"/>
      <c r="S6" s="315"/>
      <c r="T6" s="322" t="s">
        <v>1250</v>
      </c>
      <c r="U6" s="322" t="s">
        <v>542</v>
      </c>
      <c r="V6" s="322" t="s">
        <v>1404</v>
      </c>
      <c r="W6" s="322" t="s">
        <v>1405</v>
      </c>
      <c r="X6" s="322" t="s">
        <v>737</v>
      </c>
      <c r="Y6" s="322" t="s">
        <v>671</v>
      </c>
      <c r="Z6" s="315"/>
      <c r="AA6" s="315"/>
      <c r="AB6" s="322" t="s">
        <v>975</v>
      </c>
      <c r="AC6" s="322" t="s">
        <v>627</v>
      </c>
      <c r="AD6" s="322" t="s">
        <v>881</v>
      </c>
      <c r="AE6" s="322" t="s">
        <v>284</v>
      </c>
      <c r="AF6" s="322" t="s">
        <v>677</v>
      </c>
      <c r="AG6" s="315"/>
      <c r="AH6" s="315"/>
      <c r="AI6" s="315"/>
      <c r="AJ6" s="315"/>
    </row>
    <row r="7" spans="1:36" ht="21" x14ac:dyDescent="0.3">
      <c r="A7" s="324" t="s">
        <v>1638</v>
      </c>
      <c r="B7" s="325"/>
      <c r="C7" s="324">
        <f>SUBTOTAL(103,CAI_TUU_LF_LEGACY[Flt])</f>
        <v>5</v>
      </c>
      <c r="D7" s="324"/>
      <c r="E7" s="324">
        <f>SUBTOTAL(103,CAI_TUU_LF_LEGACY[Brd-Off])</f>
        <v>5</v>
      </c>
      <c r="F7" s="324"/>
      <c r="G7" s="326">
        <f>SUBTOTAL(101,CAI_TUU_LF_LEGACY[LF%])</f>
        <v>0.48958000000000002</v>
      </c>
      <c r="H7" s="327">
        <f>SUBTOTAL(109,CAI_TUU_LF_LEGACY[CAP])</f>
        <v>825</v>
      </c>
      <c r="I7" s="327">
        <f>SUBTOTAL(109,CAI_TUU_LF_LEGACY[BKG(Y)])</f>
        <v>390</v>
      </c>
      <c r="J7" s="327">
        <f>SUBTOTAL(109,CAI_TUU_LF_LEGACY[GRP(Y)])</f>
        <v>0</v>
      </c>
      <c r="K7" s="324"/>
      <c r="L7" s="325"/>
      <c r="M7" s="327">
        <f>SUBTOTAL(109,CAI_TUU_LF_LEGACY[TO-DAY])</f>
        <v>3</v>
      </c>
      <c r="N7" s="327">
        <f>SUBTOTAL(109,CAI_TUU_LF_LEGACY[Y-DAY])</f>
        <v>32</v>
      </c>
      <c r="O7" s="327">
        <f>SUBTOTAL(109,CAI_TUU_LF_LEGACY[WEEKLY])</f>
        <v>110</v>
      </c>
      <c r="P7" s="328"/>
      <c r="Q7" s="327">
        <f>SUBTOTAL(109,CAI_TUU_LF_LEGACY[Y])</f>
        <v>0</v>
      </c>
      <c r="R7" s="327">
        <f>SUBTOTAL(109,CAI_TUU_LF_LEGACY[B])</f>
        <v>0</v>
      </c>
      <c r="S7" s="327">
        <f>SUBTOTAL(109,CAI_TUU_LF_LEGACY[M])</f>
        <v>0</v>
      </c>
      <c r="T7" s="327">
        <f>SUBTOTAL(109,CAI_TUU_LF_LEGACY[H])</f>
        <v>0</v>
      </c>
      <c r="U7" s="327">
        <f>SUBTOTAL(109,CAI_TUU_LF_LEGACY[Q])</f>
        <v>0</v>
      </c>
      <c r="V7" s="327">
        <f>SUBTOTAL(109,CAI_TUU_LF_LEGACY[K])</f>
        <v>0</v>
      </c>
      <c r="W7" s="327">
        <f>SUBTOTAL(109,CAI_TUU_LF_LEGACY[V])</f>
        <v>0</v>
      </c>
      <c r="X7" s="327">
        <f>SUBTOTAL(109,CAI_TUU_LF_LEGACY[L])</f>
        <v>0</v>
      </c>
      <c r="Y7" s="327">
        <f>SUBTOTAL(109,CAI_TUU_LF_LEGACY[G])</f>
        <v>0</v>
      </c>
      <c r="Z7" s="327">
        <f>SUBTOTAL(109,CAI_TUU_LF_LEGACY[S])</f>
        <v>0</v>
      </c>
      <c r="AA7" s="327">
        <f>SUBTOTAL(109,CAI_TUU_LF_LEGACY[W])</f>
        <v>0</v>
      </c>
      <c r="AB7" s="327">
        <f>SUBTOTAL(109,CAI_TUU_LF_LEGACY[T])</f>
        <v>0</v>
      </c>
      <c r="AC7" s="327">
        <f>SUBTOTAL(109,CAI_TUU_LF_LEGACY[X])</f>
        <v>0</v>
      </c>
      <c r="AD7" s="327">
        <f>SUBTOTAL(109,CAI_TUU_LF_LEGACY[U])</f>
        <v>0</v>
      </c>
      <c r="AE7" s="327">
        <f>SUBTOTAL(109,CAI_TUU_LF_LEGACY[O])</f>
        <v>0</v>
      </c>
      <c r="AF7" s="327">
        <f>SUBTOTAL(109,CAI_TUU_LF_LEGACY[I])</f>
        <v>0</v>
      </c>
      <c r="AG7" s="327">
        <f>SUBTOTAL(109,CAI_TUU_LF_LEGACY[E])</f>
        <v>0</v>
      </c>
      <c r="AH7" s="327">
        <f>SUBTOTAL(109,CAI_TUU_LF_LEGACY[A])</f>
        <v>0</v>
      </c>
      <c r="AI7" s="327">
        <f>SUBTOTAL(109,CAI_TUU_LF_LEGACY[P])</f>
        <v>0</v>
      </c>
      <c r="AJ7" s="327">
        <f>SUBTOTAL(103,CAI_TUU_LF_LEGACY[N])</f>
        <v>0</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3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6.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385</v>
      </c>
      <c r="C2" s="105" t="s">
        <v>1371</v>
      </c>
      <c r="D2" s="104" t="s">
        <v>1370</v>
      </c>
      <c r="E2" s="104" t="s">
        <v>667</v>
      </c>
      <c r="F2" s="104" t="s">
        <v>101</v>
      </c>
      <c r="G2" s="106">
        <v>9</v>
      </c>
      <c r="H2" s="107" t="s">
        <v>1372</v>
      </c>
    </row>
    <row r="3" spans="1:8" ht="19.8" customHeight="1" x14ac:dyDescent="0.3">
      <c r="A3" s="174" t="s">
        <v>235</v>
      </c>
      <c r="B3" s="121" t="s">
        <v>77</v>
      </c>
      <c r="C3" s="122" t="s">
        <v>1373</v>
      </c>
      <c r="D3" s="121" t="s">
        <v>1370</v>
      </c>
      <c r="E3" s="121" t="s">
        <v>1400</v>
      </c>
      <c r="F3" s="121" t="s">
        <v>101</v>
      </c>
      <c r="G3" s="124">
        <v>9</v>
      </c>
      <c r="H3" s="125" t="s">
        <v>779</v>
      </c>
    </row>
    <row r="4" spans="1:8" ht="19.8" customHeight="1" x14ac:dyDescent="0.3">
      <c r="A4" s="114">
        <v>45981</v>
      </c>
      <c r="B4" s="115" t="s">
        <v>48</v>
      </c>
      <c r="C4" s="116" t="s">
        <v>1376</v>
      </c>
      <c r="D4" s="115" t="s">
        <v>1370</v>
      </c>
      <c r="E4" s="117">
        <v>1.9826388888888891</v>
      </c>
      <c r="F4" s="115" t="s">
        <v>50</v>
      </c>
      <c r="G4" s="118">
        <v>9</v>
      </c>
      <c r="H4" s="119" t="s">
        <v>1377</v>
      </c>
    </row>
    <row r="5" spans="1:8" ht="19.8" customHeight="1" x14ac:dyDescent="0.3">
      <c r="A5" s="112">
        <v>45982</v>
      </c>
      <c r="B5" s="104" t="s">
        <v>388</v>
      </c>
      <c r="C5" s="105" t="s">
        <v>1378</v>
      </c>
      <c r="D5" s="104" t="s">
        <v>1370</v>
      </c>
      <c r="E5" s="113">
        <v>1.4965277777777779</v>
      </c>
      <c r="F5" s="104" t="s">
        <v>390</v>
      </c>
      <c r="G5" s="106">
        <v>9</v>
      </c>
      <c r="H5" s="107" t="s">
        <v>1379</v>
      </c>
    </row>
    <row r="6" spans="1:8" ht="19.8" customHeight="1" x14ac:dyDescent="0.3">
      <c r="A6" s="112">
        <v>45982</v>
      </c>
      <c r="B6" s="104" t="s">
        <v>385</v>
      </c>
      <c r="C6" s="105" t="s">
        <v>1381</v>
      </c>
      <c r="D6" s="104" t="s">
        <v>1370</v>
      </c>
      <c r="E6" s="113">
        <v>1.756944444444444</v>
      </c>
      <c r="F6" s="104" t="s">
        <v>101</v>
      </c>
      <c r="G6" s="106">
        <v>9</v>
      </c>
      <c r="H6" s="107" t="s">
        <v>1372</v>
      </c>
    </row>
    <row r="7" spans="1:8" ht="19.8" customHeight="1" x14ac:dyDescent="0.3">
      <c r="A7" s="112">
        <v>45982</v>
      </c>
      <c r="B7" s="104" t="s">
        <v>458</v>
      </c>
      <c r="C7" s="105" t="s">
        <v>1382</v>
      </c>
      <c r="D7" s="104" t="s">
        <v>1370</v>
      </c>
      <c r="E7" s="113">
        <v>1.9861111111111109</v>
      </c>
      <c r="F7" s="104" t="s">
        <v>101</v>
      </c>
      <c r="G7" s="106">
        <v>9</v>
      </c>
      <c r="H7" s="107" t="s">
        <v>779</v>
      </c>
    </row>
    <row r="8" spans="1:8" ht="19.8" customHeight="1" x14ac:dyDescent="0.3">
      <c r="A8" s="112">
        <v>45982</v>
      </c>
      <c r="B8" s="104" t="s">
        <v>48</v>
      </c>
      <c r="C8" s="105" t="s">
        <v>1376</v>
      </c>
      <c r="D8" s="104" t="s">
        <v>1370</v>
      </c>
      <c r="E8" s="113">
        <v>1.9826388888888891</v>
      </c>
      <c r="F8" s="104" t="s">
        <v>50</v>
      </c>
      <c r="G8" s="106">
        <v>9</v>
      </c>
      <c r="H8" s="107" t="s">
        <v>1377</v>
      </c>
    </row>
    <row r="9" spans="1:8" ht="19.8" customHeight="1" x14ac:dyDescent="0.3">
      <c r="A9" s="114">
        <v>45982</v>
      </c>
      <c r="B9" s="115" t="s">
        <v>388</v>
      </c>
      <c r="C9" s="116" t="s">
        <v>1378</v>
      </c>
      <c r="D9" s="115" t="s">
        <v>1370</v>
      </c>
      <c r="E9" s="117">
        <v>1.4965277777777779</v>
      </c>
      <c r="F9" s="115" t="s">
        <v>46</v>
      </c>
      <c r="G9" s="118">
        <v>9</v>
      </c>
      <c r="H9" s="119" t="s">
        <v>1380</v>
      </c>
    </row>
    <row r="10" spans="1:8" ht="19.8" customHeight="1" x14ac:dyDescent="0.3">
      <c r="A10" s="120">
        <v>45983</v>
      </c>
      <c r="B10" s="121" t="s">
        <v>77</v>
      </c>
      <c r="C10" s="122" t="s">
        <v>1373</v>
      </c>
      <c r="D10" s="121" t="s">
        <v>1370</v>
      </c>
      <c r="E10" s="123">
        <v>1.836805555555556</v>
      </c>
      <c r="F10" s="121" t="s">
        <v>101</v>
      </c>
      <c r="G10" s="124">
        <v>9</v>
      </c>
      <c r="H10" s="125" t="s">
        <v>1383</v>
      </c>
    </row>
    <row r="11" spans="1:8" ht="19.8" customHeight="1" x14ac:dyDescent="0.3">
      <c r="A11" s="114">
        <v>45983</v>
      </c>
      <c r="B11" s="115" t="s">
        <v>385</v>
      </c>
      <c r="C11" s="116" t="s">
        <v>1371</v>
      </c>
      <c r="D11" s="115" t="s">
        <v>1370</v>
      </c>
      <c r="E11" s="117">
        <v>1.756944444444444</v>
      </c>
      <c r="F11" s="115" t="s">
        <v>101</v>
      </c>
      <c r="G11" s="118">
        <v>7</v>
      </c>
      <c r="H11" s="119" t="s">
        <v>492</v>
      </c>
    </row>
    <row r="12" spans="1:8" ht="19.8" customHeight="1" x14ac:dyDescent="0.3">
      <c r="A12" s="112">
        <v>45984</v>
      </c>
      <c r="B12" s="104" t="s">
        <v>388</v>
      </c>
      <c r="C12" s="105" t="s">
        <v>1378</v>
      </c>
      <c r="D12" s="104" t="s">
        <v>1370</v>
      </c>
      <c r="E12" s="113">
        <v>1.538194444444444</v>
      </c>
      <c r="F12" s="104" t="s">
        <v>390</v>
      </c>
      <c r="G12" s="106">
        <v>9</v>
      </c>
      <c r="H12" s="107" t="s">
        <v>1385</v>
      </c>
    </row>
    <row r="13" spans="1:8" ht="19.8" customHeight="1" x14ac:dyDescent="0.3">
      <c r="A13" s="114">
        <v>45984</v>
      </c>
      <c r="B13" s="115" t="s">
        <v>388</v>
      </c>
      <c r="C13" s="116" t="s">
        <v>1378</v>
      </c>
      <c r="D13" s="115" t="s">
        <v>1370</v>
      </c>
      <c r="E13" s="117">
        <v>1.538194444444444</v>
      </c>
      <c r="F13" s="115" t="s">
        <v>46</v>
      </c>
      <c r="G13" s="118">
        <v>9</v>
      </c>
      <c r="H13" s="119" t="s">
        <v>1386</v>
      </c>
    </row>
    <row r="14" spans="1:8" ht="19.8" customHeight="1" x14ac:dyDescent="0.3">
      <c r="A14" s="112">
        <v>45985</v>
      </c>
      <c r="B14" s="104" t="s">
        <v>388</v>
      </c>
      <c r="C14" s="105" t="s">
        <v>1378</v>
      </c>
      <c r="D14" s="104" t="s">
        <v>1370</v>
      </c>
      <c r="E14" s="113">
        <v>1.538194444444444</v>
      </c>
      <c r="F14" s="104" t="s">
        <v>390</v>
      </c>
      <c r="G14" s="106">
        <v>9</v>
      </c>
      <c r="H14" s="107" t="s">
        <v>1387</v>
      </c>
    </row>
    <row r="15" spans="1:8" ht="19.8" customHeight="1" x14ac:dyDescent="0.3">
      <c r="A15" s="112">
        <v>45985</v>
      </c>
      <c r="B15" s="104" t="s">
        <v>385</v>
      </c>
      <c r="C15" s="105" t="s">
        <v>1381</v>
      </c>
      <c r="D15" s="104" t="s">
        <v>1370</v>
      </c>
      <c r="E15" s="113">
        <v>1.7152777777777779</v>
      </c>
      <c r="F15" s="104" t="s">
        <v>101</v>
      </c>
      <c r="G15" s="106">
        <v>9</v>
      </c>
      <c r="H15" s="107" t="s">
        <v>1372</v>
      </c>
    </row>
    <row r="16" spans="1:8" ht="19.8" customHeight="1" x14ac:dyDescent="0.3">
      <c r="A16" s="112">
        <v>45985</v>
      </c>
      <c r="B16" s="104" t="s">
        <v>48</v>
      </c>
      <c r="C16" s="105" t="s">
        <v>1376</v>
      </c>
      <c r="D16" s="104" t="s">
        <v>1370</v>
      </c>
      <c r="E16" s="113">
        <v>1.9826388888888891</v>
      </c>
      <c r="F16" s="104" t="s">
        <v>50</v>
      </c>
      <c r="G16" s="106">
        <v>9</v>
      </c>
      <c r="H16" s="107" t="s">
        <v>1377</v>
      </c>
    </row>
    <row r="17" spans="1:8" ht="19.8" customHeight="1" x14ac:dyDescent="0.3">
      <c r="A17" s="114">
        <v>45985</v>
      </c>
      <c r="B17" s="115" t="s">
        <v>388</v>
      </c>
      <c r="C17" s="116" t="s">
        <v>1378</v>
      </c>
      <c r="D17" s="115" t="s">
        <v>1370</v>
      </c>
      <c r="E17" s="117">
        <v>1.538194444444444</v>
      </c>
      <c r="F17" s="115" t="s">
        <v>46</v>
      </c>
      <c r="G17" s="118">
        <v>9</v>
      </c>
      <c r="H17" s="119" t="s">
        <v>1388</v>
      </c>
    </row>
    <row r="18" spans="1:8" ht="19.8" customHeight="1" x14ac:dyDescent="0.3">
      <c r="A18" s="114">
        <v>45986</v>
      </c>
      <c r="B18" s="115" t="s">
        <v>458</v>
      </c>
      <c r="C18" s="116" t="s">
        <v>1382</v>
      </c>
      <c r="D18" s="115" t="s">
        <v>1370</v>
      </c>
      <c r="E18" s="117">
        <v>1.78125</v>
      </c>
      <c r="F18" s="115" t="s">
        <v>101</v>
      </c>
      <c r="G18" s="118">
        <v>6</v>
      </c>
      <c r="H18" s="119" t="s">
        <v>779</v>
      </c>
    </row>
    <row r="19" spans="1:8" ht="19.8" customHeight="1" x14ac:dyDescent="0.3">
      <c r="A19" s="112">
        <v>45987</v>
      </c>
      <c r="B19" s="104" t="s">
        <v>388</v>
      </c>
      <c r="C19" s="105" t="s">
        <v>1378</v>
      </c>
      <c r="D19" s="104" t="s">
        <v>1370</v>
      </c>
      <c r="E19" s="113">
        <v>1.4965277777777779</v>
      </c>
      <c r="F19" s="104" t="s">
        <v>390</v>
      </c>
      <c r="G19" s="106">
        <v>9</v>
      </c>
      <c r="H19" s="107" t="s">
        <v>1387</v>
      </c>
    </row>
    <row r="20" spans="1:8" ht="19.8" customHeight="1" x14ac:dyDescent="0.3">
      <c r="A20" s="120">
        <v>45987</v>
      </c>
      <c r="B20" s="121" t="s">
        <v>77</v>
      </c>
      <c r="C20" s="122" t="s">
        <v>1373</v>
      </c>
      <c r="D20" s="121" t="s">
        <v>1370</v>
      </c>
      <c r="E20" s="123">
        <v>1.711805555555556</v>
      </c>
      <c r="F20" s="121" t="s">
        <v>101</v>
      </c>
      <c r="G20" s="124">
        <v>8</v>
      </c>
      <c r="H20" s="125" t="s">
        <v>779</v>
      </c>
    </row>
    <row r="21" spans="1:8" ht="19.8" customHeight="1" x14ac:dyDescent="0.3">
      <c r="A21" s="112">
        <v>45987</v>
      </c>
      <c r="B21" s="104" t="s">
        <v>48</v>
      </c>
      <c r="C21" s="105" t="s">
        <v>1376</v>
      </c>
      <c r="D21" s="104" t="s">
        <v>1370</v>
      </c>
      <c r="E21" s="113">
        <v>1.9826388888888891</v>
      </c>
      <c r="F21" s="104" t="s">
        <v>50</v>
      </c>
      <c r="G21" s="106">
        <v>9</v>
      </c>
      <c r="H21" s="107" t="s">
        <v>1377</v>
      </c>
    </row>
    <row r="22" spans="1:8" ht="19.8" customHeight="1" x14ac:dyDescent="0.3">
      <c r="A22" s="112">
        <v>45987</v>
      </c>
      <c r="B22" s="104" t="s">
        <v>385</v>
      </c>
      <c r="C22" s="105" t="s">
        <v>1381</v>
      </c>
      <c r="D22" s="104" t="s">
        <v>1370</v>
      </c>
      <c r="E22" s="113">
        <v>1.756944444444444</v>
      </c>
      <c r="F22" s="104" t="s">
        <v>101</v>
      </c>
      <c r="G22" s="106">
        <v>9</v>
      </c>
      <c r="H22" s="107" t="s">
        <v>492</v>
      </c>
    </row>
    <row r="23" spans="1:8" ht="19.8" customHeight="1" x14ac:dyDescent="0.3">
      <c r="A23" s="114">
        <v>45987</v>
      </c>
      <c r="B23" s="115" t="s">
        <v>388</v>
      </c>
      <c r="C23" s="116" t="s">
        <v>1378</v>
      </c>
      <c r="D23" s="115" t="s">
        <v>1370</v>
      </c>
      <c r="E23" s="117">
        <v>1.4965277777777779</v>
      </c>
      <c r="F23" s="115" t="s">
        <v>46</v>
      </c>
      <c r="G23" s="118">
        <v>9</v>
      </c>
      <c r="H23" s="119" t="s">
        <v>1388</v>
      </c>
    </row>
    <row r="24" spans="1:8" ht="19.8" customHeight="1" x14ac:dyDescent="0.3">
      <c r="A24" s="112">
        <v>45988</v>
      </c>
      <c r="B24" s="104" t="s">
        <v>458</v>
      </c>
      <c r="C24" s="105" t="s">
        <v>1382</v>
      </c>
      <c r="D24" s="104" t="s">
        <v>1370</v>
      </c>
      <c r="E24" s="113">
        <v>1.805555555555556</v>
      </c>
      <c r="F24" s="104" t="s">
        <v>101</v>
      </c>
      <c r="G24" s="106">
        <v>2</v>
      </c>
      <c r="H24" s="107" t="s">
        <v>779</v>
      </c>
    </row>
    <row r="25" spans="1:8" ht="19.8" customHeight="1" x14ac:dyDescent="0.3">
      <c r="A25" s="112">
        <v>45988</v>
      </c>
      <c r="B25" s="104" t="s">
        <v>385</v>
      </c>
      <c r="C25" s="105" t="s">
        <v>1371</v>
      </c>
      <c r="D25" s="104" t="s">
        <v>1370</v>
      </c>
      <c r="E25" s="113">
        <v>1.756944444444444</v>
      </c>
      <c r="F25" s="104" t="s">
        <v>101</v>
      </c>
      <c r="G25" s="106">
        <v>5</v>
      </c>
      <c r="H25" s="107" t="s">
        <v>492</v>
      </c>
    </row>
    <row r="26" spans="1:8" ht="19.8" customHeight="1" x14ac:dyDescent="0.3">
      <c r="A26" s="120">
        <v>45988</v>
      </c>
      <c r="B26" s="121" t="s">
        <v>77</v>
      </c>
      <c r="C26" s="122" t="s">
        <v>1373</v>
      </c>
      <c r="D26" s="121" t="s">
        <v>1370</v>
      </c>
      <c r="E26" s="123">
        <v>1.711805555555556</v>
      </c>
      <c r="F26" s="121" t="s">
        <v>101</v>
      </c>
      <c r="G26" s="124">
        <v>5</v>
      </c>
      <c r="H26" s="125" t="s">
        <v>1390</v>
      </c>
    </row>
    <row r="27" spans="1:8" ht="19.8" customHeight="1" x14ac:dyDescent="0.3">
      <c r="A27" s="114">
        <v>45988</v>
      </c>
      <c r="B27" s="115" t="s">
        <v>48</v>
      </c>
      <c r="C27" s="116" t="s">
        <v>1376</v>
      </c>
      <c r="D27" s="115" t="s">
        <v>1370</v>
      </c>
      <c r="E27" s="117">
        <v>1.9826388888888891</v>
      </c>
      <c r="F27" s="115" t="s">
        <v>50</v>
      </c>
      <c r="G27" s="118">
        <v>9</v>
      </c>
      <c r="H27" s="119" t="s">
        <v>1392</v>
      </c>
    </row>
    <row r="28" spans="1:8" ht="19.8" customHeight="1" x14ac:dyDescent="0.3">
      <c r="A28" s="112">
        <v>45989</v>
      </c>
      <c r="B28" s="104" t="s">
        <v>388</v>
      </c>
      <c r="C28" s="105" t="s">
        <v>1378</v>
      </c>
      <c r="D28" s="104" t="s">
        <v>1370</v>
      </c>
      <c r="E28" s="113">
        <v>1.4965277777777779</v>
      </c>
      <c r="F28" s="104" t="s">
        <v>461</v>
      </c>
      <c r="G28" s="106">
        <v>9</v>
      </c>
      <c r="H28" s="107" t="s">
        <v>1393</v>
      </c>
    </row>
    <row r="29" spans="1:8" ht="19.8" customHeight="1" x14ac:dyDescent="0.3">
      <c r="A29" s="112">
        <v>45989</v>
      </c>
      <c r="B29" s="104" t="s">
        <v>385</v>
      </c>
      <c r="C29" s="105" t="s">
        <v>1381</v>
      </c>
      <c r="D29" s="104" t="s">
        <v>1370</v>
      </c>
      <c r="E29" s="113">
        <v>1.756944444444444</v>
      </c>
      <c r="F29" s="104" t="s">
        <v>101</v>
      </c>
      <c r="G29" s="106">
        <v>6</v>
      </c>
      <c r="H29" s="107" t="s">
        <v>1394</v>
      </c>
    </row>
    <row r="30" spans="1:8" ht="19.8" customHeight="1" x14ac:dyDescent="0.3">
      <c r="A30" s="114">
        <v>45989</v>
      </c>
      <c r="B30" s="115" t="s">
        <v>48</v>
      </c>
      <c r="C30" s="116" t="s">
        <v>1376</v>
      </c>
      <c r="D30" s="115" t="s">
        <v>1370</v>
      </c>
      <c r="E30" s="117">
        <v>1.9826388888888891</v>
      </c>
      <c r="F30" s="115" t="s">
        <v>50</v>
      </c>
      <c r="G30" s="118">
        <v>8</v>
      </c>
      <c r="H30" s="119" t="s">
        <v>1395</v>
      </c>
    </row>
    <row r="31" spans="1:8" ht="19.8" customHeight="1" x14ac:dyDescent="0.3">
      <c r="A31" s="112">
        <v>45990</v>
      </c>
      <c r="B31" s="104" t="s">
        <v>458</v>
      </c>
      <c r="C31" s="105" t="s">
        <v>1382</v>
      </c>
      <c r="D31" s="104" t="s">
        <v>1370</v>
      </c>
      <c r="E31" s="113">
        <v>1.020833333333333</v>
      </c>
      <c r="F31" s="104" t="s">
        <v>101</v>
      </c>
      <c r="G31" s="106">
        <v>8</v>
      </c>
      <c r="H31" s="107" t="s">
        <v>1396</v>
      </c>
    </row>
    <row r="32" spans="1:8" ht="19.8" customHeight="1" x14ac:dyDescent="0.3">
      <c r="A32" s="112">
        <v>45990</v>
      </c>
      <c r="B32" s="104" t="s">
        <v>385</v>
      </c>
      <c r="C32" s="105" t="s">
        <v>1371</v>
      </c>
      <c r="D32" s="104" t="s">
        <v>1370</v>
      </c>
      <c r="E32" s="113">
        <v>1.756944444444444</v>
      </c>
      <c r="F32" s="104" t="s">
        <v>101</v>
      </c>
      <c r="G32" s="106">
        <v>9</v>
      </c>
      <c r="H32" s="107" t="s">
        <v>1394</v>
      </c>
    </row>
    <row r="33" spans="1:8" ht="19.8" customHeight="1" x14ac:dyDescent="0.3">
      <c r="A33" s="126">
        <v>45990</v>
      </c>
      <c r="B33" s="109" t="s">
        <v>77</v>
      </c>
      <c r="C33" s="110" t="s">
        <v>1373</v>
      </c>
      <c r="D33" s="109" t="s">
        <v>1370</v>
      </c>
      <c r="E33" s="127">
        <v>1.836805555555556</v>
      </c>
      <c r="F33" s="109" t="s">
        <v>101</v>
      </c>
      <c r="G33" s="128">
        <v>9</v>
      </c>
      <c r="H33" s="111" t="s">
        <v>1397</v>
      </c>
    </row>
    <row r="34" spans="1:8" ht="19.8" customHeight="1" x14ac:dyDescent="0.3">
      <c r="A34" s="112">
        <v>45991</v>
      </c>
      <c r="B34" s="104" t="s">
        <v>388</v>
      </c>
      <c r="C34" s="105" t="s">
        <v>1378</v>
      </c>
      <c r="D34" s="104" t="s">
        <v>1370</v>
      </c>
      <c r="E34" s="113">
        <v>1.538194444444444</v>
      </c>
      <c r="F34" s="104" t="s">
        <v>390</v>
      </c>
      <c r="G34" s="106">
        <v>9</v>
      </c>
      <c r="H34" s="107" t="s">
        <v>1385</v>
      </c>
    </row>
    <row r="35" spans="1:8" ht="19.8" customHeight="1" x14ac:dyDescent="0.3">
      <c r="A35" s="112">
        <v>45991</v>
      </c>
      <c r="B35" s="104" t="s">
        <v>458</v>
      </c>
      <c r="C35" s="105" t="s">
        <v>1382</v>
      </c>
      <c r="D35" s="104" t="s">
        <v>1370</v>
      </c>
      <c r="E35" s="113">
        <v>1.7152777777777779</v>
      </c>
      <c r="F35" s="104" t="s">
        <v>101</v>
      </c>
      <c r="G35" s="106">
        <v>8</v>
      </c>
      <c r="H35" s="107" t="s">
        <v>779</v>
      </c>
    </row>
    <row r="36" spans="1:8" ht="19.8" customHeight="1" x14ac:dyDescent="0.3">
      <c r="A36" s="112">
        <v>45991</v>
      </c>
      <c r="B36" s="104" t="s">
        <v>385</v>
      </c>
      <c r="C36" s="105" t="s">
        <v>1399</v>
      </c>
      <c r="D36" s="104" t="s">
        <v>1370</v>
      </c>
      <c r="E36" s="113">
        <v>1.756944444444444</v>
      </c>
      <c r="F36" s="104" t="s">
        <v>101</v>
      </c>
      <c r="G36" s="106">
        <v>3</v>
      </c>
      <c r="H36" s="107" t="s">
        <v>492</v>
      </c>
    </row>
    <row r="37" spans="1:8" ht="19.8" customHeight="1" x14ac:dyDescent="0.3">
      <c r="A37" s="114">
        <v>45991</v>
      </c>
      <c r="B37" s="115" t="s">
        <v>388</v>
      </c>
      <c r="C37" s="116" t="s">
        <v>1378</v>
      </c>
      <c r="D37" s="115" t="s">
        <v>1370</v>
      </c>
      <c r="E37" s="117">
        <v>1.538194444444444</v>
      </c>
      <c r="F37" s="115" t="s">
        <v>46</v>
      </c>
      <c r="G37" s="118">
        <v>9</v>
      </c>
      <c r="H37" s="119" t="s">
        <v>1386</v>
      </c>
    </row>
  </sheetData>
  <pageMargins left="0.75" right="0.75" top="1" bottom="1" header="0.5" footer="0.5"/>
  <legacyDrawing r:id="rId1"/>
  <tableParts count="1">
    <tablePart r:id="rId2"/>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2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6.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385</v>
      </c>
      <c r="C2" s="105" t="s">
        <v>1371</v>
      </c>
      <c r="D2" s="104" t="s">
        <v>1370</v>
      </c>
      <c r="E2" s="104" t="s">
        <v>667</v>
      </c>
      <c r="F2" s="104" t="s">
        <v>101</v>
      </c>
      <c r="G2" s="106">
        <v>9</v>
      </c>
      <c r="H2" s="107" t="s">
        <v>1372</v>
      </c>
    </row>
    <row r="3" spans="1:8" ht="19.8" customHeight="1" x14ac:dyDescent="0.3">
      <c r="A3" s="108" t="s">
        <v>235</v>
      </c>
      <c r="B3" s="109" t="s">
        <v>77</v>
      </c>
      <c r="C3" s="110" t="s">
        <v>1373</v>
      </c>
      <c r="D3" s="109" t="s">
        <v>1370</v>
      </c>
      <c r="E3" s="109" t="s">
        <v>1400</v>
      </c>
      <c r="F3" s="109" t="s">
        <v>101</v>
      </c>
      <c r="G3" s="128">
        <v>9</v>
      </c>
      <c r="H3" s="111" t="s">
        <v>779</v>
      </c>
    </row>
    <row r="4" spans="1:8" ht="19.8" customHeight="1" x14ac:dyDescent="0.3">
      <c r="A4" s="112">
        <v>45982</v>
      </c>
      <c r="B4" s="104" t="s">
        <v>388</v>
      </c>
      <c r="C4" s="105" t="s">
        <v>1378</v>
      </c>
      <c r="D4" s="104" t="s">
        <v>1370</v>
      </c>
      <c r="E4" s="113">
        <v>1.4965277777777779</v>
      </c>
      <c r="F4" s="104" t="s">
        <v>390</v>
      </c>
      <c r="G4" s="106">
        <v>9</v>
      </c>
      <c r="H4" s="107" t="s">
        <v>1379</v>
      </c>
    </row>
    <row r="5" spans="1:8" ht="19.8" customHeight="1" x14ac:dyDescent="0.3">
      <c r="A5" s="112">
        <v>45982</v>
      </c>
      <c r="B5" s="104" t="s">
        <v>385</v>
      </c>
      <c r="C5" s="105" t="s">
        <v>1381</v>
      </c>
      <c r="D5" s="104" t="s">
        <v>1370</v>
      </c>
      <c r="E5" s="113">
        <v>1.756944444444444</v>
      </c>
      <c r="F5" s="104" t="s">
        <v>101</v>
      </c>
      <c r="G5" s="106">
        <v>9</v>
      </c>
      <c r="H5" s="107" t="s">
        <v>1372</v>
      </c>
    </row>
    <row r="6" spans="1:8" ht="19.8" customHeight="1" x14ac:dyDescent="0.3">
      <c r="A6" s="112">
        <v>45982</v>
      </c>
      <c r="B6" s="104" t="s">
        <v>458</v>
      </c>
      <c r="C6" s="105" t="s">
        <v>1382</v>
      </c>
      <c r="D6" s="104" t="s">
        <v>1370</v>
      </c>
      <c r="E6" s="113">
        <v>1.9861111111111109</v>
      </c>
      <c r="F6" s="104" t="s">
        <v>101</v>
      </c>
      <c r="G6" s="106">
        <v>9</v>
      </c>
      <c r="H6" s="107" t="s">
        <v>779</v>
      </c>
    </row>
    <row r="7" spans="1:8" ht="19.8" customHeight="1" x14ac:dyDescent="0.3">
      <c r="A7" s="112">
        <v>45982</v>
      </c>
      <c r="B7" s="104" t="s">
        <v>48</v>
      </c>
      <c r="C7" s="105" t="s">
        <v>1376</v>
      </c>
      <c r="D7" s="104" t="s">
        <v>1370</v>
      </c>
      <c r="E7" s="113">
        <v>1.9826388888888891</v>
      </c>
      <c r="F7" s="104" t="s">
        <v>50</v>
      </c>
      <c r="G7" s="106">
        <v>9</v>
      </c>
      <c r="H7" s="107" t="s">
        <v>1377</v>
      </c>
    </row>
    <row r="8" spans="1:8" ht="19.8" customHeight="1" x14ac:dyDescent="0.3">
      <c r="A8" s="114">
        <v>45982</v>
      </c>
      <c r="B8" s="115" t="s">
        <v>388</v>
      </c>
      <c r="C8" s="116" t="s">
        <v>1378</v>
      </c>
      <c r="D8" s="115" t="s">
        <v>1370</v>
      </c>
      <c r="E8" s="117">
        <v>1.4965277777777779</v>
      </c>
      <c r="F8" s="115" t="s">
        <v>46</v>
      </c>
      <c r="G8" s="118">
        <v>9</v>
      </c>
      <c r="H8" s="119" t="s">
        <v>1380</v>
      </c>
    </row>
    <row r="9" spans="1:8" ht="19.8" customHeight="1" x14ac:dyDescent="0.3">
      <c r="A9" s="126">
        <v>45983</v>
      </c>
      <c r="B9" s="109" t="s">
        <v>77</v>
      </c>
      <c r="C9" s="110" t="s">
        <v>1373</v>
      </c>
      <c r="D9" s="109" t="s">
        <v>1370</v>
      </c>
      <c r="E9" s="127">
        <v>1.836805555555556</v>
      </c>
      <c r="F9" s="109" t="s">
        <v>101</v>
      </c>
      <c r="G9" s="128">
        <v>9</v>
      </c>
      <c r="H9" s="111" t="s">
        <v>1383</v>
      </c>
    </row>
    <row r="10" spans="1:8" ht="19.8" customHeight="1" x14ac:dyDescent="0.3">
      <c r="A10" s="112">
        <v>45984</v>
      </c>
      <c r="B10" s="104" t="s">
        <v>388</v>
      </c>
      <c r="C10" s="105" t="s">
        <v>1378</v>
      </c>
      <c r="D10" s="104" t="s">
        <v>1370</v>
      </c>
      <c r="E10" s="113">
        <v>1.538194444444444</v>
      </c>
      <c r="F10" s="104" t="s">
        <v>390</v>
      </c>
      <c r="G10" s="106">
        <v>9</v>
      </c>
      <c r="H10" s="107" t="s">
        <v>1385</v>
      </c>
    </row>
    <row r="11" spans="1:8" ht="19.8" customHeight="1" x14ac:dyDescent="0.3">
      <c r="A11" s="114">
        <v>45984</v>
      </c>
      <c r="B11" s="115" t="s">
        <v>388</v>
      </c>
      <c r="C11" s="116" t="s">
        <v>1378</v>
      </c>
      <c r="D11" s="115" t="s">
        <v>1370</v>
      </c>
      <c r="E11" s="117">
        <v>1.538194444444444</v>
      </c>
      <c r="F11" s="115" t="s">
        <v>46</v>
      </c>
      <c r="G11" s="118">
        <v>9</v>
      </c>
      <c r="H11" s="119" t="s">
        <v>1386</v>
      </c>
    </row>
    <row r="12" spans="1:8" ht="19.8" customHeight="1" x14ac:dyDescent="0.3">
      <c r="A12" s="112">
        <v>45985</v>
      </c>
      <c r="B12" s="104" t="s">
        <v>388</v>
      </c>
      <c r="C12" s="105" t="s">
        <v>1378</v>
      </c>
      <c r="D12" s="104" t="s">
        <v>1370</v>
      </c>
      <c r="E12" s="113">
        <v>1.538194444444444</v>
      </c>
      <c r="F12" s="104" t="s">
        <v>390</v>
      </c>
      <c r="G12" s="106">
        <v>9</v>
      </c>
      <c r="H12" s="107" t="s">
        <v>1387</v>
      </c>
    </row>
    <row r="13" spans="1:8" ht="19.8" customHeight="1" x14ac:dyDescent="0.3">
      <c r="A13" s="112">
        <v>45985</v>
      </c>
      <c r="B13" s="104" t="s">
        <v>385</v>
      </c>
      <c r="C13" s="105" t="s">
        <v>1381</v>
      </c>
      <c r="D13" s="104" t="s">
        <v>1370</v>
      </c>
      <c r="E13" s="113">
        <v>1.7152777777777779</v>
      </c>
      <c r="F13" s="104" t="s">
        <v>101</v>
      </c>
      <c r="G13" s="106">
        <v>9</v>
      </c>
      <c r="H13" s="107" t="s">
        <v>1372</v>
      </c>
    </row>
    <row r="14" spans="1:8" ht="19.8" customHeight="1" x14ac:dyDescent="0.3">
      <c r="A14" s="112">
        <v>45985</v>
      </c>
      <c r="B14" s="104" t="s">
        <v>48</v>
      </c>
      <c r="C14" s="105" t="s">
        <v>1376</v>
      </c>
      <c r="D14" s="104" t="s">
        <v>1370</v>
      </c>
      <c r="E14" s="113">
        <v>1.9826388888888891</v>
      </c>
      <c r="F14" s="104" t="s">
        <v>50</v>
      </c>
      <c r="G14" s="106">
        <v>9</v>
      </c>
      <c r="H14" s="107" t="s">
        <v>1377</v>
      </c>
    </row>
    <row r="15" spans="1:8" ht="19.8" customHeight="1" x14ac:dyDescent="0.3">
      <c r="A15" s="114">
        <v>45985</v>
      </c>
      <c r="B15" s="115" t="s">
        <v>388</v>
      </c>
      <c r="C15" s="116" t="s">
        <v>1378</v>
      </c>
      <c r="D15" s="115" t="s">
        <v>1370</v>
      </c>
      <c r="E15" s="117">
        <v>1.538194444444444</v>
      </c>
      <c r="F15" s="115" t="s">
        <v>46</v>
      </c>
      <c r="G15" s="118">
        <v>9</v>
      </c>
      <c r="H15" s="119" t="s">
        <v>1388</v>
      </c>
    </row>
    <row r="16" spans="1:8" ht="19.8" customHeight="1" x14ac:dyDescent="0.3">
      <c r="A16" s="114">
        <v>45986</v>
      </c>
      <c r="B16" s="115" t="s">
        <v>458</v>
      </c>
      <c r="C16" s="116" t="s">
        <v>1382</v>
      </c>
      <c r="D16" s="115" t="s">
        <v>1370</v>
      </c>
      <c r="E16" s="117">
        <v>1.78125</v>
      </c>
      <c r="F16" s="115" t="s">
        <v>101</v>
      </c>
      <c r="G16" s="118">
        <v>6</v>
      </c>
      <c r="H16" s="119" t="s">
        <v>779</v>
      </c>
    </row>
    <row r="17" spans="1:8" ht="19.8" customHeight="1" x14ac:dyDescent="0.3">
      <c r="A17" s="126">
        <v>45987</v>
      </c>
      <c r="B17" s="109" t="s">
        <v>77</v>
      </c>
      <c r="C17" s="110" t="s">
        <v>1373</v>
      </c>
      <c r="D17" s="109" t="s">
        <v>1370</v>
      </c>
      <c r="E17" s="127">
        <v>1.711805555555556</v>
      </c>
      <c r="F17" s="109" t="s">
        <v>101</v>
      </c>
      <c r="G17" s="128">
        <v>8</v>
      </c>
      <c r="H17" s="111" t="s">
        <v>779</v>
      </c>
    </row>
    <row r="18" spans="1:8" ht="19.8" customHeight="1" x14ac:dyDescent="0.3">
      <c r="A18" s="126">
        <v>45988</v>
      </c>
      <c r="B18" s="109" t="s">
        <v>77</v>
      </c>
      <c r="C18" s="110" t="s">
        <v>1373</v>
      </c>
      <c r="D18" s="109" t="s">
        <v>1370</v>
      </c>
      <c r="E18" s="127">
        <v>1.711805555555556</v>
      </c>
      <c r="F18" s="109" t="s">
        <v>101</v>
      </c>
      <c r="G18" s="128">
        <v>5</v>
      </c>
      <c r="H18" s="111" t="s">
        <v>1390</v>
      </c>
    </row>
    <row r="19" spans="1:8" ht="19.8" customHeight="1" x14ac:dyDescent="0.3">
      <c r="A19" s="112">
        <v>45989</v>
      </c>
      <c r="B19" s="104" t="s">
        <v>388</v>
      </c>
      <c r="C19" s="105" t="s">
        <v>1378</v>
      </c>
      <c r="D19" s="104" t="s">
        <v>1370</v>
      </c>
      <c r="E19" s="113">
        <v>1.4965277777777779</v>
      </c>
      <c r="F19" s="104" t="s">
        <v>461</v>
      </c>
      <c r="G19" s="106">
        <v>9</v>
      </c>
      <c r="H19" s="107" t="s">
        <v>1393</v>
      </c>
    </row>
    <row r="20" spans="1:8" ht="19.8" customHeight="1" x14ac:dyDescent="0.3">
      <c r="A20" s="112">
        <v>45989</v>
      </c>
      <c r="B20" s="104" t="s">
        <v>385</v>
      </c>
      <c r="C20" s="105" t="s">
        <v>1381</v>
      </c>
      <c r="D20" s="104" t="s">
        <v>1370</v>
      </c>
      <c r="E20" s="113">
        <v>1.756944444444444</v>
      </c>
      <c r="F20" s="104" t="s">
        <v>101</v>
      </c>
      <c r="G20" s="106">
        <v>6</v>
      </c>
      <c r="H20" s="107" t="s">
        <v>1394</v>
      </c>
    </row>
    <row r="21" spans="1:8" ht="19.8" customHeight="1" x14ac:dyDescent="0.3">
      <c r="A21" s="114">
        <v>45989</v>
      </c>
      <c r="B21" s="115" t="s">
        <v>48</v>
      </c>
      <c r="C21" s="116" t="s">
        <v>1376</v>
      </c>
      <c r="D21" s="115" t="s">
        <v>1370</v>
      </c>
      <c r="E21" s="117">
        <v>1.9826388888888891</v>
      </c>
      <c r="F21" s="115" t="s">
        <v>50</v>
      </c>
      <c r="G21" s="118">
        <v>8</v>
      </c>
      <c r="H21" s="119" t="s">
        <v>1395</v>
      </c>
    </row>
    <row r="22" spans="1:8" ht="19.8" customHeight="1" x14ac:dyDescent="0.3">
      <c r="A22" s="126">
        <v>45990</v>
      </c>
      <c r="B22" s="109" t="s">
        <v>77</v>
      </c>
      <c r="C22" s="110" t="s">
        <v>1373</v>
      </c>
      <c r="D22" s="109" t="s">
        <v>1370</v>
      </c>
      <c r="E22" s="127">
        <v>1.836805555555556</v>
      </c>
      <c r="F22" s="109" t="s">
        <v>101</v>
      </c>
      <c r="G22" s="128">
        <v>9</v>
      </c>
      <c r="H22" s="111" t="s">
        <v>1397</v>
      </c>
    </row>
    <row r="23" spans="1:8" ht="19.8" customHeight="1" x14ac:dyDescent="0.3">
      <c r="A23" s="112">
        <v>45991</v>
      </c>
      <c r="B23" s="104" t="s">
        <v>388</v>
      </c>
      <c r="C23" s="105" t="s">
        <v>1378</v>
      </c>
      <c r="D23" s="104" t="s">
        <v>1370</v>
      </c>
      <c r="E23" s="113">
        <v>1.538194444444444</v>
      </c>
      <c r="F23" s="104" t="s">
        <v>390</v>
      </c>
      <c r="G23" s="106">
        <v>9</v>
      </c>
      <c r="H23" s="107" t="s">
        <v>1385</v>
      </c>
    </row>
    <row r="24" spans="1:8" ht="19.8" customHeight="1" x14ac:dyDescent="0.3">
      <c r="A24" s="112">
        <v>45991</v>
      </c>
      <c r="B24" s="104" t="s">
        <v>458</v>
      </c>
      <c r="C24" s="105" t="s">
        <v>1382</v>
      </c>
      <c r="D24" s="104" t="s">
        <v>1370</v>
      </c>
      <c r="E24" s="113">
        <v>1.7152777777777779</v>
      </c>
      <c r="F24" s="104" t="s">
        <v>101</v>
      </c>
      <c r="G24" s="106">
        <v>8</v>
      </c>
      <c r="H24" s="107" t="s">
        <v>779</v>
      </c>
    </row>
    <row r="25" spans="1:8" ht="19.8" customHeight="1" x14ac:dyDescent="0.3">
      <c r="A25" s="112">
        <v>45991</v>
      </c>
      <c r="B25" s="104" t="s">
        <v>385</v>
      </c>
      <c r="C25" s="105" t="s">
        <v>1399</v>
      </c>
      <c r="D25" s="104" t="s">
        <v>1370</v>
      </c>
      <c r="E25" s="113">
        <v>1.756944444444444</v>
      </c>
      <c r="F25" s="104" t="s">
        <v>101</v>
      </c>
      <c r="G25" s="106">
        <v>3</v>
      </c>
      <c r="H25" s="107" t="s">
        <v>492</v>
      </c>
    </row>
    <row r="26" spans="1:8" ht="19.8" customHeight="1" x14ac:dyDescent="0.3">
      <c r="A26" s="114">
        <v>45991</v>
      </c>
      <c r="B26" s="115" t="s">
        <v>388</v>
      </c>
      <c r="C26" s="116" t="s">
        <v>1378</v>
      </c>
      <c r="D26" s="115" t="s">
        <v>1370</v>
      </c>
      <c r="E26" s="117">
        <v>1.538194444444444</v>
      </c>
      <c r="F26" s="115" t="s">
        <v>46</v>
      </c>
      <c r="G26" s="118">
        <v>9</v>
      </c>
      <c r="H26" s="119" t="s">
        <v>1386</v>
      </c>
    </row>
  </sheetData>
  <pageMargins left="0.75" right="0.75" top="1" bottom="1" header="0.5" footer="0.5"/>
  <legacy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N22"/>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16.5546875" bestFit="1" customWidth="1"/>
  </cols>
  <sheetData>
    <row r="1" spans="1:92" ht="28.8" customHeight="1" x14ac:dyDescent="0.3">
      <c r="A1" s="303" t="s">
        <v>0</v>
      </c>
      <c r="B1" s="302"/>
      <c r="C1" s="302"/>
      <c r="D1" s="302"/>
      <c r="E1" s="302"/>
      <c r="F1" s="1" t="s">
        <v>1406</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45980.583855041587</v>
      </c>
      <c r="H2" s="302"/>
      <c r="I2" s="302"/>
      <c r="J2" s="302"/>
      <c r="K2" s="311">
        <v>45980.583855042001</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45982</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55" t="s">
        <v>77</v>
      </c>
      <c r="B6" s="55" t="s">
        <v>1407</v>
      </c>
      <c r="C6" s="56">
        <v>0.37847222222222232</v>
      </c>
      <c r="D6" s="55" t="s">
        <v>101</v>
      </c>
      <c r="E6" s="55" t="s">
        <v>63</v>
      </c>
      <c r="F6" s="55" t="s">
        <v>1408</v>
      </c>
      <c r="G6" s="304"/>
      <c r="H6" s="57" t="s">
        <v>1409</v>
      </c>
      <c r="I6" s="256">
        <v>0.45810000000000001</v>
      </c>
      <c r="J6" s="59">
        <v>82</v>
      </c>
      <c r="K6" s="60">
        <v>45980</v>
      </c>
      <c r="L6" s="59">
        <v>51</v>
      </c>
      <c r="M6" s="59">
        <v>6</v>
      </c>
      <c r="N6" s="59">
        <v>6</v>
      </c>
      <c r="O6" s="61" t="s">
        <v>316</v>
      </c>
      <c r="P6" s="62">
        <v>0.37847222222222232</v>
      </c>
      <c r="Q6" s="59">
        <v>179</v>
      </c>
      <c r="R6" s="63" t="s">
        <v>1410</v>
      </c>
    </row>
    <row r="7" spans="1:92" ht="18" x14ac:dyDescent="0.3">
      <c r="A7" s="312" t="s">
        <v>1411</v>
      </c>
      <c r="B7" s="313"/>
      <c r="C7" s="313"/>
      <c r="D7" s="313"/>
      <c r="E7" s="313"/>
      <c r="F7" s="314"/>
      <c r="G7" s="298"/>
      <c r="H7" s="138"/>
      <c r="I7" s="138"/>
      <c r="J7" s="138"/>
      <c r="K7" s="138"/>
      <c r="L7" s="138"/>
      <c r="M7" s="138"/>
      <c r="N7" s="138"/>
      <c r="O7" s="139"/>
      <c r="P7" s="138"/>
      <c r="Q7" s="99"/>
      <c r="R7" s="99"/>
    </row>
    <row r="8" spans="1:92" ht="15" customHeight="1" x14ac:dyDescent="0.3">
      <c r="A8" s="17" t="s">
        <v>388</v>
      </c>
      <c r="B8" s="17" t="s">
        <v>1378</v>
      </c>
      <c r="C8" s="18" t="s">
        <v>867</v>
      </c>
      <c r="D8" s="17" t="s">
        <v>390</v>
      </c>
      <c r="E8" s="17" t="s">
        <v>254</v>
      </c>
      <c r="F8" s="17" t="s">
        <v>1379</v>
      </c>
      <c r="G8" s="298"/>
      <c r="H8" s="138"/>
      <c r="I8" s="138"/>
      <c r="J8" s="138"/>
      <c r="K8" s="138"/>
      <c r="L8" s="138"/>
      <c r="M8" s="138"/>
      <c r="N8" s="138"/>
      <c r="O8" s="139"/>
      <c r="P8" s="138"/>
      <c r="Q8" s="99"/>
      <c r="R8" s="99"/>
    </row>
    <row r="9" spans="1:92" ht="15" customHeight="1" x14ac:dyDescent="0.3">
      <c r="A9" s="17" t="s">
        <v>385</v>
      </c>
      <c r="B9" s="17" t="s">
        <v>1381</v>
      </c>
      <c r="C9" s="18" t="s">
        <v>667</v>
      </c>
      <c r="D9" s="17" t="s">
        <v>101</v>
      </c>
      <c r="E9" s="17" t="s">
        <v>256</v>
      </c>
      <c r="F9" s="17" t="s">
        <v>1372</v>
      </c>
      <c r="G9" s="298"/>
      <c r="H9" s="138"/>
      <c r="I9" s="138"/>
      <c r="J9" s="138"/>
      <c r="K9" s="138"/>
      <c r="L9" s="138"/>
      <c r="M9" s="138"/>
      <c r="N9" s="138"/>
      <c r="O9" s="139"/>
      <c r="P9" s="138"/>
      <c r="Q9" s="99"/>
      <c r="R9" s="99"/>
    </row>
    <row r="10" spans="1:92" ht="15" customHeight="1" x14ac:dyDescent="0.3">
      <c r="A10" s="17" t="s">
        <v>458</v>
      </c>
      <c r="B10" s="17" t="s">
        <v>1382</v>
      </c>
      <c r="C10" s="18" t="s">
        <v>1412</v>
      </c>
      <c r="D10" s="17" t="s">
        <v>101</v>
      </c>
      <c r="E10" s="17" t="s">
        <v>256</v>
      </c>
      <c r="F10" s="17" t="s">
        <v>779</v>
      </c>
      <c r="G10" s="298"/>
      <c r="H10" s="138"/>
      <c r="I10" s="138"/>
      <c r="J10" s="138"/>
      <c r="K10" s="138"/>
      <c r="L10" s="138"/>
      <c r="M10" s="138"/>
      <c r="N10" s="138"/>
      <c r="O10" s="139"/>
      <c r="P10" s="138"/>
      <c r="Q10" s="99"/>
      <c r="R10" s="99"/>
    </row>
    <row r="11" spans="1:92" ht="15" customHeight="1" x14ac:dyDescent="0.3">
      <c r="A11" s="17" t="s">
        <v>48</v>
      </c>
      <c r="B11" s="17" t="s">
        <v>1376</v>
      </c>
      <c r="C11" s="18" t="s">
        <v>1413</v>
      </c>
      <c r="D11" s="17" t="s">
        <v>50</v>
      </c>
      <c r="E11" s="17" t="s">
        <v>256</v>
      </c>
      <c r="F11" s="17" t="s">
        <v>1377</v>
      </c>
      <c r="G11" s="298"/>
      <c r="H11" s="138"/>
      <c r="I11" s="138"/>
      <c r="J11" s="138"/>
      <c r="K11" s="138"/>
      <c r="L11" s="138"/>
      <c r="M11" s="138"/>
      <c r="N11" s="138"/>
      <c r="O11" s="139"/>
      <c r="P11" s="138"/>
      <c r="Q11" s="99"/>
      <c r="R11" s="99"/>
    </row>
    <row r="12" spans="1:92" ht="15" customHeight="1" thickBot="1" x14ac:dyDescent="0.35">
      <c r="A12" s="39" t="s">
        <v>388</v>
      </c>
      <c r="B12" s="39" t="s">
        <v>1378</v>
      </c>
      <c r="C12" s="40" t="s">
        <v>867</v>
      </c>
      <c r="D12" s="39" t="s">
        <v>46</v>
      </c>
      <c r="E12" s="39" t="s">
        <v>254</v>
      </c>
      <c r="F12" s="39" t="s">
        <v>1380</v>
      </c>
      <c r="G12" s="299"/>
      <c r="H12" s="140"/>
      <c r="I12" s="140"/>
      <c r="J12" s="140"/>
      <c r="K12" s="140"/>
      <c r="L12" s="140"/>
      <c r="M12" s="140"/>
      <c r="N12" s="140"/>
      <c r="O12" s="141"/>
      <c r="P12" s="140"/>
      <c r="Q12" s="142"/>
      <c r="R12" s="142"/>
    </row>
    <row r="13" spans="1:92" ht="17.399999999999999" customHeight="1" thickBot="1" x14ac:dyDescent="0.35">
      <c r="A13" s="329"/>
      <c r="B13" s="330"/>
      <c r="C13" s="330"/>
      <c r="D13" s="330"/>
      <c r="E13" s="330"/>
      <c r="F13" s="330"/>
      <c r="G13" s="330"/>
      <c r="H13" s="330"/>
      <c r="I13" s="330"/>
      <c r="J13" s="330"/>
      <c r="K13" s="330"/>
      <c r="L13" s="330"/>
      <c r="M13" s="330"/>
      <c r="N13" s="330"/>
      <c r="O13" s="330"/>
      <c r="P13" s="330"/>
      <c r="Q13" s="330"/>
      <c r="R13" s="331"/>
    </row>
    <row r="14" spans="1:92" ht="22.05" customHeight="1" thickTop="1" thickBot="1" x14ac:dyDescent="0.35">
      <c r="A14" s="300" t="s">
        <v>6</v>
      </c>
      <c r="B14" s="295"/>
      <c r="C14" s="295"/>
      <c r="D14" s="295"/>
      <c r="E14" s="295"/>
      <c r="F14" s="296"/>
      <c r="G14" s="31">
        <v>45989</v>
      </c>
      <c r="H14" s="294" t="s">
        <v>7</v>
      </c>
      <c r="I14" s="295"/>
      <c r="J14" s="295"/>
      <c r="K14" s="295"/>
      <c r="L14" s="295"/>
      <c r="M14" s="295"/>
      <c r="N14" s="295"/>
      <c r="O14" s="295"/>
      <c r="P14" s="295"/>
      <c r="Q14" s="295"/>
      <c r="R14" s="296"/>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3">
      <c r="A16" s="179" t="s">
        <v>77</v>
      </c>
      <c r="B16" s="179" t="s">
        <v>1407</v>
      </c>
      <c r="C16" s="180">
        <v>0.37847222222222232</v>
      </c>
      <c r="D16" s="179" t="s">
        <v>101</v>
      </c>
      <c r="E16" s="179" t="s">
        <v>111</v>
      </c>
      <c r="F16" s="179" t="s">
        <v>1414</v>
      </c>
      <c r="G16" s="297"/>
      <c r="H16" s="181" t="s">
        <v>1409</v>
      </c>
      <c r="I16" s="236">
        <v>0.32400000000000001</v>
      </c>
      <c r="J16" s="183">
        <v>58</v>
      </c>
      <c r="K16" s="184">
        <v>45979</v>
      </c>
      <c r="L16" s="183">
        <v>23</v>
      </c>
      <c r="M16" s="183">
        <v>0</v>
      </c>
      <c r="N16" s="183">
        <v>12</v>
      </c>
      <c r="O16" s="185" t="s">
        <v>951</v>
      </c>
      <c r="P16" s="186">
        <v>0.37847222222222232</v>
      </c>
      <c r="Q16" s="183">
        <v>179</v>
      </c>
      <c r="R16" s="187" t="s">
        <v>1415</v>
      </c>
    </row>
    <row r="17" spans="1:18" ht="18" x14ac:dyDescent="0.3">
      <c r="A17" s="312" t="s">
        <v>1411</v>
      </c>
      <c r="B17" s="313"/>
      <c r="C17" s="313"/>
      <c r="D17" s="313"/>
      <c r="E17" s="313"/>
      <c r="F17" s="314"/>
      <c r="G17" s="298"/>
      <c r="H17" s="138"/>
      <c r="I17" s="138"/>
      <c r="J17" s="138"/>
      <c r="K17" s="138"/>
      <c r="L17" s="138"/>
      <c r="M17" s="138"/>
      <c r="N17" s="138"/>
      <c r="O17" s="139"/>
      <c r="P17" s="138"/>
      <c r="Q17" s="99"/>
      <c r="R17" s="99"/>
    </row>
    <row r="18" spans="1:18" ht="49.95" customHeight="1" x14ac:dyDescent="0.3">
      <c r="A18" s="17" t="s">
        <v>388</v>
      </c>
      <c r="B18" s="17" t="s">
        <v>1378</v>
      </c>
      <c r="C18" s="18" t="s">
        <v>867</v>
      </c>
      <c r="D18" s="17" t="s">
        <v>461</v>
      </c>
      <c r="E18" s="17" t="s">
        <v>254</v>
      </c>
      <c r="F18" s="17" t="s">
        <v>1393</v>
      </c>
      <c r="G18" s="298"/>
      <c r="H18" s="138"/>
      <c r="I18" s="138"/>
      <c r="J18" s="138"/>
      <c r="K18" s="138"/>
      <c r="L18" s="138"/>
      <c r="M18" s="138"/>
      <c r="N18" s="138"/>
      <c r="O18" s="139"/>
      <c r="P18" s="138"/>
      <c r="Q18" s="99"/>
      <c r="R18" s="99"/>
    </row>
    <row r="19" spans="1:18" ht="49.95" customHeight="1" x14ac:dyDescent="0.3">
      <c r="A19" s="17" t="s">
        <v>385</v>
      </c>
      <c r="B19" s="17" t="s">
        <v>1381</v>
      </c>
      <c r="C19" s="18" t="s">
        <v>667</v>
      </c>
      <c r="D19" s="17" t="s">
        <v>101</v>
      </c>
      <c r="E19" s="17" t="s">
        <v>303</v>
      </c>
      <c r="F19" s="17" t="s">
        <v>1394</v>
      </c>
      <c r="G19" s="298"/>
      <c r="H19" s="138"/>
      <c r="I19" s="138"/>
      <c r="J19" s="138"/>
      <c r="K19" s="138"/>
      <c r="L19" s="138"/>
      <c r="M19" s="138"/>
      <c r="N19" s="138"/>
      <c r="O19" s="139"/>
      <c r="P19" s="138"/>
      <c r="Q19" s="99"/>
      <c r="R19" s="99"/>
    </row>
    <row r="20" spans="1:18" ht="49.95" customHeight="1" thickBot="1" x14ac:dyDescent="0.35">
      <c r="A20" s="39" t="s">
        <v>48</v>
      </c>
      <c r="B20" s="39" t="s">
        <v>1376</v>
      </c>
      <c r="C20" s="40" t="s">
        <v>1413</v>
      </c>
      <c r="D20" s="39" t="s">
        <v>50</v>
      </c>
      <c r="E20" s="39" t="s">
        <v>255</v>
      </c>
      <c r="F20" s="39" t="s">
        <v>1395</v>
      </c>
      <c r="G20" s="299"/>
      <c r="H20" s="140"/>
      <c r="I20" s="140"/>
      <c r="J20" s="140"/>
      <c r="K20" s="140"/>
      <c r="L20" s="140"/>
      <c r="M20" s="140"/>
      <c r="N20" s="140"/>
      <c r="O20" s="141"/>
      <c r="P20" s="140"/>
      <c r="Q20" s="142"/>
      <c r="R20" s="142"/>
    </row>
    <row r="21" spans="1:18" ht="17.399999999999999" customHeight="1" thickBot="1" x14ac:dyDescent="0.35">
      <c r="A21" s="329"/>
      <c r="B21" s="330"/>
      <c r="C21" s="330"/>
      <c r="D21" s="330"/>
      <c r="E21" s="330"/>
      <c r="F21" s="330"/>
      <c r="G21" s="330"/>
      <c r="H21" s="330"/>
      <c r="I21" s="330"/>
      <c r="J21" s="330"/>
      <c r="K21" s="330"/>
      <c r="L21" s="330"/>
      <c r="M21" s="330"/>
      <c r="N21" s="330"/>
      <c r="O21" s="330"/>
      <c r="P21" s="330"/>
      <c r="Q21" s="330"/>
      <c r="R21" s="331"/>
    </row>
    <row r="22" spans="1:18" ht="15" thickTop="1" x14ac:dyDescent="0.3"/>
  </sheetData>
  <mergeCells count="17">
    <mergeCell ref="H1:L1"/>
    <mergeCell ref="A1:E1"/>
    <mergeCell ref="G2:J2"/>
    <mergeCell ref="K2:R2"/>
    <mergeCell ref="A4:F4"/>
    <mergeCell ref="H4:R4"/>
    <mergeCell ref="N1:R1"/>
    <mergeCell ref="A2:F2"/>
    <mergeCell ref="A21:R21"/>
    <mergeCell ref="A3:R3"/>
    <mergeCell ref="A14:F14"/>
    <mergeCell ref="G6:G12"/>
    <mergeCell ref="A13:R13"/>
    <mergeCell ref="A17:F17"/>
    <mergeCell ref="G16:G20"/>
    <mergeCell ref="H14:R14"/>
    <mergeCell ref="A7:F7"/>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J4"/>
  <sheetViews>
    <sheetView workbookViewId="0"/>
  </sheetViews>
  <sheetFormatPr defaultRowHeight="15.6" outlineLevelCol="1" x14ac:dyDescent="0.3"/>
  <cols>
    <col min="1" max="1" width="6.88671875" style="316" bestFit="1" customWidth="1"/>
    <col min="2" max="2" width="10.44140625" style="316" bestFit="1" customWidth="1"/>
    <col min="3" max="3" width="6.77734375" style="316" bestFit="1" customWidth="1"/>
    <col min="4" max="4" width="5.5546875" style="316" bestFit="1" customWidth="1"/>
    <col min="5" max="5" width="8.554687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606</v>
      </c>
      <c r="B2" s="318">
        <v>45982</v>
      </c>
      <c r="C2" s="319" t="s">
        <v>1409</v>
      </c>
      <c r="D2" s="320" t="s">
        <v>1416</v>
      </c>
      <c r="E2" s="319" t="s">
        <v>1406</v>
      </c>
      <c r="F2" s="319" t="s">
        <v>189</v>
      </c>
      <c r="G2" s="321">
        <v>0.45810000000000001</v>
      </c>
      <c r="H2" s="322">
        <v>179</v>
      </c>
      <c r="I2" s="322">
        <v>82</v>
      </c>
      <c r="J2" s="322">
        <v>0</v>
      </c>
      <c r="K2" s="319" t="s">
        <v>190</v>
      </c>
      <c r="L2" s="323">
        <v>45980</v>
      </c>
      <c r="M2" s="322">
        <v>6</v>
      </c>
      <c r="N2" s="322">
        <v>6</v>
      </c>
      <c r="O2" s="322">
        <v>51</v>
      </c>
      <c r="P2" s="319" t="s">
        <v>316</v>
      </c>
      <c r="Q2" s="315"/>
      <c r="R2" s="315"/>
      <c r="S2" s="315"/>
      <c r="T2" s="315"/>
      <c r="U2" s="315"/>
      <c r="V2" s="315"/>
      <c r="W2" s="315"/>
      <c r="X2" s="315"/>
      <c r="Y2" s="315"/>
      <c r="Z2" s="315"/>
      <c r="AA2" s="315"/>
      <c r="AB2" s="315"/>
      <c r="AC2" s="315"/>
      <c r="AD2" s="315"/>
      <c r="AE2" s="322" t="s">
        <v>650</v>
      </c>
      <c r="AF2" s="322" t="s">
        <v>1417</v>
      </c>
      <c r="AG2" s="315"/>
      <c r="AH2" s="315"/>
      <c r="AI2" s="315"/>
      <c r="AJ2" s="315"/>
    </row>
    <row r="3" spans="1:36" x14ac:dyDescent="0.3">
      <c r="A3" s="317" t="s">
        <v>606</v>
      </c>
      <c r="B3" s="318">
        <v>45989</v>
      </c>
      <c r="C3" s="319" t="s">
        <v>1409</v>
      </c>
      <c r="D3" s="320" t="s">
        <v>1416</v>
      </c>
      <c r="E3" s="319" t="s">
        <v>1406</v>
      </c>
      <c r="F3" s="319" t="s">
        <v>189</v>
      </c>
      <c r="G3" s="321">
        <v>0.32400000000000001</v>
      </c>
      <c r="H3" s="322">
        <v>179</v>
      </c>
      <c r="I3" s="322">
        <v>58</v>
      </c>
      <c r="J3" s="322">
        <v>0</v>
      </c>
      <c r="K3" s="319" t="s">
        <v>190</v>
      </c>
      <c r="L3" s="323">
        <v>45979</v>
      </c>
      <c r="M3" s="322">
        <v>0</v>
      </c>
      <c r="N3" s="322">
        <v>12</v>
      </c>
      <c r="O3" s="322">
        <v>23</v>
      </c>
      <c r="P3" s="319" t="s">
        <v>951</v>
      </c>
      <c r="Q3" s="315"/>
      <c r="R3" s="315"/>
      <c r="S3" s="315"/>
      <c r="T3" s="315"/>
      <c r="U3" s="315"/>
      <c r="V3" s="315"/>
      <c r="W3" s="315"/>
      <c r="X3" s="315"/>
      <c r="Y3" s="315"/>
      <c r="Z3" s="315"/>
      <c r="AA3" s="315"/>
      <c r="AB3" s="315"/>
      <c r="AC3" s="315"/>
      <c r="AD3" s="322" t="s">
        <v>977</v>
      </c>
      <c r="AE3" s="322" t="s">
        <v>316</v>
      </c>
      <c r="AF3" s="322" t="s">
        <v>1418</v>
      </c>
      <c r="AG3" s="315"/>
      <c r="AH3" s="315"/>
      <c r="AI3" s="315"/>
      <c r="AJ3" s="315"/>
    </row>
    <row r="4" spans="1:36" ht="21" x14ac:dyDescent="0.3">
      <c r="A4" s="324" t="s">
        <v>1638</v>
      </c>
      <c r="B4" s="325"/>
      <c r="C4" s="324">
        <f>SUBTOTAL(103,ATZ_TUU_LF_LEGACY[Flt])</f>
        <v>2</v>
      </c>
      <c r="D4" s="324"/>
      <c r="E4" s="324">
        <f>SUBTOTAL(103,ATZ_TUU_LF_LEGACY[Brd-Off])</f>
        <v>2</v>
      </c>
      <c r="F4" s="324"/>
      <c r="G4" s="326">
        <f>SUBTOTAL(101,ATZ_TUU_LF_LEGACY[LF%])</f>
        <v>0.39105000000000001</v>
      </c>
      <c r="H4" s="327">
        <f>SUBTOTAL(109,ATZ_TUU_LF_LEGACY[CAP])</f>
        <v>358</v>
      </c>
      <c r="I4" s="327">
        <f>SUBTOTAL(109,ATZ_TUU_LF_LEGACY[BKG(Y)])</f>
        <v>140</v>
      </c>
      <c r="J4" s="327">
        <f>SUBTOTAL(109,ATZ_TUU_LF_LEGACY[GRP(Y)])</f>
        <v>0</v>
      </c>
      <c r="K4" s="324"/>
      <c r="L4" s="325"/>
      <c r="M4" s="327">
        <f>SUBTOTAL(109,ATZ_TUU_LF_LEGACY[TO-DAY])</f>
        <v>6</v>
      </c>
      <c r="N4" s="327">
        <f>SUBTOTAL(109,ATZ_TUU_LF_LEGACY[Y-DAY])</f>
        <v>18</v>
      </c>
      <c r="O4" s="327">
        <f>SUBTOTAL(109,ATZ_TUU_LF_LEGACY[WEEKLY])</f>
        <v>74</v>
      </c>
      <c r="P4" s="328"/>
      <c r="Q4" s="327">
        <f>SUBTOTAL(109,ATZ_TUU_LF_LEGACY[Y])</f>
        <v>0</v>
      </c>
      <c r="R4" s="327">
        <f>SUBTOTAL(109,ATZ_TUU_LF_LEGACY[B])</f>
        <v>0</v>
      </c>
      <c r="S4" s="327">
        <f>SUBTOTAL(109,ATZ_TUU_LF_LEGACY[M])</f>
        <v>0</v>
      </c>
      <c r="T4" s="327">
        <f>SUBTOTAL(109,ATZ_TUU_LF_LEGACY[H])</f>
        <v>0</v>
      </c>
      <c r="U4" s="327">
        <f>SUBTOTAL(109,ATZ_TUU_LF_LEGACY[Q])</f>
        <v>0</v>
      </c>
      <c r="V4" s="327">
        <f>SUBTOTAL(109,ATZ_TUU_LF_LEGACY[K])</f>
        <v>0</v>
      </c>
      <c r="W4" s="327">
        <f>SUBTOTAL(109,ATZ_TUU_LF_LEGACY[V])</f>
        <v>0</v>
      </c>
      <c r="X4" s="327">
        <f>SUBTOTAL(109,ATZ_TUU_LF_LEGACY[L])</f>
        <v>0</v>
      </c>
      <c r="Y4" s="327">
        <f>SUBTOTAL(109,ATZ_TUU_LF_LEGACY[G])</f>
        <v>0</v>
      </c>
      <c r="Z4" s="327">
        <f>SUBTOTAL(109,ATZ_TUU_LF_LEGACY[S])</f>
        <v>0</v>
      </c>
      <c r="AA4" s="327">
        <f>SUBTOTAL(109,ATZ_TUU_LF_LEGACY[W])</f>
        <v>0</v>
      </c>
      <c r="AB4" s="327">
        <f>SUBTOTAL(109,ATZ_TUU_LF_LEGACY[T])</f>
        <v>0</v>
      </c>
      <c r="AC4" s="327">
        <f>SUBTOTAL(109,ATZ_TUU_LF_LEGACY[X])</f>
        <v>0</v>
      </c>
      <c r="AD4" s="327">
        <f>SUBTOTAL(109,ATZ_TUU_LF_LEGACY[U])</f>
        <v>0</v>
      </c>
      <c r="AE4" s="327">
        <f>SUBTOTAL(109,ATZ_TUU_LF_LEGACY[O])</f>
        <v>0</v>
      </c>
      <c r="AF4" s="327">
        <f>SUBTOTAL(109,ATZ_TUU_LF_LEGACY[I])</f>
        <v>0</v>
      </c>
      <c r="AG4" s="327">
        <f>SUBTOTAL(109,ATZ_TUU_LF_LEGACY[E])</f>
        <v>0</v>
      </c>
      <c r="AH4" s="327">
        <f>SUBTOTAL(109,ATZ_TUU_LF_LEGACY[A])</f>
        <v>0</v>
      </c>
      <c r="AI4" s="327">
        <f>SUBTOTAL(109,ATZ_TUU_LF_LEGACY[P])</f>
        <v>0</v>
      </c>
      <c r="AJ4" s="327">
        <f>SUBTOTAL(103,ATZ_TUU_LF_LEGACY[N])</f>
        <v>0</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5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7.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75"/>
      <c r="B2" s="176"/>
      <c r="C2" s="176"/>
      <c r="D2" s="176"/>
      <c r="E2" s="176"/>
      <c r="F2" s="177" t="s">
        <v>1419</v>
      </c>
      <c r="G2" s="176"/>
      <c r="H2" s="178"/>
    </row>
    <row r="3" spans="1:8" ht="19.8" customHeight="1" x14ac:dyDescent="0.3">
      <c r="A3" s="103" t="s">
        <v>235</v>
      </c>
      <c r="B3" s="104" t="s">
        <v>385</v>
      </c>
      <c r="C3" s="105" t="s">
        <v>1371</v>
      </c>
      <c r="D3" s="104" t="s">
        <v>1370</v>
      </c>
      <c r="E3" s="104" t="s">
        <v>667</v>
      </c>
      <c r="F3" s="104" t="s">
        <v>101</v>
      </c>
      <c r="G3" s="106">
        <v>9</v>
      </c>
      <c r="H3" s="107" t="s">
        <v>1372</v>
      </c>
    </row>
    <row r="4" spans="1:8" ht="19.8" customHeight="1" x14ac:dyDescent="0.3">
      <c r="A4" s="103" t="s">
        <v>235</v>
      </c>
      <c r="B4" s="104" t="s">
        <v>77</v>
      </c>
      <c r="C4" s="105" t="s">
        <v>1373</v>
      </c>
      <c r="D4" s="104" t="s">
        <v>1370</v>
      </c>
      <c r="E4" s="104" t="s">
        <v>1400</v>
      </c>
      <c r="F4" s="104" t="s">
        <v>101</v>
      </c>
      <c r="G4" s="106">
        <v>9</v>
      </c>
      <c r="H4" s="107" t="s">
        <v>779</v>
      </c>
    </row>
    <row r="5" spans="1:8" ht="19.8" customHeight="1" x14ac:dyDescent="0.3">
      <c r="A5" s="190" t="s">
        <v>235</v>
      </c>
      <c r="B5" s="115" t="s">
        <v>48</v>
      </c>
      <c r="C5" s="116" t="s">
        <v>1376</v>
      </c>
      <c r="D5" s="115" t="s">
        <v>1370</v>
      </c>
      <c r="E5" s="115" t="s">
        <v>1413</v>
      </c>
      <c r="F5" s="115" t="s">
        <v>50</v>
      </c>
      <c r="G5" s="118">
        <v>9</v>
      </c>
      <c r="H5" s="119" t="s">
        <v>1377</v>
      </c>
    </row>
    <row r="6" spans="1:8" ht="19.8" customHeight="1" x14ac:dyDescent="0.3">
      <c r="A6" s="174" t="s">
        <v>333</v>
      </c>
      <c r="B6" s="121" t="s">
        <v>77</v>
      </c>
      <c r="C6" s="122" t="s">
        <v>1407</v>
      </c>
      <c r="D6" s="121" t="s">
        <v>1406</v>
      </c>
      <c r="E6" s="121" t="s">
        <v>1416</v>
      </c>
      <c r="F6" s="121" t="s">
        <v>101</v>
      </c>
      <c r="G6" s="124">
        <v>9</v>
      </c>
      <c r="H6" s="125" t="s">
        <v>1408</v>
      </c>
    </row>
    <row r="7" spans="1:8" ht="19.8" customHeight="1" x14ac:dyDescent="0.3">
      <c r="A7" s="175"/>
      <c r="B7" s="176"/>
      <c r="C7" s="176"/>
      <c r="D7" s="176"/>
      <c r="E7" s="176"/>
      <c r="F7" s="177" t="s">
        <v>1419</v>
      </c>
      <c r="G7" s="176"/>
      <c r="H7" s="178"/>
    </row>
    <row r="8" spans="1:8" ht="19.8" customHeight="1" x14ac:dyDescent="0.3">
      <c r="A8" s="112">
        <v>45982</v>
      </c>
      <c r="B8" s="104" t="s">
        <v>388</v>
      </c>
      <c r="C8" s="105" t="s">
        <v>1378</v>
      </c>
      <c r="D8" s="104" t="s">
        <v>1370</v>
      </c>
      <c r="E8" s="113">
        <v>1.4965277777777779</v>
      </c>
      <c r="F8" s="104" t="s">
        <v>390</v>
      </c>
      <c r="G8" s="106">
        <v>9</v>
      </c>
      <c r="H8" s="107" t="s">
        <v>1379</v>
      </c>
    </row>
    <row r="9" spans="1:8" ht="19.8" customHeight="1" x14ac:dyDescent="0.3">
      <c r="A9" s="112">
        <v>45982</v>
      </c>
      <c r="B9" s="104" t="s">
        <v>385</v>
      </c>
      <c r="C9" s="105" t="s">
        <v>1381</v>
      </c>
      <c r="D9" s="104" t="s">
        <v>1370</v>
      </c>
      <c r="E9" s="113">
        <v>1.756944444444444</v>
      </c>
      <c r="F9" s="104" t="s">
        <v>101</v>
      </c>
      <c r="G9" s="106">
        <v>9</v>
      </c>
      <c r="H9" s="107" t="s">
        <v>1372</v>
      </c>
    </row>
    <row r="10" spans="1:8" ht="19.8" customHeight="1" x14ac:dyDescent="0.3">
      <c r="A10" s="112">
        <v>45982</v>
      </c>
      <c r="B10" s="104" t="s">
        <v>458</v>
      </c>
      <c r="C10" s="105" t="s">
        <v>1382</v>
      </c>
      <c r="D10" s="104" t="s">
        <v>1370</v>
      </c>
      <c r="E10" s="113">
        <v>1.9861111111111109</v>
      </c>
      <c r="F10" s="104" t="s">
        <v>101</v>
      </c>
      <c r="G10" s="106">
        <v>9</v>
      </c>
      <c r="H10" s="107" t="s">
        <v>779</v>
      </c>
    </row>
    <row r="11" spans="1:8" ht="19.8" customHeight="1" x14ac:dyDescent="0.3">
      <c r="A11" s="112">
        <v>45982</v>
      </c>
      <c r="B11" s="104" t="s">
        <v>48</v>
      </c>
      <c r="C11" s="105" t="s">
        <v>1376</v>
      </c>
      <c r="D11" s="104" t="s">
        <v>1370</v>
      </c>
      <c r="E11" s="113">
        <v>1.9826388888888891</v>
      </c>
      <c r="F11" s="104" t="s">
        <v>50</v>
      </c>
      <c r="G11" s="106">
        <v>9</v>
      </c>
      <c r="H11" s="107" t="s">
        <v>1377</v>
      </c>
    </row>
    <row r="12" spans="1:8" ht="19.8" customHeight="1" x14ac:dyDescent="0.3">
      <c r="A12" s="114">
        <v>45982</v>
      </c>
      <c r="B12" s="115" t="s">
        <v>388</v>
      </c>
      <c r="C12" s="116" t="s">
        <v>1378</v>
      </c>
      <c r="D12" s="115" t="s">
        <v>1370</v>
      </c>
      <c r="E12" s="117">
        <v>1.4965277777777779</v>
      </c>
      <c r="F12" s="115" t="s">
        <v>46</v>
      </c>
      <c r="G12" s="118">
        <v>9</v>
      </c>
      <c r="H12" s="119" t="s">
        <v>1380</v>
      </c>
    </row>
    <row r="13" spans="1:8" ht="19.8" customHeight="1" x14ac:dyDescent="0.3">
      <c r="A13" s="175"/>
      <c r="B13" s="176"/>
      <c r="C13" s="176"/>
      <c r="D13" s="176"/>
      <c r="E13" s="176"/>
      <c r="F13" s="177" t="s">
        <v>1419</v>
      </c>
      <c r="G13" s="176"/>
      <c r="H13" s="178"/>
    </row>
    <row r="14" spans="1:8" ht="19.8" customHeight="1" x14ac:dyDescent="0.3">
      <c r="A14" s="112">
        <v>45983</v>
      </c>
      <c r="B14" s="104" t="s">
        <v>77</v>
      </c>
      <c r="C14" s="105" t="s">
        <v>1373</v>
      </c>
      <c r="D14" s="104" t="s">
        <v>1370</v>
      </c>
      <c r="E14" s="113">
        <v>1.836805555555556</v>
      </c>
      <c r="F14" s="104" t="s">
        <v>101</v>
      </c>
      <c r="G14" s="106">
        <v>9</v>
      </c>
      <c r="H14" s="107" t="s">
        <v>1383</v>
      </c>
    </row>
    <row r="15" spans="1:8" ht="19.8" customHeight="1" x14ac:dyDescent="0.3">
      <c r="A15" s="114">
        <v>45983</v>
      </c>
      <c r="B15" s="115" t="s">
        <v>385</v>
      </c>
      <c r="C15" s="116" t="s">
        <v>1371</v>
      </c>
      <c r="D15" s="115" t="s">
        <v>1370</v>
      </c>
      <c r="E15" s="117">
        <v>1.756944444444444</v>
      </c>
      <c r="F15" s="115" t="s">
        <v>101</v>
      </c>
      <c r="G15" s="118">
        <v>7</v>
      </c>
      <c r="H15" s="119" t="s">
        <v>492</v>
      </c>
    </row>
    <row r="16" spans="1:8" ht="19.8" customHeight="1" x14ac:dyDescent="0.3">
      <c r="A16" s="175"/>
      <c r="B16" s="176"/>
      <c r="C16" s="176"/>
      <c r="D16" s="176"/>
      <c r="E16" s="176"/>
      <c r="F16" s="177" t="s">
        <v>1419</v>
      </c>
      <c r="G16" s="176"/>
      <c r="H16" s="178"/>
    </row>
    <row r="17" spans="1:8" ht="19.8" customHeight="1" x14ac:dyDescent="0.3">
      <c r="A17" s="112">
        <v>45984</v>
      </c>
      <c r="B17" s="104" t="s">
        <v>388</v>
      </c>
      <c r="C17" s="105" t="s">
        <v>1378</v>
      </c>
      <c r="D17" s="104" t="s">
        <v>1370</v>
      </c>
      <c r="E17" s="113">
        <v>1.538194444444444</v>
      </c>
      <c r="F17" s="104" t="s">
        <v>390</v>
      </c>
      <c r="G17" s="106">
        <v>9</v>
      </c>
      <c r="H17" s="107" t="s">
        <v>1385</v>
      </c>
    </row>
    <row r="18" spans="1:8" ht="19.8" customHeight="1" x14ac:dyDescent="0.3">
      <c r="A18" s="114">
        <v>45984</v>
      </c>
      <c r="B18" s="115" t="s">
        <v>388</v>
      </c>
      <c r="C18" s="116" t="s">
        <v>1378</v>
      </c>
      <c r="D18" s="115" t="s">
        <v>1370</v>
      </c>
      <c r="E18" s="117">
        <v>1.538194444444444</v>
      </c>
      <c r="F18" s="115" t="s">
        <v>46</v>
      </c>
      <c r="G18" s="118">
        <v>9</v>
      </c>
      <c r="H18" s="119" t="s">
        <v>1386</v>
      </c>
    </row>
    <row r="19" spans="1:8" ht="19.8" customHeight="1" x14ac:dyDescent="0.3">
      <c r="A19" s="175"/>
      <c r="B19" s="176"/>
      <c r="C19" s="176"/>
      <c r="D19" s="176"/>
      <c r="E19" s="176"/>
      <c r="F19" s="177" t="s">
        <v>1419</v>
      </c>
      <c r="G19" s="176"/>
      <c r="H19" s="178"/>
    </row>
    <row r="20" spans="1:8" ht="19.8" customHeight="1" x14ac:dyDescent="0.3">
      <c r="A20" s="112">
        <v>45985</v>
      </c>
      <c r="B20" s="104" t="s">
        <v>388</v>
      </c>
      <c r="C20" s="105" t="s">
        <v>1378</v>
      </c>
      <c r="D20" s="104" t="s">
        <v>1370</v>
      </c>
      <c r="E20" s="113">
        <v>1.538194444444444</v>
      </c>
      <c r="F20" s="104" t="s">
        <v>390</v>
      </c>
      <c r="G20" s="106">
        <v>9</v>
      </c>
      <c r="H20" s="107" t="s">
        <v>1387</v>
      </c>
    </row>
    <row r="21" spans="1:8" ht="19.8" customHeight="1" x14ac:dyDescent="0.3">
      <c r="A21" s="112">
        <v>45985</v>
      </c>
      <c r="B21" s="104" t="s">
        <v>385</v>
      </c>
      <c r="C21" s="105" t="s">
        <v>1381</v>
      </c>
      <c r="D21" s="104" t="s">
        <v>1370</v>
      </c>
      <c r="E21" s="113">
        <v>1.7152777777777779</v>
      </c>
      <c r="F21" s="104" t="s">
        <v>101</v>
      </c>
      <c r="G21" s="106">
        <v>9</v>
      </c>
      <c r="H21" s="107" t="s">
        <v>1372</v>
      </c>
    </row>
    <row r="22" spans="1:8" ht="19.8" customHeight="1" x14ac:dyDescent="0.3">
      <c r="A22" s="112">
        <v>45985</v>
      </c>
      <c r="B22" s="104" t="s">
        <v>48</v>
      </c>
      <c r="C22" s="105" t="s">
        <v>1376</v>
      </c>
      <c r="D22" s="104" t="s">
        <v>1370</v>
      </c>
      <c r="E22" s="113">
        <v>1.9826388888888891</v>
      </c>
      <c r="F22" s="104" t="s">
        <v>50</v>
      </c>
      <c r="G22" s="106">
        <v>9</v>
      </c>
      <c r="H22" s="107" t="s">
        <v>1377</v>
      </c>
    </row>
    <row r="23" spans="1:8" ht="19.8" customHeight="1" x14ac:dyDescent="0.3">
      <c r="A23" s="114">
        <v>45985</v>
      </c>
      <c r="B23" s="115" t="s">
        <v>388</v>
      </c>
      <c r="C23" s="116" t="s">
        <v>1378</v>
      </c>
      <c r="D23" s="115" t="s">
        <v>1370</v>
      </c>
      <c r="E23" s="117">
        <v>1.538194444444444</v>
      </c>
      <c r="F23" s="115" t="s">
        <v>46</v>
      </c>
      <c r="G23" s="118">
        <v>9</v>
      </c>
      <c r="H23" s="119" t="s">
        <v>1388</v>
      </c>
    </row>
    <row r="24" spans="1:8" ht="19.8" customHeight="1" x14ac:dyDescent="0.3">
      <c r="A24" s="175"/>
      <c r="B24" s="176"/>
      <c r="C24" s="176"/>
      <c r="D24" s="176"/>
      <c r="E24" s="176"/>
      <c r="F24" s="177" t="s">
        <v>1419</v>
      </c>
      <c r="G24" s="176"/>
      <c r="H24" s="178"/>
    </row>
    <row r="25" spans="1:8" ht="19.8" customHeight="1" x14ac:dyDescent="0.3">
      <c r="A25" s="114">
        <v>45986</v>
      </c>
      <c r="B25" s="115" t="s">
        <v>458</v>
      </c>
      <c r="C25" s="116" t="s">
        <v>1382</v>
      </c>
      <c r="D25" s="115" t="s">
        <v>1370</v>
      </c>
      <c r="E25" s="117">
        <v>1.78125</v>
      </c>
      <c r="F25" s="115" t="s">
        <v>101</v>
      </c>
      <c r="G25" s="118">
        <v>6</v>
      </c>
      <c r="H25" s="119" t="s">
        <v>779</v>
      </c>
    </row>
    <row r="26" spans="1:8" ht="19.8" customHeight="1" x14ac:dyDescent="0.3">
      <c r="A26" s="175"/>
      <c r="B26" s="176"/>
      <c r="C26" s="176"/>
      <c r="D26" s="176"/>
      <c r="E26" s="176"/>
      <c r="F26" s="177" t="s">
        <v>1419</v>
      </c>
      <c r="G26" s="176"/>
      <c r="H26" s="178"/>
    </row>
    <row r="27" spans="1:8" ht="19.8" customHeight="1" x14ac:dyDescent="0.3">
      <c r="A27" s="112">
        <v>45987</v>
      </c>
      <c r="B27" s="104" t="s">
        <v>388</v>
      </c>
      <c r="C27" s="105" t="s">
        <v>1378</v>
      </c>
      <c r="D27" s="104" t="s">
        <v>1370</v>
      </c>
      <c r="E27" s="113">
        <v>1.4965277777777779</v>
      </c>
      <c r="F27" s="104" t="s">
        <v>390</v>
      </c>
      <c r="G27" s="106">
        <v>9</v>
      </c>
      <c r="H27" s="107" t="s">
        <v>1387</v>
      </c>
    </row>
    <row r="28" spans="1:8" ht="19.8" customHeight="1" x14ac:dyDescent="0.3">
      <c r="A28" s="112">
        <v>45987</v>
      </c>
      <c r="B28" s="104" t="s">
        <v>77</v>
      </c>
      <c r="C28" s="105" t="s">
        <v>1373</v>
      </c>
      <c r="D28" s="104" t="s">
        <v>1370</v>
      </c>
      <c r="E28" s="113">
        <v>1.711805555555556</v>
      </c>
      <c r="F28" s="104" t="s">
        <v>101</v>
      </c>
      <c r="G28" s="106">
        <v>8</v>
      </c>
      <c r="H28" s="107" t="s">
        <v>779</v>
      </c>
    </row>
    <row r="29" spans="1:8" ht="19.8" customHeight="1" x14ac:dyDescent="0.3">
      <c r="A29" s="112">
        <v>45987</v>
      </c>
      <c r="B29" s="104" t="s">
        <v>48</v>
      </c>
      <c r="C29" s="105" t="s">
        <v>1376</v>
      </c>
      <c r="D29" s="104" t="s">
        <v>1370</v>
      </c>
      <c r="E29" s="113">
        <v>1.9826388888888891</v>
      </c>
      <c r="F29" s="104" t="s">
        <v>50</v>
      </c>
      <c r="G29" s="106">
        <v>9</v>
      </c>
      <c r="H29" s="107" t="s">
        <v>1377</v>
      </c>
    </row>
    <row r="30" spans="1:8" ht="19.8" customHeight="1" x14ac:dyDescent="0.3">
      <c r="A30" s="112">
        <v>45987</v>
      </c>
      <c r="B30" s="104" t="s">
        <v>385</v>
      </c>
      <c r="C30" s="105" t="s">
        <v>1381</v>
      </c>
      <c r="D30" s="104" t="s">
        <v>1370</v>
      </c>
      <c r="E30" s="113">
        <v>1.756944444444444</v>
      </c>
      <c r="F30" s="104" t="s">
        <v>101</v>
      </c>
      <c r="G30" s="106">
        <v>9</v>
      </c>
      <c r="H30" s="107" t="s">
        <v>492</v>
      </c>
    </row>
    <row r="31" spans="1:8" ht="19.8" customHeight="1" x14ac:dyDescent="0.3">
      <c r="A31" s="114">
        <v>45987</v>
      </c>
      <c r="B31" s="115" t="s">
        <v>388</v>
      </c>
      <c r="C31" s="116" t="s">
        <v>1378</v>
      </c>
      <c r="D31" s="115" t="s">
        <v>1370</v>
      </c>
      <c r="E31" s="117">
        <v>1.4965277777777779</v>
      </c>
      <c r="F31" s="115" t="s">
        <v>46</v>
      </c>
      <c r="G31" s="118">
        <v>9</v>
      </c>
      <c r="H31" s="119" t="s">
        <v>1388</v>
      </c>
    </row>
    <row r="32" spans="1:8" ht="19.8" customHeight="1" x14ac:dyDescent="0.3">
      <c r="A32" s="175"/>
      <c r="B32" s="176"/>
      <c r="C32" s="176"/>
      <c r="D32" s="176"/>
      <c r="E32" s="176"/>
      <c r="F32" s="177" t="s">
        <v>1419</v>
      </c>
      <c r="G32" s="176"/>
      <c r="H32" s="178"/>
    </row>
    <row r="33" spans="1:8" ht="19.8" customHeight="1" x14ac:dyDescent="0.3">
      <c r="A33" s="112">
        <v>45988</v>
      </c>
      <c r="B33" s="104" t="s">
        <v>458</v>
      </c>
      <c r="C33" s="105" t="s">
        <v>1382</v>
      </c>
      <c r="D33" s="104" t="s">
        <v>1370</v>
      </c>
      <c r="E33" s="113">
        <v>1.805555555555556</v>
      </c>
      <c r="F33" s="104" t="s">
        <v>101</v>
      </c>
      <c r="G33" s="106">
        <v>2</v>
      </c>
      <c r="H33" s="107" t="s">
        <v>779</v>
      </c>
    </row>
    <row r="34" spans="1:8" ht="19.8" customHeight="1" x14ac:dyDescent="0.3">
      <c r="A34" s="112">
        <v>45988</v>
      </c>
      <c r="B34" s="104" t="s">
        <v>385</v>
      </c>
      <c r="C34" s="105" t="s">
        <v>1371</v>
      </c>
      <c r="D34" s="104" t="s">
        <v>1370</v>
      </c>
      <c r="E34" s="113">
        <v>1.756944444444444</v>
      </c>
      <c r="F34" s="104" t="s">
        <v>101</v>
      </c>
      <c r="G34" s="106">
        <v>5</v>
      </c>
      <c r="H34" s="107" t="s">
        <v>492</v>
      </c>
    </row>
    <row r="35" spans="1:8" ht="19.8" customHeight="1" x14ac:dyDescent="0.3">
      <c r="A35" s="112">
        <v>45988</v>
      </c>
      <c r="B35" s="104" t="s">
        <v>77</v>
      </c>
      <c r="C35" s="105" t="s">
        <v>1373</v>
      </c>
      <c r="D35" s="104" t="s">
        <v>1370</v>
      </c>
      <c r="E35" s="113">
        <v>1.711805555555556</v>
      </c>
      <c r="F35" s="104" t="s">
        <v>101</v>
      </c>
      <c r="G35" s="106">
        <v>5</v>
      </c>
      <c r="H35" s="107" t="s">
        <v>1390</v>
      </c>
    </row>
    <row r="36" spans="1:8" ht="19.8" customHeight="1" x14ac:dyDescent="0.3">
      <c r="A36" s="114">
        <v>45988</v>
      </c>
      <c r="B36" s="115" t="s">
        <v>48</v>
      </c>
      <c r="C36" s="116" t="s">
        <v>1376</v>
      </c>
      <c r="D36" s="115" t="s">
        <v>1370</v>
      </c>
      <c r="E36" s="117">
        <v>1.9826388888888891</v>
      </c>
      <c r="F36" s="115" t="s">
        <v>50</v>
      </c>
      <c r="G36" s="118">
        <v>9</v>
      </c>
      <c r="H36" s="119" t="s">
        <v>1392</v>
      </c>
    </row>
    <row r="37" spans="1:8" ht="19.8" customHeight="1" x14ac:dyDescent="0.3">
      <c r="A37" s="120">
        <v>45989</v>
      </c>
      <c r="B37" s="121" t="s">
        <v>77</v>
      </c>
      <c r="C37" s="122" t="s">
        <v>1407</v>
      </c>
      <c r="D37" s="121" t="s">
        <v>1406</v>
      </c>
      <c r="E37" s="123">
        <v>1.3784722222222221</v>
      </c>
      <c r="F37" s="121" t="s">
        <v>101</v>
      </c>
      <c r="G37" s="124">
        <v>2</v>
      </c>
      <c r="H37" s="125" t="s">
        <v>1414</v>
      </c>
    </row>
    <row r="38" spans="1:8" ht="19.8" customHeight="1" x14ac:dyDescent="0.3">
      <c r="A38" s="175"/>
      <c r="B38" s="176"/>
      <c r="C38" s="176"/>
      <c r="D38" s="176"/>
      <c r="E38" s="176"/>
      <c r="F38" s="177" t="s">
        <v>1419</v>
      </c>
      <c r="G38" s="176"/>
      <c r="H38" s="178"/>
    </row>
    <row r="39" spans="1:8" ht="19.8" customHeight="1" x14ac:dyDescent="0.3">
      <c r="A39" s="112">
        <v>45989</v>
      </c>
      <c r="B39" s="104" t="s">
        <v>388</v>
      </c>
      <c r="C39" s="105" t="s">
        <v>1378</v>
      </c>
      <c r="D39" s="104" t="s">
        <v>1370</v>
      </c>
      <c r="E39" s="113">
        <v>1.4965277777777779</v>
      </c>
      <c r="F39" s="104" t="s">
        <v>461</v>
      </c>
      <c r="G39" s="106">
        <v>9</v>
      </c>
      <c r="H39" s="107" t="s">
        <v>1393</v>
      </c>
    </row>
    <row r="40" spans="1:8" ht="19.8" customHeight="1" x14ac:dyDescent="0.3">
      <c r="A40" s="112">
        <v>45989</v>
      </c>
      <c r="B40" s="104" t="s">
        <v>385</v>
      </c>
      <c r="C40" s="105" t="s">
        <v>1381</v>
      </c>
      <c r="D40" s="104" t="s">
        <v>1370</v>
      </c>
      <c r="E40" s="113">
        <v>1.756944444444444</v>
      </c>
      <c r="F40" s="104" t="s">
        <v>101</v>
      </c>
      <c r="G40" s="106">
        <v>6</v>
      </c>
      <c r="H40" s="107" t="s">
        <v>1394</v>
      </c>
    </row>
    <row r="41" spans="1:8" ht="19.8" customHeight="1" x14ac:dyDescent="0.3">
      <c r="A41" s="114">
        <v>45989</v>
      </c>
      <c r="B41" s="115" t="s">
        <v>48</v>
      </c>
      <c r="C41" s="116" t="s">
        <v>1376</v>
      </c>
      <c r="D41" s="115" t="s">
        <v>1370</v>
      </c>
      <c r="E41" s="117">
        <v>1.9826388888888891</v>
      </c>
      <c r="F41" s="115" t="s">
        <v>50</v>
      </c>
      <c r="G41" s="118">
        <v>8</v>
      </c>
      <c r="H41" s="119" t="s">
        <v>1395</v>
      </c>
    </row>
    <row r="42" spans="1:8" ht="19.8" customHeight="1" x14ac:dyDescent="0.3">
      <c r="A42" s="175"/>
      <c r="B42" s="176"/>
      <c r="C42" s="176"/>
      <c r="D42" s="176"/>
      <c r="E42" s="176"/>
      <c r="F42" s="177" t="s">
        <v>1419</v>
      </c>
      <c r="G42" s="176"/>
      <c r="H42" s="178"/>
    </row>
    <row r="43" spans="1:8" ht="19.8" customHeight="1" x14ac:dyDescent="0.3">
      <c r="A43" s="112">
        <v>45990</v>
      </c>
      <c r="B43" s="104" t="s">
        <v>458</v>
      </c>
      <c r="C43" s="105" t="s">
        <v>1382</v>
      </c>
      <c r="D43" s="104" t="s">
        <v>1370</v>
      </c>
      <c r="E43" s="113">
        <v>1.020833333333333</v>
      </c>
      <c r="F43" s="104" t="s">
        <v>101</v>
      </c>
      <c r="G43" s="106">
        <v>8</v>
      </c>
      <c r="H43" s="107" t="s">
        <v>1396</v>
      </c>
    </row>
    <row r="44" spans="1:8" ht="19.8" customHeight="1" x14ac:dyDescent="0.3">
      <c r="A44" s="112">
        <v>45990</v>
      </c>
      <c r="B44" s="104" t="s">
        <v>385</v>
      </c>
      <c r="C44" s="105" t="s">
        <v>1371</v>
      </c>
      <c r="D44" s="104" t="s">
        <v>1370</v>
      </c>
      <c r="E44" s="113">
        <v>1.756944444444444</v>
      </c>
      <c r="F44" s="104" t="s">
        <v>101</v>
      </c>
      <c r="G44" s="106">
        <v>9</v>
      </c>
      <c r="H44" s="107" t="s">
        <v>1394</v>
      </c>
    </row>
    <row r="45" spans="1:8" ht="19.8" customHeight="1" x14ac:dyDescent="0.3">
      <c r="A45" s="114">
        <v>45990</v>
      </c>
      <c r="B45" s="115" t="s">
        <v>77</v>
      </c>
      <c r="C45" s="116" t="s">
        <v>1373</v>
      </c>
      <c r="D45" s="115" t="s">
        <v>1370</v>
      </c>
      <c r="E45" s="117">
        <v>1.836805555555556</v>
      </c>
      <c r="F45" s="115" t="s">
        <v>101</v>
      </c>
      <c r="G45" s="118">
        <v>9</v>
      </c>
      <c r="H45" s="119" t="s">
        <v>1397</v>
      </c>
    </row>
    <row r="46" spans="1:8" ht="19.8" customHeight="1" x14ac:dyDescent="0.3">
      <c r="A46" s="175"/>
      <c r="B46" s="176"/>
      <c r="C46" s="176"/>
      <c r="D46" s="176"/>
      <c r="E46" s="176"/>
      <c r="F46" s="177" t="s">
        <v>1419</v>
      </c>
      <c r="G46" s="176"/>
      <c r="H46" s="178"/>
    </row>
    <row r="47" spans="1:8" ht="19.8" customHeight="1" x14ac:dyDescent="0.3">
      <c r="A47" s="112">
        <v>45991</v>
      </c>
      <c r="B47" s="104" t="s">
        <v>388</v>
      </c>
      <c r="C47" s="105" t="s">
        <v>1378</v>
      </c>
      <c r="D47" s="104" t="s">
        <v>1370</v>
      </c>
      <c r="E47" s="113">
        <v>1.538194444444444</v>
      </c>
      <c r="F47" s="104" t="s">
        <v>390</v>
      </c>
      <c r="G47" s="106">
        <v>9</v>
      </c>
      <c r="H47" s="107" t="s">
        <v>1385</v>
      </c>
    </row>
    <row r="48" spans="1:8" ht="19.8" customHeight="1" x14ac:dyDescent="0.3">
      <c r="A48" s="112">
        <v>45991</v>
      </c>
      <c r="B48" s="104" t="s">
        <v>458</v>
      </c>
      <c r="C48" s="105" t="s">
        <v>1382</v>
      </c>
      <c r="D48" s="104" t="s">
        <v>1370</v>
      </c>
      <c r="E48" s="113">
        <v>1.7152777777777779</v>
      </c>
      <c r="F48" s="104" t="s">
        <v>101</v>
      </c>
      <c r="G48" s="106">
        <v>8</v>
      </c>
      <c r="H48" s="107" t="s">
        <v>779</v>
      </c>
    </row>
    <row r="49" spans="1:8" ht="19.8" customHeight="1" x14ac:dyDescent="0.3">
      <c r="A49" s="112">
        <v>45991</v>
      </c>
      <c r="B49" s="104" t="s">
        <v>385</v>
      </c>
      <c r="C49" s="105" t="s">
        <v>1399</v>
      </c>
      <c r="D49" s="104" t="s">
        <v>1370</v>
      </c>
      <c r="E49" s="113">
        <v>1.756944444444444</v>
      </c>
      <c r="F49" s="104" t="s">
        <v>101</v>
      </c>
      <c r="G49" s="106">
        <v>3</v>
      </c>
      <c r="H49" s="107" t="s">
        <v>492</v>
      </c>
    </row>
    <row r="50" spans="1:8" ht="19.8" customHeight="1" x14ac:dyDescent="0.3">
      <c r="A50" s="114">
        <v>45991</v>
      </c>
      <c r="B50" s="115" t="s">
        <v>388</v>
      </c>
      <c r="C50" s="116" t="s">
        <v>1378</v>
      </c>
      <c r="D50" s="115" t="s">
        <v>1370</v>
      </c>
      <c r="E50" s="117">
        <v>1.538194444444444</v>
      </c>
      <c r="F50" s="115" t="s">
        <v>46</v>
      </c>
      <c r="G50" s="118">
        <v>9</v>
      </c>
      <c r="H50" s="119" t="s">
        <v>1386</v>
      </c>
    </row>
  </sheetData>
  <pageMargins left="0.75" right="0.75" top="1" bottom="1" header="0.5" footer="0.5"/>
  <legacyDrawing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N36"/>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2.88671875" bestFit="1" customWidth="1"/>
  </cols>
  <sheetData>
    <row r="1" spans="1:92" ht="28.8" customHeight="1" x14ac:dyDescent="0.3">
      <c r="A1" s="303" t="s">
        <v>0</v>
      </c>
      <c r="B1" s="302"/>
      <c r="C1" s="302"/>
      <c r="D1" s="302"/>
      <c r="E1" s="302"/>
      <c r="F1" s="1" t="s">
        <v>1420</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45980.583861180581</v>
      </c>
      <c r="H2" s="302"/>
      <c r="I2" s="302"/>
      <c r="J2" s="302"/>
      <c r="K2" s="311">
        <v>45980.583861180923</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385</v>
      </c>
      <c r="B6" s="8" t="s">
        <v>1421</v>
      </c>
      <c r="C6" s="9">
        <v>0.70138888888888884</v>
      </c>
      <c r="D6" s="8" t="s">
        <v>101</v>
      </c>
      <c r="E6" s="8" t="s">
        <v>63</v>
      </c>
      <c r="F6" s="8" t="s">
        <v>1422</v>
      </c>
      <c r="G6" s="304"/>
      <c r="H6" s="10"/>
      <c r="I6" s="11"/>
      <c r="J6" s="11"/>
      <c r="K6" s="11"/>
      <c r="L6" s="11"/>
      <c r="M6" s="11"/>
      <c r="N6" s="11"/>
      <c r="O6" s="12"/>
      <c r="P6" s="11"/>
      <c r="Q6" s="13"/>
      <c r="R6" s="14"/>
    </row>
    <row r="7" spans="1:92" ht="49.95" customHeight="1" thickTop="1" thickBot="1" x14ac:dyDescent="0.35">
      <c r="A7" s="21" t="s">
        <v>77</v>
      </c>
      <c r="B7" s="21" t="s">
        <v>1423</v>
      </c>
      <c r="C7" s="22">
        <v>0.76736111111111116</v>
      </c>
      <c r="D7" s="21" t="s">
        <v>101</v>
      </c>
      <c r="E7" s="21" t="s">
        <v>63</v>
      </c>
      <c r="F7" s="21" t="s">
        <v>1424</v>
      </c>
      <c r="G7" s="299"/>
      <c r="H7" s="24" t="s">
        <v>1425</v>
      </c>
      <c r="I7" s="245">
        <v>0.29049999999999998</v>
      </c>
      <c r="J7" s="26">
        <v>52</v>
      </c>
      <c r="K7" s="27">
        <v>45979</v>
      </c>
      <c r="L7" s="26">
        <v>31</v>
      </c>
      <c r="M7" s="26">
        <v>0</v>
      </c>
      <c r="N7" s="26">
        <v>8</v>
      </c>
      <c r="O7" s="28" t="s">
        <v>597</v>
      </c>
      <c r="P7" s="29">
        <v>0.76736111111111116</v>
      </c>
      <c r="Q7" s="26">
        <v>179</v>
      </c>
      <c r="R7" s="30" t="s">
        <v>1426</v>
      </c>
    </row>
    <row r="8" spans="1:92" ht="17.399999999999999" customHeight="1" thickBot="1" x14ac:dyDescent="0.35">
      <c r="A8" s="329"/>
      <c r="B8" s="330"/>
      <c r="C8" s="330"/>
      <c r="D8" s="330"/>
      <c r="E8" s="330"/>
      <c r="F8" s="330"/>
      <c r="G8" s="330"/>
      <c r="H8" s="330"/>
      <c r="I8" s="330"/>
      <c r="J8" s="330"/>
      <c r="K8" s="330"/>
      <c r="L8" s="330"/>
      <c r="M8" s="330"/>
      <c r="N8" s="330"/>
      <c r="O8" s="330"/>
      <c r="P8" s="330"/>
      <c r="Q8" s="330"/>
      <c r="R8" s="331"/>
    </row>
    <row r="9" spans="1:92" ht="22.05" customHeight="1" thickTop="1" thickBot="1" x14ac:dyDescent="0.35">
      <c r="A9" s="300" t="s">
        <v>6</v>
      </c>
      <c r="B9" s="295"/>
      <c r="C9" s="295"/>
      <c r="D9" s="295"/>
      <c r="E9" s="295"/>
      <c r="F9" s="296"/>
      <c r="G9" s="31">
        <v>45983</v>
      </c>
      <c r="H9" s="294" t="s">
        <v>7</v>
      </c>
      <c r="I9" s="295"/>
      <c r="J9" s="295"/>
      <c r="K9" s="295"/>
      <c r="L9" s="295"/>
      <c r="M9" s="295"/>
      <c r="N9" s="295"/>
      <c r="O9" s="295"/>
      <c r="P9" s="295"/>
      <c r="Q9" s="295"/>
      <c r="R9" s="296"/>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thickTop="1" thickBot="1" x14ac:dyDescent="0.35">
      <c r="A11" s="204" t="s">
        <v>77</v>
      </c>
      <c r="B11" s="204" t="s">
        <v>1423</v>
      </c>
      <c r="C11" s="205">
        <v>0.71875</v>
      </c>
      <c r="D11" s="204" t="s">
        <v>101</v>
      </c>
      <c r="E11" s="204" t="s">
        <v>63</v>
      </c>
      <c r="F11" s="204" t="s">
        <v>362</v>
      </c>
      <c r="G11" s="304"/>
      <c r="H11" s="24" t="s">
        <v>1425</v>
      </c>
      <c r="I11" s="258">
        <v>0.60340000000000005</v>
      </c>
      <c r="J11" s="26">
        <v>108</v>
      </c>
      <c r="K11" s="27">
        <v>45980</v>
      </c>
      <c r="L11" s="26">
        <v>58</v>
      </c>
      <c r="M11" s="26">
        <v>7</v>
      </c>
      <c r="N11" s="26">
        <v>21</v>
      </c>
      <c r="O11" s="28" t="s">
        <v>381</v>
      </c>
      <c r="P11" s="29">
        <v>0.71875</v>
      </c>
      <c r="Q11" s="26">
        <v>179</v>
      </c>
      <c r="R11" s="30" t="s">
        <v>1427</v>
      </c>
    </row>
    <row r="12" spans="1:92" ht="17.399999999999999" customHeight="1" thickBot="1" x14ac:dyDescent="0.35">
      <c r="A12" s="329"/>
      <c r="B12" s="330"/>
      <c r="C12" s="330"/>
      <c r="D12" s="330"/>
      <c r="E12" s="330"/>
      <c r="F12" s="330"/>
      <c r="G12" s="330"/>
      <c r="H12" s="330"/>
      <c r="I12" s="330"/>
      <c r="J12" s="330"/>
      <c r="K12" s="330"/>
      <c r="L12" s="330"/>
      <c r="M12" s="330"/>
      <c r="N12" s="330"/>
      <c r="O12" s="330"/>
      <c r="P12" s="330"/>
      <c r="Q12" s="330"/>
      <c r="R12" s="331"/>
    </row>
    <row r="13" spans="1:92" ht="22.05" customHeight="1" thickTop="1" thickBot="1" x14ac:dyDescent="0.35">
      <c r="A13" s="300" t="s">
        <v>6</v>
      </c>
      <c r="B13" s="295"/>
      <c r="C13" s="295"/>
      <c r="D13" s="295"/>
      <c r="E13" s="295"/>
      <c r="F13" s="296"/>
      <c r="G13" s="31">
        <v>45984</v>
      </c>
      <c r="H13" s="294" t="s">
        <v>7</v>
      </c>
      <c r="I13" s="295"/>
      <c r="J13" s="295"/>
      <c r="K13" s="295"/>
      <c r="L13" s="295"/>
      <c r="M13" s="295"/>
      <c r="N13" s="295"/>
      <c r="O13" s="295"/>
      <c r="P13" s="295"/>
      <c r="Q13" s="295"/>
      <c r="R13" s="296"/>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thickTop="1" thickBot="1" x14ac:dyDescent="0.35">
      <c r="A15" s="246" t="s">
        <v>385</v>
      </c>
      <c r="B15" s="246" t="s">
        <v>1428</v>
      </c>
      <c r="C15" s="247">
        <v>0.30902777777777779</v>
      </c>
      <c r="D15" s="246" t="s">
        <v>101</v>
      </c>
      <c r="E15" s="246" t="s">
        <v>96</v>
      </c>
      <c r="F15" s="246" t="s">
        <v>1429</v>
      </c>
      <c r="G15" s="304"/>
      <c r="H15" s="41"/>
      <c r="I15" s="42"/>
      <c r="J15" s="42"/>
      <c r="K15" s="42"/>
      <c r="L15" s="42"/>
      <c r="M15" s="42"/>
      <c r="N15" s="42"/>
      <c r="O15" s="43"/>
      <c r="P15" s="42"/>
      <c r="Q15" s="44"/>
      <c r="R15" s="45"/>
    </row>
    <row r="16" spans="1:92" ht="17.399999999999999" customHeight="1" thickBot="1" x14ac:dyDescent="0.35">
      <c r="A16" s="329"/>
      <c r="B16" s="330"/>
      <c r="C16" s="330"/>
      <c r="D16" s="330"/>
      <c r="E16" s="330"/>
      <c r="F16" s="330"/>
      <c r="G16" s="330"/>
      <c r="H16" s="330"/>
      <c r="I16" s="330"/>
      <c r="J16" s="330"/>
      <c r="K16" s="330"/>
      <c r="L16" s="330"/>
      <c r="M16" s="330"/>
      <c r="N16" s="330"/>
      <c r="O16" s="330"/>
      <c r="P16" s="330"/>
      <c r="Q16" s="330"/>
      <c r="R16" s="331"/>
    </row>
    <row r="17" spans="1:18" ht="22.05" customHeight="1" thickTop="1" thickBot="1" x14ac:dyDescent="0.35">
      <c r="A17" s="300" t="s">
        <v>6</v>
      </c>
      <c r="B17" s="295"/>
      <c r="C17" s="295"/>
      <c r="D17" s="295"/>
      <c r="E17" s="295"/>
      <c r="F17" s="296"/>
      <c r="G17" s="31">
        <v>45986</v>
      </c>
      <c r="H17" s="294" t="s">
        <v>7</v>
      </c>
      <c r="I17" s="295"/>
      <c r="J17" s="295"/>
      <c r="K17" s="295"/>
      <c r="L17" s="295"/>
      <c r="M17" s="295"/>
      <c r="N17" s="295"/>
      <c r="O17" s="295"/>
      <c r="P17" s="295"/>
      <c r="Q17" s="295"/>
      <c r="R17" s="296"/>
    </row>
    <row r="18" spans="1:18" ht="24" customHeight="1" x14ac:dyDescent="0.3">
      <c r="A18" s="32" t="s">
        <v>8</v>
      </c>
      <c r="B18" s="32" t="s">
        <v>9</v>
      </c>
      <c r="C18" s="33" t="s">
        <v>10</v>
      </c>
      <c r="D18" s="32" t="s">
        <v>11</v>
      </c>
      <c r="E18" s="32" t="s">
        <v>12</v>
      </c>
      <c r="F18" s="34" t="s">
        <v>13</v>
      </c>
      <c r="G18" s="35" t="s">
        <v>14</v>
      </c>
      <c r="H18" s="32" t="s">
        <v>15</v>
      </c>
      <c r="I18" s="36" t="s">
        <v>16</v>
      </c>
      <c r="J18" s="37" t="s">
        <v>17</v>
      </c>
      <c r="K18" s="38" t="s">
        <v>18</v>
      </c>
      <c r="L18" s="37" t="s">
        <v>19</v>
      </c>
      <c r="M18" s="37" t="s">
        <v>20</v>
      </c>
      <c r="N18" s="37" t="s">
        <v>21</v>
      </c>
      <c r="O18" s="32" t="s">
        <v>22</v>
      </c>
      <c r="P18" s="33" t="s">
        <v>23</v>
      </c>
      <c r="Q18" s="37" t="s">
        <v>24</v>
      </c>
      <c r="R18" s="32" t="s">
        <v>25</v>
      </c>
    </row>
    <row r="19" spans="1:18" ht="49.95" customHeight="1" thickTop="1" thickBot="1" x14ac:dyDescent="0.35">
      <c r="A19" s="75" t="s">
        <v>77</v>
      </c>
      <c r="B19" s="75" t="s">
        <v>1423</v>
      </c>
      <c r="C19" s="76">
        <v>0.3125</v>
      </c>
      <c r="D19" s="75" t="s">
        <v>101</v>
      </c>
      <c r="E19" s="75" t="s">
        <v>51</v>
      </c>
      <c r="F19" s="75" t="s">
        <v>1430</v>
      </c>
      <c r="G19" s="304"/>
      <c r="H19" s="259" t="s">
        <v>1425</v>
      </c>
      <c r="I19" s="260">
        <v>0.43580000000000002</v>
      </c>
      <c r="J19" s="261">
        <v>78</v>
      </c>
      <c r="K19" s="262">
        <v>45980</v>
      </c>
      <c r="L19" s="261">
        <v>53</v>
      </c>
      <c r="M19" s="261">
        <v>4</v>
      </c>
      <c r="N19" s="261">
        <v>23</v>
      </c>
      <c r="O19" s="263" t="s">
        <v>631</v>
      </c>
      <c r="P19" s="264">
        <v>0.3125</v>
      </c>
      <c r="Q19" s="261">
        <v>179</v>
      </c>
      <c r="R19" s="265" t="s">
        <v>1431</v>
      </c>
    </row>
    <row r="20" spans="1:18" ht="17.399999999999999" customHeight="1" thickBot="1" x14ac:dyDescent="0.35">
      <c r="A20" s="329"/>
      <c r="B20" s="330"/>
      <c r="C20" s="330"/>
      <c r="D20" s="330"/>
      <c r="E20" s="330"/>
      <c r="F20" s="330"/>
      <c r="G20" s="330"/>
      <c r="H20" s="330"/>
      <c r="I20" s="330"/>
      <c r="J20" s="330"/>
      <c r="K20" s="330"/>
      <c r="L20" s="330"/>
      <c r="M20" s="330"/>
      <c r="N20" s="330"/>
      <c r="O20" s="330"/>
      <c r="P20" s="330"/>
      <c r="Q20" s="330"/>
      <c r="R20" s="331"/>
    </row>
    <row r="21" spans="1:18" ht="22.05" customHeight="1" thickTop="1" thickBot="1" x14ac:dyDescent="0.35">
      <c r="A21" s="300" t="s">
        <v>6</v>
      </c>
      <c r="B21" s="295"/>
      <c r="C21" s="295"/>
      <c r="D21" s="295"/>
      <c r="E21" s="295"/>
      <c r="F21" s="296"/>
      <c r="G21" s="31">
        <v>45988</v>
      </c>
      <c r="H21" s="294" t="s">
        <v>7</v>
      </c>
      <c r="I21" s="295"/>
      <c r="J21" s="295"/>
      <c r="K21" s="295"/>
      <c r="L21" s="295"/>
      <c r="M21" s="295"/>
      <c r="N21" s="295"/>
      <c r="O21" s="295"/>
      <c r="P21" s="295"/>
      <c r="Q21" s="295"/>
      <c r="R21" s="296"/>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49.95" customHeight="1" x14ac:dyDescent="0.3">
      <c r="A23" s="8" t="s">
        <v>385</v>
      </c>
      <c r="B23" s="8" t="s">
        <v>1421</v>
      </c>
      <c r="C23" s="9">
        <v>0.76041666666666663</v>
      </c>
      <c r="D23" s="8" t="s">
        <v>101</v>
      </c>
      <c r="E23" s="8" t="s">
        <v>111</v>
      </c>
      <c r="F23" s="8" t="s">
        <v>1432</v>
      </c>
      <c r="G23" s="297"/>
      <c r="H23" s="10"/>
      <c r="I23" s="11"/>
      <c r="J23" s="11"/>
      <c r="K23" s="11"/>
      <c r="L23" s="11"/>
      <c r="M23" s="11"/>
      <c r="N23" s="11"/>
      <c r="O23" s="12"/>
      <c r="P23" s="11"/>
      <c r="Q23" s="13"/>
      <c r="R23" s="14"/>
    </row>
    <row r="24" spans="1:18" ht="49.95" customHeight="1" thickTop="1" thickBot="1" x14ac:dyDescent="0.35">
      <c r="A24" s="21" t="s">
        <v>77</v>
      </c>
      <c r="B24" s="21" t="s">
        <v>1423</v>
      </c>
      <c r="C24" s="22">
        <v>0.76736111111111116</v>
      </c>
      <c r="D24" s="21" t="s">
        <v>101</v>
      </c>
      <c r="E24" s="21" t="s">
        <v>111</v>
      </c>
      <c r="F24" s="21" t="s">
        <v>1060</v>
      </c>
      <c r="G24" s="299"/>
      <c r="H24" s="24" t="s">
        <v>1425</v>
      </c>
      <c r="I24" s="258">
        <v>0.73180000000000001</v>
      </c>
      <c r="J24" s="26">
        <v>131</v>
      </c>
      <c r="K24" s="27">
        <v>45980</v>
      </c>
      <c r="L24" s="26">
        <v>76</v>
      </c>
      <c r="M24" s="26">
        <v>8</v>
      </c>
      <c r="N24" s="26">
        <v>23</v>
      </c>
      <c r="O24" s="28" t="s">
        <v>568</v>
      </c>
      <c r="P24" s="29">
        <v>0.76736111111111116</v>
      </c>
      <c r="Q24" s="26">
        <v>179</v>
      </c>
      <c r="R24" s="30" t="s">
        <v>1433</v>
      </c>
    </row>
    <row r="25" spans="1:18" ht="17.399999999999999" customHeight="1" thickBot="1" x14ac:dyDescent="0.35">
      <c r="A25" s="329"/>
      <c r="B25" s="330"/>
      <c r="C25" s="330"/>
      <c r="D25" s="330"/>
      <c r="E25" s="330"/>
      <c r="F25" s="330"/>
      <c r="G25" s="330"/>
      <c r="H25" s="330"/>
      <c r="I25" s="330"/>
      <c r="J25" s="330"/>
      <c r="K25" s="330"/>
      <c r="L25" s="330"/>
      <c r="M25" s="330"/>
      <c r="N25" s="330"/>
      <c r="O25" s="330"/>
      <c r="P25" s="330"/>
      <c r="Q25" s="330"/>
      <c r="R25" s="331"/>
    </row>
    <row r="26" spans="1:18" ht="22.05" customHeight="1" thickTop="1" thickBot="1" x14ac:dyDescent="0.35">
      <c r="A26" s="300" t="s">
        <v>6</v>
      </c>
      <c r="B26" s="295"/>
      <c r="C26" s="295"/>
      <c r="D26" s="295"/>
      <c r="E26" s="295"/>
      <c r="F26" s="296"/>
      <c r="G26" s="31">
        <v>45989</v>
      </c>
      <c r="H26" s="294" t="s">
        <v>7</v>
      </c>
      <c r="I26" s="295"/>
      <c r="J26" s="295"/>
      <c r="K26" s="295"/>
      <c r="L26" s="295"/>
      <c r="M26" s="295"/>
      <c r="N26" s="295"/>
      <c r="O26" s="295"/>
      <c r="P26" s="295"/>
      <c r="Q26" s="295"/>
      <c r="R26" s="296"/>
    </row>
    <row r="27" spans="1:18" ht="24" customHeight="1" x14ac:dyDescent="0.3">
      <c r="A27" s="32" t="s">
        <v>8</v>
      </c>
      <c r="B27" s="32" t="s">
        <v>9</v>
      </c>
      <c r="C27" s="33" t="s">
        <v>10</v>
      </c>
      <c r="D27" s="32" t="s">
        <v>11</v>
      </c>
      <c r="E27" s="32" t="s">
        <v>12</v>
      </c>
      <c r="F27" s="34" t="s">
        <v>13</v>
      </c>
      <c r="G27" s="35" t="s">
        <v>14</v>
      </c>
      <c r="H27" s="32" t="s">
        <v>15</v>
      </c>
      <c r="I27" s="36" t="s">
        <v>16</v>
      </c>
      <c r="J27" s="37" t="s">
        <v>17</v>
      </c>
      <c r="K27" s="38" t="s">
        <v>18</v>
      </c>
      <c r="L27" s="37" t="s">
        <v>19</v>
      </c>
      <c r="M27" s="37" t="s">
        <v>20</v>
      </c>
      <c r="N27" s="37" t="s">
        <v>21</v>
      </c>
      <c r="O27" s="32" t="s">
        <v>22</v>
      </c>
      <c r="P27" s="33" t="s">
        <v>23</v>
      </c>
      <c r="Q27" s="37" t="s">
        <v>24</v>
      </c>
      <c r="R27" s="32" t="s">
        <v>25</v>
      </c>
    </row>
    <row r="28" spans="1:18" ht="49.95" customHeight="1" thickTop="1" thickBot="1" x14ac:dyDescent="0.35">
      <c r="A28" s="246" t="s">
        <v>385</v>
      </c>
      <c r="B28" s="246" t="s">
        <v>1428</v>
      </c>
      <c r="C28" s="247">
        <v>0.30902777777777779</v>
      </c>
      <c r="D28" s="246" t="s">
        <v>101</v>
      </c>
      <c r="E28" s="246" t="s">
        <v>83</v>
      </c>
      <c r="F28" s="246" t="s">
        <v>1434</v>
      </c>
      <c r="G28" s="304"/>
      <c r="H28" s="41"/>
      <c r="I28" s="42"/>
      <c r="J28" s="42"/>
      <c r="K28" s="42"/>
      <c r="L28" s="42"/>
      <c r="M28" s="42"/>
      <c r="N28" s="42"/>
      <c r="O28" s="43"/>
      <c r="P28" s="42"/>
      <c r="Q28" s="44"/>
      <c r="R28" s="45"/>
    </row>
    <row r="29" spans="1:18" ht="17.399999999999999" customHeight="1" thickBot="1" x14ac:dyDescent="0.35">
      <c r="A29" s="329"/>
      <c r="B29" s="330"/>
      <c r="C29" s="330"/>
      <c r="D29" s="330"/>
      <c r="E29" s="330"/>
      <c r="F29" s="330"/>
      <c r="G29" s="330"/>
      <c r="H29" s="330"/>
      <c r="I29" s="330"/>
      <c r="J29" s="330"/>
      <c r="K29" s="330"/>
      <c r="L29" s="330"/>
      <c r="M29" s="330"/>
      <c r="N29" s="330"/>
      <c r="O29" s="330"/>
      <c r="P29" s="330"/>
      <c r="Q29" s="330"/>
      <c r="R29" s="331"/>
    </row>
    <row r="30" spans="1:18" ht="22.05" customHeight="1" thickTop="1" thickBot="1" x14ac:dyDescent="0.35">
      <c r="A30" s="300" t="s">
        <v>6</v>
      </c>
      <c r="B30" s="295"/>
      <c r="C30" s="295"/>
      <c r="D30" s="295"/>
      <c r="E30" s="295"/>
      <c r="F30" s="296"/>
      <c r="G30" s="31">
        <v>45990</v>
      </c>
      <c r="H30" s="294" t="s">
        <v>7</v>
      </c>
      <c r="I30" s="295"/>
      <c r="J30" s="295"/>
      <c r="K30" s="295"/>
      <c r="L30" s="295"/>
      <c r="M30" s="295"/>
      <c r="N30" s="295"/>
      <c r="O30" s="295"/>
      <c r="P30" s="295"/>
      <c r="Q30" s="295"/>
      <c r="R30" s="296"/>
    </row>
    <row r="31" spans="1:18" ht="24" customHeight="1" x14ac:dyDescent="0.3">
      <c r="A31" s="32" t="s">
        <v>8</v>
      </c>
      <c r="B31" s="32" t="s">
        <v>9</v>
      </c>
      <c r="C31" s="33" t="s">
        <v>10</v>
      </c>
      <c r="D31" s="32" t="s">
        <v>11</v>
      </c>
      <c r="E31" s="32" t="s">
        <v>12</v>
      </c>
      <c r="F31" s="34" t="s">
        <v>13</v>
      </c>
      <c r="G31" s="35" t="s">
        <v>14</v>
      </c>
      <c r="H31" s="32" t="s">
        <v>15</v>
      </c>
      <c r="I31" s="36" t="s">
        <v>16</v>
      </c>
      <c r="J31" s="37" t="s">
        <v>17</v>
      </c>
      <c r="K31" s="38" t="s">
        <v>18</v>
      </c>
      <c r="L31" s="37" t="s">
        <v>19</v>
      </c>
      <c r="M31" s="37" t="s">
        <v>20</v>
      </c>
      <c r="N31" s="37" t="s">
        <v>21</v>
      </c>
      <c r="O31" s="32" t="s">
        <v>22</v>
      </c>
      <c r="P31" s="33" t="s">
        <v>23</v>
      </c>
      <c r="Q31" s="37" t="s">
        <v>24</v>
      </c>
      <c r="R31" s="32" t="s">
        <v>25</v>
      </c>
    </row>
    <row r="32" spans="1:18" ht="49.95" customHeight="1" thickTop="1" thickBot="1" x14ac:dyDescent="0.5">
      <c r="A32" s="154" t="s">
        <v>77</v>
      </c>
      <c r="B32" s="154" t="s">
        <v>1423</v>
      </c>
      <c r="C32" s="155">
        <v>0.71875</v>
      </c>
      <c r="D32" s="154" t="s">
        <v>101</v>
      </c>
      <c r="E32" s="154" t="s">
        <v>63</v>
      </c>
      <c r="F32" s="154" t="s">
        <v>1435</v>
      </c>
      <c r="G32" s="297"/>
      <c r="H32" s="237" t="s">
        <v>1425</v>
      </c>
      <c r="I32" s="266">
        <v>0.76539999999999997</v>
      </c>
      <c r="J32" s="239">
        <v>137</v>
      </c>
      <c r="K32" s="240">
        <v>45979</v>
      </c>
      <c r="L32" s="239">
        <v>34</v>
      </c>
      <c r="M32" s="239">
        <v>0</v>
      </c>
      <c r="N32" s="239">
        <v>2</v>
      </c>
      <c r="O32" s="241" t="s">
        <v>538</v>
      </c>
      <c r="P32" s="242">
        <v>0.71875</v>
      </c>
      <c r="Q32" s="239">
        <v>179</v>
      </c>
      <c r="R32" s="243" t="s">
        <v>1436</v>
      </c>
    </row>
    <row r="33" spans="1:18" ht="17.399999999999999" customHeight="1" thickBot="1" x14ac:dyDescent="0.35">
      <c r="A33" s="329"/>
      <c r="B33" s="330"/>
      <c r="C33" s="330"/>
      <c r="D33" s="330"/>
      <c r="E33" s="330"/>
      <c r="F33" s="330"/>
      <c r="G33" s="330"/>
      <c r="H33" s="330"/>
      <c r="I33" s="330"/>
      <c r="J33" s="330"/>
      <c r="K33" s="330"/>
      <c r="L33" s="330"/>
      <c r="M33" s="330"/>
      <c r="N33" s="330"/>
      <c r="O33" s="330"/>
      <c r="P33" s="330"/>
      <c r="Q33" s="330"/>
      <c r="R33" s="331"/>
    </row>
    <row r="34" spans="1:18" ht="22.05" customHeight="1" thickTop="1" thickBot="1" x14ac:dyDescent="0.35">
      <c r="A34" s="300" t="s">
        <v>6</v>
      </c>
      <c r="B34" s="295"/>
      <c r="C34" s="295"/>
      <c r="D34" s="295"/>
      <c r="E34" s="295"/>
      <c r="F34" s="296"/>
      <c r="G34" s="31">
        <v>45991</v>
      </c>
      <c r="H34" s="294" t="s">
        <v>7</v>
      </c>
      <c r="I34" s="295"/>
      <c r="J34" s="295"/>
      <c r="K34" s="295"/>
      <c r="L34" s="295"/>
      <c r="M34" s="295"/>
      <c r="N34" s="295"/>
      <c r="O34" s="295"/>
      <c r="P34" s="295"/>
      <c r="Q34" s="295"/>
      <c r="R34" s="296"/>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49.95" customHeight="1" x14ac:dyDescent="0.45">
      <c r="A36" s="246" t="s">
        <v>385</v>
      </c>
      <c r="B36" s="246" t="s">
        <v>1428</v>
      </c>
      <c r="C36" s="247">
        <v>0.30902777777777779</v>
      </c>
      <c r="D36" s="246" t="s">
        <v>101</v>
      </c>
      <c r="E36" s="246" t="s">
        <v>118</v>
      </c>
      <c r="F36" s="246" t="s">
        <v>1434</v>
      </c>
      <c r="G36" s="297"/>
      <c r="H36" s="41"/>
      <c r="I36" s="42"/>
      <c r="J36" s="42"/>
      <c r="K36" s="42"/>
      <c r="L36" s="42"/>
      <c r="M36" s="42"/>
      <c r="N36" s="42"/>
      <c r="O36" s="43"/>
      <c r="P36" s="42"/>
      <c r="Q36" s="44"/>
      <c r="R36" s="45"/>
    </row>
  </sheetData>
  <mergeCells count="38">
    <mergeCell ref="G36"/>
    <mergeCell ref="N1:R1"/>
    <mergeCell ref="A20:R20"/>
    <mergeCell ref="H17:R17"/>
    <mergeCell ref="A29:R29"/>
    <mergeCell ref="A13:F13"/>
    <mergeCell ref="A9:F9"/>
    <mergeCell ref="K2:R2"/>
    <mergeCell ref="A34:F34"/>
    <mergeCell ref="G19"/>
    <mergeCell ref="A30:F30"/>
    <mergeCell ref="G28"/>
    <mergeCell ref="H13:R13"/>
    <mergeCell ref="G15"/>
    <mergeCell ref="H34:R34"/>
    <mergeCell ref="A33:R33"/>
    <mergeCell ref="H21:R21"/>
    <mergeCell ref="G6:G7"/>
    <mergeCell ref="G2:J2"/>
    <mergeCell ref="G11"/>
    <mergeCell ref="A4:F4"/>
    <mergeCell ref="A17:F17"/>
    <mergeCell ref="A8:R8"/>
    <mergeCell ref="H1:L1"/>
    <mergeCell ref="A1:E1"/>
    <mergeCell ref="A26:F26"/>
    <mergeCell ref="G32"/>
    <mergeCell ref="A21:F21"/>
    <mergeCell ref="H4:R4"/>
    <mergeCell ref="A12:R12"/>
    <mergeCell ref="A2:F2"/>
    <mergeCell ref="A3:R3"/>
    <mergeCell ref="H9:R9"/>
    <mergeCell ref="H30:R30"/>
    <mergeCell ref="H26:R26"/>
    <mergeCell ref="G23:G24"/>
    <mergeCell ref="A25:R25"/>
    <mergeCell ref="A16:R16"/>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J7"/>
  <sheetViews>
    <sheetView workbookViewId="0"/>
  </sheetViews>
  <sheetFormatPr defaultRowHeight="15.6" outlineLevelCol="1" x14ac:dyDescent="0.3"/>
  <cols>
    <col min="1" max="1" width="9.88671875" style="316" bestFit="1" customWidth="1"/>
    <col min="2" max="2" width="10.44140625" style="316" bestFit="1" customWidth="1"/>
    <col min="3" max="3" width="6.77734375" style="316" bestFit="1" customWidth="1"/>
    <col min="4" max="4" width="5.5546875" style="316" bestFit="1" customWidth="1"/>
    <col min="5" max="5" width="7.4414062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2" width="3.88671875" style="316" bestFit="1" customWidth="1"/>
    <col min="23" max="23" width="4.33203125" style="316" bestFit="1" customWidth="1"/>
    <col min="24" max="24" width="4.1093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1425</v>
      </c>
      <c r="D2" s="320" t="s">
        <v>1437</v>
      </c>
      <c r="E2" s="319" t="s">
        <v>1420</v>
      </c>
      <c r="F2" s="319" t="s">
        <v>189</v>
      </c>
      <c r="G2" s="321">
        <v>0.29049999999999998</v>
      </c>
      <c r="H2" s="322">
        <v>179</v>
      </c>
      <c r="I2" s="322">
        <v>52</v>
      </c>
      <c r="J2" s="322">
        <v>0</v>
      </c>
      <c r="K2" s="319" t="s">
        <v>190</v>
      </c>
      <c r="L2" s="323">
        <v>45979</v>
      </c>
      <c r="M2" s="322">
        <v>0</v>
      </c>
      <c r="N2" s="322">
        <v>8</v>
      </c>
      <c r="O2" s="322">
        <v>31</v>
      </c>
      <c r="P2" s="319" t="s">
        <v>597</v>
      </c>
      <c r="Q2" s="315"/>
      <c r="R2" s="315"/>
      <c r="S2" s="315"/>
      <c r="T2" s="315"/>
      <c r="U2" s="315"/>
      <c r="V2" s="315"/>
      <c r="W2" s="315"/>
      <c r="X2" s="315"/>
      <c r="Y2" s="315"/>
      <c r="Z2" s="322" t="s">
        <v>689</v>
      </c>
      <c r="AA2" s="315"/>
      <c r="AB2" s="315"/>
      <c r="AC2" s="322" t="s">
        <v>719</v>
      </c>
      <c r="AD2" s="322" t="s">
        <v>194</v>
      </c>
      <c r="AE2" s="322" t="s">
        <v>225</v>
      </c>
      <c r="AF2" s="322" t="s">
        <v>973</v>
      </c>
      <c r="AG2" s="315"/>
      <c r="AH2" s="315"/>
      <c r="AI2" s="315"/>
      <c r="AJ2" s="315"/>
    </row>
    <row r="3" spans="1:36" x14ac:dyDescent="0.3">
      <c r="A3" s="317" t="s">
        <v>199</v>
      </c>
      <c r="B3" s="318">
        <v>45983</v>
      </c>
      <c r="C3" s="319" t="s">
        <v>1425</v>
      </c>
      <c r="D3" s="320" t="s">
        <v>1438</v>
      </c>
      <c r="E3" s="319" t="s">
        <v>1420</v>
      </c>
      <c r="F3" s="319" t="s">
        <v>189</v>
      </c>
      <c r="G3" s="321">
        <v>0.60340000000000005</v>
      </c>
      <c r="H3" s="322">
        <v>179</v>
      </c>
      <c r="I3" s="322">
        <v>108</v>
      </c>
      <c r="J3" s="322">
        <v>0</v>
      </c>
      <c r="K3" s="319" t="s">
        <v>190</v>
      </c>
      <c r="L3" s="323">
        <v>45980</v>
      </c>
      <c r="M3" s="322">
        <v>7</v>
      </c>
      <c r="N3" s="322">
        <v>21</v>
      </c>
      <c r="O3" s="322">
        <v>58</v>
      </c>
      <c r="P3" s="319" t="s">
        <v>381</v>
      </c>
      <c r="Q3" s="315"/>
      <c r="R3" s="315"/>
      <c r="S3" s="315"/>
      <c r="T3" s="315"/>
      <c r="U3" s="315"/>
      <c r="V3" s="315"/>
      <c r="W3" s="315"/>
      <c r="X3" s="315"/>
      <c r="Y3" s="322" t="s">
        <v>469</v>
      </c>
      <c r="Z3" s="322" t="s">
        <v>1439</v>
      </c>
      <c r="AA3" s="315"/>
      <c r="AB3" s="315"/>
      <c r="AC3" s="322" t="s">
        <v>228</v>
      </c>
      <c r="AD3" s="315"/>
      <c r="AE3" s="315"/>
      <c r="AF3" s="322" t="s">
        <v>592</v>
      </c>
      <c r="AG3" s="315"/>
      <c r="AH3" s="315"/>
      <c r="AI3" s="315"/>
      <c r="AJ3" s="315"/>
    </row>
    <row r="4" spans="1:36" x14ac:dyDescent="0.3">
      <c r="A4" s="317" t="s">
        <v>213</v>
      </c>
      <c r="B4" s="318">
        <v>45986</v>
      </c>
      <c r="C4" s="319" t="s">
        <v>1425</v>
      </c>
      <c r="D4" s="320" t="s">
        <v>1440</v>
      </c>
      <c r="E4" s="319" t="s">
        <v>1420</v>
      </c>
      <c r="F4" s="319" t="s">
        <v>189</v>
      </c>
      <c r="G4" s="321">
        <v>0.43580000000000002</v>
      </c>
      <c r="H4" s="322">
        <v>179</v>
      </c>
      <c r="I4" s="322">
        <v>78</v>
      </c>
      <c r="J4" s="322">
        <v>0</v>
      </c>
      <c r="K4" s="319" t="s">
        <v>190</v>
      </c>
      <c r="L4" s="323">
        <v>45980</v>
      </c>
      <c r="M4" s="322">
        <v>4</v>
      </c>
      <c r="N4" s="322">
        <v>23</v>
      </c>
      <c r="O4" s="322">
        <v>53</v>
      </c>
      <c r="P4" s="319" t="s">
        <v>631</v>
      </c>
      <c r="Q4" s="315"/>
      <c r="R4" s="315"/>
      <c r="S4" s="315"/>
      <c r="T4" s="315"/>
      <c r="U4" s="322" t="s">
        <v>542</v>
      </c>
      <c r="V4" s="315"/>
      <c r="W4" s="315"/>
      <c r="X4" s="315"/>
      <c r="Y4" s="322" t="s">
        <v>209</v>
      </c>
      <c r="Z4" s="322" t="s">
        <v>733</v>
      </c>
      <c r="AA4" s="322" t="s">
        <v>575</v>
      </c>
      <c r="AB4" s="322" t="s">
        <v>587</v>
      </c>
      <c r="AC4" s="322" t="s">
        <v>1441</v>
      </c>
      <c r="AD4" s="315"/>
      <c r="AE4" s="322" t="s">
        <v>978</v>
      </c>
      <c r="AF4" s="322" t="s">
        <v>210</v>
      </c>
      <c r="AG4" s="315"/>
      <c r="AH4" s="315"/>
      <c r="AI4" s="315"/>
      <c r="AJ4" s="315"/>
    </row>
    <row r="5" spans="1:36" x14ac:dyDescent="0.3">
      <c r="A5" s="317" t="s">
        <v>187</v>
      </c>
      <c r="B5" s="318">
        <v>45988</v>
      </c>
      <c r="C5" s="319" t="s">
        <v>1425</v>
      </c>
      <c r="D5" s="320" t="s">
        <v>1437</v>
      </c>
      <c r="E5" s="319" t="s">
        <v>1420</v>
      </c>
      <c r="F5" s="319" t="s">
        <v>189</v>
      </c>
      <c r="G5" s="321">
        <v>0.73180000000000001</v>
      </c>
      <c r="H5" s="322">
        <v>179</v>
      </c>
      <c r="I5" s="322">
        <v>131</v>
      </c>
      <c r="J5" s="322">
        <v>0</v>
      </c>
      <c r="K5" s="319" t="s">
        <v>190</v>
      </c>
      <c r="L5" s="323">
        <v>45980</v>
      </c>
      <c r="M5" s="322">
        <v>8</v>
      </c>
      <c r="N5" s="322">
        <v>23</v>
      </c>
      <c r="O5" s="322">
        <v>76</v>
      </c>
      <c r="P5" s="319" t="s">
        <v>568</v>
      </c>
      <c r="Q5" s="315"/>
      <c r="R5" s="315"/>
      <c r="S5" s="315"/>
      <c r="T5" s="315"/>
      <c r="U5" s="315"/>
      <c r="V5" s="315"/>
      <c r="W5" s="315"/>
      <c r="X5" s="322" t="s">
        <v>1442</v>
      </c>
      <c r="Y5" s="322" t="s">
        <v>1257</v>
      </c>
      <c r="Z5" s="322" t="s">
        <v>1443</v>
      </c>
      <c r="AA5" s="322" t="s">
        <v>644</v>
      </c>
      <c r="AB5" s="322" t="s">
        <v>642</v>
      </c>
      <c r="AC5" s="322" t="s">
        <v>652</v>
      </c>
      <c r="AD5" s="322" t="s">
        <v>715</v>
      </c>
      <c r="AE5" s="322" t="s">
        <v>332</v>
      </c>
      <c r="AF5" s="322" t="s">
        <v>592</v>
      </c>
      <c r="AG5" s="315"/>
      <c r="AH5" s="315"/>
      <c r="AI5" s="315"/>
      <c r="AJ5" s="315"/>
    </row>
    <row r="6" spans="1:36" x14ac:dyDescent="0.3">
      <c r="A6" s="317" t="s">
        <v>199</v>
      </c>
      <c r="B6" s="318">
        <v>45990</v>
      </c>
      <c r="C6" s="319" t="s">
        <v>1425</v>
      </c>
      <c r="D6" s="320" t="s">
        <v>1438</v>
      </c>
      <c r="E6" s="319" t="s">
        <v>1420</v>
      </c>
      <c r="F6" s="319" t="s">
        <v>189</v>
      </c>
      <c r="G6" s="321">
        <v>0.76539999999999997</v>
      </c>
      <c r="H6" s="322">
        <v>179</v>
      </c>
      <c r="I6" s="322">
        <v>137</v>
      </c>
      <c r="J6" s="322">
        <v>0</v>
      </c>
      <c r="K6" s="319" t="s">
        <v>190</v>
      </c>
      <c r="L6" s="323">
        <v>45979</v>
      </c>
      <c r="M6" s="322">
        <v>0</v>
      </c>
      <c r="N6" s="322">
        <v>2</v>
      </c>
      <c r="O6" s="322">
        <v>34</v>
      </c>
      <c r="P6" s="319" t="s">
        <v>538</v>
      </c>
      <c r="Q6" s="315"/>
      <c r="R6" s="315"/>
      <c r="S6" s="315"/>
      <c r="T6" s="315"/>
      <c r="U6" s="322" t="s">
        <v>250</v>
      </c>
      <c r="V6" s="322" t="s">
        <v>538</v>
      </c>
      <c r="W6" s="322" t="s">
        <v>1444</v>
      </c>
      <c r="X6" s="322" t="s">
        <v>714</v>
      </c>
      <c r="Y6" s="322" t="s">
        <v>294</v>
      </c>
      <c r="Z6" s="322" t="s">
        <v>368</v>
      </c>
      <c r="AA6" s="322" t="s">
        <v>1259</v>
      </c>
      <c r="AB6" s="322" t="s">
        <v>618</v>
      </c>
      <c r="AC6" s="322" t="s">
        <v>232</v>
      </c>
      <c r="AD6" s="322" t="s">
        <v>881</v>
      </c>
      <c r="AE6" s="322" t="s">
        <v>658</v>
      </c>
      <c r="AF6" s="322" t="s">
        <v>1191</v>
      </c>
      <c r="AG6" s="315"/>
      <c r="AH6" s="315"/>
      <c r="AI6" s="315"/>
      <c r="AJ6" s="315"/>
    </row>
    <row r="7" spans="1:36" ht="21" x14ac:dyDescent="0.3">
      <c r="A7" s="324" t="s">
        <v>1638</v>
      </c>
      <c r="B7" s="325"/>
      <c r="C7" s="324">
        <f>SUBTOTAL(103,CAI_AJF_LF_LEGACY[Flt])</f>
        <v>5</v>
      </c>
      <c r="D7" s="324"/>
      <c r="E7" s="324">
        <f>SUBTOTAL(103,CAI_AJF_LF_LEGACY[Brd-Off])</f>
        <v>5</v>
      </c>
      <c r="F7" s="324"/>
      <c r="G7" s="326">
        <f>SUBTOTAL(101,CAI_AJF_LF_LEGACY[LF%])</f>
        <v>0.56537999999999999</v>
      </c>
      <c r="H7" s="327">
        <f>SUBTOTAL(109,CAI_AJF_LF_LEGACY[CAP])</f>
        <v>895</v>
      </c>
      <c r="I7" s="327">
        <f>SUBTOTAL(109,CAI_AJF_LF_LEGACY[BKG(Y)])</f>
        <v>506</v>
      </c>
      <c r="J7" s="327">
        <f>SUBTOTAL(109,CAI_AJF_LF_LEGACY[GRP(Y)])</f>
        <v>0</v>
      </c>
      <c r="K7" s="324"/>
      <c r="L7" s="325"/>
      <c r="M7" s="327">
        <f>SUBTOTAL(109,CAI_AJF_LF_LEGACY[TO-DAY])</f>
        <v>19</v>
      </c>
      <c r="N7" s="327">
        <f>SUBTOTAL(109,CAI_AJF_LF_LEGACY[Y-DAY])</f>
        <v>77</v>
      </c>
      <c r="O7" s="327">
        <f>SUBTOTAL(109,CAI_AJF_LF_LEGACY[WEEKLY])</f>
        <v>252</v>
      </c>
      <c r="P7" s="328"/>
      <c r="Q7" s="327">
        <f>SUBTOTAL(109,CAI_AJF_LF_LEGACY[Y])</f>
        <v>0</v>
      </c>
      <c r="R7" s="327">
        <f>SUBTOTAL(109,CAI_AJF_LF_LEGACY[B])</f>
        <v>0</v>
      </c>
      <c r="S7" s="327">
        <f>SUBTOTAL(109,CAI_AJF_LF_LEGACY[M])</f>
        <v>0</v>
      </c>
      <c r="T7" s="327">
        <f>SUBTOTAL(109,CAI_AJF_LF_LEGACY[H])</f>
        <v>0</v>
      </c>
      <c r="U7" s="327">
        <f>SUBTOTAL(109,CAI_AJF_LF_LEGACY[Q])</f>
        <v>0</v>
      </c>
      <c r="V7" s="327">
        <f>SUBTOTAL(109,CAI_AJF_LF_LEGACY[K])</f>
        <v>0</v>
      </c>
      <c r="W7" s="327">
        <f>SUBTOTAL(109,CAI_AJF_LF_LEGACY[V])</f>
        <v>0</v>
      </c>
      <c r="X7" s="327">
        <f>SUBTOTAL(109,CAI_AJF_LF_LEGACY[L])</f>
        <v>0</v>
      </c>
      <c r="Y7" s="327">
        <f>SUBTOTAL(109,CAI_AJF_LF_LEGACY[G])</f>
        <v>0</v>
      </c>
      <c r="Z7" s="327">
        <f>SUBTOTAL(109,CAI_AJF_LF_LEGACY[S])</f>
        <v>0</v>
      </c>
      <c r="AA7" s="327">
        <f>SUBTOTAL(109,CAI_AJF_LF_LEGACY[W])</f>
        <v>0</v>
      </c>
      <c r="AB7" s="327">
        <f>SUBTOTAL(109,CAI_AJF_LF_LEGACY[T])</f>
        <v>0</v>
      </c>
      <c r="AC7" s="327">
        <f>SUBTOTAL(109,CAI_AJF_LF_LEGACY[X])</f>
        <v>0</v>
      </c>
      <c r="AD7" s="327">
        <f>SUBTOTAL(109,CAI_AJF_LF_LEGACY[U])</f>
        <v>0</v>
      </c>
      <c r="AE7" s="327">
        <f>SUBTOTAL(109,CAI_AJF_LF_LEGACY[O])</f>
        <v>0</v>
      </c>
      <c r="AF7" s="327">
        <f>SUBTOTAL(109,CAI_AJF_LF_LEGACY[I])</f>
        <v>0</v>
      </c>
      <c r="AG7" s="327">
        <f>SUBTOTAL(109,CAI_AJF_LF_LEGACY[E])</f>
        <v>0</v>
      </c>
      <c r="AH7" s="327">
        <f>SUBTOTAL(109,CAI_AJF_LF_LEGACY[A])</f>
        <v>0</v>
      </c>
      <c r="AI7" s="327">
        <f>SUBTOTAL(109,CAI_AJF_LF_LEGACY[P])</f>
        <v>0</v>
      </c>
      <c r="AJ7" s="327">
        <f>SUBTOTAL(103,CAI_AJF_LF_LEGACY[N])</f>
        <v>0</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11"/>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01.886718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385</v>
      </c>
      <c r="C2" s="105" t="s">
        <v>1421</v>
      </c>
      <c r="D2" s="104" t="s">
        <v>1420</v>
      </c>
      <c r="E2" s="104" t="s">
        <v>1445</v>
      </c>
      <c r="F2" s="104" t="s">
        <v>101</v>
      </c>
      <c r="G2" s="106">
        <v>9</v>
      </c>
      <c r="H2" s="107" t="s">
        <v>1422</v>
      </c>
    </row>
    <row r="3" spans="1:8" ht="19.8" customHeight="1" x14ac:dyDescent="0.3">
      <c r="A3" s="108" t="s">
        <v>235</v>
      </c>
      <c r="B3" s="109" t="s">
        <v>77</v>
      </c>
      <c r="C3" s="110" t="s">
        <v>1423</v>
      </c>
      <c r="D3" s="109" t="s">
        <v>1420</v>
      </c>
      <c r="E3" s="109" t="s">
        <v>1437</v>
      </c>
      <c r="F3" s="109" t="s">
        <v>101</v>
      </c>
      <c r="G3" s="128">
        <v>9</v>
      </c>
      <c r="H3" s="111" t="s">
        <v>1424</v>
      </c>
    </row>
    <row r="4" spans="1:8" ht="19.8" customHeight="1" x14ac:dyDescent="0.3">
      <c r="A4" s="126">
        <v>45983</v>
      </c>
      <c r="B4" s="109" t="s">
        <v>77</v>
      </c>
      <c r="C4" s="110" t="s">
        <v>1423</v>
      </c>
      <c r="D4" s="109" t="s">
        <v>1420</v>
      </c>
      <c r="E4" s="127">
        <v>1.71875</v>
      </c>
      <c r="F4" s="109" t="s">
        <v>101</v>
      </c>
      <c r="G4" s="128">
        <v>9</v>
      </c>
      <c r="H4" s="111" t="s">
        <v>362</v>
      </c>
    </row>
    <row r="5" spans="1:8" ht="19.8" customHeight="1" x14ac:dyDescent="0.3">
      <c r="A5" s="114">
        <v>45984</v>
      </c>
      <c r="B5" s="115" t="s">
        <v>385</v>
      </c>
      <c r="C5" s="116" t="s">
        <v>1428</v>
      </c>
      <c r="D5" s="115" t="s">
        <v>1420</v>
      </c>
      <c r="E5" s="117">
        <v>1.3090277777777779</v>
      </c>
      <c r="F5" s="115" t="s">
        <v>101</v>
      </c>
      <c r="G5" s="118">
        <v>6</v>
      </c>
      <c r="H5" s="119" t="s">
        <v>1429</v>
      </c>
    </row>
    <row r="6" spans="1:8" ht="19.8" customHeight="1" x14ac:dyDescent="0.3">
      <c r="A6" s="126">
        <v>45986</v>
      </c>
      <c r="B6" s="109" t="s">
        <v>77</v>
      </c>
      <c r="C6" s="110" t="s">
        <v>1423</v>
      </c>
      <c r="D6" s="109" t="s">
        <v>1420</v>
      </c>
      <c r="E6" s="127">
        <v>1.3125</v>
      </c>
      <c r="F6" s="109" t="s">
        <v>101</v>
      </c>
      <c r="G6" s="128">
        <v>8</v>
      </c>
      <c r="H6" s="111" t="s">
        <v>1430</v>
      </c>
    </row>
    <row r="7" spans="1:8" ht="19.8" customHeight="1" x14ac:dyDescent="0.3">
      <c r="A7" s="112">
        <v>45988</v>
      </c>
      <c r="B7" s="104" t="s">
        <v>385</v>
      </c>
      <c r="C7" s="105" t="s">
        <v>1421</v>
      </c>
      <c r="D7" s="104" t="s">
        <v>1420</v>
      </c>
      <c r="E7" s="113">
        <v>1.760416666666667</v>
      </c>
      <c r="F7" s="104" t="s">
        <v>101</v>
      </c>
      <c r="G7" s="106">
        <v>2</v>
      </c>
      <c r="H7" s="107" t="s">
        <v>1432</v>
      </c>
    </row>
    <row r="8" spans="1:8" ht="19.8" customHeight="1" x14ac:dyDescent="0.3">
      <c r="A8" s="126">
        <v>45988</v>
      </c>
      <c r="B8" s="109" t="s">
        <v>77</v>
      </c>
      <c r="C8" s="110" t="s">
        <v>1423</v>
      </c>
      <c r="D8" s="109" t="s">
        <v>1420</v>
      </c>
      <c r="E8" s="127">
        <v>1.7673611111111109</v>
      </c>
      <c r="F8" s="109" t="s">
        <v>101</v>
      </c>
      <c r="G8" s="128">
        <v>2</v>
      </c>
      <c r="H8" s="111" t="s">
        <v>1060</v>
      </c>
    </row>
    <row r="9" spans="1:8" ht="19.8" customHeight="1" x14ac:dyDescent="0.3">
      <c r="A9" s="114">
        <v>45989</v>
      </c>
      <c r="B9" s="115" t="s">
        <v>385</v>
      </c>
      <c r="C9" s="116" t="s">
        <v>1428</v>
      </c>
      <c r="D9" s="115" t="s">
        <v>1420</v>
      </c>
      <c r="E9" s="117">
        <v>1.3090277777777779</v>
      </c>
      <c r="F9" s="115" t="s">
        <v>101</v>
      </c>
      <c r="G9" s="118">
        <v>4</v>
      </c>
      <c r="H9" s="119" t="s">
        <v>1434</v>
      </c>
    </row>
    <row r="10" spans="1:8" ht="19.8" customHeight="1" x14ac:dyDescent="0.3">
      <c r="A10" s="126">
        <v>45990</v>
      </c>
      <c r="B10" s="109" t="s">
        <v>77</v>
      </c>
      <c r="C10" s="110" t="s">
        <v>1423</v>
      </c>
      <c r="D10" s="109" t="s">
        <v>1420</v>
      </c>
      <c r="E10" s="127">
        <v>1.71875</v>
      </c>
      <c r="F10" s="109" t="s">
        <v>101</v>
      </c>
      <c r="G10" s="128">
        <v>9</v>
      </c>
      <c r="H10" s="111" t="s">
        <v>1435</v>
      </c>
    </row>
    <row r="11" spans="1:8" ht="19.8" customHeight="1" x14ac:dyDescent="0.3">
      <c r="A11" s="114">
        <v>45991</v>
      </c>
      <c r="B11" s="115" t="s">
        <v>385</v>
      </c>
      <c r="C11" s="116" t="s">
        <v>1428</v>
      </c>
      <c r="D11" s="115" t="s">
        <v>1420</v>
      </c>
      <c r="E11" s="117">
        <v>1.3090277777777779</v>
      </c>
      <c r="F11" s="115" t="s">
        <v>101</v>
      </c>
      <c r="G11" s="118">
        <v>7</v>
      </c>
      <c r="H11" s="119" t="s">
        <v>1434</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0"/>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01.886718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385</v>
      </c>
      <c r="C2" s="105" t="s">
        <v>1421</v>
      </c>
      <c r="D2" s="104" t="s">
        <v>1420</v>
      </c>
      <c r="E2" s="104" t="s">
        <v>1445</v>
      </c>
      <c r="F2" s="104" t="s">
        <v>101</v>
      </c>
      <c r="G2" s="106">
        <v>9</v>
      </c>
      <c r="H2" s="107" t="s">
        <v>1422</v>
      </c>
    </row>
    <row r="3" spans="1:8" ht="19.8" customHeight="1" x14ac:dyDescent="0.3">
      <c r="A3" s="108" t="s">
        <v>235</v>
      </c>
      <c r="B3" s="109" t="s">
        <v>77</v>
      </c>
      <c r="C3" s="110" t="s">
        <v>1423</v>
      </c>
      <c r="D3" s="109" t="s">
        <v>1420</v>
      </c>
      <c r="E3" s="109" t="s">
        <v>1437</v>
      </c>
      <c r="F3" s="109" t="s">
        <v>101</v>
      </c>
      <c r="G3" s="128">
        <v>9</v>
      </c>
      <c r="H3" s="111" t="s">
        <v>1424</v>
      </c>
    </row>
    <row r="4" spans="1:8" ht="19.8" customHeight="1" x14ac:dyDescent="0.3">
      <c r="A4" s="126">
        <v>45983</v>
      </c>
      <c r="B4" s="109" t="s">
        <v>77</v>
      </c>
      <c r="C4" s="110" t="s">
        <v>1423</v>
      </c>
      <c r="D4" s="109" t="s">
        <v>1420</v>
      </c>
      <c r="E4" s="127">
        <v>1.71875</v>
      </c>
      <c r="F4" s="109" t="s">
        <v>101</v>
      </c>
      <c r="G4" s="128">
        <v>9</v>
      </c>
      <c r="H4" s="111" t="s">
        <v>362</v>
      </c>
    </row>
    <row r="5" spans="1:8" ht="19.8" customHeight="1" x14ac:dyDescent="0.3">
      <c r="A5" s="114">
        <v>45984</v>
      </c>
      <c r="B5" s="115" t="s">
        <v>385</v>
      </c>
      <c r="C5" s="116" t="s">
        <v>1428</v>
      </c>
      <c r="D5" s="115" t="s">
        <v>1420</v>
      </c>
      <c r="E5" s="117">
        <v>1.3090277777777779</v>
      </c>
      <c r="F5" s="115" t="s">
        <v>101</v>
      </c>
      <c r="G5" s="118">
        <v>6</v>
      </c>
      <c r="H5" s="119" t="s">
        <v>1429</v>
      </c>
    </row>
    <row r="6" spans="1:8" ht="19.8" customHeight="1" x14ac:dyDescent="0.3">
      <c r="A6" s="126">
        <v>45986</v>
      </c>
      <c r="B6" s="109" t="s">
        <v>77</v>
      </c>
      <c r="C6" s="110" t="s">
        <v>1423</v>
      </c>
      <c r="D6" s="109" t="s">
        <v>1420</v>
      </c>
      <c r="E6" s="127">
        <v>1.3125</v>
      </c>
      <c r="F6" s="109" t="s">
        <v>101</v>
      </c>
      <c r="G6" s="128">
        <v>8</v>
      </c>
      <c r="H6" s="111" t="s">
        <v>1430</v>
      </c>
    </row>
    <row r="7" spans="1:8" ht="19.8" customHeight="1" x14ac:dyDescent="0.3">
      <c r="A7" s="126">
        <v>45988</v>
      </c>
      <c r="B7" s="109" t="s">
        <v>77</v>
      </c>
      <c r="C7" s="110" t="s">
        <v>1423</v>
      </c>
      <c r="D7" s="109" t="s">
        <v>1420</v>
      </c>
      <c r="E7" s="127">
        <v>1.7673611111111109</v>
      </c>
      <c r="F7" s="109" t="s">
        <v>101</v>
      </c>
      <c r="G7" s="128">
        <v>2</v>
      </c>
      <c r="H7" s="111" t="s">
        <v>1060</v>
      </c>
    </row>
    <row r="8" spans="1:8" ht="19.8" customHeight="1" x14ac:dyDescent="0.3">
      <c r="A8" s="114">
        <v>45989</v>
      </c>
      <c r="B8" s="115" t="s">
        <v>385</v>
      </c>
      <c r="C8" s="116" t="s">
        <v>1428</v>
      </c>
      <c r="D8" s="115" t="s">
        <v>1420</v>
      </c>
      <c r="E8" s="117">
        <v>1.3090277777777779</v>
      </c>
      <c r="F8" s="115" t="s">
        <v>101</v>
      </c>
      <c r="G8" s="118">
        <v>4</v>
      </c>
      <c r="H8" s="119" t="s">
        <v>1434</v>
      </c>
    </row>
    <row r="9" spans="1:8" ht="19.8" customHeight="1" x14ac:dyDescent="0.3">
      <c r="A9" s="126">
        <v>45990</v>
      </c>
      <c r="B9" s="109" t="s">
        <v>77</v>
      </c>
      <c r="C9" s="110" t="s">
        <v>1423</v>
      </c>
      <c r="D9" s="109" t="s">
        <v>1420</v>
      </c>
      <c r="E9" s="127">
        <v>1.71875</v>
      </c>
      <c r="F9" s="109" t="s">
        <v>101</v>
      </c>
      <c r="G9" s="128">
        <v>9</v>
      </c>
      <c r="H9" s="111" t="s">
        <v>1435</v>
      </c>
    </row>
    <row r="10" spans="1:8" ht="19.8" customHeight="1" x14ac:dyDescent="0.3">
      <c r="A10" s="114">
        <v>45991</v>
      </c>
      <c r="B10" s="115" t="s">
        <v>385</v>
      </c>
      <c r="C10" s="116" t="s">
        <v>1428</v>
      </c>
      <c r="D10" s="115" t="s">
        <v>1420</v>
      </c>
      <c r="E10" s="117">
        <v>1.3090277777777779</v>
      </c>
      <c r="F10" s="115" t="s">
        <v>101</v>
      </c>
      <c r="G10" s="118">
        <v>7</v>
      </c>
      <c r="H10" s="119" t="s">
        <v>1434</v>
      </c>
    </row>
  </sheetData>
  <pageMargins left="0.75" right="0.75" top="1" bottom="1" header="0.5" footer="0.5"/>
  <legacy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N14"/>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9"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4.6640625" bestFit="1" customWidth="1"/>
  </cols>
  <sheetData>
    <row r="1" spans="1:92" ht="28.8" customHeight="1" x14ac:dyDescent="0.3">
      <c r="A1" s="303" t="s">
        <v>0</v>
      </c>
      <c r="B1" s="302"/>
      <c r="C1" s="302"/>
      <c r="D1" s="302"/>
      <c r="E1" s="302"/>
      <c r="F1" s="1" t="s">
        <v>1446</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45980.583870645401</v>
      </c>
      <c r="H2" s="302"/>
      <c r="I2" s="302"/>
      <c r="J2" s="302"/>
      <c r="K2" s="311">
        <v>45980.583870645773</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45982</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44" t="s">
        <v>77</v>
      </c>
      <c r="B6" s="144" t="s">
        <v>1447</v>
      </c>
      <c r="C6" s="145">
        <v>0.47916666666666669</v>
      </c>
      <c r="D6" s="144" t="s">
        <v>101</v>
      </c>
      <c r="E6" s="144" t="s">
        <v>139</v>
      </c>
      <c r="F6" s="144" t="s">
        <v>1448</v>
      </c>
      <c r="G6" s="297"/>
      <c r="H6" s="267" t="s">
        <v>1449</v>
      </c>
      <c r="I6" s="268">
        <v>0.51959999999999995</v>
      </c>
      <c r="J6" s="269">
        <v>93</v>
      </c>
      <c r="K6" s="270">
        <v>45980</v>
      </c>
      <c r="L6" s="269">
        <v>57</v>
      </c>
      <c r="M6" s="269">
        <v>1</v>
      </c>
      <c r="N6" s="269">
        <v>7</v>
      </c>
      <c r="O6" s="271" t="s">
        <v>219</v>
      </c>
      <c r="P6" s="272">
        <v>0.47916666666666669</v>
      </c>
      <c r="Q6" s="269">
        <v>179</v>
      </c>
      <c r="R6" s="273" t="s">
        <v>1450</v>
      </c>
    </row>
    <row r="7" spans="1:92" ht="17.399999999999999" customHeight="1" thickBot="1" x14ac:dyDescent="0.35">
      <c r="A7" s="329"/>
      <c r="B7" s="330"/>
      <c r="C7" s="330"/>
      <c r="D7" s="330"/>
      <c r="E7" s="330"/>
      <c r="F7" s="330"/>
      <c r="G7" s="330"/>
      <c r="H7" s="330"/>
      <c r="I7" s="330"/>
      <c r="J7" s="330"/>
      <c r="K7" s="330"/>
      <c r="L7" s="330"/>
      <c r="M7" s="330"/>
      <c r="N7" s="330"/>
      <c r="O7" s="330"/>
      <c r="P7" s="330"/>
      <c r="Q7" s="330"/>
      <c r="R7" s="331"/>
    </row>
    <row r="8" spans="1:92" ht="22.05" customHeight="1" thickTop="1" thickBot="1" x14ac:dyDescent="0.35">
      <c r="A8" s="300" t="s">
        <v>6</v>
      </c>
      <c r="B8" s="295"/>
      <c r="C8" s="295"/>
      <c r="D8" s="295"/>
      <c r="E8" s="295"/>
      <c r="F8" s="296"/>
      <c r="G8" s="31">
        <v>45989</v>
      </c>
      <c r="H8" s="294" t="s">
        <v>7</v>
      </c>
      <c r="I8" s="295"/>
      <c r="J8" s="295"/>
      <c r="K8" s="295"/>
      <c r="L8" s="295"/>
      <c r="M8" s="295"/>
      <c r="N8" s="295"/>
      <c r="O8" s="295"/>
      <c r="P8" s="295"/>
      <c r="Q8" s="295"/>
      <c r="R8" s="296"/>
    </row>
    <row r="9" spans="1:92" ht="24" customHeight="1" x14ac:dyDescent="0.3">
      <c r="A9" s="32" t="s">
        <v>8</v>
      </c>
      <c r="B9" s="32" t="s">
        <v>9</v>
      </c>
      <c r="C9" s="33" t="s">
        <v>10</v>
      </c>
      <c r="D9" s="32" t="s">
        <v>11</v>
      </c>
      <c r="E9" s="32" t="s">
        <v>12</v>
      </c>
      <c r="F9" s="34" t="s">
        <v>13</v>
      </c>
      <c r="G9" s="35" t="s">
        <v>14</v>
      </c>
      <c r="H9" s="32" t="s">
        <v>15</v>
      </c>
      <c r="I9" s="36" t="s">
        <v>16</v>
      </c>
      <c r="J9" s="37" t="s">
        <v>17</v>
      </c>
      <c r="K9" s="38" t="s">
        <v>18</v>
      </c>
      <c r="L9" s="37" t="s">
        <v>19</v>
      </c>
      <c r="M9" s="37" t="s">
        <v>20</v>
      </c>
      <c r="N9" s="37" t="s">
        <v>21</v>
      </c>
      <c r="O9" s="32" t="s">
        <v>22</v>
      </c>
      <c r="P9" s="33" t="s">
        <v>23</v>
      </c>
      <c r="Q9" s="37" t="s">
        <v>24</v>
      </c>
      <c r="R9" s="32" t="s">
        <v>25</v>
      </c>
    </row>
    <row r="10" spans="1:92" ht="49.95" customHeight="1" x14ac:dyDescent="0.3">
      <c r="A10" s="154" t="s">
        <v>77</v>
      </c>
      <c r="B10" s="154" t="s">
        <v>1447</v>
      </c>
      <c r="C10" s="155">
        <v>0.47916666666666669</v>
      </c>
      <c r="D10" s="154" t="s">
        <v>101</v>
      </c>
      <c r="E10" s="154" t="s">
        <v>63</v>
      </c>
      <c r="F10" s="154" t="s">
        <v>1451</v>
      </c>
      <c r="G10" s="297"/>
      <c r="H10" s="157" t="s">
        <v>1449</v>
      </c>
      <c r="I10" s="254">
        <v>0.43580000000000002</v>
      </c>
      <c r="J10" s="159">
        <v>78</v>
      </c>
      <c r="K10" s="160">
        <v>45980</v>
      </c>
      <c r="L10" s="159">
        <v>40</v>
      </c>
      <c r="M10" s="159">
        <v>1</v>
      </c>
      <c r="N10" s="159">
        <v>10</v>
      </c>
      <c r="O10" s="161" t="s">
        <v>219</v>
      </c>
      <c r="P10" s="162">
        <v>0.47916666666666669</v>
      </c>
      <c r="Q10" s="159">
        <v>179</v>
      </c>
      <c r="R10" s="163" t="s">
        <v>1452</v>
      </c>
    </row>
    <row r="11" spans="1:92" ht="18" x14ac:dyDescent="0.3">
      <c r="A11" s="312" t="s">
        <v>1453</v>
      </c>
      <c r="B11" s="313"/>
      <c r="C11" s="313"/>
      <c r="D11" s="313"/>
      <c r="E11" s="313"/>
      <c r="F11" s="314"/>
      <c r="G11" s="298"/>
      <c r="H11" s="138"/>
      <c r="I11" s="138"/>
      <c r="J11" s="138"/>
      <c r="K11" s="138"/>
      <c r="L11" s="138"/>
      <c r="M11" s="138"/>
      <c r="N11" s="138"/>
      <c r="O11" s="139"/>
      <c r="P11" s="138"/>
      <c r="Q11" s="99"/>
      <c r="R11" s="99"/>
    </row>
    <row r="12" spans="1:92" ht="49.95" customHeight="1" thickBot="1" x14ac:dyDescent="0.35">
      <c r="A12" s="39" t="s">
        <v>385</v>
      </c>
      <c r="B12" s="39" t="s">
        <v>1428</v>
      </c>
      <c r="C12" s="40" t="s">
        <v>1454</v>
      </c>
      <c r="D12" s="39" t="s">
        <v>101</v>
      </c>
      <c r="E12" s="39" t="s">
        <v>259</v>
      </c>
      <c r="F12" s="39" t="s">
        <v>1434</v>
      </c>
      <c r="G12" s="299"/>
      <c r="H12" s="140"/>
      <c r="I12" s="140"/>
      <c r="J12" s="140"/>
      <c r="K12" s="140"/>
      <c r="L12" s="140"/>
      <c r="M12" s="140"/>
      <c r="N12" s="140"/>
      <c r="O12" s="141"/>
      <c r="P12" s="140"/>
      <c r="Q12" s="142"/>
      <c r="R12" s="142"/>
    </row>
    <row r="13" spans="1:92" ht="17.399999999999999" customHeight="1" thickBot="1" x14ac:dyDescent="0.35">
      <c r="A13" s="329"/>
      <c r="B13" s="330"/>
      <c r="C13" s="330"/>
      <c r="D13" s="330"/>
      <c r="E13" s="330"/>
      <c r="F13" s="330"/>
      <c r="G13" s="330"/>
      <c r="H13" s="330"/>
      <c r="I13" s="330"/>
      <c r="J13" s="330"/>
      <c r="K13" s="330"/>
      <c r="L13" s="330"/>
      <c r="M13" s="330"/>
      <c r="N13" s="330"/>
      <c r="O13" s="330"/>
      <c r="P13" s="330"/>
      <c r="Q13" s="330"/>
      <c r="R13" s="331"/>
    </row>
    <row r="14" spans="1:92" ht="15" thickTop="1" x14ac:dyDescent="0.3"/>
  </sheetData>
  <mergeCells count="16">
    <mergeCell ref="A13:R13"/>
    <mergeCell ref="H1:L1"/>
    <mergeCell ref="A1:E1"/>
    <mergeCell ref="G2:J2"/>
    <mergeCell ref="K2:R2"/>
    <mergeCell ref="A4:F4"/>
    <mergeCell ref="H4:R4"/>
    <mergeCell ref="G6"/>
    <mergeCell ref="N1:R1"/>
    <mergeCell ref="G10:G12"/>
    <mergeCell ref="A2:F2"/>
    <mergeCell ref="A11:F11"/>
    <mergeCell ref="A3:R3"/>
    <mergeCell ref="H8:R8"/>
    <mergeCell ref="A7:R7"/>
    <mergeCell ref="A8:F8"/>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J4"/>
  <sheetViews>
    <sheetView workbookViewId="0"/>
  </sheetViews>
  <sheetFormatPr defaultRowHeight="15.6" outlineLevelCol="1" x14ac:dyDescent="0.3"/>
  <cols>
    <col min="1" max="1" width="6.88671875" style="316" bestFit="1" customWidth="1"/>
    <col min="2" max="2" width="10.44140625" style="316" bestFit="1" customWidth="1"/>
    <col min="3" max="3" width="6.77734375" style="316" bestFit="1" customWidth="1"/>
    <col min="4" max="4" width="5.5546875" style="316" bestFit="1" customWidth="1"/>
    <col min="5" max="5" width="7.554687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9" width="3.88671875" style="316" bestFit="1" customWidth="1"/>
    <col min="30"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606</v>
      </c>
      <c r="B2" s="318">
        <v>45982</v>
      </c>
      <c r="C2" s="319" t="s">
        <v>1449</v>
      </c>
      <c r="D2" s="320" t="s">
        <v>276</v>
      </c>
      <c r="E2" s="319" t="s">
        <v>1446</v>
      </c>
      <c r="F2" s="319" t="s">
        <v>189</v>
      </c>
      <c r="G2" s="321">
        <v>0.51959999999999995</v>
      </c>
      <c r="H2" s="322">
        <v>179</v>
      </c>
      <c r="I2" s="322">
        <v>93</v>
      </c>
      <c r="J2" s="322">
        <v>0</v>
      </c>
      <c r="K2" s="319" t="s">
        <v>190</v>
      </c>
      <c r="L2" s="323">
        <v>45980</v>
      </c>
      <c r="M2" s="322">
        <v>1</v>
      </c>
      <c r="N2" s="322">
        <v>7</v>
      </c>
      <c r="O2" s="322">
        <v>57</v>
      </c>
      <c r="P2" s="319" t="s">
        <v>219</v>
      </c>
      <c r="Q2" s="315"/>
      <c r="R2" s="315"/>
      <c r="S2" s="315"/>
      <c r="T2" s="315"/>
      <c r="U2" s="315"/>
      <c r="V2" s="315"/>
      <c r="W2" s="315"/>
      <c r="X2" s="315"/>
      <c r="Y2" s="315"/>
      <c r="Z2" s="315"/>
      <c r="AA2" s="315"/>
      <c r="AB2" s="315"/>
      <c r="AC2" s="322" t="s">
        <v>654</v>
      </c>
      <c r="AD2" s="322" t="s">
        <v>194</v>
      </c>
      <c r="AE2" s="322" t="s">
        <v>959</v>
      </c>
      <c r="AF2" s="322" t="s">
        <v>603</v>
      </c>
      <c r="AG2" s="315"/>
      <c r="AH2" s="315"/>
      <c r="AI2" s="315"/>
      <c r="AJ2" s="315"/>
    </row>
    <row r="3" spans="1:36" x14ac:dyDescent="0.3">
      <c r="A3" s="317" t="s">
        <v>606</v>
      </c>
      <c r="B3" s="318">
        <v>45989</v>
      </c>
      <c r="C3" s="319" t="s">
        <v>1449</v>
      </c>
      <c r="D3" s="320" t="s">
        <v>276</v>
      </c>
      <c r="E3" s="319" t="s">
        <v>1446</v>
      </c>
      <c r="F3" s="319" t="s">
        <v>189</v>
      </c>
      <c r="G3" s="321">
        <v>0.43580000000000002</v>
      </c>
      <c r="H3" s="322">
        <v>179</v>
      </c>
      <c r="I3" s="322">
        <v>78</v>
      </c>
      <c r="J3" s="322">
        <v>0</v>
      </c>
      <c r="K3" s="319" t="s">
        <v>190</v>
      </c>
      <c r="L3" s="323">
        <v>45980</v>
      </c>
      <c r="M3" s="322">
        <v>1</v>
      </c>
      <c r="N3" s="322">
        <v>10</v>
      </c>
      <c r="O3" s="322">
        <v>40</v>
      </c>
      <c r="P3" s="319" t="s">
        <v>219</v>
      </c>
      <c r="Q3" s="315"/>
      <c r="R3" s="315"/>
      <c r="S3" s="315"/>
      <c r="T3" s="315"/>
      <c r="U3" s="315"/>
      <c r="V3" s="315"/>
      <c r="W3" s="315"/>
      <c r="X3" s="315"/>
      <c r="Y3" s="315"/>
      <c r="Z3" s="315"/>
      <c r="AA3" s="315"/>
      <c r="AB3" s="315"/>
      <c r="AC3" s="322" t="s">
        <v>295</v>
      </c>
      <c r="AD3" s="322" t="s">
        <v>194</v>
      </c>
      <c r="AE3" s="322" t="s">
        <v>620</v>
      </c>
      <c r="AF3" s="322" t="s">
        <v>1455</v>
      </c>
      <c r="AG3" s="315"/>
      <c r="AH3" s="315"/>
      <c r="AI3" s="315"/>
      <c r="AJ3" s="315"/>
    </row>
    <row r="4" spans="1:36" ht="21" x14ac:dyDescent="0.3">
      <c r="A4" s="324" t="s">
        <v>1638</v>
      </c>
      <c r="B4" s="325"/>
      <c r="C4" s="324">
        <f>SUBTOTAL(103,ATZ_AJF_LF_LEGACY[Flt])</f>
        <v>2</v>
      </c>
      <c r="D4" s="324"/>
      <c r="E4" s="324">
        <f>SUBTOTAL(103,ATZ_AJF_LF_LEGACY[Brd-Off])</f>
        <v>2</v>
      </c>
      <c r="F4" s="324"/>
      <c r="G4" s="326">
        <f>SUBTOTAL(101,ATZ_AJF_LF_LEGACY[LF%])</f>
        <v>0.47770000000000001</v>
      </c>
      <c r="H4" s="327">
        <f>SUBTOTAL(109,ATZ_AJF_LF_LEGACY[CAP])</f>
        <v>358</v>
      </c>
      <c r="I4" s="327">
        <f>SUBTOTAL(109,ATZ_AJF_LF_LEGACY[BKG(Y)])</f>
        <v>171</v>
      </c>
      <c r="J4" s="327">
        <f>SUBTOTAL(109,ATZ_AJF_LF_LEGACY[GRP(Y)])</f>
        <v>0</v>
      </c>
      <c r="K4" s="324"/>
      <c r="L4" s="325"/>
      <c r="M4" s="327">
        <f>SUBTOTAL(109,ATZ_AJF_LF_LEGACY[TO-DAY])</f>
        <v>2</v>
      </c>
      <c r="N4" s="327">
        <f>SUBTOTAL(109,ATZ_AJF_LF_LEGACY[Y-DAY])</f>
        <v>17</v>
      </c>
      <c r="O4" s="327">
        <f>SUBTOTAL(109,ATZ_AJF_LF_LEGACY[WEEKLY])</f>
        <v>97</v>
      </c>
      <c r="P4" s="328"/>
      <c r="Q4" s="327">
        <f>SUBTOTAL(109,ATZ_AJF_LF_LEGACY[Y])</f>
        <v>0</v>
      </c>
      <c r="R4" s="327">
        <f>SUBTOTAL(109,ATZ_AJF_LF_LEGACY[B])</f>
        <v>0</v>
      </c>
      <c r="S4" s="327">
        <f>SUBTOTAL(109,ATZ_AJF_LF_LEGACY[M])</f>
        <v>0</v>
      </c>
      <c r="T4" s="327">
        <f>SUBTOTAL(109,ATZ_AJF_LF_LEGACY[H])</f>
        <v>0</v>
      </c>
      <c r="U4" s="327">
        <f>SUBTOTAL(109,ATZ_AJF_LF_LEGACY[Q])</f>
        <v>0</v>
      </c>
      <c r="V4" s="327">
        <f>SUBTOTAL(109,ATZ_AJF_LF_LEGACY[K])</f>
        <v>0</v>
      </c>
      <c r="W4" s="327">
        <f>SUBTOTAL(109,ATZ_AJF_LF_LEGACY[V])</f>
        <v>0</v>
      </c>
      <c r="X4" s="327">
        <f>SUBTOTAL(109,ATZ_AJF_LF_LEGACY[L])</f>
        <v>0</v>
      </c>
      <c r="Y4" s="327">
        <f>SUBTOTAL(109,ATZ_AJF_LF_LEGACY[G])</f>
        <v>0</v>
      </c>
      <c r="Z4" s="327">
        <f>SUBTOTAL(109,ATZ_AJF_LF_LEGACY[S])</f>
        <v>0</v>
      </c>
      <c r="AA4" s="327">
        <f>SUBTOTAL(109,ATZ_AJF_LF_LEGACY[W])</f>
        <v>0</v>
      </c>
      <c r="AB4" s="327">
        <f>SUBTOTAL(109,ATZ_AJF_LF_LEGACY[T])</f>
        <v>0</v>
      </c>
      <c r="AC4" s="327">
        <f>SUBTOTAL(109,ATZ_AJF_LF_LEGACY[X])</f>
        <v>0</v>
      </c>
      <c r="AD4" s="327">
        <f>SUBTOTAL(109,ATZ_AJF_LF_LEGACY[U])</f>
        <v>0</v>
      </c>
      <c r="AE4" s="327">
        <f>SUBTOTAL(109,ATZ_AJF_LF_LEGACY[O])</f>
        <v>0</v>
      </c>
      <c r="AF4" s="327">
        <f>SUBTOTAL(109,ATZ_AJF_LF_LEGACY[I])</f>
        <v>0</v>
      </c>
      <c r="AG4" s="327">
        <f>SUBTOTAL(109,ATZ_AJF_LF_LEGACY[E])</f>
        <v>0</v>
      </c>
      <c r="AH4" s="327">
        <f>SUBTOTAL(109,ATZ_AJF_LF_LEGACY[A])</f>
        <v>0</v>
      </c>
      <c r="AI4" s="327">
        <f>SUBTOTAL(109,ATZ_AJF_LF_LEGACY[P])</f>
        <v>0</v>
      </c>
      <c r="AJ4" s="327">
        <f>SUBTOTAL(103,ATZ_AJF_LF_LEGACY[N])</f>
        <v>0</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21"/>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66"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75"/>
      <c r="B2" s="176"/>
      <c r="C2" s="176"/>
      <c r="D2" s="176"/>
      <c r="E2" s="176"/>
      <c r="F2" s="177" t="s">
        <v>1456</v>
      </c>
      <c r="G2" s="176"/>
      <c r="H2" s="178"/>
    </row>
    <row r="3" spans="1:8" ht="19.8" customHeight="1" x14ac:dyDescent="0.3">
      <c r="A3" s="103" t="s">
        <v>235</v>
      </c>
      <c r="B3" s="104" t="s">
        <v>385</v>
      </c>
      <c r="C3" s="105" t="s">
        <v>1421</v>
      </c>
      <c r="D3" s="104" t="s">
        <v>1420</v>
      </c>
      <c r="E3" s="104" t="s">
        <v>1445</v>
      </c>
      <c r="F3" s="104" t="s">
        <v>101</v>
      </c>
      <c r="G3" s="106">
        <v>9</v>
      </c>
      <c r="H3" s="107" t="s">
        <v>1422</v>
      </c>
    </row>
    <row r="4" spans="1:8" ht="19.8" customHeight="1" x14ac:dyDescent="0.3">
      <c r="A4" s="190" t="s">
        <v>235</v>
      </c>
      <c r="B4" s="115" t="s">
        <v>77</v>
      </c>
      <c r="C4" s="116" t="s">
        <v>1423</v>
      </c>
      <c r="D4" s="115" t="s">
        <v>1420</v>
      </c>
      <c r="E4" s="115" t="s">
        <v>1437</v>
      </c>
      <c r="F4" s="115" t="s">
        <v>101</v>
      </c>
      <c r="G4" s="118">
        <v>9</v>
      </c>
      <c r="H4" s="119" t="s">
        <v>1424</v>
      </c>
    </row>
    <row r="5" spans="1:8" ht="19.8" customHeight="1" x14ac:dyDescent="0.3">
      <c r="A5" s="108" t="s">
        <v>333</v>
      </c>
      <c r="B5" s="109" t="s">
        <v>77</v>
      </c>
      <c r="C5" s="110" t="s">
        <v>1447</v>
      </c>
      <c r="D5" s="109" t="s">
        <v>1446</v>
      </c>
      <c r="E5" s="109" t="s">
        <v>276</v>
      </c>
      <c r="F5" s="109" t="s">
        <v>101</v>
      </c>
      <c r="G5" s="128">
        <v>3</v>
      </c>
      <c r="H5" s="111" t="s">
        <v>1448</v>
      </c>
    </row>
    <row r="6" spans="1:8" ht="19.8" customHeight="1" x14ac:dyDescent="0.3">
      <c r="A6" s="175"/>
      <c r="B6" s="176"/>
      <c r="C6" s="176"/>
      <c r="D6" s="176"/>
      <c r="E6" s="176"/>
      <c r="F6" s="177" t="s">
        <v>1456</v>
      </c>
      <c r="G6" s="176"/>
      <c r="H6" s="178"/>
    </row>
    <row r="7" spans="1:8" ht="19.8" customHeight="1" x14ac:dyDescent="0.3">
      <c r="A7" s="114">
        <v>45983</v>
      </c>
      <c r="B7" s="115" t="s">
        <v>77</v>
      </c>
      <c r="C7" s="116" t="s">
        <v>1423</v>
      </c>
      <c r="D7" s="115" t="s">
        <v>1420</v>
      </c>
      <c r="E7" s="117">
        <v>1.71875</v>
      </c>
      <c r="F7" s="115" t="s">
        <v>101</v>
      </c>
      <c r="G7" s="118">
        <v>9</v>
      </c>
      <c r="H7" s="119" t="s">
        <v>362</v>
      </c>
    </row>
    <row r="8" spans="1:8" ht="19.8" customHeight="1" x14ac:dyDescent="0.3">
      <c r="A8" s="175"/>
      <c r="B8" s="176"/>
      <c r="C8" s="176"/>
      <c r="D8" s="176"/>
      <c r="E8" s="176"/>
      <c r="F8" s="177" t="s">
        <v>1456</v>
      </c>
      <c r="G8" s="176"/>
      <c r="H8" s="178"/>
    </row>
    <row r="9" spans="1:8" ht="19.8" customHeight="1" x14ac:dyDescent="0.3">
      <c r="A9" s="114">
        <v>45984</v>
      </c>
      <c r="B9" s="115" t="s">
        <v>385</v>
      </c>
      <c r="C9" s="116" t="s">
        <v>1428</v>
      </c>
      <c r="D9" s="115" t="s">
        <v>1420</v>
      </c>
      <c r="E9" s="117">
        <v>1.3090277777777779</v>
      </c>
      <c r="F9" s="115" t="s">
        <v>101</v>
      </c>
      <c r="G9" s="118">
        <v>6</v>
      </c>
      <c r="H9" s="119" t="s">
        <v>1429</v>
      </c>
    </row>
    <row r="10" spans="1:8" ht="19.8" customHeight="1" x14ac:dyDescent="0.3">
      <c r="A10" s="175"/>
      <c r="B10" s="176"/>
      <c r="C10" s="176"/>
      <c r="D10" s="176"/>
      <c r="E10" s="176"/>
      <c r="F10" s="177" t="s">
        <v>1456</v>
      </c>
      <c r="G10" s="176"/>
      <c r="H10" s="178"/>
    </row>
    <row r="11" spans="1:8" ht="19.8" customHeight="1" x14ac:dyDescent="0.3">
      <c r="A11" s="114">
        <v>45986</v>
      </c>
      <c r="B11" s="115" t="s">
        <v>77</v>
      </c>
      <c r="C11" s="116" t="s">
        <v>1423</v>
      </c>
      <c r="D11" s="115" t="s">
        <v>1420</v>
      </c>
      <c r="E11" s="117">
        <v>1.3125</v>
      </c>
      <c r="F11" s="115" t="s">
        <v>101</v>
      </c>
      <c r="G11" s="118">
        <v>8</v>
      </c>
      <c r="H11" s="119" t="s">
        <v>1430</v>
      </c>
    </row>
    <row r="12" spans="1:8" ht="19.8" customHeight="1" x14ac:dyDescent="0.3">
      <c r="A12" s="175"/>
      <c r="B12" s="176"/>
      <c r="C12" s="176"/>
      <c r="D12" s="176"/>
      <c r="E12" s="176"/>
      <c r="F12" s="177" t="s">
        <v>1456</v>
      </c>
      <c r="G12" s="176"/>
      <c r="H12" s="178"/>
    </row>
    <row r="13" spans="1:8" ht="19.8" customHeight="1" x14ac:dyDescent="0.3">
      <c r="A13" s="112">
        <v>45988</v>
      </c>
      <c r="B13" s="104" t="s">
        <v>385</v>
      </c>
      <c r="C13" s="105" t="s">
        <v>1421</v>
      </c>
      <c r="D13" s="104" t="s">
        <v>1420</v>
      </c>
      <c r="E13" s="113">
        <v>1.760416666666667</v>
      </c>
      <c r="F13" s="104" t="s">
        <v>101</v>
      </c>
      <c r="G13" s="106">
        <v>2</v>
      </c>
      <c r="H13" s="107" t="s">
        <v>1432</v>
      </c>
    </row>
    <row r="14" spans="1:8" ht="19.8" customHeight="1" x14ac:dyDescent="0.3">
      <c r="A14" s="114">
        <v>45988</v>
      </c>
      <c r="B14" s="115" t="s">
        <v>77</v>
      </c>
      <c r="C14" s="116" t="s">
        <v>1423</v>
      </c>
      <c r="D14" s="115" t="s">
        <v>1420</v>
      </c>
      <c r="E14" s="117">
        <v>1.7673611111111109</v>
      </c>
      <c r="F14" s="115" t="s">
        <v>101</v>
      </c>
      <c r="G14" s="118">
        <v>2</v>
      </c>
      <c r="H14" s="119" t="s">
        <v>1060</v>
      </c>
    </row>
    <row r="15" spans="1:8" ht="19.8" customHeight="1" x14ac:dyDescent="0.3">
      <c r="A15" s="120">
        <v>45989</v>
      </c>
      <c r="B15" s="121" t="s">
        <v>77</v>
      </c>
      <c r="C15" s="122" t="s">
        <v>1447</v>
      </c>
      <c r="D15" s="121" t="s">
        <v>1446</v>
      </c>
      <c r="E15" s="123">
        <v>1.479166666666667</v>
      </c>
      <c r="F15" s="121" t="s">
        <v>101</v>
      </c>
      <c r="G15" s="124">
        <v>9</v>
      </c>
      <c r="H15" s="125" t="s">
        <v>1451</v>
      </c>
    </row>
    <row r="16" spans="1:8" ht="19.8" customHeight="1" x14ac:dyDescent="0.3">
      <c r="A16" s="175"/>
      <c r="B16" s="176"/>
      <c r="C16" s="176"/>
      <c r="D16" s="176"/>
      <c r="E16" s="176"/>
      <c r="F16" s="177" t="s">
        <v>1456</v>
      </c>
      <c r="G16" s="176"/>
      <c r="H16" s="178"/>
    </row>
    <row r="17" spans="1:8" ht="19.8" customHeight="1" x14ac:dyDescent="0.3">
      <c r="A17" s="114">
        <v>45989</v>
      </c>
      <c r="B17" s="115" t="s">
        <v>385</v>
      </c>
      <c r="C17" s="116" t="s">
        <v>1428</v>
      </c>
      <c r="D17" s="115" t="s">
        <v>1420</v>
      </c>
      <c r="E17" s="117">
        <v>1.3090277777777779</v>
      </c>
      <c r="F17" s="115" t="s">
        <v>101</v>
      </c>
      <c r="G17" s="118">
        <v>4</v>
      </c>
      <c r="H17" s="119" t="s">
        <v>1434</v>
      </c>
    </row>
    <row r="18" spans="1:8" ht="19.8" customHeight="1" x14ac:dyDescent="0.3">
      <c r="A18" s="175"/>
      <c r="B18" s="176"/>
      <c r="C18" s="176"/>
      <c r="D18" s="176"/>
      <c r="E18" s="176"/>
      <c r="F18" s="177" t="s">
        <v>1456</v>
      </c>
      <c r="G18" s="176"/>
      <c r="H18" s="178"/>
    </row>
    <row r="19" spans="1:8" ht="19.8" customHeight="1" x14ac:dyDescent="0.3">
      <c r="A19" s="114">
        <v>45990</v>
      </c>
      <c r="B19" s="115" t="s">
        <v>77</v>
      </c>
      <c r="C19" s="116" t="s">
        <v>1423</v>
      </c>
      <c r="D19" s="115" t="s">
        <v>1420</v>
      </c>
      <c r="E19" s="117">
        <v>1.71875</v>
      </c>
      <c r="F19" s="115" t="s">
        <v>101</v>
      </c>
      <c r="G19" s="118">
        <v>9</v>
      </c>
      <c r="H19" s="119" t="s">
        <v>1435</v>
      </c>
    </row>
    <row r="20" spans="1:8" ht="19.8" customHeight="1" x14ac:dyDescent="0.3">
      <c r="A20" s="175"/>
      <c r="B20" s="176"/>
      <c r="C20" s="176"/>
      <c r="D20" s="176"/>
      <c r="E20" s="176"/>
      <c r="F20" s="177" t="s">
        <v>1456</v>
      </c>
      <c r="G20" s="176"/>
      <c r="H20" s="178"/>
    </row>
    <row r="21" spans="1:8" ht="19.8" customHeight="1" x14ac:dyDescent="0.3">
      <c r="A21" s="114">
        <v>45991</v>
      </c>
      <c r="B21" s="115" t="s">
        <v>385</v>
      </c>
      <c r="C21" s="116" t="s">
        <v>1428</v>
      </c>
      <c r="D21" s="115" t="s">
        <v>1420</v>
      </c>
      <c r="E21" s="117">
        <v>1.3090277777777779</v>
      </c>
      <c r="F21" s="115" t="s">
        <v>101</v>
      </c>
      <c r="G21" s="118">
        <v>7</v>
      </c>
      <c r="H21" s="119" t="s">
        <v>1434</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49"/>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82.109375" bestFit="1" customWidth="1"/>
  </cols>
  <sheetData>
    <row r="1" spans="1:92" ht="28.8" customHeight="1" x14ac:dyDescent="0.3">
      <c r="A1" s="303" t="s">
        <v>0</v>
      </c>
      <c r="B1" s="302"/>
      <c r="C1" s="302"/>
      <c r="D1" s="302"/>
      <c r="E1" s="302"/>
      <c r="F1" s="1" t="s">
        <v>1457</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45980.583874420663</v>
      </c>
      <c r="H2" s="302"/>
      <c r="I2" s="302"/>
      <c r="J2" s="302"/>
      <c r="K2" s="311">
        <v>45980.583874421311</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29" t="s">
        <v>77</v>
      </c>
      <c r="B6" s="129" t="s">
        <v>1458</v>
      </c>
      <c r="C6" s="130">
        <v>0.4375</v>
      </c>
      <c r="D6" s="129" t="s">
        <v>101</v>
      </c>
      <c r="E6" s="129" t="s">
        <v>51</v>
      </c>
      <c r="F6" s="129" t="s">
        <v>1459</v>
      </c>
      <c r="G6" s="304"/>
      <c r="H6" s="131" t="s">
        <v>1460</v>
      </c>
      <c r="I6" s="132">
        <v>0.89939999999999998</v>
      </c>
      <c r="J6" s="133">
        <v>161</v>
      </c>
      <c r="K6" s="134">
        <v>45979</v>
      </c>
      <c r="L6" s="133">
        <v>31</v>
      </c>
      <c r="M6" s="133">
        <v>0</v>
      </c>
      <c r="N6" s="133">
        <v>11</v>
      </c>
      <c r="O6" s="135" t="s">
        <v>631</v>
      </c>
      <c r="P6" s="136">
        <v>0.4375</v>
      </c>
      <c r="Q6" s="133">
        <v>179</v>
      </c>
      <c r="R6" s="137" t="s">
        <v>1461</v>
      </c>
    </row>
    <row r="7" spans="1:92" ht="49.95" customHeight="1" thickBot="1" x14ac:dyDescent="0.35">
      <c r="A7" s="231" t="s">
        <v>385</v>
      </c>
      <c r="B7" s="231" t="s">
        <v>1462</v>
      </c>
      <c r="C7" s="232">
        <v>2.0833333333333329E-2</v>
      </c>
      <c r="D7" s="231" t="s">
        <v>101</v>
      </c>
      <c r="E7" s="231" t="s">
        <v>139</v>
      </c>
      <c r="F7" s="231" t="s">
        <v>1463</v>
      </c>
      <c r="G7" s="299"/>
      <c r="H7" s="41"/>
      <c r="I7" s="42"/>
      <c r="J7" s="42"/>
      <c r="K7" s="42"/>
      <c r="L7" s="42"/>
      <c r="M7" s="42"/>
      <c r="N7" s="42"/>
      <c r="O7" s="43"/>
      <c r="P7" s="42"/>
      <c r="Q7" s="44"/>
      <c r="R7" s="45"/>
    </row>
    <row r="8" spans="1:92" ht="17.399999999999999" customHeight="1" thickBot="1" x14ac:dyDescent="0.35">
      <c r="A8" s="329"/>
      <c r="B8" s="330"/>
      <c r="C8" s="330"/>
      <c r="D8" s="330"/>
      <c r="E8" s="330"/>
      <c r="F8" s="330"/>
      <c r="G8" s="330"/>
      <c r="H8" s="330"/>
      <c r="I8" s="330"/>
      <c r="J8" s="330"/>
      <c r="K8" s="330"/>
      <c r="L8" s="330"/>
      <c r="M8" s="330"/>
      <c r="N8" s="330"/>
      <c r="O8" s="330"/>
      <c r="P8" s="330"/>
      <c r="Q8" s="330"/>
      <c r="R8" s="331"/>
    </row>
    <row r="9" spans="1:92" ht="22.05" customHeight="1" thickTop="1" thickBot="1" x14ac:dyDescent="0.35">
      <c r="A9" s="300" t="s">
        <v>6</v>
      </c>
      <c r="B9" s="295"/>
      <c r="C9" s="295"/>
      <c r="D9" s="295"/>
      <c r="E9" s="295"/>
      <c r="F9" s="296"/>
      <c r="G9" s="31">
        <v>45982</v>
      </c>
      <c r="H9" s="294" t="s">
        <v>7</v>
      </c>
      <c r="I9" s="295"/>
      <c r="J9" s="295"/>
      <c r="K9" s="295"/>
      <c r="L9" s="295"/>
      <c r="M9" s="295"/>
      <c r="N9" s="295"/>
      <c r="O9" s="295"/>
      <c r="P9" s="295"/>
      <c r="Q9" s="295"/>
      <c r="R9" s="296"/>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thickTop="1" thickBot="1" x14ac:dyDescent="0.35">
      <c r="A11" s="164" t="s">
        <v>77</v>
      </c>
      <c r="B11" s="164" t="s">
        <v>1458</v>
      </c>
      <c r="C11" s="165">
        <v>0.16666666666666671</v>
      </c>
      <c r="D11" s="164" t="s">
        <v>101</v>
      </c>
      <c r="E11" s="164" t="s">
        <v>63</v>
      </c>
      <c r="F11" s="164" t="s">
        <v>1464</v>
      </c>
      <c r="G11" s="304"/>
      <c r="H11" s="68" t="s">
        <v>1460</v>
      </c>
      <c r="I11" s="274">
        <v>0.81559999999999999</v>
      </c>
      <c r="J11" s="70">
        <v>146</v>
      </c>
      <c r="K11" s="71">
        <v>45980</v>
      </c>
      <c r="L11" s="70">
        <v>48</v>
      </c>
      <c r="M11" s="70">
        <v>2</v>
      </c>
      <c r="N11" s="70">
        <v>4</v>
      </c>
      <c r="O11" s="72" t="s">
        <v>381</v>
      </c>
      <c r="P11" s="73">
        <v>0.16666666666666671</v>
      </c>
      <c r="Q11" s="70">
        <v>179</v>
      </c>
      <c r="R11" s="74" t="s">
        <v>1465</v>
      </c>
    </row>
    <row r="12" spans="1:92" ht="17.399999999999999" customHeight="1" thickBot="1" x14ac:dyDescent="0.35">
      <c r="A12" s="329"/>
      <c r="B12" s="330"/>
      <c r="C12" s="330"/>
      <c r="D12" s="330"/>
      <c r="E12" s="330"/>
      <c r="F12" s="330"/>
      <c r="G12" s="330"/>
      <c r="H12" s="330"/>
      <c r="I12" s="330"/>
      <c r="J12" s="330"/>
      <c r="K12" s="330"/>
      <c r="L12" s="330"/>
      <c r="M12" s="330"/>
      <c r="N12" s="330"/>
      <c r="O12" s="330"/>
      <c r="P12" s="330"/>
      <c r="Q12" s="330"/>
      <c r="R12" s="331"/>
    </row>
    <row r="13" spans="1:92" ht="22.05" customHeight="1" thickTop="1" thickBot="1" x14ac:dyDescent="0.35">
      <c r="A13" s="300" t="s">
        <v>6</v>
      </c>
      <c r="B13" s="295"/>
      <c r="C13" s="295"/>
      <c r="D13" s="295"/>
      <c r="E13" s="295"/>
      <c r="F13" s="296"/>
      <c r="G13" s="31">
        <v>45983</v>
      </c>
      <c r="H13" s="294" t="s">
        <v>7</v>
      </c>
      <c r="I13" s="295"/>
      <c r="J13" s="295"/>
      <c r="K13" s="295"/>
      <c r="L13" s="295"/>
      <c r="M13" s="295"/>
      <c r="N13" s="295"/>
      <c r="O13" s="295"/>
      <c r="P13" s="295"/>
      <c r="Q13" s="295"/>
      <c r="R13" s="296"/>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thickTop="1" thickBot="1" x14ac:dyDescent="0.5">
      <c r="A15" s="144" t="s">
        <v>77</v>
      </c>
      <c r="B15" s="144" t="s">
        <v>1460</v>
      </c>
      <c r="C15" s="145">
        <v>0.125</v>
      </c>
      <c r="D15" s="144" t="s">
        <v>79</v>
      </c>
      <c r="E15" s="146"/>
      <c r="F15" s="144" t="s">
        <v>80</v>
      </c>
      <c r="G15" s="297"/>
      <c r="H15" s="267" t="s">
        <v>1460</v>
      </c>
      <c r="I15" s="275">
        <v>1</v>
      </c>
      <c r="J15" s="269">
        <v>179</v>
      </c>
      <c r="K15" s="270">
        <v>45978</v>
      </c>
      <c r="L15" s="269">
        <v>10</v>
      </c>
      <c r="M15" s="269">
        <v>0</v>
      </c>
      <c r="N15" s="269">
        <v>0</v>
      </c>
      <c r="O15" s="271" t="s">
        <v>81</v>
      </c>
      <c r="P15" s="272">
        <v>0.125</v>
      </c>
      <c r="Q15" s="269">
        <v>179</v>
      </c>
      <c r="R15" s="273" t="s">
        <v>1466</v>
      </c>
    </row>
    <row r="16" spans="1:92" ht="17.399999999999999" customHeight="1" thickBot="1" x14ac:dyDescent="0.35">
      <c r="A16" s="329"/>
      <c r="B16" s="330"/>
      <c r="C16" s="330"/>
      <c r="D16" s="330"/>
      <c r="E16" s="330"/>
      <c r="F16" s="330"/>
      <c r="G16" s="330"/>
      <c r="H16" s="330"/>
      <c r="I16" s="330"/>
      <c r="J16" s="330"/>
      <c r="K16" s="330"/>
      <c r="L16" s="330"/>
      <c r="M16" s="330"/>
      <c r="N16" s="330"/>
      <c r="O16" s="330"/>
      <c r="P16" s="330"/>
      <c r="Q16" s="330"/>
      <c r="R16" s="331"/>
    </row>
    <row r="17" spans="1:18" ht="22.05" customHeight="1" thickTop="1" thickBot="1" x14ac:dyDescent="0.35">
      <c r="A17" s="300" t="s">
        <v>6</v>
      </c>
      <c r="B17" s="295"/>
      <c r="C17" s="295"/>
      <c r="D17" s="295"/>
      <c r="E17" s="295"/>
      <c r="F17" s="296"/>
      <c r="G17" s="31">
        <v>45984</v>
      </c>
      <c r="H17" s="294" t="s">
        <v>7</v>
      </c>
      <c r="I17" s="295"/>
      <c r="J17" s="295"/>
      <c r="K17" s="295"/>
      <c r="L17" s="295"/>
      <c r="M17" s="295"/>
      <c r="N17" s="295"/>
      <c r="O17" s="295"/>
      <c r="P17" s="295"/>
      <c r="Q17" s="295"/>
      <c r="R17" s="296"/>
    </row>
    <row r="18" spans="1:18" ht="24" customHeight="1" x14ac:dyDescent="0.3">
      <c r="A18" s="32" t="s">
        <v>8</v>
      </c>
      <c r="B18" s="32" t="s">
        <v>9</v>
      </c>
      <c r="C18" s="33" t="s">
        <v>10</v>
      </c>
      <c r="D18" s="32" t="s">
        <v>11</v>
      </c>
      <c r="E18" s="32" t="s">
        <v>12</v>
      </c>
      <c r="F18" s="34" t="s">
        <v>13</v>
      </c>
      <c r="G18" s="35" t="s">
        <v>14</v>
      </c>
      <c r="H18" s="32" t="s">
        <v>15</v>
      </c>
      <c r="I18" s="36" t="s">
        <v>16</v>
      </c>
      <c r="J18" s="37" t="s">
        <v>17</v>
      </c>
      <c r="K18" s="38" t="s">
        <v>18</v>
      </c>
      <c r="L18" s="37" t="s">
        <v>19</v>
      </c>
      <c r="M18" s="37" t="s">
        <v>20</v>
      </c>
      <c r="N18" s="37" t="s">
        <v>21</v>
      </c>
      <c r="O18" s="32" t="s">
        <v>22</v>
      </c>
      <c r="P18" s="33" t="s">
        <v>23</v>
      </c>
      <c r="Q18" s="37" t="s">
        <v>24</v>
      </c>
      <c r="R18" s="32" t="s">
        <v>25</v>
      </c>
    </row>
    <row r="19" spans="1:18" ht="49.95" customHeight="1" thickTop="1" thickBot="1" x14ac:dyDescent="0.35">
      <c r="A19" s="144" t="s">
        <v>77</v>
      </c>
      <c r="B19" s="144" t="s">
        <v>1460</v>
      </c>
      <c r="C19" s="145">
        <v>0.21527777777777779</v>
      </c>
      <c r="D19" s="144" t="s">
        <v>79</v>
      </c>
      <c r="E19" s="146"/>
      <c r="F19" s="144" t="s">
        <v>80</v>
      </c>
      <c r="G19" s="304"/>
      <c r="H19" s="267" t="s">
        <v>1460</v>
      </c>
      <c r="I19" s="275">
        <v>1</v>
      </c>
      <c r="J19" s="269">
        <v>179</v>
      </c>
      <c r="K19" s="270">
        <v>45979</v>
      </c>
      <c r="L19" s="269">
        <v>53</v>
      </c>
      <c r="M19" s="269">
        <v>0</v>
      </c>
      <c r="N19" s="269">
        <v>4</v>
      </c>
      <c r="O19" s="271" t="s">
        <v>81</v>
      </c>
      <c r="P19" s="272">
        <v>0.21527777777777779</v>
      </c>
      <c r="Q19" s="269">
        <v>179</v>
      </c>
      <c r="R19" s="273" t="s">
        <v>1467</v>
      </c>
    </row>
    <row r="20" spans="1:18" ht="17.399999999999999" customHeight="1" thickBot="1" x14ac:dyDescent="0.35">
      <c r="A20" s="329"/>
      <c r="B20" s="330"/>
      <c r="C20" s="330"/>
      <c r="D20" s="330"/>
      <c r="E20" s="330"/>
      <c r="F20" s="330"/>
      <c r="G20" s="330"/>
      <c r="H20" s="330"/>
      <c r="I20" s="330"/>
      <c r="J20" s="330"/>
      <c r="K20" s="330"/>
      <c r="L20" s="330"/>
      <c r="M20" s="330"/>
      <c r="N20" s="330"/>
      <c r="O20" s="330"/>
      <c r="P20" s="330"/>
      <c r="Q20" s="330"/>
      <c r="R20" s="331"/>
    </row>
    <row r="21" spans="1:18" ht="22.05" customHeight="1" thickTop="1" thickBot="1" x14ac:dyDescent="0.35">
      <c r="A21" s="300" t="s">
        <v>6</v>
      </c>
      <c r="B21" s="295"/>
      <c r="C21" s="295"/>
      <c r="D21" s="295"/>
      <c r="E21" s="295"/>
      <c r="F21" s="296"/>
      <c r="G21" s="31">
        <v>45985</v>
      </c>
      <c r="H21" s="294" t="s">
        <v>7</v>
      </c>
      <c r="I21" s="295"/>
      <c r="J21" s="295"/>
      <c r="K21" s="295"/>
      <c r="L21" s="295"/>
      <c r="M21" s="295"/>
      <c r="N21" s="295"/>
      <c r="O21" s="295"/>
      <c r="P21" s="295"/>
      <c r="Q21" s="295"/>
      <c r="R21" s="296"/>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49.95" customHeight="1" thickTop="1" thickBot="1" x14ac:dyDescent="0.35">
      <c r="A23" s="154" t="s">
        <v>77</v>
      </c>
      <c r="B23" s="154" t="s">
        <v>1460</v>
      </c>
      <c r="C23" s="155">
        <v>0.16666666666666671</v>
      </c>
      <c r="D23" s="154" t="s">
        <v>79</v>
      </c>
      <c r="E23" s="156"/>
      <c r="F23" s="154" t="s">
        <v>80</v>
      </c>
      <c r="G23" s="304"/>
      <c r="H23" s="237" t="s">
        <v>1460</v>
      </c>
      <c r="I23" s="276">
        <v>1</v>
      </c>
      <c r="J23" s="239">
        <v>179</v>
      </c>
      <c r="K23" s="240">
        <v>45980</v>
      </c>
      <c r="L23" s="239">
        <v>5</v>
      </c>
      <c r="M23" s="239">
        <v>1</v>
      </c>
      <c r="N23" s="239">
        <v>0</v>
      </c>
      <c r="O23" s="241" t="s">
        <v>81</v>
      </c>
      <c r="P23" s="242">
        <v>0.16666666666666671</v>
      </c>
      <c r="Q23" s="239">
        <v>179</v>
      </c>
      <c r="R23" s="243" t="s">
        <v>1468</v>
      </c>
    </row>
    <row r="24" spans="1:18" ht="17.399999999999999" customHeight="1" thickBot="1" x14ac:dyDescent="0.35">
      <c r="A24" s="329"/>
      <c r="B24" s="330"/>
      <c r="C24" s="330"/>
      <c r="D24" s="330"/>
      <c r="E24" s="330"/>
      <c r="F24" s="330"/>
      <c r="G24" s="330"/>
      <c r="H24" s="330"/>
      <c r="I24" s="330"/>
      <c r="J24" s="330"/>
      <c r="K24" s="330"/>
      <c r="L24" s="330"/>
      <c r="M24" s="330"/>
      <c r="N24" s="330"/>
      <c r="O24" s="330"/>
      <c r="P24" s="330"/>
      <c r="Q24" s="330"/>
      <c r="R24" s="331"/>
    </row>
    <row r="25" spans="1:18" ht="22.05" customHeight="1" thickTop="1" thickBot="1" x14ac:dyDescent="0.35">
      <c r="A25" s="300" t="s">
        <v>6</v>
      </c>
      <c r="B25" s="295"/>
      <c r="C25" s="295"/>
      <c r="D25" s="295"/>
      <c r="E25" s="295"/>
      <c r="F25" s="296"/>
      <c r="G25" s="31">
        <v>45986</v>
      </c>
      <c r="H25" s="294" t="s">
        <v>7</v>
      </c>
      <c r="I25" s="295"/>
      <c r="J25" s="295"/>
      <c r="K25" s="295"/>
      <c r="L25" s="295"/>
      <c r="M25" s="295"/>
      <c r="N25" s="295"/>
      <c r="O25" s="295"/>
      <c r="P25" s="295"/>
      <c r="Q25" s="295"/>
      <c r="R25" s="296"/>
    </row>
    <row r="26" spans="1:18" ht="24" customHeight="1" x14ac:dyDescent="0.3">
      <c r="A26" s="32" t="s">
        <v>8</v>
      </c>
      <c r="B26" s="32" t="s">
        <v>9</v>
      </c>
      <c r="C26" s="33" t="s">
        <v>10</v>
      </c>
      <c r="D26" s="32" t="s">
        <v>11</v>
      </c>
      <c r="E26" s="32" t="s">
        <v>12</v>
      </c>
      <c r="F26" s="34" t="s">
        <v>13</v>
      </c>
      <c r="G26" s="35" t="s">
        <v>14</v>
      </c>
      <c r="H26" s="32" t="s">
        <v>15</v>
      </c>
      <c r="I26" s="36" t="s">
        <v>16</v>
      </c>
      <c r="J26" s="37" t="s">
        <v>17</v>
      </c>
      <c r="K26" s="38" t="s">
        <v>18</v>
      </c>
      <c r="L26" s="37" t="s">
        <v>19</v>
      </c>
      <c r="M26" s="37" t="s">
        <v>20</v>
      </c>
      <c r="N26" s="37" t="s">
        <v>21</v>
      </c>
      <c r="O26" s="32" t="s">
        <v>22</v>
      </c>
      <c r="P26" s="33" t="s">
        <v>23</v>
      </c>
      <c r="Q26" s="37" t="s">
        <v>24</v>
      </c>
      <c r="R26" s="32" t="s">
        <v>25</v>
      </c>
    </row>
    <row r="27" spans="1:18" ht="49.95" customHeight="1" x14ac:dyDescent="0.3">
      <c r="A27" s="8" t="s">
        <v>385</v>
      </c>
      <c r="B27" s="8" t="s">
        <v>1462</v>
      </c>
      <c r="C27" s="9">
        <v>2.0833333333333329E-2</v>
      </c>
      <c r="D27" s="8" t="s">
        <v>101</v>
      </c>
      <c r="E27" s="8" t="s">
        <v>118</v>
      </c>
      <c r="F27" s="8" t="s">
        <v>437</v>
      </c>
      <c r="G27" s="304"/>
      <c r="H27" s="10"/>
      <c r="I27" s="11"/>
      <c r="J27" s="11"/>
      <c r="K27" s="11"/>
      <c r="L27" s="11"/>
      <c r="M27" s="11"/>
      <c r="N27" s="11"/>
      <c r="O27" s="12"/>
      <c r="P27" s="11"/>
      <c r="Q27" s="13"/>
      <c r="R27" s="14"/>
    </row>
    <row r="28" spans="1:18" ht="49.95" customHeight="1" thickTop="1" thickBot="1" x14ac:dyDescent="0.35">
      <c r="A28" s="277" t="s">
        <v>77</v>
      </c>
      <c r="B28" s="277" t="s">
        <v>1460</v>
      </c>
      <c r="C28" s="278">
        <v>0.83333333333333337</v>
      </c>
      <c r="D28" s="277" t="s">
        <v>79</v>
      </c>
      <c r="E28" s="279"/>
      <c r="F28" s="277" t="s">
        <v>80</v>
      </c>
      <c r="G28" s="299"/>
      <c r="H28" s="280" t="s">
        <v>1460</v>
      </c>
      <c r="I28" s="281">
        <v>1</v>
      </c>
      <c r="J28" s="282">
        <v>179</v>
      </c>
      <c r="K28" s="283">
        <v>45979</v>
      </c>
      <c r="L28" s="282">
        <v>27</v>
      </c>
      <c r="M28" s="282">
        <v>0</v>
      </c>
      <c r="N28" s="282">
        <v>1</v>
      </c>
      <c r="O28" s="284" t="s">
        <v>81</v>
      </c>
      <c r="P28" s="285">
        <v>0.83333333333333337</v>
      </c>
      <c r="Q28" s="282">
        <v>179</v>
      </c>
      <c r="R28" s="286" t="s">
        <v>1469</v>
      </c>
    </row>
    <row r="29" spans="1:18" ht="17.399999999999999" customHeight="1" thickBot="1" x14ac:dyDescent="0.35">
      <c r="A29" s="329"/>
      <c r="B29" s="330"/>
      <c r="C29" s="330"/>
      <c r="D29" s="330"/>
      <c r="E29" s="330"/>
      <c r="F29" s="330"/>
      <c r="G29" s="330"/>
      <c r="H29" s="330"/>
      <c r="I29" s="330"/>
      <c r="J29" s="330"/>
      <c r="K29" s="330"/>
      <c r="L29" s="330"/>
      <c r="M29" s="330"/>
      <c r="N29" s="330"/>
      <c r="O29" s="330"/>
      <c r="P29" s="330"/>
      <c r="Q29" s="330"/>
      <c r="R29" s="331"/>
    </row>
    <row r="30" spans="1:18" ht="22.05" customHeight="1" thickTop="1" thickBot="1" x14ac:dyDescent="0.35">
      <c r="A30" s="300" t="s">
        <v>6</v>
      </c>
      <c r="B30" s="295"/>
      <c r="C30" s="295"/>
      <c r="D30" s="295"/>
      <c r="E30" s="295"/>
      <c r="F30" s="296"/>
      <c r="G30" s="31">
        <v>45987</v>
      </c>
      <c r="H30" s="294" t="s">
        <v>7</v>
      </c>
      <c r="I30" s="295"/>
      <c r="J30" s="295"/>
      <c r="K30" s="295"/>
      <c r="L30" s="295"/>
      <c r="M30" s="295"/>
      <c r="N30" s="295"/>
      <c r="O30" s="295"/>
      <c r="P30" s="295"/>
      <c r="Q30" s="295"/>
      <c r="R30" s="296"/>
    </row>
    <row r="31" spans="1:18" ht="24" customHeight="1" x14ac:dyDescent="0.3">
      <c r="A31" s="32" t="s">
        <v>8</v>
      </c>
      <c r="B31" s="32" t="s">
        <v>9</v>
      </c>
      <c r="C31" s="33" t="s">
        <v>10</v>
      </c>
      <c r="D31" s="32" t="s">
        <v>11</v>
      </c>
      <c r="E31" s="32" t="s">
        <v>12</v>
      </c>
      <c r="F31" s="34" t="s">
        <v>13</v>
      </c>
      <c r="G31" s="35" t="s">
        <v>14</v>
      </c>
      <c r="H31" s="32" t="s">
        <v>15</v>
      </c>
      <c r="I31" s="36" t="s">
        <v>16</v>
      </c>
      <c r="J31" s="37" t="s">
        <v>17</v>
      </c>
      <c r="K31" s="38" t="s">
        <v>18</v>
      </c>
      <c r="L31" s="37" t="s">
        <v>19</v>
      </c>
      <c r="M31" s="37" t="s">
        <v>20</v>
      </c>
      <c r="N31" s="37" t="s">
        <v>21</v>
      </c>
      <c r="O31" s="32" t="s">
        <v>22</v>
      </c>
      <c r="P31" s="33" t="s">
        <v>23</v>
      </c>
      <c r="Q31" s="37" t="s">
        <v>24</v>
      </c>
      <c r="R31" s="32" t="s">
        <v>25</v>
      </c>
    </row>
    <row r="32" spans="1:18" ht="49.95" customHeight="1" thickTop="1" thickBot="1" x14ac:dyDescent="0.35">
      <c r="A32" s="129" t="s">
        <v>77</v>
      </c>
      <c r="B32" s="129" t="s">
        <v>1458</v>
      </c>
      <c r="C32" s="130">
        <v>0.82638888888888884</v>
      </c>
      <c r="D32" s="129" t="s">
        <v>101</v>
      </c>
      <c r="E32" s="129" t="s">
        <v>85</v>
      </c>
      <c r="F32" s="129" t="s">
        <v>567</v>
      </c>
      <c r="G32" s="304"/>
      <c r="H32" s="280" t="s">
        <v>1460</v>
      </c>
      <c r="I32" s="281">
        <v>0.99439999999999995</v>
      </c>
      <c r="J32" s="282">
        <v>178</v>
      </c>
      <c r="K32" s="283">
        <v>45980</v>
      </c>
      <c r="L32" s="282">
        <v>42</v>
      </c>
      <c r="M32" s="282">
        <v>1</v>
      </c>
      <c r="N32" s="282">
        <v>1</v>
      </c>
      <c r="O32" s="284" t="s">
        <v>224</v>
      </c>
      <c r="P32" s="285">
        <v>0.82638888888888884</v>
      </c>
      <c r="Q32" s="282">
        <v>179</v>
      </c>
      <c r="R32" s="286" t="s">
        <v>1470</v>
      </c>
    </row>
    <row r="33" spans="1:18" ht="17.399999999999999" customHeight="1" thickBot="1" x14ac:dyDescent="0.35">
      <c r="A33" s="329"/>
      <c r="B33" s="330"/>
      <c r="C33" s="330"/>
      <c r="D33" s="330"/>
      <c r="E33" s="330"/>
      <c r="F33" s="330"/>
      <c r="G33" s="330"/>
      <c r="H33" s="330"/>
      <c r="I33" s="330"/>
      <c r="J33" s="330"/>
      <c r="K33" s="330"/>
      <c r="L33" s="330"/>
      <c r="M33" s="330"/>
      <c r="N33" s="330"/>
      <c r="O33" s="330"/>
      <c r="P33" s="330"/>
      <c r="Q33" s="330"/>
      <c r="R33" s="331"/>
    </row>
    <row r="34" spans="1:18" ht="22.05" customHeight="1" thickTop="1" thickBot="1" x14ac:dyDescent="0.35">
      <c r="A34" s="300" t="s">
        <v>6</v>
      </c>
      <c r="B34" s="295"/>
      <c r="C34" s="295"/>
      <c r="D34" s="295"/>
      <c r="E34" s="295"/>
      <c r="F34" s="296"/>
      <c r="G34" s="31">
        <v>45988</v>
      </c>
      <c r="H34" s="294" t="s">
        <v>7</v>
      </c>
      <c r="I34" s="295"/>
      <c r="J34" s="295"/>
      <c r="K34" s="295"/>
      <c r="L34" s="295"/>
      <c r="M34" s="295"/>
      <c r="N34" s="295"/>
      <c r="O34" s="295"/>
      <c r="P34" s="295"/>
      <c r="Q34" s="295"/>
      <c r="R34" s="296"/>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49.95" customHeight="1" x14ac:dyDescent="0.3">
      <c r="A36" s="8" t="s">
        <v>385</v>
      </c>
      <c r="B36" s="8" t="s">
        <v>1462</v>
      </c>
      <c r="C36" s="9">
        <v>2.0833333333333329E-2</v>
      </c>
      <c r="D36" s="8" t="s">
        <v>101</v>
      </c>
      <c r="E36" s="8" t="s">
        <v>139</v>
      </c>
      <c r="F36" s="8" t="s">
        <v>437</v>
      </c>
      <c r="G36" s="304"/>
      <c r="H36" s="10"/>
      <c r="I36" s="11"/>
      <c r="J36" s="11"/>
      <c r="K36" s="11"/>
      <c r="L36" s="11"/>
      <c r="M36" s="11"/>
      <c r="N36" s="11"/>
      <c r="O36" s="12"/>
      <c r="P36" s="11"/>
      <c r="Q36" s="13"/>
      <c r="R36" s="14"/>
    </row>
    <row r="37" spans="1:18" ht="49.95" customHeight="1" thickTop="1" thickBot="1" x14ac:dyDescent="0.35">
      <c r="A37" s="277" t="s">
        <v>77</v>
      </c>
      <c r="B37" s="277" t="s">
        <v>1460</v>
      </c>
      <c r="C37" s="278">
        <v>0.4375</v>
      </c>
      <c r="D37" s="277" t="s">
        <v>79</v>
      </c>
      <c r="E37" s="279"/>
      <c r="F37" s="277" t="s">
        <v>80</v>
      </c>
      <c r="G37" s="299"/>
      <c r="H37" s="280" t="s">
        <v>1460</v>
      </c>
      <c r="I37" s="281">
        <v>1</v>
      </c>
      <c r="J37" s="282">
        <v>179</v>
      </c>
      <c r="K37" s="283">
        <v>45975</v>
      </c>
      <c r="L37" s="282">
        <v>1</v>
      </c>
      <c r="M37" s="282">
        <v>0</v>
      </c>
      <c r="N37" s="282">
        <v>0</v>
      </c>
      <c r="O37" s="284" t="s">
        <v>81</v>
      </c>
      <c r="P37" s="285">
        <v>0.4375</v>
      </c>
      <c r="Q37" s="282">
        <v>179</v>
      </c>
      <c r="R37" s="286" t="s">
        <v>1471</v>
      </c>
    </row>
    <row r="38" spans="1:18" ht="17.399999999999999" customHeight="1" thickBot="1" x14ac:dyDescent="0.35">
      <c r="A38" s="329"/>
      <c r="B38" s="330"/>
      <c r="C38" s="330"/>
      <c r="D38" s="330"/>
      <c r="E38" s="330"/>
      <c r="F38" s="330"/>
      <c r="G38" s="330"/>
      <c r="H38" s="330"/>
      <c r="I38" s="330"/>
      <c r="J38" s="330"/>
      <c r="K38" s="330"/>
      <c r="L38" s="330"/>
      <c r="M38" s="330"/>
      <c r="N38" s="330"/>
      <c r="O38" s="330"/>
      <c r="P38" s="330"/>
      <c r="Q38" s="330"/>
      <c r="R38" s="331"/>
    </row>
    <row r="39" spans="1:18" ht="22.05" customHeight="1" thickTop="1" thickBot="1" x14ac:dyDescent="0.35">
      <c r="A39" s="300" t="s">
        <v>6</v>
      </c>
      <c r="B39" s="295"/>
      <c r="C39" s="295"/>
      <c r="D39" s="295"/>
      <c r="E39" s="295"/>
      <c r="F39" s="296"/>
      <c r="G39" s="31">
        <v>45989</v>
      </c>
      <c r="H39" s="294" t="s">
        <v>7</v>
      </c>
      <c r="I39" s="295"/>
      <c r="J39" s="295"/>
      <c r="K39" s="295"/>
      <c r="L39" s="295"/>
      <c r="M39" s="295"/>
      <c r="N39" s="295"/>
      <c r="O39" s="295"/>
      <c r="P39" s="295"/>
      <c r="Q39" s="295"/>
      <c r="R39" s="296"/>
    </row>
    <row r="40" spans="1:18" ht="24" customHeight="1" x14ac:dyDescent="0.3">
      <c r="A40" s="32" t="s">
        <v>8</v>
      </c>
      <c r="B40" s="32" t="s">
        <v>9</v>
      </c>
      <c r="C40" s="33" t="s">
        <v>10</v>
      </c>
      <c r="D40" s="32" t="s">
        <v>11</v>
      </c>
      <c r="E40" s="32" t="s">
        <v>12</v>
      </c>
      <c r="F40" s="34" t="s">
        <v>13</v>
      </c>
      <c r="G40" s="35" t="s">
        <v>14</v>
      </c>
      <c r="H40" s="32" t="s">
        <v>15</v>
      </c>
      <c r="I40" s="36" t="s">
        <v>16</v>
      </c>
      <c r="J40" s="37" t="s">
        <v>17</v>
      </c>
      <c r="K40" s="38" t="s">
        <v>18</v>
      </c>
      <c r="L40" s="37" t="s">
        <v>19</v>
      </c>
      <c r="M40" s="37" t="s">
        <v>20</v>
      </c>
      <c r="N40" s="37" t="s">
        <v>21</v>
      </c>
      <c r="O40" s="32" t="s">
        <v>22</v>
      </c>
      <c r="P40" s="33" t="s">
        <v>23</v>
      </c>
      <c r="Q40" s="37" t="s">
        <v>24</v>
      </c>
      <c r="R40" s="32" t="s">
        <v>25</v>
      </c>
    </row>
    <row r="41" spans="1:18" ht="49.95" customHeight="1" thickTop="1" thickBot="1" x14ac:dyDescent="0.35">
      <c r="A41" s="55" t="s">
        <v>77</v>
      </c>
      <c r="B41" s="55" t="s">
        <v>1458</v>
      </c>
      <c r="C41" s="56">
        <v>0.16666666666666671</v>
      </c>
      <c r="D41" s="55" t="s">
        <v>101</v>
      </c>
      <c r="E41" s="55" t="s">
        <v>96</v>
      </c>
      <c r="F41" s="55" t="s">
        <v>1305</v>
      </c>
      <c r="G41" s="304"/>
      <c r="H41" s="48" t="s">
        <v>1460</v>
      </c>
      <c r="I41" s="49">
        <v>0.96650000000000003</v>
      </c>
      <c r="J41" s="50">
        <v>173</v>
      </c>
      <c r="K41" s="51">
        <v>45980</v>
      </c>
      <c r="L41" s="50">
        <v>4</v>
      </c>
      <c r="M41" s="50">
        <v>2</v>
      </c>
      <c r="N41" s="50">
        <v>2</v>
      </c>
      <c r="O41" s="52" t="s">
        <v>698</v>
      </c>
      <c r="P41" s="53">
        <v>0.16666666666666671</v>
      </c>
      <c r="Q41" s="50">
        <v>179</v>
      </c>
      <c r="R41" s="54" t="s">
        <v>1472</v>
      </c>
    </row>
    <row r="42" spans="1:18" ht="17.399999999999999" customHeight="1" thickBot="1" x14ac:dyDescent="0.35">
      <c r="A42" s="329"/>
      <c r="B42" s="330"/>
      <c r="C42" s="330"/>
      <c r="D42" s="330"/>
      <c r="E42" s="330"/>
      <c r="F42" s="330"/>
      <c r="G42" s="330"/>
      <c r="H42" s="330"/>
      <c r="I42" s="330"/>
      <c r="J42" s="330"/>
      <c r="K42" s="330"/>
      <c r="L42" s="330"/>
      <c r="M42" s="330"/>
      <c r="N42" s="330"/>
      <c r="O42" s="330"/>
      <c r="P42" s="330"/>
      <c r="Q42" s="330"/>
      <c r="R42" s="331"/>
    </row>
    <row r="43" spans="1:18" ht="22.05" customHeight="1" thickTop="1" thickBot="1" x14ac:dyDescent="0.35">
      <c r="A43" s="300" t="s">
        <v>6</v>
      </c>
      <c r="B43" s="295"/>
      <c r="C43" s="295"/>
      <c r="D43" s="295"/>
      <c r="E43" s="295"/>
      <c r="F43" s="296"/>
      <c r="G43" s="31">
        <v>45990</v>
      </c>
      <c r="H43" s="294" t="s">
        <v>7</v>
      </c>
      <c r="I43" s="295"/>
      <c r="J43" s="295"/>
      <c r="K43" s="295"/>
      <c r="L43" s="295"/>
      <c r="M43" s="295"/>
      <c r="N43" s="295"/>
      <c r="O43" s="295"/>
      <c r="P43" s="295"/>
      <c r="Q43" s="295"/>
      <c r="R43" s="296"/>
    </row>
    <row r="44" spans="1:18" ht="24" customHeight="1" x14ac:dyDescent="0.3">
      <c r="A44" s="32" t="s">
        <v>8</v>
      </c>
      <c r="B44" s="32" t="s">
        <v>9</v>
      </c>
      <c r="C44" s="33" t="s">
        <v>10</v>
      </c>
      <c r="D44" s="32" t="s">
        <v>11</v>
      </c>
      <c r="E44" s="32" t="s">
        <v>12</v>
      </c>
      <c r="F44" s="34" t="s">
        <v>13</v>
      </c>
      <c r="G44" s="35" t="s">
        <v>14</v>
      </c>
      <c r="H44" s="32" t="s">
        <v>15</v>
      </c>
      <c r="I44" s="36" t="s">
        <v>16</v>
      </c>
      <c r="J44" s="37" t="s">
        <v>17</v>
      </c>
      <c r="K44" s="38" t="s">
        <v>18</v>
      </c>
      <c r="L44" s="37" t="s">
        <v>19</v>
      </c>
      <c r="M44" s="37" t="s">
        <v>20</v>
      </c>
      <c r="N44" s="37" t="s">
        <v>21</v>
      </c>
      <c r="O44" s="32" t="s">
        <v>22</v>
      </c>
      <c r="P44" s="33" t="s">
        <v>23</v>
      </c>
      <c r="Q44" s="37" t="s">
        <v>24</v>
      </c>
      <c r="R44" s="32" t="s">
        <v>25</v>
      </c>
    </row>
    <row r="45" spans="1:18" ht="49.95" customHeight="1" thickTop="1" thickBot="1" x14ac:dyDescent="0.5">
      <c r="A45" s="55" t="s">
        <v>77</v>
      </c>
      <c r="B45" s="55" t="s">
        <v>1458</v>
      </c>
      <c r="C45" s="56">
        <v>0.125</v>
      </c>
      <c r="D45" s="55" t="s">
        <v>101</v>
      </c>
      <c r="E45" s="55" t="s">
        <v>63</v>
      </c>
      <c r="F45" s="55" t="s">
        <v>1473</v>
      </c>
      <c r="G45" s="297"/>
      <c r="H45" s="48" t="s">
        <v>1460</v>
      </c>
      <c r="I45" s="49">
        <v>0.89939999999999998</v>
      </c>
      <c r="J45" s="50">
        <v>161</v>
      </c>
      <c r="K45" s="51">
        <v>45976</v>
      </c>
      <c r="L45" s="50">
        <v>16</v>
      </c>
      <c r="M45" s="50">
        <v>0</v>
      </c>
      <c r="N45" s="50">
        <v>0</v>
      </c>
      <c r="O45" s="52" t="s">
        <v>1474</v>
      </c>
      <c r="P45" s="53">
        <v>0.125</v>
      </c>
      <c r="Q45" s="50">
        <v>179</v>
      </c>
      <c r="R45" s="54" t="s">
        <v>1475</v>
      </c>
    </row>
    <row r="46" spans="1:18" ht="17.399999999999999" customHeight="1" thickBot="1" x14ac:dyDescent="0.35">
      <c r="A46" s="329"/>
      <c r="B46" s="330"/>
      <c r="C46" s="330"/>
      <c r="D46" s="330"/>
      <c r="E46" s="330"/>
      <c r="F46" s="330"/>
      <c r="G46" s="330"/>
      <c r="H46" s="330"/>
      <c r="I46" s="330"/>
      <c r="J46" s="330"/>
      <c r="K46" s="330"/>
      <c r="L46" s="330"/>
      <c r="M46" s="330"/>
      <c r="N46" s="330"/>
      <c r="O46" s="330"/>
      <c r="P46" s="330"/>
      <c r="Q46" s="330"/>
      <c r="R46" s="331"/>
    </row>
    <row r="47" spans="1:18" ht="22.05" customHeight="1" thickTop="1" thickBot="1" x14ac:dyDescent="0.35">
      <c r="A47" s="300" t="s">
        <v>6</v>
      </c>
      <c r="B47" s="295"/>
      <c r="C47" s="295"/>
      <c r="D47" s="295"/>
      <c r="E47" s="295"/>
      <c r="F47" s="296"/>
      <c r="G47" s="31">
        <v>45991</v>
      </c>
      <c r="H47" s="294" t="s">
        <v>7</v>
      </c>
      <c r="I47" s="295"/>
      <c r="J47" s="295"/>
      <c r="K47" s="295"/>
      <c r="L47" s="295"/>
      <c r="M47" s="295"/>
      <c r="N47" s="295"/>
      <c r="O47" s="295"/>
      <c r="P47" s="295"/>
      <c r="Q47" s="295"/>
      <c r="R47" s="296"/>
    </row>
    <row r="48" spans="1:18" ht="24" customHeight="1" x14ac:dyDescent="0.3">
      <c r="A48" s="32" t="s">
        <v>8</v>
      </c>
      <c r="B48" s="32" t="s">
        <v>9</v>
      </c>
      <c r="C48" s="33" t="s">
        <v>10</v>
      </c>
      <c r="D48" s="32" t="s">
        <v>11</v>
      </c>
      <c r="E48" s="32" t="s">
        <v>12</v>
      </c>
      <c r="F48" s="34" t="s">
        <v>13</v>
      </c>
      <c r="G48" s="35" t="s">
        <v>14</v>
      </c>
      <c r="H48" s="32" t="s">
        <v>15</v>
      </c>
      <c r="I48" s="36" t="s">
        <v>16</v>
      </c>
      <c r="J48" s="37" t="s">
        <v>17</v>
      </c>
      <c r="K48" s="38" t="s">
        <v>18</v>
      </c>
      <c r="L48" s="37" t="s">
        <v>19</v>
      </c>
      <c r="M48" s="37" t="s">
        <v>20</v>
      </c>
      <c r="N48" s="37" t="s">
        <v>21</v>
      </c>
      <c r="O48" s="32" t="s">
        <v>22</v>
      </c>
      <c r="P48" s="33" t="s">
        <v>23</v>
      </c>
      <c r="Q48" s="37" t="s">
        <v>24</v>
      </c>
      <c r="R48" s="32" t="s">
        <v>25</v>
      </c>
    </row>
    <row r="49" spans="1:18" ht="49.95" customHeight="1" x14ac:dyDescent="0.45">
      <c r="A49" s="179" t="s">
        <v>77</v>
      </c>
      <c r="B49" s="179" t="s">
        <v>1460</v>
      </c>
      <c r="C49" s="180">
        <v>0.21527777777777779</v>
      </c>
      <c r="D49" s="179" t="s">
        <v>79</v>
      </c>
      <c r="E49" s="233"/>
      <c r="F49" s="179" t="s">
        <v>80</v>
      </c>
      <c r="G49" s="297"/>
      <c r="H49" s="91" t="s">
        <v>1460</v>
      </c>
      <c r="I49" s="92">
        <v>1</v>
      </c>
      <c r="J49" s="93">
        <v>179</v>
      </c>
      <c r="K49" s="94">
        <v>45980</v>
      </c>
      <c r="L49" s="93">
        <v>10</v>
      </c>
      <c r="M49" s="93">
        <v>1</v>
      </c>
      <c r="N49" s="93">
        <v>0</v>
      </c>
      <c r="O49" s="95" t="s">
        <v>81</v>
      </c>
      <c r="P49" s="96">
        <v>0.21527777777777779</v>
      </c>
      <c r="Q49" s="93">
        <v>179</v>
      </c>
      <c r="R49" s="97" t="s">
        <v>1476</v>
      </c>
    </row>
  </sheetData>
  <mergeCells count="50">
    <mergeCell ref="G49"/>
    <mergeCell ref="A24:R24"/>
    <mergeCell ref="G15"/>
    <mergeCell ref="G36:G37"/>
    <mergeCell ref="A25:F25"/>
    <mergeCell ref="N1:R1"/>
    <mergeCell ref="A43:F43"/>
    <mergeCell ref="A20:R20"/>
    <mergeCell ref="G23"/>
    <mergeCell ref="H17:R17"/>
    <mergeCell ref="A29:R29"/>
    <mergeCell ref="A13:F13"/>
    <mergeCell ref="A38:R38"/>
    <mergeCell ref="A9:F9"/>
    <mergeCell ref="K2:R2"/>
    <mergeCell ref="A34:F34"/>
    <mergeCell ref="G19"/>
    <mergeCell ref="A30:F30"/>
    <mergeCell ref="A39:F39"/>
    <mergeCell ref="H13:R13"/>
    <mergeCell ref="G27:G28"/>
    <mergeCell ref="G6:G7"/>
    <mergeCell ref="G2:J2"/>
    <mergeCell ref="G11"/>
    <mergeCell ref="A4:F4"/>
    <mergeCell ref="A17:F17"/>
    <mergeCell ref="A8:R8"/>
    <mergeCell ref="A47:F47"/>
    <mergeCell ref="H39:R39"/>
    <mergeCell ref="H25:R25"/>
    <mergeCell ref="H34:R34"/>
    <mergeCell ref="A33:R33"/>
    <mergeCell ref="A42:R42"/>
    <mergeCell ref="H47:R47"/>
    <mergeCell ref="H30:R30"/>
    <mergeCell ref="G45"/>
    <mergeCell ref="A16:R16"/>
    <mergeCell ref="A46:R46"/>
    <mergeCell ref="H1:L1"/>
    <mergeCell ref="A1:E1"/>
    <mergeCell ref="H43:R43"/>
    <mergeCell ref="G41"/>
    <mergeCell ref="G32"/>
    <mergeCell ref="A21:F21"/>
    <mergeCell ref="H4:R4"/>
    <mergeCell ref="A12:R12"/>
    <mergeCell ref="A2:F2"/>
    <mergeCell ref="A3:R3"/>
    <mergeCell ref="H9:R9"/>
    <mergeCell ref="H21:R2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13"/>
  <sheetViews>
    <sheetView workbookViewId="0"/>
  </sheetViews>
  <sheetFormatPr defaultRowHeight="15.6" outlineLevelCol="1" x14ac:dyDescent="0.3"/>
  <cols>
    <col min="1" max="1" width="11.5546875" style="316" bestFit="1" customWidth="1"/>
    <col min="2" max="2" width="10.44140625" style="316" bestFit="1" customWidth="1"/>
    <col min="3" max="3" width="6.77734375" style="316" bestFit="1" customWidth="1"/>
    <col min="4" max="4" width="5.5546875" style="316" bestFit="1" customWidth="1"/>
    <col min="5" max="5" width="8.109375" style="316" bestFit="1" customWidth="1"/>
    <col min="6" max="6" width="4.21875" style="316" bestFit="1" customWidth="1"/>
    <col min="7" max="7" width="10" style="316" bestFit="1" customWidth="1"/>
    <col min="8" max="10" width="8.5546875"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19" width="3.88671875" style="316" bestFit="1" customWidth="1"/>
    <col min="20" max="20" width="4.44140625" style="316" bestFit="1" customWidth="1"/>
    <col min="21" max="21" width="4.5546875" style="316" bestFit="1" customWidth="1"/>
    <col min="22" max="22" width="4.21875" style="316" bestFit="1" customWidth="1"/>
    <col min="23" max="23" width="4.33203125" style="316" bestFit="1" customWidth="1"/>
    <col min="24" max="24" width="4.1093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0" width="4.5546875" style="316" bestFit="1" customWidth="1"/>
    <col min="31" max="34" width="3.88671875" style="316" bestFit="1" customWidth="1"/>
    <col min="35" max="35" width="5.21875" style="316" bestFit="1" customWidth="1"/>
    <col min="36"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1460</v>
      </c>
      <c r="D2" s="320" t="s">
        <v>615</v>
      </c>
      <c r="E2" s="319" t="s">
        <v>1457</v>
      </c>
      <c r="F2" s="319" t="s">
        <v>189</v>
      </c>
      <c r="G2" s="321">
        <v>0.89939999999999998</v>
      </c>
      <c r="H2" s="322">
        <v>179</v>
      </c>
      <c r="I2" s="322">
        <v>161</v>
      </c>
      <c r="J2" s="322">
        <v>91</v>
      </c>
      <c r="K2" s="319" t="s">
        <v>190</v>
      </c>
      <c r="L2" s="323">
        <v>45979</v>
      </c>
      <c r="M2" s="322">
        <v>0</v>
      </c>
      <c r="N2" s="322">
        <v>11</v>
      </c>
      <c r="O2" s="322">
        <v>31</v>
      </c>
      <c r="P2" s="319" t="s">
        <v>631</v>
      </c>
      <c r="Q2" s="315"/>
      <c r="R2" s="315"/>
      <c r="S2" s="315"/>
      <c r="T2" s="315"/>
      <c r="U2" s="315"/>
      <c r="V2" s="315"/>
      <c r="W2" s="315"/>
      <c r="X2" s="315"/>
      <c r="Y2" s="322" t="s">
        <v>209</v>
      </c>
      <c r="Z2" s="322" t="s">
        <v>312</v>
      </c>
      <c r="AA2" s="322" t="s">
        <v>1477</v>
      </c>
      <c r="AB2" s="322" t="s">
        <v>309</v>
      </c>
      <c r="AC2" s="322" t="s">
        <v>879</v>
      </c>
      <c r="AD2" s="322" t="s">
        <v>873</v>
      </c>
      <c r="AE2" s="315"/>
      <c r="AF2" s="315"/>
      <c r="AG2" s="315"/>
      <c r="AH2" s="315"/>
      <c r="AI2" s="322" t="s">
        <v>1478</v>
      </c>
      <c r="AJ2" s="315"/>
    </row>
    <row r="3" spans="1:36" x14ac:dyDescent="0.3">
      <c r="A3" s="317" t="s">
        <v>606</v>
      </c>
      <c r="B3" s="318">
        <v>45982</v>
      </c>
      <c r="C3" s="319" t="s">
        <v>1460</v>
      </c>
      <c r="D3" s="320" t="s">
        <v>963</v>
      </c>
      <c r="E3" s="319" t="s">
        <v>1457</v>
      </c>
      <c r="F3" s="319" t="s">
        <v>189</v>
      </c>
      <c r="G3" s="321">
        <v>0.81559999999999999</v>
      </c>
      <c r="H3" s="322">
        <v>179</v>
      </c>
      <c r="I3" s="322">
        <v>146</v>
      </c>
      <c r="J3" s="322">
        <v>41</v>
      </c>
      <c r="K3" s="319" t="s">
        <v>190</v>
      </c>
      <c r="L3" s="323">
        <v>45980</v>
      </c>
      <c r="M3" s="322">
        <v>2</v>
      </c>
      <c r="N3" s="322">
        <v>4</v>
      </c>
      <c r="O3" s="322">
        <v>48</v>
      </c>
      <c r="P3" s="319" t="s">
        <v>381</v>
      </c>
      <c r="Q3" s="315"/>
      <c r="R3" s="315"/>
      <c r="S3" s="315"/>
      <c r="T3" s="315"/>
      <c r="U3" s="315"/>
      <c r="V3" s="315"/>
      <c r="W3" s="315"/>
      <c r="X3" s="322" t="s">
        <v>224</v>
      </c>
      <c r="Y3" s="322" t="s">
        <v>726</v>
      </c>
      <c r="Z3" s="322" t="s">
        <v>708</v>
      </c>
      <c r="AA3" s="322" t="s">
        <v>1479</v>
      </c>
      <c r="AB3" s="322" t="s">
        <v>691</v>
      </c>
      <c r="AC3" s="322" t="s">
        <v>330</v>
      </c>
      <c r="AD3" s="322" t="s">
        <v>1480</v>
      </c>
      <c r="AE3" s="315"/>
      <c r="AF3" s="315"/>
      <c r="AG3" s="315"/>
      <c r="AH3" s="315"/>
      <c r="AI3" s="322" t="s">
        <v>614</v>
      </c>
      <c r="AJ3" s="315"/>
    </row>
    <row r="4" spans="1:36" x14ac:dyDescent="0.3">
      <c r="A4" s="317" t="s">
        <v>199</v>
      </c>
      <c r="B4" s="318">
        <v>45983</v>
      </c>
      <c r="C4" s="319" t="s">
        <v>1460</v>
      </c>
      <c r="D4" s="320" t="s">
        <v>1481</v>
      </c>
      <c r="E4" s="319" t="s">
        <v>1457</v>
      </c>
      <c r="F4" s="319" t="s">
        <v>189</v>
      </c>
      <c r="G4" s="321">
        <v>1</v>
      </c>
      <c r="H4" s="322">
        <v>179</v>
      </c>
      <c r="I4" s="322">
        <v>179</v>
      </c>
      <c r="J4" s="322">
        <v>146</v>
      </c>
      <c r="K4" s="319" t="s">
        <v>190</v>
      </c>
      <c r="L4" s="323">
        <v>45978</v>
      </c>
      <c r="M4" s="322">
        <v>0</v>
      </c>
      <c r="N4" s="322">
        <v>0</v>
      </c>
      <c r="O4" s="322">
        <v>10</v>
      </c>
      <c r="P4" s="319" t="s">
        <v>81</v>
      </c>
      <c r="Q4" s="315"/>
      <c r="R4" s="315"/>
      <c r="S4" s="315"/>
      <c r="T4" s="315"/>
      <c r="U4" s="315"/>
      <c r="V4" s="315"/>
      <c r="W4" s="322" t="s">
        <v>1482</v>
      </c>
      <c r="X4" s="315"/>
      <c r="Y4" s="315"/>
      <c r="Z4" s="322" t="s">
        <v>376</v>
      </c>
      <c r="AA4" s="322" t="s">
        <v>644</v>
      </c>
      <c r="AB4" s="322" t="s">
        <v>304</v>
      </c>
      <c r="AC4" s="322" t="s">
        <v>627</v>
      </c>
      <c r="AD4" s="315"/>
      <c r="AE4" s="315"/>
      <c r="AF4" s="315"/>
      <c r="AG4" s="315"/>
      <c r="AH4" s="315"/>
      <c r="AI4" s="322" t="s">
        <v>1483</v>
      </c>
      <c r="AJ4" s="322" t="s">
        <v>605</v>
      </c>
    </row>
    <row r="5" spans="1:36" x14ac:dyDescent="0.3">
      <c r="A5" s="317" t="s">
        <v>203</v>
      </c>
      <c r="B5" s="318">
        <v>45984</v>
      </c>
      <c r="C5" s="319" t="s">
        <v>1460</v>
      </c>
      <c r="D5" s="320" t="s">
        <v>1484</v>
      </c>
      <c r="E5" s="319" t="s">
        <v>1457</v>
      </c>
      <c r="F5" s="319" t="s">
        <v>189</v>
      </c>
      <c r="G5" s="321">
        <v>1</v>
      </c>
      <c r="H5" s="322">
        <v>179</v>
      </c>
      <c r="I5" s="322">
        <v>179</v>
      </c>
      <c r="J5" s="322">
        <v>125</v>
      </c>
      <c r="K5" s="319" t="s">
        <v>190</v>
      </c>
      <c r="L5" s="323">
        <v>45979</v>
      </c>
      <c r="M5" s="322">
        <v>0</v>
      </c>
      <c r="N5" s="322">
        <v>4</v>
      </c>
      <c r="O5" s="322">
        <v>53</v>
      </c>
      <c r="P5" s="319" t="s">
        <v>81</v>
      </c>
      <c r="Q5" s="315"/>
      <c r="R5" s="315"/>
      <c r="S5" s="315"/>
      <c r="T5" s="315"/>
      <c r="U5" s="322" t="s">
        <v>542</v>
      </c>
      <c r="V5" s="315"/>
      <c r="W5" s="315"/>
      <c r="X5" s="322" t="s">
        <v>1332</v>
      </c>
      <c r="Y5" s="322" t="s">
        <v>381</v>
      </c>
      <c r="Z5" s="322" t="s">
        <v>372</v>
      </c>
      <c r="AA5" s="322" t="s">
        <v>644</v>
      </c>
      <c r="AB5" s="322" t="s">
        <v>287</v>
      </c>
      <c r="AC5" s="322" t="s">
        <v>280</v>
      </c>
      <c r="AD5" s="322" t="s">
        <v>655</v>
      </c>
      <c r="AE5" s="315"/>
      <c r="AF5" s="315"/>
      <c r="AG5" s="315"/>
      <c r="AH5" s="315"/>
      <c r="AI5" s="322" t="s">
        <v>289</v>
      </c>
      <c r="AJ5" s="315"/>
    </row>
    <row r="6" spans="1:36" x14ac:dyDescent="0.3">
      <c r="A6" s="317" t="s">
        <v>207</v>
      </c>
      <c r="B6" s="318">
        <v>45985</v>
      </c>
      <c r="C6" s="319" t="s">
        <v>1460</v>
      </c>
      <c r="D6" s="320" t="s">
        <v>963</v>
      </c>
      <c r="E6" s="319" t="s">
        <v>1457</v>
      </c>
      <c r="F6" s="319" t="s">
        <v>189</v>
      </c>
      <c r="G6" s="321">
        <v>1</v>
      </c>
      <c r="H6" s="322">
        <v>179</v>
      </c>
      <c r="I6" s="322">
        <v>179</v>
      </c>
      <c r="J6" s="322">
        <v>143</v>
      </c>
      <c r="K6" s="319" t="s">
        <v>190</v>
      </c>
      <c r="L6" s="323">
        <v>45980</v>
      </c>
      <c r="M6" s="322">
        <v>1</v>
      </c>
      <c r="N6" s="322">
        <v>0</v>
      </c>
      <c r="O6" s="322">
        <v>5</v>
      </c>
      <c r="P6" s="319" t="s">
        <v>81</v>
      </c>
      <c r="Q6" s="315"/>
      <c r="R6" s="315"/>
      <c r="S6" s="315"/>
      <c r="T6" s="315"/>
      <c r="U6" s="315"/>
      <c r="V6" s="315"/>
      <c r="W6" s="315"/>
      <c r="X6" s="315"/>
      <c r="Y6" s="315"/>
      <c r="Z6" s="322" t="s">
        <v>368</v>
      </c>
      <c r="AA6" s="322" t="s">
        <v>586</v>
      </c>
      <c r="AB6" s="322" t="s">
        <v>587</v>
      </c>
      <c r="AC6" s="322" t="s">
        <v>193</v>
      </c>
      <c r="AD6" s="315"/>
      <c r="AE6" s="315"/>
      <c r="AF6" s="315"/>
      <c r="AG6" s="315"/>
      <c r="AH6" s="315"/>
      <c r="AI6" s="322" t="s">
        <v>1485</v>
      </c>
      <c r="AJ6" s="315"/>
    </row>
    <row r="7" spans="1:36" x14ac:dyDescent="0.3">
      <c r="A7" s="317" t="s">
        <v>213</v>
      </c>
      <c r="B7" s="318">
        <v>45986</v>
      </c>
      <c r="C7" s="319" t="s">
        <v>1460</v>
      </c>
      <c r="D7" s="320" t="s">
        <v>1486</v>
      </c>
      <c r="E7" s="319" t="s">
        <v>1457</v>
      </c>
      <c r="F7" s="319" t="s">
        <v>189</v>
      </c>
      <c r="G7" s="321">
        <v>1</v>
      </c>
      <c r="H7" s="322">
        <v>179</v>
      </c>
      <c r="I7" s="322">
        <v>179</v>
      </c>
      <c r="J7" s="322">
        <v>115</v>
      </c>
      <c r="K7" s="319" t="s">
        <v>190</v>
      </c>
      <c r="L7" s="323">
        <v>45979</v>
      </c>
      <c r="M7" s="322">
        <v>0</v>
      </c>
      <c r="N7" s="322">
        <v>1</v>
      </c>
      <c r="O7" s="322">
        <v>27</v>
      </c>
      <c r="P7" s="319" t="s">
        <v>81</v>
      </c>
      <c r="Q7" s="315"/>
      <c r="R7" s="315"/>
      <c r="S7" s="315"/>
      <c r="T7" s="315"/>
      <c r="U7" s="315"/>
      <c r="V7" s="315"/>
      <c r="W7" s="315"/>
      <c r="X7" s="322" t="s">
        <v>1329</v>
      </c>
      <c r="Y7" s="322" t="s">
        <v>1487</v>
      </c>
      <c r="Z7" s="322" t="s">
        <v>1488</v>
      </c>
      <c r="AA7" s="322" t="s">
        <v>644</v>
      </c>
      <c r="AB7" s="322" t="s">
        <v>596</v>
      </c>
      <c r="AC7" s="322" t="s">
        <v>280</v>
      </c>
      <c r="AD7" s="315"/>
      <c r="AE7" s="315"/>
      <c r="AF7" s="315"/>
      <c r="AG7" s="315"/>
      <c r="AH7" s="315"/>
      <c r="AI7" s="322" t="s">
        <v>685</v>
      </c>
      <c r="AJ7" s="315"/>
    </row>
    <row r="8" spans="1:36" x14ac:dyDescent="0.3">
      <c r="A8" s="317" t="s">
        <v>290</v>
      </c>
      <c r="B8" s="318">
        <v>45987</v>
      </c>
      <c r="C8" s="319" t="s">
        <v>1460</v>
      </c>
      <c r="D8" s="320" t="s">
        <v>1489</v>
      </c>
      <c r="E8" s="319" t="s">
        <v>1457</v>
      </c>
      <c r="F8" s="319" t="s">
        <v>189</v>
      </c>
      <c r="G8" s="321">
        <v>0.99439999999999995</v>
      </c>
      <c r="H8" s="322">
        <v>179</v>
      </c>
      <c r="I8" s="322">
        <v>178</v>
      </c>
      <c r="J8" s="322">
        <v>92</v>
      </c>
      <c r="K8" s="319" t="s">
        <v>190</v>
      </c>
      <c r="L8" s="323">
        <v>45980</v>
      </c>
      <c r="M8" s="322">
        <v>1</v>
      </c>
      <c r="N8" s="322">
        <v>1</v>
      </c>
      <c r="O8" s="322">
        <v>42</v>
      </c>
      <c r="P8" s="319" t="s">
        <v>224</v>
      </c>
      <c r="Q8" s="315"/>
      <c r="R8" s="315"/>
      <c r="S8" s="315"/>
      <c r="T8" s="315"/>
      <c r="U8" s="315"/>
      <c r="V8" s="322" t="s">
        <v>877</v>
      </c>
      <c r="W8" s="322" t="s">
        <v>1482</v>
      </c>
      <c r="X8" s="322" t="s">
        <v>1490</v>
      </c>
      <c r="Y8" s="322" t="s">
        <v>1487</v>
      </c>
      <c r="Z8" s="322" t="s">
        <v>494</v>
      </c>
      <c r="AA8" s="322" t="s">
        <v>744</v>
      </c>
      <c r="AB8" s="322" t="s">
        <v>618</v>
      </c>
      <c r="AC8" s="322" t="s">
        <v>193</v>
      </c>
      <c r="AD8" s="315"/>
      <c r="AE8" s="315"/>
      <c r="AF8" s="315"/>
      <c r="AG8" s="315"/>
      <c r="AH8" s="315"/>
      <c r="AI8" s="322" t="s">
        <v>589</v>
      </c>
      <c r="AJ8" s="315"/>
    </row>
    <row r="9" spans="1:36" x14ac:dyDescent="0.3">
      <c r="A9" s="317" t="s">
        <v>187</v>
      </c>
      <c r="B9" s="318">
        <v>45988</v>
      </c>
      <c r="C9" s="319" t="s">
        <v>1460</v>
      </c>
      <c r="D9" s="320" t="s">
        <v>615</v>
      </c>
      <c r="E9" s="319" t="s">
        <v>1457</v>
      </c>
      <c r="F9" s="319" t="s">
        <v>189</v>
      </c>
      <c r="G9" s="321">
        <v>1</v>
      </c>
      <c r="H9" s="322">
        <v>179</v>
      </c>
      <c r="I9" s="322">
        <v>179</v>
      </c>
      <c r="J9" s="322">
        <v>135</v>
      </c>
      <c r="K9" s="319" t="s">
        <v>190</v>
      </c>
      <c r="L9" s="323">
        <v>45975</v>
      </c>
      <c r="M9" s="322">
        <v>0</v>
      </c>
      <c r="N9" s="322">
        <v>0</v>
      </c>
      <c r="O9" s="322">
        <v>1</v>
      </c>
      <c r="P9" s="319" t="s">
        <v>81</v>
      </c>
      <c r="Q9" s="315"/>
      <c r="R9" s="315"/>
      <c r="S9" s="315"/>
      <c r="T9" s="315"/>
      <c r="U9" s="322" t="s">
        <v>542</v>
      </c>
      <c r="V9" s="315"/>
      <c r="W9" s="322" t="s">
        <v>103</v>
      </c>
      <c r="X9" s="322" t="s">
        <v>1491</v>
      </c>
      <c r="Y9" s="322" t="s">
        <v>1487</v>
      </c>
      <c r="Z9" s="322" t="s">
        <v>733</v>
      </c>
      <c r="AA9" s="322" t="s">
        <v>450</v>
      </c>
      <c r="AB9" s="322" t="s">
        <v>596</v>
      </c>
      <c r="AC9" s="322" t="s">
        <v>280</v>
      </c>
      <c r="AD9" s="315"/>
      <c r="AE9" s="315"/>
      <c r="AF9" s="315"/>
      <c r="AG9" s="315"/>
      <c r="AH9" s="315"/>
      <c r="AI9" s="322" t="s">
        <v>229</v>
      </c>
      <c r="AJ9" s="315"/>
    </row>
    <row r="10" spans="1:36" x14ac:dyDescent="0.3">
      <c r="A10" s="317" t="s">
        <v>606</v>
      </c>
      <c r="B10" s="318">
        <v>45989</v>
      </c>
      <c r="C10" s="319" t="s">
        <v>1460</v>
      </c>
      <c r="D10" s="320" t="s">
        <v>963</v>
      </c>
      <c r="E10" s="319" t="s">
        <v>1457</v>
      </c>
      <c r="F10" s="319" t="s">
        <v>189</v>
      </c>
      <c r="G10" s="321">
        <v>0.96650000000000003</v>
      </c>
      <c r="H10" s="322">
        <v>179</v>
      </c>
      <c r="I10" s="322">
        <v>173</v>
      </c>
      <c r="J10" s="322">
        <v>80</v>
      </c>
      <c r="K10" s="319" t="s">
        <v>190</v>
      </c>
      <c r="L10" s="323">
        <v>45980</v>
      </c>
      <c r="M10" s="322">
        <v>2</v>
      </c>
      <c r="N10" s="322">
        <v>2</v>
      </c>
      <c r="O10" s="322">
        <v>4</v>
      </c>
      <c r="P10" s="319" t="s">
        <v>698</v>
      </c>
      <c r="Q10" s="315"/>
      <c r="R10" s="315"/>
      <c r="S10" s="315"/>
      <c r="T10" s="315"/>
      <c r="U10" s="322" t="s">
        <v>250</v>
      </c>
      <c r="V10" s="322" t="s">
        <v>1492</v>
      </c>
      <c r="W10" s="322" t="s">
        <v>1493</v>
      </c>
      <c r="X10" s="322" t="s">
        <v>737</v>
      </c>
      <c r="Y10" s="322" t="s">
        <v>1487</v>
      </c>
      <c r="Z10" s="322" t="s">
        <v>1488</v>
      </c>
      <c r="AA10" s="322" t="s">
        <v>644</v>
      </c>
      <c r="AB10" s="322" t="s">
        <v>596</v>
      </c>
      <c r="AC10" s="322" t="s">
        <v>280</v>
      </c>
      <c r="AD10" s="315"/>
      <c r="AE10" s="315"/>
      <c r="AF10" s="315"/>
      <c r="AG10" s="315"/>
      <c r="AH10" s="315"/>
      <c r="AI10" s="322" t="s">
        <v>641</v>
      </c>
      <c r="AJ10" s="315"/>
    </row>
    <row r="11" spans="1:36" x14ac:dyDescent="0.3">
      <c r="A11" s="317" t="s">
        <v>199</v>
      </c>
      <c r="B11" s="318">
        <v>45990</v>
      </c>
      <c r="C11" s="319" t="s">
        <v>1460</v>
      </c>
      <c r="D11" s="320" t="s">
        <v>1481</v>
      </c>
      <c r="E11" s="319" t="s">
        <v>1457</v>
      </c>
      <c r="F11" s="319" t="s">
        <v>189</v>
      </c>
      <c r="G11" s="321">
        <v>0.89939999999999998</v>
      </c>
      <c r="H11" s="322">
        <v>179</v>
      </c>
      <c r="I11" s="322">
        <v>161</v>
      </c>
      <c r="J11" s="322">
        <v>45</v>
      </c>
      <c r="K11" s="319" t="s">
        <v>190</v>
      </c>
      <c r="L11" s="323">
        <v>45976</v>
      </c>
      <c r="M11" s="322">
        <v>0</v>
      </c>
      <c r="N11" s="322">
        <v>0</v>
      </c>
      <c r="O11" s="322">
        <v>16</v>
      </c>
      <c r="P11" s="319" t="s">
        <v>1474</v>
      </c>
      <c r="Q11" s="315"/>
      <c r="R11" s="322" t="s">
        <v>1494</v>
      </c>
      <c r="S11" s="322" t="s">
        <v>1495</v>
      </c>
      <c r="T11" s="322" t="s">
        <v>1339</v>
      </c>
      <c r="U11" s="322" t="s">
        <v>1496</v>
      </c>
      <c r="V11" s="322" t="s">
        <v>1340</v>
      </c>
      <c r="W11" s="322" t="s">
        <v>1405</v>
      </c>
      <c r="X11" s="322" t="s">
        <v>714</v>
      </c>
      <c r="Y11" s="322" t="s">
        <v>1487</v>
      </c>
      <c r="Z11" s="322" t="s">
        <v>494</v>
      </c>
      <c r="AA11" s="322" t="s">
        <v>644</v>
      </c>
      <c r="AB11" s="322" t="s">
        <v>596</v>
      </c>
      <c r="AC11" s="322" t="s">
        <v>654</v>
      </c>
      <c r="AD11" s="315"/>
      <c r="AE11" s="315"/>
      <c r="AF11" s="315"/>
      <c r="AG11" s="315"/>
      <c r="AH11" s="315"/>
      <c r="AI11" s="322" t="s">
        <v>321</v>
      </c>
      <c r="AJ11" s="315"/>
    </row>
    <row r="12" spans="1:36" x14ac:dyDescent="0.3">
      <c r="A12" s="317" t="s">
        <v>203</v>
      </c>
      <c r="B12" s="318">
        <v>45991</v>
      </c>
      <c r="C12" s="319" t="s">
        <v>1460</v>
      </c>
      <c r="D12" s="320" t="s">
        <v>1484</v>
      </c>
      <c r="E12" s="319" t="s">
        <v>1457</v>
      </c>
      <c r="F12" s="319" t="s">
        <v>189</v>
      </c>
      <c r="G12" s="321">
        <v>1</v>
      </c>
      <c r="H12" s="322">
        <v>179</v>
      </c>
      <c r="I12" s="322">
        <v>179</v>
      </c>
      <c r="J12" s="322">
        <v>90</v>
      </c>
      <c r="K12" s="319" t="s">
        <v>190</v>
      </c>
      <c r="L12" s="323">
        <v>45980</v>
      </c>
      <c r="M12" s="322">
        <v>1</v>
      </c>
      <c r="N12" s="322">
        <v>0</v>
      </c>
      <c r="O12" s="322">
        <v>10</v>
      </c>
      <c r="P12" s="319" t="s">
        <v>81</v>
      </c>
      <c r="Q12" s="315"/>
      <c r="R12" s="315"/>
      <c r="S12" s="315"/>
      <c r="T12" s="315"/>
      <c r="U12" s="315"/>
      <c r="V12" s="315"/>
      <c r="W12" s="322" t="s">
        <v>731</v>
      </c>
      <c r="X12" s="322" t="s">
        <v>887</v>
      </c>
      <c r="Y12" s="322" t="s">
        <v>741</v>
      </c>
      <c r="Z12" s="322" t="s">
        <v>1497</v>
      </c>
      <c r="AA12" s="322" t="s">
        <v>1368</v>
      </c>
      <c r="AB12" s="322" t="s">
        <v>596</v>
      </c>
      <c r="AC12" s="322" t="s">
        <v>280</v>
      </c>
      <c r="AD12" s="315"/>
      <c r="AE12" s="315"/>
      <c r="AF12" s="315"/>
      <c r="AG12" s="315"/>
      <c r="AH12" s="315"/>
      <c r="AI12" s="322" t="s">
        <v>223</v>
      </c>
      <c r="AJ12" s="315"/>
    </row>
    <row r="13" spans="1:36" ht="21" x14ac:dyDescent="0.3">
      <c r="A13" s="324" t="s">
        <v>1638</v>
      </c>
      <c r="B13" s="325"/>
      <c r="C13" s="324">
        <f>SUBTOTAL(103,CAI_YNB_LF_LEGACY[Flt])</f>
        <v>11</v>
      </c>
      <c r="D13" s="324"/>
      <c r="E13" s="324">
        <f>SUBTOTAL(103,CAI_YNB_LF_LEGACY[Brd-Off])</f>
        <v>11</v>
      </c>
      <c r="F13" s="324"/>
      <c r="G13" s="326">
        <f>SUBTOTAL(101,CAI_YNB_LF_LEGACY[LF%])</f>
        <v>0.96139090909090907</v>
      </c>
      <c r="H13" s="327">
        <f>SUBTOTAL(109,CAI_YNB_LF_LEGACY[CAP])</f>
        <v>1969</v>
      </c>
      <c r="I13" s="327">
        <f>SUBTOTAL(109,CAI_YNB_LF_LEGACY[BKG(Y)])</f>
        <v>1893</v>
      </c>
      <c r="J13" s="327">
        <f>SUBTOTAL(109,CAI_YNB_LF_LEGACY[GRP(Y)])</f>
        <v>1103</v>
      </c>
      <c r="K13" s="324"/>
      <c r="L13" s="325"/>
      <c r="M13" s="327">
        <f>SUBTOTAL(109,CAI_YNB_LF_LEGACY[TO-DAY])</f>
        <v>7</v>
      </c>
      <c r="N13" s="327">
        <f>SUBTOTAL(109,CAI_YNB_LF_LEGACY[Y-DAY])</f>
        <v>23</v>
      </c>
      <c r="O13" s="327">
        <f>SUBTOTAL(109,CAI_YNB_LF_LEGACY[WEEKLY])</f>
        <v>247</v>
      </c>
      <c r="P13" s="328"/>
      <c r="Q13" s="327">
        <f>SUBTOTAL(109,CAI_YNB_LF_LEGACY[Y])</f>
        <v>0</v>
      </c>
      <c r="R13" s="327">
        <f>SUBTOTAL(109,CAI_YNB_LF_LEGACY[B])</f>
        <v>0</v>
      </c>
      <c r="S13" s="327">
        <f>SUBTOTAL(109,CAI_YNB_LF_LEGACY[M])</f>
        <v>0</v>
      </c>
      <c r="T13" s="327">
        <f>SUBTOTAL(109,CAI_YNB_LF_LEGACY[H])</f>
        <v>0</v>
      </c>
      <c r="U13" s="327">
        <f>SUBTOTAL(109,CAI_YNB_LF_LEGACY[Q])</f>
        <v>0</v>
      </c>
      <c r="V13" s="327">
        <f>SUBTOTAL(109,CAI_YNB_LF_LEGACY[K])</f>
        <v>0</v>
      </c>
      <c r="W13" s="327">
        <f>SUBTOTAL(109,CAI_YNB_LF_LEGACY[V])</f>
        <v>0</v>
      </c>
      <c r="X13" s="327">
        <f>SUBTOTAL(109,CAI_YNB_LF_LEGACY[L])</f>
        <v>0</v>
      </c>
      <c r="Y13" s="327">
        <f>SUBTOTAL(109,CAI_YNB_LF_LEGACY[G])</f>
        <v>0</v>
      </c>
      <c r="Z13" s="327">
        <f>SUBTOTAL(109,CAI_YNB_LF_LEGACY[S])</f>
        <v>0</v>
      </c>
      <c r="AA13" s="327">
        <f>SUBTOTAL(109,CAI_YNB_LF_LEGACY[W])</f>
        <v>0</v>
      </c>
      <c r="AB13" s="327">
        <f>SUBTOTAL(109,CAI_YNB_LF_LEGACY[T])</f>
        <v>0</v>
      </c>
      <c r="AC13" s="327">
        <f>SUBTOTAL(109,CAI_YNB_LF_LEGACY[X])</f>
        <v>0</v>
      </c>
      <c r="AD13" s="327">
        <f>SUBTOTAL(109,CAI_YNB_LF_LEGACY[U])</f>
        <v>0</v>
      </c>
      <c r="AE13" s="327">
        <f>SUBTOTAL(109,CAI_YNB_LF_LEGACY[O])</f>
        <v>0</v>
      </c>
      <c r="AF13" s="327">
        <f>SUBTOTAL(109,CAI_YNB_LF_LEGACY[I])</f>
        <v>0</v>
      </c>
      <c r="AG13" s="327">
        <f>SUBTOTAL(109,CAI_YNB_LF_LEGACY[E])</f>
        <v>0</v>
      </c>
      <c r="AH13" s="327">
        <f>SUBTOTAL(109,CAI_YNB_LF_LEGACY[A])</f>
        <v>0</v>
      </c>
      <c r="AI13" s="327">
        <f>SUBTOTAL(109,CAI_YNB_LF_LEGACY[P])</f>
        <v>0</v>
      </c>
      <c r="AJ13" s="327">
        <f>SUBTOTAL(103,CAI_YNB_LF_LEGACY[N])</f>
        <v>1</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5"/>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11.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74" t="s">
        <v>235</v>
      </c>
      <c r="B2" s="121" t="s">
        <v>77</v>
      </c>
      <c r="C2" s="122" t="s">
        <v>1458</v>
      </c>
      <c r="D2" s="121" t="s">
        <v>1457</v>
      </c>
      <c r="E2" s="121" t="s">
        <v>615</v>
      </c>
      <c r="F2" s="121" t="s">
        <v>101</v>
      </c>
      <c r="G2" s="124">
        <v>8</v>
      </c>
      <c r="H2" s="125" t="s">
        <v>1459</v>
      </c>
    </row>
    <row r="3" spans="1:8" ht="19.8" customHeight="1" x14ac:dyDescent="0.3">
      <c r="A3" s="114">
        <v>45981</v>
      </c>
      <c r="B3" s="115" t="s">
        <v>385</v>
      </c>
      <c r="C3" s="116" t="s">
        <v>1462</v>
      </c>
      <c r="D3" s="115" t="s">
        <v>1457</v>
      </c>
      <c r="E3" s="117">
        <v>1.020833333333333</v>
      </c>
      <c r="F3" s="115" t="s">
        <v>101</v>
      </c>
      <c r="G3" s="118">
        <v>3</v>
      </c>
      <c r="H3" s="119" t="s">
        <v>1463</v>
      </c>
    </row>
    <row r="4" spans="1:8" ht="19.8" customHeight="1" x14ac:dyDescent="0.3">
      <c r="A4" s="126">
        <v>45982</v>
      </c>
      <c r="B4" s="109" t="s">
        <v>77</v>
      </c>
      <c r="C4" s="110" t="s">
        <v>1458</v>
      </c>
      <c r="D4" s="109" t="s">
        <v>1457</v>
      </c>
      <c r="E4" s="127">
        <v>1.166666666666667</v>
      </c>
      <c r="F4" s="109" t="s">
        <v>101</v>
      </c>
      <c r="G4" s="128">
        <v>9</v>
      </c>
      <c r="H4" s="111" t="s">
        <v>1464</v>
      </c>
    </row>
    <row r="5" spans="1:8" ht="19.8" customHeight="1" x14ac:dyDescent="0.3">
      <c r="A5" s="126">
        <v>45983</v>
      </c>
      <c r="B5" s="109" t="s">
        <v>77</v>
      </c>
      <c r="C5" s="110" t="s">
        <v>1458</v>
      </c>
      <c r="D5" s="109" t="s">
        <v>1457</v>
      </c>
      <c r="E5" s="127">
        <v>1.125</v>
      </c>
      <c r="F5" s="109"/>
      <c r="G5" s="109"/>
      <c r="H5" s="111" t="s">
        <v>80</v>
      </c>
    </row>
    <row r="6" spans="1:8" ht="19.8" customHeight="1" x14ac:dyDescent="0.3">
      <c r="A6" s="126">
        <v>45984</v>
      </c>
      <c r="B6" s="109" t="s">
        <v>77</v>
      </c>
      <c r="C6" s="110" t="s">
        <v>1458</v>
      </c>
      <c r="D6" s="109" t="s">
        <v>1457</v>
      </c>
      <c r="E6" s="127">
        <v>1.2152777777777779</v>
      </c>
      <c r="F6" s="109"/>
      <c r="G6" s="109"/>
      <c r="H6" s="111" t="s">
        <v>80</v>
      </c>
    </row>
    <row r="7" spans="1:8" ht="19.8" customHeight="1" x14ac:dyDescent="0.3">
      <c r="A7" s="126">
        <v>45985</v>
      </c>
      <c r="B7" s="109" t="s">
        <v>77</v>
      </c>
      <c r="C7" s="110" t="s">
        <v>1458</v>
      </c>
      <c r="D7" s="109" t="s">
        <v>1457</v>
      </c>
      <c r="E7" s="127">
        <v>1.166666666666667</v>
      </c>
      <c r="F7" s="109"/>
      <c r="G7" s="109"/>
      <c r="H7" s="111" t="s">
        <v>80</v>
      </c>
    </row>
    <row r="8" spans="1:8" ht="19.8" customHeight="1" x14ac:dyDescent="0.3">
      <c r="A8" s="112">
        <v>45986</v>
      </c>
      <c r="B8" s="104" t="s">
        <v>385</v>
      </c>
      <c r="C8" s="105" t="s">
        <v>1462</v>
      </c>
      <c r="D8" s="104" t="s">
        <v>1457</v>
      </c>
      <c r="E8" s="113">
        <v>1.020833333333333</v>
      </c>
      <c r="F8" s="104" t="s">
        <v>101</v>
      </c>
      <c r="G8" s="106">
        <v>7</v>
      </c>
      <c r="H8" s="107" t="s">
        <v>437</v>
      </c>
    </row>
    <row r="9" spans="1:8" ht="19.8" customHeight="1" x14ac:dyDescent="0.3">
      <c r="A9" s="126">
        <v>45986</v>
      </c>
      <c r="B9" s="109" t="s">
        <v>77</v>
      </c>
      <c r="C9" s="110" t="s">
        <v>1460</v>
      </c>
      <c r="D9" s="109" t="s">
        <v>1457</v>
      </c>
      <c r="E9" s="127">
        <v>1.833333333333333</v>
      </c>
      <c r="F9" s="109" t="s">
        <v>79</v>
      </c>
      <c r="G9" s="109"/>
      <c r="H9" s="111" t="s">
        <v>80</v>
      </c>
    </row>
    <row r="10" spans="1:8" ht="19.8" customHeight="1" x14ac:dyDescent="0.3">
      <c r="A10" s="126">
        <v>45987</v>
      </c>
      <c r="B10" s="109" t="s">
        <v>77</v>
      </c>
      <c r="C10" s="110" t="s">
        <v>1458</v>
      </c>
      <c r="D10" s="109" t="s">
        <v>1457</v>
      </c>
      <c r="E10" s="127">
        <v>1.8263888888888891</v>
      </c>
      <c r="F10" s="109" t="s">
        <v>101</v>
      </c>
      <c r="G10" s="128">
        <v>1</v>
      </c>
      <c r="H10" s="111" t="s">
        <v>567</v>
      </c>
    </row>
    <row r="11" spans="1:8" ht="19.8" customHeight="1" x14ac:dyDescent="0.3">
      <c r="A11" s="112">
        <v>45988</v>
      </c>
      <c r="B11" s="104" t="s">
        <v>385</v>
      </c>
      <c r="C11" s="105" t="s">
        <v>1462</v>
      </c>
      <c r="D11" s="104" t="s">
        <v>1457</v>
      </c>
      <c r="E11" s="113">
        <v>1.020833333333333</v>
      </c>
      <c r="F11" s="104" t="s">
        <v>101</v>
      </c>
      <c r="G11" s="106">
        <v>3</v>
      </c>
      <c r="H11" s="107" t="s">
        <v>437</v>
      </c>
    </row>
    <row r="12" spans="1:8" ht="19.8" customHeight="1" x14ac:dyDescent="0.3">
      <c r="A12" s="126">
        <v>45988</v>
      </c>
      <c r="B12" s="109" t="s">
        <v>77</v>
      </c>
      <c r="C12" s="110" t="s">
        <v>1460</v>
      </c>
      <c r="D12" s="109" t="s">
        <v>1457</v>
      </c>
      <c r="E12" s="127">
        <v>1.4375</v>
      </c>
      <c r="F12" s="109" t="s">
        <v>79</v>
      </c>
      <c r="G12" s="109"/>
      <c r="H12" s="111" t="s">
        <v>80</v>
      </c>
    </row>
    <row r="13" spans="1:8" ht="19.8" customHeight="1" x14ac:dyDescent="0.3">
      <c r="A13" s="126">
        <v>45989</v>
      </c>
      <c r="B13" s="109" t="s">
        <v>77</v>
      </c>
      <c r="C13" s="110" t="s">
        <v>1458</v>
      </c>
      <c r="D13" s="109" t="s">
        <v>1457</v>
      </c>
      <c r="E13" s="127">
        <v>1.166666666666667</v>
      </c>
      <c r="F13" s="109" t="s">
        <v>101</v>
      </c>
      <c r="G13" s="128">
        <v>6</v>
      </c>
      <c r="H13" s="111" t="s">
        <v>1305</v>
      </c>
    </row>
    <row r="14" spans="1:8" ht="19.8" customHeight="1" x14ac:dyDescent="0.3">
      <c r="A14" s="126">
        <v>45990</v>
      </c>
      <c r="B14" s="109" t="s">
        <v>77</v>
      </c>
      <c r="C14" s="110" t="s">
        <v>1458</v>
      </c>
      <c r="D14" s="109" t="s">
        <v>1457</v>
      </c>
      <c r="E14" s="127">
        <v>1.125</v>
      </c>
      <c r="F14" s="109" t="s">
        <v>101</v>
      </c>
      <c r="G14" s="128">
        <v>9</v>
      </c>
      <c r="H14" s="111" t="s">
        <v>1473</v>
      </c>
    </row>
    <row r="15" spans="1:8" ht="19.8" customHeight="1" x14ac:dyDescent="0.3">
      <c r="A15" s="126">
        <v>45991</v>
      </c>
      <c r="B15" s="109" t="s">
        <v>77</v>
      </c>
      <c r="C15" s="110" t="s">
        <v>1458</v>
      </c>
      <c r="D15" s="109" t="s">
        <v>1457</v>
      </c>
      <c r="E15" s="127">
        <v>1.2152777777777779</v>
      </c>
      <c r="F15" s="109"/>
      <c r="G15" s="109"/>
      <c r="H15" s="111" t="s">
        <v>80</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12"/>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11.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8" t="s">
        <v>235</v>
      </c>
      <c r="B2" s="109" t="s">
        <v>77</v>
      </c>
      <c r="C2" s="110" t="s">
        <v>1458</v>
      </c>
      <c r="D2" s="109" t="s">
        <v>1457</v>
      </c>
      <c r="E2" s="109" t="s">
        <v>615</v>
      </c>
      <c r="F2" s="109" t="s">
        <v>101</v>
      </c>
      <c r="G2" s="128">
        <v>8</v>
      </c>
      <c r="H2" s="111" t="s">
        <v>1459</v>
      </c>
    </row>
    <row r="3" spans="1:8" ht="19.8" customHeight="1" x14ac:dyDescent="0.3">
      <c r="A3" s="126">
        <v>45982</v>
      </c>
      <c r="B3" s="109" t="s">
        <v>77</v>
      </c>
      <c r="C3" s="110" t="s">
        <v>1458</v>
      </c>
      <c r="D3" s="109" t="s">
        <v>1457</v>
      </c>
      <c r="E3" s="127">
        <v>1.166666666666667</v>
      </c>
      <c r="F3" s="109" t="s">
        <v>101</v>
      </c>
      <c r="G3" s="128">
        <v>9</v>
      </c>
      <c r="H3" s="111" t="s">
        <v>1464</v>
      </c>
    </row>
    <row r="4" spans="1:8" ht="19.8" customHeight="1" x14ac:dyDescent="0.3">
      <c r="A4" s="126">
        <v>45983</v>
      </c>
      <c r="B4" s="109" t="s">
        <v>77</v>
      </c>
      <c r="C4" s="110" t="s">
        <v>1458</v>
      </c>
      <c r="D4" s="109" t="s">
        <v>1457</v>
      </c>
      <c r="E4" s="127">
        <v>1.125</v>
      </c>
      <c r="F4" s="109"/>
      <c r="G4" s="109"/>
      <c r="H4" s="111" t="s">
        <v>80</v>
      </c>
    </row>
    <row r="5" spans="1:8" ht="19.8" customHeight="1" x14ac:dyDescent="0.3">
      <c r="A5" s="126">
        <v>45984</v>
      </c>
      <c r="B5" s="109" t="s">
        <v>77</v>
      </c>
      <c r="C5" s="110" t="s">
        <v>1458</v>
      </c>
      <c r="D5" s="109" t="s">
        <v>1457</v>
      </c>
      <c r="E5" s="127">
        <v>1.2152777777777779</v>
      </c>
      <c r="F5" s="109"/>
      <c r="G5" s="109"/>
      <c r="H5" s="111" t="s">
        <v>80</v>
      </c>
    </row>
    <row r="6" spans="1:8" ht="19.8" customHeight="1" x14ac:dyDescent="0.3">
      <c r="A6" s="126">
        <v>45985</v>
      </c>
      <c r="B6" s="109" t="s">
        <v>77</v>
      </c>
      <c r="C6" s="110" t="s">
        <v>1458</v>
      </c>
      <c r="D6" s="109" t="s">
        <v>1457</v>
      </c>
      <c r="E6" s="127">
        <v>1.166666666666667</v>
      </c>
      <c r="F6" s="109"/>
      <c r="G6" s="109"/>
      <c r="H6" s="111" t="s">
        <v>80</v>
      </c>
    </row>
    <row r="7" spans="1:8" ht="19.8" customHeight="1" x14ac:dyDescent="0.3">
      <c r="A7" s="126">
        <v>45986</v>
      </c>
      <c r="B7" s="109" t="s">
        <v>77</v>
      </c>
      <c r="C7" s="110" t="s">
        <v>1460</v>
      </c>
      <c r="D7" s="109" t="s">
        <v>1457</v>
      </c>
      <c r="E7" s="127">
        <v>1.833333333333333</v>
      </c>
      <c r="F7" s="109" t="s">
        <v>79</v>
      </c>
      <c r="G7" s="109"/>
      <c r="H7" s="111" t="s">
        <v>80</v>
      </c>
    </row>
    <row r="8" spans="1:8" ht="19.8" customHeight="1" x14ac:dyDescent="0.3">
      <c r="A8" s="126">
        <v>45987</v>
      </c>
      <c r="B8" s="109" t="s">
        <v>77</v>
      </c>
      <c r="C8" s="110" t="s">
        <v>1458</v>
      </c>
      <c r="D8" s="109" t="s">
        <v>1457</v>
      </c>
      <c r="E8" s="127">
        <v>1.8263888888888891</v>
      </c>
      <c r="F8" s="109" t="s">
        <v>101</v>
      </c>
      <c r="G8" s="128">
        <v>1</v>
      </c>
      <c r="H8" s="111" t="s">
        <v>567</v>
      </c>
    </row>
    <row r="9" spans="1:8" ht="19.8" customHeight="1" x14ac:dyDescent="0.3">
      <c r="A9" s="126">
        <v>45988</v>
      </c>
      <c r="B9" s="109" t="s">
        <v>77</v>
      </c>
      <c r="C9" s="110" t="s">
        <v>1460</v>
      </c>
      <c r="D9" s="109" t="s">
        <v>1457</v>
      </c>
      <c r="E9" s="127">
        <v>1.4375</v>
      </c>
      <c r="F9" s="109" t="s">
        <v>79</v>
      </c>
      <c r="G9" s="109"/>
      <c r="H9" s="111" t="s">
        <v>80</v>
      </c>
    </row>
    <row r="10" spans="1:8" ht="19.8" customHeight="1" x14ac:dyDescent="0.3">
      <c r="A10" s="126">
        <v>45989</v>
      </c>
      <c r="B10" s="109" t="s">
        <v>77</v>
      </c>
      <c r="C10" s="110" t="s">
        <v>1458</v>
      </c>
      <c r="D10" s="109" t="s">
        <v>1457</v>
      </c>
      <c r="E10" s="127">
        <v>1.166666666666667</v>
      </c>
      <c r="F10" s="109" t="s">
        <v>101</v>
      </c>
      <c r="G10" s="128">
        <v>6</v>
      </c>
      <c r="H10" s="111" t="s">
        <v>1305</v>
      </c>
    </row>
    <row r="11" spans="1:8" ht="19.8" customHeight="1" x14ac:dyDescent="0.3">
      <c r="A11" s="126">
        <v>45990</v>
      </c>
      <c r="B11" s="109" t="s">
        <v>77</v>
      </c>
      <c r="C11" s="110" t="s">
        <v>1458</v>
      </c>
      <c r="D11" s="109" t="s">
        <v>1457</v>
      </c>
      <c r="E11" s="127">
        <v>1.125</v>
      </c>
      <c r="F11" s="109" t="s">
        <v>101</v>
      </c>
      <c r="G11" s="128">
        <v>9</v>
      </c>
      <c r="H11" s="111" t="s">
        <v>1473</v>
      </c>
    </row>
    <row r="12" spans="1:8" ht="19.8" customHeight="1" x14ac:dyDescent="0.3">
      <c r="A12" s="126">
        <v>45991</v>
      </c>
      <c r="B12" s="109" t="s">
        <v>77</v>
      </c>
      <c r="C12" s="110" t="s">
        <v>1458</v>
      </c>
      <c r="D12" s="109" t="s">
        <v>1457</v>
      </c>
      <c r="E12" s="127">
        <v>1.2152777777777779</v>
      </c>
      <c r="F12" s="109"/>
      <c r="G12" s="109"/>
      <c r="H12" s="111" t="s">
        <v>80</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41"/>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93.21875" bestFit="1" customWidth="1"/>
  </cols>
  <sheetData>
    <row r="1" spans="1:92" ht="28.8" customHeight="1" x14ac:dyDescent="0.3">
      <c r="A1" s="303" t="s">
        <v>0</v>
      </c>
      <c r="B1" s="302"/>
      <c r="C1" s="302"/>
      <c r="D1" s="302"/>
      <c r="E1" s="302"/>
      <c r="F1" s="1" t="s">
        <v>1498</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45980.583886026681</v>
      </c>
      <c r="H2" s="302"/>
      <c r="I2" s="302"/>
      <c r="J2" s="302"/>
      <c r="K2" s="311">
        <v>45980.583886027118</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385</v>
      </c>
      <c r="B6" s="8" t="s">
        <v>1499</v>
      </c>
      <c r="C6" s="9">
        <v>0.91666666666666663</v>
      </c>
      <c r="D6" s="8" t="s">
        <v>101</v>
      </c>
      <c r="E6" s="8" t="s">
        <v>29</v>
      </c>
      <c r="F6" s="8" t="s">
        <v>1500</v>
      </c>
      <c r="G6" s="304"/>
      <c r="H6" s="10"/>
      <c r="I6" s="11"/>
      <c r="J6" s="11"/>
      <c r="K6" s="11"/>
      <c r="L6" s="11"/>
      <c r="M6" s="11"/>
      <c r="N6" s="11"/>
      <c r="O6" s="12"/>
      <c r="P6" s="11"/>
      <c r="Q6" s="13"/>
      <c r="R6" s="14"/>
    </row>
    <row r="7" spans="1:92" ht="49.95" customHeight="1" thickTop="1" thickBot="1" x14ac:dyDescent="0.35">
      <c r="A7" s="88" t="s">
        <v>77</v>
      </c>
      <c r="B7" s="88" t="s">
        <v>1501</v>
      </c>
      <c r="C7" s="89">
        <v>0.80208333333333337</v>
      </c>
      <c r="D7" s="88" t="s">
        <v>101</v>
      </c>
      <c r="E7" s="88" t="s">
        <v>85</v>
      </c>
      <c r="F7" s="88" t="s">
        <v>1502</v>
      </c>
      <c r="G7" s="299"/>
      <c r="H7" s="91" t="s">
        <v>1503</v>
      </c>
      <c r="I7" s="92">
        <v>0.96089999999999998</v>
      </c>
      <c r="J7" s="93">
        <v>172</v>
      </c>
      <c r="K7" s="94">
        <v>45979</v>
      </c>
      <c r="L7" s="93">
        <v>64</v>
      </c>
      <c r="M7" s="93">
        <v>0</v>
      </c>
      <c r="N7" s="93">
        <v>9</v>
      </c>
      <c r="O7" s="95" t="s">
        <v>1495</v>
      </c>
      <c r="P7" s="96">
        <v>0.80208333333333337</v>
      </c>
      <c r="Q7" s="93">
        <v>179</v>
      </c>
      <c r="R7" s="97" t="s">
        <v>1504</v>
      </c>
    </row>
    <row r="8" spans="1:92" ht="17.399999999999999" customHeight="1" thickBot="1" x14ac:dyDescent="0.35">
      <c r="A8" s="329"/>
      <c r="B8" s="330"/>
      <c r="C8" s="330"/>
      <c r="D8" s="330"/>
      <c r="E8" s="330"/>
      <c r="F8" s="330"/>
      <c r="G8" s="330"/>
      <c r="H8" s="330"/>
      <c r="I8" s="330"/>
      <c r="J8" s="330"/>
      <c r="K8" s="330"/>
      <c r="L8" s="330"/>
      <c r="M8" s="330"/>
      <c r="N8" s="330"/>
      <c r="O8" s="330"/>
      <c r="P8" s="330"/>
      <c r="Q8" s="330"/>
      <c r="R8" s="331"/>
    </row>
    <row r="9" spans="1:92" ht="22.05" customHeight="1" thickTop="1" thickBot="1" x14ac:dyDescent="0.35">
      <c r="A9" s="300" t="s">
        <v>6</v>
      </c>
      <c r="B9" s="295"/>
      <c r="C9" s="295"/>
      <c r="D9" s="295"/>
      <c r="E9" s="295"/>
      <c r="F9" s="296"/>
      <c r="G9" s="31">
        <v>45983</v>
      </c>
      <c r="H9" s="294" t="s">
        <v>7</v>
      </c>
      <c r="I9" s="295"/>
      <c r="J9" s="295"/>
      <c r="K9" s="295"/>
      <c r="L9" s="295"/>
      <c r="M9" s="295"/>
      <c r="N9" s="295"/>
      <c r="O9" s="295"/>
      <c r="P9" s="295"/>
      <c r="Q9" s="295"/>
      <c r="R9" s="296"/>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3">
      <c r="A11" s="8" t="s">
        <v>385</v>
      </c>
      <c r="B11" s="8" t="s">
        <v>1505</v>
      </c>
      <c r="C11" s="9">
        <v>3.472222222222222E-3</v>
      </c>
      <c r="D11" s="8" t="s">
        <v>101</v>
      </c>
      <c r="E11" s="8" t="s">
        <v>63</v>
      </c>
      <c r="F11" s="8" t="s">
        <v>1500</v>
      </c>
      <c r="G11" s="304"/>
      <c r="H11" s="10"/>
      <c r="I11" s="11"/>
      <c r="J11" s="11"/>
      <c r="K11" s="11"/>
      <c r="L11" s="11"/>
      <c r="M11" s="11"/>
      <c r="N11" s="11"/>
      <c r="O11" s="12"/>
      <c r="P11" s="11"/>
      <c r="Q11" s="13"/>
      <c r="R11" s="14"/>
    </row>
    <row r="12" spans="1:92" ht="49.95" customHeight="1" thickTop="1" thickBot="1" x14ac:dyDescent="0.35">
      <c r="A12" s="46" t="s">
        <v>77</v>
      </c>
      <c r="B12" s="46" t="s">
        <v>1501</v>
      </c>
      <c r="C12" s="47">
        <v>0.80208333333333337</v>
      </c>
      <c r="D12" s="46" t="s">
        <v>101</v>
      </c>
      <c r="E12" s="46" t="s">
        <v>96</v>
      </c>
      <c r="F12" s="46" t="s">
        <v>1502</v>
      </c>
      <c r="G12" s="299"/>
      <c r="H12" s="48" t="s">
        <v>1503</v>
      </c>
      <c r="I12" s="49">
        <v>0.86029999999999995</v>
      </c>
      <c r="J12" s="50">
        <v>154</v>
      </c>
      <c r="K12" s="51">
        <v>45980</v>
      </c>
      <c r="L12" s="50">
        <v>58</v>
      </c>
      <c r="M12" s="50">
        <v>3</v>
      </c>
      <c r="N12" s="50">
        <v>5</v>
      </c>
      <c r="O12" s="52" t="s">
        <v>1506</v>
      </c>
      <c r="P12" s="53">
        <v>0.80208333333333337</v>
      </c>
      <c r="Q12" s="50">
        <v>179</v>
      </c>
      <c r="R12" s="54" t="s">
        <v>1507</v>
      </c>
    </row>
    <row r="13" spans="1:92" ht="17.399999999999999" customHeight="1" thickBot="1" x14ac:dyDescent="0.35">
      <c r="A13" s="329"/>
      <c r="B13" s="330"/>
      <c r="C13" s="330"/>
      <c r="D13" s="330"/>
      <c r="E13" s="330"/>
      <c r="F13" s="330"/>
      <c r="G13" s="330"/>
      <c r="H13" s="330"/>
      <c r="I13" s="330"/>
      <c r="J13" s="330"/>
      <c r="K13" s="330"/>
      <c r="L13" s="330"/>
      <c r="M13" s="330"/>
      <c r="N13" s="330"/>
      <c r="O13" s="330"/>
      <c r="P13" s="330"/>
      <c r="Q13" s="330"/>
      <c r="R13" s="331"/>
    </row>
    <row r="14" spans="1:92" ht="22.05" customHeight="1" thickTop="1" thickBot="1" x14ac:dyDescent="0.35">
      <c r="A14" s="300" t="s">
        <v>6</v>
      </c>
      <c r="B14" s="295"/>
      <c r="C14" s="295"/>
      <c r="D14" s="295"/>
      <c r="E14" s="295"/>
      <c r="F14" s="296"/>
      <c r="G14" s="31">
        <v>45986</v>
      </c>
      <c r="H14" s="294" t="s">
        <v>7</v>
      </c>
      <c r="I14" s="295"/>
      <c r="J14" s="295"/>
      <c r="K14" s="295"/>
      <c r="L14" s="295"/>
      <c r="M14" s="295"/>
      <c r="N14" s="295"/>
      <c r="O14" s="295"/>
      <c r="P14" s="295"/>
      <c r="Q14" s="295"/>
      <c r="R14" s="296"/>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3">
      <c r="A16" s="8" t="s">
        <v>385</v>
      </c>
      <c r="B16" s="8" t="s">
        <v>1499</v>
      </c>
      <c r="C16" s="9">
        <v>0.76388888888888884</v>
      </c>
      <c r="D16" s="8" t="s">
        <v>101</v>
      </c>
      <c r="E16" s="8" t="s">
        <v>118</v>
      </c>
      <c r="F16" s="8" t="s">
        <v>1500</v>
      </c>
      <c r="G16" s="304"/>
      <c r="H16" s="10"/>
      <c r="I16" s="11"/>
      <c r="J16" s="11"/>
      <c r="K16" s="11"/>
      <c r="L16" s="11"/>
      <c r="M16" s="11"/>
      <c r="N16" s="11"/>
      <c r="O16" s="12"/>
      <c r="P16" s="11"/>
      <c r="Q16" s="13"/>
      <c r="R16" s="14"/>
    </row>
    <row r="17" spans="1:18" ht="49.95" customHeight="1" x14ac:dyDescent="0.3">
      <c r="A17" s="19" t="s">
        <v>388</v>
      </c>
      <c r="B17" s="19" t="s">
        <v>1508</v>
      </c>
      <c r="C17" s="20">
        <v>0.1041666666666667</v>
      </c>
      <c r="D17" s="19" t="s">
        <v>390</v>
      </c>
      <c r="E17" s="19" t="s">
        <v>111</v>
      </c>
      <c r="F17" s="19" t="s">
        <v>1509</v>
      </c>
      <c r="G17" s="298"/>
      <c r="H17" s="10"/>
      <c r="I17" s="11"/>
      <c r="J17" s="11"/>
      <c r="K17" s="11"/>
      <c r="L17" s="11"/>
      <c r="M17" s="11"/>
      <c r="N17" s="11"/>
      <c r="O17" s="12"/>
      <c r="P17" s="11"/>
      <c r="Q17" s="13"/>
      <c r="R17" s="14"/>
    </row>
    <row r="18" spans="1:18" ht="49.95" customHeight="1" thickBot="1" x14ac:dyDescent="0.35">
      <c r="A18" s="64" t="s">
        <v>388</v>
      </c>
      <c r="B18" s="64" t="s">
        <v>1508</v>
      </c>
      <c r="C18" s="65">
        <v>0.1041666666666667</v>
      </c>
      <c r="D18" s="64" t="s">
        <v>46</v>
      </c>
      <c r="E18" s="64" t="s">
        <v>115</v>
      </c>
      <c r="F18" s="64" t="s">
        <v>1510</v>
      </c>
      <c r="G18" s="299"/>
      <c r="H18" s="41"/>
      <c r="I18" s="42"/>
      <c r="J18" s="42"/>
      <c r="K18" s="42"/>
      <c r="L18" s="42"/>
      <c r="M18" s="42"/>
      <c r="N18" s="42"/>
      <c r="O18" s="43"/>
      <c r="P18" s="42"/>
      <c r="Q18" s="44"/>
      <c r="R18" s="45"/>
    </row>
    <row r="19" spans="1:18" ht="17.399999999999999" customHeight="1" thickBot="1" x14ac:dyDescent="0.35">
      <c r="A19" s="329"/>
      <c r="B19" s="330"/>
      <c r="C19" s="330"/>
      <c r="D19" s="330"/>
      <c r="E19" s="330"/>
      <c r="F19" s="330"/>
      <c r="G19" s="330"/>
      <c r="H19" s="330"/>
      <c r="I19" s="330"/>
      <c r="J19" s="330"/>
      <c r="K19" s="330"/>
      <c r="L19" s="330"/>
      <c r="M19" s="330"/>
      <c r="N19" s="330"/>
      <c r="O19" s="330"/>
      <c r="P19" s="330"/>
      <c r="Q19" s="330"/>
      <c r="R19" s="331"/>
    </row>
    <row r="20" spans="1:18" ht="22.05" customHeight="1" thickTop="1" thickBot="1" x14ac:dyDescent="0.35">
      <c r="A20" s="300" t="s">
        <v>6</v>
      </c>
      <c r="B20" s="295"/>
      <c r="C20" s="295"/>
      <c r="D20" s="295"/>
      <c r="E20" s="295"/>
      <c r="F20" s="296"/>
      <c r="G20" s="31">
        <v>45987</v>
      </c>
      <c r="H20" s="294" t="s">
        <v>7</v>
      </c>
      <c r="I20" s="295"/>
      <c r="J20" s="295"/>
      <c r="K20" s="295"/>
      <c r="L20" s="295"/>
      <c r="M20" s="295"/>
      <c r="N20" s="295"/>
      <c r="O20" s="295"/>
      <c r="P20" s="295"/>
      <c r="Q20" s="295"/>
      <c r="R20" s="296"/>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49.95" customHeight="1" thickTop="1" thickBot="1" x14ac:dyDescent="0.35">
      <c r="A22" s="55" t="s">
        <v>77</v>
      </c>
      <c r="B22" s="55" t="s">
        <v>1511</v>
      </c>
      <c r="C22" s="56">
        <v>0.84375</v>
      </c>
      <c r="D22" s="55" t="s">
        <v>101</v>
      </c>
      <c r="E22" s="55" t="s">
        <v>111</v>
      </c>
      <c r="F22" s="55" t="s">
        <v>1512</v>
      </c>
      <c r="G22" s="304"/>
      <c r="H22" s="48" t="s">
        <v>1513</v>
      </c>
      <c r="I22" s="49">
        <v>0.87150000000000005</v>
      </c>
      <c r="J22" s="50">
        <v>156</v>
      </c>
      <c r="K22" s="51">
        <v>45980</v>
      </c>
      <c r="L22" s="50">
        <v>39</v>
      </c>
      <c r="M22" s="50">
        <v>4</v>
      </c>
      <c r="N22" s="50">
        <v>9</v>
      </c>
      <c r="O22" s="52" t="s">
        <v>542</v>
      </c>
      <c r="P22" s="53">
        <v>0.84375</v>
      </c>
      <c r="Q22" s="50">
        <v>179</v>
      </c>
      <c r="R22" s="54" t="s">
        <v>1514</v>
      </c>
    </row>
    <row r="23" spans="1:18" ht="17.399999999999999" customHeight="1" thickBot="1" x14ac:dyDescent="0.35">
      <c r="A23" s="329"/>
      <c r="B23" s="330"/>
      <c r="C23" s="330"/>
      <c r="D23" s="330"/>
      <c r="E23" s="330"/>
      <c r="F23" s="330"/>
      <c r="G23" s="330"/>
      <c r="H23" s="330"/>
      <c r="I23" s="330"/>
      <c r="J23" s="330"/>
      <c r="K23" s="330"/>
      <c r="L23" s="330"/>
      <c r="M23" s="330"/>
      <c r="N23" s="330"/>
      <c r="O23" s="330"/>
      <c r="P23" s="330"/>
      <c r="Q23" s="330"/>
      <c r="R23" s="331"/>
    </row>
    <row r="24" spans="1:18" ht="22.05" customHeight="1" thickTop="1" thickBot="1" x14ac:dyDescent="0.35">
      <c r="A24" s="300" t="s">
        <v>6</v>
      </c>
      <c r="B24" s="295"/>
      <c r="C24" s="295"/>
      <c r="D24" s="295"/>
      <c r="E24" s="295"/>
      <c r="F24" s="296"/>
      <c r="G24" s="31">
        <v>45988</v>
      </c>
      <c r="H24" s="294" t="s">
        <v>7</v>
      </c>
      <c r="I24" s="295"/>
      <c r="J24" s="295"/>
      <c r="K24" s="295"/>
      <c r="L24" s="295"/>
      <c r="M24" s="295"/>
      <c r="N24" s="295"/>
      <c r="O24" s="295"/>
      <c r="P24" s="295"/>
      <c r="Q24" s="295"/>
      <c r="R24" s="296"/>
    </row>
    <row r="25" spans="1:18" ht="24" customHeight="1" x14ac:dyDescent="0.3">
      <c r="A25" s="32" t="s">
        <v>8</v>
      </c>
      <c r="B25" s="32" t="s">
        <v>9</v>
      </c>
      <c r="C25" s="33" t="s">
        <v>10</v>
      </c>
      <c r="D25" s="32" t="s">
        <v>11</v>
      </c>
      <c r="E25" s="32" t="s">
        <v>12</v>
      </c>
      <c r="F25" s="34" t="s">
        <v>13</v>
      </c>
      <c r="G25" s="35" t="s">
        <v>14</v>
      </c>
      <c r="H25" s="32" t="s">
        <v>15</v>
      </c>
      <c r="I25" s="36" t="s">
        <v>16</v>
      </c>
      <c r="J25" s="37" t="s">
        <v>17</v>
      </c>
      <c r="K25" s="38" t="s">
        <v>18</v>
      </c>
      <c r="L25" s="37" t="s">
        <v>19</v>
      </c>
      <c r="M25" s="37" t="s">
        <v>20</v>
      </c>
      <c r="N25" s="37" t="s">
        <v>21</v>
      </c>
      <c r="O25" s="32" t="s">
        <v>22</v>
      </c>
      <c r="P25" s="33" t="s">
        <v>23</v>
      </c>
      <c r="Q25" s="37" t="s">
        <v>24</v>
      </c>
      <c r="R25" s="32" t="s">
        <v>25</v>
      </c>
    </row>
    <row r="26" spans="1:18" ht="49.95" customHeight="1" x14ac:dyDescent="0.3">
      <c r="A26" s="8" t="s">
        <v>385</v>
      </c>
      <c r="B26" s="8" t="s">
        <v>1499</v>
      </c>
      <c r="C26" s="9">
        <v>0.80208333333333337</v>
      </c>
      <c r="D26" s="8" t="s">
        <v>101</v>
      </c>
      <c r="E26" s="8" t="s">
        <v>63</v>
      </c>
      <c r="F26" s="8" t="s">
        <v>1500</v>
      </c>
      <c r="G26" s="304"/>
      <c r="H26" s="10"/>
      <c r="I26" s="11"/>
      <c r="J26" s="11"/>
      <c r="K26" s="11"/>
      <c r="L26" s="11"/>
      <c r="M26" s="11"/>
      <c r="N26" s="11"/>
      <c r="O26" s="12"/>
      <c r="P26" s="11"/>
      <c r="Q26" s="13"/>
      <c r="R26" s="14"/>
    </row>
    <row r="27" spans="1:18" ht="49.95" customHeight="1" thickTop="1" thickBot="1" x14ac:dyDescent="0.35">
      <c r="A27" s="287" t="s">
        <v>77</v>
      </c>
      <c r="B27" s="287" t="s">
        <v>1501</v>
      </c>
      <c r="C27" s="288">
        <v>0.80208333333333337</v>
      </c>
      <c r="D27" s="287" t="s">
        <v>101</v>
      </c>
      <c r="E27" s="287" t="s">
        <v>96</v>
      </c>
      <c r="F27" s="287" t="s">
        <v>1502</v>
      </c>
      <c r="G27" s="299"/>
      <c r="H27" s="267" t="s">
        <v>1503</v>
      </c>
      <c r="I27" s="289">
        <v>0.74860000000000004</v>
      </c>
      <c r="J27" s="269">
        <v>134</v>
      </c>
      <c r="K27" s="270">
        <v>45978</v>
      </c>
      <c r="L27" s="269">
        <v>17</v>
      </c>
      <c r="M27" s="269">
        <v>0</v>
      </c>
      <c r="N27" s="269">
        <v>0</v>
      </c>
      <c r="O27" s="271" t="s">
        <v>1506</v>
      </c>
      <c r="P27" s="272">
        <v>0.80208333333333337</v>
      </c>
      <c r="Q27" s="269">
        <v>179</v>
      </c>
      <c r="R27" s="273" t="s">
        <v>1515</v>
      </c>
    </row>
    <row r="28" spans="1:18" ht="17.399999999999999" customHeight="1" thickBot="1" x14ac:dyDescent="0.35">
      <c r="A28" s="329"/>
      <c r="B28" s="330"/>
      <c r="C28" s="330"/>
      <c r="D28" s="330"/>
      <c r="E28" s="330"/>
      <c r="F28" s="330"/>
      <c r="G28" s="330"/>
      <c r="H28" s="330"/>
      <c r="I28" s="330"/>
      <c r="J28" s="330"/>
      <c r="K28" s="330"/>
      <c r="L28" s="330"/>
      <c r="M28" s="330"/>
      <c r="N28" s="330"/>
      <c r="O28" s="330"/>
      <c r="P28" s="330"/>
      <c r="Q28" s="330"/>
      <c r="R28" s="331"/>
    </row>
    <row r="29" spans="1:18" ht="22.05" customHeight="1" thickTop="1" thickBot="1" x14ac:dyDescent="0.35">
      <c r="A29" s="300" t="s">
        <v>6</v>
      </c>
      <c r="B29" s="295"/>
      <c r="C29" s="295"/>
      <c r="D29" s="295"/>
      <c r="E29" s="295"/>
      <c r="F29" s="296"/>
      <c r="G29" s="31">
        <v>45989</v>
      </c>
      <c r="H29" s="294" t="s">
        <v>7</v>
      </c>
      <c r="I29" s="295"/>
      <c r="J29" s="295"/>
      <c r="K29" s="295"/>
      <c r="L29" s="295"/>
      <c r="M29" s="295"/>
      <c r="N29" s="295"/>
      <c r="O29" s="295"/>
      <c r="P29" s="295"/>
      <c r="Q29" s="295"/>
      <c r="R29" s="296"/>
    </row>
    <row r="30" spans="1:18" ht="24" customHeight="1" x14ac:dyDescent="0.3">
      <c r="A30" s="32" t="s">
        <v>8</v>
      </c>
      <c r="B30" s="32" t="s">
        <v>9</v>
      </c>
      <c r="C30" s="33" t="s">
        <v>10</v>
      </c>
      <c r="D30" s="32" t="s">
        <v>11</v>
      </c>
      <c r="E30" s="32" t="s">
        <v>12</v>
      </c>
      <c r="F30" s="34" t="s">
        <v>13</v>
      </c>
      <c r="G30" s="35" t="s">
        <v>14</v>
      </c>
      <c r="H30" s="32" t="s">
        <v>15</v>
      </c>
      <c r="I30" s="36" t="s">
        <v>16</v>
      </c>
      <c r="J30" s="37" t="s">
        <v>17</v>
      </c>
      <c r="K30" s="38" t="s">
        <v>18</v>
      </c>
      <c r="L30" s="37" t="s">
        <v>19</v>
      </c>
      <c r="M30" s="37" t="s">
        <v>20</v>
      </c>
      <c r="N30" s="37" t="s">
        <v>21</v>
      </c>
      <c r="O30" s="32" t="s">
        <v>22</v>
      </c>
      <c r="P30" s="33" t="s">
        <v>23</v>
      </c>
      <c r="Q30" s="37" t="s">
        <v>24</v>
      </c>
      <c r="R30" s="32" t="s">
        <v>25</v>
      </c>
    </row>
    <row r="31" spans="1:18" ht="49.95" customHeight="1" x14ac:dyDescent="0.3">
      <c r="A31" s="8" t="s">
        <v>388</v>
      </c>
      <c r="B31" s="8" t="s">
        <v>1508</v>
      </c>
      <c r="C31" s="9">
        <v>0.72569444444444453</v>
      </c>
      <c r="D31" s="8" t="s">
        <v>390</v>
      </c>
      <c r="E31" s="8" t="s">
        <v>138</v>
      </c>
      <c r="F31" s="8" t="s">
        <v>1516</v>
      </c>
      <c r="G31" s="297"/>
      <c r="H31" s="10"/>
      <c r="I31" s="11"/>
      <c r="J31" s="11"/>
      <c r="K31" s="11"/>
      <c r="L31" s="11"/>
      <c r="M31" s="11"/>
      <c r="N31" s="11"/>
      <c r="O31" s="12"/>
      <c r="P31" s="11"/>
      <c r="Q31" s="13"/>
      <c r="R31" s="14"/>
    </row>
    <row r="32" spans="1:18" ht="49.95" customHeight="1" thickTop="1" thickBot="1" x14ac:dyDescent="0.35">
      <c r="A32" s="64" t="s">
        <v>388</v>
      </c>
      <c r="B32" s="64" t="s">
        <v>1508</v>
      </c>
      <c r="C32" s="65">
        <v>0.72569444444444453</v>
      </c>
      <c r="D32" s="64" t="s">
        <v>46</v>
      </c>
      <c r="E32" s="64" t="s">
        <v>38</v>
      </c>
      <c r="F32" s="64" t="s">
        <v>1517</v>
      </c>
      <c r="G32" s="299"/>
      <c r="H32" s="41"/>
      <c r="I32" s="42"/>
      <c r="J32" s="42"/>
      <c r="K32" s="42"/>
      <c r="L32" s="42"/>
      <c r="M32" s="42"/>
      <c r="N32" s="42"/>
      <c r="O32" s="43"/>
      <c r="P32" s="42"/>
      <c r="Q32" s="44"/>
      <c r="R32" s="45"/>
    </row>
    <row r="33" spans="1:18" ht="17.399999999999999" customHeight="1" thickBot="1" x14ac:dyDescent="0.35">
      <c r="A33" s="329"/>
      <c r="B33" s="330"/>
      <c r="C33" s="330"/>
      <c r="D33" s="330"/>
      <c r="E33" s="330"/>
      <c r="F33" s="330"/>
      <c r="G33" s="330"/>
      <c r="H33" s="330"/>
      <c r="I33" s="330"/>
      <c r="J33" s="330"/>
      <c r="K33" s="330"/>
      <c r="L33" s="330"/>
      <c r="M33" s="330"/>
      <c r="N33" s="330"/>
      <c r="O33" s="330"/>
      <c r="P33" s="330"/>
      <c r="Q33" s="330"/>
      <c r="R33" s="331"/>
    </row>
    <row r="34" spans="1:18" ht="22.05" customHeight="1" thickTop="1" thickBot="1" x14ac:dyDescent="0.35">
      <c r="A34" s="300" t="s">
        <v>6</v>
      </c>
      <c r="B34" s="295"/>
      <c r="C34" s="295"/>
      <c r="D34" s="295"/>
      <c r="E34" s="295"/>
      <c r="F34" s="296"/>
      <c r="G34" s="31">
        <v>45990</v>
      </c>
      <c r="H34" s="294" t="s">
        <v>7</v>
      </c>
      <c r="I34" s="295"/>
      <c r="J34" s="295"/>
      <c r="K34" s="295"/>
      <c r="L34" s="295"/>
      <c r="M34" s="295"/>
      <c r="N34" s="295"/>
      <c r="O34" s="295"/>
      <c r="P34" s="295"/>
      <c r="Q34" s="295"/>
      <c r="R34" s="296"/>
    </row>
    <row r="35" spans="1:18" ht="24" customHeight="1" x14ac:dyDescent="0.3">
      <c r="A35" s="32" t="s">
        <v>8</v>
      </c>
      <c r="B35" s="32" t="s">
        <v>9</v>
      </c>
      <c r="C35" s="33" t="s">
        <v>10</v>
      </c>
      <c r="D35" s="32" t="s">
        <v>11</v>
      </c>
      <c r="E35" s="32" t="s">
        <v>12</v>
      </c>
      <c r="F35" s="34" t="s">
        <v>13</v>
      </c>
      <c r="G35" s="35" t="s">
        <v>14</v>
      </c>
      <c r="H35" s="32" t="s">
        <v>15</v>
      </c>
      <c r="I35" s="36" t="s">
        <v>16</v>
      </c>
      <c r="J35" s="37" t="s">
        <v>17</v>
      </c>
      <c r="K35" s="38" t="s">
        <v>18</v>
      </c>
      <c r="L35" s="37" t="s">
        <v>19</v>
      </c>
      <c r="M35" s="37" t="s">
        <v>20</v>
      </c>
      <c r="N35" s="37" t="s">
        <v>21</v>
      </c>
      <c r="O35" s="32" t="s">
        <v>22</v>
      </c>
      <c r="P35" s="33" t="s">
        <v>23</v>
      </c>
      <c r="Q35" s="37" t="s">
        <v>24</v>
      </c>
      <c r="R35" s="32" t="s">
        <v>25</v>
      </c>
    </row>
    <row r="36" spans="1:18" ht="49.95" customHeight="1" x14ac:dyDescent="0.3">
      <c r="A36" s="8" t="s">
        <v>385</v>
      </c>
      <c r="B36" s="8" t="s">
        <v>1505</v>
      </c>
      <c r="C36" s="9">
        <v>3.472222222222222E-3</v>
      </c>
      <c r="D36" s="8" t="s">
        <v>101</v>
      </c>
      <c r="E36" s="8" t="s">
        <v>29</v>
      </c>
      <c r="F36" s="8" t="s">
        <v>1500</v>
      </c>
      <c r="G36" s="297"/>
      <c r="H36" s="10"/>
      <c r="I36" s="11"/>
      <c r="J36" s="11"/>
      <c r="K36" s="11"/>
      <c r="L36" s="11"/>
      <c r="M36" s="11"/>
      <c r="N36" s="11"/>
      <c r="O36" s="12"/>
      <c r="P36" s="11"/>
      <c r="Q36" s="13"/>
      <c r="R36" s="14"/>
    </row>
    <row r="37" spans="1:18" ht="49.95" customHeight="1" thickTop="1" thickBot="1" x14ac:dyDescent="0.35">
      <c r="A37" s="88" t="s">
        <v>77</v>
      </c>
      <c r="B37" s="88" t="s">
        <v>1501</v>
      </c>
      <c r="C37" s="89">
        <v>0.80208333333333337</v>
      </c>
      <c r="D37" s="88" t="s">
        <v>101</v>
      </c>
      <c r="E37" s="88" t="s">
        <v>63</v>
      </c>
      <c r="F37" s="88" t="s">
        <v>1518</v>
      </c>
      <c r="G37" s="299"/>
      <c r="H37" s="91" t="s">
        <v>1503</v>
      </c>
      <c r="I37" s="290">
        <v>0.6704</v>
      </c>
      <c r="J37" s="93">
        <v>120</v>
      </c>
      <c r="K37" s="94">
        <v>45980</v>
      </c>
      <c r="L37" s="93">
        <v>3</v>
      </c>
      <c r="M37" s="93">
        <v>2</v>
      </c>
      <c r="N37" s="93">
        <v>1</v>
      </c>
      <c r="O37" s="95" t="s">
        <v>1519</v>
      </c>
      <c r="P37" s="96">
        <v>0.80208333333333337</v>
      </c>
      <c r="Q37" s="93">
        <v>179</v>
      </c>
      <c r="R37" s="97" t="s">
        <v>1520</v>
      </c>
    </row>
    <row r="38" spans="1:18" ht="17.399999999999999" customHeight="1" thickBot="1" x14ac:dyDescent="0.35">
      <c r="A38" s="329"/>
      <c r="B38" s="330"/>
      <c r="C38" s="330"/>
      <c r="D38" s="330"/>
      <c r="E38" s="330"/>
      <c r="F38" s="330"/>
      <c r="G38" s="330"/>
      <c r="H38" s="330"/>
      <c r="I38" s="330"/>
      <c r="J38" s="330"/>
      <c r="K38" s="330"/>
      <c r="L38" s="330"/>
      <c r="M38" s="330"/>
      <c r="N38" s="330"/>
      <c r="O38" s="330"/>
      <c r="P38" s="330"/>
      <c r="Q38" s="330"/>
      <c r="R38" s="331"/>
    </row>
    <row r="39" spans="1:18" ht="22.05" customHeight="1" thickTop="1" thickBot="1" x14ac:dyDescent="0.35">
      <c r="A39" s="300" t="s">
        <v>6</v>
      </c>
      <c r="B39" s="295"/>
      <c r="C39" s="295"/>
      <c r="D39" s="295"/>
      <c r="E39" s="295"/>
      <c r="F39" s="296"/>
      <c r="G39" s="31">
        <v>45991</v>
      </c>
      <c r="H39" s="294" t="s">
        <v>7</v>
      </c>
      <c r="I39" s="295"/>
      <c r="J39" s="295"/>
      <c r="K39" s="295"/>
      <c r="L39" s="295"/>
      <c r="M39" s="295"/>
      <c r="N39" s="295"/>
      <c r="O39" s="295"/>
      <c r="P39" s="295"/>
      <c r="Q39" s="295"/>
      <c r="R39" s="296"/>
    </row>
    <row r="40" spans="1:18" ht="24" customHeight="1" x14ac:dyDescent="0.3">
      <c r="A40" s="32" t="s">
        <v>8</v>
      </c>
      <c r="B40" s="32" t="s">
        <v>9</v>
      </c>
      <c r="C40" s="33" t="s">
        <v>10</v>
      </c>
      <c r="D40" s="32" t="s">
        <v>11</v>
      </c>
      <c r="E40" s="32" t="s">
        <v>12</v>
      </c>
      <c r="F40" s="34" t="s">
        <v>13</v>
      </c>
      <c r="G40" s="35" t="s">
        <v>14</v>
      </c>
      <c r="H40" s="32" t="s">
        <v>15</v>
      </c>
      <c r="I40" s="36" t="s">
        <v>16</v>
      </c>
      <c r="J40" s="37" t="s">
        <v>17</v>
      </c>
      <c r="K40" s="38" t="s">
        <v>18</v>
      </c>
      <c r="L40" s="37" t="s">
        <v>19</v>
      </c>
      <c r="M40" s="37" t="s">
        <v>20</v>
      </c>
      <c r="N40" s="37" t="s">
        <v>21</v>
      </c>
      <c r="O40" s="32" t="s">
        <v>22</v>
      </c>
      <c r="P40" s="33" t="s">
        <v>23</v>
      </c>
      <c r="Q40" s="37" t="s">
        <v>24</v>
      </c>
      <c r="R40" s="32" t="s">
        <v>25</v>
      </c>
    </row>
    <row r="41" spans="1:18" ht="49.95" customHeight="1" x14ac:dyDescent="0.45">
      <c r="A41" s="246" t="s">
        <v>385</v>
      </c>
      <c r="B41" s="246" t="s">
        <v>1499</v>
      </c>
      <c r="C41" s="247">
        <v>0.71875</v>
      </c>
      <c r="D41" s="246" t="s">
        <v>101</v>
      </c>
      <c r="E41" s="246" t="s">
        <v>63</v>
      </c>
      <c r="F41" s="246" t="s">
        <v>1500</v>
      </c>
      <c r="G41" s="297"/>
      <c r="H41" s="41"/>
      <c r="I41" s="42"/>
      <c r="J41" s="42"/>
      <c r="K41" s="42"/>
      <c r="L41" s="42"/>
      <c r="M41" s="42"/>
      <c r="N41" s="42"/>
      <c r="O41" s="43"/>
      <c r="P41" s="42"/>
      <c r="Q41" s="44"/>
      <c r="R41" s="45"/>
    </row>
  </sheetData>
  <mergeCells count="38">
    <mergeCell ref="A39:F39"/>
    <mergeCell ref="G26:G27"/>
    <mergeCell ref="A24:F24"/>
    <mergeCell ref="H24:R24"/>
    <mergeCell ref="G31:G32"/>
    <mergeCell ref="A29:F29"/>
    <mergeCell ref="N1:R1"/>
    <mergeCell ref="A38:R38"/>
    <mergeCell ref="A19:R19"/>
    <mergeCell ref="A9:F9"/>
    <mergeCell ref="A28:R28"/>
    <mergeCell ref="A13:R13"/>
    <mergeCell ref="K2:R2"/>
    <mergeCell ref="A34:F34"/>
    <mergeCell ref="G11:G12"/>
    <mergeCell ref="H14:R14"/>
    <mergeCell ref="G6:G7"/>
    <mergeCell ref="G2:J2"/>
    <mergeCell ref="A4:F4"/>
    <mergeCell ref="A23:R23"/>
    <mergeCell ref="A20:F20"/>
    <mergeCell ref="A8:R8"/>
    <mergeCell ref="H20:R20"/>
    <mergeCell ref="H29:R29"/>
    <mergeCell ref="H1:L1"/>
    <mergeCell ref="A1:E1"/>
    <mergeCell ref="G41"/>
    <mergeCell ref="H4:R4"/>
    <mergeCell ref="G22"/>
    <mergeCell ref="G36:G37"/>
    <mergeCell ref="A2:F2"/>
    <mergeCell ref="A3:R3"/>
    <mergeCell ref="H9:R9"/>
    <mergeCell ref="H39:R39"/>
    <mergeCell ref="H34:R34"/>
    <mergeCell ref="A14:F14"/>
    <mergeCell ref="A33:R33"/>
    <mergeCell ref="G16:G18"/>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7"/>
  <sheetViews>
    <sheetView workbookViewId="0"/>
  </sheetViews>
  <sheetFormatPr defaultRowHeight="15.6" outlineLevelCol="1" x14ac:dyDescent="0.3"/>
  <cols>
    <col min="1" max="1" width="11.5546875" style="316" bestFit="1" customWidth="1"/>
    <col min="2" max="2" width="10.44140625" style="316" bestFit="1" customWidth="1"/>
    <col min="3" max="3" width="6.77734375" style="316" bestFit="1" customWidth="1"/>
    <col min="4" max="4" width="5.5546875" style="316" bestFit="1" customWidth="1"/>
    <col min="5" max="5" width="8.10937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17" width="4.21875" style="316" bestFit="1" customWidth="1"/>
    <col min="18" max="19" width="3.88671875" style="316" bestFit="1" customWidth="1"/>
    <col min="20" max="20" width="4.44140625" style="316" bestFit="1" customWidth="1"/>
    <col min="21" max="21" width="4.5546875" style="316" bestFit="1" customWidth="1"/>
    <col min="22" max="22" width="4.21875" style="316" bestFit="1" customWidth="1"/>
    <col min="23" max="23" width="4.33203125" style="316" bestFit="1" customWidth="1"/>
    <col min="24" max="24" width="4.1093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0" width="3.88671875" style="316" bestFit="1" customWidth="1"/>
    <col min="31"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1503</v>
      </c>
      <c r="D2" s="320" t="s">
        <v>311</v>
      </c>
      <c r="E2" s="319" t="s">
        <v>1498</v>
      </c>
      <c r="F2" s="319" t="s">
        <v>189</v>
      </c>
      <c r="G2" s="321">
        <v>0.96089999999999998</v>
      </c>
      <c r="H2" s="322">
        <v>179</v>
      </c>
      <c r="I2" s="322">
        <v>172</v>
      </c>
      <c r="J2" s="322">
        <v>0</v>
      </c>
      <c r="K2" s="319" t="s">
        <v>190</v>
      </c>
      <c r="L2" s="323">
        <v>45979</v>
      </c>
      <c r="M2" s="322">
        <v>0</v>
      </c>
      <c r="N2" s="322">
        <v>9</v>
      </c>
      <c r="O2" s="322">
        <v>64</v>
      </c>
      <c r="P2" s="319" t="s">
        <v>1495</v>
      </c>
      <c r="Q2" s="315"/>
      <c r="R2" s="322" t="s">
        <v>1494</v>
      </c>
      <c r="S2" s="322" t="s">
        <v>1521</v>
      </c>
      <c r="T2" s="322" t="s">
        <v>1522</v>
      </c>
      <c r="U2" s="322" t="s">
        <v>1336</v>
      </c>
      <c r="V2" s="322" t="s">
        <v>1337</v>
      </c>
      <c r="W2" s="322" t="s">
        <v>1405</v>
      </c>
      <c r="X2" s="322" t="s">
        <v>1490</v>
      </c>
      <c r="Y2" s="322" t="s">
        <v>1192</v>
      </c>
      <c r="Z2" s="322" t="s">
        <v>486</v>
      </c>
      <c r="AA2" s="322" t="s">
        <v>448</v>
      </c>
      <c r="AB2" s="322" t="s">
        <v>983</v>
      </c>
      <c r="AC2" s="322" t="s">
        <v>597</v>
      </c>
      <c r="AD2" s="322" t="s">
        <v>881</v>
      </c>
      <c r="AE2" s="322" t="s">
        <v>281</v>
      </c>
      <c r="AF2" s="322" t="s">
        <v>951</v>
      </c>
      <c r="AG2" s="315"/>
      <c r="AH2" s="315"/>
      <c r="AI2" s="315"/>
      <c r="AJ2" s="315"/>
    </row>
    <row r="3" spans="1:36" x14ac:dyDescent="0.3">
      <c r="A3" s="317" t="s">
        <v>199</v>
      </c>
      <c r="B3" s="318">
        <v>45983</v>
      </c>
      <c r="C3" s="319" t="s">
        <v>1503</v>
      </c>
      <c r="D3" s="320" t="s">
        <v>311</v>
      </c>
      <c r="E3" s="319" t="s">
        <v>1498</v>
      </c>
      <c r="F3" s="319" t="s">
        <v>189</v>
      </c>
      <c r="G3" s="321">
        <v>0.86029999999999995</v>
      </c>
      <c r="H3" s="322">
        <v>179</v>
      </c>
      <c r="I3" s="322">
        <v>154</v>
      </c>
      <c r="J3" s="322">
        <v>0</v>
      </c>
      <c r="K3" s="319" t="s">
        <v>190</v>
      </c>
      <c r="L3" s="323">
        <v>45980</v>
      </c>
      <c r="M3" s="322">
        <v>3</v>
      </c>
      <c r="N3" s="322">
        <v>5</v>
      </c>
      <c r="O3" s="322">
        <v>58</v>
      </c>
      <c r="P3" s="319" t="s">
        <v>1506</v>
      </c>
      <c r="Q3" s="315"/>
      <c r="R3" s="315"/>
      <c r="S3" s="322" t="s">
        <v>1338</v>
      </c>
      <c r="T3" s="322" t="s">
        <v>1523</v>
      </c>
      <c r="U3" s="322" t="s">
        <v>1524</v>
      </c>
      <c r="V3" s="322" t="s">
        <v>1525</v>
      </c>
      <c r="W3" s="322" t="s">
        <v>717</v>
      </c>
      <c r="X3" s="322" t="s">
        <v>707</v>
      </c>
      <c r="Y3" s="322" t="s">
        <v>981</v>
      </c>
      <c r="Z3" s="322" t="s">
        <v>585</v>
      </c>
      <c r="AA3" s="322" t="s">
        <v>450</v>
      </c>
      <c r="AB3" s="322" t="s">
        <v>1260</v>
      </c>
      <c r="AC3" s="322" t="s">
        <v>232</v>
      </c>
      <c r="AD3" s="322" t="s">
        <v>697</v>
      </c>
      <c r="AE3" s="322" t="s">
        <v>195</v>
      </c>
      <c r="AF3" s="322" t="s">
        <v>599</v>
      </c>
      <c r="AG3" s="315"/>
      <c r="AH3" s="315"/>
      <c r="AI3" s="315"/>
      <c r="AJ3" s="315"/>
    </row>
    <row r="4" spans="1:36" x14ac:dyDescent="0.3">
      <c r="A4" s="317" t="s">
        <v>290</v>
      </c>
      <c r="B4" s="318">
        <v>45987</v>
      </c>
      <c r="C4" s="319" t="s">
        <v>1513</v>
      </c>
      <c r="D4" s="320" t="s">
        <v>1526</v>
      </c>
      <c r="E4" s="319" t="s">
        <v>1498</v>
      </c>
      <c r="F4" s="319" t="s">
        <v>189</v>
      </c>
      <c r="G4" s="321">
        <v>0.87150000000000005</v>
      </c>
      <c r="H4" s="322">
        <v>179</v>
      </c>
      <c r="I4" s="322">
        <v>156</v>
      </c>
      <c r="J4" s="322">
        <v>0</v>
      </c>
      <c r="K4" s="319" t="s">
        <v>190</v>
      </c>
      <c r="L4" s="323">
        <v>45980</v>
      </c>
      <c r="M4" s="322">
        <v>4</v>
      </c>
      <c r="N4" s="322">
        <v>9</v>
      </c>
      <c r="O4" s="322">
        <v>39</v>
      </c>
      <c r="P4" s="319" t="s">
        <v>542</v>
      </c>
      <c r="Q4" s="315"/>
      <c r="R4" s="315"/>
      <c r="S4" s="315"/>
      <c r="T4" s="322" t="s">
        <v>1527</v>
      </c>
      <c r="U4" s="322" t="s">
        <v>1528</v>
      </c>
      <c r="V4" s="322" t="s">
        <v>720</v>
      </c>
      <c r="W4" s="322" t="s">
        <v>1529</v>
      </c>
      <c r="X4" s="322" t="s">
        <v>739</v>
      </c>
      <c r="Y4" s="322" t="s">
        <v>381</v>
      </c>
      <c r="Z4" s="322" t="s">
        <v>486</v>
      </c>
      <c r="AA4" s="322" t="s">
        <v>422</v>
      </c>
      <c r="AB4" s="322" t="s">
        <v>587</v>
      </c>
      <c r="AC4" s="322" t="s">
        <v>314</v>
      </c>
      <c r="AD4" s="322" t="s">
        <v>219</v>
      </c>
      <c r="AE4" s="322" t="s">
        <v>225</v>
      </c>
      <c r="AF4" s="322" t="s">
        <v>1195</v>
      </c>
      <c r="AG4" s="315"/>
      <c r="AH4" s="315"/>
      <c r="AI4" s="315"/>
      <c r="AJ4" s="315"/>
    </row>
    <row r="5" spans="1:36" x14ac:dyDescent="0.3">
      <c r="A5" s="317" t="s">
        <v>187</v>
      </c>
      <c r="B5" s="318">
        <v>45988</v>
      </c>
      <c r="C5" s="319" t="s">
        <v>1503</v>
      </c>
      <c r="D5" s="320" t="s">
        <v>311</v>
      </c>
      <c r="E5" s="319" t="s">
        <v>1498</v>
      </c>
      <c r="F5" s="319" t="s">
        <v>189</v>
      </c>
      <c r="G5" s="321">
        <v>0.74860000000000004</v>
      </c>
      <c r="H5" s="322">
        <v>179</v>
      </c>
      <c r="I5" s="322">
        <v>134</v>
      </c>
      <c r="J5" s="322">
        <v>0</v>
      </c>
      <c r="K5" s="319" t="s">
        <v>190</v>
      </c>
      <c r="L5" s="323">
        <v>45978</v>
      </c>
      <c r="M5" s="322">
        <v>0</v>
      </c>
      <c r="N5" s="322">
        <v>0</v>
      </c>
      <c r="O5" s="322">
        <v>17</v>
      </c>
      <c r="P5" s="319" t="s">
        <v>1506</v>
      </c>
      <c r="Q5" s="315"/>
      <c r="R5" s="315"/>
      <c r="S5" s="322" t="s">
        <v>1166</v>
      </c>
      <c r="T5" s="322" t="s">
        <v>1530</v>
      </c>
      <c r="U5" s="322" t="s">
        <v>1531</v>
      </c>
      <c r="V5" s="322" t="s">
        <v>538</v>
      </c>
      <c r="W5" s="322" t="s">
        <v>572</v>
      </c>
      <c r="X5" s="322" t="s">
        <v>739</v>
      </c>
      <c r="Y5" s="322" t="s">
        <v>381</v>
      </c>
      <c r="Z5" s="322" t="s">
        <v>486</v>
      </c>
      <c r="AA5" s="322" t="s">
        <v>1198</v>
      </c>
      <c r="AB5" s="322" t="s">
        <v>215</v>
      </c>
      <c r="AC5" s="322" t="s">
        <v>232</v>
      </c>
      <c r="AD5" s="322" t="s">
        <v>697</v>
      </c>
      <c r="AE5" s="322" t="s">
        <v>1193</v>
      </c>
      <c r="AF5" s="322" t="s">
        <v>292</v>
      </c>
      <c r="AG5" s="315"/>
      <c r="AH5" s="315"/>
      <c r="AI5" s="315"/>
      <c r="AJ5" s="315"/>
    </row>
    <row r="6" spans="1:36" x14ac:dyDescent="0.3">
      <c r="A6" s="317" t="s">
        <v>199</v>
      </c>
      <c r="B6" s="318">
        <v>45990</v>
      </c>
      <c r="C6" s="319" t="s">
        <v>1503</v>
      </c>
      <c r="D6" s="320" t="s">
        <v>311</v>
      </c>
      <c r="E6" s="319" t="s">
        <v>1498</v>
      </c>
      <c r="F6" s="319" t="s">
        <v>189</v>
      </c>
      <c r="G6" s="321">
        <v>0.6704</v>
      </c>
      <c r="H6" s="322">
        <v>179</v>
      </c>
      <c r="I6" s="322">
        <v>120</v>
      </c>
      <c r="J6" s="322">
        <v>0</v>
      </c>
      <c r="K6" s="319" t="s">
        <v>190</v>
      </c>
      <c r="L6" s="323">
        <v>45980</v>
      </c>
      <c r="M6" s="322">
        <v>2</v>
      </c>
      <c r="N6" s="322">
        <v>1</v>
      </c>
      <c r="O6" s="322">
        <v>3</v>
      </c>
      <c r="P6" s="319" t="s">
        <v>1519</v>
      </c>
      <c r="Q6" s="322" t="s">
        <v>1532</v>
      </c>
      <c r="R6" s="322" t="s">
        <v>1533</v>
      </c>
      <c r="S6" s="322" t="s">
        <v>1166</v>
      </c>
      <c r="T6" s="322" t="s">
        <v>1534</v>
      </c>
      <c r="U6" s="322" t="s">
        <v>1535</v>
      </c>
      <c r="V6" s="315"/>
      <c r="W6" s="315"/>
      <c r="X6" s="322" t="s">
        <v>739</v>
      </c>
      <c r="Y6" s="322" t="s">
        <v>294</v>
      </c>
      <c r="Z6" s="322" t="s">
        <v>733</v>
      </c>
      <c r="AA6" s="322" t="s">
        <v>631</v>
      </c>
      <c r="AB6" s="322" t="s">
        <v>215</v>
      </c>
      <c r="AC6" s="322" t="s">
        <v>228</v>
      </c>
      <c r="AD6" s="322" t="s">
        <v>331</v>
      </c>
      <c r="AE6" s="322" t="s">
        <v>281</v>
      </c>
      <c r="AF6" s="322" t="s">
        <v>1195</v>
      </c>
      <c r="AG6" s="315"/>
      <c r="AH6" s="315"/>
      <c r="AI6" s="315"/>
      <c r="AJ6" s="315"/>
    </row>
    <row r="7" spans="1:36" ht="21" x14ac:dyDescent="0.3">
      <c r="A7" s="324" t="s">
        <v>1638</v>
      </c>
      <c r="B7" s="325"/>
      <c r="C7" s="324">
        <f>SUBTOTAL(103,CAI_AHB_LF_LEGACY[Flt])</f>
        <v>5</v>
      </c>
      <c r="D7" s="324"/>
      <c r="E7" s="324">
        <f>SUBTOTAL(103,CAI_AHB_LF_LEGACY[Brd-Off])</f>
        <v>5</v>
      </c>
      <c r="F7" s="324"/>
      <c r="G7" s="326">
        <f>SUBTOTAL(101,CAI_AHB_LF_LEGACY[LF%])</f>
        <v>0.82233999999999996</v>
      </c>
      <c r="H7" s="327">
        <f>SUBTOTAL(109,CAI_AHB_LF_LEGACY[CAP])</f>
        <v>895</v>
      </c>
      <c r="I7" s="327">
        <f>SUBTOTAL(109,CAI_AHB_LF_LEGACY[BKG(Y)])</f>
        <v>736</v>
      </c>
      <c r="J7" s="327">
        <f>SUBTOTAL(109,CAI_AHB_LF_LEGACY[GRP(Y)])</f>
        <v>0</v>
      </c>
      <c r="K7" s="324"/>
      <c r="L7" s="325"/>
      <c r="M7" s="327">
        <f>SUBTOTAL(109,CAI_AHB_LF_LEGACY[TO-DAY])</f>
        <v>9</v>
      </c>
      <c r="N7" s="327">
        <f>SUBTOTAL(109,CAI_AHB_LF_LEGACY[Y-DAY])</f>
        <v>24</v>
      </c>
      <c r="O7" s="327">
        <f>SUBTOTAL(109,CAI_AHB_LF_LEGACY[WEEKLY])</f>
        <v>181</v>
      </c>
      <c r="P7" s="328"/>
      <c r="Q7" s="327">
        <f>SUBTOTAL(109,CAI_AHB_LF_LEGACY[Y])</f>
        <v>0</v>
      </c>
      <c r="R7" s="327">
        <f>SUBTOTAL(109,CAI_AHB_LF_LEGACY[B])</f>
        <v>0</v>
      </c>
      <c r="S7" s="327">
        <f>SUBTOTAL(109,CAI_AHB_LF_LEGACY[M])</f>
        <v>0</v>
      </c>
      <c r="T7" s="327">
        <f>SUBTOTAL(109,CAI_AHB_LF_LEGACY[H])</f>
        <v>0</v>
      </c>
      <c r="U7" s="327">
        <f>SUBTOTAL(109,CAI_AHB_LF_LEGACY[Q])</f>
        <v>0</v>
      </c>
      <c r="V7" s="327">
        <f>SUBTOTAL(109,CAI_AHB_LF_LEGACY[K])</f>
        <v>0</v>
      </c>
      <c r="W7" s="327">
        <f>SUBTOTAL(109,CAI_AHB_LF_LEGACY[V])</f>
        <v>0</v>
      </c>
      <c r="X7" s="327">
        <f>SUBTOTAL(109,CAI_AHB_LF_LEGACY[L])</f>
        <v>0</v>
      </c>
      <c r="Y7" s="327">
        <f>SUBTOTAL(109,CAI_AHB_LF_LEGACY[G])</f>
        <v>0</v>
      </c>
      <c r="Z7" s="327">
        <f>SUBTOTAL(109,CAI_AHB_LF_LEGACY[S])</f>
        <v>0</v>
      </c>
      <c r="AA7" s="327">
        <f>SUBTOTAL(109,CAI_AHB_LF_LEGACY[W])</f>
        <v>0</v>
      </c>
      <c r="AB7" s="327">
        <f>SUBTOTAL(109,CAI_AHB_LF_LEGACY[T])</f>
        <v>0</v>
      </c>
      <c r="AC7" s="327">
        <f>SUBTOTAL(109,CAI_AHB_LF_LEGACY[X])</f>
        <v>0</v>
      </c>
      <c r="AD7" s="327">
        <f>SUBTOTAL(109,CAI_AHB_LF_LEGACY[U])</f>
        <v>0</v>
      </c>
      <c r="AE7" s="327">
        <f>SUBTOTAL(109,CAI_AHB_LF_LEGACY[O])</f>
        <v>0</v>
      </c>
      <c r="AF7" s="327">
        <f>SUBTOTAL(109,CAI_AHB_LF_LEGACY[I])</f>
        <v>0</v>
      </c>
      <c r="AG7" s="327">
        <f>SUBTOTAL(109,CAI_AHB_LF_LEGACY[E])</f>
        <v>0</v>
      </c>
      <c r="AH7" s="327">
        <f>SUBTOTAL(109,CAI_AHB_LF_LEGACY[A])</f>
        <v>0</v>
      </c>
      <c r="AI7" s="327">
        <f>SUBTOTAL(109,CAI_AHB_LF_LEGACY[P])</f>
        <v>0</v>
      </c>
      <c r="AJ7" s="327">
        <f>SUBTOTAL(103,CAI_AHB_LF_LEGACY[N])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1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8.77734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385</v>
      </c>
      <c r="C2" s="105" t="s">
        <v>1499</v>
      </c>
      <c r="D2" s="104" t="s">
        <v>1498</v>
      </c>
      <c r="E2" s="104" t="s">
        <v>1536</v>
      </c>
      <c r="F2" s="104" t="s">
        <v>101</v>
      </c>
      <c r="G2" s="106">
        <v>5</v>
      </c>
      <c r="H2" s="107" t="s">
        <v>1500</v>
      </c>
    </row>
    <row r="3" spans="1:8" ht="19.8" customHeight="1" x14ac:dyDescent="0.3">
      <c r="A3" s="108" t="s">
        <v>235</v>
      </c>
      <c r="B3" s="109" t="s">
        <v>77</v>
      </c>
      <c r="C3" s="110" t="s">
        <v>1501</v>
      </c>
      <c r="D3" s="109" t="s">
        <v>1498</v>
      </c>
      <c r="E3" s="109" t="s">
        <v>311</v>
      </c>
      <c r="F3" s="109" t="s">
        <v>101</v>
      </c>
      <c r="G3" s="128">
        <v>1</v>
      </c>
      <c r="H3" s="111" t="s">
        <v>1502</v>
      </c>
    </row>
    <row r="4" spans="1:8" ht="19.8" customHeight="1" x14ac:dyDescent="0.3">
      <c r="A4" s="112">
        <v>45983</v>
      </c>
      <c r="B4" s="104" t="s">
        <v>385</v>
      </c>
      <c r="C4" s="105" t="s">
        <v>1505</v>
      </c>
      <c r="D4" s="104" t="s">
        <v>1498</v>
      </c>
      <c r="E4" s="113">
        <v>1.0034722222222221</v>
      </c>
      <c r="F4" s="104" t="s">
        <v>101</v>
      </c>
      <c r="G4" s="106">
        <v>9</v>
      </c>
      <c r="H4" s="107" t="s">
        <v>1500</v>
      </c>
    </row>
    <row r="5" spans="1:8" ht="19.8" customHeight="1" x14ac:dyDescent="0.3">
      <c r="A5" s="126">
        <v>45983</v>
      </c>
      <c r="B5" s="109" t="s">
        <v>77</v>
      </c>
      <c r="C5" s="110" t="s">
        <v>1501</v>
      </c>
      <c r="D5" s="109" t="s">
        <v>1498</v>
      </c>
      <c r="E5" s="127">
        <v>1.802083333333333</v>
      </c>
      <c r="F5" s="109" t="s">
        <v>101</v>
      </c>
      <c r="G5" s="128">
        <v>6</v>
      </c>
      <c r="H5" s="111" t="s">
        <v>1502</v>
      </c>
    </row>
    <row r="6" spans="1:8" ht="19.8" customHeight="1" x14ac:dyDescent="0.3">
      <c r="A6" s="112">
        <v>45986</v>
      </c>
      <c r="B6" s="104" t="s">
        <v>385</v>
      </c>
      <c r="C6" s="105" t="s">
        <v>1499</v>
      </c>
      <c r="D6" s="104" t="s">
        <v>1498</v>
      </c>
      <c r="E6" s="113">
        <v>1.7638888888888891</v>
      </c>
      <c r="F6" s="104" t="s">
        <v>101</v>
      </c>
      <c r="G6" s="106">
        <v>7</v>
      </c>
      <c r="H6" s="107" t="s">
        <v>1500</v>
      </c>
    </row>
    <row r="7" spans="1:8" ht="19.8" customHeight="1" x14ac:dyDescent="0.3">
      <c r="A7" s="112">
        <v>45986</v>
      </c>
      <c r="B7" s="104" t="s">
        <v>388</v>
      </c>
      <c r="C7" s="105" t="s">
        <v>1508</v>
      </c>
      <c r="D7" s="104" t="s">
        <v>1498</v>
      </c>
      <c r="E7" s="113">
        <v>1.104166666666667</v>
      </c>
      <c r="F7" s="104" t="s">
        <v>390</v>
      </c>
      <c r="G7" s="106">
        <v>2</v>
      </c>
      <c r="H7" s="107" t="s">
        <v>1509</v>
      </c>
    </row>
    <row r="8" spans="1:8" ht="19.8" customHeight="1" x14ac:dyDescent="0.3">
      <c r="A8" s="114">
        <v>45986</v>
      </c>
      <c r="B8" s="115" t="s">
        <v>388</v>
      </c>
      <c r="C8" s="116" t="s">
        <v>1508</v>
      </c>
      <c r="D8" s="115" t="s">
        <v>1498</v>
      </c>
      <c r="E8" s="117">
        <v>1.104166666666667</v>
      </c>
      <c r="F8" s="115" t="s">
        <v>46</v>
      </c>
      <c r="G8" s="118">
        <v>2</v>
      </c>
      <c r="H8" s="119" t="s">
        <v>1510</v>
      </c>
    </row>
    <row r="9" spans="1:8" ht="19.8" customHeight="1" x14ac:dyDescent="0.3">
      <c r="A9" s="126">
        <v>45987</v>
      </c>
      <c r="B9" s="109" t="s">
        <v>77</v>
      </c>
      <c r="C9" s="110" t="s">
        <v>1511</v>
      </c>
      <c r="D9" s="109" t="s">
        <v>1498</v>
      </c>
      <c r="E9" s="127">
        <v>1.84375</v>
      </c>
      <c r="F9" s="109" t="s">
        <v>101</v>
      </c>
      <c r="G9" s="128">
        <v>2</v>
      </c>
      <c r="H9" s="111" t="s">
        <v>1512</v>
      </c>
    </row>
    <row r="10" spans="1:8" ht="19.8" customHeight="1" x14ac:dyDescent="0.3">
      <c r="A10" s="112">
        <v>45988</v>
      </c>
      <c r="B10" s="104" t="s">
        <v>385</v>
      </c>
      <c r="C10" s="105" t="s">
        <v>1499</v>
      </c>
      <c r="D10" s="104" t="s">
        <v>1498</v>
      </c>
      <c r="E10" s="113">
        <v>1.802083333333333</v>
      </c>
      <c r="F10" s="104" t="s">
        <v>101</v>
      </c>
      <c r="G10" s="106">
        <v>9</v>
      </c>
      <c r="H10" s="107" t="s">
        <v>1500</v>
      </c>
    </row>
    <row r="11" spans="1:8" ht="19.8" customHeight="1" x14ac:dyDescent="0.3">
      <c r="A11" s="126">
        <v>45988</v>
      </c>
      <c r="B11" s="109" t="s">
        <v>77</v>
      </c>
      <c r="C11" s="110" t="s">
        <v>1501</v>
      </c>
      <c r="D11" s="109" t="s">
        <v>1498</v>
      </c>
      <c r="E11" s="127">
        <v>1.802083333333333</v>
      </c>
      <c r="F11" s="109" t="s">
        <v>101</v>
      </c>
      <c r="G11" s="128">
        <v>6</v>
      </c>
      <c r="H11" s="111" t="s">
        <v>1502</v>
      </c>
    </row>
    <row r="12" spans="1:8" ht="19.8" customHeight="1" x14ac:dyDescent="0.3">
      <c r="A12" s="112">
        <v>45989</v>
      </c>
      <c r="B12" s="104" t="s">
        <v>388</v>
      </c>
      <c r="C12" s="105" t="s">
        <v>1508</v>
      </c>
      <c r="D12" s="104" t="s">
        <v>1498</v>
      </c>
      <c r="E12" s="113">
        <v>1.725694444444444</v>
      </c>
      <c r="F12" s="104" t="s">
        <v>390</v>
      </c>
      <c r="G12" s="106">
        <v>9</v>
      </c>
      <c r="H12" s="107" t="s">
        <v>1516</v>
      </c>
    </row>
    <row r="13" spans="1:8" ht="19.8" customHeight="1" x14ac:dyDescent="0.3">
      <c r="A13" s="114">
        <v>45989</v>
      </c>
      <c r="B13" s="115" t="s">
        <v>388</v>
      </c>
      <c r="C13" s="116" t="s">
        <v>1508</v>
      </c>
      <c r="D13" s="115" t="s">
        <v>1498</v>
      </c>
      <c r="E13" s="117">
        <v>1.725694444444444</v>
      </c>
      <c r="F13" s="115" t="s">
        <v>46</v>
      </c>
      <c r="G13" s="118">
        <v>9</v>
      </c>
      <c r="H13" s="119" t="s">
        <v>1517</v>
      </c>
    </row>
    <row r="14" spans="1:8" ht="19.8" customHeight="1" x14ac:dyDescent="0.3">
      <c r="A14" s="112">
        <v>45990</v>
      </c>
      <c r="B14" s="104" t="s">
        <v>385</v>
      </c>
      <c r="C14" s="105" t="s">
        <v>1505</v>
      </c>
      <c r="D14" s="104" t="s">
        <v>1498</v>
      </c>
      <c r="E14" s="113">
        <v>1.0034722222222221</v>
      </c>
      <c r="F14" s="104" t="s">
        <v>101</v>
      </c>
      <c r="G14" s="106">
        <v>5</v>
      </c>
      <c r="H14" s="107" t="s">
        <v>1500</v>
      </c>
    </row>
    <row r="15" spans="1:8" ht="19.8" customHeight="1" x14ac:dyDescent="0.3">
      <c r="A15" s="126">
        <v>45990</v>
      </c>
      <c r="B15" s="109" t="s">
        <v>77</v>
      </c>
      <c r="C15" s="110" t="s">
        <v>1501</v>
      </c>
      <c r="D15" s="109" t="s">
        <v>1498</v>
      </c>
      <c r="E15" s="127">
        <v>1.802083333333333</v>
      </c>
      <c r="F15" s="109" t="s">
        <v>101</v>
      </c>
      <c r="G15" s="128">
        <v>9</v>
      </c>
      <c r="H15" s="111" t="s">
        <v>1518</v>
      </c>
    </row>
    <row r="16" spans="1:8" ht="19.8" customHeight="1" x14ac:dyDescent="0.3">
      <c r="A16" s="114">
        <v>45991</v>
      </c>
      <c r="B16" s="115" t="s">
        <v>385</v>
      </c>
      <c r="C16" s="116" t="s">
        <v>1499</v>
      </c>
      <c r="D16" s="115" t="s">
        <v>1498</v>
      </c>
      <c r="E16" s="117">
        <v>1.71875</v>
      </c>
      <c r="F16" s="115" t="s">
        <v>101</v>
      </c>
      <c r="G16" s="118">
        <v>9</v>
      </c>
      <c r="H16" s="119" t="s">
        <v>1500</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12"/>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8.77734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8" t="s">
        <v>235</v>
      </c>
      <c r="B2" s="109" t="s">
        <v>77</v>
      </c>
      <c r="C2" s="110" t="s">
        <v>1501</v>
      </c>
      <c r="D2" s="109" t="s">
        <v>1498</v>
      </c>
      <c r="E2" s="109" t="s">
        <v>311</v>
      </c>
      <c r="F2" s="109" t="s">
        <v>101</v>
      </c>
      <c r="G2" s="128">
        <v>1</v>
      </c>
      <c r="H2" s="111" t="s">
        <v>1502</v>
      </c>
    </row>
    <row r="3" spans="1:8" ht="19.8" customHeight="1" x14ac:dyDescent="0.3">
      <c r="A3" s="126">
        <v>45983</v>
      </c>
      <c r="B3" s="109" t="s">
        <v>77</v>
      </c>
      <c r="C3" s="110" t="s">
        <v>1501</v>
      </c>
      <c r="D3" s="109" t="s">
        <v>1498</v>
      </c>
      <c r="E3" s="127">
        <v>1.802083333333333</v>
      </c>
      <c r="F3" s="109" t="s">
        <v>101</v>
      </c>
      <c r="G3" s="128">
        <v>6</v>
      </c>
      <c r="H3" s="111" t="s">
        <v>1502</v>
      </c>
    </row>
    <row r="4" spans="1:8" ht="19.8" customHeight="1" x14ac:dyDescent="0.3">
      <c r="A4" s="112">
        <v>45986</v>
      </c>
      <c r="B4" s="104" t="s">
        <v>385</v>
      </c>
      <c r="C4" s="105" t="s">
        <v>1499</v>
      </c>
      <c r="D4" s="104" t="s">
        <v>1498</v>
      </c>
      <c r="E4" s="113">
        <v>1.7638888888888891</v>
      </c>
      <c r="F4" s="104" t="s">
        <v>101</v>
      </c>
      <c r="G4" s="106">
        <v>7</v>
      </c>
      <c r="H4" s="107" t="s">
        <v>1500</v>
      </c>
    </row>
    <row r="5" spans="1:8" ht="19.8" customHeight="1" x14ac:dyDescent="0.3">
      <c r="A5" s="112">
        <v>45986</v>
      </c>
      <c r="B5" s="104" t="s">
        <v>388</v>
      </c>
      <c r="C5" s="105" t="s">
        <v>1508</v>
      </c>
      <c r="D5" s="104" t="s">
        <v>1498</v>
      </c>
      <c r="E5" s="113">
        <v>1.104166666666667</v>
      </c>
      <c r="F5" s="104" t="s">
        <v>390</v>
      </c>
      <c r="G5" s="106">
        <v>2</v>
      </c>
      <c r="H5" s="107" t="s">
        <v>1509</v>
      </c>
    </row>
    <row r="6" spans="1:8" ht="19.8" customHeight="1" x14ac:dyDescent="0.3">
      <c r="A6" s="114">
        <v>45986</v>
      </c>
      <c r="B6" s="115" t="s">
        <v>388</v>
      </c>
      <c r="C6" s="116" t="s">
        <v>1508</v>
      </c>
      <c r="D6" s="115" t="s">
        <v>1498</v>
      </c>
      <c r="E6" s="117">
        <v>1.104166666666667</v>
      </c>
      <c r="F6" s="115" t="s">
        <v>46</v>
      </c>
      <c r="G6" s="118">
        <v>2</v>
      </c>
      <c r="H6" s="119" t="s">
        <v>1510</v>
      </c>
    </row>
    <row r="7" spans="1:8" ht="19.8" customHeight="1" x14ac:dyDescent="0.3">
      <c r="A7" s="126">
        <v>45987</v>
      </c>
      <c r="B7" s="109" t="s">
        <v>77</v>
      </c>
      <c r="C7" s="110" t="s">
        <v>1511</v>
      </c>
      <c r="D7" s="109" t="s">
        <v>1498</v>
      </c>
      <c r="E7" s="127">
        <v>1.84375</v>
      </c>
      <c r="F7" s="109" t="s">
        <v>101</v>
      </c>
      <c r="G7" s="128">
        <v>2</v>
      </c>
      <c r="H7" s="111" t="s">
        <v>1512</v>
      </c>
    </row>
    <row r="8" spans="1:8" ht="19.8" customHeight="1" x14ac:dyDescent="0.3">
      <c r="A8" s="126">
        <v>45988</v>
      </c>
      <c r="B8" s="109" t="s">
        <v>77</v>
      </c>
      <c r="C8" s="110" t="s">
        <v>1501</v>
      </c>
      <c r="D8" s="109" t="s">
        <v>1498</v>
      </c>
      <c r="E8" s="127">
        <v>1.802083333333333</v>
      </c>
      <c r="F8" s="109" t="s">
        <v>101</v>
      </c>
      <c r="G8" s="128">
        <v>6</v>
      </c>
      <c r="H8" s="111" t="s">
        <v>1502</v>
      </c>
    </row>
    <row r="9" spans="1:8" ht="19.8" customHeight="1" x14ac:dyDescent="0.3">
      <c r="A9" s="112">
        <v>45989</v>
      </c>
      <c r="B9" s="104" t="s">
        <v>388</v>
      </c>
      <c r="C9" s="105" t="s">
        <v>1508</v>
      </c>
      <c r="D9" s="104" t="s">
        <v>1498</v>
      </c>
      <c r="E9" s="113">
        <v>1.725694444444444</v>
      </c>
      <c r="F9" s="104" t="s">
        <v>390</v>
      </c>
      <c r="G9" s="106">
        <v>9</v>
      </c>
      <c r="H9" s="107" t="s">
        <v>1516</v>
      </c>
    </row>
    <row r="10" spans="1:8" ht="19.8" customHeight="1" x14ac:dyDescent="0.3">
      <c r="A10" s="114">
        <v>45989</v>
      </c>
      <c r="B10" s="115" t="s">
        <v>388</v>
      </c>
      <c r="C10" s="116" t="s">
        <v>1508</v>
      </c>
      <c r="D10" s="115" t="s">
        <v>1498</v>
      </c>
      <c r="E10" s="117">
        <v>1.725694444444444</v>
      </c>
      <c r="F10" s="115" t="s">
        <v>46</v>
      </c>
      <c r="G10" s="118">
        <v>9</v>
      </c>
      <c r="H10" s="119" t="s">
        <v>1517</v>
      </c>
    </row>
    <row r="11" spans="1:8" ht="19.8" customHeight="1" x14ac:dyDescent="0.3">
      <c r="A11" s="126">
        <v>45990</v>
      </c>
      <c r="B11" s="109" t="s">
        <v>77</v>
      </c>
      <c r="C11" s="110" t="s">
        <v>1501</v>
      </c>
      <c r="D11" s="109" t="s">
        <v>1498</v>
      </c>
      <c r="E11" s="127">
        <v>1.802083333333333</v>
      </c>
      <c r="F11" s="109" t="s">
        <v>101</v>
      </c>
      <c r="G11" s="128">
        <v>9</v>
      </c>
      <c r="H11" s="111" t="s">
        <v>1518</v>
      </c>
    </row>
    <row r="12" spans="1:8" ht="19.8" customHeight="1" x14ac:dyDescent="0.3">
      <c r="A12" s="114">
        <v>45991</v>
      </c>
      <c r="B12" s="115" t="s">
        <v>385</v>
      </c>
      <c r="C12" s="116" t="s">
        <v>1499</v>
      </c>
      <c r="D12" s="115" t="s">
        <v>1498</v>
      </c>
      <c r="E12" s="117">
        <v>1.71875</v>
      </c>
      <c r="F12" s="115" t="s">
        <v>101</v>
      </c>
      <c r="G12" s="118">
        <v>9</v>
      </c>
      <c r="H12" s="119" t="s">
        <v>1500</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15"/>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19"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3.21875" bestFit="1" customWidth="1"/>
  </cols>
  <sheetData>
    <row r="1" spans="1:92" ht="28.8" customHeight="1" x14ac:dyDescent="0.3">
      <c r="A1" s="303" t="s">
        <v>0</v>
      </c>
      <c r="B1" s="302"/>
      <c r="C1" s="302"/>
      <c r="D1" s="302"/>
      <c r="E1" s="302"/>
      <c r="F1" s="1" t="s">
        <v>1537</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45980.583895715623</v>
      </c>
      <c r="H2" s="302"/>
      <c r="I2" s="302"/>
      <c r="J2" s="302"/>
      <c r="K2" s="311">
        <v>45980.583895715987</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45982</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64" t="s">
        <v>77</v>
      </c>
      <c r="B6" s="164" t="s">
        <v>1538</v>
      </c>
      <c r="C6" s="165">
        <v>0.58333333333333337</v>
      </c>
      <c r="D6" s="164" t="s">
        <v>101</v>
      </c>
      <c r="E6" s="164" t="s">
        <v>63</v>
      </c>
      <c r="F6" s="164" t="s">
        <v>1539</v>
      </c>
      <c r="G6" s="297"/>
      <c r="H6" s="68" t="s">
        <v>1540</v>
      </c>
      <c r="I6" s="69">
        <v>0.92179999999999995</v>
      </c>
      <c r="J6" s="70">
        <v>165</v>
      </c>
      <c r="K6" s="71">
        <v>45980</v>
      </c>
      <c r="L6" s="70">
        <v>54</v>
      </c>
      <c r="M6" s="70">
        <v>6</v>
      </c>
      <c r="N6" s="70">
        <v>3</v>
      </c>
      <c r="O6" s="72" t="s">
        <v>739</v>
      </c>
      <c r="P6" s="73">
        <v>0.58333333333333337</v>
      </c>
      <c r="Q6" s="70">
        <v>179</v>
      </c>
      <c r="R6" s="74" t="s">
        <v>1541</v>
      </c>
    </row>
    <row r="7" spans="1:92" ht="17.399999999999999" customHeight="1" thickBot="1" x14ac:dyDescent="0.35">
      <c r="A7" s="329"/>
      <c r="B7" s="330"/>
      <c r="C7" s="330"/>
      <c r="D7" s="330"/>
      <c r="E7" s="330"/>
      <c r="F7" s="330"/>
      <c r="G7" s="330"/>
      <c r="H7" s="330"/>
      <c r="I7" s="330"/>
      <c r="J7" s="330"/>
      <c r="K7" s="330"/>
      <c r="L7" s="330"/>
      <c r="M7" s="330"/>
      <c r="N7" s="330"/>
      <c r="O7" s="330"/>
      <c r="P7" s="330"/>
      <c r="Q7" s="330"/>
      <c r="R7" s="331"/>
    </row>
    <row r="8" spans="1:92" ht="22.05" customHeight="1" thickTop="1" thickBot="1" x14ac:dyDescent="0.35">
      <c r="A8" s="300" t="s">
        <v>6</v>
      </c>
      <c r="B8" s="295"/>
      <c r="C8" s="295"/>
      <c r="D8" s="295"/>
      <c r="E8" s="295"/>
      <c r="F8" s="296"/>
      <c r="G8" s="31">
        <v>45989</v>
      </c>
      <c r="H8" s="294" t="s">
        <v>7</v>
      </c>
      <c r="I8" s="295"/>
      <c r="J8" s="295"/>
      <c r="K8" s="295"/>
      <c r="L8" s="295"/>
      <c r="M8" s="295"/>
      <c r="N8" s="295"/>
      <c r="O8" s="295"/>
      <c r="P8" s="295"/>
      <c r="Q8" s="295"/>
      <c r="R8" s="296"/>
    </row>
    <row r="9" spans="1:92" ht="24" customHeight="1" x14ac:dyDescent="0.3">
      <c r="A9" s="32" t="s">
        <v>8</v>
      </c>
      <c r="B9" s="32" t="s">
        <v>9</v>
      </c>
      <c r="C9" s="33" t="s">
        <v>10</v>
      </c>
      <c r="D9" s="32" t="s">
        <v>11</v>
      </c>
      <c r="E9" s="32" t="s">
        <v>12</v>
      </c>
      <c r="F9" s="34" t="s">
        <v>13</v>
      </c>
      <c r="G9" s="35" t="s">
        <v>14</v>
      </c>
      <c r="H9" s="32" t="s">
        <v>15</v>
      </c>
      <c r="I9" s="36" t="s">
        <v>16</v>
      </c>
      <c r="J9" s="37" t="s">
        <v>17</v>
      </c>
      <c r="K9" s="38" t="s">
        <v>18</v>
      </c>
      <c r="L9" s="37" t="s">
        <v>19</v>
      </c>
      <c r="M9" s="37" t="s">
        <v>20</v>
      </c>
      <c r="N9" s="37" t="s">
        <v>21</v>
      </c>
      <c r="O9" s="32" t="s">
        <v>22</v>
      </c>
      <c r="P9" s="33" t="s">
        <v>23</v>
      </c>
      <c r="Q9" s="37" t="s">
        <v>24</v>
      </c>
      <c r="R9" s="32" t="s">
        <v>25</v>
      </c>
    </row>
    <row r="10" spans="1:92" ht="49.95" customHeight="1" x14ac:dyDescent="0.3">
      <c r="A10" s="129" t="s">
        <v>77</v>
      </c>
      <c r="B10" s="129" t="s">
        <v>1538</v>
      </c>
      <c r="C10" s="130">
        <v>0.58333333333333337</v>
      </c>
      <c r="D10" s="129" t="s">
        <v>101</v>
      </c>
      <c r="E10" s="129" t="s">
        <v>63</v>
      </c>
      <c r="F10" s="129" t="s">
        <v>143</v>
      </c>
      <c r="G10" s="297"/>
      <c r="H10" s="131" t="s">
        <v>1540</v>
      </c>
      <c r="I10" s="132">
        <v>0.87709999999999999</v>
      </c>
      <c r="J10" s="133">
        <v>157</v>
      </c>
      <c r="K10" s="134">
        <v>45980</v>
      </c>
      <c r="L10" s="133">
        <v>70</v>
      </c>
      <c r="M10" s="133">
        <v>3</v>
      </c>
      <c r="N10" s="133">
        <v>16</v>
      </c>
      <c r="O10" s="135" t="s">
        <v>381</v>
      </c>
      <c r="P10" s="136">
        <v>0.58333333333333337</v>
      </c>
      <c r="Q10" s="133">
        <v>179</v>
      </c>
      <c r="R10" s="137" t="s">
        <v>1542</v>
      </c>
    </row>
    <row r="11" spans="1:92" ht="18" x14ac:dyDescent="0.3">
      <c r="A11" s="312" t="s">
        <v>1543</v>
      </c>
      <c r="B11" s="313"/>
      <c r="C11" s="313"/>
      <c r="D11" s="313"/>
      <c r="E11" s="313"/>
      <c r="F11" s="314"/>
      <c r="G11" s="298"/>
      <c r="H11" s="138"/>
      <c r="I11" s="138"/>
      <c r="J11" s="138"/>
      <c r="K11" s="138"/>
      <c r="L11" s="138"/>
      <c r="M11" s="138"/>
      <c r="N11" s="138"/>
      <c r="O11" s="139"/>
      <c r="P11" s="138"/>
      <c r="Q11" s="99"/>
      <c r="R11" s="99"/>
    </row>
    <row r="12" spans="1:92" ht="49.95" customHeight="1" x14ac:dyDescent="0.3">
      <c r="A12" s="17" t="s">
        <v>388</v>
      </c>
      <c r="B12" s="17" t="s">
        <v>1508</v>
      </c>
      <c r="C12" s="18" t="s">
        <v>1180</v>
      </c>
      <c r="D12" s="17" t="s">
        <v>390</v>
      </c>
      <c r="E12" s="17" t="s">
        <v>254</v>
      </c>
      <c r="F12" s="17" t="s">
        <v>1516</v>
      </c>
      <c r="G12" s="298"/>
      <c r="H12" s="138"/>
      <c r="I12" s="138"/>
      <c r="J12" s="138"/>
      <c r="K12" s="138"/>
      <c r="L12" s="138"/>
      <c r="M12" s="138"/>
      <c r="N12" s="138"/>
      <c r="O12" s="139"/>
      <c r="P12" s="138"/>
      <c r="Q12" s="99"/>
      <c r="R12" s="99"/>
    </row>
    <row r="13" spans="1:92" ht="49.95" customHeight="1" thickBot="1" x14ac:dyDescent="0.35">
      <c r="A13" s="39" t="s">
        <v>388</v>
      </c>
      <c r="B13" s="39" t="s">
        <v>1508</v>
      </c>
      <c r="C13" s="40" t="s">
        <v>1180</v>
      </c>
      <c r="D13" s="39" t="s">
        <v>46</v>
      </c>
      <c r="E13" s="39" t="s">
        <v>254</v>
      </c>
      <c r="F13" s="39" t="s">
        <v>1517</v>
      </c>
      <c r="G13" s="299"/>
      <c r="H13" s="140"/>
      <c r="I13" s="140"/>
      <c r="J13" s="140"/>
      <c r="K13" s="140"/>
      <c r="L13" s="140"/>
      <c r="M13" s="140"/>
      <c r="N13" s="140"/>
      <c r="O13" s="141"/>
      <c r="P13" s="140"/>
      <c r="Q13" s="142"/>
      <c r="R13" s="142"/>
    </row>
    <row r="14" spans="1:92" ht="17.399999999999999" customHeight="1" thickBot="1" x14ac:dyDescent="0.35">
      <c r="A14" s="329"/>
      <c r="B14" s="330"/>
      <c r="C14" s="330"/>
      <c r="D14" s="330"/>
      <c r="E14" s="330"/>
      <c r="F14" s="330"/>
      <c r="G14" s="330"/>
      <c r="H14" s="330"/>
      <c r="I14" s="330"/>
      <c r="J14" s="330"/>
      <c r="K14" s="330"/>
      <c r="L14" s="330"/>
      <c r="M14" s="330"/>
      <c r="N14" s="330"/>
      <c r="O14" s="330"/>
      <c r="P14" s="330"/>
      <c r="Q14" s="330"/>
      <c r="R14" s="331"/>
    </row>
    <row r="15" spans="1:92" ht="15" thickTop="1" x14ac:dyDescent="0.3"/>
  </sheetData>
  <mergeCells count="16">
    <mergeCell ref="A14:R14"/>
    <mergeCell ref="H4:R4"/>
    <mergeCell ref="G6"/>
    <mergeCell ref="N1:R1"/>
    <mergeCell ref="H1:L1"/>
    <mergeCell ref="A1:E1"/>
    <mergeCell ref="G2:J2"/>
    <mergeCell ref="K2:R2"/>
    <mergeCell ref="A4:F4"/>
    <mergeCell ref="A2:F2"/>
    <mergeCell ref="G10:G13"/>
    <mergeCell ref="A3:R3"/>
    <mergeCell ref="H8:R8"/>
    <mergeCell ref="A11:F11"/>
    <mergeCell ref="A7:R7"/>
    <mergeCell ref="A8:F8"/>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4"/>
  <sheetViews>
    <sheetView workbookViewId="0"/>
  </sheetViews>
  <sheetFormatPr defaultRowHeight="15.6" outlineLevelCol="1" x14ac:dyDescent="0.3"/>
  <cols>
    <col min="1" max="1" width="6.88671875" style="316" bestFit="1" customWidth="1"/>
    <col min="2" max="2" width="10.44140625" style="316" bestFit="1" customWidth="1"/>
    <col min="3" max="3" width="6.77734375" style="316" bestFit="1" customWidth="1"/>
    <col min="4" max="4" width="5.5546875" style="316" bestFit="1" customWidth="1"/>
    <col min="5" max="5" width="8.3320312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4" width="3.886718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606</v>
      </c>
      <c r="B2" s="318">
        <v>45982</v>
      </c>
      <c r="C2" s="319" t="s">
        <v>1540</v>
      </c>
      <c r="D2" s="320" t="s">
        <v>1544</v>
      </c>
      <c r="E2" s="319" t="s">
        <v>1537</v>
      </c>
      <c r="F2" s="319" t="s">
        <v>189</v>
      </c>
      <c r="G2" s="321">
        <v>0.92179999999999995</v>
      </c>
      <c r="H2" s="322">
        <v>179</v>
      </c>
      <c r="I2" s="322">
        <v>165</v>
      </c>
      <c r="J2" s="322">
        <v>0</v>
      </c>
      <c r="K2" s="319" t="s">
        <v>190</v>
      </c>
      <c r="L2" s="323">
        <v>45980</v>
      </c>
      <c r="M2" s="322">
        <v>6</v>
      </c>
      <c r="N2" s="322">
        <v>3</v>
      </c>
      <c r="O2" s="322">
        <v>54</v>
      </c>
      <c r="P2" s="319" t="s">
        <v>739</v>
      </c>
      <c r="Q2" s="315"/>
      <c r="R2" s="315"/>
      <c r="S2" s="315"/>
      <c r="T2" s="315"/>
      <c r="U2" s="315"/>
      <c r="V2" s="315"/>
      <c r="W2" s="315"/>
      <c r="X2" s="322" t="s">
        <v>1172</v>
      </c>
      <c r="Y2" s="322" t="s">
        <v>1487</v>
      </c>
      <c r="Z2" s="322" t="s">
        <v>687</v>
      </c>
      <c r="AA2" s="322" t="s">
        <v>1545</v>
      </c>
      <c r="AB2" s="322" t="s">
        <v>725</v>
      </c>
      <c r="AC2" s="322" t="s">
        <v>879</v>
      </c>
      <c r="AD2" s="322" t="s">
        <v>325</v>
      </c>
      <c r="AE2" s="322" t="s">
        <v>1546</v>
      </c>
      <c r="AF2" s="315"/>
      <c r="AG2" s="315"/>
      <c r="AH2" s="315"/>
      <c r="AI2" s="315"/>
      <c r="AJ2" s="315"/>
    </row>
    <row r="3" spans="1:36" x14ac:dyDescent="0.3">
      <c r="A3" s="317" t="s">
        <v>606</v>
      </c>
      <c r="B3" s="318">
        <v>45989</v>
      </c>
      <c r="C3" s="319" t="s">
        <v>1540</v>
      </c>
      <c r="D3" s="320" t="s">
        <v>1544</v>
      </c>
      <c r="E3" s="319" t="s">
        <v>1537</v>
      </c>
      <c r="F3" s="319" t="s">
        <v>189</v>
      </c>
      <c r="G3" s="321">
        <v>0.87709999999999999</v>
      </c>
      <c r="H3" s="322">
        <v>179</v>
      </c>
      <c r="I3" s="322">
        <v>157</v>
      </c>
      <c r="J3" s="322">
        <v>0</v>
      </c>
      <c r="K3" s="319" t="s">
        <v>190</v>
      </c>
      <c r="L3" s="323">
        <v>45980</v>
      </c>
      <c r="M3" s="322">
        <v>3</v>
      </c>
      <c r="N3" s="322">
        <v>16</v>
      </c>
      <c r="O3" s="322">
        <v>70</v>
      </c>
      <c r="P3" s="319" t="s">
        <v>381</v>
      </c>
      <c r="Q3" s="315"/>
      <c r="R3" s="315"/>
      <c r="S3" s="315"/>
      <c r="T3" s="315"/>
      <c r="U3" s="315"/>
      <c r="V3" s="315"/>
      <c r="W3" s="315"/>
      <c r="X3" s="315"/>
      <c r="Y3" s="322" t="s">
        <v>686</v>
      </c>
      <c r="Z3" s="322" t="s">
        <v>1253</v>
      </c>
      <c r="AA3" s="322" t="s">
        <v>728</v>
      </c>
      <c r="AB3" s="322" t="s">
        <v>1547</v>
      </c>
      <c r="AC3" s="322" t="s">
        <v>324</v>
      </c>
      <c r="AD3" s="322" t="s">
        <v>1548</v>
      </c>
      <c r="AE3" s="322" t="s">
        <v>1549</v>
      </c>
      <c r="AF3" s="315"/>
      <c r="AG3" s="315"/>
      <c r="AH3" s="315"/>
      <c r="AI3" s="315"/>
      <c r="AJ3" s="315"/>
    </row>
    <row r="4" spans="1:36" ht="21" x14ac:dyDescent="0.3">
      <c r="A4" s="324" t="s">
        <v>1638</v>
      </c>
      <c r="B4" s="325"/>
      <c r="C4" s="324">
        <f>SUBTOTAL(103,ATZ_AHB_LF_LEGACY[Flt])</f>
        <v>2</v>
      </c>
      <c r="D4" s="324"/>
      <c r="E4" s="324">
        <f>SUBTOTAL(103,ATZ_AHB_LF_LEGACY[Brd-Off])</f>
        <v>2</v>
      </c>
      <c r="F4" s="324"/>
      <c r="G4" s="326">
        <f>SUBTOTAL(101,ATZ_AHB_LF_LEGACY[LF%])</f>
        <v>0.89944999999999997</v>
      </c>
      <c r="H4" s="327">
        <f>SUBTOTAL(109,ATZ_AHB_LF_LEGACY[CAP])</f>
        <v>358</v>
      </c>
      <c r="I4" s="327">
        <f>SUBTOTAL(109,ATZ_AHB_LF_LEGACY[BKG(Y)])</f>
        <v>322</v>
      </c>
      <c r="J4" s="327">
        <f>SUBTOTAL(109,ATZ_AHB_LF_LEGACY[GRP(Y)])</f>
        <v>0</v>
      </c>
      <c r="K4" s="324"/>
      <c r="L4" s="325"/>
      <c r="M4" s="327">
        <f>SUBTOTAL(109,ATZ_AHB_LF_LEGACY[TO-DAY])</f>
        <v>9</v>
      </c>
      <c r="N4" s="327">
        <f>SUBTOTAL(109,ATZ_AHB_LF_LEGACY[Y-DAY])</f>
        <v>19</v>
      </c>
      <c r="O4" s="327">
        <f>SUBTOTAL(109,ATZ_AHB_LF_LEGACY[WEEKLY])</f>
        <v>124</v>
      </c>
      <c r="P4" s="328"/>
      <c r="Q4" s="327">
        <f>SUBTOTAL(109,ATZ_AHB_LF_LEGACY[Y])</f>
        <v>0</v>
      </c>
      <c r="R4" s="327">
        <f>SUBTOTAL(109,ATZ_AHB_LF_LEGACY[B])</f>
        <v>0</v>
      </c>
      <c r="S4" s="327">
        <f>SUBTOTAL(109,ATZ_AHB_LF_LEGACY[M])</f>
        <v>0</v>
      </c>
      <c r="T4" s="327">
        <f>SUBTOTAL(109,ATZ_AHB_LF_LEGACY[H])</f>
        <v>0</v>
      </c>
      <c r="U4" s="327">
        <f>SUBTOTAL(109,ATZ_AHB_LF_LEGACY[Q])</f>
        <v>0</v>
      </c>
      <c r="V4" s="327">
        <f>SUBTOTAL(109,ATZ_AHB_LF_LEGACY[K])</f>
        <v>0</v>
      </c>
      <c r="W4" s="327">
        <f>SUBTOTAL(109,ATZ_AHB_LF_LEGACY[V])</f>
        <v>0</v>
      </c>
      <c r="X4" s="327">
        <f>SUBTOTAL(109,ATZ_AHB_LF_LEGACY[L])</f>
        <v>0</v>
      </c>
      <c r="Y4" s="327">
        <f>SUBTOTAL(109,ATZ_AHB_LF_LEGACY[G])</f>
        <v>0</v>
      </c>
      <c r="Z4" s="327">
        <f>SUBTOTAL(109,ATZ_AHB_LF_LEGACY[S])</f>
        <v>0</v>
      </c>
      <c r="AA4" s="327">
        <f>SUBTOTAL(109,ATZ_AHB_LF_LEGACY[W])</f>
        <v>0</v>
      </c>
      <c r="AB4" s="327">
        <f>SUBTOTAL(109,ATZ_AHB_LF_LEGACY[T])</f>
        <v>0</v>
      </c>
      <c r="AC4" s="327">
        <f>SUBTOTAL(109,ATZ_AHB_LF_LEGACY[X])</f>
        <v>0</v>
      </c>
      <c r="AD4" s="327">
        <f>SUBTOTAL(109,ATZ_AHB_LF_LEGACY[U])</f>
        <v>0</v>
      </c>
      <c r="AE4" s="327">
        <f>SUBTOTAL(109,ATZ_AHB_LF_LEGACY[O])</f>
        <v>0</v>
      </c>
      <c r="AF4" s="327">
        <f>SUBTOTAL(109,ATZ_AHB_LF_LEGACY[I])</f>
        <v>0</v>
      </c>
      <c r="AG4" s="327">
        <f>SUBTOTAL(109,ATZ_AHB_LF_LEGACY[E])</f>
        <v>0</v>
      </c>
      <c r="AH4" s="327">
        <f>SUBTOTAL(109,ATZ_AHB_LF_LEGACY[A])</f>
        <v>0</v>
      </c>
      <c r="AI4" s="327">
        <f>SUBTOTAL(109,ATZ_AHB_LF_LEGACY[P])</f>
        <v>0</v>
      </c>
      <c r="AJ4" s="327">
        <f>SUBTOTAL(103,ATZ_AHB_LF_LEGACY[N])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2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8.218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75"/>
      <c r="B2" s="176"/>
      <c r="C2" s="176"/>
      <c r="D2" s="176"/>
      <c r="E2" s="176"/>
      <c r="F2" s="177" t="s">
        <v>1550</v>
      </c>
      <c r="G2" s="176"/>
      <c r="H2" s="178"/>
    </row>
    <row r="3" spans="1:8" ht="19.8" customHeight="1" x14ac:dyDescent="0.3">
      <c r="A3" s="103" t="s">
        <v>235</v>
      </c>
      <c r="B3" s="104" t="s">
        <v>385</v>
      </c>
      <c r="C3" s="105" t="s">
        <v>1499</v>
      </c>
      <c r="D3" s="104" t="s">
        <v>1498</v>
      </c>
      <c r="E3" s="104" t="s">
        <v>1536</v>
      </c>
      <c r="F3" s="104" t="s">
        <v>101</v>
      </c>
      <c r="G3" s="106">
        <v>5</v>
      </c>
      <c r="H3" s="107" t="s">
        <v>1500</v>
      </c>
    </row>
    <row r="4" spans="1:8" ht="19.8" customHeight="1" x14ac:dyDescent="0.3">
      <c r="A4" s="190" t="s">
        <v>235</v>
      </c>
      <c r="B4" s="115" t="s">
        <v>77</v>
      </c>
      <c r="C4" s="116" t="s">
        <v>1501</v>
      </c>
      <c r="D4" s="115" t="s">
        <v>1498</v>
      </c>
      <c r="E4" s="115" t="s">
        <v>311</v>
      </c>
      <c r="F4" s="115" t="s">
        <v>101</v>
      </c>
      <c r="G4" s="118">
        <v>1</v>
      </c>
      <c r="H4" s="119" t="s">
        <v>1502</v>
      </c>
    </row>
    <row r="5" spans="1:8" ht="19.8" customHeight="1" x14ac:dyDescent="0.3">
      <c r="A5" s="108" t="s">
        <v>333</v>
      </c>
      <c r="B5" s="109" t="s">
        <v>77</v>
      </c>
      <c r="C5" s="110" t="s">
        <v>1538</v>
      </c>
      <c r="D5" s="109" t="s">
        <v>1537</v>
      </c>
      <c r="E5" s="109" t="s">
        <v>1544</v>
      </c>
      <c r="F5" s="109" t="s">
        <v>101</v>
      </c>
      <c r="G5" s="128">
        <v>9</v>
      </c>
      <c r="H5" s="111" t="s">
        <v>1539</v>
      </c>
    </row>
    <row r="6" spans="1:8" ht="19.8" customHeight="1" x14ac:dyDescent="0.3">
      <c r="A6" s="175"/>
      <c r="B6" s="176"/>
      <c r="C6" s="176"/>
      <c r="D6" s="176"/>
      <c r="E6" s="176"/>
      <c r="F6" s="177" t="s">
        <v>1550</v>
      </c>
      <c r="G6" s="176"/>
      <c r="H6" s="178"/>
    </row>
    <row r="7" spans="1:8" ht="19.8" customHeight="1" x14ac:dyDescent="0.3">
      <c r="A7" s="112">
        <v>45983</v>
      </c>
      <c r="B7" s="104" t="s">
        <v>385</v>
      </c>
      <c r="C7" s="105" t="s">
        <v>1505</v>
      </c>
      <c r="D7" s="104" t="s">
        <v>1498</v>
      </c>
      <c r="E7" s="113">
        <v>1.0034722222222221</v>
      </c>
      <c r="F7" s="104" t="s">
        <v>101</v>
      </c>
      <c r="G7" s="106">
        <v>9</v>
      </c>
      <c r="H7" s="107" t="s">
        <v>1500</v>
      </c>
    </row>
    <row r="8" spans="1:8" ht="19.8" customHeight="1" x14ac:dyDescent="0.3">
      <c r="A8" s="114">
        <v>45983</v>
      </c>
      <c r="B8" s="115" t="s">
        <v>77</v>
      </c>
      <c r="C8" s="116" t="s">
        <v>1501</v>
      </c>
      <c r="D8" s="115" t="s">
        <v>1498</v>
      </c>
      <c r="E8" s="117">
        <v>1.802083333333333</v>
      </c>
      <c r="F8" s="115" t="s">
        <v>101</v>
      </c>
      <c r="G8" s="118">
        <v>6</v>
      </c>
      <c r="H8" s="119" t="s">
        <v>1502</v>
      </c>
    </row>
    <row r="9" spans="1:8" ht="19.8" customHeight="1" x14ac:dyDescent="0.3">
      <c r="A9" s="175"/>
      <c r="B9" s="176"/>
      <c r="C9" s="176"/>
      <c r="D9" s="176"/>
      <c r="E9" s="176"/>
      <c r="F9" s="177" t="s">
        <v>1550</v>
      </c>
      <c r="G9" s="176"/>
      <c r="H9" s="178"/>
    </row>
    <row r="10" spans="1:8" ht="19.8" customHeight="1" x14ac:dyDescent="0.3">
      <c r="A10" s="112">
        <v>45986</v>
      </c>
      <c r="B10" s="104" t="s">
        <v>385</v>
      </c>
      <c r="C10" s="105" t="s">
        <v>1499</v>
      </c>
      <c r="D10" s="104" t="s">
        <v>1498</v>
      </c>
      <c r="E10" s="113">
        <v>1.7638888888888891</v>
      </c>
      <c r="F10" s="104" t="s">
        <v>101</v>
      </c>
      <c r="G10" s="106">
        <v>7</v>
      </c>
      <c r="H10" s="107" t="s">
        <v>1500</v>
      </c>
    </row>
    <row r="11" spans="1:8" ht="19.8" customHeight="1" x14ac:dyDescent="0.3">
      <c r="A11" s="112">
        <v>45986</v>
      </c>
      <c r="B11" s="104" t="s">
        <v>388</v>
      </c>
      <c r="C11" s="105" t="s">
        <v>1508</v>
      </c>
      <c r="D11" s="104" t="s">
        <v>1498</v>
      </c>
      <c r="E11" s="113">
        <v>1.104166666666667</v>
      </c>
      <c r="F11" s="104" t="s">
        <v>390</v>
      </c>
      <c r="G11" s="106">
        <v>2</v>
      </c>
      <c r="H11" s="107" t="s">
        <v>1509</v>
      </c>
    </row>
    <row r="12" spans="1:8" ht="19.8" customHeight="1" x14ac:dyDescent="0.3">
      <c r="A12" s="114">
        <v>45986</v>
      </c>
      <c r="B12" s="115" t="s">
        <v>388</v>
      </c>
      <c r="C12" s="116" t="s">
        <v>1508</v>
      </c>
      <c r="D12" s="115" t="s">
        <v>1498</v>
      </c>
      <c r="E12" s="117">
        <v>1.104166666666667</v>
      </c>
      <c r="F12" s="115" t="s">
        <v>46</v>
      </c>
      <c r="G12" s="118">
        <v>2</v>
      </c>
      <c r="H12" s="119" t="s">
        <v>1510</v>
      </c>
    </row>
    <row r="13" spans="1:8" ht="19.8" customHeight="1" x14ac:dyDescent="0.3">
      <c r="A13" s="175"/>
      <c r="B13" s="176"/>
      <c r="C13" s="176"/>
      <c r="D13" s="176"/>
      <c r="E13" s="176"/>
      <c r="F13" s="177" t="s">
        <v>1550</v>
      </c>
      <c r="G13" s="176"/>
      <c r="H13" s="178"/>
    </row>
    <row r="14" spans="1:8" ht="19.8" customHeight="1" x14ac:dyDescent="0.3">
      <c r="A14" s="114">
        <v>45987</v>
      </c>
      <c r="B14" s="115" t="s">
        <v>77</v>
      </c>
      <c r="C14" s="116" t="s">
        <v>1511</v>
      </c>
      <c r="D14" s="115" t="s">
        <v>1498</v>
      </c>
      <c r="E14" s="117">
        <v>1.84375</v>
      </c>
      <c r="F14" s="115" t="s">
        <v>101</v>
      </c>
      <c r="G14" s="118">
        <v>2</v>
      </c>
      <c r="H14" s="119" t="s">
        <v>1512</v>
      </c>
    </row>
    <row r="15" spans="1:8" ht="19.8" customHeight="1" x14ac:dyDescent="0.3">
      <c r="A15" s="175"/>
      <c r="B15" s="176"/>
      <c r="C15" s="176"/>
      <c r="D15" s="176"/>
      <c r="E15" s="176"/>
      <c r="F15" s="177" t="s">
        <v>1550</v>
      </c>
      <c r="G15" s="176"/>
      <c r="H15" s="178"/>
    </row>
    <row r="16" spans="1:8" ht="19.8" customHeight="1" x14ac:dyDescent="0.3">
      <c r="A16" s="112">
        <v>45988</v>
      </c>
      <c r="B16" s="104" t="s">
        <v>385</v>
      </c>
      <c r="C16" s="105" t="s">
        <v>1499</v>
      </c>
      <c r="D16" s="104" t="s">
        <v>1498</v>
      </c>
      <c r="E16" s="113">
        <v>1.802083333333333</v>
      </c>
      <c r="F16" s="104" t="s">
        <v>101</v>
      </c>
      <c r="G16" s="106">
        <v>9</v>
      </c>
      <c r="H16" s="107" t="s">
        <v>1500</v>
      </c>
    </row>
    <row r="17" spans="1:8" ht="19.8" customHeight="1" x14ac:dyDescent="0.3">
      <c r="A17" s="114">
        <v>45988</v>
      </c>
      <c r="B17" s="115" t="s">
        <v>77</v>
      </c>
      <c r="C17" s="116" t="s">
        <v>1501</v>
      </c>
      <c r="D17" s="115" t="s">
        <v>1498</v>
      </c>
      <c r="E17" s="117">
        <v>1.802083333333333</v>
      </c>
      <c r="F17" s="115" t="s">
        <v>101</v>
      </c>
      <c r="G17" s="118">
        <v>6</v>
      </c>
      <c r="H17" s="119" t="s">
        <v>1502</v>
      </c>
    </row>
    <row r="18" spans="1:8" ht="19.8" customHeight="1" x14ac:dyDescent="0.3">
      <c r="A18" s="120">
        <v>45989</v>
      </c>
      <c r="B18" s="121" t="s">
        <v>77</v>
      </c>
      <c r="C18" s="122" t="s">
        <v>1538</v>
      </c>
      <c r="D18" s="121" t="s">
        <v>1537</v>
      </c>
      <c r="E18" s="123">
        <v>1.583333333333333</v>
      </c>
      <c r="F18" s="121" t="s">
        <v>101</v>
      </c>
      <c r="G18" s="124">
        <v>9</v>
      </c>
      <c r="H18" s="125" t="s">
        <v>143</v>
      </c>
    </row>
    <row r="19" spans="1:8" ht="19.8" customHeight="1" x14ac:dyDescent="0.3">
      <c r="A19" s="175"/>
      <c r="B19" s="176"/>
      <c r="C19" s="176"/>
      <c r="D19" s="176"/>
      <c r="E19" s="176"/>
      <c r="F19" s="177" t="s">
        <v>1550</v>
      </c>
      <c r="G19" s="176"/>
      <c r="H19" s="178"/>
    </row>
    <row r="20" spans="1:8" ht="19.8" customHeight="1" x14ac:dyDescent="0.3">
      <c r="A20" s="112">
        <v>45989</v>
      </c>
      <c r="B20" s="104" t="s">
        <v>388</v>
      </c>
      <c r="C20" s="105" t="s">
        <v>1508</v>
      </c>
      <c r="D20" s="104" t="s">
        <v>1498</v>
      </c>
      <c r="E20" s="113">
        <v>1.725694444444444</v>
      </c>
      <c r="F20" s="104" t="s">
        <v>390</v>
      </c>
      <c r="G20" s="106">
        <v>9</v>
      </c>
      <c r="H20" s="107" t="s">
        <v>1516</v>
      </c>
    </row>
    <row r="21" spans="1:8" ht="19.8" customHeight="1" x14ac:dyDescent="0.3">
      <c r="A21" s="114">
        <v>45989</v>
      </c>
      <c r="B21" s="115" t="s">
        <v>388</v>
      </c>
      <c r="C21" s="116" t="s">
        <v>1508</v>
      </c>
      <c r="D21" s="115" t="s">
        <v>1498</v>
      </c>
      <c r="E21" s="117">
        <v>1.725694444444444</v>
      </c>
      <c r="F21" s="115" t="s">
        <v>46</v>
      </c>
      <c r="G21" s="118">
        <v>9</v>
      </c>
      <c r="H21" s="119" t="s">
        <v>1517</v>
      </c>
    </row>
    <row r="22" spans="1:8" ht="19.8" customHeight="1" x14ac:dyDescent="0.3">
      <c r="A22" s="175"/>
      <c r="B22" s="176"/>
      <c r="C22" s="176"/>
      <c r="D22" s="176"/>
      <c r="E22" s="176"/>
      <c r="F22" s="177" t="s">
        <v>1550</v>
      </c>
      <c r="G22" s="176"/>
      <c r="H22" s="178"/>
    </row>
    <row r="23" spans="1:8" ht="19.8" customHeight="1" x14ac:dyDescent="0.3">
      <c r="A23" s="112">
        <v>45990</v>
      </c>
      <c r="B23" s="104" t="s">
        <v>385</v>
      </c>
      <c r="C23" s="105" t="s">
        <v>1505</v>
      </c>
      <c r="D23" s="104" t="s">
        <v>1498</v>
      </c>
      <c r="E23" s="113">
        <v>1.0034722222222221</v>
      </c>
      <c r="F23" s="104" t="s">
        <v>101</v>
      </c>
      <c r="G23" s="106">
        <v>5</v>
      </c>
      <c r="H23" s="107" t="s">
        <v>1500</v>
      </c>
    </row>
    <row r="24" spans="1:8" ht="19.8" customHeight="1" x14ac:dyDescent="0.3">
      <c r="A24" s="114">
        <v>45990</v>
      </c>
      <c r="B24" s="115" t="s">
        <v>77</v>
      </c>
      <c r="C24" s="116" t="s">
        <v>1501</v>
      </c>
      <c r="D24" s="115" t="s">
        <v>1498</v>
      </c>
      <c r="E24" s="117">
        <v>1.802083333333333</v>
      </c>
      <c r="F24" s="115" t="s">
        <v>101</v>
      </c>
      <c r="G24" s="118">
        <v>9</v>
      </c>
      <c r="H24" s="119" t="s">
        <v>1518</v>
      </c>
    </row>
    <row r="25" spans="1:8" ht="19.8" customHeight="1" x14ac:dyDescent="0.3">
      <c r="A25" s="175"/>
      <c r="B25" s="176"/>
      <c r="C25" s="176"/>
      <c r="D25" s="176"/>
      <c r="E25" s="176"/>
      <c r="F25" s="177" t="s">
        <v>1550</v>
      </c>
      <c r="G25" s="176"/>
      <c r="H25" s="178"/>
    </row>
    <row r="26" spans="1:8" ht="19.8" customHeight="1" x14ac:dyDescent="0.3">
      <c r="A26" s="114">
        <v>45991</v>
      </c>
      <c r="B26" s="115" t="s">
        <v>385</v>
      </c>
      <c r="C26" s="116" t="s">
        <v>1499</v>
      </c>
      <c r="D26" s="115" t="s">
        <v>1498</v>
      </c>
      <c r="E26" s="117">
        <v>1.71875</v>
      </c>
      <c r="F26" s="115" t="s">
        <v>101</v>
      </c>
      <c r="G26" s="118">
        <v>9</v>
      </c>
      <c r="H26" s="119" t="s">
        <v>1500</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N76"/>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9.88671875" bestFit="1" customWidth="1"/>
  </cols>
  <sheetData>
    <row r="1" spans="1:92" ht="28.8" customHeight="1" x14ac:dyDescent="0.3">
      <c r="A1" s="303" t="s">
        <v>0</v>
      </c>
      <c r="B1" s="302"/>
      <c r="C1" s="302"/>
      <c r="D1" s="302"/>
      <c r="E1" s="302"/>
      <c r="F1" s="1" t="s">
        <v>1551</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45980.583899966259</v>
      </c>
      <c r="H2" s="302"/>
      <c r="I2" s="302"/>
      <c r="J2" s="302"/>
      <c r="K2" s="311">
        <v>45980.58389996663</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385</v>
      </c>
      <c r="B6" s="8" t="s">
        <v>1552</v>
      </c>
      <c r="C6" s="9">
        <v>0.48958333333333331</v>
      </c>
      <c r="D6" s="8" t="s">
        <v>101</v>
      </c>
      <c r="E6" s="8" t="s">
        <v>63</v>
      </c>
      <c r="F6" s="8" t="s">
        <v>1372</v>
      </c>
      <c r="G6" s="304"/>
      <c r="H6" s="10"/>
      <c r="I6" s="11"/>
      <c r="J6" s="11"/>
      <c r="K6" s="11"/>
      <c r="L6" s="11"/>
      <c r="M6" s="11"/>
      <c r="N6" s="11"/>
      <c r="O6" s="12"/>
      <c r="P6" s="11"/>
      <c r="Q6" s="13"/>
      <c r="R6" s="14"/>
    </row>
    <row r="7" spans="1:92" ht="15" customHeight="1" x14ac:dyDescent="0.3">
      <c r="A7" s="144" t="s">
        <v>77</v>
      </c>
      <c r="B7" s="144" t="s">
        <v>1553</v>
      </c>
      <c r="C7" s="145">
        <v>0.63194444444444442</v>
      </c>
      <c r="D7" s="144" t="s">
        <v>101</v>
      </c>
      <c r="E7" s="144" t="s">
        <v>63</v>
      </c>
      <c r="F7" s="144" t="s">
        <v>779</v>
      </c>
      <c r="G7" s="298"/>
      <c r="H7" s="147" t="s">
        <v>1554</v>
      </c>
      <c r="I7" s="216">
        <v>0.58099999999999996</v>
      </c>
      <c r="J7" s="149">
        <v>104</v>
      </c>
      <c r="K7" s="150">
        <v>45979</v>
      </c>
      <c r="L7" s="149">
        <v>44</v>
      </c>
      <c r="M7" s="149">
        <v>0</v>
      </c>
      <c r="N7" s="149">
        <v>7</v>
      </c>
      <c r="O7" s="151" t="s">
        <v>422</v>
      </c>
      <c r="P7" s="152">
        <v>0.63194444444444442</v>
      </c>
      <c r="Q7" s="149">
        <v>179</v>
      </c>
      <c r="R7" s="153" t="s">
        <v>1555</v>
      </c>
    </row>
    <row r="8" spans="1:92" ht="15" customHeight="1" x14ac:dyDescent="0.3">
      <c r="A8" s="19" t="s">
        <v>458</v>
      </c>
      <c r="B8" s="19" t="s">
        <v>1556</v>
      </c>
      <c r="C8" s="20">
        <v>0.4548611111111111</v>
      </c>
      <c r="D8" s="19" t="s">
        <v>101</v>
      </c>
      <c r="E8" s="19" t="s">
        <v>63</v>
      </c>
      <c r="F8" s="19" t="s">
        <v>1557</v>
      </c>
      <c r="G8" s="298"/>
      <c r="H8" s="10"/>
      <c r="I8" s="11"/>
      <c r="J8" s="11"/>
      <c r="K8" s="11"/>
      <c r="L8" s="11"/>
      <c r="M8" s="11"/>
      <c r="N8" s="11"/>
      <c r="O8" s="12"/>
      <c r="P8" s="11"/>
      <c r="Q8" s="13"/>
      <c r="R8" s="14"/>
    </row>
    <row r="9" spans="1:92" ht="15" customHeight="1" x14ac:dyDescent="0.3">
      <c r="A9" s="19" t="s">
        <v>388</v>
      </c>
      <c r="B9" s="19" t="s">
        <v>1558</v>
      </c>
      <c r="C9" s="20">
        <v>0.76736111111111116</v>
      </c>
      <c r="D9" s="19" t="s">
        <v>390</v>
      </c>
      <c r="E9" s="19" t="s">
        <v>138</v>
      </c>
      <c r="F9" s="19" t="s">
        <v>1559</v>
      </c>
      <c r="G9" s="298"/>
      <c r="H9" s="10"/>
      <c r="I9" s="11"/>
      <c r="J9" s="11"/>
      <c r="K9" s="11"/>
      <c r="L9" s="11"/>
      <c r="M9" s="11"/>
      <c r="N9" s="11"/>
      <c r="O9" s="12"/>
      <c r="P9" s="11"/>
      <c r="Q9" s="13"/>
      <c r="R9" s="14"/>
    </row>
    <row r="10" spans="1:92" ht="15" customHeight="1" x14ac:dyDescent="0.3">
      <c r="A10" s="15" t="s">
        <v>388</v>
      </c>
      <c r="B10" s="15" t="s">
        <v>1558</v>
      </c>
      <c r="C10" s="16">
        <v>0.76736111111111116</v>
      </c>
      <c r="D10" s="15" t="s">
        <v>46</v>
      </c>
      <c r="E10" s="15" t="s">
        <v>38</v>
      </c>
      <c r="F10" s="15" t="s">
        <v>1560</v>
      </c>
      <c r="G10" s="298"/>
      <c r="H10" s="10"/>
      <c r="I10" s="11"/>
      <c r="J10" s="11"/>
      <c r="K10" s="11"/>
      <c r="L10" s="11"/>
      <c r="M10" s="11"/>
      <c r="N10" s="11"/>
      <c r="O10" s="12"/>
      <c r="P10" s="11"/>
      <c r="Q10" s="13"/>
      <c r="R10" s="14"/>
    </row>
    <row r="11" spans="1:92" ht="15" customHeight="1" thickBot="1" x14ac:dyDescent="0.35">
      <c r="A11" s="231" t="s">
        <v>48</v>
      </c>
      <c r="B11" s="231" t="s">
        <v>1561</v>
      </c>
      <c r="C11" s="232">
        <v>0.87152777777777779</v>
      </c>
      <c r="D11" s="231" t="s">
        <v>50</v>
      </c>
      <c r="E11" s="231" t="s">
        <v>63</v>
      </c>
      <c r="F11" s="231" t="s">
        <v>1562</v>
      </c>
      <c r="G11" s="299"/>
      <c r="H11" s="41"/>
      <c r="I11" s="42"/>
      <c r="J11" s="42"/>
      <c r="K11" s="42"/>
      <c r="L11" s="42"/>
      <c r="M11" s="42"/>
      <c r="N11" s="42"/>
      <c r="O11" s="43"/>
      <c r="P11" s="42"/>
      <c r="Q11" s="44"/>
      <c r="R11" s="45"/>
    </row>
    <row r="12" spans="1:92" ht="17.399999999999999" customHeight="1" thickBot="1" x14ac:dyDescent="0.35">
      <c r="A12" s="329"/>
      <c r="B12" s="330"/>
      <c r="C12" s="330"/>
      <c r="D12" s="330"/>
      <c r="E12" s="330"/>
      <c r="F12" s="330"/>
      <c r="G12" s="330"/>
      <c r="H12" s="330"/>
      <c r="I12" s="330"/>
      <c r="J12" s="330"/>
      <c r="K12" s="330"/>
      <c r="L12" s="330"/>
      <c r="M12" s="330"/>
      <c r="N12" s="330"/>
      <c r="O12" s="330"/>
      <c r="P12" s="330"/>
      <c r="Q12" s="330"/>
      <c r="R12" s="331"/>
    </row>
    <row r="13" spans="1:92" ht="22.05" customHeight="1" thickTop="1" thickBot="1" x14ac:dyDescent="0.35">
      <c r="A13" s="300" t="s">
        <v>6</v>
      </c>
      <c r="B13" s="295"/>
      <c r="C13" s="295"/>
      <c r="D13" s="295"/>
      <c r="E13" s="295"/>
      <c r="F13" s="296"/>
      <c r="G13" s="31">
        <v>45982</v>
      </c>
      <c r="H13" s="294" t="s">
        <v>7</v>
      </c>
      <c r="I13" s="295"/>
      <c r="J13" s="295"/>
      <c r="K13" s="295"/>
      <c r="L13" s="295"/>
      <c r="M13" s="295"/>
      <c r="N13" s="295"/>
      <c r="O13" s="295"/>
      <c r="P13" s="295"/>
      <c r="Q13" s="295"/>
      <c r="R13" s="296"/>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3">
      <c r="A15" s="8" t="s">
        <v>385</v>
      </c>
      <c r="B15" s="8" t="s">
        <v>1552</v>
      </c>
      <c r="C15" s="9">
        <v>0.48958333333333331</v>
      </c>
      <c r="D15" s="8" t="s">
        <v>101</v>
      </c>
      <c r="E15" s="8" t="s">
        <v>63</v>
      </c>
      <c r="F15" s="8" t="s">
        <v>1372</v>
      </c>
      <c r="G15" s="304"/>
      <c r="H15" s="10"/>
      <c r="I15" s="11"/>
      <c r="J15" s="11"/>
      <c r="K15" s="11"/>
      <c r="L15" s="11"/>
      <c r="M15" s="11"/>
      <c r="N15" s="11"/>
      <c r="O15" s="12"/>
      <c r="P15" s="11"/>
      <c r="Q15" s="13"/>
      <c r="R15" s="14"/>
    </row>
    <row r="16" spans="1:92" ht="49.95" customHeight="1" x14ac:dyDescent="0.3">
      <c r="A16" s="55" t="s">
        <v>77</v>
      </c>
      <c r="B16" s="55" t="s">
        <v>1553</v>
      </c>
      <c r="C16" s="56">
        <v>0.82986111111111116</v>
      </c>
      <c r="D16" s="55" t="s">
        <v>101</v>
      </c>
      <c r="E16" s="55" t="s">
        <v>96</v>
      </c>
      <c r="F16" s="55" t="s">
        <v>779</v>
      </c>
      <c r="G16" s="298"/>
      <c r="H16" s="57" t="s">
        <v>1554</v>
      </c>
      <c r="I16" s="256">
        <v>0.43020000000000003</v>
      </c>
      <c r="J16" s="59">
        <v>77</v>
      </c>
      <c r="K16" s="60">
        <v>45980</v>
      </c>
      <c r="L16" s="59">
        <v>48</v>
      </c>
      <c r="M16" s="59">
        <v>4</v>
      </c>
      <c r="N16" s="59">
        <v>9</v>
      </c>
      <c r="O16" s="61" t="s">
        <v>789</v>
      </c>
      <c r="P16" s="62">
        <v>0.82986111111111116</v>
      </c>
      <c r="Q16" s="59">
        <v>179</v>
      </c>
      <c r="R16" s="63" t="s">
        <v>1563</v>
      </c>
    </row>
    <row r="17" spans="1:18" ht="49.95" customHeight="1" x14ac:dyDescent="0.3">
      <c r="A17" s="19" t="s">
        <v>458</v>
      </c>
      <c r="B17" s="19" t="s">
        <v>1556</v>
      </c>
      <c r="C17" s="20">
        <v>0.69791666666666663</v>
      </c>
      <c r="D17" s="19" t="s">
        <v>101</v>
      </c>
      <c r="E17" s="19" t="s">
        <v>139</v>
      </c>
      <c r="F17" s="19" t="s">
        <v>1564</v>
      </c>
      <c r="G17" s="298"/>
      <c r="H17" s="10"/>
      <c r="I17" s="11"/>
      <c r="J17" s="11"/>
      <c r="K17" s="11"/>
      <c r="L17" s="11"/>
      <c r="M17" s="11"/>
      <c r="N17" s="11"/>
      <c r="O17" s="12"/>
      <c r="P17" s="11"/>
      <c r="Q17" s="13"/>
      <c r="R17" s="14"/>
    </row>
    <row r="18" spans="1:18" ht="49.95" customHeight="1" thickBot="1" x14ac:dyDescent="0.35">
      <c r="A18" s="231" t="s">
        <v>48</v>
      </c>
      <c r="B18" s="231" t="s">
        <v>1561</v>
      </c>
      <c r="C18" s="232">
        <v>0.86805555555555547</v>
      </c>
      <c r="D18" s="231" t="s">
        <v>50</v>
      </c>
      <c r="E18" s="231" t="s">
        <v>63</v>
      </c>
      <c r="F18" s="231" t="s">
        <v>1565</v>
      </c>
      <c r="G18" s="299"/>
      <c r="H18" s="41"/>
      <c r="I18" s="42"/>
      <c r="J18" s="42"/>
      <c r="K18" s="42"/>
      <c r="L18" s="42"/>
      <c r="M18" s="42"/>
      <c r="N18" s="42"/>
      <c r="O18" s="43"/>
      <c r="P18" s="42"/>
      <c r="Q18" s="44"/>
      <c r="R18" s="45"/>
    </row>
    <row r="19" spans="1:18" ht="17.399999999999999" customHeight="1" thickBot="1" x14ac:dyDescent="0.35">
      <c r="A19" s="329"/>
      <c r="B19" s="330"/>
      <c r="C19" s="330"/>
      <c r="D19" s="330"/>
      <c r="E19" s="330"/>
      <c r="F19" s="330"/>
      <c r="G19" s="330"/>
      <c r="H19" s="330"/>
      <c r="I19" s="330"/>
      <c r="J19" s="330"/>
      <c r="K19" s="330"/>
      <c r="L19" s="330"/>
      <c r="M19" s="330"/>
      <c r="N19" s="330"/>
      <c r="O19" s="330"/>
      <c r="P19" s="330"/>
      <c r="Q19" s="330"/>
      <c r="R19" s="331"/>
    </row>
    <row r="20" spans="1:18" ht="22.05" customHeight="1" thickTop="1" thickBot="1" x14ac:dyDescent="0.35">
      <c r="A20" s="300" t="s">
        <v>6</v>
      </c>
      <c r="B20" s="295"/>
      <c r="C20" s="295"/>
      <c r="D20" s="295"/>
      <c r="E20" s="295"/>
      <c r="F20" s="296"/>
      <c r="G20" s="31">
        <v>45983</v>
      </c>
      <c r="H20" s="294" t="s">
        <v>7</v>
      </c>
      <c r="I20" s="295"/>
      <c r="J20" s="295"/>
      <c r="K20" s="295"/>
      <c r="L20" s="295"/>
      <c r="M20" s="295"/>
      <c r="N20" s="295"/>
      <c r="O20" s="295"/>
      <c r="P20" s="295"/>
      <c r="Q20" s="295"/>
      <c r="R20" s="296"/>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49.95" customHeight="1" x14ac:dyDescent="0.3">
      <c r="A22" s="8" t="s">
        <v>458</v>
      </c>
      <c r="B22" s="8" t="s">
        <v>1556</v>
      </c>
      <c r="C22" s="9">
        <v>0.4375</v>
      </c>
      <c r="D22" s="8" t="s">
        <v>101</v>
      </c>
      <c r="E22" s="8" t="s">
        <v>118</v>
      </c>
      <c r="F22" s="8" t="s">
        <v>1564</v>
      </c>
      <c r="G22" s="297"/>
      <c r="H22" s="10"/>
      <c r="I22" s="11"/>
      <c r="J22" s="11"/>
      <c r="K22" s="11"/>
      <c r="L22" s="11"/>
      <c r="M22" s="11"/>
      <c r="N22" s="11"/>
      <c r="O22" s="12"/>
      <c r="P22" s="11"/>
      <c r="Q22" s="13"/>
      <c r="R22" s="14"/>
    </row>
    <row r="23" spans="1:18" ht="49.95" customHeight="1" x14ac:dyDescent="0.3">
      <c r="A23" s="19" t="s">
        <v>385</v>
      </c>
      <c r="B23" s="19" t="s">
        <v>1566</v>
      </c>
      <c r="C23" s="20">
        <v>0.8125</v>
      </c>
      <c r="D23" s="19" t="s">
        <v>101</v>
      </c>
      <c r="E23" s="19" t="s">
        <v>63</v>
      </c>
      <c r="F23" s="19" t="s">
        <v>362</v>
      </c>
      <c r="G23" s="298"/>
      <c r="H23" s="10"/>
      <c r="I23" s="11"/>
      <c r="J23" s="11"/>
      <c r="K23" s="11"/>
      <c r="L23" s="11"/>
      <c r="M23" s="11"/>
      <c r="N23" s="11"/>
      <c r="O23" s="12"/>
      <c r="P23" s="11"/>
      <c r="Q23" s="13"/>
      <c r="R23" s="14"/>
    </row>
    <row r="24" spans="1:18" ht="49.95" customHeight="1" thickBot="1" x14ac:dyDescent="0.35">
      <c r="A24" s="231" t="s">
        <v>48</v>
      </c>
      <c r="B24" s="231" t="s">
        <v>1561</v>
      </c>
      <c r="C24" s="232">
        <v>0.87152777777777779</v>
      </c>
      <c r="D24" s="231" t="s">
        <v>50</v>
      </c>
      <c r="E24" s="231" t="s">
        <v>63</v>
      </c>
      <c r="F24" s="231" t="s">
        <v>1567</v>
      </c>
      <c r="G24" s="299"/>
      <c r="H24" s="41"/>
      <c r="I24" s="42"/>
      <c r="J24" s="42"/>
      <c r="K24" s="42"/>
      <c r="L24" s="42"/>
      <c r="M24" s="42"/>
      <c r="N24" s="42"/>
      <c r="O24" s="43"/>
      <c r="P24" s="42"/>
      <c r="Q24" s="44"/>
      <c r="R24" s="45"/>
    </row>
    <row r="25" spans="1:18" ht="17.399999999999999" customHeight="1" thickBot="1" x14ac:dyDescent="0.35">
      <c r="A25" s="329"/>
      <c r="B25" s="330"/>
      <c r="C25" s="330"/>
      <c r="D25" s="330"/>
      <c r="E25" s="330"/>
      <c r="F25" s="330"/>
      <c r="G25" s="330"/>
      <c r="H25" s="330"/>
      <c r="I25" s="330"/>
      <c r="J25" s="330"/>
      <c r="K25" s="330"/>
      <c r="L25" s="330"/>
      <c r="M25" s="330"/>
      <c r="N25" s="330"/>
      <c r="O25" s="330"/>
      <c r="P25" s="330"/>
      <c r="Q25" s="330"/>
      <c r="R25" s="331"/>
    </row>
    <row r="26" spans="1:18" ht="22.05" customHeight="1" thickTop="1" thickBot="1" x14ac:dyDescent="0.35">
      <c r="A26" s="300" t="s">
        <v>6</v>
      </c>
      <c r="B26" s="295"/>
      <c r="C26" s="295"/>
      <c r="D26" s="295"/>
      <c r="E26" s="295"/>
      <c r="F26" s="296"/>
      <c r="G26" s="31">
        <v>45984</v>
      </c>
      <c r="H26" s="294" t="s">
        <v>7</v>
      </c>
      <c r="I26" s="295"/>
      <c r="J26" s="295"/>
      <c r="K26" s="295"/>
      <c r="L26" s="295"/>
      <c r="M26" s="295"/>
      <c r="N26" s="295"/>
      <c r="O26" s="295"/>
      <c r="P26" s="295"/>
      <c r="Q26" s="295"/>
      <c r="R26" s="296"/>
    </row>
    <row r="27" spans="1:18" ht="24" customHeight="1" x14ac:dyDescent="0.3">
      <c r="A27" s="32" t="s">
        <v>8</v>
      </c>
      <c r="B27" s="32" t="s">
        <v>9</v>
      </c>
      <c r="C27" s="33" t="s">
        <v>10</v>
      </c>
      <c r="D27" s="32" t="s">
        <v>11</v>
      </c>
      <c r="E27" s="32" t="s">
        <v>12</v>
      </c>
      <c r="F27" s="34" t="s">
        <v>13</v>
      </c>
      <c r="G27" s="35" t="s">
        <v>14</v>
      </c>
      <c r="H27" s="32" t="s">
        <v>15</v>
      </c>
      <c r="I27" s="36" t="s">
        <v>16</v>
      </c>
      <c r="J27" s="37" t="s">
        <v>17</v>
      </c>
      <c r="K27" s="38" t="s">
        <v>18</v>
      </c>
      <c r="L27" s="37" t="s">
        <v>19</v>
      </c>
      <c r="M27" s="37" t="s">
        <v>20</v>
      </c>
      <c r="N27" s="37" t="s">
        <v>21</v>
      </c>
      <c r="O27" s="32" t="s">
        <v>22</v>
      </c>
      <c r="P27" s="33" t="s">
        <v>23</v>
      </c>
      <c r="Q27" s="37" t="s">
        <v>24</v>
      </c>
      <c r="R27" s="32" t="s">
        <v>25</v>
      </c>
    </row>
    <row r="28" spans="1:18" ht="49.95" customHeight="1" x14ac:dyDescent="0.3">
      <c r="A28" s="8" t="s">
        <v>385</v>
      </c>
      <c r="B28" s="8" t="s">
        <v>1552</v>
      </c>
      <c r="C28" s="9">
        <v>0.48958333333333331</v>
      </c>
      <c r="D28" s="8" t="s">
        <v>101</v>
      </c>
      <c r="E28" s="8" t="s">
        <v>96</v>
      </c>
      <c r="F28" s="8" t="s">
        <v>1372</v>
      </c>
      <c r="G28" s="304"/>
      <c r="H28" s="10"/>
      <c r="I28" s="11"/>
      <c r="J28" s="11"/>
      <c r="K28" s="11"/>
      <c r="L28" s="11"/>
      <c r="M28" s="11"/>
      <c r="N28" s="11"/>
      <c r="O28" s="12"/>
      <c r="P28" s="11"/>
      <c r="Q28" s="13"/>
      <c r="R28" s="14"/>
    </row>
    <row r="29" spans="1:18" ht="49.95" customHeight="1" thickTop="1" thickBot="1" x14ac:dyDescent="0.35">
      <c r="A29" s="46" t="s">
        <v>77</v>
      </c>
      <c r="B29" s="46" t="s">
        <v>1553</v>
      </c>
      <c r="C29" s="47">
        <v>0.63194444444444442</v>
      </c>
      <c r="D29" s="46" t="s">
        <v>101</v>
      </c>
      <c r="E29" s="46" t="s">
        <v>118</v>
      </c>
      <c r="F29" s="46" t="s">
        <v>1568</v>
      </c>
      <c r="G29" s="299"/>
      <c r="H29" s="48" t="s">
        <v>1554</v>
      </c>
      <c r="I29" s="257">
        <v>0.55869999999999997</v>
      </c>
      <c r="J29" s="50">
        <v>100</v>
      </c>
      <c r="K29" s="51">
        <v>45980</v>
      </c>
      <c r="L29" s="50">
        <v>51</v>
      </c>
      <c r="M29" s="50">
        <v>10</v>
      </c>
      <c r="N29" s="50">
        <v>18</v>
      </c>
      <c r="O29" s="52" t="s">
        <v>313</v>
      </c>
      <c r="P29" s="53">
        <v>0.63194444444444442</v>
      </c>
      <c r="Q29" s="50">
        <v>179</v>
      </c>
      <c r="R29" s="54" t="s">
        <v>1569</v>
      </c>
    </row>
    <row r="30" spans="1:18" ht="17.399999999999999" customHeight="1" thickBot="1" x14ac:dyDescent="0.35">
      <c r="A30" s="329"/>
      <c r="B30" s="330"/>
      <c r="C30" s="330"/>
      <c r="D30" s="330"/>
      <c r="E30" s="330"/>
      <c r="F30" s="330"/>
      <c r="G30" s="330"/>
      <c r="H30" s="330"/>
      <c r="I30" s="330"/>
      <c r="J30" s="330"/>
      <c r="K30" s="330"/>
      <c r="L30" s="330"/>
      <c r="M30" s="330"/>
      <c r="N30" s="330"/>
      <c r="O30" s="330"/>
      <c r="P30" s="330"/>
      <c r="Q30" s="330"/>
      <c r="R30" s="331"/>
    </row>
    <row r="31" spans="1:18" ht="22.05" customHeight="1" thickTop="1" thickBot="1" x14ac:dyDescent="0.35">
      <c r="A31" s="300" t="s">
        <v>6</v>
      </c>
      <c r="B31" s="295"/>
      <c r="C31" s="295"/>
      <c r="D31" s="295"/>
      <c r="E31" s="295"/>
      <c r="F31" s="296"/>
      <c r="G31" s="31">
        <v>45985</v>
      </c>
      <c r="H31" s="294" t="s">
        <v>7</v>
      </c>
      <c r="I31" s="295"/>
      <c r="J31" s="295"/>
      <c r="K31" s="295"/>
      <c r="L31" s="295"/>
      <c r="M31" s="295"/>
      <c r="N31" s="295"/>
      <c r="O31" s="295"/>
      <c r="P31" s="295"/>
      <c r="Q31" s="295"/>
      <c r="R31" s="296"/>
    </row>
    <row r="32" spans="1:18" ht="24" customHeight="1" x14ac:dyDescent="0.3">
      <c r="A32" s="32" t="s">
        <v>8</v>
      </c>
      <c r="B32" s="32" t="s">
        <v>9</v>
      </c>
      <c r="C32" s="33" t="s">
        <v>10</v>
      </c>
      <c r="D32" s="32" t="s">
        <v>11</v>
      </c>
      <c r="E32" s="32" t="s">
        <v>12</v>
      </c>
      <c r="F32" s="34" t="s">
        <v>13</v>
      </c>
      <c r="G32" s="35" t="s">
        <v>14</v>
      </c>
      <c r="H32" s="32" t="s">
        <v>15</v>
      </c>
      <c r="I32" s="36" t="s">
        <v>16</v>
      </c>
      <c r="J32" s="37" t="s">
        <v>17</v>
      </c>
      <c r="K32" s="38" t="s">
        <v>18</v>
      </c>
      <c r="L32" s="37" t="s">
        <v>19</v>
      </c>
      <c r="M32" s="37" t="s">
        <v>20</v>
      </c>
      <c r="N32" s="37" t="s">
        <v>21</v>
      </c>
      <c r="O32" s="32" t="s">
        <v>22</v>
      </c>
      <c r="P32" s="33" t="s">
        <v>23</v>
      </c>
      <c r="Q32" s="37" t="s">
        <v>24</v>
      </c>
      <c r="R32" s="32" t="s">
        <v>25</v>
      </c>
    </row>
    <row r="33" spans="1:18" ht="49.95" customHeight="1" x14ac:dyDescent="0.3">
      <c r="A33" s="8" t="s">
        <v>385</v>
      </c>
      <c r="B33" s="8" t="s">
        <v>1552</v>
      </c>
      <c r="C33" s="9">
        <v>0.48958333333333331</v>
      </c>
      <c r="D33" s="8" t="s">
        <v>101</v>
      </c>
      <c r="E33" s="8" t="s">
        <v>96</v>
      </c>
      <c r="F33" s="8" t="s">
        <v>1372</v>
      </c>
      <c r="G33" s="304"/>
      <c r="H33" s="10"/>
      <c r="I33" s="11"/>
      <c r="J33" s="11"/>
      <c r="K33" s="11"/>
      <c r="L33" s="11"/>
      <c r="M33" s="11"/>
      <c r="N33" s="11"/>
      <c r="O33" s="12"/>
      <c r="P33" s="11"/>
      <c r="Q33" s="13"/>
      <c r="R33" s="14"/>
    </row>
    <row r="34" spans="1:18" ht="49.95" customHeight="1" x14ac:dyDescent="0.3">
      <c r="A34" s="19" t="s">
        <v>388</v>
      </c>
      <c r="B34" s="19" t="s">
        <v>1558</v>
      </c>
      <c r="C34" s="20">
        <v>0.76736111111111116</v>
      </c>
      <c r="D34" s="19" t="s">
        <v>390</v>
      </c>
      <c r="E34" s="19" t="s">
        <v>138</v>
      </c>
      <c r="F34" s="19" t="s">
        <v>1570</v>
      </c>
      <c r="G34" s="298"/>
      <c r="H34" s="10"/>
      <c r="I34" s="11"/>
      <c r="J34" s="11"/>
      <c r="K34" s="11"/>
      <c r="L34" s="11"/>
      <c r="M34" s="11"/>
      <c r="N34" s="11"/>
      <c r="O34" s="12"/>
      <c r="P34" s="11"/>
      <c r="Q34" s="13"/>
      <c r="R34" s="14"/>
    </row>
    <row r="35" spans="1:18" ht="49.95" customHeight="1" x14ac:dyDescent="0.3">
      <c r="A35" s="15" t="s">
        <v>388</v>
      </c>
      <c r="B35" s="15" t="s">
        <v>1558</v>
      </c>
      <c r="C35" s="16">
        <v>0.76736111111111116</v>
      </c>
      <c r="D35" s="15" t="s">
        <v>46</v>
      </c>
      <c r="E35" s="15" t="s">
        <v>38</v>
      </c>
      <c r="F35" s="15" t="s">
        <v>1571</v>
      </c>
      <c r="G35" s="298"/>
      <c r="H35" s="10"/>
      <c r="I35" s="11"/>
      <c r="J35" s="11"/>
      <c r="K35" s="11"/>
      <c r="L35" s="11"/>
      <c r="M35" s="11"/>
      <c r="N35" s="11"/>
      <c r="O35" s="12"/>
      <c r="P35" s="11"/>
      <c r="Q35" s="13"/>
      <c r="R35" s="14"/>
    </row>
    <row r="36" spans="1:18" ht="49.95" customHeight="1" thickBot="1" x14ac:dyDescent="0.35">
      <c r="A36" s="231" t="s">
        <v>48</v>
      </c>
      <c r="B36" s="231" t="s">
        <v>1561</v>
      </c>
      <c r="C36" s="232">
        <v>0.87152777777777779</v>
      </c>
      <c r="D36" s="231" t="s">
        <v>50</v>
      </c>
      <c r="E36" s="231" t="s">
        <v>63</v>
      </c>
      <c r="F36" s="231" t="s">
        <v>1562</v>
      </c>
      <c r="G36" s="299"/>
      <c r="H36" s="41"/>
      <c r="I36" s="42"/>
      <c r="J36" s="42"/>
      <c r="K36" s="42"/>
      <c r="L36" s="42"/>
      <c r="M36" s="42"/>
      <c r="N36" s="42"/>
      <c r="O36" s="43"/>
      <c r="P36" s="42"/>
      <c r="Q36" s="44"/>
      <c r="R36" s="45"/>
    </row>
    <row r="37" spans="1:18" ht="17.399999999999999" customHeight="1" thickBot="1" x14ac:dyDescent="0.35">
      <c r="A37" s="329"/>
      <c r="B37" s="330"/>
      <c r="C37" s="330"/>
      <c r="D37" s="330"/>
      <c r="E37" s="330"/>
      <c r="F37" s="330"/>
      <c r="G37" s="330"/>
      <c r="H37" s="330"/>
      <c r="I37" s="330"/>
      <c r="J37" s="330"/>
      <c r="K37" s="330"/>
      <c r="L37" s="330"/>
      <c r="M37" s="330"/>
      <c r="N37" s="330"/>
      <c r="O37" s="330"/>
      <c r="P37" s="330"/>
      <c r="Q37" s="330"/>
      <c r="R37" s="331"/>
    </row>
    <row r="38" spans="1:18" ht="22.05" customHeight="1" thickTop="1" thickBot="1" x14ac:dyDescent="0.35">
      <c r="A38" s="300" t="s">
        <v>6</v>
      </c>
      <c r="B38" s="295"/>
      <c r="C38" s="295"/>
      <c r="D38" s="295"/>
      <c r="E38" s="295"/>
      <c r="F38" s="296"/>
      <c r="G38" s="31">
        <v>45986</v>
      </c>
      <c r="H38" s="294" t="s">
        <v>7</v>
      </c>
      <c r="I38" s="295"/>
      <c r="J38" s="295"/>
      <c r="K38" s="295"/>
      <c r="L38" s="295"/>
      <c r="M38" s="295"/>
      <c r="N38" s="295"/>
      <c r="O38" s="295"/>
      <c r="P38" s="295"/>
      <c r="Q38" s="295"/>
      <c r="R38" s="296"/>
    </row>
    <row r="39" spans="1:18" ht="24" customHeight="1" x14ac:dyDescent="0.3">
      <c r="A39" s="32" t="s">
        <v>8</v>
      </c>
      <c r="B39" s="32" t="s">
        <v>9</v>
      </c>
      <c r="C39" s="33" t="s">
        <v>10</v>
      </c>
      <c r="D39" s="32" t="s">
        <v>11</v>
      </c>
      <c r="E39" s="32" t="s">
        <v>12</v>
      </c>
      <c r="F39" s="34" t="s">
        <v>13</v>
      </c>
      <c r="G39" s="35" t="s">
        <v>14</v>
      </c>
      <c r="H39" s="32" t="s">
        <v>15</v>
      </c>
      <c r="I39" s="36" t="s">
        <v>16</v>
      </c>
      <c r="J39" s="37" t="s">
        <v>17</v>
      </c>
      <c r="K39" s="38" t="s">
        <v>18</v>
      </c>
      <c r="L39" s="37" t="s">
        <v>19</v>
      </c>
      <c r="M39" s="37" t="s">
        <v>20</v>
      </c>
      <c r="N39" s="37" t="s">
        <v>21</v>
      </c>
      <c r="O39" s="32" t="s">
        <v>22</v>
      </c>
      <c r="P39" s="33" t="s">
        <v>23</v>
      </c>
      <c r="Q39" s="37" t="s">
        <v>24</v>
      </c>
      <c r="R39" s="32" t="s">
        <v>25</v>
      </c>
    </row>
    <row r="40" spans="1:18" ht="49.95" customHeight="1" x14ac:dyDescent="0.3">
      <c r="A40" s="8" t="s">
        <v>458</v>
      </c>
      <c r="B40" s="8" t="s">
        <v>1556</v>
      </c>
      <c r="C40" s="9">
        <v>0.4375</v>
      </c>
      <c r="D40" s="8" t="s">
        <v>101</v>
      </c>
      <c r="E40" s="8" t="s">
        <v>63</v>
      </c>
      <c r="F40" s="8" t="s">
        <v>1572</v>
      </c>
      <c r="G40" s="304"/>
      <c r="H40" s="10"/>
      <c r="I40" s="11"/>
      <c r="J40" s="11"/>
      <c r="K40" s="11"/>
      <c r="L40" s="11"/>
      <c r="M40" s="11"/>
      <c r="N40" s="11"/>
      <c r="O40" s="12"/>
      <c r="P40" s="11"/>
      <c r="Q40" s="13"/>
      <c r="R40" s="14"/>
    </row>
    <row r="41" spans="1:18" ht="49.95" customHeight="1" thickTop="1" thickBot="1" x14ac:dyDescent="0.35">
      <c r="A41" s="231" t="s">
        <v>385</v>
      </c>
      <c r="B41" s="231" t="s">
        <v>1552</v>
      </c>
      <c r="C41" s="232">
        <v>0.48958333333333331</v>
      </c>
      <c r="D41" s="231" t="s">
        <v>101</v>
      </c>
      <c r="E41" s="231" t="s">
        <v>63</v>
      </c>
      <c r="F41" s="231" t="s">
        <v>1573</v>
      </c>
      <c r="G41" s="299"/>
      <c r="H41" s="41"/>
      <c r="I41" s="42"/>
      <c r="J41" s="42"/>
      <c r="K41" s="42"/>
      <c r="L41" s="42"/>
      <c r="M41" s="42"/>
      <c r="N41" s="42"/>
      <c r="O41" s="43"/>
      <c r="P41" s="42"/>
      <c r="Q41" s="44"/>
      <c r="R41" s="45"/>
    </row>
    <row r="42" spans="1:18" ht="17.399999999999999" customHeight="1" thickBot="1" x14ac:dyDescent="0.35">
      <c r="A42" s="329"/>
      <c r="B42" s="330"/>
      <c r="C42" s="330"/>
      <c r="D42" s="330"/>
      <c r="E42" s="330"/>
      <c r="F42" s="330"/>
      <c r="G42" s="330"/>
      <c r="H42" s="330"/>
      <c r="I42" s="330"/>
      <c r="J42" s="330"/>
      <c r="K42" s="330"/>
      <c r="L42" s="330"/>
      <c r="M42" s="330"/>
      <c r="N42" s="330"/>
      <c r="O42" s="330"/>
      <c r="P42" s="330"/>
      <c r="Q42" s="330"/>
      <c r="R42" s="331"/>
    </row>
    <row r="43" spans="1:18" ht="22.05" customHeight="1" thickTop="1" thickBot="1" x14ac:dyDescent="0.35">
      <c r="A43" s="300" t="s">
        <v>6</v>
      </c>
      <c r="B43" s="295"/>
      <c r="C43" s="295"/>
      <c r="D43" s="295"/>
      <c r="E43" s="295"/>
      <c r="F43" s="296"/>
      <c r="G43" s="31">
        <v>45987</v>
      </c>
      <c r="H43" s="294" t="s">
        <v>7</v>
      </c>
      <c r="I43" s="295"/>
      <c r="J43" s="295"/>
      <c r="K43" s="295"/>
      <c r="L43" s="295"/>
      <c r="M43" s="295"/>
      <c r="N43" s="295"/>
      <c r="O43" s="295"/>
      <c r="P43" s="295"/>
      <c r="Q43" s="295"/>
      <c r="R43" s="296"/>
    </row>
    <row r="44" spans="1:18" ht="24" customHeight="1" x14ac:dyDescent="0.3">
      <c r="A44" s="32" t="s">
        <v>8</v>
      </c>
      <c r="B44" s="32" t="s">
        <v>9</v>
      </c>
      <c r="C44" s="33" t="s">
        <v>10</v>
      </c>
      <c r="D44" s="32" t="s">
        <v>11</v>
      </c>
      <c r="E44" s="32" t="s">
        <v>12</v>
      </c>
      <c r="F44" s="34" t="s">
        <v>13</v>
      </c>
      <c r="G44" s="35" t="s">
        <v>14</v>
      </c>
      <c r="H44" s="32" t="s">
        <v>15</v>
      </c>
      <c r="I44" s="36" t="s">
        <v>16</v>
      </c>
      <c r="J44" s="37" t="s">
        <v>17</v>
      </c>
      <c r="K44" s="38" t="s">
        <v>18</v>
      </c>
      <c r="L44" s="37" t="s">
        <v>19</v>
      </c>
      <c r="M44" s="37" t="s">
        <v>20</v>
      </c>
      <c r="N44" s="37" t="s">
        <v>21</v>
      </c>
      <c r="O44" s="32" t="s">
        <v>22</v>
      </c>
      <c r="P44" s="33" t="s">
        <v>23</v>
      </c>
      <c r="Q44" s="37" t="s">
        <v>24</v>
      </c>
      <c r="R44" s="32" t="s">
        <v>25</v>
      </c>
    </row>
    <row r="45" spans="1:18" ht="49.95" customHeight="1" x14ac:dyDescent="0.3">
      <c r="A45" s="8" t="s">
        <v>388</v>
      </c>
      <c r="B45" s="8" t="s">
        <v>1558</v>
      </c>
      <c r="C45" s="9">
        <v>0.76736111111111116</v>
      </c>
      <c r="D45" s="8" t="s">
        <v>390</v>
      </c>
      <c r="E45" s="8" t="s">
        <v>138</v>
      </c>
      <c r="F45" s="8" t="s">
        <v>1574</v>
      </c>
      <c r="G45" s="304"/>
      <c r="H45" s="10"/>
      <c r="I45" s="11"/>
      <c r="J45" s="11"/>
      <c r="K45" s="11"/>
      <c r="L45" s="11"/>
      <c r="M45" s="11"/>
      <c r="N45" s="11"/>
      <c r="O45" s="12"/>
      <c r="P45" s="11"/>
      <c r="Q45" s="13"/>
      <c r="R45" s="14"/>
    </row>
    <row r="46" spans="1:18" ht="49.95" customHeight="1" x14ac:dyDescent="0.3">
      <c r="A46" s="15" t="s">
        <v>388</v>
      </c>
      <c r="B46" s="15" t="s">
        <v>1558</v>
      </c>
      <c r="C46" s="16">
        <v>0.76736111111111116</v>
      </c>
      <c r="D46" s="15" t="s">
        <v>46</v>
      </c>
      <c r="E46" s="15" t="s">
        <v>38</v>
      </c>
      <c r="F46" s="15" t="s">
        <v>1575</v>
      </c>
      <c r="G46" s="298"/>
      <c r="H46" s="10"/>
      <c r="I46" s="11"/>
      <c r="J46" s="11"/>
      <c r="K46" s="11"/>
      <c r="L46" s="11"/>
      <c r="M46" s="11"/>
      <c r="N46" s="11"/>
      <c r="O46" s="12"/>
      <c r="P46" s="11"/>
      <c r="Q46" s="13"/>
      <c r="R46" s="14"/>
    </row>
    <row r="47" spans="1:18" ht="49.95" customHeight="1" x14ac:dyDescent="0.3">
      <c r="A47" s="19" t="s">
        <v>385</v>
      </c>
      <c r="B47" s="19" t="s">
        <v>1552</v>
      </c>
      <c r="C47" s="20">
        <v>0.48958333333333331</v>
      </c>
      <c r="D47" s="19" t="s">
        <v>101</v>
      </c>
      <c r="E47" s="19" t="s">
        <v>118</v>
      </c>
      <c r="F47" s="19" t="s">
        <v>1576</v>
      </c>
      <c r="G47" s="298"/>
      <c r="H47" s="10"/>
      <c r="I47" s="11"/>
      <c r="J47" s="11"/>
      <c r="K47" s="11"/>
      <c r="L47" s="11"/>
      <c r="M47" s="11"/>
      <c r="N47" s="11"/>
      <c r="O47" s="12"/>
      <c r="P47" s="11"/>
      <c r="Q47" s="13"/>
      <c r="R47" s="14"/>
    </row>
    <row r="48" spans="1:18" ht="49.95" customHeight="1" x14ac:dyDescent="0.3">
      <c r="A48" s="19" t="s">
        <v>458</v>
      </c>
      <c r="B48" s="19" t="s">
        <v>1556</v>
      </c>
      <c r="C48" s="20">
        <v>0.4548611111111111</v>
      </c>
      <c r="D48" s="19" t="s">
        <v>101</v>
      </c>
      <c r="E48" s="19" t="s">
        <v>83</v>
      </c>
      <c r="F48" s="19" t="s">
        <v>1577</v>
      </c>
      <c r="G48" s="298"/>
      <c r="H48" s="10"/>
      <c r="I48" s="11"/>
      <c r="J48" s="11"/>
      <c r="K48" s="11"/>
      <c r="L48" s="11"/>
      <c r="M48" s="11"/>
      <c r="N48" s="11"/>
      <c r="O48" s="12"/>
      <c r="P48" s="11"/>
      <c r="Q48" s="13"/>
      <c r="R48" s="14"/>
    </row>
    <row r="49" spans="1:18" ht="49.95" customHeight="1" thickBot="1" x14ac:dyDescent="0.35">
      <c r="A49" s="231" t="s">
        <v>48</v>
      </c>
      <c r="B49" s="231" t="s">
        <v>1561</v>
      </c>
      <c r="C49" s="232">
        <v>0.87152777777777779</v>
      </c>
      <c r="D49" s="231" t="s">
        <v>50</v>
      </c>
      <c r="E49" s="231" t="s">
        <v>63</v>
      </c>
      <c r="F49" s="231" t="s">
        <v>1578</v>
      </c>
      <c r="G49" s="299"/>
      <c r="H49" s="41"/>
      <c r="I49" s="42"/>
      <c r="J49" s="42"/>
      <c r="K49" s="42"/>
      <c r="L49" s="42"/>
      <c r="M49" s="42"/>
      <c r="N49" s="42"/>
      <c r="O49" s="43"/>
      <c r="P49" s="42"/>
      <c r="Q49" s="44"/>
      <c r="R49" s="45"/>
    </row>
    <row r="50" spans="1:18" ht="17.399999999999999" customHeight="1" thickBot="1" x14ac:dyDescent="0.35">
      <c r="A50" s="329"/>
      <c r="B50" s="330"/>
      <c r="C50" s="330"/>
      <c r="D50" s="330"/>
      <c r="E50" s="330"/>
      <c r="F50" s="330"/>
      <c r="G50" s="330"/>
      <c r="H50" s="330"/>
      <c r="I50" s="330"/>
      <c r="J50" s="330"/>
      <c r="K50" s="330"/>
      <c r="L50" s="330"/>
      <c r="M50" s="330"/>
      <c r="N50" s="330"/>
      <c r="O50" s="330"/>
      <c r="P50" s="330"/>
      <c r="Q50" s="330"/>
      <c r="R50" s="331"/>
    </row>
    <row r="51" spans="1:18" ht="22.05" customHeight="1" thickTop="1" thickBot="1" x14ac:dyDescent="0.35">
      <c r="A51" s="300" t="s">
        <v>6</v>
      </c>
      <c r="B51" s="295"/>
      <c r="C51" s="295"/>
      <c r="D51" s="295"/>
      <c r="E51" s="295"/>
      <c r="F51" s="296"/>
      <c r="G51" s="31">
        <v>45988</v>
      </c>
      <c r="H51" s="294" t="s">
        <v>7</v>
      </c>
      <c r="I51" s="295"/>
      <c r="J51" s="295"/>
      <c r="K51" s="295"/>
      <c r="L51" s="295"/>
      <c r="M51" s="295"/>
      <c r="N51" s="295"/>
      <c r="O51" s="295"/>
      <c r="P51" s="295"/>
      <c r="Q51" s="295"/>
      <c r="R51" s="296"/>
    </row>
    <row r="52" spans="1:18" ht="24" customHeight="1" x14ac:dyDescent="0.3">
      <c r="A52" s="32" t="s">
        <v>8</v>
      </c>
      <c r="B52" s="32" t="s">
        <v>9</v>
      </c>
      <c r="C52" s="33" t="s">
        <v>10</v>
      </c>
      <c r="D52" s="32" t="s">
        <v>11</v>
      </c>
      <c r="E52" s="32" t="s">
        <v>12</v>
      </c>
      <c r="F52" s="34" t="s">
        <v>13</v>
      </c>
      <c r="G52" s="35" t="s">
        <v>14</v>
      </c>
      <c r="H52" s="32" t="s">
        <v>15</v>
      </c>
      <c r="I52" s="36" t="s">
        <v>16</v>
      </c>
      <c r="J52" s="37" t="s">
        <v>17</v>
      </c>
      <c r="K52" s="38" t="s">
        <v>18</v>
      </c>
      <c r="L52" s="37" t="s">
        <v>19</v>
      </c>
      <c r="M52" s="37" t="s">
        <v>20</v>
      </c>
      <c r="N52" s="37" t="s">
        <v>21</v>
      </c>
      <c r="O52" s="32" t="s">
        <v>22</v>
      </c>
      <c r="P52" s="33" t="s">
        <v>23</v>
      </c>
      <c r="Q52" s="37" t="s">
        <v>24</v>
      </c>
      <c r="R52" s="32" t="s">
        <v>25</v>
      </c>
    </row>
    <row r="53" spans="1:18" ht="15" customHeight="1" x14ac:dyDescent="0.3">
      <c r="A53" s="8" t="s">
        <v>388</v>
      </c>
      <c r="B53" s="8" t="s">
        <v>1558</v>
      </c>
      <c r="C53" s="9">
        <v>0.76736111111111116</v>
      </c>
      <c r="D53" s="8" t="s">
        <v>390</v>
      </c>
      <c r="E53" s="8" t="s">
        <v>138</v>
      </c>
      <c r="F53" s="8" t="s">
        <v>1579</v>
      </c>
      <c r="G53" s="304"/>
      <c r="H53" s="10"/>
      <c r="I53" s="11"/>
      <c r="J53" s="11"/>
      <c r="K53" s="11"/>
      <c r="L53" s="11"/>
      <c r="M53" s="11"/>
      <c r="N53" s="11"/>
      <c r="O53" s="12"/>
      <c r="P53" s="11"/>
      <c r="Q53" s="13"/>
      <c r="R53" s="14"/>
    </row>
    <row r="54" spans="1:18" ht="15" customHeight="1" x14ac:dyDescent="0.3">
      <c r="A54" s="15" t="s">
        <v>388</v>
      </c>
      <c r="B54" s="15" t="s">
        <v>1558</v>
      </c>
      <c r="C54" s="16">
        <v>0.76736111111111116</v>
      </c>
      <c r="D54" s="15" t="s">
        <v>46</v>
      </c>
      <c r="E54" s="15" t="s">
        <v>38</v>
      </c>
      <c r="F54" s="15" t="s">
        <v>1580</v>
      </c>
      <c r="G54" s="298"/>
      <c r="H54" s="10"/>
      <c r="I54" s="11"/>
      <c r="J54" s="11"/>
      <c r="K54" s="11"/>
      <c r="L54" s="11"/>
      <c r="M54" s="11"/>
      <c r="N54" s="11"/>
      <c r="O54" s="12"/>
      <c r="P54" s="11"/>
      <c r="Q54" s="13"/>
      <c r="R54" s="14"/>
    </row>
    <row r="55" spans="1:18" ht="15" customHeight="1" x14ac:dyDescent="0.3">
      <c r="A55" s="19" t="s">
        <v>385</v>
      </c>
      <c r="B55" s="19" t="s">
        <v>1552</v>
      </c>
      <c r="C55" s="20">
        <v>0.48958333333333331</v>
      </c>
      <c r="D55" s="19" t="s">
        <v>101</v>
      </c>
      <c r="E55" s="19" t="s">
        <v>139</v>
      </c>
      <c r="F55" s="19" t="s">
        <v>1581</v>
      </c>
      <c r="G55" s="298"/>
      <c r="H55" s="10"/>
      <c r="I55" s="11"/>
      <c r="J55" s="11"/>
      <c r="K55" s="11"/>
      <c r="L55" s="11"/>
      <c r="M55" s="11"/>
      <c r="N55" s="11"/>
      <c r="O55" s="12"/>
      <c r="P55" s="11"/>
      <c r="Q55" s="13"/>
      <c r="R55" s="14"/>
    </row>
    <row r="56" spans="1:18" ht="15" customHeight="1" x14ac:dyDescent="0.3">
      <c r="A56" s="179" t="s">
        <v>77</v>
      </c>
      <c r="B56" s="179" t="s">
        <v>1553</v>
      </c>
      <c r="C56" s="180">
        <v>0.63194444444444442</v>
      </c>
      <c r="D56" s="179" t="s">
        <v>101</v>
      </c>
      <c r="E56" s="179" t="s">
        <v>63</v>
      </c>
      <c r="F56" s="179" t="s">
        <v>366</v>
      </c>
      <c r="G56" s="298"/>
      <c r="H56" s="181" t="s">
        <v>1554</v>
      </c>
      <c r="I56" s="197">
        <v>0.57540000000000002</v>
      </c>
      <c r="J56" s="183">
        <v>103</v>
      </c>
      <c r="K56" s="184">
        <v>45980</v>
      </c>
      <c r="L56" s="183">
        <v>6</v>
      </c>
      <c r="M56" s="183">
        <v>2</v>
      </c>
      <c r="N56" s="183">
        <v>3</v>
      </c>
      <c r="O56" s="185" t="s">
        <v>731</v>
      </c>
      <c r="P56" s="186">
        <v>0.63194444444444442</v>
      </c>
      <c r="Q56" s="183">
        <v>179</v>
      </c>
      <c r="R56" s="187" t="s">
        <v>1582</v>
      </c>
    </row>
    <row r="57" spans="1:18" ht="15" customHeight="1" x14ac:dyDescent="0.3">
      <c r="A57" s="19" t="s">
        <v>458</v>
      </c>
      <c r="B57" s="19" t="s">
        <v>1556</v>
      </c>
      <c r="C57" s="20">
        <v>0.4548611111111111</v>
      </c>
      <c r="D57" s="19" t="s">
        <v>101</v>
      </c>
      <c r="E57" s="19" t="s">
        <v>83</v>
      </c>
      <c r="F57" s="19" t="s">
        <v>521</v>
      </c>
      <c r="G57" s="298"/>
      <c r="H57" s="10"/>
      <c r="I57" s="11"/>
      <c r="J57" s="11"/>
      <c r="K57" s="11"/>
      <c r="L57" s="11"/>
      <c r="M57" s="11"/>
      <c r="N57" s="11"/>
      <c r="O57" s="12"/>
      <c r="P57" s="11"/>
      <c r="Q57" s="13"/>
      <c r="R57" s="14"/>
    </row>
    <row r="58" spans="1:18" ht="15" customHeight="1" thickBot="1" x14ac:dyDescent="0.35">
      <c r="A58" s="231" t="s">
        <v>48</v>
      </c>
      <c r="B58" s="231" t="s">
        <v>1561</v>
      </c>
      <c r="C58" s="232">
        <v>0.87152777777777779</v>
      </c>
      <c r="D58" s="231" t="s">
        <v>50</v>
      </c>
      <c r="E58" s="231" t="s">
        <v>63</v>
      </c>
      <c r="F58" s="231" t="s">
        <v>1583</v>
      </c>
      <c r="G58" s="299"/>
      <c r="H58" s="41"/>
      <c r="I58" s="42"/>
      <c r="J58" s="42"/>
      <c r="K58" s="42"/>
      <c r="L58" s="42"/>
      <c r="M58" s="42"/>
      <c r="N58" s="42"/>
      <c r="O58" s="43"/>
      <c r="P58" s="42"/>
      <c r="Q58" s="44"/>
      <c r="R58" s="45"/>
    </row>
    <row r="59" spans="1:18" ht="17.399999999999999" customHeight="1" thickBot="1" x14ac:dyDescent="0.35">
      <c r="A59" s="329"/>
      <c r="B59" s="330"/>
      <c r="C59" s="330"/>
      <c r="D59" s="330"/>
      <c r="E59" s="330"/>
      <c r="F59" s="330"/>
      <c r="G59" s="330"/>
      <c r="H59" s="330"/>
      <c r="I59" s="330"/>
      <c r="J59" s="330"/>
      <c r="K59" s="330"/>
      <c r="L59" s="330"/>
      <c r="M59" s="330"/>
      <c r="N59" s="330"/>
      <c r="O59" s="330"/>
      <c r="P59" s="330"/>
      <c r="Q59" s="330"/>
      <c r="R59" s="331"/>
    </row>
    <row r="60" spans="1:18" ht="22.05" customHeight="1" thickTop="1" thickBot="1" x14ac:dyDescent="0.35">
      <c r="A60" s="300" t="s">
        <v>6</v>
      </c>
      <c r="B60" s="295"/>
      <c r="C60" s="295"/>
      <c r="D60" s="295"/>
      <c r="E60" s="295"/>
      <c r="F60" s="296"/>
      <c r="G60" s="31">
        <v>45989</v>
      </c>
      <c r="H60" s="294" t="s">
        <v>7</v>
      </c>
      <c r="I60" s="295"/>
      <c r="J60" s="295"/>
      <c r="K60" s="295"/>
      <c r="L60" s="295"/>
      <c r="M60" s="295"/>
      <c r="N60" s="295"/>
      <c r="O60" s="295"/>
      <c r="P60" s="295"/>
      <c r="Q60" s="295"/>
      <c r="R60" s="296"/>
    </row>
    <row r="61" spans="1:18" ht="24" customHeight="1" x14ac:dyDescent="0.3">
      <c r="A61" s="32" t="s">
        <v>8</v>
      </c>
      <c r="B61" s="32" t="s">
        <v>9</v>
      </c>
      <c r="C61" s="33" t="s">
        <v>10</v>
      </c>
      <c r="D61" s="32" t="s">
        <v>11</v>
      </c>
      <c r="E61" s="32" t="s">
        <v>12</v>
      </c>
      <c r="F61" s="34" t="s">
        <v>13</v>
      </c>
      <c r="G61" s="35" t="s">
        <v>14</v>
      </c>
      <c r="H61" s="32" t="s">
        <v>15</v>
      </c>
      <c r="I61" s="36" t="s">
        <v>16</v>
      </c>
      <c r="J61" s="37" t="s">
        <v>17</v>
      </c>
      <c r="K61" s="38" t="s">
        <v>18</v>
      </c>
      <c r="L61" s="37" t="s">
        <v>19</v>
      </c>
      <c r="M61" s="37" t="s">
        <v>20</v>
      </c>
      <c r="N61" s="37" t="s">
        <v>21</v>
      </c>
      <c r="O61" s="32" t="s">
        <v>22</v>
      </c>
      <c r="P61" s="33" t="s">
        <v>23</v>
      </c>
      <c r="Q61" s="37" t="s">
        <v>24</v>
      </c>
      <c r="R61" s="32" t="s">
        <v>25</v>
      </c>
    </row>
    <row r="62" spans="1:18" ht="49.95" customHeight="1" x14ac:dyDescent="0.3">
      <c r="A62" s="8" t="s">
        <v>385</v>
      </c>
      <c r="B62" s="8" t="s">
        <v>1552</v>
      </c>
      <c r="C62" s="9">
        <v>0.48958333333333331</v>
      </c>
      <c r="D62" s="8" t="s">
        <v>101</v>
      </c>
      <c r="E62" s="8" t="s">
        <v>63</v>
      </c>
      <c r="F62" s="8" t="s">
        <v>1584</v>
      </c>
      <c r="G62" s="297"/>
      <c r="H62" s="10"/>
      <c r="I62" s="11"/>
      <c r="J62" s="11"/>
      <c r="K62" s="11"/>
      <c r="L62" s="11"/>
      <c r="M62" s="11"/>
      <c r="N62" s="11"/>
      <c r="O62" s="12"/>
      <c r="P62" s="11"/>
      <c r="Q62" s="13"/>
      <c r="R62" s="14"/>
    </row>
    <row r="63" spans="1:18" ht="49.95" customHeight="1" x14ac:dyDescent="0.3">
      <c r="A63" s="19" t="s">
        <v>458</v>
      </c>
      <c r="B63" s="19" t="s">
        <v>1556</v>
      </c>
      <c r="C63" s="20">
        <v>0.69791666666666663</v>
      </c>
      <c r="D63" s="19" t="s">
        <v>101</v>
      </c>
      <c r="E63" s="19" t="s">
        <v>139</v>
      </c>
      <c r="F63" s="19" t="s">
        <v>1585</v>
      </c>
      <c r="G63" s="298"/>
      <c r="H63" s="10"/>
      <c r="I63" s="11"/>
      <c r="J63" s="11"/>
      <c r="K63" s="11"/>
      <c r="L63" s="11"/>
      <c r="M63" s="11"/>
      <c r="N63" s="11"/>
      <c r="O63" s="12"/>
      <c r="P63" s="11"/>
      <c r="Q63" s="13"/>
      <c r="R63" s="14"/>
    </row>
    <row r="64" spans="1:18" ht="49.95" customHeight="1" x14ac:dyDescent="0.3">
      <c r="A64" s="164" t="s">
        <v>77</v>
      </c>
      <c r="B64" s="164" t="s">
        <v>1553</v>
      </c>
      <c r="C64" s="165">
        <v>0.82986111111111116</v>
      </c>
      <c r="D64" s="164" t="s">
        <v>101</v>
      </c>
      <c r="E64" s="164" t="s">
        <v>139</v>
      </c>
      <c r="F64" s="164" t="s">
        <v>1586</v>
      </c>
      <c r="G64" s="298"/>
      <c r="H64" s="167" t="s">
        <v>1554</v>
      </c>
      <c r="I64" s="215">
        <v>0.67600000000000005</v>
      </c>
      <c r="J64" s="169">
        <v>121</v>
      </c>
      <c r="K64" s="170">
        <v>45979</v>
      </c>
      <c r="L64" s="169">
        <v>16</v>
      </c>
      <c r="M64" s="169">
        <v>0</v>
      </c>
      <c r="N64" s="169">
        <v>8</v>
      </c>
      <c r="O64" s="171" t="s">
        <v>1587</v>
      </c>
      <c r="P64" s="172">
        <v>0.82986111111111116</v>
      </c>
      <c r="Q64" s="169">
        <v>179</v>
      </c>
      <c r="R64" s="173" t="s">
        <v>1588</v>
      </c>
    </row>
    <row r="65" spans="1:18" ht="49.95" customHeight="1" thickBot="1" x14ac:dyDescent="0.35">
      <c r="A65" s="231" t="s">
        <v>48</v>
      </c>
      <c r="B65" s="231" t="s">
        <v>1561</v>
      </c>
      <c r="C65" s="232">
        <v>0.87152777777777779</v>
      </c>
      <c r="D65" s="231" t="s">
        <v>50</v>
      </c>
      <c r="E65" s="231" t="s">
        <v>63</v>
      </c>
      <c r="F65" s="231" t="s">
        <v>544</v>
      </c>
      <c r="G65" s="299"/>
      <c r="H65" s="41"/>
      <c r="I65" s="42"/>
      <c r="J65" s="42"/>
      <c r="K65" s="42"/>
      <c r="L65" s="42"/>
      <c r="M65" s="42"/>
      <c r="N65" s="42"/>
      <c r="O65" s="43"/>
      <c r="P65" s="42"/>
      <c r="Q65" s="44"/>
      <c r="R65" s="45"/>
    </row>
    <row r="66" spans="1:18" ht="17.399999999999999" customHeight="1" thickBot="1" x14ac:dyDescent="0.35">
      <c r="A66" s="329"/>
      <c r="B66" s="330"/>
      <c r="C66" s="330"/>
      <c r="D66" s="330"/>
      <c r="E66" s="330"/>
      <c r="F66" s="330"/>
      <c r="G66" s="330"/>
      <c r="H66" s="330"/>
      <c r="I66" s="330"/>
      <c r="J66" s="330"/>
      <c r="K66" s="330"/>
      <c r="L66" s="330"/>
      <c r="M66" s="330"/>
      <c r="N66" s="330"/>
      <c r="O66" s="330"/>
      <c r="P66" s="330"/>
      <c r="Q66" s="330"/>
      <c r="R66" s="331"/>
    </row>
    <row r="67" spans="1:18" ht="22.05" customHeight="1" thickTop="1" thickBot="1" x14ac:dyDescent="0.35">
      <c r="A67" s="300" t="s">
        <v>6</v>
      </c>
      <c r="B67" s="295"/>
      <c r="C67" s="295"/>
      <c r="D67" s="295"/>
      <c r="E67" s="295"/>
      <c r="F67" s="296"/>
      <c r="G67" s="31">
        <v>45990</v>
      </c>
      <c r="H67" s="294" t="s">
        <v>7</v>
      </c>
      <c r="I67" s="295"/>
      <c r="J67" s="295"/>
      <c r="K67" s="295"/>
      <c r="L67" s="295"/>
      <c r="M67" s="295"/>
      <c r="N67" s="295"/>
      <c r="O67" s="295"/>
      <c r="P67" s="295"/>
      <c r="Q67" s="295"/>
      <c r="R67" s="296"/>
    </row>
    <row r="68" spans="1:18" ht="24" customHeight="1" x14ac:dyDescent="0.3">
      <c r="A68" s="32" t="s">
        <v>8</v>
      </c>
      <c r="B68" s="32" t="s">
        <v>9</v>
      </c>
      <c r="C68" s="33" t="s">
        <v>10</v>
      </c>
      <c r="D68" s="32" t="s">
        <v>11</v>
      </c>
      <c r="E68" s="32" t="s">
        <v>12</v>
      </c>
      <c r="F68" s="34" t="s">
        <v>13</v>
      </c>
      <c r="G68" s="35" t="s">
        <v>14</v>
      </c>
      <c r="H68" s="32" t="s">
        <v>15</v>
      </c>
      <c r="I68" s="36" t="s">
        <v>16</v>
      </c>
      <c r="J68" s="37" t="s">
        <v>17</v>
      </c>
      <c r="K68" s="38" t="s">
        <v>18</v>
      </c>
      <c r="L68" s="37" t="s">
        <v>19</v>
      </c>
      <c r="M68" s="37" t="s">
        <v>20</v>
      </c>
      <c r="N68" s="37" t="s">
        <v>21</v>
      </c>
      <c r="O68" s="32" t="s">
        <v>22</v>
      </c>
      <c r="P68" s="33" t="s">
        <v>23</v>
      </c>
      <c r="Q68" s="37" t="s">
        <v>24</v>
      </c>
      <c r="R68" s="32" t="s">
        <v>25</v>
      </c>
    </row>
    <row r="69" spans="1:18" ht="49.95" customHeight="1" x14ac:dyDescent="0.3">
      <c r="A69" s="8" t="s">
        <v>385</v>
      </c>
      <c r="B69" s="8" t="s">
        <v>1566</v>
      </c>
      <c r="C69" s="9">
        <v>0.84027777777777779</v>
      </c>
      <c r="D69" s="8" t="s">
        <v>101</v>
      </c>
      <c r="E69" s="8" t="s">
        <v>63</v>
      </c>
      <c r="F69" s="8" t="s">
        <v>1589</v>
      </c>
      <c r="G69" s="297"/>
      <c r="H69" s="10"/>
      <c r="I69" s="11"/>
      <c r="J69" s="11"/>
      <c r="K69" s="11"/>
      <c r="L69" s="11"/>
      <c r="M69" s="11"/>
      <c r="N69" s="11"/>
      <c r="O69" s="12"/>
      <c r="P69" s="11"/>
      <c r="Q69" s="13"/>
      <c r="R69" s="14"/>
    </row>
    <row r="70" spans="1:18" ht="49.95" customHeight="1" thickTop="1" thickBot="1" x14ac:dyDescent="0.35">
      <c r="A70" s="231" t="s">
        <v>48</v>
      </c>
      <c r="B70" s="231" t="s">
        <v>1561</v>
      </c>
      <c r="C70" s="232">
        <v>0.86805555555555547</v>
      </c>
      <c r="D70" s="231" t="s">
        <v>50</v>
      </c>
      <c r="E70" s="231" t="s">
        <v>63</v>
      </c>
      <c r="F70" s="231" t="s">
        <v>544</v>
      </c>
      <c r="G70" s="299"/>
      <c r="H70" s="41"/>
      <c r="I70" s="42"/>
      <c r="J70" s="42"/>
      <c r="K70" s="42"/>
      <c r="L70" s="42"/>
      <c r="M70" s="42"/>
      <c r="N70" s="42"/>
      <c r="O70" s="43"/>
      <c r="P70" s="42"/>
      <c r="Q70" s="44"/>
      <c r="R70" s="45"/>
    </row>
    <row r="71" spans="1:18" ht="17.399999999999999" customHeight="1" thickBot="1" x14ac:dyDescent="0.35">
      <c r="A71" s="329"/>
      <c r="B71" s="330"/>
      <c r="C71" s="330"/>
      <c r="D71" s="330"/>
      <c r="E71" s="330"/>
      <c r="F71" s="330"/>
      <c r="G71" s="330"/>
      <c r="H71" s="330"/>
      <c r="I71" s="330"/>
      <c r="J71" s="330"/>
      <c r="K71" s="330"/>
      <c r="L71" s="330"/>
      <c r="M71" s="330"/>
      <c r="N71" s="330"/>
      <c r="O71" s="330"/>
      <c r="P71" s="330"/>
      <c r="Q71" s="330"/>
      <c r="R71" s="331"/>
    </row>
    <row r="72" spans="1:18" ht="22.05" customHeight="1" thickTop="1" thickBot="1" x14ac:dyDescent="0.35">
      <c r="A72" s="300" t="s">
        <v>6</v>
      </c>
      <c r="B72" s="295"/>
      <c r="C72" s="295"/>
      <c r="D72" s="295"/>
      <c r="E72" s="295"/>
      <c r="F72" s="296"/>
      <c r="G72" s="31">
        <v>45991</v>
      </c>
      <c r="H72" s="294" t="s">
        <v>7</v>
      </c>
      <c r="I72" s="295"/>
      <c r="J72" s="295"/>
      <c r="K72" s="295"/>
      <c r="L72" s="295"/>
      <c r="M72" s="295"/>
      <c r="N72" s="295"/>
      <c r="O72" s="295"/>
      <c r="P72" s="295"/>
      <c r="Q72" s="295"/>
      <c r="R72" s="296"/>
    </row>
    <row r="73" spans="1:18" ht="24" customHeight="1" x14ac:dyDescent="0.3">
      <c r="A73" s="32" t="s">
        <v>8</v>
      </c>
      <c r="B73" s="32" t="s">
        <v>9</v>
      </c>
      <c r="C73" s="33" t="s">
        <v>10</v>
      </c>
      <c r="D73" s="32" t="s">
        <v>11</v>
      </c>
      <c r="E73" s="32" t="s">
        <v>12</v>
      </c>
      <c r="F73" s="34" t="s">
        <v>13</v>
      </c>
      <c r="G73" s="35" t="s">
        <v>14</v>
      </c>
      <c r="H73" s="32" t="s">
        <v>15</v>
      </c>
      <c r="I73" s="36" t="s">
        <v>16</v>
      </c>
      <c r="J73" s="37" t="s">
        <v>17</v>
      </c>
      <c r="K73" s="38" t="s">
        <v>18</v>
      </c>
      <c r="L73" s="37" t="s">
        <v>19</v>
      </c>
      <c r="M73" s="37" t="s">
        <v>20</v>
      </c>
      <c r="N73" s="37" t="s">
        <v>21</v>
      </c>
      <c r="O73" s="32" t="s">
        <v>22</v>
      </c>
      <c r="P73" s="33" t="s">
        <v>23</v>
      </c>
      <c r="Q73" s="37" t="s">
        <v>24</v>
      </c>
      <c r="R73" s="32" t="s">
        <v>25</v>
      </c>
    </row>
    <row r="74" spans="1:18" ht="49.95" customHeight="1" x14ac:dyDescent="0.3">
      <c r="A74" s="8" t="s">
        <v>385</v>
      </c>
      <c r="B74" s="8" t="s">
        <v>1552</v>
      </c>
      <c r="C74" s="9">
        <v>0.48958333333333331</v>
      </c>
      <c r="D74" s="8" t="s">
        <v>101</v>
      </c>
      <c r="E74" s="8" t="s">
        <v>29</v>
      </c>
      <c r="F74" s="8" t="s">
        <v>1581</v>
      </c>
      <c r="G74" s="297"/>
      <c r="H74" s="10"/>
      <c r="I74" s="11"/>
      <c r="J74" s="11"/>
      <c r="K74" s="11"/>
      <c r="L74" s="11"/>
      <c r="M74" s="11"/>
      <c r="N74" s="11"/>
      <c r="O74" s="12"/>
      <c r="P74" s="11"/>
      <c r="Q74" s="13"/>
      <c r="R74" s="14"/>
    </row>
    <row r="75" spans="1:18" ht="49.95" customHeight="1" x14ac:dyDescent="0.3">
      <c r="A75" s="154" t="s">
        <v>77</v>
      </c>
      <c r="B75" s="154" t="s">
        <v>1553</v>
      </c>
      <c r="C75" s="155">
        <v>0.63194444444444442</v>
      </c>
      <c r="D75" s="154" t="s">
        <v>101</v>
      </c>
      <c r="E75" s="154" t="s">
        <v>96</v>
      </c>
      <c r="F75" s="154" t="s">
        <v>366</v>
      </c>
      <c r="G75" s="298"/>
      <c r="H75" s="157" t="s">
        <v>1554</v>
      </c>
      <c r="I75" s="229">
        <v>0.62570000000000003</v>
      </c>
      <c r="J75" s="159">
        <v>112</v>
      </c>
      <c r="K75" s="160">
        <v>45980</v>
      </c>
      <c r="L75" s="159">
        <v>34</v>
      </c>
      <c r="M75" s="159">
        <v>3</v>
      </c>
      <c r="N75" s="159">
        <v>9</v>
      </c>
      <c r="O75" s="161" t="s">
        <v>568</v>
      </c>
      <c r="P75" s="162">
        <v>0.63194444444444442</v>
      </c>
      <c r="Q75" s="159">
        <v>179</v>
      </c>
      <c r="R75" s="163" t="s">
        <v>1590</v>
      </c>
    </row>
    <row r="76" spans="1:18" ht="49.95" customHeight="1" x14ac:dyDescent="0.3">
      <c r="A76" s="231" t="s">
        <v>458</v>
      </c>
      <c r="B76" s="231" t="s">
        <v>1556</v>
      </c>
      <c r="C76" s="232">
        <v>0.4375</v>
      </c>
      <c r="D76" s="231" t="s">
        <v>101</v>
      </c>
      <c r="E76" s="231" t="s">
        <v>118</v>
      </c>
      <c r="F76" s="231" t="s">
        <v>151</v>
      </c>
      <c r="G76" s="299"/>
      <c r="H76" s="41"/>
      <c r="I76" s="42"/>
      <c r="J76" s="42"/>
      <c r="K76" s="42"/>
      <c r="L76" s="42"/>
      <c r="M76" s="42"/>
      <c r="N76" s="42"/>
      <c r="O76" s="43"/>
      <c r="P76" s="42"/>
      <c r="Q76" s="44"/>
      <c r="R76" s="45"/>
    </row>
  </sheetData>
  <mergeCells count="50">
    <mergeCell ref="N1:R1"/>
    <mergeCell ref="A38:F38"/>
    <mergeCell ref="A43:F43"/>
    <mergeCell ref="G53:G58"/>
    <mergeCell ref="A13:F13"/>
    <mergeCell ref="A19:R19"/>
    <mergeCell ref="A31:F31"/>
    <mergeCell ref="K2:R2"/>
    <mergeCell ref="G6:G11"/>
    <mergeCell ref="H13:R13"/>
    <mergeCell ref="A30:R30"/>
    <mergeCell ref="A51:F51"/>
    <mergeCell ref="G40:G41"/>
    <mergeCell ref="G2:J2"/>
    <mergeCell ref="H51:R51"/>
    <mergeCell ref="A4:F4"/>
    <mergeCell ref="G62:G65"/>
    <mergeCell ref="A20:F20"/>
    <mergeCell ref="G15:G18"/>
    <mergeCell ref="G33:G36"/>
    <mergeCell ref="A59:R59"/>
    <mergeCell ref="A60:F60"/>
    <mergeCell ref="H1:L1"/>
    <mergeCell ref="A1:E1"/>
    <mergeCell ref="H43:R43"/>
    <mergeCell ref="A66:R66"/>
    <mergeCell ref="A37:R37"/>
    <mergeCell ref="A26:F26"/>
    <mergeCell ref="H4:R4"/>
    <mergeCell ref="G45:G49"/>
    <mergeCell ref="A12:R12"/>
    <mergeCell ref="A50:R50"/>
    <mergeCell ref="A2:F2"/>
    <mergeCell ref="A3:R3"/>
    <mergeCell ref="G22:G24"/>
    <mergeCell ref="H31:R31"/>
    <mergeCell ref="A42:R42"/>
    <mergeCell ref="G28:G29"/>
    <mergeCell ref="G74:G76"/>
    <mergeCell ref="H26:R26"/>
    <mergeCell ref="A25:R25"/>
    <mergeCell ref="H20:R20"/>
    <mergeCell ref="H38:R38"/>
    <mergeCell ref="H67:R67"/>
    <mergeCell ref="G69:G70"/>
    <mergeCell ref="A71:R71"/>
    <mergeCell ref="H60:R60"/>
    <mergeCell ref="A72:F72"/>
    <mergeCell ref="A67:F67"/>
    <mergeCell ref="H72:R72"/>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J8"/>
  <sheetViews>
    <sheetView workbookViewId="0"/>
  </sheetViews>
  <sheetFormatPr defaultRowHeight="15.6" outlineLevelCol="1" x14ac:dyDescent="0.3"/>
  <cols>
    <col min="1" max="1" width="9.88671875" style="316" bestFit="1" customWidth="1"/>
    <col min="2" max="2" width="10.44140625" style="316" bestFit="1" customWidth="1"/>
    <col min="3" max="3" width="6.77734375" style="316" bestFit="1" customWidth="1"/>
    <col min="4" max="4" width="5.5546875" style="316" bestFit="1" customWidth="1"/>
    <col min="5" max="5" width="7.88671875" style="316" bestFit="1" customWidth="1"/>
    <col min="6" max="6" width="4.21875" style="316" bestFit="1" customWidth="1"/>
    <col min="7" max="7" width="10" style="316" bestFit="1" customWidth="1"/>
    <col min="8" max="8" width="8.5546875" style="316" bestFit="1" customWidth="1"/>
    <col min="9"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19" width="3.88671875" style="316" bestFit="1" customWidth="1"/>
    <col min="20" max="20" width="4.44140625" style="316" bestFit="1" customWidth="1"/>
    <col min="21" max="22" width="3.88671875" style="316" bestFit="1" customWidth="1"/>
    <col min="23" max="23" width="4.33203125" style="316" bestFit="1" customWidth="1"/>
    <col min="24" max="24" width="3.886718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0" width="3.88671875" style="316" bestFit="1" customWidth="1"/>
    <col min="31"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1554</v>
      </c>
      <c r="D2" s="320" t="s">
        <v>1210</v>
      </c>
      <c r="E2" s="319" t="s">
        <v>1551</v>
      </c>
      <c r="F2" s="319" t="s">
        <v>189</v>
      </c>
      <c r="G2" s="321">
        <v>0.58099999999999996</v>
      </c>
      <c r="H2" s="322">
        <v>179</v>
      </c>
      <c r="I2" s="322">
        <v>104</v>
      </c>
      <c r="J2" s="322">
        <v>0</v>
      </c>
      <c r="K2" s="319" t="s">
        <v>190</v>
      </c>
      <c r="L2" s="323">
        <v>45979</v>
      </c>
      <c r="M2" s="322">
        <v>0</v>
      </c>
      <c r="N2" s="322">
        <v>7</v>
      </c>
      <c r="O2" s="322">
        <v>44</v>
      </c>
      <c r="P2" s="319" t="s">
        <v>422</v>
      </c>
      <c r="Q2" s="315"/>
      <c r="R2" s="315"/>
      <c r="S2" s="315"/>
      <c r="T2" s="315"/>
      <c r="U2" s="315"/>
      <c r="V2" s="315"/>
      <c r="W2" s="315"/>
      <c r="X2" s="315"/>
      <c r="Y2" s="322" t="s">
        <v>496</v>
      </c>
      <c r="Z2" s="322" t="s">
        <v>733</v>
      </c>
      <c r="AA2" s="322" t="s">
        <v>1591</v>
      </c>
      <c r="AB2" s="315"/>
      <c r="AC2" s="315"/>
      <c r="AD2" s="322" t="s">
        <v>977</v>
      </c>
      <c r="AE2" s="322" t="s">
        <v>1193</v>
      </c>
      <c r="AF2" s="322" t="s">
        <v>1178</v>
      </c>
      <c r="AG2" s="315"/>
      <c r="AH2" s="315"/>
      <c r="AI2" s="315"/>
      <c r="AJ2" s="315"/>
    </row>
    <row r="3" spans="1:36" x14ac:dyDescent="0.3">
      <c r="A3" s="317" t="s">
        <v>606</v>
      </c>
      <c r="B3" s="318">
        <v>45982</v>
      </c>
      <c r="C3" s="319" t="s">
        <v>1554</v>
      </c>
      <c r="D3" s="320" t="s">
        <v>651</v>
      </c>
      <c r="E3" s="319" t="s">
        <v>1551</v>
      </c>
      <c r="F3" s="319" t="s">
        <v>189</v>
      </c>
      <c r="G3" s="321">
        <v>0.43020000000000003</v>
      </c>
      <c r="H3" s="322">
        <v>179</v>
      </c>
      <c r="I3" s="322">
        <v>77</v>
      </c>
      <c r="J3" s="322">
        <v>0</v>
      </c>
      <c r="K3" s="319" t="s">
        <v>190</v>
      </c>
      <c r="L3" s="323">
        <v>45980</v>
      </c>
      <c r="M3" s="322">
        <v>4</v>
      </c>
      <c r="N3" s="322">
        <v>9</v>
      </c>
      <c r="O3" s="322">
        <v>48</v>
      </c>
      <c r="P3" s="319" t="s">
        <v>789</v>
      </c>
      <c r="Q3" s="315"/>
      <c r="R3" s="315"/>
      <c r="S3" s="315"/>
      <c r="T3" s="315"/>
      <c r="U3" s="315"/>
      <c r="V3" s="315"/>
      <c r="W3" s="315"/>
      <c r="X3" s="315"/>
      <c r="Y3" s="322" t="s">
        <v>227</v>
      </c>
      <c r="Z3" s="322" t="s">
        <v>591</v>
      </c>
      <c r="AA3" s="322" t="s">
        <v>1592</v>
      </c>
      <c r="AB3" s="315"/>
      <c r="AC3" s="315"/>
      <c r="AD3" s="315"/>
      <c r="AE3" s="322" t="s">
        <v>598</v>
      </c>
      <c r="AF3" s="322" t="s">
        <v>592</v>
      </c>
      <c r="AG3" s="315"/>
      <c r="AH3" s="315"/>
      <c r="AI3" s="315"/>
      <c r="AJ3" s="315"/>
    </row>
    <row r="4" spans="1:36" x14ac:dyDescent="0.3">
      <c r="A4" s="317" t="s">
        <v>203</v>
      </c>
      <c r="B4" s="318">
        <v>45984</v>
      </c>
      <c r="C4" s="319" t="s">
        <v>1554</v>
      </c>
      <c r="D4" s="320" t="s">
        <v>1210</v>
      </c>
      <c r="E4" s="319" t="s">
        <v>1551</v>
      </c>
      <c r="F4" s="319" t="s">
        <v>189</v>
      </c>
      <c r="G4" s="321">
        <v>0.55869999999999997</v>
      </c>
      <c r="H4" s="322">
        <v>179</v>
      </c>
      <c r="I4" s="322">
        <v>100</v>
      </c>
      <c r="J4" s="322">
        <v>0</v>
      </c>
      <c r="K4" s="319" t="s">
        <v>190</v>
      </c>
      <c r="L4" s="323">
        <v>45980</v>
      </c>
      <c r="M4" s="322">
        <v>10</v>
      </c>
      <c r="N4" s="322">
        <v>18</v>
      </c>
      <c r="O4" s="322">
        <v>51</v>
      </c>
      <c r="P4" s="319" t="s">
        <v>313</v>
      </c>
      <c r="Q4" s="315"/>
      <c r="R4" s="315"/>
      <c r="S4" s="315"/>
      <c r="T4" s="315"/>
      <c r="U4" s="315"/>
      <c r="V4" s="315"/>
      <c r="W4" s="315"/>
      <c r="X4" s="315"/>
      <c r="Y4" s="322" t="s">
        <v>294</v>
      </c>
      <c r="Z4" s="322" t="s">
        <v>1593</v>
      </c>
      <c r="AA4" s="322" t="s">
        <v>1592</v>
      </c>
      <c r="AB4" s="315"/>
      <c r="AC4" s="322" t="s">
        <v>654</v>
      </c>
      <c r="AD4" s="322" t="s">
        <v>977</v>
      </c>
      <c r="AE4" s="322" t="s">
        <v>332</v>
      </c>
      <c r="AF4" s="322" t="s">
        <v>1181</v>
      </c>
      <c r="AG4" s="315"/>
      <c r="AH4" s="315"/>
      <c r="AI4" s="315"/>
      <c r="AJ4" s="315"/>
    </row>
    <row r="5" spans="1:36" x14ac:dyDescent="0.3">
      <c r="A5" s="317" t="s">
        <v>187</v>
      </c>
      <c r="B5" s="318">
        <v>45988</v>
      </c>
      <c r="C5" s="319" t="s">
        <v>1554</v>
      </c>
      <c r="D5" s="320" t="s">
        <v>1210</v>
      </c>
      <c r="E5" s="319" t="s">
        <v>1551</v>
      </c>
      <c r="F5" s="319" t="s">
        <v>189</v>
      </c>
      <c r="G5" s="321">
        <v>0.57540000000000002</v>
      </c>
      <c r="H5" s="322">
        <v>179</v>
      </c>
      <c r="I5" s="322">
        <v>103</v>
      </c>
      <c r="J5" s="322">
        <v>0</v>
      </c>
      <c r="K5" s="319" t="s">
        <v>190</v>
      </c>
      <c r="L5" s="323">
        <v>45980</v>
      </c>
      <c r="M5" s="322">
        <v>2</v>
      </c>
      <c r="N5" s="322">
        <v>3</v>
      </c>
      <c r="O5" s="322">
        <v>6</v>
      </c>
      <c r="P5" s="319" t="s">
        <v>731</v>
      </c>
      <c r="Q5" s="315"/>
      <c r="R5" s="315"/>
      <c r="S5" s="315"/>
      <c r="T5" s="315"/>
      <c r="U5" s="315"/>
      <c r="V5" s="322" t="s">
        <v>1492</v>
      </c>
      <c r="W5" s="322" t="s">
        <v>128</v>
      </c>
      <c r="X5" s="322" t="s">
        <v>739</v>
      </c>
      <c r="Y5" s="322" t="s">
        <v>1594</v>
      </c>
      <c r="Z5" s="322" t="s">
        <v>733</v>
      </c>
      <c r="AA5" s="322" t="s">
        <v>586</v>
      </c>
      <c r="AB5" s="322" t="s">
        <v>1595</v>
      </c>
      <c r="AC5" s="322" t="s">
        <v>193</v>
      </c>
      <c r="AD5" s="322" t="s">
        <v>219</v>
      </c>
      <c r="AE5" s="322" t="s">
        <v>1193</v>
      </c>
      <c r="AF5" s="322" t="s">
        <v>221</v>
      </c>
      <c r="AG5" s="315"/>
      <c r="AH5" s="315"/>
      <c r="AI5" s="315"/>
      <c r="AJ5" s="315"/>
    </row>
    <row r="6" spans="1:36" x14ac:dyDescent="0.3">
      <c r="A6" s="317" t="s">
        <v>606</v>
      </c>
      <c r="B6" s="318">
        <v>45989</v>
      </c>
      <c r="C6" s="319" t="s">
        <v>1554</v>
      </c>
      <c r="D6" s="320" t="s">
        <v>651</v>
      </c>
      <c r="E6" s="319" t="s">
        <v>1551</v>
      </c>
      <c r="F6" s="319" t="s">
        <v>189</v>
      </c>
      <c r="G6" s="321">
        <v>0.67600000000000005</v>
      </c>
      <c r="H6" s="322">
        <v>179</v>
      </c>
      <c r="I6" s="322">
        <v>121</v>
      </c>
      <c r="J6" s="322">
        <v>0</v>
      </c>
      <c r="K6" s="319" t="s">
        <v>190</v>
      </c>
      <c r="L6" s="323">
        <v>45979</v>
      </c>
      <c r="M6" s="322">
        <v>0</v>
      </c>
      <c r="N6" s="322">
        <v>8</v>
      </c>
      <c r="O6" s="322">
        <v>16</v>
      </c>
      <c r="P6" s="319" t="s">
        <v>1587</v>
      </c>
      <c r="Q6" s="315"/>
      <c r="R6" s="315"/>
      <c r="S6" s="322" t="s">
        <v>1495</v>
      </c>
      <c r="T6" s="322" t="s">
        <v>1596</v>
      </c>
      <c r="U6" s="315"/>
      <c r="V6" s="322" t="s">
        <v>538</v>
      </c>
      <c r="W6" s="322" t="s">
        <v>738</v>
      </c>
      <c r="X6" s="322" t="s">
        <v>739</v>
      </c>
      <c r="Y6" s="322" t="s">
        <v>701</v>
      </c>
      <c r="Z6" s="322" t="s">
        <v>486</v>
      </c>
      <c r="AA6" s="322" t="s">
        <v>425</v>
      </c>
      <c r="AB6" s="322" t="s">
        <v>309</v>
      </c>
      <c r="AC6" s="322" t="s">
        <v>228</v>
      </c>
      <c r="AD6" s="322" t="s">
        <v>881</v>
      </c>
      <c r="AE6" s="322" t="s">
        <v>195</v>
      </c>
      <c r="AF6" s="315"/>
      <c r="AG6" s="315"/>
      <c r="AH6" s="315"/>
      <c r="AI6" s="315"/>
      <c r="AJ6" s="315"/>
    </row>
    <row r="7" spans="1:36" x14ac:dyDescent="0.3">
      <c r="A7" s="317" t="s">
        <v>203</v>
      </c>
      <c r="B7" s="318">
        <v>45991</v>
      </c>
      <c r="C7" s="319" t="s">
        <v>1554</v>
      </c>
      <c r="D7" s="320" t="s">
        <v>1210</v>
      </c>
      <c r="E7" s="319" t="s">
        <v>1551</v>
      </c>
      <c r="F7" s="319" t="s">
        <v>189</v>
      </c>
      <c r="G7" s="321">
        <v>0.62570000000000003</v>
      </c>
      <c r="H7" s="322">
        <v>179</v>
      </c>
      <c r="I7" s="322">
        <v>112</v>
      </c>
      <c r="J7" s="322">
        <v>0</v>
      </c>
      <c r="K7" s="319" t="s">
        <v>190</v>
      </c>
      <c r="L7" s="323">
        <v>45980</v>
      </c>
      <c r="M7" s="322">
        <v>3</v>
      </c>
      <c r="N7" s="322">
        <v>9</v>
      </c>
      <c r="O7" s="322">
        <v>34</v>
      </c>
      <c r="P7" s="319" t="s">
        <v>568</v>
      </c>
      <c r="Q7" s="315"/>
      <c r="R7" s="315"/>
      <c r="S7" s="315"/>
      <c r="T7" s="322" t="s">
        <v>1250</v>
      </c>
      <c r="U7" s="315"/>
      <c r="V7" s="322" t="s">
        <v>716</v>
      </c>
      <c r="W7" s="322" t="s">
        <v>1597</v>
      </c>
      <c r="X7" s="322" t="s">
        <v>1329</v>
      </c>
      <c r="Y7" s="322" t="s">
        <v>723</v>
      </c>
      <c r="Z7" s="322" t="s">
        <v>689</v>
      </c>
      <c r="AA7" s="322" t="s">
        <v>602</v>
      </c>
      <c r="AB7" s="322" t="s">
        <v>587</v>
      </c>
      <c r="AC7" s="322" t="s">
        <v>627</v>
      </c>
      <c r="AD7" s="322" t="s">
        <v>331</v>
      </c>
      <c r="AE7" s="322" t="s">
        <v>284</v>
      </c>
      <c r="AF7" s="322" t="s">
        <v>1191</v>
      </c>
      <c r="AG7" s="315"/>
      <c r="AH7" s="315"/>
      <c r="AI7" s="315"/>
      <c r="AJ7" s="322" t="s">
        <v>212</v>
      </c>
    </row>
    <row r="8" spans="1:36" ht="21" x14ac:dyDescent="0.3">
      <c r="A8" s="324" t="s">
        <v>1638</v>
      </c>
      <c r="B8" s="325"/>
      <c r="C8" s="324">
        <f>SUBTOTAL(103,CAI_ELQ_LF_LEGACY[Flt])</f>
        <v>6</v>
      </c>
      <c r="D8" s="324"/>
      <c r="E8" s="324">
        <f>SUBTOTAL(103,CAI_ELQ_LF_LEGACY[Brd-Off])</f>
        <v>6</v>
      </c>
      <c r="F8" s="324"/>
      <c r="G8" s="326">
        <f>SUBTOTAL(101,CAI_ELQ_LF_LEGACY[LF%])</f>
        <v>0.57450000000000012</v>
      </c>
      <c r="H8" s="327">
        <f>SUBTOTAL(109,CAI_ELQ_LF_LEGACY[CAP])</f>
        <v>1074</v>
      </c>
      <c r="I8" s="327">
        <f>SUBTOTAL(109,CAI_ELQ_LF_LEGACY[BKG(Y)])</f>
        <v>617</v>
      </c>
      <c r="J8" s="327">
        <f>SUBTOTAL(109,CAI_ELQ_LF_LEGACY[GRP(Y)])</f>
        <v>0</v>
      </c>
      <c r="K8" s="324"/>
      <c r="L8" s="325"/>
      <c r="M8" s="327">
        <f>SUBTOTAL(109,CAI_ELQ_LF_LEGACY[TO-DAY])</f>
        <v>19</v>
      </c>
      <c r="N8" s="327">
        <f>SUBTOTAL(109,CAI_ELQ_LF_LEGACY[Y-DAY])</f>
        <v>54</v>
      </c>
      <c r="O8" s="327">
        <f>SUBTOTAL(109,CAI_ELQ_LF_LEGACY[WEEKLY])</f>
        <v>199</v>
      </c>
      <c r="P8" s="328"/>
      <c r="Q8" s="327">
        <f>SUBTOTAL(109,CAI_ELQ_LF_LEGACY[Y])</f>
        <v>0</v>
      </c>
      <c r="R8" s="327">
        <f>SUBTOTAL(109,CAI_ELQ_LF_LEGACY[B])</f>
        <v>0</v>
      </c>
      <c r="S8" s="327">
        <f>SUBTOTAL(109,CAI_ELQ_LF_LEGACY[M])</f>
        <v>0</v>
      </c>
      <c r="T8" s="327">
        <f>SUBTOTAL(109,CAI_ELQ_LF_LEGACY[H])</f>
        <v>0</v>
      </c>
      <c r="U8" s="327">
        <f>SUBTOTAL(109,CAI_ELQ_LF_LEGACY[Q])</f>
        <v>0</v>
      </c>
      <c r="V8" s="327">
        <f>SUBTOTAL(109,CAI_ELQ_LF_LEGACY[K])</f>
        <v>0</v>
      </c>
      <c r="W8" s="327">
        <f>SUBTOTAL(109,CAI_ELQ_LF_LEGACY[V])</f>
        <v>0</v>
      </c>
      <c r="X8" s="327">
        <f>SUBTOTAL(109,CAI_ELQ_LF_LEGACY[L])</f>
        <v>0</v>
      </c>
      <c r="Y8" s="327">
        <f>SUBTOTAL(109,CAI_ELQ_LF_LEGACY[G])</f>
        <v>0</v>
      </c>
      <c r="Z8" s="327">
        <f>SUBTOTAL(109,CAI_ELQ_LF_LEGACY[S])</f>
        <v>0</v>
      </c>
      <c r="AA8" s="327">
        <f>SUBTOTAL(109,CAI_ELQ_LF_LEGACY[W])</f>
        <v>0</v>
      </c>
      <c r="AB8" s="327">
        <f>SUBTOTAL(109,CAI_ELQ_LF_LEGACY[T])</f>
        <v>0</v>
      </c>
      <c r="AC8" s="327">
        <f>SUBTOTAL(109,CAI_ELQ_LF_LEGACY[X])</f>
        <v>0</v>
      </c>
      <c r="AD8" s="327">
        <f>SUBTOTAL(109,CAI_ELQ_LF_LEGACY[U])</f>
        <v>0</v>
      </c>
      <c r="AE8" s="327">
        <f>SUBTOTAL(109,CAI_ELQ_LF_LEGACY[O])</f>
        <v>0</v>
      </c>
      <c r="AF8" s="327">
        <f>SUBTOTAL(109,CAI_ELQ_LF_LEGACY[I])</f>
        <v>0</v>
      </c>
      <c r="AG8" s="327">
        <f>SUBTOTAL(109,CAI_ELQ_LF_LEGACY[E])</f>
        <v>0</v>
      </c>
      <c r="AH8" s="327">
        <f>SUBTOTAL(109,CAI_ELQ_LF_LEGACY[A])</f>
        <v>0</v>
      </c>
      <c r="AI8" s="327">
        <f>SUBTOTAL(109,CAI_ELQ_LF_LEGACY[P])</f>
        <v>0</v>
      </c>
      <c r="AJ8" s="327">
        <f>SUBTOTAL(103,CAI_ELQ_LF_LEGACY[N])</f>
        <v>1</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I4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9.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385</v>
      </c>
      <c r="C2" s="105" t="s">
        <v>1552</v>
      </c>
      <c r="D2" s="104" t="s">
        <v>1551</v>
      </c>
      <c r="E2" s="104" t="s">
        <v>747</v>
      </c>
      <c r="F2" s="104" t="s">
        <v>101</v>
      </c>
      <c r="G2" s="106">
        <v>9</v>
      </c>
      <c r="H2" s="107" t="s">
        <v>1372</v>
      </c>
    </row>
    <row r="3" spans="1:8" ht="19.8" customHeight="1" x14ac:dyDescent="0.3">
      <c r="A3" s="174" t="s">
        <v>235</v>
      </c>
      <c r="B3" s="121" t="s">
        <v>77</v>
      </c>
      <c r="C3" s="122" t="s">
        <v>1553</v>
      </c>
      <c r="D3" s="121" t="s">
        <v>1551</v>
      </c>
      <c r="E3" s="121" t="s">
        <v>1210</v>
      </c>
      <c r="F3" s="121" t="s">
        <v>101</v>
      </c>
      <c r="G3" s="124">
        <v>9</v>
      </c>
      <c r="H3" s="125" t="s">
        <v>779</v>
      </c>
    </row>
    <row r="4" spans="1:8" ht="19.8" customHeight="1" x14ac:dyDescent="0.3">
      <c r="A4" s="112">
        <v>45981</v>
      </c>
      <c r="B4" s="104" t="s">
        <v>458</v>
      </c>
      <c r="C4" s="105" t="s">
        <v>1556</v>
      </c>
      <c r="D4" s="104" t="s">
        <v>1551</v>
      </c>
      <c r="E4" s="113">
        <v>1.4548611111111109</v>
      </c>
      <c r="F4" s="104" t="s">
        <v>101</v>
      </c>
      <c r="G4" s="106">
        <v>9</v>
      </c>
      <c r="H4" s="107" t="s">
        <v>1557</v>
      </c>
    </row>
    <row r="5" spans="1:8" ht="19.8" customHeight="1" x14ac:dyDescent="0.3">
      <c r="A5" s="112">
        <v>45981</v>
      </c>
      <c r="B5" s="104" t="s">
        <v>388</v>
      </c>
      <c r="C5" s="105" t="s">
        <v>1558</v>
      </c>
      <c r="D5" s="104" t="s">
        <v>1551</v>
      </c>
      <c r="E5" s="113">
        <v>1.7673611111111109</v>
      </c>
      <c r="F5" s="104" t="s">
        <v>390</v>
      </c>
      <c r="G5" s="106">
        <v>9</v>
      </c>
      <c r="H5" s="107" t="s">
        <v>1559</v>
      </c>
    </row>
    <row r="6" spans="1:8" ht="19.8" customHeight="1" x14ac:dyDescent="0.3">
      <c r="A6" s="112">
        <v>45981</v>
      </c>
      <c r="B6" s="104" t="s">
        <v>48</v>
      </c>
      <c r="C6" s="105" t="s">
        <v>1561</v>
      </c>
      <c r="D6" s="104" t="s">
        <v>1551</v>
      </c>
      <c r="E6" s="113">
        <v>1.8715277777777779</v>
      </c>
      <c r="F6" s="104" t="s">
        <v>50</v>
      </c>
      <c r="G6" s="106">
        <v>9</v>
      </c>
      <c r="H6" s="107" t="s">
        <v>1562</v>
      </c>
    </row>
    <row r="7" spans="1:8" ht="19.8" customHeight="1" x14ac:dyDescent="0.3">
      <c r="A7" s="114">
        <v>45981</v>
      </c>
      <c r="B7" s="115" t="s">
        <v>388</v>
      </c>
      <c r="C7" s="116" t="s">
        <v>1558</v>
      </c>
      <c r="D7" s="115" t="s">
        <v>1551</v>
      </c>
      <c r="E7" s="117">
        <v>1.7673611111111109</v>
      </c>
      <c r="F7" s="115" t="s">
        <v>46</v>
      </c>
      <c r="G7" s="118">
        <v>9</v>
      </c>
      <c r="H7" s="119" t="s">
        <v>1560</v>
      </c>
    </row>
    <row r="8" spans="1:8" ht="19.8" customHeight="1" x14ac:dyDescent="0.3">
      <c r="A8" s="112">
        <v>45982</v>
      </c>
      <c r="B8" s="104" t="s">
        <v>385</v>
      </c>
      <c r="C8" s="105" t="s">
        <v>1552</v>
      </c>
      <c r="D8" s="104" t="s">
        <v>1551</v>
      </c>
      <c r="E8" s="113">
        <v>1.489583333333333</v>
      </c>
      <c r="F8" s="104" t="s">
        <v>101</v>
      </c>
      <c r="G8" s="106">
        <v>9</v>
      </c>
      <c r="H8" s="107" t="s">
        <v>1372</v>
      </c>
    </row>
    <row r="9" spans="1:8" ht="19.8" customHeight="1" x14ac:dyDescent="0.3">
      <c r="A9" s="120">
        <v>45982</v>
      </c>
      <c r="B9" s="121" t="s">
        <v>77</v>
      </c>
      <c r="C9" s="122" t="s">
        <v>1553</v>
      </c>
      <c r="D9" s="121" t="s">
        <v>1551</v>
      </c>
      <c r="E9" s="123">
        <v>1.8298611111111109</v>
      </c>
      <c r="F9" s="121" t="s">
        <v>101</v>
      </c>
      <c r="G9" s="124">
        <v>6</v>
      </c>
      <c r="H9" s="125" t="s">
        <v>779</v>
      </c>
    </row>
    <row r="10" spans="1:8" ht="19.8" customHeight="1" x14ac:dyDescent="0.3">
      <c r="A10" s="112">
        <v>45982</v>
      </c>
      <c r="B10" s="104" t="s">
        <v>458</v>
      </c>
      <c r="C10" s="105" t="s">
        <v>1556</v>
      </c>
      <c r="D10" s="104" t="s">
        <v>1551</v>
      </c>
      <c r="E10" s="113">
        <v>1.697916666666667</v>
      </c>
      <c r="F10" s="104" t="s">
        <v>101</v>
      </c>
      <c r="G10" s="106">
        <v>3</v>
      </c>
      <c r="H10" s="107" t="s">
        <v>1564</v>
      </c>
    </row>
    <row r="11" spans="1:8" ht="19.8" customHeight="1" x14ac:dyDescent="0.3">
      <c r="A11" s="114">
        <v>45982</v>
      </c>
      <c r="B11" s="115" t="s">
        <v>48</v>
      </c>
      <c r="C11" s="116" t="s">
        <v>1561</v>
      </c>
      <c r="D11" s="115" t="s">
        <v>1551</v>
      </c>
      <c r="E11" s="117">
        <v>1.868055555555556</v>
      </c>
      <c r="F11" s="115" t="s">
        <v>50</v>
      </c>
      <c r="G11" s="118">
        <v>9</v>
      </c>
      <c r="H11" s="119" t="s">
        <v>1565</v>
      </c>
    </row>
    <row r="12" spans="1:8" ht="19.8" customHeight="1" x14ac:dyDescent="0.3">
      <c r="A12" s="112">
        <v>45983</v>
      </c>
      <c r="B12" s="104" t="s">
        <v>458</v>
      </c>
      <c r="C12" s="105" t="s">
        <v>1556</v>
      </c>
      <c r="D12" s="104" t="s">
        <v>1551</v>
      </c>
      <c r="E12" s="113">
        <v>1.4375</v>
      </c>
      <c r="F12" s="104" t="s">
        <v>101</v>
      </c>
      <c r="G12" s="106">
        <v>7</v>
      </c>
      <c r="H12" s="107" t="s">
        <v>1564</v>
      </c>
    </row>
    <row r="13" spans="1:8" ht="19.8" customHeight="1" x14ac:dyDescent="0.3">
      <c r="A13" s="112">
        <v>45983</v>
      </c>
      <c r="B13" s="104" t="s">
        <v>385</v>
      </c>
      <c r="C13" s="105" t="s">
        <v>1566</v>
      </c>
      <c r="D13" s="104" t="s">
        <v>1551</v>
      </c>
      <c r="E13" s="113">
        <v>1.8125</v>
      </c>
      <c r="F13" s="104" t="s">
        <v>101</v>
      </c>
      <c r="G13" s="106">
        <v>9</v>
      </c>
      <c r="H13" s="107" t="s">
        <v>362</v>
      </c>
    </row>
    <row r="14" spans="1:8" ht="19.8" customHeight="1" x14ac:dyDescent="0.3">
      <c r="A14" s="114">
        <v>45983</v>
      </c>
      <c r="B14" s="115" t="s">
        <v>48</v>
      </c>
      <c r="C14" s="116" t="s">
        <v>1561</v>
      </c>
      <c r="D14" s="115" t="s">
        <v>1551</v>
      </c>
      <c r="E14" s="117">
        <v>1.8715277777777779</v>
      </c>
      <c r="F14" s="115" t="s">
        <v>50</v>
      </c>
      <c r="G14" s="118">
        <v>9</v>
      </c>
      <c r="H14" s="119" t="s">
        <v>1567</v>
      </c>
    </row>
    <row r="15" spans="1:8" ht="19.8" customHeight="1" x14ac:dyDescent="0.3">
      <c r="A15" s="112">
        <v>45984</v>
      </c>
      <c r="B15" s="104" t="s">
        <v>385</v>
      </c>
      <c r="C15" s="105" t="s">
        <v>1552</v>
      </c>
      <c r="D15" s="104" t="s">
        <v>1551</v>
      </c>
      <c r="E15" s="113">
        <v>1.489583333333333</v>
      </c>
      <c r="F15" s="104" t="s">
        <v>101</v>
      </c>
      <c r="G15" s="106">
        <v>6</v>
      </c>
      <c r="H15" s="107" t="s">
        <v>1372</v>
      </c>
    </row>
    <row r="16" spans="1:8" ht="19.8" customHeight="1" x14ac:dyDescent="0.3">
      <c r="A16" s="126">
        <v>45984</v>
      </c>
      <c r="B16" s="109" t="s">
        <v>77</v>
      </c>
      <c r="C16" s="110" t="s">
        <v>1553</v>
      </c>
      <c r="D16" s="109" t="s">
        <v>1551</v>
      </c>
      <c r="E16" s="127">
        <v>1.631944444444444</v>
      </c>
      <c r="F16" s="109" t="s">
        <v>101</v>
      </c>
      <c r="G16" s="128">
        <v>7</v>
      </c>
      <c r="H16" s="111" t="s">
        <v>1568</v>
      </c>
    </row>
    <row r="17" spans="1:8" ht="19.8" customHeight="1" x14ac:dyDescent="0.3">
      <c r="A17" s="112">
        <v>45985</v>
      </c>
      <c r="B17" s="104" t="s">
        <v>385</v>
      </c>
      <c r="C17" s="105" t="s">
        <v>1552</v>
      </c>
      <c r="D17" s="104" t="s">
        <v>1551</v>
      </c>
      <c r="E17" s="113">
        <v>1.489583333333333</v>
      </c>
      <c r="F17" s="104" t="s">
        <v>101</v>
      </c>
      <c r="G17" s="106">
        <v>6</v>
      </c>
      <c r="H17" s="107" t="s">
        <v>1372</v>
      </c>
    </row>
    <row r="18" spans="1:8" ht="19.8" customHeight="1" x14ac:dyDescent="0.3">
      <c r="A18" s="112">
        <v>45985</v>
      </c>
      <c r="B18" s="104" t="s">
        <v>388</v>
      </c>
      <c r="C18" s="105" t="s">
        <v>1558</v>
      </c>
      <c r="D18" s="104" t="s">
        <v>1551</v>
      </c>
      <c r="E18" s="113">
        <v>1.7673611111111109</v>
      </c>
      <c r="F18" s="104" t="s">
        <v>390</v>
      </c>
      <c r="G18" s="106">
        <v>9</v>
      </c>
      <c r="H18" s="107" t="s">
        <v>1570</v>
      </c>
    </row>
    <row r="19" spans="1:8" ht="19.8" customHeight="1" x14ac:dyDescent="0.3">
      <c r="A19" s="112">
        <v>45985</v>
      </c>
      <c r="B19" s="104" t="s">
        <v>48</v>
      </c>
      <c r="C19" s="105" t="s">
        <v>1561</v>
      </c>
      <c r="D19" s="104" t="s">
        <v>1551</v>
      </c>
      <c r="E19" s="113">
        <v>1.8715277777777779</v>
      </c>
      <c r="F19" s="104" t="s">
        <v>50</v>
      </c>
      <c r="G19" s="106">
        <v>9</v>
      </c>
      <c r="H19" s="107" t="s">
        <v>1562</v>
      </c>
    </row>
    <row r="20" spans="1:8" ht="19.8" customHeight="1" x14ac:dyDescent="0.3">
      <c r="A20" s="114">
        <v>45985</v>
      </c>
      <c r="B20" s="115" t="s">
        <v>388</v>
      </c>
      <c r="C20" s="116" t="s">
        <v>1558</v>
      </c>
      <c r="D20" s="115" t="s">
        <v>1551</v>
      </c>
      <c r="E20" s="117">
        <v>1.7673611111111109</v>
      </c>
      <c r="F20" s="115" t="s">
        <v>46</v>
      </c>
      <c r="G20" s="118">
        <v>9</v>
      </c>
      <c r="H20" s="119" t="s">
        <v>1571</v>
      </c>
    </row>
    <row r="21" spans="1:8" ht="19.8" customHeight="1" x14ac:dyDescent="0.3">
      <c r="A21" s="112">
        <v>45986</v>
      </c>
      <c r="B21" s="104" t="s">
        <v>458</v>
      </c>
      <c r="C21" s="105" t="s">
        <v>1556</v>
      </c>
      <c r="D21" s="104" t="s">
        <v>1551</v>
      </c>
      <c r="E21" s="113">
        <v>1.4375</v>
      </c>
      <c r="F21" s="104" t="s">
        <v>101</v>
      </c>
      <c r="G21" s="106">
        <v>9</v>
      </c>
      <c r="H21" s="107" t="s">
        <v>1572</v>
      </c>
    </row>
    <row r="22" spans="1:8" ht="19.8" customHeight="1" x14ac:dyDescent="0.3">
      <c r="A22" s="114">
        <v>45986</v>
      </c>
      <c r="B22" s="115" t="s">
        <v>385</v>
      </c>
      <c r="C22" s="116" t="s">
        <v>1552</v>
      </c>
      <c r="D22" s="115" t="s">
        <v>1551</v>
      </c>
      <c r="E22" s="117">
        <v>1.489583333333333</v>
      </c>
      <c r="F22" s="115" t="s">
        <v>101</v>
      </c>
      <c r="G22" s="118">
        <v>9</v>
      </c>
      <c r="H22" s="119" t="s">
        <v>1573</v>
      </c>
    </row>
    <row r="23" spans="1:8" ht="19.8" customHeight="1" x14ac:dyDescent="0.3">
      <c r="A23" s="112">
        <v>45987</v>
      </c>
      <c r="B23" s="104" t="s">
        <v>388</v>
      </c>
      <c r="C23" s="105" t="s">
        <v>1558</v>
      </c>
      <c r="D23" s="104" t="s">
        <v>1551</v>
      </c>
      <c r="E23" s="113">
        <v>1.7673611111111109</v>
      </c>
      <c r="F23" s="104" t="s">
        <v>390</v>
      </c>
      <c r="G23" s="106">
        <v>9</v>
      </c>
      <c r="H23" s="107" t="s">
        <v>1574</v>
      </c>
    </row>
    <row r="24" spans="1:8" ht="19.8" customHeight="1" x14ac:dyDescent="0.3">
      <c r="A24" s="112">
        <v>45987</v>
      </c>
      <c r="B24" s="104" t="s">
        <v>385</v>
      </c>
      <c r="C24" s="105" t="s">
        <v>1552</v>
      </c>
      <c r="D24" s="104" t="s">
        <v>1551</v>
      </c>
      <c r="E24" s="113">
        <v>1.489583333333333</v>
      </c>
      <c r="F24" s="104" t="s">
        <v>101</v>
      </c>
      <c r="G24" s="106">
        <v>7</v>
      </c>
      <c r="H24" s="107" t="s">
        <v>1576</v>
      </c>
    </row>
    <row r="25" spans="1:8" ht="19.8" customHeight="1" x14ac:dyDescent="0.3">
      <c r="A25" s="112">
        <v>45987</v>
      </c>
      <c r="B25" s="104" t="s">
        <v>388</v>
      </c>
      <c r="C25" s="105" t="s">
        <v>1558</v>
      </c>
      <c r="D25" s="104" t="s">
        <v>1551</v>
      </c>
      <c r="E25" s="113">
        <v>1.7673611111111109</v>
      </c>
      <c r="F25" s="104" t="s">
        <v>46</v>
      </c>
      <c r="G25" s="106">
        <v>9</v>
      </c>
      <c r="H25" s="107" t="s">
        <v>1575</v>
      </c>
    </row>
    <row r="26" spans="1:8" ht="19.8" customHeight="1" x14ac:dyDescent="0.3">
      <c r="A26" s="112">
        <v>45987</v>
      </c>
      <c r="B26" s="104" t="s">
        <v>458</v>
      </c>
      <c r="C26" s="105" t="s">
        <v>1556</v>
      </c>
      <c r="D26" s="104" t="s">
        <v>1551</v>
      </c>
      <c r="E26" s="113">
        <v>1.4548611111111109</v>
      </c>
      <c r="F26" s="104" t="s">
        <v>101</v>
      </c>
      <c r="G26" s="106">
        <v>4</v>
      </c>
      <c r="H26" s="107" t="s">
        <v>1577</v>
      </c>
    </row>
    <row r="27" spans="1:8" ht="19.8" customHeight="1" x14ac:dyDescent="0.3">
      <c r="A27" s="114">
        <v>45987</v>
      </c>
      <c r="B27" s="115" t="s">
        <v>48</v>
      </c>
      <c r="C27" s="116" t="s">
        <v>1561</v>
      </c>
      <c r="D27" s="115" t="s">
        <v>1551</v>
      </c>
      <c r="E27" s="117">
        <v>1.8715277777777779</v>
      </c>
      <c r="F27" s="115" t="s">
        <v>50</v>
      </c>
      <c r="G27" s="118">
        <v>9</v>
      </c>
      <c r="H27" s="119" t="s">
        <v>1578</v>
      </c>
    </row>
    <row r="28" spans="1:8" ht="19.8" customHeight="1" x14ac:dyDescent="0.3">
      <c r="A28" s="112">
        <v>45988</v>
      </c>
      <c r="B28" s="104" t="s">
        <v>388</v>
      </c>
      <c r="C28" s="105" t="s">
        <v>1558</v>
      </c>
      <c r="D28" s="104" t="s">
        <v>1551</v>
      </c>
      <c r="E28" s="113">
        <v>1.7673611111111109</v>
      </c>
      <c r="F28" s="104" t="s">
        <v>390</v>
      </c>
      <c r="G28" s="106">
        <v>9</v>
      </c>
      <c r="H28" s="107" t="s">
        <v>1579</v>
      </c>
    </row>
    <row r="29" spans="1:8" ht="19.8" customHeight="1" x14ac:dyDescent="0.3">
      <c r="A29" s="112">
        <v>45988</v>
      </c>
      <c r="B29" s="104" t="s">
        <v>385</v>
      </c>
      <c r="C29" s="105" t="s">
        <v>1552</v>
      </c>
      <c r="D29" s="104" t="s">
        <v>1551</v>
      </c>
      <c r="E29" s="113">
        <v>1.489583333333333</v>
      </c>
      <c r="F29" s="104" t="s">
        <v>101</v>
      </c>
      <c r="G29" s="106">
        <v>3</v>
      </c>
      <c r="H29" s="107" t="s">
        <v>1581</v>
      </c>
    </row>
    <row r="30" spans="1:8" ht="19.8" customHeight="1" x14ac:dyDescent="0.3">
      <c r="A30" s="120">
        <v>45988</v>
      </c>
      <c r="B30" s="121" t="s">
        <v>77</v>
      </c>
      <c r="C30" s="122" t="s">
        <v>1553</v>
      </c>
      <c r="D30" s="121" t="s">
        <v>1551</v>
      </c>
      <c r="E30" s="123">
        <v>1.631944444444444</v>
      </c>
      <c r="F30" s="121" t="s">
        <v>101</v>
      </c>
      <c r="G30" s="124">
        <v>9</v>
      </c>
      <c r="H30" s="125" t="s">
        <v>366</v>
      </c>
    </row>
    <row r="31" spans="1:8" ht="19.8" customHeight="1" x14ac:dyDescent="0.3">
      <c r="A31" s="112">
        <v>45988</v>
      </c>
      <c r="B31" s="104" t="s">
        <v>388</v>
      </c>
      <c r="C31" s="105" t="s">
        <v>1558</v>
      </c>
      <c r="D31" s="104" t="s">
        <v>1551</v>
      </c>
      <c r="E31" s="113">
        <v>1.7673611111111109</v>
      </c>
      <c r="F31" s="104" t="s">
        <v>46</v>
      </c>
      <c r="G31" s="106">
        <v>9</v>
      </c>
      <c r="H31" s="107" t="s">
        <v>1580</v>
      </c>
    </row>
    <row r="32" spans="1:8" ht="19.8" customHeight="1" x14ac:dyDescent="0.3">
      <c r="A32" s="112">
        <v>45988</v>
      </c>
      <c r="B32" s="104" t="s">
        <v>458</v>
      </c>
      <c r="C32" s="105" t="s">
        <v>1556</v>
      </c>
      <c r="D32" s="104" t="s">
        <v>1551</v>
      </c>
      <c r="E32" s="113">
        <v>1.4548611111111109</v>
      </c>
      <c r="F32" s="104" t="s">
        <v>101</v>
      </c>
      <c r="G32" s="106">
        <v>4</v>
      </c>
      <c r="H32" s="107" t="s">
        <v>521</v>
      </c>
    </row>
    <row r="33" spans="1:8" ht="19.8" customHeight="1" x14ac:dyDescent="0.3">
      <c r="A33" s="114">
        <v>45988</v>
      </c>
      <c r="B33" s="115" t="s">
        <v>48</v>
      </c>
      <c r="C33" s="116" t="s">
        <v>1561</v>
      </c>
      <c r="D33" s="115" t="s">
        <v>1551</v>
      </c>
      <c r="E33" s="117">
        <v>1.8715277777777779</v>
      </c>
      <c r="F33" s="115" t="s">
        <v>50</v>
      </c>
      <c r="G33" s="118">
        <v>9</v>
      </c>
      <c r="H33" s="119" t="s">
        <v>1583</v>
      </c>
    </row>
    <row r="34" spans="1:8" ht="19.8" customHeight="1" x14ac:dyDescent="0.3">
      <c r="A34" s="112">
        <v>45989</v>
      </c>
      <c r="B34" s="104" t="s">
        <v>385</v>
      </c>
      <c r="C34" s="105" t="s">
        <v>1552</v>
      </c>
      <c r="D34" s="104" t="s">
        <v>1551</v>
      </c>
      <c r="E34" s="113">
        <v>1.489583333333333</v>
      </c>
      <c r="F34" s="104" t="s">
        <v>101</v>
      </c>
      <c r="G34" s="106">
        <v>9</v>
      </c>
      <c r="H34" s="107" t="s">
        <v>1584</v>
      </c>
    </row>
    <row r="35" spans="1:8" ht="19.8" customHeight="1" x14ac:dyDescent="0.3">
      <c r="A35" s="112">
        <v>45989</v>
      </c>
      <c r="B35" s="104" t="s">
        <v>458</v>
      </c>
      <c r="C35" s="105" t="s">
        <v>1556</v>
      </c>
      <c r="D35" s="104" t="s">
        <v>1551</v>
      </c>
      <c r="E35" s="113">
        <v>1.697916666666667</v>
      </c>
      <c r="F35" s="104" t="s">
        <v>101</v>
      </c>
      <c r="G35" s="106">
        <v>3</v>
      </c>
      <c r="H35" s="107" t="s">
        <v>1585</v>
      </c>
    </row>
    <row r="36" spans="1:8" ht="19.8" customHeight="1" x14ac:dyDescent="0.3">
      <c r="A36" s="120">
        <v>45989</v>
      </c>
      <c r="B36" s="121" t="s">
        <v>77</v>
      </c>
      <c r="C36" s="122" t="s">
        <v>1553</v>
      </c>
      <c r="D36" s="121" t="s">
        <v>1551</v>
      </c>
      <c r="E36" s="123">
        <v>1.8298611111111109</v>
      </c>
      <c r="F36" s="121" t="s">
        <v>101</v>
      </c>
      <c r="G36" s="124">
        <v>3</v>
      </c>
      <c r="H36" s="125" t="s">
        <v>1586</v>
      </c>
    </row>
    <row r="37" spans="1:8" ht="19.8" customHeight="1" x14ac:dyDescent="0.3">
      <c r="A37" s="114">
        <v>45989</v>
      </c>
      <c r="B37" s="115" t="s">
        <v>48</v>
      </c>
      <c r="C37" s="116" t="s">
        <v>1561</v>
      </c>
      <c r="D37" s="115" t="s">
        <v>1551</v>
      </c>
      <c r="E37" s="117">
        <v>1.8715277777777779</v>
      </c>
      <c r="F37" s="115" t="s">
        <v>50</v>
      </c>
      <c r="G37" s="118">
        <v>9</v>
      </c>
      <c r="H37" s="119" t="s">
        <v>544</v>
      </c>
    </row>
    <row r="38" spans="1:8" ht="19.8" customHeight="1" x14ac:dyDescent="0.3">
      <c r="A38" s="112">
        <v>45990</v>
      </c>
      <c r="B38" s="104" t="s">
        <v>385</v>
      </c>
      <c r="C38" s="105" t="s">
        <v>1566</v>
      </c>
      <c r="D38" s="104" t="s">
        <v>1551</v>
      </c>
      <c r="E38" s="113">
        <v>1.8402777777777779</v>
      </c>
      <c r="F38" s="104" t="s">
        <v>101</v>
      </c>
      <c r="G38" s="106">
        <v>9</v>
      </c>
      <c r="H38" s="107" t="s">
        <v>1589</v>
      </c>
    </row>
    <row r="39" spans="1:8" ht="19.8" customHeight="1" x14ac:dyDescent="0.3">
      <c r="A39" s="114">
        <v>45990</v>
      </c>
      <c r="B39" s="115" t="s">
        <v>48</v>
      </c>
      <c r="C39" s="116" t="s">
        <v>1561</v>
      </c>
      <c r="D39" s="115" t="s">
        <v>1551</v>
      </c>
      <c r="E39" s="117">
        <v>1.868055555555556</v>
      </c>
      <c r="F39" s="115" t="s">
        <v>50</v>
      </c>
      <c r="G39" s="118">
        <v>9</v>
      </c>
      <c r="H39" s="119" t="s">
        <v>544</v>
      </c>
    </row>
    <row r="40" spans="1:8" ht="19.8" customHeight="1" x14ac:dyDescent="0.3">
      <c r="A40" s="112">
        <v>45991</v>
      </c>
      <c r="B40" s="104" t="s">
        <v>385</v>
      </c>
      <c r="C40" s="105" t="s">
        <v>1552</v>
      </c>
      <c r="D40" s="104" t="s">
        <v>1551</v>
      </c>
      <c r="E40" s="113">
        <v>1.489583333333333</v>
      </c>
      <c r="F40" s="104" t="s">
        <v>101</v>
      </c>
      <c r="G40" s="106">
        <v>5</v>
      </c>
      <c r="H40" s="107" t="s">
        <v>1581</v>
      </c>
    </row>
    <row r="41" spans="1:8" ht="19.8" customHeight="1" x14ac:dyDescent="0.3">
      <c r="A41" s="120">
        <v>45991</v>
      </c>
      <c r="B41" s="121" t="s">
        <v>77</v>
      </c>
      <c r="C41" s="122" t="s">
        <v>1553</v>
      </c>
      <c r="D41" s="121" t="s">
        <v>1551</v>
      </c>
      <c r="E41" s="123">
        <v>1.631944444444444</v>
      </c>
      <c r="F41" s="121" t="s">
        <v>101</v>
      </c>
      <c r="G41" s="124">
        <v>6</v>
      </c>
      <c r="H41" s="125" t="s">
        <v>366</v>
      </c>
    </row>
    <row r="42" spans="1:8" ht="19.8" customHeight="1" x14ac:dyDescent="0.3">
      <c r="A42" s="114">
        <v>45991</v>
      </c>
      <c r="B42" s="115" t="s">
        <v>458</v>
      </c>
      <c r="C42" s="116" t="s">
        <v>1556</v>
      </c>
      <c r="D42" s="115" t="s">
        <v>1551</v>
      </c>
      <c r="E42" s="117">
        <v>1.4375</v>
      </c>
      <c r="F42" s="115" t="s">
        <v>101</v>
      </c>
      <c r="G42" s="118">
        <v>7</v>
      </c>
      <c r="H42" s="119" t="s">
        <v>151</v>
      </c>
    </row>
  </sheetData>
  <pageMargins left="0.75" right="0.75" top="1" bottom="1" header="0.5" footer="0.5"/>
  <legacyDrawing r:id="rId1"/>
  <tableParts count="1">
    <tablePart r:id="rId2"/>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2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9.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385</v>
      </c>
      <c r="C2" s="105" t="s">
        <v>1552</v>
      </c>
      <c r="D2" s="104" t="s">
        <v>1551</v>
      </c>
      <c r="E2" s="104" t="s">
        <v>747</v>
      </c>
      <c r="F2" s="104" t="s">
        <v>101</v>
      </c>
      <c r="G2" s="106">
        <v>9</v>
      </c>
      <c r="H2" s="107" t="s">
        <v>1372</v>
      </c>
    </row>
    <row r="3" spans="1:8" ht="19.8" customHeight="1" x14ac:dyDescent="0.3">
      <c r="A3" s="174" t="s">
        <v>235</v>
      </c>
      <c r="B3" s="121" t="s">
        <v>77</v>
      </c>
      <c r="C3" s="122" t="s">
        <v>1553</v>
      </c>
      <c r="D3" s="121" t="s">
        <v>1551</v>
      </c>
      <c r="E3" s="121" t="s">
        <v>1210</v>
      </c>
      <c r="F3" s="121" t="s">
        <v>101</v>
      </c>
      <c r="G3" s="124">
        <v>9</v>
      </c>
      <c r="H3" s="125" t="s">
        <v>779</v>
      </c>
    </row>
    <row r="4" spans="1:8" ht="19.8" customHeight="1" x14ac:dyDescent="0.3">
      <c r="A4" s="114">
        <v>45981</v>
      </c>
      <c r="B4" s="115" t="s">
        <v>458</v>
      </c>
      <c r="C4" s="116" t="s">
        <v>1556</v>
      </c>
      <c r="D4" s="115" t="s">
        <v>1551</v>
      </c>
      <c r="E4" s="117">
        <v>1.4548611111111109</v>
      </c>
      <c r="F4" s="115" t="s">
        <v>101</v>
      </c>
      <c r="G4" s="118">
        <v>9</v>
      </c>
      <c r="H4" s="119" t="s">
        <v>1557</v>
      </c>
    </row>
    <row r="5" spans="1:8" ht="19.8" customHeight="1" x14ac:dyDescent="0.3">
      <c r="A5" s="112">
        <v>45982</v>
      </c>
      <c r="B5" s="104" t="s">
        <v>385</v>
      </c>
      <c r="C5" s="105" t="s">
        <v>1552</v>
      </c>
      <c r="D5" s="104" t="s">
        <v>1551</v>
      </c>
      <c r="E5" s="113">
        <v>1.489583333333333</v>
      </c>
      <c r="F5" s="104" t="s">
        <v>101</v>
      </c>
      <c r="G5" s="106">
        <v>9</v>
      </c>
      <c r="H5" s="107" t="s">
        <v>1372</v>
      </c>
    </row>
    <row r="6" spans="1:8" ht="19.8" customHeight="1" x14ac:dyDescent="0.3">
      <c r="A6" s="126">
        <v>45982</v>
      </c>
      <c r="B6" s="109" t="s">
        <v>77</v>
      </c>
      <c r="C6" s="110" t="s">
        <v>1553</v>
      </c>
      <c r="D6" s="109" t="s">
        <v>1551</v>
      </c>
      <c r="E6" s="127">
        <v>1.8298611111111109</v>
      </c>
      <c r="F6" s="109" t="s">
        <v>101</v>
      </c>
      <c r="G6" s="128">
        <v>6</v>
      </c>
      <c r="H6" s="111" t="s">
        <v>779</v>
      </c>
    </row>
    <row r="7" spans="1:8" ht="19.8" customHeight="1" x14ac:dyDescent="0.3">
      <c r="A7" s="112">
        <v>45983</v>
      </c>
      <c r="B7" s="104" t="s">
        <v>458</v>
      </c>
      <c r="C7" s="105" t="s">
        <v>1556</v>
      </c>
      <c r="D7" s="104" t="s">
        <v>1551</v>
      </c>
      <c r="E7" s="113">
        <v>1.4375</v>
      </c>
      <c r="F7" s="104" t="s">
        <v>101</v>
      </c>
      <c r="G7" s="106">
        <v>7</v>
      </c>
      <c r="H7" s="107" t="s">
        <v>1564</v>
      </c>
    </row>
    <row r="8" spans="1:8" ht="19.8" customHeight="1" x14ac:dyDescent="0.3">
      <c r="A8" s="112">
        <v>45983</v>
      </c>
      <c r="B8" s="104" t="s">
        <v>385</v>
      </c>
      <c r="C8" s="105" t="s">
        <v>1566</v>
      </c>
      <c r="D8" s="104" t="s">
        <v>1551</v>
      </c>
      <c r="E8" s="113">
        <v>1.8125</v>
      </c>
      <c r="F8" s="104" t="s">
        <v>101</v>
      </c>
      <c r="G8" s="106">
        <v>9</v>
      </c>
      <c r="H8" s="107" t="s">
        <v>362</v>
      </c>
    </row>
    <row r="9" spans="1:8" ht="19.8" customHeight="1" x14ac:dyDescent="0.3">
      <c r="A9" s="114">
        <v>45983</v>
      </c>
      <c r="B9" s="115" t="s">
        <v>48</v>
      </c>
      <c r="C9" s="116" t="s">
        <v>1561</v>
      </c>
      <c r="D9" s="115" t="s">
        <v>1551</v>
      </c>
      <c r="E9" s="117">
        <v>1.8715277777777779</v>
      </c>
      <c r="F9" s="115" t="s">
        <v>50</v>
      </c>
      <c r="G9" s="118">
        <v>9</v>
      </c>
      <c r="H9" s="119" t="s">
        <v>1567</v>
      </c>
    </row>
    <row r="10" spans="1:8" ht="19.8" customHeight="1" x14ac:dyDescent="0.3">
      <c r="A10" s="126">
        <v>45984</v>
      </c>
      <c r="B10" s="109" t="s">
        <v>77</v>
      </c>
      <c r="C10" s="110" t="s">
        <v>1553</v>
      </c>
      <c r="D10" s="109" t="s">
        <v>1551</v>
      </c>
      <c r="E10" s="127">
        <v>1.631944444444444</v>
      </c>
      <c r="F10" s="109" t="s">
        <v>101</v>
      </c>
      <c r="G10" s="128">
        <v>7</v>
      </c>
      <c r="H10" s="111" t="s">
        <v>1568</v>
      </c>
    </row>
    <row r="11" spans="1:8" ht="19.8" customHeight="1" x14ac:dyDescent="0.3">
      <c r="A11" s="112">
        <v>45985</v>
      </c>
      <c r="B11" s="104" t="s">
        <v>385</v>
      </c>
      <c r="C11" s="105" t="s">
        <v>1552</v>
      </c>
      <c r="D11" s="104" t="s">
        <v>1551</v>
      </c>
      <c r="E11" s="113">
        <v>1.489583333333333</v>
      </c>
      <c r="F11" s="104" t="s">
        <v>101</v>
      </c>
      <c r="G11" s="106">
        <v>6</v>
      </c>
      <c r="H11" s="107" t="s">
        <v>1372</v>
      </c>
    </row>
    <row r="12" spans="1:8" ht="19.8" customHeight="1" x14ac:dyDescent="0.3">
      <c r="A12" s="112">
        <v>45985</v>
      </c>
      <c r="B12" s="104" t="s">
        <v>388</v>
      </c>
      <c r="C12" s="105" t="s">
        <v>1558</v>
      </c>
      <c r="D12" s="104" t="s">
        <v>1551</v>
      </c>
      <c r="E12" s="113">
        <v>1.7673611111111109</v>
      </c>
      <c r="F12" s="104" t="s">
        <v>390</v>
      </c>
      <c r="G12" s="106">
        <v>9</v>
      </c>
      <c r="H12" s="107" t="s">
        <v>1570</v>
      </c>
    </row>
    <row r="13" spans="1:8" ht="19.8" customHeight="1" x14ac:dyDescent="0.3">
      <c r="A13" s="112">
        <v>45985</v>
      </c>
      <c r="B13" s="104" t="s">
        <v>48</v>
      </c>
      <c r="C13" s="105" t="s">
        <v>1561</v>
      </c>
      <c r="D13" s="104" t="s">
        <v>1551</v>
      </c>
      <c r="E13" s="113">
        <v>1.8715277777777779</v>
      </c>
      <c r="F13" s="104" t="s">
        <v>50</v>
      </c>
      <c r="G13" s="106">
        <v>9</v>
      </c>
      <c r="H13" s="107" t="s">
        <v>1562</v>
      </c>
    </row>
    <row r="14" spans="1:8" ht="19.8" customHeight="1" x14ac:dyDescent="0.3">
      <c r="A14" s="114">
        <v>45985</v>
      </c>
      <c r="B14" s="115" t="s">
        <v>388</v>
      </c>
      <c r="C14" s="116" t="s">
        <v>1558</v>
      </c>
      <c r="D14" s="115" t="s">
        <v>1551</v>
      </c>
      <c r="E14" s="117">
        <v>1.7673611111111109</v>
      </c>
      <c r="F14" s="115" t="s">
        <v>46</v>
      </c>
      <c r="G14" s="118">
        <v>9</v>
      </c>
      <c r="H14" s="119" t="s">
        <v>1571</v>
      </c>
    </row>
    <row r="15" spans="1:8" ht="19.8" customHeight="1" x14ac:dyDescent="0.3">
      <c r="A15" s="112">
        <v>45986</v>
      </c>
      <c r="B15" s="104" t="s">
        <v>458</v>
      </c>
      <c r="C15" s="105" t="s">
        <v>1556</v>
      </c>
      <c r="D15" s="104" t="s">
        <v>1551</v>
      </c>
      <c r="E15" s="113">
        <v>1.4375</v>
      </c>
      <c r="F15" s="104" t="s">
        <v>101</v>
      </c>
      <c r="G15" s="106">
        <v>9</v>
      </c>
      <c r="H15" s="107" t="s">
        <v>1572</v>
      </c>
    </row>
    <row r="16" spans="1:8" ht="19.8" customHeight="1" x14ac:dyDescent="0.3">
      <c r="A16" s="114">
        <v>45986</v>
      </c>
      <c r="B16" s="115" t="s">
        <v>385</v>
      </c>
      <c r="C16" s="116" t="s">
        <v>1552</v>
      </c>
      <c r="D16" s="115" t="s">
        <v>1551</v>
      </c>
      <c r="E16" s="117">
        <v>1.489583333333333</v>
      </c>
      <c r="F16" s="115" t="s">
        <v>101</v>
      </c>
      <c r="G16" s="118">
        <v>9</v>
      </c>
      <c r="H16" s="119" t="s">
        <v>1573</v>
      </c>
    </row>
    <row r="17" spans="1:8" ht="19.8" customHeight="1" x14ac:dyDescent="0.3">
      <c r="A17" s="112">
        <v>45987</v>
      </c>
      <c r="B17" s="104" t="s">
        <v>388</v>
      </c>
      <c r="C17" s="105" t="s">
        <v>1558</v>
      </c>
      <c r="D17" s="104" t="s">
        <v>1551</v>
      </c>
      <c r="E17" s="113">
        <v>1.7673611111111109</v>
      </c>
      <c r="F17" s="104" t="s">
        <v>390</v>
      </c>
      <c r="G17" s="106">
        <v>9</v>
      </c>
      <c r="H17" s="107" t="s">
        <v>1574</v>
      </c>
    </row>
    <row r="18" spans="1:8" ht="19.8" customHeight="1" x14ac:dyDescent="0.3">
      <c r="A18" s="112">
        <v>45987</v>
      </c>
      <c r="B18" s="104" t="s">
        <v>385</v>
      </c>
      <c r="C18" s="105" t="s">
        <v>1552</v>
      </c>
      <c r="D18" s="104" t="s">
        <v>1551</v>
      </c>
      <c r="E18" s="113">
        <v>1.489583333333333</v>
      </c>
      <c r="F18" s="104" t="s">
        <v>101</v>
      </c>
      <c r="G18" s="106">
        <v>7</v>
      </c>
      <c r="H18" s="107" t="s">
        <v>1576</v>
      </c>
    </row>
    <row r="19" spans="1:8" ht="19.8" customHeight="1" x14ac:dyDescent="0.3">
      <c r="A19" s="112">
        <v>45987</v>
      </c>
      <c r="B19" s="104" t="s">
        <v>388</v>
      </c>
      <c r="C19" s="105" t="s">
        <v>1558</v>
      </c>
      <c r="D19" s="104" t="s">
        <v>1551</v>
      </c>
      <c r="E19" s="113">
        <v>1.7673611111111109</v>
      </c>
      <c r="F19" s="104" t="s">
        <v>46</v>
      </c>
      <c r="G19" s="106">
        <v>9</v>
      </c>
      <c r="H19" s="107" t="s">
        <v>1575</v>
      </c>
    </row>
    <row r="20" spans="1:8" ht="19.8" customHeight="1" x14ac:dyDescent="0.3">
      <c r="A20" s="112">
        <v>45987</v>
      </c>
      <c r="B20" s="104" t="s">
        <v>458</v>
      </c>
      <c r="C20" s="105" t="s">
        <v>1556</v>
      </c>
      <c r="D20" s="104" t="s">
        <v>1551</v>
      </c>
      <c r="E20" s="113">
        <v>1.4548611111111109</v>
      </c>
      <c r="F20" s="104" t="s">
        <v>101</v>
      </c>
      <c r="G20" s="106">
        <v>4</v>
      </c>
      <c r="H20" s="107" t="s">
        <v>1577</v>
      </c>
    </row>
    <row r="21" spans="1:8" ht="19.8" customHeight="1" x14ac:dyDescent="0.3">
      <c r="A21" s="114">
        <v>45987</v>
      </c>
      <c r="B21" s="115" t="s">
        <v>48</v>
      </c>
      <c r="C21" s="116" t="s">
        <v>1561</v>
      </c>
      <c r="D21" s="115" t="s">
        <v>1551</v>
      </c>
      <c r="E21" s="117">
        <v>1.8715277777777779</v>
      </c>
      <c r="F21" s="115" t="s">
        <v>50</v>
      </c>
      <c r="G21" s="118">
        <v>9</v>
      </c>
      <c r="H21" s="119" t="s">
        <v>1578</v>
      </c>
    </row>
    <row r="22" spans="1:8" ht="19.8" customHeight="1" x14ac:dyDescent="0.3">
      <c r="A22" s="126">
        <v>45988</v>
      </c>
      <c r="B22" s="109" t="s">
        <v>77</v>
      </c>
      <c r="C22" s="110" t="s">
        <v>1553</v>
      </c>
      <c r="D22" s="109" t="s">
        <v>1551</v>
      </c>
      <c r="E22" s="127">
        <v>1.631944444444444</v>
      </c>
      <c r="F22" s="109" t="s">
        <v>101</v>
      </c>
      <c r="G22" s="128">
        <v>9</v>
      </c>
      <c r="H22" s="111" t="s">
        <v>366</v>
      </c>
    </row>
    <row r="23" spans="1:8" ht="19.8" customHeight="1" x14ac:dyDescent="0.3">
      <c r="A23" s="126">
        <v>45989</v>
      </c>
      <c r="B23" s="109" t="s">
        <v>77</v>
      </c>
      <c r="C23" s="110" t="s">
        <v>1553</v>
      </c>
      <c r="D23" s="109" t="s">
        <v>1551</v>
      </c>
      <c r="E23" s="127">
        <v>1.8298611111111109</v>
      </c>
      <c r="F23" s="109" t="s">
        <v>101</v>
      </c>
      <c r="G23" s="128">
        <v>3</v>
      </c>
      <c r="H23" s="111" t="s">
        <v>1586</v>
      </c>
    </row>
    <row r="24" spans="1:8" ht="19.8" customHeight="1" x14ac:dyDescent="0.3">
      <c r="A24" s="112">
        <v>45990</v>
      </c>
      <c r="B24" s="104" t="s">
        <v>385</v>
      </c>
      <c r="C24" s="105" t="s">
        <v>1566</v>
      </c>
      <c r="D24" s="104" t="s">
        <v>1551</v>
      </c>
      <c r="E24" s="113">
        <v>1.8402777777777779</v>
      </c>
      <c r="F24" s="104" t="s">
        <v>101</v>
      </c>
      <c r="G24" s="106">
        <v>9</v>
      </c>
      <c r="H24" s="107" t="s">
        <v>1589</v>
      </c>
    </row>
    <row r="25" spans="1:8" ht="19.8" customHeight="1" x14ac:dyDescent="0.3">
      <c r="A25" s="114">
        <v>45990</v>
      </c>
      <c r="B25" s="115" t="s">
        <v>48</v>
      </c>
      <c r="C25" s="116" t="s">
        <v>1561</v>
      </c>
      <c r="D25" s="115" t="s">
        <v>1551</v>
      </c>
      <c r="E25" s="117">
        <v>1.868055555555556</v>
      </c>
      <c r="F25" s="115" t="s">
        <v>50</v>
      </c>
      <c r="G25" s="118">
        <v>9</v>
      </c>
      <c r="H25" s="119" t="s">
        <v>544</v>
      </c>
    </row>
    <row r="26" spans="1:8" ht="19.8" customHeight="1" x14ac:dyDescent="0.3">
      <c r="A26" s="126">
        <v>45991</v>
      </c>
      <c r="B26" s="109" t="s">
        <v>77</v>
      </c>
      <c r="C26" s="110" t="s">
        <v>1553</v>
      </c>
      <c r="D26" s="109" t="s">
        <v>1551</v>
      </c>
      <c r="E26" s="127">
        <v>1.631944444444444</v>
      </c>
      <c r="F26" s="109" t="s">
        <v>101</v>
      </c>
      <c r="G26" s="128">
        <v>6</v>
      </c>
      <c r="H26" s="111" t="s">
        <v>366</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N26"/>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6.88671875" bestFit="1" customWidth="1"/>
  </cols>
  <sheetData>
    <row r="1" spans="1:92" ht="28.8" customHeight="1" x14ac:dyDescent="0.3">
      <c r="A1" s="303" t="s">
        <v>0</v>
      </c>
      <c r="B1" s="302"/>
      <c r="C1" s="302"/>
      <c r="D1" s="302"/>
      <c r="E1" s="302"/>
      <c r="F1" s="1" t="s">
        <v>1598</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45980.583918545737</v>
      </c>
      <c r="H2" s="302"/>
      <c r="I2" s="302"/>
      <c r="J2" s="302"/>
      <c r="K2" s="311">
        <v>45980.583918546101</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45983</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44" t="s">
        <v>77</v>
      </c>
      <c r="B6" s="144" t="s">
        <v>1599</v>
      </c>
      <c r="C6" s="145">
        <v>0.69097222222222221</v>
      </c>
      <c r="D6" s="144" t="s">
        <v>101</v>
      </c>
      <c r="E6" s="144" t="s">
        <v>111</v>
      </c>
      <c r="F6" s="144" t="s">
        <v>1600</v>
      </c>
      <c r="G6" s="304"/>
      <c r="H6" s="147" t="s">
        <v>1601</v>
      </c>
      <c r="I6" s="216">
        <v>0.56979999999999997</v>
      </c>
      <c r="J6" s="149">
        <v>102</v>
      </c>
      <c r="K6" s="150">
        <v>45980</v>
      </c>
      <c r="L6" s="149">
        <v>39</v>
      </c>
      <c r="M6" s="149">
        <v>2</v>
      </c>
      <c r="N6" s="149">
        <v>4</v>
      </c>
      <c r="O6" s="151" t="s">
        <v>568</v>
      </c>
      <c r="P6" s="152">
        <v>0.69097222222222221</v>
      </c>
      <c r="Q6" s="149">
        <v>179</v>
      </c>
      <c r="R6" s="153" t="s">
        <v>1602</v>
      </c>
    </row>
    <row r="7" spans="1:92" ht="18" x14ac:dyDescent="0.3">
      <c r="A7" s="312" t="s">
        <v>1603</v>
      </c>
      <c r="B7" s="313"/>
      <c r="C7" s="313"/>
      <c r="D7" s="313"/>
      <c r="E7" s="313"/>
      <c r="F7" s="314"/>
      <c r="G7" s="298"/>
      <c r="H7" s="138"/>
      <c r="I7" s="138"/>
      <c r="J7" s="138"/>
      <c r="K7" s="138"/>
      <c r="L7" s="138"/>
      <c r="M7" s="138"/>
      <c r="N7" s="138"/>
      <c r="O7" s="139"/>
      <c r="P7" s="138"/>
      <c r="Q7" s="99"/>
      <c r="R7" s="99"/>
    </row>
    <row r="8" spans="1:92" ht="49.95" customHeight="1" x14ac:dyDescent="0.3">
      <c r="A8" s="17" t="s">
        <v>458</v>
      </c>
      <c r="B8" s="17" t="s">
        <v>1556</v>
      </c>
      <c r="C8" s="18" t="s">
        <v>615</v>
      </c>
      <c r="D8" s="17" t="s">
        <v>101</v>
      </c>
      <c r="E8" s="17" t="s">
        <v>275</v>
      </c>
      <c r="F8" s="17" t="s">
        <v>1564</v>
      </c>
      <c r="G8" s="298"/>
      <c r="H8" s="138"/>
      <c r="I8" s="138"/>
      <c r="J8" s="138"/>
      <c r="K8" s="138"/>
      <c r="L8" s="138"/>
      <c r="M8" s="138"/>
      <c r="N8" s="138"/>
      <c r="O8" s="139"/>
      <c r="P8" s="138"/>
      <c r="Q8" s="99"/>
      <c r="R8" s="99"/>
    </row>
    <row r="9" spans="1:92" ht="49.95" customHeight="1" x14ac:dyDescent="0.3">
      <c r="A9" s="17" t="s">
        <v>385</v>
      </c>
      <c r="B9" s="17" t="s">
        <v>1566</v>
      </c>
      <c r="C9" s="18" t="s">
        <v>1604</v>
      </c>
      <c r="D9" s="17" t="s">
        <v>101</v>
      </c>
      <c r="E9" s="17" t="s">
        <v>256</v>
      </c>
      <c r="F9" s="17" t="s">
        <v>362</v>
      </c>
      <c r="G9" s="298"/>
      <c r="H9" s="138"/>
      <c r="I9" s="138"/>
      <c r="J9" s="138"/>
      <c r="K9" s="138"/>
      <c r="L9" s="138"/>
      <c r="M9" s="138"/>
      <c r="N9" s="138"/>
      <c r="O9" s="139"/>
      <c r="P9" s="138"/>
      <c r="Q9" s="99"/>
      <c r="R9" s="99"/>
    </row>
    <row r="10" spans="1:92" ht="49.95" customHeight="1" thickBot="1" x14ac:dyDescent="0.35">
      <c r="A10" s="39" t="s">
        <v>48</v>
      </c>
      <c r="B10" s="39" t="s">
        <v>1561</v>
      </c>
      <c r="C10" s="40" t="s">
        <v>1605</v>
      </c>
      <c r="D10" s="39" t="s">
        <v>50</v>
      </c>
      <c r="E10" s="39" t="s">
        <v>256</v>
      </c>
      <c r="F10" s="39" t="s">
        <v>1567</v>
      </c>
      <c r="G10" s="299"/>
      <c r="H10" s="140"/>
      <c r="I10" s="140"/>
      <c r="J10" s="140"/>
      <c r="K10" s="140"/>
      <c r="L10" s="140"/>
      <c r="M10" s="140"/>
      <c r="N10" s="140"/>
      <c r="O10" s="141"/>
      <c r="P10" s="140"/>
      <c r="Q10" s="142"/>
      <c r="R10" s="142"/>
    </row>
    <row r="11" spans="1:92" ht="17.399999999999999" customHeight="1" thickBot="1" x14ac:dyDescent="0.35">
      <c r="A11" s="329"/>
      <c r="B11" s="330"/>
      <c r="C11" s="330"/>
      <c r="D11" s="330"/>
      <c r="E11" s="330"/>
      <c r="F11" s="330"/>
      <c r="G11" s="330"/>
      <c r="H11" s="330"/>
      <c r="I11" s="330"/>
      <c r="J11" s="330"/>
      <c r="K11" s="330"/>
      <c r="L11" s="330"/>
      <c r="M11" s="330"/>
      <c r="N11" s="330"/>
      <c r="O11" s="330"/>
      <c r="P11" s="330"/>
      <c r="Q11" s="330"/>
      <c r="R11" s="331"/>
    </row>
    <row r="12" spans="1:92" ht="22.05" customHeight="1" thickTop="1" thickBot="1" x14ac:dyDescent="0.35">
      <c r="A12" s="300" t="s">
        <v>6</v>
      </c>
      <c r="B12" s="295"/>
      <c r="C12" s="295"/>
      <c r="D12" s="295"/>
      <c r="E12" s="295"/>
      <c r="F12" s="296"/>
      <c r="G12" s="31">
        <v>45986</v>
      </c>
      <c r="H12" s="294" t="s">
        <v>7</v>
      </c>
      <c r="I12" s="295"/>
      <c r="J12" s="295"/>
      <c r="K12" s="295"/>
      <c r="L12" s="295"/>
      <c r="M12" s="295"/>
      <c r="N12" s="295"/>
      <c r="O12" s="295"/>
      <c r="P12" s="295"/>
      <c r="Q12" s="295"/>
      <c r="R12" s="296"/>
    </row>
    <row r="13" spans="1:92" ht="24" customHeight="1" x14ac:dyDescent="0.3">
      <c r="A13" s="32" t="s">
        <v>8</v>
      </c>
      <c r="B13" s="32" t="s">
        <v>9</v>
      </c>
      <c r="C13" s="33" t="s">
        <v>10</v>
      </c>
      <c r="D13" s="32" t="s">
        <v>11</v>
      </c>
      <c r="E13" s="32" t="s">
        <v>12</v>
      </c>
      <c r="F13" s="34" t="s">
        <v>13</v>
      </c>
      <c r="G13" s="35" t="s">
        <v>14</v>
      </c>
      <c r="H13" s="32" t="s">
        <v>15</v>
      </c>
      <c r="I13" s="36" t="s">
        <v>16</v>
      </c>
      <c r="J13" s="37" t="s">
        <v>17</v>
      </c>
      <c r="K13" s="38" t="s">
        <v>18</v>
      </c>
      <c r="L13" s="37" t="s">
        <v>19</v>
      </c>
      <c r="M13" s="37" t="s">
        <v>20</v>
      </c>
      <c r="N13" s="37" t="s">
        <v>21</v>
      </c>
      <c r="O13" s="32" t="s">
        <v>22</v>
      </c>
      <c r="P13" s="33" t="s">
        <v>23</v>
      </c>
      <c r="Q13" s="37" t="s">
        <v>24</v>
      </c>
      <c r="R13" s="32" t="s">
        <v>25</v>
      </c>
    </row>
    <row r="14" spans="1:92" ht="49.95" customHeight="1" x14ac:dyDescent="0.3">
      <c r="A14" s="204" t="s">
        <v>77</v>
      </c>
      <c r="B14" s="204" t="s">
        <v>1599</v>
      </c>
      <c r="C14" s="205">
        <v>0.85763888888888884</v>
      </c>
      <c r="D14" s="204" t="s">
        <v>101</v>
      </c>
      <c r="E14" s="204" t="s">
        <v>63</v>
      </c>
      <c r="F14" s="204" t="s">
        <v>1600</v>
      </c>
      <c r="G14" s="304"/>
      <c r="H14" s="206" t="s">
        <v>1601</v>
      </c>
      <c r="I14" s="253">
        <v>0.4637</v>
      </c>
      <c r="J14" s="208">
        <v>83</v>
      </c>
      <c r="K14" s="209">
        <v>45980</v>
      </c>
      <c r="L14" s="208">
        <v>41</v>
      </c>
      <c r="M14" s="208">
        <v>5</v>
      </c>
      <c r="N14" s="208">
        <v>7</v>
      </c>
      <c r="O14" s="210" t="s">
        <v>671</v>
      </c>
      <c r="P14" s="211">
        <v>0.85763888888888884</v>
      </c>
      <c r="Q14" s="208">
        <v>179</v>
      </c>
      <c r="R14" s="212" t="s">
        <v>1606</v>
      </c>
    </row>
    <row r="15" spans="1:92" ht="18" x14ac:dyDescent="0.3">
      <c r="A15" s="312" t="s">
        <v>1603</v>
      </c>
      <c r="B15" s="313"/>
      <c r="C15" s="313"/>
      <c r="D15" s="313"/>
      <c r="E15" s="313"/>
      <c r="F15" s="314"/>
      <c r="G15" s="298"/>
      <c r="H15" s="138"/>
      <c r="I15" s="138"/>
      <c r="J15" s="138"/>
      <c r="K15" s="138"/>
      <c r="L15" s="138"/>
      <c r="M15" s="138"/>
      <c r="N15" s="138"/>
      <c r="O15" s="139"/>
      <c r="P15" s="138"/>
      <c r="Q15" s="99"/>
      <c r="R15" s="99"/>
    </row>
    <row r="16" spans="1:92" ht="49.95" customHeight="1" x14ac:dyDescent="0.3">
      <c r="A16" s="17" t="s">
        <v>458</v>
      </c>
      <c r="B16" s="17" t="s">
        <v>1556</v>
      </c>
      <c r="C16" s="18" t="s">
        <v>615</v>
      </c>
      <c r="D16" s="17" t="s">
        <v>101</v>
      </c>
      <c r="E16" s="17" t="s">
        <v>256</v>
      </c>
      <c r="F16" s="17" t="s">
        <v>1572</v>
      </c>
      <c r="G16" s="298"/>
      <c r="H16" s="138"/>
      <c r="I16" s="138"/>
      <c r="J16" s="138"/>
      <c r="K16" s="138"/>
      <c r="L16" s="138"/>
      <c r="M16" s="138"/>
      <c r="N16" s="138"/>
      <c r="O16" s="139"/>
      <c r="P16" s="138"/>
      <c r="Q16" s="99"/>
      <c r="R16" s="99"/>
    </row>
    <row r="17" spans="1:18" ht="49.95" customHeight="1" thickBot="1" x14ac:dyDescent="0.35">
      <c r="A17" s="39" t="s">
        <v>385</v>
      </c>
      <c r="B17" s="39" t="s">
        <v>1552</v>
      </c>
      <c r="C17" s="40" t="s">
        <v>747</v>
      </c>
      <c r="D17" s="39" t="s">
        <v>101</v>
      </c>
      <c r="E17" s="39" t="s">
        <v>256</v>
      </c>
      <c r="F17" s="39" t="s">
        <v>1573</v>
      </c>
      <c r="G17" s="299"/>
      <c r="H17" s="140"/>
      <c r="I17" s="140"/>
      <c r="J17" s="140"/>
      <c r="K17" s="140"/>
      <c r="L17" s="140"/>
      <c r="M17" s="140"/>
      <c r="N17" s="140"/>
      <c r="O17" s="141"/>
      <c r="P17" s="140"/>
      <c r="Q17" s="142"/>
      <c r="R17" s="142"/>
    </row>
    <row r="18" spans="1:18" ht="17.399999999999999" customHeight="1" thickBot="1" x14ac:dyDescent="0.35">
      <c r="A18" s="329"/>
      <c r="B18" s="330"/>
      <c r="C18" s="330"/>
      <c r="D18" s="330"/>
      <c r="E18" s="330"/>
      <c r="F18" s="330"/>
      <c r="G18" s="330"/>
      <c r="H18" s="330"/>
      <c r="I18" s="330"/>
      <c r="J18" s="330"/>
      <c r="K18" s="330"/>
      <c r="L18" s="330"/>
      <c r="M18" s="330"/>
      <c r="N18" s="330"/>
      <c r="O18" s="330"/>
      <c r="P18" s="330"/>
      <c r="Q18" s="330"/>
      <c r="R18" s="331"/>
    </row>
    <row r="19" spans="1:18" ht="22.05" customHeight="1" thickTop="1" thickBot="1" x14ac:dyDescent="0.35">
      <c r="A19" s="300" t="s">
        <v>6</v>
      </c>
      <c r="B19" s="295"/>
      <c r="C19" s="295"/>
      <c r="D19" s="295"/>
      <c r="E19" s="295"/>
      <c r="F19" s="296"/>
      <c r="G19" s="31">
        <v>45990</v>
      </c>
      <c r="H19" s="294" t="s">
        <v>7</v>
      </c>
      <c r="I19" s="295"/>
      <c r="J19" s="295"/>
      <c r="K19" s="295"/>
      <c r="L19" s="295"/>
      <c r="M19" s="295"/>
      <c r="N19" s="295"/>
      <c r="O19" s="295"/>
      <c r="P19" s="295"/>
      <c r="Q19" s="295"/>
      <c r="R19" s="296"/>
    </row>
    <row r="20" spans="1:18" ht="24" customHeight="1" x14ac:dyDescent="0.3">
      <c r="A20" s="32" t="s">
        <v>8</v>
      </c>
      <c r="B20" s="32" t="s">
        <v>9</v>
      </c>
      <c r="C20" s="33" t="s">
        <v>10</v>
      </c>
      <c r="D20" s="32" t="s">
        <v>11</v>
      </c>
      <c r="E20" s="32" t="s">
        <v>12</v>
      </c>
      <c r="F20" s="34" t="s">
        <v>13</v>
      </c>
      <c r="G20" s="35" t="s">
        <v>14</v>
      </c>
      <c r="H20" s="32" t="s">
        <v>15</v>
      </c>
      <c r="I20" s="36" t="s">
        <v>16</v>
      </c>
      <c r="J20" s="37" t="s">
        <v>17</v>
      </c>
      <c r="K20" s="38" t="s">
        <v>18</v>
      </c>
      <c r="L20" s="37" t="s">
        <v>19</v>
      </c>
      <c r="M20" s="37" t="s">
        <v>20</v>
      </c>
      <c r="N20" s="37" t="s">
        <v>21</v>
      </c>
      <c r="O20" s="32" t="s">
        <v>22</v>
      </c>
      <c r="P20" s="33" t="s">
        <v>23</v>
      </c>
      <c r="Q20" s="37" t="s">
        <v>24</v>
      </c>
      <c r="R20" s="32" t="s">
        <v>25</v>
      </c>
    </row>
    <row r="21" spans="1:18" ht="49.95" customHeight="1" x14ac:dyDescent="0.3">
      <c r="A21" s="144" t="s">
        <v>77</v>
      </c>
      <c r="B21" s="144" t="s">
        <v>1599</v>
      </c>
      <c r="C21" s="145">
        <v>0.69097222222222221</v>
      </c>
      <c r="D21" s="144" t="s">
        <v>101</v>
      </c>
      <c r="E21" s="144" t="s">
        <v>63</v>
      </c>
      <c r="F21" s="144" t="s">
        <v>143</v>
      </c>
      <c r="G21" s="297"/>
      <c r="H21" s="147" t="s">
        <v>1601</v>
      </c>
      <c r="I21" s="252">
        <v>0.36309999999999998</v>
      </c>
      <c r="J21" s="149">
        <v>65</v>
      </c>
      <c r="K21" s="150">
        <v>45980</v>
      </c>
      <c r="L21" s="149">
        <v>24</v>
      </c>
      <c r="M21" s="149">
        <v>1</v>
      </c>
      <c r="N21" s="149">
        <v>1</v>
      </c>
      <c r="O21" s="151" t="s">
        <v>381</v>
      </c>
      <c r="P21" s="152">
        <v>0.69097222222222221</v>
      </c>
      <c r="Q21" s="149">
        <v>179</v>
      </c>
      <c r="R21" s="153" t="s">
        <v>1607</v>
      </c>
    </row>
    <row r="22" spans="1:18" ht="18" x14ac:dyDescent="0.3">
      <c r="A22" s="312" t="s">
        <v>1603</v>
      </c>
      <c r="B22" s="313"/>
      <c r="C22" s="313"/>
      <c r="D22" s="313"/>
      <c r="E22" s="313"/>
      <c r="F22" s="314"/>
      <c r="G22" s="298"/>
      <c r="H22" s="138"/>
      <c r="I22" s="138"/>
      <c r="J22" s="138"/>
      <c r="K22" s="138"/>
      <c r="L22" s="138"/>
      <c r="M22" s="138"/>
      <c r="N22" s="138"/>
      <c r="O22" s="139"/>
      <c r="P22" s="138"/>
      <c r="Q22" s="99"/>
      <c r="R22" s="99"/>
    </row>
    <row r="23" spans="1:18" ht="49.95" customHeight="1" x14ac:dyDescent="0.3">
      <c r="A23" s="17" t="s">
        <v>385</v>
      </c>
      <c r="B23" s="17" t="s">
        <v>1566</v>
      </c>
      <c r="C23" s="18" t="s">
        <v>1608</v>
      </c>
      <c r="D23" s="17" t="s">
        <v>101</v>
      </c>
      <c r="E23" s="17" t="s">
        <v>256</v>
      </c>
      <c r="F23" s="17" t="s">
        <v>1589</v>
      </c>
      <c r="G23" s="298"/>
      <c r="H23" s="138"/>
      <c r="I23" s="138"/>
      <c r="J23" s="138"/>
      <c r="K23" s="138"/>
      <c r="L23" s="138"/>
      <c r="M23" s="138"/>
      <c r="N23" s="138"/>
      <c r="O23" s="139"/>
      <c r="P23" s="138"/>
      <c r="Q23" s="99"/>
      <c r="R23" s="99"/>
    </row>
    <row r="24" spans="1:18" ht="49.95" customHeight="1" thickBot="1" x14ac:dyDescent="0.35">
      <c r="A24" s="39" t="s">
        <v>48</v>
      </c>
      <c r="B24" s="39" t="s">
        <v>1561</v>
      </c>
      <c r="C24" s="40" t="s">
        <v>208</v>
      </c>
      <c r="D24" s="39" t="s">
        <v>50</v>
      </c>
      <c r="E24" s="39" t="s">
        <v>256</v>
      </c>
      <c r="F24" s="39" t="s">
        <v>544</v>
      </c>
      <c r="G24" s="299"/>
      <c r="H24" s="140"/>
      <c r="I24" s="140"/>
      <c r="J24" s="140"/>
      <c r="K24" s="140"/>
      <c r="L24" s="140"/>
      <c r="M24" s="140"/>
      <c r="N24" s="140"/>
      <c r="O24" s="141"/>
      <c r="P24" s="140"/>
      <c r="Q24" s="142"/>
      <c r="R24" s="142"/>
    </row>
    <row r="25" spans="1:18" ht="17.399999999999999" customHeight="1" thickBot="1" x14ac:dyDescent="0.35">
      <c r="A25" s="329"/>
      <c r="B25" s="330"/>
      <c r="C25" s="330"/>
      <c r="D25" s="330"/>
      <c r="E25" s="330"/>
      <c r="F25" s="330"/>
      <c r="G25" s="330"/>
      <c r="H25" s="330"/>
      <c r="I25" s="330"/>
      <c r="J25" s="330"/>
      <c r="K25" s="330"/>
      <c r="L25" s="330"/>
      <c r="M25" s="330"/>
      <c r="N25" s="330"/>
      <c r="O25" s="330"/>
      <c r="P25" s="330"/>
      <c r="Q25" s="330"/>
      <c r="R25" s="331"/>
    </row>
    <row r="26" spans="1:18" ht="15" thickTop="1" x14ac:dyDescent="0.3"/>
  </sheetData>
  <mergeCells count="22">
    <mergeCell ref="A15:F15"/>
    <mergeCell ref="H12:R12"/>
    <mergeCell ref="A11:R11"/>
    <mergeCell ref="G21:G24"/>
    <mergeCell ref="G6:G10"/>
    <mergeCell ref="A7:F7"/>
    <mergeCell ref="A25:R25"/>
    <mergeCell ref="H1:L1"/>
    <mergeCell ref="A1:E1"/>
    <mergeCell ref="A12:F12"/>
    <mergeCell ref="H4:R4"/>
    <mergeCell ref="A18:R18"/>
    <mergeCell ref="A2:F2"/>
    <mergeCell ref="A3:R3"/>
    <mergeCell ref="A22:F22"/>
    <mergeCell ref="G2:J2"/>
    <mergeCell ref="A4:F4"/>
    <mergeCell ref="N1:R1"/>
    <mergeCell ref="G14:G17"/>
    <mergeCell ref="A19:F19"/>
    <mergeCell ref="K2:R2"/>
    <mergeCell ref="H19:R19"/>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J5"/>
  <sheetViews>
    <sheetView workbookViewId="0"/>
  </sheetViews>
  <sheetFormatPr defaultRowHeight="15.6" outlineLevelCol="1" x14ac:dyDescent="0.3"/>
  <cols>
    <col min="1" max="1" width="9.77734375" style="316" bestFit="1" customWidth="1"/>
    <col min="2" max="2" width="10.44140625" style="316" bestFit="1" customWidth="1"/>
    <col min="3" max="3" width="6.77734375" style="316" bestFit="1" customWidth="1"/>
    <col min="4" max="4" width="5.5546875" style="316" bestFit="1" customWidth="1"/>
    <col min="5" max="5" width="8.10937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23" width="3.88671875" style="316" bestFit="1" customWidth="1"/>
    <col min="24" max="24" width="4.109375" style="316" bestFit="1" customWidth="1"/>
    <col min="25" max="25" width="4.44140625" style="316" bestFit="1" customWidth="1"/>
    <col min="26" max="26" width="4.109375" style="316" bestFit="1" customWidth="1"/>
    <col min="27" max="27" width="5" style="316" bestFit="1" customWidth="1"/>
    <col min="28" max="29" width="4.21875" style="316" bestFit="1" customWidth="1"/>
    <col min="30"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199</v>
      </c>
      <c r="B2" s="318">
        <v>45983</v>
      </c>
      <c r="C2" s="319" t="s">
        <v>1601</v>
      </c>
      <c r="D2" s="320" t="s">
        <v>955</v>
      </c>
      <c r="E2" s="319" t="s">
        <v>1598</v>
      </c>
      <c r="F2" s="319" t="s">
        <v>189</v>
      </c>
      <c r="G2" s="321">
        <v>0.56979999999999997</v>
      </c>
      <c r="H2" s="322">
        <v>179</v>
      </c>
      <c r="I2" s="322">
        <v>102</v>
      </c>
      <c r="J2" s="322">
        <v>0</v>
      </c>
      <c r="K2" s="319" t="s">
        <v>190</v>
      </c>
      <c r="L2" s="323">
        <v>45980</v>
      </c>
      <c r="M2" s="322">
        <v>2</v>
      </c>
      <c r="N2" s="322">
        <v>4</v>
      </c>
      <c r="O2" s="322">
        <v>39</v>
      </c>
      <c r="P2" s="319" t="s">
        <v>568</v>
      </c>
      <c r="Q2" s="315"/>
      <c r="R2" s="315"/>
      <c r="S2" s="315"/>
      <c r="T2" s="315"/>
      <c r="U2" s="315"/>
      <c r="V2" s="315"/>
      <c r="W2" s="315"/>
      <c r="X2" s="322" t="s">
        <v>743</v>
      </c>
      <c r="Y2" s="322" t="s">
        <v>712</v>
      </c>
      <c r="Z2" s="322" t="s">
        <v>585</v>
      </c>
      <c r="AA2" s="322" t="s">
        <v>644</v>
      </c>
      <c r="AB2" s="322" t="s">
        <v>319</v>
      </c>
      <c r="AC2" s="322" t="s">
        <v>742</v>
      </c>
      <c r="AD2" s="322" t="s">
        <v>953</v>
      </c>
      <c r="AE2" s="322" t="s">
        <v>220</v>
      </c>
      <c r="AF2" s="322" t="s">
        <v>616</v>
      </c>
      <c r="AG2" s="315"/>
      <c r="AH2" s="315"/>
      <c r="AI2" s="315"/>
      <c r="AJ2" s="315"/>
    </row>
    <row r="3" spans="1:36" x14ac:dyDescent="0.3">
      <c r="A3" s="317" t="s">
        <v>213</v>
      </c>
      <c r="B3" s="318">
        <v>45986</v>
      </c>
      <c r="C3" s="319" t="s">
        <v>1601</v>
      </c>
      <c r="D3" s="320" t="s">
        <v>1609</v>
      </c>
      <c r="E3" s="319" t="s">
        <v>1598</v>
      </c>
      <c r="F3" s="319" t="s">
        <v>189</v>
      </c>
      <c r="G3" s="321">
        <v>0.4637</v>
      </c>
      <c r="H3" s="322">
        <v>179</v>
      </c>
      <c r="I3" s="322">
        <v>83</v>
      </c>
      <c r="J3" s="322">
        <v>0</v>
      </c>
      <c r="K3" s="319" t="s">
        <v>190</v>
      </c>
      <c r="L3" s="323">
        <v>45980</v>
      </c>
      <c r="M3" s="322">
        <v>5</v>
      </c>
      <c r="N3" s="322">
        <v>7</v>
      </c>
      <c r="O3" s="322">
        <v>41</v>
      </c>
      <c r="P3" s="319" t="s">
        <v>671</v>
      </c>
      <c r="Q3" s="315"/>
      <c r="R3" s="315"/>
      <c r="S3" s="315"/>
      <c r="T3" s="315"/>
      <c r="U3" s="315"/>
      <c r="V3" s="315"/>
      <c r="W3" s="315"/>
      <c r="X3" s="315"/>
      <c r="Y3" s="322" t="s">
        <v>469</v>
      </c>
      <c r="Z3" s="322" t="s">
        <v>689</v>
      </c>
      <c r="AA3" s="322" t="s">
        <v>425</v>
      </c>
      <c r="AB3" s="315"/>
      <c r="AC3" s="322" t="s">
        <v>228</v>
      </c>
      <c r="AD3" s="322" t="s">
        <v>638</v>
      </c>
      <c r="AE3" s="322" t="s">
        <v>658</v>
      </c>
      <c r="AF3" s="322" t="s">
        <v>320</v>
      </c>
      <c r="AG3" s="315"/>
      <c r="AH3" s="315"/>
      <c r="AI3" s="315"/>
      <c r="AJ3" s="315"/>
    </row>
    <row r="4" spans="1:36" x14ac:dyDescent="0.3">
      <c r="A4" s="317" t="s">
        <v>199</v>
      </c>
      <c r="B4" s="318">
        <v>45990</v>
      </c>
      <c r="C4" s="319" t="s">
        <v>1601</v>
      </c>
      <c r="D4" s="320" t="s">
        <v>955</v>
      </c>
      <c r="E4" s="319" t="s">
        <v>1598</v>
      </c>
      <c r="F4" s="319" t="s">
        <v>189</v>
      </c>
      <c r="G4" s="321">
        <v>0.36309999999999998</v>
      </c>
      <c r="H4" s="322">
        <v>179</v>
      </c>
      <c r="I4" s="322">
        <v>65</v>
      </c>
      <c r="J4" s="322">
        <v>0</v>
      </c>
      <c r="K4" s="319" t="s">
        <v>190</v>
      </c>
      <c r="L4" s="323">
        <v>45980</v>
      </c>
      <c r="M4" s="322">
        <v>1</v>
      </c>
      <c r="N4" s="322">
        <v>1</v>
      </c>
      <c r="O4" s="322">
        <v>24</v>
      </c>
      <c r="P4" s="319" t="s">
        <v>381</v>
      </c>
      <c r="Q4" s="315"/>
      <c r="R4" s="315"/>
      <c r="S4" s="315"/>
      <c r="T4" s="315"/>
      <c r="U4" s="315"/>
      <c r="V4" s="315"/>
      <c r="W4" s="315"/>
      <c r="X4" s="315"/>
      <c r="Y4" s="322" t="s">
        <v>227</v>
      </c>
      <c r="Z4" s="322" t="s">
        <v>689</v>
      </c>
      <c r="AA4" s="322" t="s">
        <v>1479</v>
      </c>
      <c r="AB4" s="322" t="s">
        <v>618</v>
      </c>
      <c r="AC4" s="322" t="s">
        <v>228</v>
      </c>
      <c r="AD4" s="322" t="s">
        <v>881</v>
      </c>
      <c r="AE4" s="322" t="s">
        <v>598</v>
      </c>
      <c r="AF4" s="315"/>
      <c r="AG4" s="315"/>
      <c r="AH4" s="315"/>
      <c r="AI4" s="315"/>
      <c r="AJ4" s="315"/>
    </row>
    <row r="5" spans="1:36" ht="21" x14ac:dyDescent="0.3">
      <c r="A5" s="324" t="s">
        <v>1638</v>
      </c>
      <c r="B5" s="325"/>
      <c r="C5" s="324">
        <f>SUBTOTAL(103,ATZ_ELQ_LF_LEGACY[Flt])</f>
        <v>3</v>
      </c>
      <c r="D5" s="324"/>
      <c r="E5" s="324">
        <f>SUBTOTAL(103,ATZ_ELQ_LF_LEGACY[Brd-Off])</f>
        <v>3</v>
      </c>
      <c r="F5" s="324"/>
      <c r="G5" s="326">
        <f>SUBTOTAL(101,ATZ_ELQ_LF_LEGACY[LF%])</f>
        <v>0.46553333333333335</v>
      </c>
      <c r="H5" s="327">
        <f>SUBTOTAL(109,ATZ_ELQ_LF_LEGACY[CAP])</f>
        <v>537</v>
      </c>
      <c r="I5" s="327">
        <f>SUBTOTAL(109,ATZ_ELQ_LF_LEGACY[BKG(Y)])</f>
        <v>250</v>
      </c>
      <c r="J5" s="327">
        <f>SUBTOTAL(109,ATZ_ELQ_LF_LEGACY[GRP(Y)])</f>
        <v>0</v>
      </c>
      <c r="K5" s="324"/>
      <c r="L5" s="325"/>
      <c r="M5" s="327">
        <f>SUBTOTAL(109,ATZ_ELQ_LF_LEGACY[TO-DAY])</f>
        <v>8</v>
      </c>
      <c r="N5" s="327">
        <f>SUBTOTAL(109,ATZ_ELQ_LF_LEGACY[Y-DAY])</f>
        <v>12</v>
      </c>
      <c r="O5" s="327">
        <f>SUBTOTAL(109,ATZ_ELQ_LF_LEGACY[WEEKLY])</f>
        <v>104</v>
      </c>
      <c r="P5" s="328"/>
      <c r="Q5" s="327">
        <f>SUBTOTAL(109,ATZ_ELQ_LF_LEGACY[Y])</f>
        <v>0</v>
      </c>
      <c r="R5" s="327">
        <f>SUBTOTAL(109,ATZ_ELQ_LF_LEGACY[B])</f>
        <v>0</v>
      </c>
      <c r="S5" s="327">
        <f>SUBTOTAL(109,ATZ_ELQ_LF_LEGACY[M])</f>
        <v>0</v>
      </c>
      <c r="T5" s="327">
        <f>SUBTOTAL(109,ATZ_ELQ_LF_LEGACY[H])</f>
        <v>0</v>
      </c>
      <c r="U5" s="327">
        <f>SUBTOTAL(109,ATZ_ELQ_LF_LEGACY[Q])</f>
        <v>0</v>
      </c>
      <c r="V5" s="327">
        <f>SUBTOTAL(109,ATZ_ELQ_LF_LEGACY[K])</f>
        <v>0</v>
      </c>
      <c r="W5" s="327">
        <f>SUBTOTAL(109,ATZ_ELQ_LF_LEGACY[V])</f>
        <v>0</v>
      </c>
      <c r="X5" s="327">
        <f>SUBTOTAL(109,ATZ_ELQ_LF_LEGACY[L])</f>
        <v>0</v>
      </c>
      <c r="Y5" s="327">
        <f>SUBTOTAL(109,ATZ_ELQ_LF_LEGACY[G])</f>
        <v>0</v>
      </c>
      <c r="Z5" s="327">
        <f>SUBTOTAL(109,ATZ_ELQ_LF_LEGACY[S])</f>
        <v>0</v>
      </c>
      <c r="AA5" s="327">
        <f>SUBTOTAL(109,ATZ_ELQ_LF_LEGACY[W])</f>
        <v>0</v>
      </c>
      <c r="AB5" s="327">
        <f>SUBTOTAL(109,ATZ_ELQ_LF_LEGACY[T])</f>
        <v>0</v>
      </c>
      <c r="AC5" s="327">
        <f>SUBTOTAL(109,ATZ_ELQ_LF_LEGACY[X])</f>
        <v>0</v>
      </c>
      <c r="AD5" s="327">
        <f>SUBTOTAL(109,ATZ_ELQ_LF_LEGACY[U])</f>
        <v>0</v>
      </c>
      <c r="AE5" s="327">
        <f>SUBTOTAL(109,ATZ_ELQ_LF_LEGACY[O])</f>
        <v>0</v>
      </c>
      <c r="AF5" s="327">
        <f>SUBTOTAL(109,ATZ_ELQ_LF_LEGACY[I])</f>
        <v>0</v>
      </c>
      <c r="AG5" s="327">
        <f>SUBTOTAL(109,ATZ_ELQ_LF_LEGACY[E])</f>
        <v>0</v>
      </c>
      <c r="AH5" s="327">
        <f>SUBTOTAL(109,ATZ_ELQ_LF_LEGACY[A])</f>
        <v>0</v>
      </c>
      <c r="AI5" s="327">
        <f>SUBTOTAL(109,ATZ_ELQ_LF_LEGACY[P])</f>
        <v>0</v>
      </c>
      <c r="AJ5" s="327">
        <f>SUBTOTAL(103,ATZ_ELQ_LF_LEGACY[N])</f>
        <v>0</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5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1.10937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75"/>
      <c r="B2" s="176"/>
      <c r="C2" s="176"/>
      <c r="D2" s="176"/>
      <c r="E2" s="176"/>
      <c r="F2" s="177" t="s">
        <v>1610</v>
      </c>
      <c r="G2" s="176"/>
      <c r="H2" s="178"/>
    </row>
    <row r="3" spans="1:8" ht="19.8" customHeight="1" x14ac:dyDescent="0.3">
      <c r="A3" s="103" t="s">
        <v>235</v>
      </c>
      <c r="B3" s="104" t="s">
        <v>385</v>
      </c>
      <c r="C3" s="105" t="s">
        <v>1552</v>
      </c>
      <c r="D3" s="104" t="s">
        <v>1551</v>
      </c>
      <c r="E3" s="104" t="s">
        <v>747</v>
      </c>
      <c r="F3" s="104" t="s">
        <v>101</v>
      </c>
      <c r="G3" s="106">
        <v>9</v>
      </c>
      <c r="H3" s="107" t="s">
        <v>1372</v>
      </c>
    </row>
    <row r="4" spans="1:8" ht="19.8" customHeight="1" x14ac:dyDescent="0.3">
      <c r="A4" s="103" t="s">
        <v>235</v>
      </c>
      <c r="B4" s="104" t="s">
        <v>77</v>
      </c>
      <c r="C4" s="105" t="s">
        <v>1553</v>
      </c>
      <c r="D4" s="104" t="s">
        <v>1551</v>
      </c>
      <c r="E4" s="104" t="s">
        <v>1210</v>
      </c>
      <c r="F4" s="104" t="s">
        <v>101</v>
      </c>
      <c r="G4" s="106">
        <v>9</v>
      </c>
      <c r="H4" s="107" t="s">
        <v>779</v>
      </c>
    </row>
    <row r="5" spans="1:8" ht="19.8" customHeight="1" x14ac:dyDescent="0.3">
      <c r="A5" s="103" t="s">
        <v>235</v>
      </c>
      <c r="B5" s="104" t="s">
        <v>458</v>
      </c>
      <c r="C5" s="105" t="s">
        <v>1556</v>
      </c>
      <c r="D5" s="104" t="s">
        <v>1551</v>
      </c>
      <c r="E5" s="104" t="s">
        <v>649</v>
      </c>
      <c r="F5" s="104" t="s">
        <v>101</v>
      </c>
      <c r="G5" s="106">
        <v>9</v>
      </c>
      <c r="H5" s="107" t="s">
        <v>1557</v>
      </c>
    </row>
    <row r="6" spans="1:8" ht="19.8" customHeight="1" x14ac:dyDescent="0.3">
      <c r="A6" s="103" t="s">
        <v>235</v>
      </c>
      <c r="B6" s="104" t="s">
        <v>388</v>
      </c>
      <c r="C6" s="105" t="s">
        <v>1558</v>
      </c>
      <c r="D6" s="104" t="s">
        <v>1551</v>
      </c>
      <c r="E6" s="104" t="s">
        <v>1437</v>
      </c>
      <c r="F6" s="104" t="s">
        <v>390</v>
      </c>
      <c r="G6" s="106">
        <v>9</v>
      </c>
      <c r="H6" s="107" t="s">
        <v>1559</v>
      </c>
    </row>
    <row r="7" spans="1:8" ht="19.8" customHeight="1" x14ac:dyDescent="0.3">
      <c r="A7" s="103" t="s">
        <v>235</v>
      </c>
      <c r="B7" s="104" t="s">
        <v>48</v>
      </c>
      <c r="C7" s="105" t="s">
        <v>1561</v>
      </c>
      <c r="D7" s="104" t="s">
        <v>1551</v>
      </c>
      <c r="E7" s="104" t="s">
        <v>1605</v>
      </c>
      <c r="F7" s="104" t="s">
        <v>50</v>
      </c>
      <c r="G7" s="106">
        <v>9</v>
      </c>
      <c r="H7" s="107" t="s">
        <v>1562</v>
      </c>
    </row>
    <row r="8" spans="1:8" ht="19.8" customHeight="1" x14ac:dyDescent="0.3">
      <c r="A8" s="190" t="s">
        <v>235</v>
      </c>
      <c r="B8" s="115" t="s">
        <v>388</v>
      </c>
      <c r="C8" s="116" t="s">
        <v>1558</v>
      </c>
      <c r="D8" s="115" t="s">
        <v>1551</v>
      </c>
      <c r="E8" s="115" t="s">
        <v>1437</v>
      </c>
      <c r="F8" s="115" t="s">
        <v>46</v>
      </c>
      <c r="G8" s="118">
        <v>9</v>
      </c>
      <c r="H8" s="119" t="s">
        <v>1560</v>
      </c>
    </row>
    <row r="9" spans="1:8" ht="19.8" customHeight="1" x14ac:dyDescent="0.3">
      <c r="A9" s="175"/>
      <c r="B9" s="176"/>
      <c r="C9" s="176"/>
      <c r="D9" s="176"/>
      <c r="E9" s="176"/>
      <c r="F9" s="177" t="s">
        <v>1610</v>
      </c>
      <c r="G9" s="176"/>
      <c r="H9" s="178"/>
    </row>
    <row r="10" spans="1:8" ht="19.8" customHeight="1" x14ac:dyDescent="0.3">
      <c r="A10" s="103" t="s">
        <v>333</v>
      </c>
      <c r="B10" s="104" t="s">
        <v>385</v>
      </c>
      <c r="C10" s="105" t="s">
        <v>1552</v>
      </c>
      <c r="D10" s="104" t="s">
        <v>1551</v>
      </c>
      <c r="E10" s="104" t="s">
        <v>747</v>
      </c>
      <c r="F10" s="104" t="s">
        <v>101</v>
      </c>
      <c r="G10" s="106">
        <v>9</v>
      </c>
      <c r="H10" s="107" t="s">
        <v>1372</v>
      </c>
    </row>
    <row r="11" spans="1:8" ht="19.8" customHeight="1" x14ac:dyDescent="0.3">
      <c r="A11" s="103" t="s">
        <v>333</v>
      </c>
      <c r="B11" s="104" t="s">
        <v>77</v>
      </c>
      <c r="C11" s="105" t="s">
        <v>1553</v>
      </c>
      <c r="D11" s="104" t="s">
        <v>1551</v>
      </c>
      <c r="E11" s="104" t="s">
        <v>651</v>
      </c>
      <c r="F11" s="104" t="s">
        <v>101</v>
      </c>
      <c r="G11" s="106">
        <v>6</v>
      </c>
      <c r="H11" s="107" t="s">
        <v>779</v>
      </c>
    </row>
    <row r="12" spans="1:8" ht="19.8" customHeight="1" x14ac:dyDescent="0.3">
      <c r="A12" s="103" t="s">
        <v>333</v>
      </c>
      <c r="B12" s="104" t="s">
        <v>458</v>
      </c>
      <c r="C12" s="105" t="s">
        <v>1556</v>
      </c>
      <c r="D12" s="104" t="s">
        <v>1551</v>
      </c>
      <c r="E12" s="104" t="s">
        <v>239</v>
      </c>
      <c r="F12" s="104" t="s">
        <v>101</v>
      </c>
      <c r="G12" s="106">
        <v>3</v>
      </c>
      <c r="H12" s="107" t="s">
        <v>1564</v>
      </c>
    </row>
    <row r="13" spans="1:8" ht="19.8" customHeight="1" x14ac:dyDescent="0.3">
      <c r="A13" s="190" t="s">
        <v>333</v>
      </c>
      <c r="B13" s="115" t="s">
        <v>48</v>
      </c>
      <c r="C13" s="116" t="s">
        <v>1561</v>
      </c>
      <c r="D13" s="115" t="s">
        <v>1551</v>
      </c>
      <c r="E13" s="115" t="s">
        <v>208</v>
      </c>
      <c r="F13" s="115" t="s">
        <v>50</v>
      </c>
      <c r="G13" s="118">
        <v>9</v>
      </c>
      <c r="H13" s="119" t="s">
        <v>1565</v>
      </c>
    </row>
    <row r="14" spans="1:8" ht="19.8" customHeight="1" x14ac:dyDescent="0.3">
      <c r="A14" s="174" t="s">
        <v>334</v>
      </c>
      <c r="B14" s="121" t="s">
        <v>77</v>
      </c>
      <c r="C14" s="122" t="s">
        <v>1599</v>
      </c>
      <c r="D14" s="121" t="s">
        <v>1598</v>
      </c>
      <c r="E14" s="121" t="s">
        <v>955</v>
      </c>
      <c r="F14" s="121" t="s">
        <v>101</v>
      </c>
      <c r="G14" s="124">
        <v>2</v>
      </c>
      <c r="H14" s="125" t="s">
        <v>1600</v>
      </c>
    </row>
    <row r="15" spans="1:8" ht="19.8" customHeight="1" x14ac:dyDescent="0.3">
      <c r="A15" s="175"/>
      <c r="B15" s="176"/>
      <c r="C15" s="176"/>
      <c r="D15" s="176"/>
      <c r="E15" s="176"/>
      <c r="F15" s="177" t="s">
        <v>1610</v>
      </c>
      <c r="G15" s="176"/>
      <c r="H15" s="178"/>
    </row>
    <row r="16" spans="1:8" ht="19.8" customHeight="1" x14ac:dyDescent="0.3">
      <c r="A16" s="112">
        <v>45983</v>
      </c>
      <c r="B16" s="104" t="s">
        <v>458</v>
      </c>
      <c r="C16" s="105" t="s">
        <v>1556</v>
      </c>
      <c r="D16" s="104" t="s">
        <v>1551</v>
      </c>
      <c r="E16" s="113">
        <v>1.4375</v>
      </c>
      <c r="F16" s="104" t="s">
        <v>101</v>
      </c>
      <c r="G16" s="106">
        <v>7</v>
      </c>
      <c r="H16" s="107" t="s">
        <v>1564</v>
      </c>
    </row>
    <row r="17" spans="1:8" ht="19.8" customHeight="1" x14ac:dyDescent="0.3">
      <c r="A17" s="112">
        <v>45983</v>
      </c>
      <c r="B17" s="104" t="s">
        <v>385</v>
      </c>
      <c r="C17" s="105" t="s">
        <v>1566</v>
      </c>
      <c r="D17" s="104" t="s">
        <v>1551</v>
      </c>
      <c r="E17" s="113">
        <v>1.8125</v>
      </c>
      <c r="F17" s="104" t="s">
        <v>101</v>
      </c>
      <c r="G17" s="106">
        <v>9</v>
      </c>
      <c r="H17" s="107" t="s">
        <v>362</v>
      </c>
    </row>
    <row r="18" spans="1:8" ht="19.8" customHeight="1" x14ac:dyDescent="0.3">
      <c r="A18" s="114">
        <v>45983</v>
      </c>
      <c r="B18" s="115" t="s">
        <v>48</v>
      </c>
      <c r="C18" s="116" t="s">
        <v>1561</v>
      </c>
      <c r="D18" s="115" t="s">
        <v>1551</v>
      </c>
      <c r="E18" s="117">
        <v>1.8715277777777779</v>
      </c>
      <c r="F18" s="115" t="s">
        <v>50</v>
      </c>
      <c r="G18" s="118">
        <v>9</v>
      </c>
      <c r="H18" s="119" t="s">
        <v>1567</v>
      </c>
    </row>
    <row r="19" spans="1:8" ht="19.8" customHeight="1" x14ac:dyDescent="0.3">
      <c r="A19" s="175"/>
      <c r="B19" s="176"/>
      <c r="C19" s="176"/>
      <c r="D19" s="176"/>
      <c r="E19" s="176"/>
      <c r="F19" s="177" t="s">
        <v>1610</v>
      </c>
      <c r="G19" s="176"/>
      <c r="H19" s="178"/>
    </row>
    <row r="20" spans="1:8" ht="19.8" customHeight="1" x14ac:dyDescent="0.3">
      <c r="A20" s="112">
        <v>45984</v>
      </c>
      <c r="B20" s="104" t="s">
        <v>385</v>
      </c>
      <c r="C20" s="105" t="s">
        <v>1552</v>
      </c>
      <c r="D20" s="104" t="s">
        <v>1551</v>
      </c>
      <c r="E20" s="113">
        <v>1.489583333333333</v>
      </c>
      <c r="F20" s="104" t="s">
        <v>101</v>
      </c>
      <c r="G20" s="106">
        <v>6</v>
      </c>
      <c r="H20" s="107" t="s">
        <v>1372</v>
      </c>
    </row>
    <row r="21" spans="1:8" ht="19.8" customHeight="1" x14ac:dyDescent="0.3">
      <c r="A21" s="114">
        <v>45984</v>
      </c>
      <c r="B21" s="115" t="s">
        <v>77</v>
      </c>
      <c r="C21" s="116" t="s">
        <v>1553</v>
      </c>
      <c r="D21" s="115" t="s">
        <v>1551</v>
      </c>
      <c r="E21" s="117">
        <v>1.631944444444444</v>
      </c>
      <c r="F21" s="115" t="s">
        <v>101</v>
      </c>
      <c r="G21" s="118">
        <v>7</v>
      </c>
      <c r="H21" s="119" t="s">
        <v>1568</v>
      </c>
    </row>
    <row r="22" spans="1:8" ht="19.8" customHeight="1" x14ac:dyDescent="0.3">
      <c r="A22" s="175"/>
      <c r="B22" s="176"/>
      <c r="C22" s="176"/>
      <c r="D22" s="176"/>
      <c r="E22" s="176"/>
      <c r="F22" s="177" t="s">
        <v>1610</v>
      </c>
      <c r="G22" s="176"/>
      <c r="H22" s="178"/>
    </row>
    <row r="23" spans="1:8" ht="19.8" customHeight="1" x14ac:dyDescent="0.3">
      <c r="A23" s="112">
        <v>45985</v>
      </c>
      <c r="B23" s="104" t="s">
        <v>385</v>
      </c>
      <c r="C23" s="105" t="s">
        <v>1552</v>
      </c>
      <c r="D23" s="104" t="s">
        <v>1551</v>
      </c>
      <c r="E23" s="113">
        <v>1.489583333333333</v>
      </c>
      <c r="F23" s="104" t="s">
        <v>101</v>
      </c>
      <c r="G23" s="106">
        <v>6</v>
      </c>
      <c r="H23" s="107" t="s">
        <v>1372</v>
      </c>
    </row>
    <row r="24" spans="1:8" ht="19.8" customHeight="1" x14ac:dyDescent="0.3">
      <c r="A24" s="112">
        <v>45985</v>
      </c>
      <c r="B24" s="104" t="s">
        <v>388</v>
      </c>
      <c r="C24" s="105" t="s">
        <v>1558</v>
      </c>
      <c r="D24" s="104" t="s">
        <v>1551</v>
      </c>
      <c r="E24" s="113">
        <v>1.7673611111111109</v>
      </c>
      <c r="F24" s="104" t="s">
        <v>390</v>
      </c>
      <c r="G24" s="106">
        <v>9</v>
      </c>
      <c r="H24" s="107" t="s">
        <v>1570</v>
      </c>
    </row>
    <row r="25" spans="1:8" ht="19.8" customHeight="1" x14ac:dyDescent="0.3">
      <c r="A25" s="112">
        <v>45985</v>
      </c>
      <c r="B25" s="104" t="s">
        <v>48</v>
      </c>
      <c r="C25" s="105" t="s">
        <v>1561</v>
      </c>
      <c r="D25" s="104" t="s">
        <v>1551</v>
      </c>
      <c r="E25" s="113">
        <v>1.8715277777777779</v>
      </c>
      <c r="F25" s="104" t="s">
        <v>50</v>
      </c>
      <c r="G25" s="106">
        <v>9</v>
      </c>
      <c r="H25" s="107" t="s">
        <v>1562</v>
      </c>
    </row>
    <row r="26" spans="1:8" ht="19.8" customHeight="1" x14ac:dyDescent="0.3">
      <c r="A26" s="114">
        <v>45985</v>
      </c>
      <c r="B26" s="115" t="s">
        <v>388</v>
      </c>
      <c r="C26" s="116" t="s">
        <v>1558</v>
      </c>
      <c r="D26" s="115" t="s">
        <v>1551</v>
      </c>
      <c r="E26" s="117">
        <v>1.7673611111111109</v>
      </c>
      <c r="F26" s="115" t="s">
        <v>46</v>
      </c>
      <c r="G26" s="118">
        <v>9</v>
      </c>
      <c r="H26" s="119" t="s">
        <v>1571</v>
      </c>
    </row>
    <row r="27" spans="1:8" ht="19.8" customHeight="1" x14ac:dyDescent="0.3">
      <c r="A27" s="120">
        <v>45986</v>
      </c>
      <c r="B27" s="121" t="s">
        <v>77</v>
      </c>
      <c r="C27" s="122" t="s">
        <v>1599</v>
      </c>
      <c r="D27" s="121" t="s">
        <v>1598</v>
      </c>
      <c r="E27" s="123">
        <v>1.8576388888888891</v>
      </c>
      <c r="F27" s="121" t="s">
        <v>101</v>
      </c>
      <c r="G27" s="124">
        <v>9</v>
      </c>
      <c r="H27" s="125" t="s">
        <v>1600</v>
      </c>
    </row>
    <row r="28" spans="1:8" ht="19.8" customHeight="1" x14ac:dyDescent="0.3">
      <c r="A28" s="175"/>
      <c r="B28" s="176"/>
      <c r="C28" s="176"/>
      <c r="D28" s="176"/>
      <c r="E28" s="176"/>
      <c r="F28" s="177" t="s">
        <v>1610</v>
      </c>
      <c r="G28" s="176"/>
      <c r="H28" s="178"/>
    </row>
    <row r="29" spans="1:8" ht="19.8" customHeight="1" x14ac:dyDescent="0.3">
      <c r="A29" s="112">
        <v>45986</v>
      </c>
      <c r="B29" s="104" t="s">
        <v>458</v>
      </c>
      <c r="C29" s="105" t="s">
        <v>1556</v>
      </c>
      <c r="D29" s="104" t="s">
        <v>1551</v>
      </c>
      <c r="E29" s="113">
        <v>1.4375</v>
      </c>
      <c r="F29" s="104" t="s">
        <v>101</v>
      </c>
      <c r="G29" s="106">
        <v>9</v>
      </c>
      <c r="H29" s="107" t="s">
        <v>1572</v>
      </c>
    </row>
    <row r="30" spans="1:8" ht="19.8" customHeight="1" x14ac:dyDescent="0.3">
      <c r="A30" s="114">
        <v>45986</v>
      </c>
      <c r="B30" s="115" t="s">
        <v>385</v>
      </c>
      <c r="C30" s="116" t="s">
        <v>1552</v>
      </c>
      <c r="D30" s="115" t="s">
        <v>1551</v>
      </c>
      <c r="E30" s="117">
        <v>1.489583333333333</v>
      </c>
      <c r="F30" s="115" t="s">
        <v>101</v>
      </c>
      <c r="G30" s="118">
        <v>9</v>
      </c>
      <c r="H30" s="119" t="s">
        <v>1573</v>
      </c>
    </row>
    <row r="31" spans="1:8" ht="19.8" customHeight="1" x14ac:dyDescent="0.3">
      <c r="A31" s="175"/>
      <c r="B31" s="176"/>
      <c r="C31" s="176"/>
      <c r="D31" s="176"/>
      <c r="E31" s="176"/>
      <c r="F31" s="177" t="s">
        <v>1610</v>
      </c>
      <c r="G31" s="176"/>
      <c r="H31" s="178"/>
    </row>
    <row r="32" spans="1:8" ht="19.8" customHeight="1" x14ac:dyDescent="0.3">
      <c r="A32" s="112">
        <v>45987</v>
      </c>
      <c r="B32" s="104" t="s">
        <v>388</v>
      </c>
      <c r="C32" s="105" t="s">
        <v>1558</v>
      </c>
      <c r="D32" s="104" t="s">
        <v>1551</v>
      </c>
      <c r="E32" s="113">
        <v>1.7673611111111109</v>
      </c>
      <c r="F32" s="104" t="s">
        <v>390</v>
      </c>
      <c r="G32" s="106">
        <v>9</v>
      </c>
      <c r="H32" s="107" t="s">
        <v>1574</v>
      </c>
    </row>
    <row r="33" spans="1:8" ht="19.8" customHeight="1" x14ac:dyDescent="0.3">
      <c r="A33" s="112">
        <v>45987</v>
      </c>
      <c r="B33" s="104" t="s">
        <v>385</v>
      </c>
      <c r="C33" s="105" t="s">
        <v>1552</v>
      </c>
      <c r="D33" s="104" t="s">
        <v>1551</v>
      </c>
      <c r="E33" s="113">
        <v>1.489583333333333</v>
      </c>
      <c r="F33" s="104" t="s">
        <v>101</v>
      </c>
      <c r="G33" s="106">
        <v>7</v>
      </c>
      <c r="H33" s="107" t="s">
        <v>1576</v>
      </c>
    </row>
    <row r="34" spans="1:8" ht="19.8" customHeight="1" x14ac:dyDescent="0.3">
      <c r="A34" s="112">
        <v>45987</v>
      </c>
      <c r="B34" s="104" t="s">
        <v>388</v>
      </c>
      <c r="C34" s="105" t="s">
        <v>1558</v>
      </c>
      <c r="D34" s="104" t="s">
        <v>1551</v>
      </c>
      <c r="E34" s="113">
        <v>1.7673611111111109</v>
      </c>
      <c r="F34" s="104" t="s">
        <v>46</v>
      </c>
      <c r="G34" s="106">
        <v>9</v>
      </c>
      <c r="H34" s="107" t="s">
        <v>1575</v>
      </c>
    </row>
    <row r="35" spans="1:8" ht="19.8" customHeight="1" x14ac:dyDescent="0.3">
      <c r="A35" s="112">
        <v>45987</v>
      </c>
      <c r="B35" s="104" t="s">
        <v>458</v>
      </c>
      <c r="C35" s="105" t="s">
        <v>1556</v>
      </c>
      <c r="D35" s="104" t="s">
        <v>1551</v>
      </c>
      <c r="E35" s="113">
        <v>1.4548611111111109</v>
      </c>
      <c r="F35" s="104" t="s">
        <v>101</v>
      </c>
      <c r="G35" s="106">
        <v>4</v>
      </c>
      <c r="H35" s="107" t="s">
        <v>1577</v>
      </c>
    </row>
    <row r="36" spans="1:8" ht="19.8" customHeight="1" x14ac:dyDescent="0.3">
      <c r="A36" s="114">
        <v>45987</v>
      </c>
      <c r="B36" s="115" t="s">
        <v>48</v>
      </c>
      <c r="C36" s="116" t="s">
        <v>1561</v>
      </c>
      <c r="D36" s="115" t="s">
        <v>1551</v>
      </c>
      <c r="E36" s="117">
        <v>1.8715277777777779</v>
      </c>
      <c r="F36" s="115" t="s">
        <v>50</v>
      </c>
      <c r="G36" s="118">
        <v>9</v>
      </c>
      <c r="H36" s="119" t="s">
        <v>1578</v>
      </c>
    </row>
    <row r="37" spans="1:8" ht="19.8" customHeight="1" x14ac:dyDescent="0.3">
      <c r="A37" s="175"/>
      <c r="B37" s="176"/>
      <c r="C37" s="176"/>
      <c r="D37" s="176"/>
      <c r="E37" s="176"/>
      <c r="F37" s="177" t="s">
        <v>1610</v>
      </c>
      <c r="G37" s="176"/>
      <c r="H37" s="178"/>
    </row>
    <row r="38" spans="1:8" ht="19.8" customHeight="1" x14ac:dyDescent="0.3">
      <c r="A38" s="112">
        <v>45988</v>
      </c>
      <c r="B38" s="104" t="s">
        <v>388</v>
      </c>
      <c r="C38" s="105" t="s">
        <v>1558</v>
      </c>
      <c r="D38" s="104" t="s">
        <v>1551</v>
      </c>
      <c r="E38" s="113">
        <v>1.7673611111111109</v>
      </c>
      <c r="F38" s="104" t="s">
        <v>390</v>
      </c>
      <c r="G38" s="106">
        <v>9</v>
      </c>
      <c r="H38" s="107" t="s">
        <v>1579</v>
      </c>
    </row>
    <row r="39" spans="1:8" ht="19.8" customHeight="1" x14ac:dyDescent="0.3">
      <c r="A39" s="112">
        <v>45988</v>
      </c>
      <c r="B39" s="104" t="s">
        <v>385</v>
      </c>
      <c r="C39" s="105" t="s">
        <v>1552</v>
      </c>
      <c r="D39" s="104" t="s">
        <v>1551</v>
      </c>
      <c r="E39" s="113">
        <v>1.489583333333333</v>
      </c>
      <c r="F39" s="104" t="s">
        <v>101</v>
      </c>
      <c r="G39" s="106">
        <v>3</v>
      </c>
      <c r="H39" s="107" t="s">
        <v>1581</v>
      </c>
    </row>
    <row r="40" spans="1:8" ht="19.8" customHeight="1" x14ac:dyDescent="0.3">
      <c r="A40" s="112">
        <v>45988</v>
      </c>
      <c r="B40" s="104" t="s">
        <v>77</v>
      </c>
      <c r="C40" s="105" t="s">
        <v>1553</v>
      </c>
      <c r="D40" s="104" t="s">
        <v>1551</v>
      </c>
      <c r="E40" s="113">
        <v>1.631944444444444</v>
      </c>
      <c r="F40" s="104" t="s">
        <v>101</v>
      </c>
      <c r="G40" s="106">
        <v>9</v>
      </c>
      <c r="H40" s="107" t="s">
        <v>366</v>
      </c>
    </row>
    <row r="41" spans="1:8" ht="19.8" customHeight="1" x14ac:dyDescent="0.3">
      <c r="A41" s="112">
        <v>45988</v>
      </c>
      <c r="B41" s="104" t="s">
        <v>388</v>
      </c>
      <c r="C41" s="105" t="s">
        <v>1558</v>
      </c>
      <c r="D41" s="104" t="s">
        <v>1551</v>
      </c>
      <c r="E41" s="113">
        <v>1.7673611111111109</v>
      </c>
      <c r="F41" s="104" t="s">
        <v>46</v>
      </c>
      <c r="G41" s="106">
        <v>9</v>
      </c>
      <c r="H41" s="107" t="s">
        <v>1580</v>
      </c>
    </row>
    <row r="42" spans="1:8" ht="19.8" customHeight="1" x14ac:dyDescent="0.3">
      <c r="A42" s="112">
        <v>45988</v>
      </c>
      <c r="B42" s="104" t="s">
        <v>458</v>
      </c>
      <c r="C42" s="105" t="s">
        <v>1556</v>
      </c>
      <c r="D42" s="104" t="s">
        <v>1551</v>
      </c>
      <c r="E42" s="113">
        <v>1.4548611111111109</v>
      </c>
      <c r="F42" s="104" t="s">
        <v>101</v>
      </c>
      <c r="G42" s="106">
        <v>4</v>
      </c>
      <c r="H42" s="107" t="s">
        <v>521</v>
      </c>
    </row>
    <row r="43" spans="1:8" ht="19.8" customHeight="1" x14ac:dyDescent="0.3">
      <c r="A43" s="114">
        <v>45988</v>
      </c>
      <c r="B43" s="115" t="s">
        <v>48</v>
      </c>
      <c r="C43" s="116" t="s">
        <v>1561</v>
      </c>
      <c r="D43" s="115" t="s">
        <v>1551</v>
      </c>
      <c r="E43" s="117">
        <v>1.8715277777777779</v>
      </c>
      <c r="F43" s="115" t="s">
        <v>50</v>
      </c>
      <c r="G43" s="118">
        <v>9</v>
      </c>
      <c r="H43" s="119" t="s">
        <v>1583</v>
      </c>
    </row>
    <row r="44" spans="1:8" ht="19.8" customHeight="1" x14ac:dyDescent="0.3">
      <c r="A44" s="175"/>
      <c r="B44" s="176"/>
      <c r="C44" s="176"/>
      <c r="D44" s="176"/>
      <c r="E44" s="176"/>
      <c r="F44" s="177" t="s">
        <v>1610</v>
      </c>
      <c r="G44" s="176"/>
      <c r="H44" s="178"/>
    </row>
    <row r="45" spans="1:8" ht="19.8" customHeight="1" x14ac:dyDescent="0.3">
      <c r="A45" s="112">
        <v>45989</v>
      </c>
      <c r="B45" s="104" t="s">
        <v>385</v>
      </c>
      <c r="C45" s="105" t="s">
        <v>1552</v>
      </c>
      <c r="D45" s="104" t="s">
        <v>1551</v>
      </c>
      <c r="E45" s="113">
        <v>1.489583333333333</v>
      </c>
      <c r="F45" s="104" t="s">
        <v>101</v>
      </c>
      <c r="G45" s="106">
        <v>9</v>
      </c>
      <c r="H45" s="107" t="s">
        <v>1584</v>
      </c>
    </row>
    <row r="46" spans="1:8" ht="19.8" customHeight="1" x14ac:dyDescent="0.3">
      <c r="A46" s="112">
        <v>45989</v>
      </c>
      <c r="B46" s="104" t="s">
        <v>458</v>
      </c>
      <c r="C46" s="105" t="s">
        <v>1556</v>
      </c>
      <c r="D46" s="104" t="s">
        <v>1551</v>
      </c>
      <c r="E46" s="113">
        <v>1.697916666666667</v>
      </c>
      <c r="F46" s="104" t="s">
        <v>101</v>
      </c>
      <c r="G46" s="106">
        <v>3</v>
      </c>
      <c r="H46" s="107" t="s">
        <v>1585</v>
      </c>
    </row>
    <row r="47" spans="1:8" ht="19.8" customHeight="1" x14ac:dyDescent="0.3">
      <c r="A47" s="112">
        <v>45989</v>
      </c>
      <c r="B47" s="104" t="s">
        <v>77</v>
      </c>
      <c r="C47" s="105" t="s">
        <v>1553</v>
      </c>
      <c r="D47" s="104" t="s">
        <v>1551</v>
      </c>
      <c r="E47" s="113">
        <v>1.8298611111111109</v>
      </c>
      <c r="F47" s="104" t="s">
        <v>101</v>
      </c>
      <c r="G47" s="106">
        <v>3</v>
      </c>
      <c r="H47" s="107" t="s">
        <v>1586</v>
      </c>
    </row>
    <row r="48" spans="1:8" ht="19.8" customHeight="1" x14ac:dyDescent="0.3">
      <c r="A48" s="114">
        <v>45989</v>
      </c>
      <c r="B48" s="115" t="s">
        <v>48</v>
      </c>
      <c r="C48" s="116" t="s">
        <v>1561</v>
      </c>
      <c r="D48" s="115" t="s">
        <v>1551</v>
      </c>
      <c r="E48" s="117">
        <v>1.8715277777777779</v>
      </c>
      <c r="F48" s="115" t="s">
        <v>50</v>
      </c>
      <c r="G48" s="118">
        <v>9</v>
      </c>
      <c r="H48" s="119" t="s">
        <v>544</v>
      </c>
    </row>
    <row r="49" spans="1:8" ht="19.8" customHeight="1" x14ac:dyDescent="0.3">
      <c r="A49" s="120">
        <v>45990</v>
      </c>
      <c r="B49" s="121" t="s">
        <v>77</v>
      </c>
      <c r="C49" s="122" t="s">
        <v>1599</v>
      </c>
      <c r="D49" s="121" t="s">
        <v>1598</v>
      </c>
      <c r="E49" s="123">
        <v>1.6909722222222221</v>
      </c>
      <c r="F49" s="121" t="s">
        <v>101</v>
      </c>
      <c r="G49" s="124">
        <v>9</v>
      </c>
      <c r="H49" s="125" t="s">
        <v>143</v>
      </c>
    </row>
    <row r="50" spans="1:8" ht="19.8" customHeight="1" x14ac:dyDescent="0.3">
      <c r="A50" s="175"/>
      <c r="B50" s="176"/>
      <c r="C50" s="176"/>
      <c r="D50" s="176"/>
      <c r="E50" s="176"/>
      <c r="F50" s="177" t="s">
        <v>1610</v>
      </c>
      <c r="G50" s="176"/>
      <c r="H50" s="178"/>
    </row>
    <row r="51" spans="1:8" ht="19.8" customHeight="1" x14ac:dyDescent="0.3">
      <c r="A51" s="112">
        <v>45990</v>
      </c>
      <c r="B51" s="104" t="s">
        <v>385</v>
      </c>
      <c r="C51" s="105" t="s">
        <v>1566</v>
      </c>
      <c r="D51" s="104" t="s">
        <v>1551</v>
      </c>
      <c r="E51" s="113">
        <v>1.8402777777777779</v>
      </c>
      <c r="F51" s="104" t="s">
        <v>101</v>
      </c>
      <c r="G51" s="106">
        <v>9</v>
      </c>
      <c r="H51" s="107" t="s">
        <v>1589</v>
      </c>
    </row>
    <row r="52" spans="1:8" ht="19.8" customHeight="1" x14ac:dyDescent="0.3">
      <c r="A52" s="114">
        <v>45990</v>
      </c>
      <c r="B52" s="115" t="s">
        <v>48</v>
      </c>
      <c r="C52" s="116" t="s">
        <v>1561</v>
      </c>
      <c r="D52" s="115" t="s">
        <v>1551</v>
      </c>
      <c r="E52" s="117">
        <v>1.868055555555556</v>
      </c>
      <c r="F52" s="115" t="s">
        <v>50</v>
      </c>
      <c r="G52" s="118">
        <v>9</v>
      </c>
      <c r="H52" s="119" t="s">
        <v>544</v>
      </c>
    </row>
    <row r="53" spans="1:8" ht="19.8" customHeight="1" x14ac:dyDescent="0.3">
      <c r="A53" s="175"/>
      <c r="B53" s="176"/>
      <c r="C53" s="176"/>
      <c r="D53" s="176"/>
      <c r="E53" s="176"/>
      <c r="F53" s="177" t="s">
        <v>1610</v>
      </c>
      <c r="G53" s="176"/>
      <c r="H53" s="178"/>
    </row>
    <row r="54" spans="1:8" ht="19.8" customHeight="1" x14ac:dyDescent="0.3">
      <c r="A54" s="112">
        <v>45991</v>
      </c>
      <c r="B54" s="104" t="s">
        <v>385</v>
      </c>
      <c r="C54" s="105" t="s">
        <v>1552</v>
      </c>
      <c r="D54" s="104" t="s">
        <v>1551</v>
      </c>
      <c r="E54" s="113">
        <v>1.489583333333333</v>
      </c>
      <c r="F54" s="104" t="s">
        <v>101</v>
      </c>
      <c r="G54" s="106">
        <v>5</v>
      </c>
      <c r="H54" s="107" t="s">
        <v>1581</v>
      </c>
    </row>
    <row r="55" spans="1:8" ht="19.8" customHeight="1" x14ac:dyDescent="0.3">
      <c r="A55" s="112">
        <v>45991</v>
      </c>
      <c r="B55" s="104" t="s">
        <v>77</v>
      </c>
      <c r="C55" s="105" t="s">
        <v>1553</v>
      </c>
      <c r="D55" s="104" t="s">
        <v>1551</v>
      </c>
      <c r="E55" s="113">
        <v>1.631944444444444</v>
      </c>
      <c r="F55" s="104" t="s">
        <v>101</v>
      </c>
      <c r="G55" s="106">
        <v>6</v>
      </c>
      <c r="H55" s="107" t="s">
        <v>366</v>
      </c>
    </row>
    <row r="56" spans="1:8" ht="19.8" customHeight="1" x14ac:dyDescent="0.3">
      <c r="A56" s="114">
        <v>45991</v>
      </c>
      <c r="B56" s="115" t="s">
        <v>458</v>
      </c>
      <c r="C56" s="116" t="s">
        <v>1556</v>
      </c>
      <c r="D56" s="115" t="s">
        <v>1551</v>
      </c>
      <c r="E56" s="117">
        <v>1.4375</v>
      </c>
      <c r="F56" s="115" t="s">
        <v>101</v>
      </c>
      <c r="G56" s="118">
        <v>7</v>
      </c>
      <c r="H56" s="119" t="s">
        <v>151</v>
      </c>
    </row>
  </sheetData>
  <pageMargins left="0.75" right="0.75" top="1" bottom="1" header="0.5" footer="0.5"/>
  <legacy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N37"/>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82.5546875" bestFit="1" customWidth="1"/>
  </cols>
  <sheetData>
    <row r="1" spans="1:92" ht="28.8" customHeight="1" x14ac:dyDescent="0.3">
      <c r="A1" s="303" t="s">
        <v>0</v>
      </c>
      <c r="B1" s="302"/>
      <c r="C1" s="302"/>
      <c r="D1" s="302"/>
      <c r="E1" s="302"/>
      <c r="F1" s="1" t="s">
        <v>1611</v>
      </c>
      <c r="G1" s="2" t="s">
        <v>2</v>
      </c>
      <c r="H1" s="301">
        <v>45981</v>
      </c>
      <c r="I1" s="302"/>
      <c r="J1" s="302"/>
      <c r="K1" s="302"/>
      <c r="L1" s="302"/>
      <c r="M1" s="1" t="s">
        <v>3</v>
      </c>
      <c r="N1" s="310">
        <v>45991</v>
      </c>
      <c r="O1" s="302"/>
      <c r="P1" s="302"/>
      <c r="Q1" s="302"/>
      <c r="R1" s="302"/>
      <c r="CA1" s="3"/>
      <c r="CB1" s="3"/>
      <c r="CC1" s="3"/>
      <c r="CD1" s="3"/>
      <c r="CE1" s="3"/>
      <c r="CF1" s="3"/>
      <c r="CG1" s="3"/>
      <c r="CH1" s="3"/>
      <c r="CI1" s="3"/>
      <c r="CJ1" s="3"/>
      <c r="CK1" s="3"/>
      <c r="CL1" s="3"/>
      <c r="CM1" s="3"/>
      <c r="CN1" s="3"/>
    </row>
    <row r="2" spans="1:92" ht="23.4" customHeight="1" x14ac:dyDescent="0.3">
      <c r="A2" s="306" t="s">
        <v>4</v>
      </c>
      <c r="B2" s="302"/>
      <c r="C2" s="302"/>
      <c r="D2" s="302"/>
      <c r="E2" s="302"/>
      <c r="F2" s="302"/>
      <c r="G2" s="308">
        <v>45980.583926057727</v>
      </c>
      <c r="H2" s="302"/>
      <c r="I2" s="302"/>
      <c r="J2" s="302"/>
      <c r="K2" s="311">
        <v>45980.583926058047</v>
      </c>
      <c r="L2" s="302"/>
      <c r="M2" s="302"/>
      <c r="N2" s="302"/>
      <c r="O2" s="302"/>
      <c r="P2" s="302"/>
      <c r="Q2" s="302"/>
      <c r="R2" s="302"/>
      <c r="CA2" s="3"/>
      <c r="CB2" s="3"/>
      <c r="CC2" s="3"/>
      <c r="CD2" s="3"/>
      <c r="CE2" s="3"/>
      <c r="CF2" s="3"/>
      <c r="CG2" s="3"/>
      <c r="CH2" s="3"/>
      <c r="CI2" s="3"/>
      <c r="CJ2" s="3"/>
      <c r="CK2" s="3"/>
      <c r="CL2" s="3"/>
      <c r="CM2" s="3"/>
      <c r="CN2" s="3"/>
    </row>
    <row r="3" spans="1:92" ht="24" customHeight="1" x14ac:dyDescent="0.3">
      <c r="A3" s="307" t="s">
        <v>5</v>
      </c>
      <c r="B3" s="302"/>
      <c r="C3" s="302"/>
      <c r="D3" s="302"/>
      <c r="E3" s="302"/>
      <c r="F3" s="302"/>
      <c r="G3" s="302"/>
      <c r="H3" s="302"/>
      <c r="I3" s="302"/>
      <c r="J3" s="302"/>
      <c r="K3" s="302"/>
      <c r="L3" s="302"/>
      <c r="M3" s="302"/>
      <c r="N3" s="302"/>
      <c r="O3" s="302"/>
      <c r="P3" s="302"/>
      <c r="Q3" s="302"/>
      <c r="R3" s="302"/>
      <c r="CA3" s="3"/>
      <c r="CB3" s="3"/>
      <c r="CC3" s="3"/>
      <c r="CD3" s="3"/>
      <c r="CE3" s="3"/>
      <c r="CF3" s="3"/>
      <c r="CG3" s="3"/>
      <c r="CH3" s="3"/>
      <c r="CI3" s="3"/>
      <c r="CJ3" s="3"/>
      <c r="CK3" s="3"/>
      <c r="CL3" s="3"/>
      <c r="CM3" s="3"/>
      <c r="CN3" s="3"/>
    </row>
    <row r="4" spans="1:92" ht="22.05" customHeight="1" x14ac:dyDescent="0.3">
      <c r="A4" s="309" t="s">
        <v>6</v>
      </c>
      <c r="B4" s="295"/>
      <c r="C4" s="295"/>
      <c r="D4" s="295"/>
      <c r="E4" s="295"/>
      <c r="F4" s="296"/>
      <c r="G4" s="4">
        <v>45981</v>
      </c>
      <c r="H4" s="305" t="s">
        <v>7</v>
      </c>
      <c r="I4" s="295"/>
      <c r="J4" s="295"/>
      <c r="K4" s="295"/>
      <c r="L4" s="295"/>
      <c r="M4" s="295"/>
      <c r="N4" s="295"/>
      <c r="O4" s="295"/>
      <c r="P4" s="295"/>
      <c r="Q4" s="295"/>
      <c r="R4" s="296"/>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385</v>
      </c>
      <c r="B6" s="8" t="s">
        <v>1612</v>
      </c>
      <c r="C6" s="9">
        <v>0.33680555555555558</v>
      </c>
      <c r="D6" s="8" t="s">
        <v>101</v>
      </c>
      <c r="E6" s="8" t="s">
        <v>63</v>
      </c>
      <c r="F6" s="8" t="s">
        <v>1572</v>
      </c>
      <c r="G6" s="304"/>
      <c r="H6" s="10"/>
      <c r="I6" s="11"/>
      <c r="J6" s="11"/>
      <c r="K6" s="11"/>
      <c r="L6" s="11"/>
      <c r="M6" s="11"/>
      <c r="N6" s="11"/>
      <c r="O6" s="12"/>
      <c r="P6" s="11"/>
      <c r="Q6" s="13"/>
      <c r="R6" s="14"/>
    </row>
    <row r="7" spans="1:92" ht="49.95" customHeight="1" x14ac:dyDescent="0.3">
      <c r="A7" s="19" t="s">
        <v>388</v>
      </c>
      <c r="B7" s="19" t="s">
        <v>1613</v>
      </c>
      <c r="C7" s="20">
        <v>0.98263888888888884</v>
      </c>
      <c r="D7" s="19" t="s">
        <v>390</v>
      </c>
      <c r="E7" s="19" t="s">
        <v>138</v>
      </c>
      <c r="F7" s="19" t="s">
        <v>1614</v>
      </c>
      <c r="G7" s="298"/>
      <c r="H7" s="10"/>
      <c r="I7" s="11"/>
      <c r="J7" s="11"/>
      <c r="K7" s="11"/>
      <c r="L7" s="11"/>
      <c r="M7" s="11"/>
      <c r="N7" s="11"/>
      <c r="O7" s="12"/>
      <c r="P7" s="11"/>
      <c r="Q7" s="13"/>
      <c r="R7" s="14"/>
    </row>
    <row r="8" spans="1:92" ht="49.95" customHeight="1" x14ac:dyDescent="0.3">
      <c r="A8" s="15" t="s">
        <v>388</v>
      </c>
      <c r="B8" s="15" t="s">
        <v>1613</v>
      </c>
      <c r="C8" s="16">
        <v>0.98263888888888884</v>
      </c>
      <c r="D8" s="15" t="s">
        <v>46</v>
      </c>
      <c r="E8" s="15" t="s">
        <v>38</v>
      </c>
      <c r="F8" s="15" t="s">
        <v>1615</v>
      </c>
      <c r="G8" s="298"/>
      <c r="H8" s="10"/>
      <c r="I8" s="11"/>
      <c r="J8" s="11"/>
      <c r="K8" s="11"/>
      <c r="L8" s="11"/>
      <c r="M8" s="11"/>
      <c r="N8" s="11"/>
      <c r="O8" s="12"/>
      <c r="P8" s="11"/>
      <c r="Q8" s="13"/>
      <c r="R8" s="14"/>
    </row>
    <row r="9" spans="1:92" ht="49.95" customHeight="1" thickBot="1" x14ac:dyDescent="0.35">
      <c r="A9" s="46" t="s">
        <v>77</v>
      </c>
      <c r="B9" s="46" t="s">
        <v>1616</v>
      </c>
      <c r="C9" s="47">
        <v>0.8125</v>
      </c>
      <c r="D9" s="46" t="s">
        <v>101</v>
      </c>
      <c r="E9" s="46" t="s">
        <v>111</v>
      </c>
      <c r="F9" s="46" t="s">
        <v>1617</v>
      </c>
      <c r="G9" s="299"/>
      <c r="H9" s="48" t="s">
        <v>1618</v>
      </c>
      <c r="I9" s="257">
        <v>0.72629999999999995</v>
      </c>
      <c r="J9" s="50">
        <v>130</v>
      </c>
      <c r="K9" s="51">
        <v>45979</v>
      </c>
      <c r="L9" s="50">
        <v>32</v>
      </c>
      <c r="M9" s="50">
        <v>0</v>
      </c>
      <c r="N9" s="50">
        <v>7</v>
      </c>
      <c r="O9" s="52" t="s">
        <v>280</v>
      </c>
      <c r="P9" s="53">
        <v>0.8125</v>
      </c>
      <c r="Q9" s="50">
        <v>179</v>
      </c>
      <c r="R9" s="54" t="s">
        <v>1619</v>
      </c>
    </row>
    <row r="10" spans="1:92" ht="17.399999999999999" customHeight="1" thickBot="1" x14ac:dyDescent="0.35">
      <c r="A10" s="329"/>
      <c r="B10" s="330"/>
      <c r="C10" s="330"/>
      <c r="D10" s="330"/>
      <c r="E10" s="330"/>
      <c r="F10" s="330"/>
      <c r="G10" s="330"/>
      <c r="H10" s="330"/>
      <c r="I10" s="330"/>
      <c r="J10" s="330"/>
      <c r="K10" s="330"/>
      <c r="L10" s="330"/>
      <c r="M10" s="330"/>
      <c r="N10" s="330"/>
      <c r="O10" s="330"/>
      <c r="P10" s="330"/>
      <c r="Q10" s="330"/>
      <c r="R10" s="331"/>
    </row>
    <row r="11" spans="1:92" ht="22.05" customHeight="1" thickTop="1" thickBot="1" x14ac:dyDescent="0.35">
      <c r="A11" s="300" t="s">
        <v>6</v>
      </c>
      <c r="B11" s="295"/>
      <c r="C11" s="295"/>
      <c r="D11" s="295"/>
      <c r="E11" s="295"/>
      <c r="F11" s="296"/>
      <c r="G11" s="31">
        <v>45983</v>
      </c>
      <c r="H11" s="294" t="s">
        <v>7</v>
      </c>
      <c r="I11" s="295"/>
      <c r="J11" s="295"/>
      <c r="K11" s="295"/>
      <c r="L11" s="295"/>
      <c r="M11" s="295"/>
      <c r="N11" s="295"/>
      <c r="O11" s="295"/>
      <c r="P11" s="295"/>
      <c r="Q11" s="295"/>
      <c r="R11" s="296"/>
    </row>
    <row r="12" spans="1:92" ht="24" customHeight="1" x14ac:dyDescent="0.3">
      <c r="A12" s="32" t="s">
        <v>8</v>
      </c>
      <c r="B12" s="32" t="s">
        <v>9</v>
      </c>
      <c r="C12" s="33" t="s">
        <v>10</v>
      </c>
      <c r="D12" s="32" t="s">
        <v>11</v>
      </c>
      <c r="E12" s="32" t="s">
        <v>12</v>
      </c>
      <c r="F12" s="34" t="s">
        <v>13</v>
      </c>
      <c r="G12" s="35" t="s">
        <v>14</v>
      </c>
      <c r="H12" s="32" t="s">
        <v>15</v>
      </c>
      <c r="I12" s="36" t="s">
        <v>16</v>
      </c>
      <c r="J12" s="37" t="s">
        <v>17</v>
      </c>
      <c r="K12" s="38" t="s">
        <v>18</v>
      </c>
      <c r="L12" s="37" t="s">
        <v>19</v>
      </c>
      <c r="M12" s="37" t="s">
        <v>20</v>
      </c>
      <c r="N12" s="37" t="s">
        <v>21</v>
      </c>
      <c r="O12" s="32" t="s">
        <v>22</v>
      </c>
      <c r="P12" s="33" t="s">
        <v>23</v>
      </c>
      <c r="Q12" s="37" t="s">
        <v>24</v>
      </c>
      <c r="R12" s="32" t="s">
        <v>25</v>
      </c>
    </row>
    <row r="13" spans="1:92" ht="49.95" customHeight="1" x14ac:dyDescent="0.3">
      <c r="A13" s="154" t="s">
        <v>77</v>
      </c>
      <c r="B13" s="154" t="s">
        <v>1616</v>
      </c>
      <c r="C13" s="155">
        <v>0.8125</v>
      </c>
      <c r="D13" s="154" t="s">
        <v>101</v>
      </c>
      <c r="E13" s="154" t="s">
        <v>63</v>
      </c>
      <c r="F13" s="154" t="s">
        <v>1617</v>
      </c>
      <c r="G13" s="304"/>
      <c r="H13" s="157" t="s">
        <v>1618</v>
      </c>
      <c r="I13" s="229">
        <v>0.77649999999999997</v>
      </c>
      <c r="J13" s="159">
        <v>139</v>
      </c>
      <c r="K13" s="160">
        <v>45980</v>
      </c>
      <c r="L13" s="159">
        <v>66</v>
      </c>
      <c r="M13" s="159">
        <v>3</v>
      </c>
      <c r="N13" s="159">
        <v>5</v>
      </c>
      <c r="O13" s="161" t="s">
        <v>597</v>
      </c>
      <c r="P13" s="162">
        <v>0.8125</v>
      </c>
      <c r="Q13" s="159">
        <v>179</v>
      </c>
      <c r="R13" s="163" t="s">
        <v>1620</v>
      </c>
    </row>
    <row r="14" spans="1:92" ht="49.95" customHeight="1" thickBot="1" x14ac:dyDescent="0.35">
      <c r="A14" s="231" t="s">
        <v>385</v>
      </c>
      <c r="B14" s="231" t="s">
        <v>1612</v>
      </c>
      <c r="C14" s="232">
        <v>0.33680555555555558</v>
      </c>
      <c r="D14" s="231" t="s">
        <v>101</v>
      </c>
      <c r="E14" s="231" t="s">
        <v>139</v>
      </c>
      <c r="F14" s="231" t="s">
        <v>1621</v>
      </c>
      <c r="G14" s="299"/>
      <c r="H14" s="41"/>
      <c r="I14" s="42"/>
      <c r="J14" s="42"/>
      <c r="K14" s="42"/>
      <c r="L14" s="42"/>
      <c r="M14" s="42"/>
      <c r="N14" s="42"/>
      <c r="O14" s="43"/>
      <c r="P14" s="42"/>
      <c r="Q14" s="44"/>
      <c r="R14" s="45"/>
    </row>
    <row r="15" spans="1:92" ht="17.399999999999999" customHeight="1" thickBot="1" x14ac:dyDescent="0.35">
      <c r="A15" s="329"/>
      <c r="B15" s="330"/>
      <c r="C15" s="330"/>
      <c r="D15" s="330"/>
      <c r="E15" s="330"/>
      <c r="F15" s="330"/>
      <c r="G15" s="330"/>
      <c r="H15" s="330"/>
      <c r="I15" s="330"/>
      <c r="J15" s="330"/>
      <c r="K15" s="330"/>
      <c r="L15" s="330"/>
      <c r="M15" s="330"/>
      <c r="N15" s="330"/>
      <c r="O15" s="330"/>
      <c r="P15" s="330"/>
      <c r="Q15" s="330"/>
      <c r="R15" s="331"/>
    </row>
    <row r="16" spans="1:92" ht="22.05" customHeight="1" thickTop="1" thickBot="1" x14ac:dyDescent="0.35">
      <c r="A16" s="300" t="s">
        <v>6</v>
      </c>
      <c r="B16" s="295"/>
      <c r="C16" s="295"/>
      <c r="D16" s="295"/>
      <c r="E16" s="295"/>
      <c r="F16" s="296"/>
      <c r="G16" s="31">
        <v>45986</v>
      </c>
      <c r="H16" s="294" t="s">
        <v>7</v>
      </c>
      <c r="I16" s="295"/>
      <c r="J16" s="295"/>
      <c r="K16" s="295"/>
      <c r="L16" s="295"/>
      <c r="M16" s="295"/>
      <c r="N16" s="295"/>
      <c r="O16" s="295"/>
      <c r="P16" s="295"/>
      <c r="Q16" s="295"/>
      <c r="R16" s="296"/>
    </row>
    <row r="17" spans="1:18" ht="24" customHeight="1" x14ac:dyDescent="0.3">
      <c r="A17" s="32" t="s">
        <v>8</v>
      </c>
      <c r="B17" s="32" t="s">
        <v>9</v>
      </c>
      <c r="C17" s="33" t="s">
        <v>10</v>
      </c>
      <c r="D17" s="32" t="s">
        <v>11</v>
      </c>
      <c r="E17" s="32" t="s">
        <v>12</v>
      </c>
      <c r="F17" s="34" t="s">
        <v>13</v>
      </c>
      <c r="G17" s="35" t="s">
        <v>14</v>
      </c>
      <c r="H17" s="32" t="s">
        <v>15</v>
      </c>
      <c r="I17" s="36" t="s">
        <v>16</v>
      </c>
      <c r="J17" s="37" t="s">
        <v>17</v>
      </c>
      <c r="K17" s="38" t="s">
        <v>18</v>
      </c>
      <c r="L17" s="37" t="s">
        <v>19</v>
      </c>
      <c r="M17" s="37" t="s">
        <v>20</v>
      </c>
      <c r="N17" s="37" t="s">
        <v>21</v>
      </c>
      <c r="O17" s="32" t="s">
        <v>22</v>
      </c>
      <c r="P17" s="33" t="s">
        <v>23</v>
      </c>
      <c r="Q17" s="37" t="s">
        <v>24</v>
      </c>
      <c r="R17" s="32" t="s">
        <v>25</v>
      </c>
    </row>
    <row r="18" spans="1:18" ht="49.95" customHeight="1" thickTop="1" thickBot="1" x14ac:dyDescent="0.5">
      <c r="A18" s="246" t="s">
        <v>385</v>
      </c>
      <c r="B18" s="246" t="s">
        <v>1612</v>
      </c>
      <c r="C18" s="247">
        <v>0.33680555555555558</v>
      </c>
      <c r="D18" s="246" t="s">
        <v>101</v>
      </c>
      <c r="E18" s="246" t="s">
        <v>63</v>
      </c>
      <c r="F18" s="246" t="s">
        <v>1622</v>
      </c>
      <c r="G18" s="297"/>
      <c r="H18" s="41"/>
      <c r="I18" s="42"/>
      <c r="J18" s="42"/>
      <c r="K18" s="42"/>
      <c r="L18" s="42"/>
      <c r="M18" s="42"/>
      <c r="N18" s="42"/>
      <c r="O18" s="43"/>
      <c r="P18" s="42"/>
      <c r="Q18" s="44"/>
      <c r="R18" s="45"/>
    </row>
    <row r="19" spans="1:18" ht="17.399999999999999" customHeight="1" thickBot="1" x14ac:dyDescent="0.35">
      <c r="A19" s="329"/>
      <c r="B19" s="330"/>
      <c r="C19" s="330"/>
      <c r="D19" s="330"/>
      <c r="E19" s="330"/>
      <c r="F19" s="330"/>
      <c r="G19" s="330"/>
      <c r="H19" s="330"/>
      <c r="I19" s="330"/>
      <c r="J19" s="330"/>
      <c r="K19" s="330"/>
      <c r="L19" s="330"/>
      <c r="M19" s="330"/>
      <c r="N19" s="330"/>
      <c r="O19" s="330"/>
      <c r="P19" s="330"/>
      <c r="Q19" s="330"/>
      <c r="R19" s="331"/>
    </row>
    <row r="20" spans="1:18" ht="22.05" customHeight="1" thickTop="1" thickBot="1" x14ac:dyDescent="0.35">
      <c r="A20" s="300" t="s">
        <v>6</v>
      </c>
      <c r="B20" s="295"/>
      <c r="C20" s="295"/>
      <c r="D20" s="295"/>
      <c r="E20" s="295"/>
      <c r="F20" s="296"/>
      <c r="G20" s="31">
        <v>45987</v>
      </c>
      <c r="H20" s="294" t="s">
        <v>7</v>
      </c>
      <c r="I20" s="295"/>
      <c r="J20" s="295"/>
      <c r="K20" s="295"/>
      <c r="L20" s="295"/>
      <c r="M20" s="295"/>
      <c r="N20" s="295"/>
      <c r="O20" s="295"/>
      <c r="P20" s="295"/>
      <c r="Q20" s="295"/>
      <c r="R20" s="296"/>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49.95" customHeight="1" x14ac:dyDescent="0.3">
      <c r="A22" s="8" t="s">
        <v>388</v>
      </c>
      <c r="B22" s="8" t="s">
        <v>1613</v>
      </c>
      <c r="C22" s="9">
        <v>0.98263888888888884</v>
      </c>
      <c r="D22" s="8" t="s">
        <v>390</v>
      </c>
      <c r="E22" s="8" t="s">
        <v>138</v>
      </c>
      <c r="F22" s="8" t="s">
        <v>1623</v>
      </c>
      <c r="G22" s="304"/>
      <c r="H22" s="10"/>
      <c r="I22" s="11"/>
      <c r="J22" s="11"/>
      <c r="K22" s="11"/>
      <c r="L22" s="11"/>
      <c r="M22" s="11"/>
      <c r="N22" s="11"/>
      <c r="O22" s="12"/>
      <c r="P22" s="11"/>
      <c r="Q22" s="13"/>
      <c r="R22" s="14"/>
    </row>
    <row r="23" spans="1:18" ht="49.95" customHeight="1" thickTop="1" thickBot="1" x14ac:dyDescent="0.35">
      <c r="A23" s="64" t="s">
        <v>388</v>
      </c>
      <c r="B23" s="64" t="s">
        <v>1613</v>
      </c>
      <c r="C23" s="65">
        <v>0.98263888888888884</v>
      </c>
      <c r="D23" s="64" t="s">
        <v>46</v>
      </c>
      <c r="E23" s="64" t="s">
        <v>38</v>
      </c>
      <c r="F23" s="64" t="s">
        <v>1624</v>
      </c>
      <c r="G23" s="299"/>
      <c r="H23" s="41"/>
      <c r="I23" s="42"/>
      <c r="J23" s="42"/>
      <c r="K23" s="42"/>
      <c r="L23" s="42"/>
      <c r="M23" s="42"/>
      <c r="N23" s="42"/>
      <c r="O23" s="43"/>
      <c r="P23" s="42"/>
      <c r="Q23" s="44"/>
      <c r="R23" s="45"/>
    </row>
    <row r="24" spans="1:18" ht="17.399999999999999" customHeight="1" thickBot="1" x14ac:dyDescent="0.35">
      <c r="A24" s="329"/>
      <c r="B24" s="330"/>
      <c r="C24" s="330"/>
      <c r="D24" s="330"/>
      <c r="E24" s="330"/>
      <c r="F24" s="330"/>
      <c r="G24" s="330"/>
      <c r="H24" s="330"/>
      <c r="I24" s="330"/>
      <c r="J24" s="330"/>
      <c r="K24" s="330"/>
      <c r="L24" s="330"/>
      <c r="M24" s="330"/>
      <c r="N24" s="330"/>
      <c r="O24" s="330"/>
      <c r="P24" s="330"/>
      <c r="Q24" s="330"/>
      <c r="R24" s="331"/>
    </row>
    <row r="25" spans="1:18" ht="22.05" customHeight="1" thickTop="1" thickBot="1" x14ac:dyDescent="0.35">
      <c r="A25" s="300" t="s">
        <v>6</v>
      </c>
      <c r="B25" s="295"/>
      <c r="C25" s="295"/>
      <c r="D25" s="295"/>
      <c r="E25" s="295"/>
      <c r="F25" s="296"/>
      <c r="G25" s="31">
        <v>45988</v>
      </c>
      <c r="H25" s="294" t="s">
        <v>7</v>
      </c>
      <c r="I25" s="295"/>
      <c r="J25" s="295"/>
      <c r="K25" s="295"/>
      <c r="L25" s="295"/>
      <c r="M25" s="295"/>
      <c r="N25" s="295"/>
      <c r="O25" s="295"/>
      <c r="P25" s="295"/>
      <c r="Q25" s="295"/>
      <c r="R25" s="296"/>
    </row>
    <row r="26" spans="1:18" ht="24" customHeight="1" x14ac:dyDescent="0.3">
      <c r="A26" s="32" t="s">
        <v>8</v>
      </c>
      <c r="B26" s="32" t="s">
        <v>9</v>
      </c>
      <c r="C26" s="33" t="s">
        <v>10</v>
      </c>
      <c r="D26" s="32" t="s">
        <v>11</v>
      </c>
      <c r="E26" s="32" t="s">
        <v>12</v>
      </c>
      <c r="F26" s="34" t="s">
        <v>13</v>
      </c>
      <c r="G26" s="35" t="s">
        <v>14</v>
      </c>
      <c r="H26" s="32" t="s">
        <v>15</v>
      </c>
      <c r="I26" s="36" t="s">
        <v>16</v>
      </c>
      <c r="J26" s="37" t="s">
        <v>17</v>
      </c>
      <c r="K26" s="38" t="s">
        <v>18</v>
      </c>
      <c r="L26" s="37" t="s">
        <v>19</v>
      </c>
      <c r="M26" s="37" t="s">
        <v>20</v>
      </c>
      <c r="N26" s="37" t="s">
        <v>21</v>
      </c>
      <c r="O26" s="32" t="s">
        <v>22</v>
      </c>
      <c r="P26" s="33" t="s">
        <v>23</v>
      </c>
      <c r="Q26" s="37" t="s">
        <v>24</v>
      </c>
      <c r="R26" s="32" t="s">
        <v>25</v>
      </c>
    </row>
    <row r="27" spans="1:18" ht="49.95" customHeight="1" x14ac:dyDescent="0.3">
      <c r="A27" s="8" t="s">
        <v>388</v>
      </c>
      <c r="B27" s="8" t="s">
        <v>1613</v>
      </c>
      <c r="C27" s="9">
        <v>0.98263888888888884</v>
      </c>
      <c r="D27" s="8" t="s">
        <v>390</v>
      </c>
      <c r="E27" s="8" t="s">
        <v>138</v>
      </c>
      <c r="F27" s="8" t="s">
        <v>1625</v>
      </c>
      <c r="G27" s="297"/>
      <c r="H27" s="10"/>
      <c r="I27" s="11"/>
      <c r="J27" s="11"/>
      <c r="K27" s="11"/>
      <c r="L27" s="11"/>
      <c r="M27" s="11"/>
      <c r="N27" s="11"/>
      <c r="O27" s="12"/>
      <c r="P27" s="11"/>
      <c r="Q27" s="13"/>
      <c r="R27" s="14"/>
    </row>
    <row r="28" spans="1:18" ht="49.95" customHeight="1" x14ac:dyDescent="0.3">
      <c r="A28" s="15" t="s">
        <v>388</v>
      </c>
      <c r="B28" s="15" t="s">
        <v>1613</v>
      </c>
      <c r="C28" s="16">
        <v>0.98263888888888884</v>
      </c>
      <c r="D28" s="15" t="s">
        <v>46</v>
      </c>
      <c r="E28" s="15" t="s">
        <v>38</v>
      </c>
      <c r="F28" s="15" t="s">
        <v>1626</v>
      </c>
      <c r="G28" s="298"/>
      <c r="H28" s="10"/>
      <c r="I28" s="11"/>
      <c r="J28" s="11"/>
      <c r="K28" s="11"/>
      <c r="L28" s="11"/>
      <c r="M28" s="11"/>
      <c r="N28" s="11"/>
      <c r="O28" s="12"/>
      <c r="P28" s="11"/>
      <c r="Q28" s="13"/>
      <c r="R28" s="14"/>
    </row>
    <row r="29" spans="1:18" ht="49.95" customHeight="1" x14ac:dyDescent="0.3">
      <c r="A29" s="179" t="s">
        <v>77</v>
      </c>
      <c r="B29" s="179" t="s">
        <v>1616</v>
      </c>
      <c r="C29" s="180">
        <v>0.8125</v>
      </c>
      <c r="D29" s="179" t="s">
        <v>101</v>
      </c>
      <c r="E29" s="179" t="s">
        <v>96</v>
      </c>
      <c r="F29" s="179" t="s">
        <v>1627</v>
      </c>
      <c r="G29" s="298"/>
      <c r="H29" s="181" t="s">
        <v>1618</v>
      </c>
      <c r="I29" s="197">
        <v>0.63129999999999997</v>
      </c>
      <c r="J29" s="183">
        <v>113</v>
      </c>
      <c r="K29" s="184">
        <v>45980</v>
      </c>
      <c r="L29" s="183">
        <v>19</v>
      </c>
      <c r="M29" s="183">
        <v>1</v>
      </c>
      <c r="N29" s="183">
        <v>3</v>
      </c>
      <c r="O29" s="185" t="s">
        <v>698</v>
      </c>
      <c r="P29" s="186">
        <v>0.8125</v>
      </c>
      <c r="Q29" s="183">
        <v>179</v>
      </c>
      <c r="R29" s="187" t="s">
        <v>1628</v>
      </c>
    </row>
    <row r="30" spans="1:18" ht="49.95" customHeight="1" thickBot="1" x14ac:dyDescent="0.35">
      <c r="A30" s="231" t="s">
        <v>385</v>
      </c>
      <c r="B30" s="231" t="s">
        <v>1612</v>
      </c>
      <c r="C30" s="232">
        <v>0.33680555555555558</v>
      </c>
      <c r="D30" s="231" t="s">
        <v>101</v>
      </c>
      <c r="E30" s="231" t="s">
        <v>51</v>
      </c>
      <c r="F30" s="231" t="s">
        <v>1629</v>
      </c>
      <c r="G30" s="299"/>
      <c r="H30" s="41"/>
      <c r="I30" s="42"/>
      <c r="J30" s="42"/>
      <c r="K30" s="42"/>
      <c r="L30" s="42"/>
      <c r="M30" s="42"/>
      <c r="N30" s="42"/>
      <c r="O30" s="43"/>
      <c r="P30" s="42"/>
      <c r="Q30" s="44"/>
      <c r="R30" s="45"/>
    </row>
    <row r="31" spans="1:18" ht="17.399999999999999" customHeight="1" thickBot="1" x14ac:dyDescent="0.35">
      <c r="A31" s="329"/>
      <c r="B31" s="330"/>
      <c r="C31" s="330"/>
      <c r="D31" s="330"/>
      <c r="E31" s="330"/>
      <c r="F31" s="330"/>
      <c r="G31" s="330"/>
      <c r="H31" s="330"/>
      <c r="I31" s="330"/>
      <c r="J31" s="330"/>
      <c r="K31" s="330"/>
      <c r="L31" s="330"/>
      <c r="M31" s="330"/>
      <c r="N31" s="330"/>
      <c r="O31" s="330"/>
      <c r="P31" s="330"/>
      <c r="Q31" s="330"/>
      <c r="R31" s="331"/>
    </row>
    <row r="32" spans="1:18" ht="22.05" customHeight="1" thickTop="1" thickBot="1" x14ac:dyDescent="0.35">
      <c r="A32" s="300" t="s">
        <v>6</v>
      </c>
      <c r="B32" s="295"/>
      <c r="C32" s="295"/>
      <c r="D32" s="295"/>
      <c r="E32" s="295"/>
      <c r="F32" s="296"/>
      <c r="G32" s="31">
        <v>45990</v>
      </c>
      <c r="H32" s="294" t="s">
        <v>7</v>
      </c>
      <c r="I32" s="295"/>
      <c r="J32" s="295"/>
      <c r="K32" s="295"/>
      <c r="L32" s="295"/>
      <c r="M32" s="295"/>
      <c r="N32" s="295"/>
      <c r="O32" s="295"/>
      <c r="P32" s="295"/>
      <c r="Q32" s="295"/>
      <c r="R32" s="296"/>
    </row>
    <row r="33" spans="1:18" ht="24" customHeight="1" x14ac:dyDescent="0.3">
      <c r="A33" s="32" t="s">
        <v>8</v>
      </c>
      <c r="B33" s="32" t="s">
        <v>9</v>
      </c>
      <c r="C33" s="33" t="s">
        <v>10</v>
      </c>
      <c r="D33" s="32" t="s">
        <v>11</v>
      </c>
      <c r="E33" s="32" t="s">
        <v>12</v>
      </c>
      <c r="F33" s="34" t="s">
        <v>13</v>
      </c>
      <c r="G33" s="35" t="s">
        <v>14</v>
      </c>
      <c r="H33" s="32" t="s">
        <v>15</v>
      </c>
      <c r="I33" s="36" t="s">
        <v>16</v>
      </c>
      <c r="J33" s="37" t="s">
        <v>17</v>
      </c>
      <c r="K33" s="38" t="s">
        <v>18</v>
      </c>
      <c r="L33" s="37" t="s">
        <v>19</v>
      </c>
      <c r="M33" s="37" t="s">
        <v>20</v>
      </c>
      <c r="N33" s="37" t="s">
        <v>21</v>
      </c>
      <c r="O33" s="32" t="s">
        <v>22</v>
      </c>
      <c r="P33" s="33" t="s">
        <v>23</v>
      </c>
      <c r="Q33" s="37" t="s">
        <v>24</v>
      </c>
      <c r="R33" s="32" t="s">
        <v>25</v>
      </c>
    </row>
    <row r="34" spans="1:18" ht="49.95" customHeight="1" x14ac:dyDescent="0.3">
      <c r="A34" s="8" t="s">
        <v>385</v>
      </c>
      <c r="B34" s="8" t="s">
        <v>1612</v>
      </c>
      <c r="C34" s="9">
        <v>0.33680555555555558</v>
      </c>
      <c r="D34" s="8" t="s">
        <v>101</v>
      </c>
      <c r="E34" s="8" t="s">
        <v>118</v>
      </c>
      <c r="F34" s="8" t="s">
        <v>1630</v>
      </c>
      <c r="G34" s="297"/>
      <c r="H34" s="10"/>
      <c r="I34" s="11"/>
      <c r="J34" s="11"/>
      <c r="K34" s="11"/>
      <c r="L34" s="11"/>
      <c r="M34" s="11"/>
      <c r="N34" s="11"/>
      <c r="O34" s="12"/>
      <c r="P34" s="11"/>
      <c r="Q34" s="13"/>
      <c r="R34" s="14"/>
    </row>
    <row r="35" spans="1:18" ht="49.95" customHeight="1" thickTop="1" thickBot="1" x14ac:dyDescent="0.35">
      <c r="A35" s="291" t="s">
        <v>77</v>
      </c>
      <c r="B35" s="291" t="s">
        <v>1616</v>
      </c>
      <c r="C35" s="292">
        <v>0.8125</v>
      </c>
      <c r="D35" s="291" t="s">
        <v>101</v>
      </c>
      <c r="E35" s="291" t="s">
        <v>63</v>
      </c>
      <c r="F35" s="291" t="s">
        <v>1631</v>
      </c>
      <c r="G35" s="299"/>
      <c r="H35" s="237" t="s">
        <v>1618</v>
      </c>
      <c r="I35" s="266">
        <v>0.67600000000000005</v>
      </c>
      <c r="J35" s="239">
        <v>121</v>
      </c>
      <c r="K35" s="240">
        <v>45980</v>
      </c>
      <c r="L35" s="239">
        <v>7</v>
      </c>
      <c r="M35" s="239">
        <v>1</v>
      </c>
      <c r="N35" s="239">
        <v>0</v>
      </c>
      <c r="O35" s="241" t="s">
        <v>1166</v>
      </c>
      <c r="P35" s="242">
        <v>0.8125</v>
      </c>
      <c r="Q35" s="239">
        <v>179</v>
      </c>
      <c r="R35" s="243" t="s">
        <v>1632</v>
      </c>
    </row>
    <row r="36" spans="1:18" ht="17.399999999999999" customHeight="1" thickBot="1" x14ac:dyDescent="0.35">
      <c r="A36" s="329"/>
      <c r="B36" s="330"/>
      <c r="C36" s="330"/>
      <c r="D36" s="330"/>
      <c r="E36" s="330"/>
      <c r="F36" s="330"/>
      <c r="G36" s="330"/>
      <c r="H36" s="330"/>
      <c r="I36" s="330"/>
      <c r="J36" s="330"/>
      <c r="K36" s="330"/>
      <c r="L36" s="330"/>
      <c r="M36" s="330"/>
      <c r="N36" s="330"/>
      <c r="O36" s="330"/>
      <c r="P36" s="330"/>
      <c r="Q36" s="330"/>
      <c r="R36" s="331"/>
    </row>
    <row r="37" spans="1:18" ht="15" thickTop="1" x14ac:dyDescent="0.3"/>
  </sheetData>
  <mergeCells count="31">
    <mergeCell ref="A36:R36"/>
    <mergeCell ref="A25:F25"/>
    <mergeCell ref="H32:R32"/>
    <mergeCell ref="A31:R31"/>
    <mergeCell ref="G18"/>
    <mergeCell ref="G22:G23"/>
    <mergeCell ref="A11:F11"/>
    <mergeCell ref="A15:R15"/>
    <mergeCell ref="A24:R24"/>
    <mergeCell ref="G27:G30"/>
    <mergeCell ref="H4:R4"/>
    <mergeCell ref="G34:G35"/>
    <mergeCell ref="A2:F2"/>
    <mergeCell ref="A3:R3"/>
    <mergeCell ref="H25:R25"/>
    <mergeCell ref="A32:F32"/>
    <mergeCell ref="G2:J2"/>
    <mergeCell ref="A4:F4"/>
    <mergeCell ref="G6:G9"/>
    <mergeCell ref="A20:F20"/>
    <mergeCell ref="H11:R11"/>
    <mergeCell ref="A19:R19"/>
    <mergeCell ref="A10:R10"/>
    <mergeCell ref="H16:R16"/>
    <mergeCell ref="K2:R2"/>
    <mergeCell ref="A16:F16"/>
    <mergeCell ref="H20:R20"/>
    <mergeCell ref="G13:G14"/>
    <mergeCell ref="H1:L1"/>
    <mergeCell ref="A1:E1"/>
    <mergeCell ref="N1:R1"/>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J6"/>
  <sheetViews>
    <sheetView workbookViewId="0"/>
  </sheetViews>
  <sheetFormatPr defaultRowHeight="15.6" outlineLevelCol="1" x14ac:dyDescent="0.3"/>
  <cols>
    <col min="1" max="1" width="9.88671875" style="316" bestFit="1" customWidth="1"/>
    <col min="2" max="2" width="10.44140625" style="316" bestFit="1" customWidth="1"/>
    <col min="3" max="3" width="6.77734375" style="316" bestFit="1" customWidth="1"/>
    <col min="4" max="4" width="5.5546875" style="316" bestFit="1" customWidth="1"/>
    <col min="5" max="5" width="7.44140625" style="316" bestFit="1" customWidth="1"/>
    <col min="6" max="6" width="4.21875" style="316" bestFit="1" customWidth="1"/>
    <col min="7" max="7" width="10" style="316" bestFit="1" customWidth="1"/>
    <col min="8" max="10" width="7" style="316" bestFit="1" customWidth="1"/>
    <col min="11" max="11" width="10.5546875" style="316" bestFit="1" customWidth="1"/>
    <col min="12" max="12" width="9.109375" style="316" bestFit="1" customWidth="1"/>
    <col min="13" max="13" width="7.6640625" style="316" bestFit="1" customWidth="1" outlineLevel="1"/>
    <col min="14" max="14" width="6.33203125" style="316" bestFit="1" customWidth="1" outlineLevel="1"/>
    <col min="15" max="15" width="8" style="316" bestFit="1" customWidth="1" outlineLevel="1"/>
    <col min="16" max="16" width="13.6640625" style="316" bestFit="1" customWidth="1"/>
    <col min="17" max="19" width="3.88671875" style="316" bestFit="1" customWidth="1"/>
    <col min="20" max="20" width="4.44140625" style="316" bestFit="1" customWidth="1"/>
    <col min="21" max="21" width="4.5546875" style="316" bestFit="1" customWidth="1"/>
    <col min="22" max="22" width="4.21875" style="316" bestFit="1" customWidth="1"/>
    <col min="23" max="23" width="4.33203125" style="316" bestFit="1" customWidth="1"/>
    <col min="24" max="26" width="3.88671875" style="316" bestFit="1" customWidth="1"/>
    <col min="27" max="27" width="4" style="316" bestFit="1" customWidth="1"/>
    <col min="28" max="29" width="4.21875" style="316" bestFit="1" customWidth="1"/>
    <col min="30" max="31" width="4.5546875" style="316" bestFit="1" customWidth="1"/>
    <col min="32" max="36" width="3.88671875" style="316" bestFit="1" customWidth="1"/>
    <col min="37" max="16384" width="8.88671875" style="316"/>
  </cols>
  <sheetData>
    <row r="1" spans="1:36" x14ac:dyDescent="0.3">
      <c r="A1" s="315" t="s">
        <v>158</v>
      </c>
      <c r="B1" s="315" t="s">
        <v>159</v>
      </c>
      <c r="C1" s="315" t="s">
        <v>160</v>
      </c>
      <c r="D1" s="315" t="s">
        <v>23</v>
      </c>
      <c r="E1" s="315" t="s">
        <v>161</v>
      </c>
      <c r="F1" s="315" t="s">
        <v>162</v>
      </c>
      <c r="G1" s="315" t="s">
        <v>16</v>
      </c>
      <c r="H1" s="315" t="s">
        <v>163</v>
      </c>
      <c r="I1" s="315" t="s">
        <v>164</v>
      </c>
      <c r="J1" s="315" t="s">
        <v>165</v>
      </c>
      <c r="K1" s="315" t="s">
        <v>166</v>
      </c>
      <c r="L1" s="315" t="s">
        <v>18</v>
      </c>
      <c r="M1" s="315" t="s">
        <v>20</v>
      </c>
      <c r="N1" s="315" t="s">
        <v>21</v>
      </c>
      <c r="O1" s="315" t="s">
        <v>19</v>
      </c>
      <c r="P1" s="315" t="s">
        <v>22</v>
      </c>
      <c r="Q1" s="315" t="s">
        <v>167</v>
      </c>
      <c r="R1" s="315" t="s">
        <v>168</v>
      </c>
      <c r="S1" s="315" t="s">
        <v>169</v>
      </c>
      <c r="T1" s="315" t="s">
        <v>170</v>
      </c>
      <c r="U1" s="315" t="s">
        <v>171</v>
      </c>
      <c r="V1" s="315" t="s">
        <v>172</v>
      </c>
      <c r="W1" s="315" t="s">
        <v>173</v>
      </c>
      <c r="X1" s="315" t="s">
        <v>174</v>
      </c>
      <c r="Y1" s="315" t="s">
        <v>175</v>
      </c>
      <c r="Z1" s="315" t="s">
        <v>176</v>
      </c>
      <c r="AA1" s="315" t="s">
        <v>177</v>
      </c>
      <c r="AB1" s="315" t="s">
        <v>178</v>
      </c>
      <c r="AC1" s="315" t="s">
        <v>179</v>
      </c>
      <c r="AD1" s="315" t="s">
        <v>180</v>
      </c>
      <c r="AE1" s="315" t="s">
        <v>181</v>
      </c>
      <c r="AF1" s="315" t="s">
        <v>182</v>
      </c>
      <c r="AG1" s="315" t="s">
        <v>183</v>
      </c>
      <c r="AH1" s="315" t="s">
        <v>184</v>
      </c>
      <c r="AI1" s="315" t="s">
        <v>185</v>
      </c>
      <c r="AJ1" s="315" t="s">
        <v>186</v>
      </c>
    </row>
    <row r="2" spans="1:36" x14ac:dyDescent="0.3">
      <c r="A2" s="317" t="s">
        <v>187</v>
      </c>
      <c r="B2" s="318">
        <v>45981</v>
      </c>
      <c r="C2" s="319" t="s">
        <v>1618</v>
      </c>
      <c r="D2" s="320" t="s">
        <v>1604</v>
      </c>
      <c r="E2" s="319" t="s">
        <v>1611</v>
      </c>
      <c r="F2" s="319" t="s">
        <v>189</v>
      </c>
      <c r="G2" s="321">
        <v>0.72629999999999995</v>
      </c>
      <c r="H2" s="322">
        <v>179</v>
      </c>
      <c r="I2" s="322">
        <v>130</v>
      </c>
      <c r="J2" s="322">
        <v>0</v>
      </c>
      <c r="K2" s="319" t="s">
        <v>190</v>
      </c>
      <c r="L2" s="323">
        <v>45979</v>
      </c>
      <c r="M2" s="322">
        <v>0</v>
      </c>
      <c r="N2" s="322">
        <v>7</v>
      </c>
      <c r="O2" s="322">
        <v>32</v>
      </c>
      <c r="P2" s="319" t="s">
        <v>280</v>
      </c>
      <c r="Q2" s="315"/>
      <c r="R2" s="315"/>
      <c r="S2" s="315"/>
      <c r="T2" s="315"/>
      <c r="U2" s="315"/>
      <c r="V2" s="315"/>
      <c r="W2" s="315"/>
      <c r="X2" s="315"/>
      <c r="Y2" s="315"/>
      <c r="Z2" s="322" t="s">
        <v>486</v>
      </c>
      <c r="AA2" s="322" t="s">
        <v>313</v>
      </c>
      <c r="AB2" s="322" t="s">
        <v>323</v>
      </c>
      <c r="AC2" s="322" t="s">
        <v>1633</v>
      </c>
      <c r="AD2" s="322" t="s">
        <v>1634</v>
      </c>
      <c r="AE2" s="322" t="s">
        <v>326</v>
      </c>
      <c r="AF2" s="322" t="s">
        <v>973</v>
      </c>
      <c r="AG2" s="315"/>
      <c r="AH2" s="315"/>
      <c r="AI2" s="315"/>
      <c r="AJ2" s="315"/>
    </row>
    <row r="3" spans="1:36" x14ac:dyDescent="0.3">
      <c r="A3" s="317" t="s">
        <v>199</v>
      </c>
      <c r="B3" s="318">
        <v>45983</v>
      </c>
      <c r="C3" s="319" t="s">
        <v>1618</v>
      </c>
      <c r="D3" s="320" t="s">
        <v>1604</v>
      </c>
      <c r="E3" s="319" t="s">
        <v>1611</v>
      </c>
      <c r="F3" s="319" t="s">
        <v>189</v>
      </c>
      <c r="G3" s="321">
        <v>0.77649999999999997</v>
      </c>
      <c r="H3" s="322">
        <v>179</v>
      </c>
      <c r="I3" s="322">
        <v>139</v>
      </c>
      <c r="J3" s="322">
        <v>0</v>
      </c>
      <c r="K3" s="319" t="s">
        <v>190</v>
      </c>
      <c r="L3" s="323">
        <v>45980</v>
      </c>
      <c r="M3" s="322">
        <v>3</v>
      </c>
      <c r="N3" s="322">
        <v>5</v>
      </c>
      <c r="O3" s="322">
        <v>66</v>
      </c>
      <c r="P3" s="319" t="s">
        <v>597</v>
      </c>
      <c r="Q3" s="315"/>
      <c r="R3" s="315"/>
      <c r="S3" s="315"/>
      <c r="T3" s="315"/>
      <c r="U3" s="315"/>
      <c r="V3" s="315"/>
      <c r="W3" s="315"/>
      <c r="X3" s="315"/>
      <c r="Y3" s="315"/>
      <c r="Z3" s="315"/>
      <c r="AA3" s="322" t="s">
        <v>422</v>
      </c>
      <c r="AB3" s="322" t="s">
        <v>304</v>
      </c>
      <c r="AC3" s="322" t="s">
        <v>1635</v>
      </c>
      <c r="AD3" s="322" t="s">
        <v>194</v>
      </c>
      <c r="AE3" s="322" t="s">
        <v>195</v>
      </c>
      <c r="AF3" s="322" t="s">
        <v>599</v>
      </c>
      <c r="AG3" s="315"/>
      <c r="AH3" s="315"/>
      <c r="AI3" s="315"/>
      <c r="AJ3" s="315"/>
    </row>
    <row r="4" spans="1:36" x14ac:dyDescent="0.3">
      <c r="A4" s="317" t="s">
        <v>187</v>
      </c>
      <c r="B4" s="318">
        <v>45988</v>
      </c>
      <c r="C4" s="319" t="s">
        <v>1618</v>
      </c>
      <c r="D4" s="320" t="s">
        <v>1604</v>
      </c>
      <c r="E4" s="319" t="s">
        <v>1611</v>
      </c>
      <c r="F4" s="319" t="s">
        <v>189</v>
      </c>
      <c r="G4" s="321">
        <v>0.63129999999999997</v>
      </c>
      <c r="H4" s="322">
        <v>179</v>
      </c>
      <c r="I4" s="322">
        <v>113</v>
      </c>
      <c r="J4" s="322">
        <v>0</v>
      </c>
      <c r="K4" s="319" t="s">
        <v>190</v>
      </c>
      <c r="L4" s="323">
        <v>45980</v>
      </c>
      <c r="M4" s="322">
        <v>1</v>
      </c>
      <c r="N4" s="322">
        <v>3</v>
      </c>
      <c r="O4" s="322">
        <v>19</v>
      </c>
      <c r="P4" s="319" t="s">
        <v>698</v>
      </c>
      <c r="Q4" s="315"/>
      <c r="R4" s="315"/>
      <c r="S4" s="315"/>
      <c r="T4" s="315"/>
      <c r="U4" s="315"/>
      <c r="V4" s="322" t="s">
        <v>1636</v>
      </c>
      <c r="W4" s="322" t="s">
        <v>736</v>
      </c>
      <c r="X4" s="322" t="s">
        <v>1329</v>
      </c>
      <c r="Y4" s="322" t="s">
        <v>686</v>
      </c>
      <c r="Z4" s="322" t="s">
        <v>494</v>
      </c>
      <c r="AA4" s="322" t="s">
        <v>422</v>
      </c>
      <c r="AB4" s="322" t="s">
        <v>587</v>
      </c>
      <c r="AC4" s="322" t="s">
        <v>1254</v>
      </c>
      <c r="AD4" s="322" t="s">
        <v>715</v>
      </c>
      <c r="AE4" s="322" t="s">
        <v>316</v>
      </c>
      <c r="AF4" s="322" t="s">
        <v>1191</v>
      </c>
      <c r="AG4" s="315"/>
      <c r="AH4" s="315"/>
      <c r="AI4" s="315"/>
      <c r="AJ4" s="315"/>
    </row>
    <row r="5" spans="1:36" x14ac:dyDescent="0.3">
      <c r="A5" s="317" t="s">
        <v>199</v>
      </c>
      <c r="B5" s="318">
        <v>45990</v>
      </c>
      <c r="C5" s="319" t="s">
        <v>1618</v>
      </c>
      <c r="D5" s="320" t="s">
        <v>1604</v>
      </c>
      <c r="E5" s="319" t="s">
        <v>1611</v>
      </c>
      <c r="F5" s="319" t="s">
        <v>189</v>
      </c>
      <c r="G5" s="321">
        <v>0.67600000000000005</v>
      </c>
      <c r="H5" s="322">
        <v>179</v>
      </c>
      <c r="I5" s="322">
        <v>121</v>
      </c>
      <c r="J5" s="322">
        <v>0</v>
      </c>
      <c r="K5" s="319" t="s">
        <v>190</v>
      </c>
      <c r="L5" s="323">
        <v>45980</v>
      </c>
      <c r="M5" s="322">
        <v>1</v>
      </c>
      <c r="N5" s="322">
        <v>0</v>
      </c>
      <c r="O5" s="322">
        <v>7</v>
      </c>
      <c r="P5" s="319" t="s">
        <v>1166</v>
      </c>
      <c r="Q5" s="315"/>
      <c r="R5" s="315"/>
      <c r="S5" s="322" t="s">
        <v>1495</v>
      </c>
      <c r="T5" s="322" t="s">
        <v>1637</v>
      </c>
      <c r="U5" s="322" t="s">
        <v>1496</v>
      </c>
      <c r="V5" s="322" t="s">
        <v>705</v>
      </c>
      <c r="W5" s="322" t="s">
        <v>128</v>
      </c>
      <c r="X5" s="322" t="s">
        <v>739</v>
      </c>
      <c r="Y5" s="322" t="s">
        <v>686</v>
      </c>
      <c r="Z5" s="322" t="s">
        <v>494</v>
      </c>
      <c r="AA5" s="322" t="s">
        <v>744</v>
      </c>
      <c r="AB5" s="322" t="s">
        <v>587</v>
      </c>
      <c r="AC5" s="322" t="s">
        <v>597</v>
      </c>
      <c r="AD5" s="322" t="s">
        <v>881</v>
      </c>
      <c r="AE5" s="322" t="s">
        <v>316</v>
      </c>
      <c r="AF5" s="322" t="s">
        <v>951</v>
      </c>
      <c r="AG5" s="315"/>
      <c r="AH5" s="315"/>
      <c r="AI5" s="315"/>
      <c r="AJ5" s="315"/>
    </row>
    <row r="6" spans="1:36" ht="21" x14ac:dyDescent="0.3">
      <c r="A6" s="324" t="s">
        <v>1638</v>
      </c>
      <c r="B6" s="325"/>
      <c r="C6" s="324">
        <f>SUBTOTAL(103,CAI_GIZ_LF_LEGACY[Flt])</f>
        <v>4</v>
      </c>
      <c r="D6" s="324"/>
      <c r="E6" s="324">
        <f>SUBTOTAL(103,CAI_GIZ_LF_LEGACY[Brd-Off])</f>
        <v>4</v>
      </c>
      <c r="F6" s="324"/>
      <c r="G6" s="326">
        <f>SUBTOTAL(101,CAI_GIZ_LF_LEGACY[LF%])</f>
        <v>0.70252500000000007</v>
      </c>
      <c r="H6" s="327">
        <f>SUBTOTAL(109,CAI_GIZ_LF_LEGACY[CAP])</f>
        <v>716</v>
      </c>
      <c r="I6" s="327">
        <f>SUBTOTAL(109,CAI_GIZ_LF_LEGACY[BKG(Y)])</f>
        <v>503</v>
      </c>
      <c r="J6" s="327">
        <f>SUBTOTAL(109,CAI_GIZ_LF_LEGACY[GRP(Y)])</f>
        <v>0</v>
      </c>
      <c r="K6" s="324"/>
      <c r="L6" s="325"/>
      <c r="M6" s="327">
        <f>SUBTOTAL(109,CAI_GIZ_LF_LEGACY[TO-DAY])</f>
        <v>5</v>
      </c>
      <c r="N6" s="327">
        <f>SUBTOTAL(109,CAI_GIZ_LF_LEGACY[Y-DAY])</f>
        <v>15</v>
      </c>
      <c r="O6" s="327">
        <f>SUBTOTAL(109,CAI_GIZ_LF_LEGACY[WEEKLY])</f>
        <v>124</v>
      </c>
      <c r="P6" s="328"/>
      <c r="Q6" s="327">
        <f>SUBTOTAL(109,CAI_GIZ_LF_LEGACY[Y])</f>
        <v>0</v>
      </c>
      <c r="R6" s="327">
        <f>SUBTOTAL(109,CAI_GIZ_LF_LEGACY[B])</f>
        <v>0</v>
      </c>
      <c r="S6" s="327">
        <f>SUBTOTAL(109,CAI_GIZ_LF_LEGACY[M])</f>
        <v>0</v>
      </c>
      <c r="T6" s="327">
        <f>SUBTOTAL(109,CAI_GIZ_LF_LEGACY[H])</f>
        <v>0</v>
      </c>
      <c r="U6" s="327">
        <f>SUBTOTAL(109,CAI_GIZ_LF_LEGACY[Q])</f>
        <v>0</v>
      </c>
      <c r="V6" s="327">
        <f>SUBTOTAL(109,CAI_GIZ_LF_LEGACY[K])</f>
        <v>0</v>
      </c>
      <c r="W6" s="327">
        <f>SUBTOTAL(109,CAI_GIZ_LF_LEGACY[V])</f>
        <v>0</v>
      </c>
      <c r="X6" s="327">
        <f>SUBTOTAL(109,CAI_GIZ_LF_LEGACY[L])</f>
        <v>0</v>
      </c>
      <c r="Y6" s="327">
        <f>SUBTOTAL(109,CAI_GIZ_LF_LEGACY[G])</f>
        <v>0</v>
      </c>
      <c r="Z6" s="327">
        <f>SUBTOTAL(109,CAI_GIZ_LF_LEGACY[S])</f>
        <v>0</v>
      </c>
      <c r="AA6" s="327">
        <f>SUBTOTAL(109,CAI_GIZ_LF_LEGACY[W])</f>
        <v>0</v>
      </c>
      <c r="AB6" s="327">
        <f>SUBTOTAL(109,CAI_GIZ_LF_LEGACY[T])</f>
        <v>0</v>
      </c>
      <c r="AC6" s="327">
        <f>SUBTOTAL(109,CAI_GIZ_LF_LEGACY[X])</f>
        <v>0</v>
      </c>
      <c r="AD6" s="327">
        <f>SUBTOTAL(109,CAI_GIZ_LF_LEGACY[U])</f>
        <v>0</v>
      </c>
      <c r="AE6" s="327">
        <f>SUBTOTAL(109,CAI_GIZ_LF_LEGACY[O])</f>
        <v>0</v>
      </c>
      <c r="AF6" s="327">
        <f>SUBTOTAL(109,CAI_GIZ_LF_LEGACY[I])</f>
        <v>0</v>
      </c>
      <c r="AG6" s="327">
        <f>SUBTOTAL(109,CAI_GIZ_LF_LEGACY[E])</f>
        <v>0</v>
      </c>
      <c r="AH6" s="327">
        <f>SUBTOTAL(109,CAI_GIZ_LF_LEGACY[A])</f>
        <v>0</v>
      </c>
      <c r="AI6" s="327">
        <f>SUBTOTAL(109,CAI_GIZ_LF_LEGACY[P])</f>
        <v>0</v>
      </c>
      <c r="AJ6" s="327">
        <f>SUBTOTAL(103,CAI_GIZ_LF_LEGACY[N])</f>
        <v>0</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I1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2.664062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3" t="s">
        <v>235</v>
      </c>
      <c r="B2" s="104" t="s">
        <v>385</v>
      </c>
      <c r="C2" s="105" t="s">
        <v>1612</v>
      </c>
      <c r="D2" s="104" t="s">
        <v>1611</v>
      </c>
      <c r="E2" s="104" t="s">
        <v>267</v>
      </c>
      <c r="F2" s="104" t="s">
        <v>101</v>
      </c>
      <c r="G2" s="106">
        <v>9</v>
      </c>
      <c r="H2" s="107" t="s">
        <v>1572</v>
      </c>
    </row>
    <row r="3" spans="1:8" ht="19.8" customHeight="1" x14ac:dyDescent="0.3">
      <c r="A3" s="103" t="s">
        <v>235</v>
      </c>
      <c r="B3" s="104" t="s">
        <v>388</v>
      </c>
      <c r="C3" s="105" t="s">
        <v>1613</v>
      </c>
      <c r="D3" s="104" t="s">
        <v>1611</v>
      </c>
      <c r="E3" s="104" t="s">
        <v>1413</v>
      </c>
      <c r="F3" s="104" t="s">
        <v>390</v>
      </c>
      <c r="G3" s="106">
        <v>9</v>
      </c>
      <c r="H3" s="107" t="s">
        <v>1614</v>
      </c>
    </row>
    <row r="4" spans="1:8" ht="19.8" customHeight="1" x14ac:dyDescent="0.3">
      <c r="A4" s="174" t="s">
        <v>235</v>
      </c>
      <c r="B4" s="121" t="s">
        <v>77</v>
      </c>
      <c r="C4" s="122" t="s">
        <v>1616</v>
      </c>
      <c r="D4" s="121" t="s">
        <v>1611</v>
      </c>
      <c r="E4" s="121" t="s">
        <v>1604</v>
      </c>
      <c r="F4" s="121" t="s">
        <v>101</v>
      </c>
      <c r="G4" s="124">
        <v>2</v>
      </c>
      <c r="H4" s="125" t="s">
        <v>1617</v>
      </c>
    </row>
    <row r="5" spans="1:8" ht="19.8" customHeight="1" x14ac:dyDescent="0.3">
      <c r="A5" s="114">
        <v>45981</v>
      </c>
      <c r="B5" s="115" t="s">
        <v>388</v>
      </c>
      <c r="C5" s="116" t="s">
        <v>1613</v>
      </c>
      <c r="D5" s="115" t="s">
        <v>1611</v>
      </c>
      <c r="E5" s="117">
        <v>1.9826388888888891</v>
      </c>
      <c r="F5" s="115" t="s">
        <v>46</v>
      </c>
      <c r="G5" s="118">
        <v>9</v>
      </c>
      <c r="H5" s="119" t="s">
        <v>1615</v>
      </c>
    </row>
    <row r="6" spans="1:8" ht="19.8" customHeight="1" x14ac:dyDescent="0.3">
      <c r="A6" s="120">
        <v>45983</v>
      </c>
      <c r="B6" s="121" t="s">
        <v>77</v>
      </c>
      <c r="C6" s="122" t="s">
        <v>1616</v>
      </c>
      <c r="D6" s="121" t="s">
        <v>1611</v>
      </c>
      <c r="E6" s="123">
        <v>1.8125</v>
      </c>
      <c r="F6" s="121" t="s">
        <v>101</v>
      </c>
      <c r="G6" s="124">
        <v>9</v>
      </c>
      <c r="H6" s="125" t="s">
        <v>1617</v>
      </c>
    </row>
    <row r="7" spans="1:8" ht="19.8" customHeight="1" x14ac:dyDescent="0.3">
      <c r="A7" s="114">
        <v>45983</v>
      </c>
      <c r="B7" s="115" t="s">
        <v>385</v>
      </c>
      <c r="C7" s="116" t="s">
        <v>1612</v>
      </c>
      <c r="D7" s="115" t="s">
        <v>1611</v>
      </c>
      <c r="E7" s="117">
        <v>1.336805555555556</v>
      </c>
      <c r="F7" s="115" t="s">
        <v>101</v>
      </c>
      <c r="G7" s="118">
        <v>3</v>
      </c>
      <c r="H7" s="119" t="s">
        <v>1621</v>
      </c>
    </row>
    <row r="8" spans="1:8" ht="19.8" customHeight="1" x14ac:dyDescent="0.3">
      <c r="A8" s="114">
        <v>45986</v>
      </c>
      <c r="B8" s="115" t="s">
        <v>385</v>
      </c>
      <c r="C8" s="116" t="s">
        <v>1612</v>
      </c>
      <c r="D8" s="115" t="s">
        <v>1611</v>
      </c>
      <c r="E8" s="117">
        <v>1.336805555555556</v>
      </c>
      <c r="F8" s="115" t="s">
        <v>101</v>
      </c>
      <c r="G8" s="118">
        <v>9</v>
      </c>
      <c r="H8" s="119" t="s">
        <v>1622</v>
      </c>
    </row>
    <row r="9" spans="1:8" ht="19.8" customHeight="1" x14ac:dyDescent="0.3">
      <c r="A9" s="112">
        <v>45987</v>
      </c>
      <c r="B9" s="104" t="s">
        <v>388</v>
      </c>
      <c r="C9" s="105" t="s">
        <v>1613</v>
      </c>
      <c r="D9" s="104" t="s">
        <v>1611</v>
      </c>
      <c r="E9" s="113">
        <v>1.9826388888888891</v>
      </c>
      <c r="F9" s="104" t="s">
        <v>390</v>
      </c>
      <c r="G9" s="106">
        <v>9</v>
      </c>
      <c r="H9" s="107" t="s">
        <v>1623</v>
      </c>
    </row>
    <row r="10" spans="1:8" ht="19.8" customHeight="1" x14ac:dyDescent="0.3">
      <c r="A10" s="114">
        <v>45987</v>
      </c>
      <c r="B10" s="115" t="s">
        <v>388</v>
      </c>
      <c r="C10" s="116" t="s">
        <v>1613</v>
      </c>
      <c r="D10" s="115" t="s">
        <v>1611</v>
      </c>
      <c r="E10" s="117">
        <v>1.9826388888888891</v>
      </c>
      <c r="F10" s="115" t="s">
        <v>46</v>
      </c>
      <c r="G10" s="118">
        <v>9</v>
      </c>
      <c r="H10" s="119" t="s">
        <v>1624</v>
      </c>
    </row>
    <row r="11" spans="1:8" ht="19.8" customHeight="1" x14ac:dyDescent="0.3">
      <c r="A11" s="112">
        <v>45988</v>
      </c>
      <c r="B11" s="104" t="s">
        <v>388</v>
      </c>
      <c r="C11" s="105" t="s">
        <v>1613</v>
      </c>
      <c r="D11" s="104" t="s">
        <v>1611</v>
      </c>
      <c r="E11" s="113">
        <v>1.9826388888888891</v>
      </c>
      <c r="F11" s="104" t="s">
        <v>390</v>
      </c>
      <c r="G11" s="106">
        <v>9</v>
      </c>
      <c r="H11" s="107" t="s">
        <v>1625</v>
      </c>
    </row>
    <row r="12" spans="1:8" ht="19.8" customHeight="1" x14ac:dyDescent="0.3">
      <c r="A12" s="120">
        <v>45988</v>
      </c>
      <c r="B12" s="121" t="s">
        <v>77</v>
      </c>
      <c r="C12" s="122" t="s">
        <v>1616</v>
      </c>
      <c r="D12" s="121" t="s">
        <v>1611</v>
      </c>
      <c r="E12" s="123">
        <v>1.8125</v>
      </c>
      <c r="F12" s="121" t="s">
        <v>101</v>
      </c>
      <c r="G12" s="124">
        <v>6</v>
      </c>
      <c r="H12" s="125" t="s">
        <v>1627</v>
      </c>
    </row>
    <row r="13" spans="1:8" ht="19.8" customHeight="1" x14ac:dyDescent="0.3">
      <c r="A13" s="112">
        <v>45988</v>
      </c>
      <c r="B13" s="104" t="s">
        <v>385</v>
      </c>
      <c r="C13" s="105" t="s">
        <v>1612</v>
      </c>
      <c r="D13" s="104" t="s">
        <v>1611</v>
      </c>
      <c r="E13" s="113">
        <v>1.336805555555556</v>
      </c>
      <c r="F13" s="104" t="s">
        <v>101</v>
      </c>
      <c r="G13" s="106">
        <v>8</v>
      </c>
      <c r="H13" s="107" t="s">
        <v>1629</v>
      </c>
    </row>
    <row r="14" spans="1:8" ht="19.8" customHeight="1" x14ac:dyDescent="0.3">
      <c r="A14" s="114">
        <v>45988</v>
      </c>
      <c r="B14" s="115" t="s">
        <v>388</v>
      </c>
      <c r="C14" s="116" t="s">
        <v>1613</v>
      </c>
      <c r="D14" s="115" t="s">
        <v>1611</v>
      </c>
      <c r="E14" s="117">
        <v>1.9826388888888891</v>
      </c>
      <c r="F14" s="115" t="s">
        <v>46</v>
      </c>
      <c r="G14" s="118">
        <v>9</v>
      </c>
      <c r="H14" s="119" t="s">
        <v>1626</v>
      </c>
    </row>
    <row r="15" spans="1:8" ht="19.8" customHeight="1" x14ac:dyDescent="0.3">
      <c r="A15" s="112">
        <v>45990</v>
      </c>
      <c r="B15" s="104" t="s">
        <v>385</v>
      </c>
      <c r="C15" s="105" t="s">
        <v>1612</v>
      </c>
      <c r="D15" s="104" t="s">
        <v>1611</v>
      </c>
      <c r="E15" s="113">
        <v>1.336805555555556</v>
      </c>
      <c r="F15" s="104" t="s">
        <v>101</v>
      </c>
      <c r="G15" s="106">
        <v>7</v>
      </c>
      <c r="H15" s="107" t="s">
        <v>1630</v>
      </c>
    </row>
    <row r="16" spans="1:8" ht="19.8" customHeight="1" x14ac:dyDescent="0.3">
      <c r="A16" s="126">
        <v>45990</v>
      </c>
      <c r="B16" s="109" t="s">
        <v>77</v>
      </c>
      <c r="C16" s="110" t="s">
        <v>1616</v>
      </c>
      <c r="D16" s="109" t="s">
        <v>1611</v>
      </c>
      <c r="E16" s="127">
        <v>1.8125</v>
      </c>
      <c r="F16" s="109" t="s">
        <v>101</v>
      </c>
      <c r="G16" s="128">
        <v>9</v>
      </c>
      <c r="H16" s="111" t="s">
        <v>1631</v>
      </c>
    </row>
  </sheetData>
  <pageMargins left="0.75" right="0.75" top="1" bottom="1" header="0.5" footer="0.5"/>
  <legacyDrawing r:id="rId1"/>
  <tableParts count="1">
    <tablePart r:id="rId2"/>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I10"/>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2.6640625" hidden="1" customWidth="1"/>
  </cols>
  <sheetData>
    <row r="1" spans="1:8" ht="18" x14ac:dyDescent="0.3">
      <c r="A1" s="100" t="s">
        <v>233</v>
      </c>
      <c r="B1" s="101" t="s">
        <v>8</v>
      </c>
      <c r="C1" s="101" t="s">
        <v>9</v>
      </c>
      <c r="D1" s="101" t="s">
        <v>234</v>
      </c>
      <c r="E1" s="101" t="s">
        <v>10</v>
      </c>
      <c r="F1" s="101" t="s">
        <v>11</v>
      </c>
      <c r="G1" s="101" t="s">
        <v>12</v>
      </c>
      <c r="H1" s="102" t="s">
        <v>13</v>
      </c>
    </row>
    <row r="2" spans="1:8" ht="19.8" customHeight="1" x14ac:dyDescent="0.3">
      <c r="A2" s="108" t="s">
        <v>235</v>
      </c>
      <c r="B2" s="109" t="s">
        <v>77</v>
      </c>
      <c r="C2" s="110" t="s">
        <v>1616</v>
      </c>
      <c r="D2" s="109" t="s">
        <v>1611</v>
      </c>
      <c r="E2" s="109" t="s">
        <v>1604</v>
      </c>
      <c r="F2" s="109" t="s">
        <v>101</v>
      </c>
      <c r="G2" s="128">
        <v>2</v>
      </c>
      <c r="H2" s="111" t="s">
        <v>1617</v>
      </c>
    </row>
    <row r="3" spans="1:8" ht="19.8" customHeight="1" x14ac:dyDescent="0.3">
      <c r="A3" s="120">
        <v>45983</v>
      </c>
      <c r="B3" s="121" t="s">
        <v>77</v>
      </c>
      <c r="C3" s="122" t="s">
        <v>1616</v>
      </c>
      <c r="D3" s="121" t="s">
        <v>1611</v>
      </c>
      <c r="E3" s="123">
        <v>1.8125</v>
      </c>
      <c r="F3" s="121" t="s">
        <v>101</v>
      </c>
      <c r="G3" s="124">
        <v>9</v>
      </c>
      <c r="H3" s="125" t="s">
        <v>1617</v>
      </c>
    </row>
    <row r="4" spans="1:8" ht="19.8" customHeight="1" x14ac:dyDescent="0.3">
      <c r="A4" s="114">
        <v>45983</v>
      </c>
      <c r="B4" s="115" t="s">
        <v>385</v>
      </c>
      <c r="C4" s="116" t="s">
        <v>1612</v>
      </c>
      <c r="D4" s="115" t="s">
        <v>1611</v>
      </c>
      <c r="E4" s="117">
        <v>1.336805555555556</v>
      </c>
      <c r="F4" s="115" t="s">
        <v>101</v>
      </c>
      <c r="G4" s="118">
        <v>3</v>
      </c>
      <c r="H4" s="119" t="s">
        <v>1621</v>
      </c>
    </row>
    <row r="5" spans="1:8" ht="19.8" customHeight="1" x14ac:dyDescent="0.3">
      <c r="A5" s="114">
        <v>45986</v>
      </c>
      <c r="B5" s="115" t="s">
        <v>385</v>
      </c>
      <c r="C5" s="116" t="s">
        <v>1612</v>
      </c>
      <c r="D5" s="115" t="s">
        <v>1611</v>
      </c>
      <c r="E5" s="117">
        <v>1.336805555555556</v>
      </c>
      <c r="F5" s="115" t="s">
        <v>101</v>
      </c>
      <c r="G5" s="118">
        <v>9</v>
      </c>
      <c r="H5" s="119" t="s">
        <v>1622</v>
      </c>
    </row>
    <row r="6" spans="1:8" ht="19.8" customHeight="1" x14ac:dyDescent="0.3">
      <c r="A6" s="112">
        <v>45987</v>
      </c>
      <c r="B6" s="104" t="s">
        <v>388</v>
      </c>
      <c r="C6" s="105" t="s">
        <v>1613</v>
      </c>
      <c r="D6" s="104" t="s">
        <v>1611</v>
      </c>
      <c r="E6" s="113">
        <v>1.9826388888888891</v>
      </c>
      <c r="F6" s="104" t="s">
        <v>390</v>
      </c>
      <c r="G6" s="106">
        <v>9</v>
      </c>
      <c r="H6" s="107" t="s">
        <v>1623</v>
      </c>
    </row>
    <row r="7" spans="1:8" ht="19.8" customHeight="1" x14ac:dyDescent="0.3">
      <c r="A7" s="114">
        <v>45987</v>
      </c>
      <c r="B7" s="115" t="s">
        <v>388</v>
      </c>
      <c r="C7" s="116" t="s">
        <v>1613</v>
      </c>
      <c r="D7" s="115" t="s">
        <v>1611</v>
      </c>
      <c r="E7" s="117">
        <v>1.9826388888888891</v>
      </c>
      <c r="F7" s="115" t="s">
        <v>46</v>
      </c>
      <c r="G7" s="118">
        <v>9</v>
      </c>
      <c r="H7" s="119" t="s">
        <v>1624</v>
      </c>
    </row>
    <row r="8" spans="1:8" ht="19.8" customHeight="1" x14ac:dyDescent="0.3">
      <c r="A8" s="120">
        <v>45988</v>
      </c>
      <c r="B8" s="121" t="s">
        <v>77</v>
      </c>
      <c r="C8" s="122" t="s">
        <v>1616</v>
      </c>
      <c r="D8" s="121" t="s">
        <v>1611</v>
      </c>
      <c r="E8" s="123">
        <v>1.8125</v>
      </c>
      <c r="F8" s="121" t="s">
        <v>101</v>
      </c>
      <c r="G8" s="124">
        <v>6</v>
      </c>
      <c r="H8" s="125" t="s">
        <v>1627</v>
      </c>
    </row>
    <row r="9" spans="1:8" ht="19.8" customHeight="1" x14ac:dyDescent="0.3">
      <c r="A9" s="114">
        <v>45988</v>
      </c>
      <c r="B9" s="115" t="s">
        <v>385</v>
      </c>
      <c r="C9" s="116" t="s">
        <v>1612</v>
      </c>
      <c r="D9" s="115" t="s">
        <v>1611</v>
      </c>
      <c r="E9" s="117">
        <v>1.336805555555556</v>
      </c>
      <c r="F9" s="115" t="s">
        <v>101</v>
      </c>
      <c r="G9" s="118">
        <v>8</v>
      </c>
      <c r="H9" s="119" t="s">
        <v>1629</v>
      </c>
    </row>
    <row r="10" spans="1:8" ht="19.8" customHeight="1" x14ac:dyDescent="0.3">
      <c r="A10" s="126">
        <v>45990</v>
      </c>
      <c r="B10" s="109" t="s">
        <v>77</v>
      </c>
      <c r="C10" s="110" t="s">
        <v>1616</v>
      </c>
      <c r="D10" s="109" t="s">
        <v>1611</v>
      </c>
      <c r="E10" s="127">
        <v>1.8125</v>
      </c>
      <c r="F10" s="109" t="s">
        <v>101</v>
      </c>
      <c r="G10" s="128">
        <v>9</v>
      </c>
      <c r="H10" s="111" t="s">
        <v>1631</v>
      </c>
    </row>
  </sheetData>
  <pageMargins left="0.75" right="0.75" top="1" bottom="1" header="0.5" footer="0.5"/>
  <legacyDrawing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J191"/>
  <sheetViews>
    <sheetView workbookViewId="0"/>
  </sheetViews>
  <sheetFormatPr defaultRowHeight="14.4" x14ac:dyDescent="0.3"/>
  <cols>
    <col min="1" max="1" width="11.5546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7" bestFit="1" customWidth="1"/>
    <col min="13" max="13" width="7.44140625" bestFit="1" customWidth="1"/>
    <col min="14" max="14" width="6.109375" bestFit="1" customWidth="1"/>
    <col min="15" max="15" width="7.77734375" bestFit="1" customWidth="1"/>
    <col min="16" max="16" width="13.6640625" bestFit="1" customWidth="1"/>
    <col min="17" max="17" width="3" bestFit="1" customWidth="1"/>
    <col min="18" max="18" width="2.109375" bestFit="1" customWidth="1"/>
    <col min="19" max="34" width="3" bestFit="1" customWidth="1"/>
    <col min="35" max="35" width="4" bestFit="1" customWidth="1"/>
    <col min="36" max="36" width="2.33203125" bestFit="1" customWidth="1"/>
  </cols>
  <sheetData>
    <row r="1" spans="1:36" x14ac:dyDescent="0.3">
      <c r="A1" s="99" t="s">
        <v>158</v>
      </c>
      <c r="B1" s="99" t="s">
        <v>159</v>
      </c>
      <c r="C1" s="99" t="s">
        <v>160</v>
      </c>
      <c r="D1" s="99" t="s">
        <v>23</v>
      </c>
      <c r="E1" s="99" t="s">
        <v>161</v>
      </c>
      <c r="F1" s="99" t="s">
        <v>162</v>
      </c>
      <c r="G1" s="99" t="s">
        <v>16</v>
      </c>
      <c r="H1" s="99" t="s">
        <v>163</v>
      </c>
      <c r="I1" s="99" t="s">
        <v>164</v>
      </c>
      <c r="J1" s="99" t="s">
        <v>165</v>
      </c>
      <c r="K1" s="99" t="s">
        <v>166</v>
      </c>
      <c r="L1" s="99" t="s">
        <v>18</v>
      </c>
      <c r="M1" s="99" t="s">
        <v>20</v>
      </c>
      <c r="N1" s="99" t="s">
        <v>21</v>
      </c>
      <c r="O1" s="99" t="s">
        <v>19</v>
      </c>
      <c r="P1" s="99" t="s">
        <v>22</v>
      </c>
      <c r="Q1" s="99" t="s">
        <v>167</v>
      </c>
      <c r="R1" s="99" t="s">
        <v>168</v>
      </c>
      <c r="S1" s="99" t="s">
        <v>169</v>
      </c>
      <c r="T1" s="99" t="s">
        <v>170</v>
      </c>
      <c r="U1" s="99" t="s">
        <v>171</v>
      </c>
      <c r="V1" s="99" t="s">
        <v>172</v>
      </c>
      <c r="W1" s="99" t="s">
        <v>173</v>
      </c>
      <c r="X1" s="99" t="s">
        <v>174</v>
      </c>
      <c r="Y1" s="99" t="s">
        <v>175</v>
      </c>
      <c r="Z1" s="99" t="s">
        <v>176</v>
      </c>
      <c r="AA1" s="99" t="s">
        <v>177</v>
      </c>
      <c r="AB1" s="99" t="s">
        <v>178</v>
      </c>
      <c r="AC1" s="99" t="s">
        <v>179</v>
      </c>
      <c r="AD1" s="99" t="s">
        <v>180</v>
      </c>
      <c r="AE1" s="99" t="s">
        <v>181</v>
      </c>
      <c r="AF1" s="99" t="s">
        <v>182</v>
      </c>
      <c r="AG1" s="99" t="s">
        <v>183</v>
      </c>
      <c r="AH1" s="99" t="s">
        <v>184</v>
      </c>
      <c r="AI1" s="99" t="s">
        <v>185</v>
      </c>
      <c r="AJ1" s="99" t="s">
        <v>186</v>
      </c>
    </row>
    <row r="2" spans="1:36" x14ac:dyDescent="0.3">
      <c r="A2" t="s">
        <v>187</v>
      </c>
      <c r="B2" s="293">
        <v>45981</v>
      </c>
      <c r="C2" t="s">
        <v>894</v>
      </c>
      <c r="D2" t="s">
        <v>940</v>
      </c>
      <c r="E2" t="s">
        <v>891</v>
      </c>
      <c r="F2" t="s">
        <v>189</v>
      </c>
      <c r="G2">
        <v>0.92779999999999996</v>
      </c>
      <c r="H2">
        <v>180</v>
      </c>
      <c r="I2">
        <v>167</v>
      </c>
      <c r="J2">
        <v>133</v>
      </c>
      <c r="K2" t="s">
        <v>190</v>
      </c>
      <c r="L2" s="293">
        <v>45979</v>
      </c>
      <c r="M2">
        <v>0</v>
      </c>
      <c r="N2">
        <v>5</v>
      </c>
      <c r="O2">
        <v>22</v>
      </c>
      <c r="P2" t="s">
        <v>376</v>
      </c>
      <c r="Q2">
        <v>0</v>
      </c>
      <c r="R2">
        <v>0</v>
      </c>
      <c r="S2">
        <v>0</v>
      </c>
      <c r="T2">
        <v>0</v>
      </c>
      <c r="U2">
        <v>0</v>
      </c>
      <c r="V2">
        <v>0</v>
      </c>
      <c r="W2">
        <v>0</v>
      </c>
      <c r="X2">
        <v>0</v>
      </c>
      <c r="Y2">
        <v>0</v>
      </c>
      <c r="Z2">
        <v>9</v>
      </c>
      <c r="AA2">
        <v>24</v>
      </c>
      <c r="AB2">
        <v>0</v>
      </c>
      <c r="AC2">
        <v>1</v>
      </c>
      <c r="AD2">
        <v>0</v>
      </c>
      <c r="AE2">
        <v>0</v>
      </c>
      <c r="AF2">
        <v>0</v>
      </c>
      <c r="AG2">
        <v>47</v>
      </c>
      <c r="AH2">
        <v>0</v>
      </c>
      <c r="AI2">
        <v>86</v>
      </c>
      <c r="AJ2">
        <v>0</v>
      </c>
    </row>
    <row r="3" spans="1:36" x14ac:dyDescent="0.3">
      <c r="A3" t="s">
        <v>187</v>
      </c>
      <c r="B3" s="293">
        <v>45981</v>
      </c>
      <c r="C3" t="s">
        <v>897</v>
      </c>
      <c r="D3" t="s">
        <v>944</v>
      </c>
      <c r="E3" t="s">
        <v>891</v>
      </c>
      <c r="F3" t="s">
        <v>189</v>
      </c>
      <c r="G3">
        <v>0.82779999999999998</v>
      </c>
      <c r="H3">
        <v>180</v>
      </c>
      <c r="I3">
        <v>149</v>
      </c>
      <c r="J3">
        <v>94</v>
      </c>
      <c r="K3" t="s">
        <v>190</v>
      </c>
      <c r="L3" s="293">
        <v>45980</v>
      </c>
      <c r="M3">
        <v>2</v>
      </c>
      <c r="N3">
        <v>9</v>
      </c>
      <c r="O3">
        <v>39</v>
      </c>
      <c r="P3" t="s">
        <v>368</v>
      </c>
      <c r="Q3">
        <v>0</v>
      </c>
      <c r="R3">
        <v>0</v>
      </c>
      <c r="S3">
        <v>0</v>
      </c>
      <c r="T3">
        <v>0</v>
      </c>
      <c r="U3">
        <v>0</v>
      </c>
      <c r="V3">
        <v>0</v>
      </c>
      <c r="W3">
        <v>0</v>
      </c>
      <c r="X3">
        <v>0</v>
      </c>
      <c r="Y3">
        <v>0</v>
      </c>
      <c r="Z3">
        <v>24</v>
      </c>
      <c r="AA3">
        <v>30</v>
      </c>
      <c r="AB3">
        <v>0</v>
      </c>
      <c r="AC3">
        <v>0</v>
      </c>
      <c r="AD3">
        <v>0</v>
      </c>
      <c r="AE3">
        <v>0</v>
      </c>
      <c r="AF3">
        <v>0</v>
      </c>
      <c r="AG3">
        <v>0</v>
      </c>
      <c r="AH3">
        <v>0</v>
      </c>
      <c r="AI3">
        <v>95</v>
      </c>
      <c r="AJ3">
        <v>0</v>
      </c>
    </row>
    <row r="4" spans="1:36" x14ac:dyDescent="0.3">
      <c r="A4" t="s">
        <v>187</v>
      </c>
      <c r="B4" s="293">
        <v>45981</v>
      </c>
      <c r="C4" t="s">
        <v>1503</v>
      </c>
      <c r="D4" t="s">
        <v>311</v>
      </c>
      <c r="E4" t="s">
        <v>1498</v>
      </c>
      <c r="F4" t="s">
        <v>189</v>
      </c>
      <c r="G4">
        <v>0.96089999999999998</v>
      </c>
      <c r="H4">
        <v>179</v>
      </c>
      <c r="I4">
        <v>172</v>
      </c>
      <c r="J4">
        <v>0</v>
      </c>
      <c r="K4" t="s">
        <v>190</v>
      </c>
      <c r="L4" s="293">
        <v>45979</v>
      </c>
      <c r="M4">
        <v>0</v>
      </c>
      <c r="N4">
        <v>9</v>
      </c>
      <c r="O4">
        <v>64</v>
      </c>
      <c r="P4" t="s">
        <v>1495</v>
      </c>
      <c r="Q4">
        <v>0</v>
      </c>
      <c r="R4">
        <v>2</v>
      </c>
      <c r="S4">
        <v>8</v>
      </c>
      <c r="T4">
        <v>18</v>
      </c>
      <c r="U4">
        <v>18</v>
      </c>
      <c r="V4">
        <v>18</v>
      </c>
      <c r="W4">
        <v>18</v>
      </c>
      <c r="X4">
        <v>23</v>
      </c>
      <c r="Y4">
        <v>12</v>
      </c>
      <c r="Z4">
        <v>8</v>
      </c>
      <c r="AA4">
        <v>4</v>
      </c>
      <c r="AB4">
        <v>16</v>
      </c>
      <c r="AC4">
        <v>9</v>
      </c>
      <c r="AD4">
        <v>9</v>
      </c>
      <c r="AE4">
        <v>7</v>
      </c>
      <c r="AF4">
        <v>2</v>
      </c>
      <c r="AG4">
        <v>0</v>
      </c>
      <c r="AH4">
        <v>0</v>
      </c>
      <c r="AI4">
        <v>0</v>
      </c>
      <c r="AJ4">
        <v>0</v>
      </c>
    </row>
    <row r="5" spans="1:36" x14ac:dyDescent="0.3">
      <c r="A5" t="s">
        <v>187</v>
      </c>
      <c r="B5" s="293">
        <v>45981</v>
      </c>
      <c r="C5" t="s">
        <v>1425</v>
      </c>
      <c r="D5" t="s">
        <v>1437</v>
      </c>
      <c r="E5" t="s">
        <v>1420</v>
      </c>
      <c r="F5" t="s">
        <v>189</v>
      </c>
      <c r="G5">
        <v>0.29049999999999998</v>
      </c>
      <c r="H5">
        <v>179</v>
      </c>
      <c r="I5">
        <v>52</v>
      </c>
      <c r="J5">
        <v>0</v>
      </c>
      <c r="K5" t="s">
        <v>190</v>
      </c>
      <c r="L5" s="293">
        <v>45979</v>
      </c>
      <c r="M5">
        <v>0</v>
      </c>
      <c r="N5">
        <v>8</v>
      </c>
      <c r="O5">
        <v>31</v>
      </c>
      <c r="P5" t="s">
        <v>597</v>
      </c>
      <c r="Q5">
        <v>0</v>
      </c>
      <c r="R5">
        <v>0</v>
      </c>
      <c r="S5">
        <v>0</v>
      </c>
      <c r="T5">
        <v>0</v>
      </c>
      <c r="U5">
        <v>0</v>
      </c>
      <c r="V5">
        <v>0</v>
      </c>
      <c r="W5">
        <v>0</v>
      </c>
      <c r="X5">
        <v>0</v>
      </c>
      <c r="Y5">
        <v>0</v>
      </c>
      <c r="Z5">
        <v>15</v>
      </c>
      <c r="AA5">
        <v>0</v>
      </c>
      <c r="AB5">
        <v>0</v>
      </c>
      <c r="AC5">
        <v>22</v>
      </c>
      <c r="AD5">
        <v>11</v>
      </c>
      <c r="AE5">
        <v>3</v>
      </c>
      <c r="AF5">
        <v>1</v>
      </c>
      <c r="AG5">
        <v>0</v>
      </c>
      <c r="AH5">
        <v>0</v>
      </c>
      <c r="AI5">
        <v>0</v>
      </c>
      <c r="AJ5">
        <v>0</v>
      </c>
    </row>
    <row r="6" spans="1:36" x14ac:dyDescent="0.3">
      <c r="A6" t="s">
        <v>187</v>
      </c>
      <c r="B6" s="293">
        <v>45981</v>
      </c>
      <c r="C6" t="s">
        <v>1283</v>
      </c>
      <c r="D6" t="s">
        <v>1328</v>
      </c>
      <c r="E6" t="s">
        <v>1264</v>
      </c>
      <c r="F6" t="s">
        <v>189</v>
      </c>
      <c r="G6">
        <v>0.47870000000000001</v>
      </c>
      <c r="H6">
        <v>188</v>
      </c>
      <c r="I6">
        <v>90</v>
      </c>
      <c r="J6">
        <v>0</v>
      </c>
      <c r="K6" t="s">
        <v>190</v>
      </c>
      <c r="L6" s="293">
        <v>45980</v>
      </c>
      <c r="M6">
        <v>1</v>
      </c>
      <c r="N6">
        <v>1</v>
      </c>
      <c r="O6">
        <v>23</v>
      </c>
      <c r="P6" t="s">
        <v>568</v>
      </c>
      <c r="Q6">
        <v>0</v>
      </c>
      <c r="R6">
        <v>0</v>
      </c>
      <c r="S6">
        <v>0</v>
      </c>
      <c r="T6">
        <v>0</v>
      </c>
      <c r="U6">
        <v>0</v>
      </c>
      <c r="V6">
        <v>0</v>
      </c>
      <c r="W6">
        <v>2</v>
      </c>
      <c r="X6">
        <v>8</v>
      </c>
      <c r="Y6">
        <v>10</v>
      </c>
      <c r="Z6">
        <v>27</v>
      </c>
      <c r="AA6">
        <v>0</v>
      </c>
      <c r="AB6">
        <v>0</v>
      </c>
      <c r="AC6">
        <v>0</v>
      </c>
      <c r="AD6">
        <v>36</v>
      </c>
      <c r="AE6">
        <v>3</v>
      </c>
      <c r="AF6">
        <v>4</v>
      </c>
      <c r="AG6">
        <v>0</v>
      </c>
      <c r="AH6">
        <v>0</v>
      </c>
      <c r="AI6">
        <v>0</v>
      </c>
      <c r="AJ6">
        <v>0</v>
      </c>
    </row>
    <row r="7" spans="1:36" x14ac:dyDescent="0.3">
      <c r="A7" t="s">
        <v>187</v>
      </c>
      <c r="B7" s="293">
        <v>45981</v>
      </c>
      <c r="C7" t="s">
        <v>1554</v>
      </c>
      <c r="D7" t="s">
        <v>1210</v>
      </c>
      <c r="E7" t="s">
        <v>1551</v>
      </c>
      <c r="F7" t="s">
        <v>189</v>
      </c>
      <c r="G7">
        <v>0.58099999999999996</v>
      </c>
      <c r="H7">
        <v>179</v>
      </c>
      <c r="I7">
        <v>104</v>
      </c>
      <c r="J7">
        <v>0</v>
      </c>
      <c r="K7" t="s">
        <v>190</v>
      </c>
      <c r="L7" s="293">
        <v>45979</v>
      </c>
      <c r="M7">
        <v>0</v>
      </c>
      <c r="N7">
        <v>7</v>
      </c>
      <c r="O7">
        <v>44</v>
      </c>
      <c r="P7" t="s">
        <v>422</v>
      </c>
      <c r="Q7">
        <v>0</v>
      </c>
      <c r="R7">
        <v>0</v>
      </c>
      <c r="S7">
        <v>0</v>
      </c>
      <c r="T7">
        <v>0</v>
      </c>
      <c r="U7">
        <v>0</v>
      </c>
      <c r="V7">
        <v>0</v>
      </c>
      <c r="W7">
        <v>0</v>
      </c>
      <c r="X7">
        <v>0</v>
      </c>
      <c r="Y7">
        <v>6</v>
      </c>
      <c r="Z7">
        <v>10</v>
      </c>
      <c r="AA7">
        <v>47</v>
      </c>
      <c r="AB7">
        <v>0</v>
      </c>
      <c r="AC7">
        <v>0</v>
      </c>
      <c r="AD7">
        <v>1</v>
      </c>
      <c r="AE7">
        <v>6</v>
      </c>
      <c r="AF7">
        <v>34</v>
      </c>
      <c r="AG7">
        <v>0</v>
      </c>
      <c r="AH7">
        <v>0</v>
      </c>
      <c r="AI7">
        <v>0</v>
      </c>
      <c r="AJ7">
        <v>0</v>
      </c>
    </row>
    <row r="8" spans="1:36" x14ac:dyDescent="0.3">
      <c r="A8" t="s">
        <v>187</v>
      </c>
      <c r="B8" s="293">
        <v>45981</v>
      </c>
      <c r="C8" t="s">
        <v>1618</v>
      </c>
      <c r="D8" t="s">
        <v>1604</v>
      </c>
      <c r="E8" t="s">
        <v>1611</v>
      </c>
      <c r="F8" t="s">
        <v>189</v>
      </c>
      <c r="G8">
        <v>0.72629999999999995</v>
      </c>
      <c r="H8">
        <v>179</v>
      </c>
      <c r="I8">
        <v>130</v>
      </c>
      <c r="J8">
        <v>0</v>
      </c>
      <c r="K8" t="s">
        <v>190</v>
      </c>
      <c r="L8" s="293">
        <v>45979</v>
      </c>
      <c r="M8">
        <v>0</v>
      </c>
      <c r="N8">
        <v>7</v>
      </c>
      <c r="O8">
        <v>32</v>
      </c>
      <c r="P8" t="s">
        <v>280</v>
      </c>
      <c r="Q8">
        <v>0</v>
      </c>
      <c r="R8">
        <v>0</v>
      </c>
      <c r="S8">
        <v>0</v>
      </c>
      <c r="T8">
        <v>0</v>
      </c>
      <c r="U8">
        <v>0</v>
      </c>
      <c r="V8">
        <v>0</v>
      </c>
      <c r="W8">
        <v>0</v>
      </c>
      <c r="X8">
        <v>0</v>
      </c>
      <c r="Y8">
        <v>0</v>
      </c>
      <c r="Z8">
        <v>8</v>
      </c>
      <c r="AA8">
        <v>1</v>
      </c>
      <c r="AB8">
        <v>1</v>
      </c>
      <c r="AC8">
        <v>59</v>
      </c>
      <c r="AD8">
        <v>38</v>
      </c>
      <c r="AE8">
        <v>22</v>
      </c>
      <c r="AF8">
        <v>1</v>
      </c>
      <c r="AG8">
        <v>0</v>
      </c>
      <c r="AH8">
        <v>0</v>
      </c>
      <c r="AI8">
        <v>0</v>
      </c>
      <c r="AJ8">
        <v>0</v>
      </c>
    </row>
    <row r="9" spans="1:36" x14ac:dyDescent="0.3">
      <c r="A9" t="s">
        <v>187</v>
      </c>
      <c r="B9" s="293">
        <v>45981</v>
      </c>
      <c r="C9" t="s">
        <v>380</v>
      </c>
      <c r="D9" t="s">
        <v>600</v>
      </c>
      <c r="E9" t="s">
        <v>335</v>
      </c>
      <c r="F9" t="s">
        <v>189</v>
      </c>
      <c r="G9">
        <v>0.82220000000000004</v>
      </c>
      <c r="H9">
        <v>180</v>
      </c>
      <c r="I9">
        <v>148</v>
      </c>
      <c r="J9">
        <v>30</v>
      </c>
      <c r="K9" t="s">
        <v>190</v>
      </c>
      <c r="L9" s="293">
        <v>45980</v>
      </c>
      <c r="M9">
        <v>1</v>
      </c>
      <c r="N9">
        <v>9</v>
      </c>
      <c r="O9">
        <v>50</v>
      </c>
      <c r="P9" t="s">
        <v>381</v>
      </c>
      <c r="Q9">
        <v>0</v>
      </c>
      <c r="R9">
        <v>0</v>
      </c>
      <c r="S9">
        <v>0</v>
      </c>
      <c r="T9">
        <v>0</v>
      </c>
      <c r="U9">
        <v>0</v>
      </c>
      <c r="V9">
        <v>0</v>
      </c>
      <c r="W9">
        <v>0</v>
      </c>
      <c r="X9">
        <v>0</v>
      </c>
      <c r="Y9">
        <v>0</v>
      </c>
      <c r="Z9">
        <v>12</v>
      </c>
      <c r="AA9">
        <v>11</v>
      </c>
      <c r="AB9">
        <v>11</v>
      </c>
      <c r="AC9">
        <v>11</v>
      </c>
      <c r="AD9">
        <v>12</v>
      </c>
      <c r="AE9">
        <v>11</v>
      </c>
      <c r="AF9">
        <v>50</v>
      </c>
      <c r="AG9">
        <v>29</v>
      </c>
      <c r="AH9">
        <v>0</v>
      </c>
      <c r="AI9">
        <v>0</v>
      </c>
      <c r="AJ9">
        <v>1</v>
      </c>
    </row>
    <row r="10" spans="1:36" x14ac:dyDescent="0.3">
      <c r="A10" t="s">
        <v>187</v>
      </c>
      <c r="B10" s="293">
        <v>45981</v>
      </c>
      <c r="C10" t="s">
        <v>367</v>
      </c>
      <c r="D10" t="s">
        <v>584</v>
      </c>
      <c r="E10" t="s">
        <v>335</v>
      </c>
      <c r="F10" t="s">
        <v>189</v>
      </c>
      <c r="G10">
        <v>0.91110000000000002</v>
      </c>
      <c r="H10">
        <v>180</v>
      </c>
      <c r="I10">
        <v>164</v>
      </c>
      <c r="J10">
        <v>92</v>
      </c>
      <c r="K10" t="s">
        <v>190</v>
      </c>
      <c r="L10" s="293">
        <v>45979</v>
      </c>
      <c r="M10">
        <v>0</v>
      </c>
      <c r="N10">
        <v>2</v>
      </c>
      <c r="O10">
        <v>49</v>
      </c>
      <c r="P10" t="s">
        <v>368</v>
      </c>
      <c r="Q10">
        <v>0</v>
      </c>
      <c r="R10">
        <v>0</v>
      </c>
      <c r="S10">
        <v>0</v>
      </c>
      <c r="T10">
        <v>0</v>
      </c>
      <c r="U10">
        <v>0</v>
      </c>
      <c r="V10">
        <v>0</v>
      </c>
      <c r="W10">
        <v>0</v>
      </c>
      <c r="X10">
        <v>1</v>
      </c>
      <c r="Y10">
        <v>0</v>
      </c>
      <c r="Z10">
        <v>4</v>
      </c>
      <c r="AA10">
        <v>10</v>
      </c>
      <c r="AB10">
        <v>10</v>
      </c>
      <c r="AC10">
        <v>10</v>
      </c>
      <c r="AD10">
        <v>10</v>
      </c>
      <c r="AE10">
        <v>15</v>
      </c>
      <c r="AF10">
        <v>10</v>
      </c>
      <c r="AG10">
        <v>0</v>
      </c>
      <c r="AH10">
        <v>0</v>
      </c>
      <c r="AI10">
        <v>92</v>
      </c>
      <c r="AJ10">
        <v>2</v>
      </c>
    </row>
    <row r="11" spans="1:36" x14ac:dyDescent="0.3">
      <c r="A11" t="s">
        <v>187</v>
      </c>
      <c r="B11" s="293">
        <v>45981</v>
      </c>
      <c r="C11" t="s">
        <v>371</v>
      </c>
      <c r="D11" t="s">
        <v>240</v>
      </c>
      <c r="E11" t="s">
        <v>335</v>
      </c>
      <c r="F11" t="s">
        <v>189</v>
      </c>
      <c r="G11">
        <v>0.9385</v>
      </c>
      <c r="H11">
        <v>179</v>
      </c>
      <c r="I11">
        <v>168</v>
      </c>
      <c r="J11">
        <v>74</v>
      </c>
      <c r="K11" t="s">
        <v>190</v>
      </c>
      <c r="L11" s="293">
        <v>45980</v>
      </c>
      <c r="M11">
        <v>1</v>
      </c>
      <c r="N11">
        <v>2</v>
      </c>
      <c r="O11">
        <v>84</v>
      </c>
      <c r="P11" t="s">
        <v>372</v>
      </c>
      <c r="Q11">
        <v>0</v>
      </c>
      <c r="R11">
        <v>0</v>
      </c>
      <c r="S11">
        <v>0</v>
      </c>
      <c r="T11">
        <v>0</v>
      </c>
      <c r="U11">
        <v>0</v>
      </c>
      <c r="V11">
        <v>0</v>
      </c>
      <c r="W11">
        <v>0</v>
      </c>
      <c r="X11">
        <v>0</v>
      </c>
      <c r="Y11">
        <v>0</v>
      </c>
      <c r="Z11">
        <v>6</v>
      </c>
      <c r="AA11">
        <v>12</v>
      </c>
      <c r="AB11">
        <v>11</v>
      </c>
      <c r="AC11">
        <v>11</v>
      </c>
      <c r="AD11">
        <v>12</v>
      </c>
      <c r="AE11">
        <v>11</v>
      </c>
      <c r="AF11">
        <v>31</v>
      </c>
      <c r="AG11">
        <v>34</v>
      </c>
      <c r="AH11">
        <v>0</v>
      </c>
      <c r="AI11">
        <v>40</v>
      </c>
      <c r="AJ11">
        <v>0</v>
      </c>
    </row>
    <row r="12" spans="1:36" x14ac:dyDescent="0.3">
      <c r="A12" t="s">
        <v>187</v>
      </c>
      <c r="B12" s="293">
        <v>45981</v>
      </c>
      <c r="C12" t="s">
        <v>375</v>
      </c>
      <c r="D12" t="s">
        <v>581</v>
      </c>
      <c r="E12" t="s">
        <v>335</v>
      </c>
      <c r="F12" t="s">
        <v>189</v>
      </c>
      <c r="G12">
        <v>0.84440000000000004</v>
      </c>
      <c r="H12">
        <v>180</v>
      </c>
      <c r="I12">
        <v>152</v>
      </c>
      <c r="J12">
        <v>46</v>
      </c>
      <c r="K12" t="s">
        <v>190</v>
      </c>
      <c r="L12" s="293">
        <v>45980</v>
      </c>
      <c r="M12">
        <v>1</v>
      </c>
      <c r="N12">
        <v>3</v>
      </c>
      <c r="O12">
        <v>93</v>
      </c>
      <c r="P12" t="s">
        <v>376</v>
      </c>
      <c r="Q12">
        <v>0</v>
      </c>
      <c r="R12">
        <v>0</v>
      </c>
      <c r="S12">
        <v>0</v>
      </c>
      <c r="T12">
        <v>0</v>
      </c>
      <c r="U12">
        <v>0</v>
      </c>
      <c r="V12">
        <v>0</v>
      </c>
      <c r="W12">
        <v>0</v>
      </c>
      <c r="X12">
        <v>0</v>
      </c>
      <c r="Y12">
        <v>1</v>
      </c>
      <c r="Z12">
        <v>8</v>
      </c>
      <c r="AA12">
        <v>12</v>
      </c>
      <c r="AB12">
        <v>11</v>
      </c>
      <c r="AC12">
        <v>11</v>
      </c>
      <c r="AD12">
        <v>12</v>
      </c>
      <c r="AE12">
        <v>11</v>
      </c>
      <c r="AF12">
        <v>40</v>
      </c>
      <c r="AG12">
        <v>0</v>
      </c>
      <c r="AH12">
        <v>0</v>
      </c>
      <c r="AI12">
        <v>46</v>
      </c>
      <c r="AJ12">
        <v>0</v>
      </c>
    </row>
    <row r="13" spans="1:36" x14ac:dyDescent="0.3">
      <c r="A13" t="s">
        <v>187</v>
      </c>
      <c r="B13" s="293">
        <v>45981</v>
      </c>
      <c r="C13" t="s">
        <v>383</v>
      </c>
      <c r="D13" t="s">
        <v>590</v>
      </c>
      <c r="E13" t="s">
        <v>335</v>
      </c>
      <c r="F13" t="s">
        <v>189</v>
      </c>
      <c r="G13">
        <v>1.0111000000000001</v>
      </c>
      <c r="H13">
        <v>180</v>
      </c>
      <c r="I13">
        <v>182</v>
      </c>
      <c r="J13">
        <v>140</v>
      </c>
      <c r="K13" t="s">
        <v>190</v>
      </c>
      <c r="L13" s="293">
        <v>45972</v>
      </c>
      <c r="M13">
        <v>0</v>
      </c>
      <c r="N13">
        <v>0</v>
      </c>
      <c r="O13">
        <v>0</v>
      </c>
      <c r="P13" t="s">
        <v>81</v>
      </c>
      <c r="Q13">
        <v>0</v>
      </c>
      <c r="R13">
        <v>0</v>
      </c>
      <c r="S13">
        <v>0</v>
      </c>
      <c r="T13">
        <v>0</v>
      </c>
      <c r="U13">
        <v>0</v>
      </c>
      <c r="V13">
        <v>0</v>
      </c>
      <c r="W13">
        <v>0</v>
      </c>
      <c r="X13">
        <v>0</v>
      </c>
      <c r="Y13">
        <v>0</v>
      </c>
      <c r="Z13">
        <v>11</v>
      </c>
      <c r="AA13">
        <v>0</v>
      </c>
      <c r="AB13">
        <v>0</v>
      </c>
      <c r="AC13">
        <v>2</v>
      </c>
      <c r="AD13">
        <v>0</v>
      </c>
      <c r="AE13">
        <v>4</v>
      </c>
      <c r="AF13">
        <v>17</v>
      </c>
      <c r="AG13">
        <v>0</v>
      </c>
      <c r="AH13">
        <v>0</v>
      </c>
      <c r="AI13">
        <v>142</v>
      </c>
      <c r="AJ13">
        <v>6</v>
      </c>
    </row>
    <row r="14" spans="1:36" x14ac:dyDescent="0.3">
      <c r="A14" t="s">
        <v>187</v>
      </c>
      <c r="B14" s="293">
        <v>45981</v>
      </c>
      <c r="C14" t="s">
        <v>363</v>
      </c>
      <c r="D14" t="s">
        <v>595</v>
      </c>
      <c r="E14" t="s">
        <v>335</v>
      </c>
      <c r="F14" t="s">
        <v>189</v>
      </c>
      <c r="G14">
        <v>0.97219999999999995</v>
      </c>
      <c r="H14">
        <v>180</v>
      </c>
      <c r="I14">
        <v>175</v>
      </c>
      <c r="J14">
        <v>133</v>
      </c>
      <c r="K14" t="s">
        <v>190</v>
      </c>
      <c r="L14" s="293">
        <v>45974</v>
      </c>
      <c r="M14">
        <v>0</v>
      </c>
      <c r="N14">
        <v>0</v>
      </c>
      <c r="O14">
        <v>52</v>
      </c>
      <c r="P14" t="s">
        <v>319</v>
      </c>
      <c r="Q14">
        <v>0</v>
      </c>
      <c r="R14">
        <v>0</v>
      </c>
      <c r="S14">
        <v>0</v>
      </c>
      <c r="T14">
        <v>0</v>
      </c>
      <c r="U14">
        <v>0</v>
      </c>
      <c r="V14">
        <v>0</v>
      </c>
      <c r="W14">
        <v>0</v>
      </c>
      <c r="X14">
        <v>0</v>
      </c>
      <c r="Y14">
        <v>0</v>
      </c>
      <c r="Z14">
        <v>7</v>
      </c>
      <c r="AA14">
        <v>0</v>
      </c>
      <c r="AB14">
        <v>4</v>
      </c>
      <c r="AC14">
        <v>9</v>
      </c>
      <c r="AD14">
        <v>10</v>
      </c>
      <c r="AE14">
        <v>5</v>
      </c>
      <c r="AF14">
        <v>5</v>
      </c>
      <c r="AG14">
        <v>0</v>
      </c>
      <c r="AH14">
        <v>0</v>
      </c>
      <c r="AI14">
        <v>135</v>
      </c>
      <c r="AJ14">
        <v>0</v>
      </c>
    </row>
    <row r="15" spans="1:36" x14ac:dyDescent="0.3">
      <c r="A15" t="s">
        <v>187</v>
      </c>
      <c r="B15" s="293">
        <v>45981</v>
      </c>
      <c r="C15" t="s">
        <v>78</v>
      </c>
      <c r="D15" t="s">
        <v>188</v>
      </c>
      <c r="E15" t="s">
        <v>1</v>
      </c>
      <c r="F15" t="s">
        <v>189</v>
      </c>
      <c r="G15">
        <v>0.97870000000000001</v>
      </c>
      <c r="H15">
        <v>188</v>
      </c>
      <c r="I15">
        <v>184</v>
      </c>
      <c r="J15">
        <v>135</v>
      </c>
      <c r="K15" t="s">
        <v>190</v>
      </c>
      <c r="L15" s="293">
        <v>45978</v>
      </c>
      <c r="M15">
        <v>0</v>
      </c>
      <c r="N15">
        <v>0</v>
      </c>
      <c r="O15">
        <v>39</v>
      </c>
      <c r="P15" t="s">
        <v>81</v>
      </c>
      <c r="Q15">
        <v>0</v>
      </c>
      <c r="R15">
        <v>0</v>
      </c>
      <c r="S15">
        <v>0</v>
      </c>
      <c r="T15">
        <v>0</v>
      </c>
      <c r="U15">
        <v>0</v>
      </c>
      <c r="V15">
        <v>0</v>
      </c>
      <c r="W15">
        <v>3</v>
      </c>
      <c r="X15">
        <v>0</v>
      </c>
      <c r="Y15">
        <v>0</v>
      </c>
      <c r="Z15">
        <v>2</v>
      </c>
      <c r="AA15">
        <v>0</v>
      </c>
      <c r="AB15">
        <v>0</v>
      </c>
      <c r="AC15">
        <v>10</v>
      </c>
      <c r="AD15">
        <v>11</v>
      </c>
      <c r="AE15">
        <v>11</v>
      </c>
      <c r="AF15">
        <v>10</v>
      </c>
      <c r="AG15">
        <v>0</v>
      </c>
      <c r="AH15">
        <v>0</v>
      </c>
      <c r="AI15">
        <v>130</v>
      </c>
      <c r="AJ15">
        <v>7</v>
      </c>
    </row>
    <row r="16" spans="1:36" x14ac:dyDescent="0.3">
      <c r="A16" t="s">
        <v>187</v>
      </c>
      <c r="B16" s="293">
        <v>45981</v>
      </c>
      <c r="C16" t="s">
        <v>1054</v>
      </c>
      <c r="D16" t="s">
        <v>1176</v>
      </c>
      <c r="E16" t="s">
        <v>1016</v>
      </c>
      <c r="F16" t="s">
        <v>189</v>
      </c>
      <c r="G16">
        <v>0.57540000000000002</v>
      </c>
      <c r="H16">
        <v>179</v>
      </c>
      <c r="I16">
        <v>103</v>
      </c>
      <c r="J16">
        <v>0</v>
      </c>
      <c r="K16" t="s">
        <v>190</v>
      </c>
      <c r="L16" s="293">
        <v>45980</v>
      </c>
      <c r="M16">
        <v>1</v>
      </c>
      <c r="N16">
        <v>5</v>
      </c>
      <c r="O16">
        <v>45</v>
      </c>
      <c r="P16" t="s">
        <v>881</v>
      </c>
      <c r="Q16">
        <v>0</v>
      </c>
      <c r="R16">
        <v>0</v>
      </c>
      <c r="S16">
        <v>0</v>
      </c>
      <c r="T16">
        <v>0</v>
      </c>
      <c r="U16">
        <v>0</v>
      </c>
      <c r="V16">
        <v>0</v>
      </c>
      <c r="W16">
        <v>0</v>
      </c>
      <c r="X16">
        <v>0</v>
      </c>
      <c r="Y16">
        <v>0</v>
      </c>
      <c r="Z16">
        <v>0</v>
      </c>
      <c r="AA16">
        <v>0</v>
      </c>
      <c r="AB16">
        <v>3</v>
      </c>
      <c r="AC16">
        <v>31</v>
      </c>
      <c r="AD16">
        <v>20</v>
      </c>
      <c r="AE16">
        <v>15</v>
      </c>
      <c r="AF16">
        <v>34</v>
      </c>
      <c r="AG16">
        <v>0</v>
      </c>
      <c r="AH16">
        <v>0</v>
      </c>
      <c r="AI16">
        <v>0</v>
      </c>
      <c r="AJ16">
        <v>0</v>
      </c>
    </row>
    <row r="17" spans="1:36" x14ac:dyDescent="0.3">
      <c r="A17" t="s">
        <v>187</v>
      </c>
      <c r="B17" s="293">
        <v>45981</v>
      </c>
      <c r="C17" t="s">
        <v>1374</v>
      </c>
      <c r="D17" t="s">
        <v>1400</v>
      </c>
      <c r="E17" t="s">
        <v>1370</v>
      </c>
      <c r="F17" t="s">
        <v>189</v>
      </c>
      <c r="G17">
        <v>0.35749999999999998</v>
      </c>
      <c r="H17">
        <v>179</v>
      </c>
      <c r="I17">
        <v>64</v>
      </c>
      <c r="J17">
        <v>0</v>
      </c>
      <c r="K17" t="s">
        <v>190</v>
      </c>
      <c r="L17" s="293">
        <v>45979</v>
      </c>
      <c r="M17">
        <v>0</v>
      </c>
      <c r="N17">
        <v>5</v>
      </c>
      <c r="O17">
        <v>33</v>
      </c>
      <c r="P17" t="s">
        <v>210</v>
      </c>
      <c r="Q17">
        <v>0</v>
      </c>
      <c r="R17">
        <v>0</v>
      </c>
      <c r="S17">
        <v>0</v>
      </c>
      <c r="T17">
        <v>0</v>
      </c>
      <c r="U17">
        <v>0</v>
      </c>
      <c r="V17">
        <v>0</v>
      </c>
      <c r="W17">
        <v>0</v>
      </c>
      <c r="X17">
        <v>0</v>
      </c>
      <c r="Y17">
        <v>0</v>
      </c>
      <c r="Z17">
        <v>2</v>
      </c>
      <c r="AA17">
        <v>0</v>
      </c>
      <c r="AB17">
        <v>0</v>
      </c>
      <c r="AC17">
        <v>0</v>
      </c>
      <c r="AD17">
        <v>4</v>
      </c>
      <c r="AE17">
        <v>3</v>
      </c>
      <c r="AF17">
        <v>55</v>
      </c>
      <c r="AG17">
        <v>0</v>
      </c>
      <c r="AH17">
        <v>0</v>
      </c>
      <c r="AI17">
        <v>0</v>
      </c>
      <c r="AJ17">
        <v>0</v>
      </c>
    </row>
    <row r="18" spans="1:36" x14ac:dyDescent="0.3">
      <c r="A18" t="s">
        <v>187</v>
      </c>
      <c r="B18" s="293">
        <v>45981</v>
      </c>
      <c r="C18" t="s">
        <v>1460</v>
      </c>
      <c r="D18" t="s">
        <v>615</v>
      </c>
      <c r="E18" t="s">
        <v>1457</v>
      </c>
      <c r="F18" t="s">
        <v>189</v>
      </c>
      <c r="G18">
        <v>0.89939999999999998</v>
      </c>
      <c r="H18">
        <v>179</v>
      </c>
      <c r="I18">
        <v>161</v>
      </c>
      <c r="J18">
        <v>91</v>
      </c>
      <c r="K18" t="s">
        <v>190</v>
      </c>
      <c r="L18" s="293">
        <v>45979</v>
      </c>
      <c r="M18">
        <v>0</v>
      </c>
      <c r="N18">
        <v>11</v>
      </c>
      <c r="O18">
        <v>31</v>
      </c>
      <c r="P18" t="s">
        <v>631</v>
      </c>
      <c r="Q18">
        <v>0</v>
      </c>
      <c r="R18">
        <v>0</v>
      </c>
      <c r="S18">
        <v>0</v>
      </c>
      <c r="T18">
        <v>0</v>
      </c>
      <c r="U18">
        <v>0</v>
      </c>
      <c r="V18">
        <v>0</v>
      </c>
      <c r="W18">
        <v>0</v>
      </c>
      <c r="X18">
        <v>0</v>
      </c>
      <c r="Y18">
        <v>1</v>
      </c>
      <c r="Z18">
        <v>7</v>
      </c>
      <c r="AA18">
        <v>35</v>
      </c>
      <c r="AB18">
        <v>6</v>
      </c>
      <c r="AC18">
        <v>17</v>
      </c>
      <c r="AD18">
        <v>4</v>
      </c>
      <c r="AE18">
        <v>0</v>
      </c>
      <c r="AF18">
        <v>0</v>
      </c>
      <c r="AG18">
        <v>0</v>
      </c>
      <c r="AH18">
        <v>0</v>
      </c>
      <c r="AI18">
        <v>91</v>
      </c>
      <c r="AJ18">
        <v>0</v>
      </c>
    </row>
    <row r="19" spans="1:36" x14ac:dyDescent="0.3">
      <c r="A19" t="s">
        <v>187</v>
      </c>
      <c r="B19" s="293">
        <v>45981</v>
      </c>
      <c r="C19" t="s">
        <v>761</v>
      </c>
      <c r="D19" t="s">
        <v>862</v>
      </c>
      <c r="E19" t="s">
        <v>754</v>
      </c>
      <c r="F19" t="s">
        <v>189</v>
      </c>
      <c r="G19">
        <v>1</v>
      </c>
      <c r="H19">
        <v>180</v>
      </c>
      <c r="I19">
        <v>180</v>
      </c>
      <c r="J19">
        <v>130</v>
      </c>
      <c r="K19" t="s">
        <v>190</v>
      </c>
      <c r="L19" s="293">
        <v>45979</v>
      </c>
      <c r="M19">
        <v>0</v>
      </c>
      <c r="N19">
        <v>2</v>
      </c>
      <c r="O19">
        <v>18</v>
      </c>
      <c r="P19" t="s">
        <v>81</v>
      </c>
      <c r="Q19">
        <v>0</v>
      </c>
      <c r="R19">
        <v>0</v>
      </c>
      <c r="S19">
        <v>0</v>
      </c>
      <c r="T19">
        <v>0</v>
      </c>
      <c r="U19">
        <v>0</v>
      </c>
      <c r="V19">
        <v>0</v>
      </c>
      <c r="W19">
        <v>0</v>
      </c>
      <c r="X19">
        <v>0</v>
      </c>
      <c r="Y19">
        <v>0</v>
      </c>
      <c r="Z19">
        <v>3</v>
      </c>
      <c r="AA19">
        <v>0</v>
      </c>
      <c r="AB19">
        <v>12</v>
      </c>
      <c r="AC19">
        <v>13</v>
      </c>
      <c r="AD19">
        <v>3</v>
      </c>
      <c r="AE19">
        <v>2</v>
      </c>
      <c r="AF19">
        <v>17</v>
      </c>
      <c r="AG19">
        <v>0</v>
      </c>
      <c r="AH19">
        <v>0</v>
      </c>
      <c r="AI19">
        <v>130</v>
      </c>
      <c r="AJ19">
        <v>0</v>
      </c>
    </row>
    <row r="20" spans="1:36" x14ac:dyDescent="0.3">
      <c r="A20" t="s">
        <v>187</v>
      </c>
      <c r="B20" s="293">
        <v>45981</v>
      </c>
      <c r="C20" t="s">
        <v>249</v>
      </c>
      <c r="D20" t="s">
        <v>276</v>
      </c>
      <c r="E20" t="s">
        <v>246</v>
      </c>
      <c r="F20" t="s">
        <v>189</v>
      </c>
      <c r="G20">
        <v>0.98329999999999995</v>
      </c>
      <c r="H20">
        <v>180</v>
      </c>
      <c r="I20">
        <v>177</v>
      </c>
      <c r="J20">
        <v>135</v>
      </c>
      <c r="K20" t="s">
        <v>190</v>
      </c>
      <c r="L20" s="293">
        <v>45974</v>
      </c>
      <c r="M20">
        <v>0</v>
      </c>
      <c r="N20">
        <v>0</v>
      </c>
      <c r="O20">
        <v>50</v>
      </c>
      <c r="P20" t="s">
        <v>250</v>
      </c>
      <c r="Q20">
        <v>0</v>
      </c>
      <c r="R20">
        <v>0</v>
      </c>
      <c r="S20">
        <v>0</v>
      </c>
      <c r="T20">
        <v>0</v>
      </c>
      <c r="U20">
        <v>3</v>
      </c>
      <c r="V20">
        <v>0</v>
      </c>
      <c r="W20">
        <v>0</v>
      </c>
      <c r="X20">
        <v>3</v>
      </c>
      <c r="Y20">
        <v>0</v>
      </c>
      <c r="Z20">
        <v>17</v>
      </c>
      <c r="AA20">
        <v>0</v>
      </c>
      <c r="AB20">
        <v>0</v>
      </c>
      <c r="AC20">
        <v>2</v>
      </c>
      <c r="AD20">
        <v>0</v>
      </c>
      <c r="AE20">
        <v>7</v>
      </c>
      <c r="AF20">
        <v>10</v>
      </c>
      <c r="AG20">
        <v>45</v>
      </c>
      <c r="AH20">
        <v>0</v>
      </c>
      <c r="AI20">
        <v>90</v>
      </c>
      <c r="AJ20">
        <v>0</v>
      </c>
    </row>
    <row r="21" spans="1:36" x14ac:dyDescent="0.3">
      <c r="A21" t="s">
        <v>606</v>
      </c>
      <c r="B21" s="293">
        <v>45982</v>
      </c>
      <c r="C21" t="s">
        <v>1540</v>
      </c>
      <c r="D21" t="s">
        <v>1544</v>
      </c>
      <c r="E21" t="s">
        <v>1537</v>
      </c>
      <c r="F21" t="s">
        <v>189</v>
      </c>
      <c r="G21">
        <v>0.92179999999999995</v>
      </c>
      <c r="H21">
        <v>179</v>
      </c>
      <c r="I21">
        <v>165</v>
      </c>
      <c r="J21">
        <v>0</v>
      </c>
      <c r="K21" t="s">
        <v>190</v>
      </c>
      <c r="L21" s="293">
        <v>45980</v>
      </c>
      <c r="M21">
        <v>6</v>
      </c>
      <c r="N21">
        <v>3</v>
      </c>
      <c r="O21">
        <v>54</v>
      </c>
      <c r="P21" t="s">
        <v>739</v>
      </c>
      <c r="Q21">
        <v>0</v>
      </c>
      <c r="R21">
        <v>0</v>
      </c>
      <c r="S21">
        <v>0</v>
      </c>
      <c r="T21">
        <v>0</v>
      </c>
      <c r="U21">
        <v>0</v>
      </c>
      <c r="V21">
        <v>0</v>
      </c>
      <c r="W21">
        <v>0</v>
      </c>
      <c r="X21">
        <v>4</v>
      </c>
      <c r="Y21">
        <v>18</v>
      </c>
      <c r="Z21">
        <v>18</v>
      </c>
      <c r="AA21">
        <v>53</v>
      </c>
      <c r="AB21">
        <v>13</v>
      </c>
      <c r="AC21">
        <v>17</v>
      </c>
      <c r="AD21">
        <v>18</v>
      </c>
      <c r="AE21">
        <v>24</v>
      </c>
      <c r="AF21">
        <v>0</v>
      </c>
      <c r="AG21">
        <v>0</v>
      </c>
      <c r="AH21">
        <v>0</v>
      </c>
      <c r="AI21">
        <v>0</v>
      </c>
      <c r="AJ21">
        <v>0</v>
      </c>
    </row>
    <row r="22" spans="1:36" x14ac:dyDescent="0.3">
      <c r="A22" t="s">
        <v>606</v>
      </c>
      <c r="B22" s="293">
        <v>45982</v>
      </c>
      <c r="C22" t="s">
        <v>1449</v>
      </c>
      <c r="D22" t="s">
        <v>276</v>
      </c>
      <c r="E22" t="s">
        <v>1446</v>
      </c>
      <c r="F22" t="s">
        <v>189</v>
      </c>
      <c r="G22">
        <v>0.51959999999999995</v>
      </c>
      <c r="H22">
        <v>179</v>
      </c>
      <c r="I22">
        <v>93</v>
      </c>
      <c r="J22">
        <v>0</v>
      </c>
      <c r="K22" t="s">
        <v>190</v>
      </c>
      <c r="L22" s="293">
        <v>45980</v>
      </c>
      <c r="M22">
        <v>1</v>
      </c>
      <c r="N22">
        <v>7</v>
      </c>
      <c r="O22">
        <v>57</v>
      </c>
      <c r="P22" t="s">
        <v>219</v>
      </c>
      <c r="Q22">
        <v>0</v>
      </c>
      <c r="R22">
        <v>0</v>
      </c>
      <c r="S22">
        <v>0</v>
      </c>
      <c r="T22">
        <v>0</v>
      </c>
      <c r="U22">
        <v>0</v>
      </c>
      <c r="V22">
        <v>0</v>
      </c>
      <c r="W22">
        <v>0</v>
      </c>
      <c r="X22">
        <v>0</v>
      </c>
      <c r="Y22">
        <v>0</v>
      </c>
      <c r="Z22">
        <v>0</v>
      </c>
      <c r="AA22">
        <v>0</v>
      </c>
      <c r="AB22">
        <v>0</v>
      </c>
      <c r="AC22">
        <v>1</v>
      </c>
      <c r="AD22">
        <v>11</v>
      </c>
      <c r="AE22">
        <v>31</v>
      </c>
      <c r="AF22">
        <v>50</v>
      </c>
      <c r="AG22">
        <v>0</v>
      </c>
      <c r="AH22">
        <v>0</v>
      </c>
      <c r="AI22">
        <v>0</v>
      </c>
      <c r="AJ22">
        <v>0</v>
      </c>
    </row>
    <row r="23" spans="1:36" x14ac:dyDescent="0.3">
      <c r="A23" t="s">
        <v>606</v>
      </c>
      <c r="B23" s="293">
        <v>45982</v>
      </c>
      <c r="C23" t="s">
        <v>1350</v>
      </c>
      <c r="D23" t="s">
        <v>1362</v>
      </c>
      <c r="E23" t="s">
        <v>1349</v>
      </c>
      <c r="F23" t="s">
        <v>189</v>
      </c>
      <c r="G23">
        <v>0.98329999999999995</v>
      </c>
      <c r="H23">
        <v>180</v>
      </c>
      <c r="I23">
        <v>177</v>
      </c>
      <c r="J23">
        <v>0</v>
      </c>
      <c r="K23" t="s">
        <v>190</v>
      </c>
      <c r="L23" s="293">
        <v>45980</v>
      </c>
      <c r="M23">
        <v>4</v>
      </c>
      <c r="N23">
        <v>3</v>
      </c>
      <c r="O23">
        <v>25</v>
      </c>
      <c r="P23" t="s">
        <v>81</v>
      </c>
      <c r="Q23">
        <v>1</v>
      </c>
      <c r="R23">
        <v>0</v>
      </c>
      <c r="S23">
        <v>0</v>
      </c>
      <c r="T23">
        <v>0</v>
      </c>
      <c r="U23">
        <v>0</v>
      </c>
      <c r="V23">
        <v>0</v>
      </c>
      <c r="W23">
        <v>10</v>
      </c>
      <c r="X23">
        <v>11</v>
      </c>
      <c r="Y23">
        <v>20</v>
      </c>
      <c r="Z23">
        <v>20</v>
      </c>
      <c r="AA23">
        <v>32</v>
      </c>
      <c r="AB23">
        <v>16</v>
      </c>
      <c r="AC23">
        <v>19</v>
      </c>
      <c r="AD23">
        <v>30</v>
      </c>
      <c r="AE23">
        <v>18</v>
      </c>
      <c r="AF23">
        <v>0</v>
      </c>
      <c r="AG23">
        <v>0</v>
      </c>
      <c r="AH23">
        <v>0</v>
      </c>
      <c r="AI23">
        <v>0</v>
      </c>
      <c r="AJ23">
        <v>0</v>
      </c>
    </row>
    <row r="24" spans="1:36" x14ac:dyDescent="0.3">
      <c r="A24" t="s">
        <v>606</v>
      </c>
      <c r="B24" s="293">
        <v>45982</v>
      </c>
      <c r="C24" t="s">
        <v>902</v>
      </c>
      <c r="D24" t="s">
        <v>808</v>
      </c>
      <c r="E24" t="s">
        <v>891</v>
      </c>
      <c r="F24" t="s">
        <v>189</v>
      </c>
      <c r="G24">
        <v>0.7278</v>
      </c>
      <c r="H24">
        <v>180</v>
      </c>
      <c r="I24">
        <v>131</v>
      </c>
      <c r="J24">
        <v>0</v>
      </c>
      <c r="K24" t="s">
        <v>190</v>
      </c>
      <c r="L24" s="293">
        <v>45980</v>
      </c>
      <c r="M24">
        <v>0</v>
      </c>
      <c r="N24">
        <v>4</v>
      </c>
      <c r="O24">
        <v>102</v>
      </c>
      <c r="P24" t="s">
        <v>381</v>
      </c>
      <c r="Q24">
        <v>0</v>
      </c>
      <c r="R24">
        <v>0</v>
      </c>
      <c r="S24">
        <v>0</v>
      </c>
      <c r="T24">
        <v>0</v>
      </c>
      <c r="U24">
        <v>0</v>
      </c>
      <c r="V24">
        <v>0</v>
      </c>
      <c r="W24">
        <v>0</v>
      </c>
      <c r="X24">
        <v>0</v>
      </c>
      <c r="Y24">
        <v>5</v>
      </c>
      <c r="Z24">
        <v>18</v>
      </c>
      <c r="AA24">
        <v>18</v>
      </c>
      <c r="AB24">
        <v>18</v>
      </c>
      <c r="AC24">
        <v>18</v>
      </c>
      <c r="AD24">
        <v>18</v>
      </c>
      <c r="AE24">
        <v>18</v>
      </c>
      <c r="AF24">
        <v>18</v>
      </c>
      <c r="AG24">
        <v>0</v>
      </c>
      <c r="AH24">
        <v>0</v>
      </c>
      <c r="AI24">
        <v>0</v>
      </c>
      <c r="AJ24">
        <v>0</v>
      </c>
    </row>
    <row r="25" spans="1:36" x14ac:dyDescent="0.3">
      <c r="A25" t="s">
        <v>606</v>
      </c>
      <c r="B25" s="293">
        <v>45982</v>
      </c>
      <c r="C25" t="s">
        <v>1409</v>
      </c>
      <c r="D25" t="s">
        <v>1416</v>
      </c>
      <c r="E25" t="s">
        <v>1406</v>
      </c>
      <c r="F25" t="s">
        <v>189</v>
      </c>
      <c r="G25">
        <v>0.45810000000000001</v>
      </c>
      <c r="H25">
        <v>179</v>
      </c>
      <c r="I25">
        <v>82</v>
      </c>
      <c r="J25">
        <v>0</v>
      </c>
      <c r="K25" t="s">
        <v>190</v>
      </c>
      <c r="L25" s="293">
        <v>45980</v>
      </c>
      <c r="M25">
        <v>6</v>
      </c>
      <c r="N25">
        <v>6</v>
      </c>
      <c r="O25">
        <v>51</v>
      </c>
      <c r="P25" t="s">
        <v>316</v>
      </c>
      <c r="Q25">
        <v>0</v>
      </c>
      <c r="R25">
        <v>0</v>
      </c>
      <c r="S25">
        <v>0</v>
      </c>
      <c r="T25">
        <v>0</v>
      </c>
      <c r="U25">
        <v>0</v>
      </c>
      <c r="V25">
        <v>0</v>
      </c>
      <c r="W25">
        <v>0</v>
      </c>
      <c r="X25">
        <v>0</v>
      </c>
      <c r="Y25">
        <v>0</v>
      </c>
      <c r="Z25">
        <v>0</v>
      </c>
      <c r="AA25">
        <v>0</v>
      </c>
      <c r="AB25">
        <v>0</v>
      </c>
      <c r="AC25">
        <v>0</v>
      </c>
      <c r="AD25">
        <v>0</v>
      </c>
      <c r="AE25">
        <v>2</v>
      </c>
      <c r="AF25">
        <v>80</v>
      </c>
      <c r="AG25">
        <v>0</v>
      </c>
      <c r="AH25">
        <v>0</v>
      </c>
      <c r="AI25">
        <v>0</v>
      </c>
      <c r="AJ25">
        <v>0</v>
      </c>
    </row>
    <row r="26" spans="1:36" x14ac:dyDescent="0.3">
      <c r="A26" t="s">
        <v>606</v>
      </c>
      <c r="B26" s="293">
        <v>45982</v>
      </c>
      <c r="C26" t="s">
        <v>1283</v>
      </c>
      <c r="D26" t="s">
        <v>188</v>
      </c>
      <c r="E26" t="s">
        <v>1264</v>
      </c>
      <c r="F26" t="s">
        <v>189</v>
      </c>
      <c r="G26">
        <v>0.55559999999999998</v>
      </c>
      <c r="H26">
        <v>180</v>
      </c>
      <c r="I26">
        <v>100</v>
      </c>
      <c r="J26">
        <v>0</v>
      </c>
      <c r="K26" t="s">
        <v>190</v>
      </c>
      <c r="L26" s="293">
        <v>45980</v>
      </c>
      <c r="M26">
        <v>5</v>
      </c>
      <c r="N26">
        <v>5</v>
      </c>
      <c r="O26">
        <v>56</v>
      </c>
      <c r="P26" t="s">
        <v>224</v>
      </c>
      <c r="Q26">
        <v>0</v>
      </c>
      <c r="R26">
        <v>0</v>
      </c>
      <c r="S26">
        <v>0</v>
      </c>
      <c r="T26">
        <v>0</v>
      </c>
      <c r="U26">
        <v>0</v>
      </c>
      <c r="V26">
        <v>0</v>
      </c>
      <c r="W26">
        <v>1</v>
      </c>
      <c r="X26">
        <v>9</v>
      </c>
      <c r="Y26">
        <v>10</v>
      </c>
      <c r="Z26">
        <v>10</v>
      </c>
      <c r="AA26">
        <v>10</v>
      </c>
      <c r="AB26">
        <v>10</v>
      </c>
      <c r="AC26">
        <v>20</v>
      </c>
      <c r="AD26">
        <v>0</v>
      </c>
      <c r="AE26">
        <v>25</v>
      </c>
      <c r="AF26">
        <v>5</v>
      </c>
      <c r="AG26">
        <v>0</v>
      </c>
      <c r="AH26">
        <v>0</v>
      </c>
      <c r="AI26">
        <v>0</v>
      </c>
      <c r="AJ26">
        <v>0</v>
      </c>
    </row>
    <row r="27" spans="1:36" x14ac:dyDescent="0.3">
      <c r="A27" t="s">
        <v>606</v>
      </c>
      <c r="B27" s="293">
        <v>45982</v>
      </c>
      <c r="C27" t="s">
        <v>1554</v>
      </c>
      <c r="D27" t="s">
        <v>651</v>
      </c>
      <c r="E27" t="s">
        <v>1551</v>
      </c>
      <c r="F27" t="s">
        <v>189</v>
      </c>
      <c r="G27">
        <v>0.43020000000000003</v>
      </c>
      <c r="H27">
        <v>179</v>
      </c>
      <c r="I27">
        <v>77</v>
      </c>
      <c r="J27">
        <v>0</v>
      </c>
      <c r="K27" t="s">
        <v>190</v>
      </c>
      <c r="L27" s="293">
        <v>45980</v>
      </c>
      <c r="M27">
        <v>4</v>
      </c>
      <c r="N27">
        <v>9</v>
      </c>
      <c r="O27">
        <v>48</v>
      </c>
      <c r="P27" t="s">
        <v>789</v>
      </c>
      <c r="Q27">
        <v>0</v>
      </c>
      <c r="R27">
        <v>0</v>
      </c>
      <c r="S27">
        <v>0</v>
      </c>
      <c r="T27">
        <v>0</v>
      </c>
      <c r="U27">
        <v>0</v>
      </c>
      <c r="V27">
        <v>0</v>
      </c>
      <c r="W27">
        <v>0</v>
      </c>
      <c r="X27">
        <v>0</v>
      </c>
      <c r="Y27">
        <v>2</v>
      </c>
      <c r="Z27">
        <v>11</v>
      </c>
      <c r="AA27">
        <v>42</v>
      </c>
      <c r="AB27">
        <v>0</v>
      </c>
      <c r="AC27">
        <v>0</v>
      </c>
      <c r="AD27">
        <v>0</v>
      </c>
      <c r="AE27">
        <v>5</v>
      </c>
      <c r="AF27">
        <v>17</v>
      </c>
      <c r="AG27">
        <v>0</v>
      </c>
      <c r="AH27">
        <v>0</v>
      </c>
      <c r="AI27">
        <v>0</v>
      </c>
      <c r="AJ27">
        <v>0</v>
      </c>
    </row>
    <row r="28" spans="1:36" x14ac:dyDescent="0.3">
      <c r="A28" t="s">
        <v>606</v>
      </c>
      <c r="B28" s="293">
        <v>45982</v>
      </c>
      <c r="C28" t="s">
        <v>421</v>
      </c>
      <c r="D28" t="s">
        <v>622</v>
      </c>
      <c r="E28" t="s">
        <v>335</v>
      </c>
      <c r="F28" t="s">
        <v>189</v>
      </c>
      <c r="G28">
        <v>0.77969999999999995</v>
      </c>
      <c r="H28">
        <v>177</v>
      </c>
      <c r="I28">
        <v>138</v>
      </c>
      <c r="J28">
        <v>0</v>
      </c>
      <c r="K28" t="s">
        <v>190</v>
      </c>
      <c r="L28" s="293">
        <v>45980</v>
      </c>
      <c r="M28">
        <v>6</v>
      </c>
      <c r="N28">
        <v>26</v>
      </c>
      <c r="O28">
        <v>88</v>
      </c>
      <c r="P28" t="s">
        <v>422</v>
      </c>
      <c r="Q28">
        <v>0</v>
      </c>
      <c r="R28">
        <v>0</v>
      </c>
      <c r="S28">
        <v>0</v>
      </c>
      <c r="T28">
        <v>0</v>
      </c>
      <c r="U28">
        <v>0</v>
      </c>
      <c r="V28">
        <v>0</v>
      </c>
      <c r="W28">
        <v>0</v>
      </c>
      <c r="X28">
        <v>0</v>
      </c>
      <c r="Y28">
        <v>0</v>
      </c>
      <c r="Z28">
        <v>0</v>
      </c>
      <c r="AA28">
        <v>14</v>
      </c>
      <c r="AB28">
        <v>25</v>
      </c>
      <c r="AC28">
        <v>37</v>
      </c>
      <c r="AD28">
        <v>12</v>
      </c>
      <c r="AE28">
        <v>17</v>
      </c>
      <c r="AF28">
        <v>33</v>
      </c>
      <c r="AG28">
        <v>0</v>
      </c>
      <c r="AH28">
        <v>0</v>
      </c>
      <c r="AI28">
        <v>0</v>
      </c>
      <c r="AJ28">
        <v>0</v>
      </c>
    </row>
    <row r="29" spans="1:36" x14ac:dyDescent="0.3">
      <c r="A29" t="s">
        <v>606</v>
      </c>
      <c r="B29" s="293">
        <v>45982</v>
      </c>
      <c r="C29" t="s">
        <v>428</v>
      </c>
      <c r="D29" t="s">
        <v>617</v>
      </c>
      <c r="E29" t="s">
        <v>335</v>
      </c>
      <c r="F29" t="s">
        <v>189</v>
      </c>
      <c r="G29">
        <v>0.60560000000000003</v>
      </c>
      <c r="H29">
        <v>180</v>
      </c>
      <c r="I29">
        <v>109</v>
      </c>
      <c r="J29">
        <v>0</v>
      </c>
      <c r="K29" t="s">
        <v>190</v>
      </c>
      <c r="L29" s="293">
        <v>45980</v>
      </c>
      <c r="M29">
        <v>1</v>
      </c>
      <c r="N29">
        <v>4</v>
      </c>
      <c r="O29">
        <v>52</v>
      </c>
      <c r="P29" t="s">
        <v>313</v>
      </c>
      <c r="Q29">
        <v>0</v>
      </c>
      <c r="R29">
        <v>0</v>
      </c>
      <c r="S29">
        <v>0</v>
      </c>
      <c r="T29">
        <v>0</v>
      </c>
      <c r="U29">
        <v>0</v>
      </c>
      <c r="V29">
        <v>0</v>
      </c>
      <c r="W29">
        <v>0</v>
      </c>
      <c r="X29">
        <v>0</v>
      </c>
      <c r="Y29">
        <v>0</v>
      </c>
      <c r="Z29">
        <v>0</v>
      </c>
      <c r="AA29">
        <v>10</v>
      </c>
      <c r="AB29">
        <v>12</v>
      </c>
      <c r="AC29">
        <v>26</v>
      </c>
      <c r="AD29">
        <v>11</v>
      </c>
      <c r="AE29">
        <v>20</v>
      </c>
      <c r="AF29">
        <v>30</v>
      </c>
      <c r="AG29">
        <v>0</v>
      </c>
      <c r="AH29">
        <v>0</v>
      </c>
      <c r="AI29">
        <v>0</v>
      </c>
      <c r="AJ29">
        <v>0</v>
      </c>
    </row>
    <row r="30" spans="1:36" x14ac:dyDescent="0.3">
      <c r="A30" t="s">
        <v>606</v>
      </c>
      <c r="B30" s="293">
        <v>45982</v>
      </c>
      <c r="C30" t="s">
        <v>375</v>
      </c>
      <c r="D30" t="s">
        <v>607</v>
      </c>
      <c r="E30" t="s">
        <v>335</v>
      </c>
      <c r="F30" t="s">
        <v>189</v>
      </c>
      <c r="G30">
        <v>0.62219999999999998</v>
      </c>
      <c r="H30">
        <v>180</v>
      </c>
      <c r="I30">
        <v>112</v>
      </c>
      <c r="J30">
        <v>0</v>
      </c>
      <c r="K30" t="s">
        <v>190</v>
      </c>
      <c r="L30" s="293">
        <v>45979</v>
      </c>
      <c r="M30">
        <v>0</v>
      </c>
      <c r="N30">
        <v>4</v>
      </c>
      <c r="O30">
        <v>58</v>
      </c>
      <c r="P30" t="s">
        <v>323</v>
      </c>
      <c r="Q30">
        <v>0</v>
      </c>
      <c r="R30">
        <v>0</v>
      </c>
      <c r="S30">
        <v>0</v>
      </c>
      <c r="T30">
        <v>0</v>
      </c>
      <c r="U30">
        <v>0</v>
      </c>
      <c r="V30">
        <v>0</v>
      </c>
      <c r="W30">
        <v>0</v>
      </c>
      <c r="X30">
        <v>0</v>
      </c>
      <c r="Y30">
        <v>0</v>
      </c>
      <c r="Z30">
        <v>5</v>
      </c>
      <c r="AA30">
        <v>9</v>
      </c>
      <c r="AB30">
        <v>30</v>
      </c>
      <c r="AC30">
        <v>10</v>
      </c>
      <c r="AD30">
        <v>12</v>
      </c>
      <c r="AE30">
        <v>17</v>
      </c>
      <c r="AF30">
        <v>29</v>
      </c>
      <c r="AG30">
        <v>0</v>
      </c>
      <c r="AH30">
        <v>0</v>
      </c>
      <c r="AI30">
        <v>0</v>
      </c>
      <c r="AJ30">
        <v>0</v>
      </c>
    </row>
    <row r="31" spans="1:36" x14ac:dyDescent="0.3">
      <c r="A31" t="s">
        <v>606</v>
      </c>
      <c r="B31" s="293">
        <v>45982</v>
      </c>
      <c r="C31" t="s">
        <v>383</v>
      </c>
      <c r="D31" t="s">
        <v>611</v>
      </c>
      <c r="E31" t="s">
        <v>335</v>
      </c>
      <c r="F31" t="s">
        <v>189</v>
      </c>
      <c r="G31">
        <v>0.81669999999999998</v>
      </c>
      <c r="H31">
        <v>180</v>
      </c>
      <c r="I31">
        <v>147</v>
      </c>
      <c r="J31">
        <v>41</v>
      </c>
      <c r="K31" t="s">
        <v>190</v>
      </c>
      <c r="L31" s="293">
        <v>45980</v>
      </c>
      <c r="M31">
        <v>4</v>
      </c>
      <c r="N31">
        <v>65</v>
      </c>
      <c r="O31">
        <v>120</v>
      </c>
      <c r="P31" t="s">
        <v>425</v>
      </c>
      <c r="Q31">
        <v>0</v>
      </c>
      <c r="R31">
        <v>0</v>
      </c>
      <c r="S31">
        <v>0</v>
      </c>
      <c r="T31">
        <v>0</v>
      </c>
      <c r="U31">
        <v>0</v>
      </c>
      <c r="V31">
        <v>0</v>
      </c>
      <c r="W31">
        <v>0</v>
      </c>
      <c r="X31">
        <v>0</v>
      </c>
      <c r="Y31">
        <v>0</v>
      </c>
      <c r="Z31">
        <v>1</v>
      </c>
      <c r="AA31">
        <v>10</v>
      </c>
      <c r="AB31">
        <v>25</v>
      </c>
      <c r="AC31">
        <v>33</v>
      </c>
      <c r="AD31">
        <v>12</v>
      </c>
      <c r="AE31">
        <v>15</v>
      </c>
      <c r="AF31">
        <v>10</v>
      </c>
      <c r="AG31">
        <v>0</v>
      </c>
      <c r="AH31">
        <v>0</v>
      </c>
      <c r="AI31">
        <v>41</v>
      </c>
      <c r="AJ31">
        <v>0</v>
      </c>
    </row>
    <row r="32" spans="1:36" x14ac:dyDescent="0.3">
      <c r="A32" t="s">
        <v>606</v>
      </c>
      <c r="B32" s="293">
        <v>45982</v>
      </c>
      <c r="C32" t="s">
        <v>363</v>
      </c>
      <c r="D32" t="s">
        <v>615</v>
      </c>
      <c r="E32" t="s">
        <v>335</v>
      </c>
      <c r="F32" t="s">
        <v>189</v>
      </c>
      <c r="G32">
        <v>0.65559999999999996</v>
      </c>
      <c r="H32">
        <v>180</v>
      </c>
      <c r="I32">
        <v>118</v>
      </c>
      <c r="J32">
        <v>50</v>
      </c>
      <c r="K32" t="s">
        <v>190</v>
      </c>
      <c r="L32" s="293">
        <v>45980</v>
      </c>
      <c r="M32">
        <v>4</v>
      </c>
      <c r="N32">
        <v>3</v>
      </c>
      <c r="O32">
        <v>43</v>
      </c>
      <c r="P32" t="s">
        <v>312</v>
      </c>
      <c r="Q32">
        <v>0</v>
      </c>
      <c r="R32">
        <v>0</v>
      </c>
      <c r="S32">
        <v>0</v>
      </c>
      <c r="T32">
        <v>0</v>
      </c>
      <c r="U32">
        <v>0</v>
      </c>
      <c r="V32">
        <v>0</v>
      </c>
      <c r="W32">
        <v>0</v>
      </c>
      <c r="X32">
        <v>0</v>
      </c>
      <c r="Y32">
        <v>0</v>
      </c>
      <c r="Z32">
        <v>3</v>
      </c>
      <c r="AA32">
        <v>10</v>
      </c>
      <c r="AB32">
        <v>10</v>
      </c>
      <c r="AC32">
        <v>10</v>
      </c>
      <c r="AD32">
        <v>10</v>
      </c>
      <c r="AE32">
        <v>10</v>
      </c>
      <c r="AF32">
        <v>15</v>
      </c>
      <c r="AG32">
        <v>0</v>
      </c>
      <c r="AH32">
        <v>0</v>
      </c>
      <c r="AI32">
        <v>50</v>
      </c>
      <c r="AJ32">
        <v>0</v>
      </c>
    </row>
    <row r="33" spans="1:36" x14ac:dyDescent="0.3">
      <c r="A33" t="s">
        <v>606</v>
      </c>
      <c r="B33" s="293">
        <v>45982</v>
      </c>
      <c r="C33" t="s">
        <v>1054</v>
      </c>
      <c r="D33" t="s">
        <v>590</v>
      </c>
      <c r="E33" t="s">
        <v>1016</v>
      </c>
      <c r="F33" t="s">
        <v>189</v>
      </c>
      <c r="G33">
        <v>0.51959999999999995</v>
      </c>
      <c r="H33">
        <v>179</v>
      </c>
      <c r="I33">
        <v>93</v>
      </c>
      <c r="J33">
        <v>0</v>
      </c>
      <c r="K33" t="s">
        <v>190</v>
      </c>
      <c r="L33" s="293">
        <v>45980</v>
      </c>
      <c r="M33">
        <v>2</v>
      </c>
      <c r="N33">
        <v>6</v>
      </c>
      <c r="O33">
        <v>46</v>
      </c>
      <c r="P33" t="s">
        <v>215</v>
      </c>
      <c r="Q33">
        <v>0</v>
      </c>
      <c r="R33">
        <v>0</v>
      </c>
      <c r="S33">
        <v>0</v>
      </c>
      <c r="T33">
        <v>0</v>
      </c>
      <c r="U33">
        <v>0</v>
      </c>
      <c r="V33">
        <v>0</v>
      </c>
      <c r="W33">
        <v>0</v>
      </c>
      <c r="X33">
        <v>0</v>
      </c>
      <c r="Y33">
        <v>0</v>
      </c>
      <c r="Z33">
        <v>2</v>
      </c>
      <c r="AA33">
        <v>4</v>
      </c>
      <c r="AB33">
        <v>13</v>
      </c>
      <c r="AC33">
        <v>19</v>
      </c>
      <c r="AD33">
        <v>10</v>
      </c>
      <c r="AE33">
        <v>17</v>
      </c>
      <c r="AF33">
        <v>28</v>
      </c>
      <c r="AG33">
        <v>0</v>
      </c>
      <c r="AH33">
        <v>0</v>
      </c>
      <c r="AI33">
        <v>0</v>
      </c>
      <c r="AJ33">
        <v>0</v>
      </c>
    </row>
    <row r="34" spans="1:36" x14ac:dyDescent="0.3">
      <c r="A34" t="s">
        <v>606</v>
      </c>
      <c r="B34" s="293">
        <v>45982</v>
      </c>
      <c r="C34" t="s">
        <v>1086</v>
      </c>
      <c r="D34" t="s">
        <v>1180</v>
      </c>
      <c r="E34" t="s">
        <v>1016</v>
      </c>
      <c r="F34" t="s">
        <v>189</v>
      </c>
      <c r="G34">
        <v>0.44130000000000003</v>
      </c>
      <c r="H34">
        <v>179</v>
      </c>
      <c r="I34">
        <v>79</v>
      </c>
      <c r="J34">
        <v>0</v>
      </c>
      <c r="K34" t="s">
        <v>190</v>
      </c>
      <c r="L34" s="293">
        <v>45980</v>
      </c>
      <c r="M34">
        <v>1</v>
      </c>
      <c r="N34">
        <v>6</v>
      </c>
      <c r="O34">
        <v>28</v>
      </c>
      <c r="P34" t="s">
        <v>215</v>
      </c>
      <c r="Q34">
        <v>0</v>
      </c>
      <c r="R34">
        <v>0</v>
      </c>
      <c r="S34">
        <v>0</v>
      </c>
      <c r="T34">
        <v>0</v>
      </c>
      <c r="U34">
        <v>0</v>
      </c>
      <c r="V34">
        <v>0</v>
      </c>
      <c r="W34">
        <v>0</v>
      </c>
      <c r="X34">
        <v>0</v>
      </c>
      <c r="Y34">
        <v>0</v>
      </c>
      <c r="Z34">
        <v>0</v>
      </c>
      <c r="AA34">
        <v>4</v>
      </c>
      <c r="AB34">
        <v>15</v>
      </c>
      <c r="AC34">
        <v>10</v>
      </c>
      <c r="AD34">
        <v>14</v>
      </c>
      <c r="AE34">
        <v>10</v>
      </c>
      <c r="AF34">
        <v>26</v>
      </c>
      <c r="AG34">
        <v>0</v>
      </c>
      <c r="AH34">
        <v>0</v>
      </c>
      <c r="AI34">
        <v>0</v>
      </c>
      <c r="AJ34">
        <v>0</v>
      </c>
    </row>
    <row r="35" spans="1:36" x14ac:dyDescent="0.3">
      <c r="A35" t="s">
        <v>606</v>
      </c>
      <c r="B35" s="293">
        <v>45982</v>
      </c>
      <c r="C35" t="s">
        <v>1460</v>
      </c>
      <c r="D35" t="s">
        <v>963</v>
      </c>
      <c r="E35" t="s">
        <v>1457</v>
      </c>
      <c r="F35" t="s">
        <v>189</v>
      </c>
      <c r="G35">
        <v>0.81559999999999999</v>
      </c>
      <c r="H35">
        <v>179</v>
      </c>
      <c r="I35">
        <v>146</v>
      </c>
      <c r="J35">
        <v>41</v>
      </c>
      <c r="K35" t="s">
        <v>190</v>
      </c>
      <c r="L35" s="293">
        <v>45980</v>
      </c>
      <c r="M35">
        <v>2</v>
      </c>
      <c r="N35">
        <v>4</v>
      </c>
      <c r="O35">
        <v>48</v>
      </c>
      <c r="P35" t="s">
        <v>381</v>
      </c>
      <c r="Q35">
        <v>0</v>
      </c>
      <c r="R35">
        <v>0</v>
      </c>
      <c r="S35">
        <v>0</v>
      </c>
      <c r="T35">
        <v>0</v>
      </c>
      <c r="U35">
        <v>0</v>
      </c>
      <c r="V35">
        <v>0</v>
      </c>
      <c r="W35">
        <v>0</v>
      </c>
      <c r="X35">
        <v>1</v>
      </c>
      <c r="Y35">
        <v>15</v>
      </c>
      <c r="Z35">
        <v>14</v>
      </c>
      <c r="AA35">
        <v>15</v>
      </c>
      <c r="AB35">
        <v>20</v>
      </c>
      <c r="AC35">
        <v>21</v>
      </c>
      <c r="AD35">
        <v>19</v>
      </c>
      <c r="AE35">
        <v>0</v>
      </c>
      <c r="AF35">
        <v>0</v>
      </c>
      <c r="AG35">
        <v>0</v>
      </c>
      <c r="AH35">
        <v>0</v>
      </c>
      <c r="AI35">
        <v>41</v>
      </c>
      <c r="AJ35">
        <v>0</v>
      </c>
    </row>
    <row r="36" spans="1:36" x14ac:dyDescent="0.3">
      <c r="A36" t="s">
        <v>606</v>
      </c>
      <c r="B36" s="293">
        <v>45982</v>
      </c>
      <c r="C36" t="s">
        <v>761</v>
      </c>
      <c r="D36" t="s">
        <v>237</v>
      </c>
      <c r="E36" t="s">
        <v>754</v>
      </c>
      <c r="F36" t="s">
        <v>189</v>
      </c>
      <c r="G36">
        <v>0.74439999999999995</v>
      </c>
      <c r="H36">
        <v>180</v>
      </c>
      <c r="I36">
        <v>134</v>
      </c>
      <c r="J36">
        <v>45</v>
      </c>
      <c r="K36" t="s">
        <v>190</v>
      </c>
      <c r="L36" s="293">
        <v>45979</v>
      </c>
      <c r="M36">
        <v>0</v>
      </c>
      <c r="N36">
        <v>16</v>
      </c>
      <c r="O36">
        <v>60</v>
      </c>
      <c r="P36" t="s">
        <v>283</v>
      </c>
      <c r="Q36">
        <v>0</v>
      </c>
      <c r="R36">
        <v>0</v>
      </c>
      <c r="S36">
        <v>0</v>
      </c>
      <c r="T36">
        <v>0</v>
      </c>
      <c r="U36">
        <v>0</v>
      </c>
      <c r="V36">
        <v>0</v>
      </c>
      <c r="W36">
        <v>0</v>
      </c>
      <c r="X36">
        <v>2</v>
      </c>
      <c r="Y36">
        <v>1</v>
      </c>
      <c r="Z36">
        <v>17</v>
      </c>
      <c r="AA36">
        <v>18</v>
      </c>
      <c r="AB36">
        <v>9</v>
      </c>
      <c r="AC36">
        <v>27</v>
      </c>
      <c r="AD36">
        <v>5</v>
      </c>
      <c r="AE36">
        <v>5</v>
      </c>
      <c r="AF36">
        <v>5</v>
      </c>
      <c r="AG36">
        <v>0</v>
      </c>
      <c r="AH36">
        <v>0</v>
      </c>
      <c r="AI36">
        <v>45</v>
      </c>
      <c r="AJ36">
        <v>0</v>
      </c>
    </row>
    <row r="37" spans="1:36" x14ac:dyDescent="0.3">
      <c r="A37" t="s">
        <v>199</v>
      </c>
      <c r="B37" s="293">
        <v>45983</v>
      </c>
      <c r="C37" t="s">
        <v>1601</v>
      </c>
      <c r="D37" t="s">
        <v>955</v>
      </c>
      <c r="E37" t="s">
        <v>1598</v>
      </c>
      <c r="F37" t="s">
        <v>189</v>
      </c>
      <c r="G37">
        <v>0.56979999999999997</v>
      </c>
      <c r="H37">
        <v>179</v>
      </c>
      <c r="I37">
        <v>102</v>
      </c>
      <c r="J37">
        <v>0</v>
      </c>
      <c r="K37" t="s">
        <v>190</v>
      </c>
      <c r="L37" s="293">
        <v>45980</v>
      </c>
      <c r="M37">
        <v>2</v>
      </c>
      <c r="N37">
        <v>4</v>
      </c>
      <c r="O37">
        <v>39</v>
      </c>
      <c r="P37" t="s">
        <v>568</v>
      </c>
      <c r="Q37">
        <v>0</v>
      </c>
      <c r="R37">
        <v>0</v>
      </c>
      <c r="S37">
        <v>0</v>
      </c>
      <c r="T37">
        <v>0</v>
      </c>
      <c r="U37">
        <v>0</v>
      </c>
      <c r="V37">
        <v>0</v>
      </c>
      <c r="W37">
        <v>0</v>
      </c>
      <c r="X37">
        <v>11</v>
      </c>
      <c r="Y37">
        <v>22</v>
      </c>
      <c r="Z37">
        <v>4</v>
      </c>
      <c r="AA37">
        <v>3</v>
      </c>
      <c r="AB37">
        <v>2</v>
      </c>
      <c r="AC37">
        <v>20</v>
      </c>
      <c r="AD37">
        <v>13</v>
      </c>
      <c r="AE37">
        <v>12</v>
      </c>
      <c r="AF37">
        <v>15</v>
      </c>
      <c r="AG37">
        <v>0</v>
      </c>
      <c r="AH37">
        <v>0</v>
      </c>
      <c r="AI37">
        <v>0</v>
      </c>
      <c r="AJ37">
        <v>0</v>
      </c>
    </row>
    <row r="38" spans="1:36" x14ac:dyDescent="0.3">
      <c r="A38" t="s">
        <v>199</v>
      </c>
      <c r="B38" s="293">
        <v>45983</v>
      </c>
      <c r="C38" t="s">
        <v>894</v>
      </c>
      <c r="D38" t="s">
        <v>947</v>
      </c>
      <c r="E38" t="s">
        <v>891</v>
      </c>
      <c r="F38" t="s">
        <v>189</v>
      </c>
      <c r="G38">
        <v>0.88890000000000002</v>
      </c>
      <c r="H38">
        <v>180</v>
      </c>
      <c r="I38">
        <v>160</v>
      </c>
      <c r="J38">
        <v>90</v>
      </c>
      <c r="K38" t="s">
        <v>190</v>
      </c>
      <c r="L38" s="293">
        <v>45980</v>
      </c>
      <c r="M38">
        <v>2</v>
      </c>
      <c r="N38">
        <v>5</v>
      </c>
      <c r="O38">
        <v>37</v>
      </c>
      <c r="P38" t="s">
        <v>313</v>
      </c>
      <c r="Q38">
        <v>0</v>
      </c>
      <c r="R38">
        <v>0</v>
      </c>
      <c r="S38">
        <v>0</v>
      </c>
      <c r="T38">
        <v>0</v>
      </c>
      <c r="U38">
        <v>0</v>
      </c>
      <c r="V38">
        <v>0</v>
      </c>
      <c r="W38">
        <v>0</v>
      </c>
      <c r="X38">
        <v>0</v>
      </c>
      <c r="Y38">
        <v>0</v>
      </c>
      <c r="Z38">
        <v>2</v>
      </c>
      <c r="AA38">
        <v>14</v>
      </c>
      <c r="AB38">
        <v>10</v>
      </c>
      <c r="AC38">
        <v>10</v>
      </c>
      <c r="AD38">
        <v>24</v>
      </c>
      <c r="AE38">
        <v>5</v>
      </c>
      <c r="AF38">
        <v>5</v>
      </c>
      <c r="AG38">
        <v>0</v>
      </c>
      <c r="AH38">
        <v>0</v>
      </c>
      <c r="AI38">
        <v>90</v>
      </c>
      <c r="AJ38">
        <v>0</v>
      </c>
    </row>
    <row r="39" spans="1:36" x14ac:dyDescent="0.3">
      <c r="A39" t="s">
        <v>199</v>
      </c>
      <c r="B39" s="293">
        <v>45983</v>
      </c>
      <c r="C39" t="s">
        <v>897</v>
      </c>
      <c r="D39" t="s">
        <v>949</v>
      </c>
      <c r="E39" t="s">
        <v>891</v>
      </c>
      <c r="F39" t="s">
        <v>189</v>
      </c>
      <c r="G39">
        <v>0.99439999999999995</v>
      </c>
      <c r="H39">
        <v>180</v>
      </c>
      <c r="I39">
        <v>179</v>
      </c>
      <c r="J39">
        <v>100</v>
      </c>
      <c r="K39" t="s">
        <v>190</v>
      </c>
      <c r="L39" s="293">
        <v>45980</v>
      </c>
      <c r="M39">
        <v>2</v>
      </c>
      <c r="N39">
        <v>6</v>
      </c>
      <c r="O39">
        <v>30</v>
      </c>
      <c r="P39" t="s">
        <v>81</v>
      </c>
      <c r="Q39">
        <v>1</v>
      </c>
      <c r="R39">
        <v>0</v>
      </c>
      <c r="S39">
        <v>0</v>
      </c>
      <c r="T39">
        <v>0</v>
      </c>
      <c r="U39">
        <v>0</v>
      </c>
      <c r="V39">
        <v>0</v>
      </c>
      <c r="W39">
        <v>0</v>
      </c>
      <c r="X39">
        <v>0</v>
      </c>
      <c r="Y39">
        <v>0</v>
      </c>
      <c r="Z39">
        <v>5</v>
      </c>
      <c r="AA39">
        <v>12</v>
      </c>
      <c r="AB39">
        <v>11</v>
      </c>
      <c r="AC39">
        <v>17</v>
      </c>
      <c r="AD39">
        <v>31</v>
      </c>
      <c r="AE39">
        <v>0</v>
      </c>
      <c r="AF39">
        <v>2</v>
      </c>
      <c r="AG39">
        <v>0</v>
      </c>
      <c r="AH39">
        <v>0</v>
      </c>
      <c r="AI39">
        <v>100</v>
      </c>
      <c r="AJ39">
        <v>0</v>
      </c>
    </row>
    <row r="40" spans="1:36" x14ac:dyDescent="0.3">
      <c r="A40" t="s">
        <v>199</v>
      </c>
      <c r="B40" s="293">
        <v>45983</v>
      </c>
      <c r="C40" t="s">
        <v>135</v>
      </c>
      <c r="D40" t="s">
        <v>311</v>
      </c>
      <c r="E40" t="s">
        <v>298</v>
      </c>
      <c r="F40" t="s">
        <v>189</v>
      </c>
      <c r="G40">
        <v>0.91110000000000002</v>
      </c>
      <c r="H40">
        <v>180</v>
      </c>
      <c r="I40">
        <v>164</v>
      </c>
      <c r="J40">
        <v>105</v>
      </c>
      <c r="K40" t="s">
        <v>190</v>
      </c>
      <c r="L40" s="293">
        <v>45980</v>
      </c>
      <c r="M40">
        <v>2</v>
      </c>
      <c r="N40">
        <v>3</v>
      </c>
      <c r="O40">
        <v>21</v>
      </c>
      <c r="P40" t="s">
        <v>215</v>
      </c>
      <c r="Q40">
        <v>0</v>
      </c>
      <c r="R40">
        <v>0</v>
      </c>
      <c r="S40">
        <v>0</v>
      </c>
      <c r="T40">
        <v>0</v>
      </c>
      <c r="U40">
        <v>0</v>
      </c>
      <c r="V40">
        <v>0</v>
      </c>
      <c r="W40">
        <v>0</v>
      </c>
      <c r="X40">
        <v>0</v>
      </c>
      <c r="Y40">
        <v>0</v>
      </c>
      <c r="Z40">
        <v>7</v>
      </c>
      <c r="AA40">
        <v>1</v>
      </c>
      <c r="AB40">
        <v>6</v>
      </c>
      <c r="AC40">
        <v>15</v>
      </c>
      <c r="AD40">
        <v>12</v>
      </c>
      <c r="AE40">
        <v>9</v>
      </c>
      <c r="AF40">
        <v>9</v>
      </c>
      <c r="AG40">
        <v>0</v>
      </c>
      <c r="AH40">
        <v>0</v>
      </c>
      <c r="AI40">
        <v>105</v>
      </c>
      <c r="AJ40">
        <v>0</v>
      </c>
    </row>
    <row r="41" spans="1:36" x14ac:dyDescent="0.3">
      <c r="A41" t="s">
        <v>199</v>
      </c>
      <c r="B41" s="293">
        <v>45983</v>
      </c>
      <c r="C41" t="s">
        <v>1503</v>
      </c>
      <c r="D41" t="s">
        <v>311</v>
      </c>
      <c r="E41" t="s">
        <v>1498</v>
      </c>
      <c r="F41" t="s">
        <v>189</v>
      </c>
      <c r="G41">
        <v>0.86029999999999995</v>
      </c>
      <c r="H41">
        <v>179</v>
      </c>
      <c r="I41">
        <v>154</v>
      </c>
      <c r="J41">
        <v>0</v>
      </c>
      <c r="K41" t="s">
        <v>190</v>
      </c>
      <c r="L41" s="293">
        <v>45980</v>
      </c>
      <c r="M41">
        <v>3</v>
      </c>
      <c r="N41">
        <v>5</v>
      </c>
      <c r="O41">
        <v>58</v>
      </c>
      <c r="P41" t="s">
        <v>1506</v>
      </c>
      <c r="Q41">
        <v>0</v>
      </c>
      <c r="R41">
        <v>0</v>
      </c>
      <c r="S41">
        <v>4</v>
      </c>
      <c r="T41">
        <v>15</v>
      </c>
      <c r="U41">
        <v>15</v>
      </c>
      <c r="V41">
        <v>15</v>
      </c>
      <c r="W41">
        <v>15</v>
      </c>
      <c r="X41">
        <v>24</v>
      </c>
      <c r="Y41">
        <v>13</v>
      </c>
      <c r="Z41">
        <v>4</v>
      </c>
      <c r="AA41">
        <v>2</v>
      </c>
      <c r="AB41">
        <v>17</v>
      </c>
      <c r="AC41">
        <v>8</v>
      </c>
      <c r="AD41">
        <v>6</v>
      </c>
      <c r="AE41">
        <v>11</v>
      </c>
      <c r="AF41">
        <v>5</v>
      </c>
      <c r="AG41">
        <v>0</v>
      </c>
      <c r="AH41">
        <v>0</v>
      </c>
      <c r="AI41">
        <v>0</v>
      </c>
      <c r="AJ41">
        <v>0</v>
      </c>
    </row>
    <row r="42" spans="1:36" x14ac:dyDescent="0.3">
      <c r="A42" t="s">
        <v>199</v>
      </c>
      <c r="B42" s="293">
        <v>45983</v>
      </c>
      <c r="C42" t="s">
        <v>1425</v>
      </c>
      <c r="D42" t="s">
        <v>1438</v>
      </c>
      <c r="E42" t="s">
        <v>1420</v>
      </c>
      <c r="F42" t="s">
        <v>189</v>
      </c>
      <c r="G42">
        <v>0.60340000000000005</v>
      </c>
      <c r="H42">
        <v>179</v>
      </c>
      <c r="I42">
        <v>108</v>
      </c>
      <c r="J42">
        <v>0</v>
      </c>
      <c r="K42" t="s">
        <v>190</v>
      </c>
      <c r="L42" s="293">
        <v>45980</v>
      </c>
      <c r="M42">
        <v>7</v>
      </c>
      <c r="N42">
        <v>21</v>
      </c>
      <c r="O42">
        <v>58</v>
      </c>
      <c r="P42" t="s">
        <v>381</v>
      </c>
      <c r="Q42">
        <v>0</v>
      </c>
      <c r="R42">
        <v>0</v>
      </c>
      <c r="S42">
        <v>0</v>
      </c>
      <c r="T42">
        <v>0</v>
      </c>
      <c r="U42">
        <v>0</v>
      </c>
      <c r="V42">
        <v>0</v>
      </c>
      <c r="W42">
        <v>0</v>
      </c>
      <c r="X42">
        <v>0</v>
      </c>
      <c r="Y42">
        <v>8</v>
      </c>
      <c r="Z42">
        <v>76</v>
      </c>
      <c r="AA42">
        <v>0</v>
      </c>
      <c r="AB42">
        <v>0</v>
      </c>
      <c r="AC42">
        <v>7</v>
      </c>
      <c r="AD42">
        <v>0</v>
      </c>
      <c r="AE42">
        <v>0</v>
      </c>
      <c r="AF42">
        <v>17</v>
      </c>
      <c r="AG42">
        <v>0</v>
      </c>
      <c r="AH42">
        <v>0</v>
      </c>
      <c r="AI42">
        <v>0</v>
      </c>
      <c r="AJ42">
        <v>0</v>
      </c>
    </row>
    <row r="43" spans="1:36" x14ac:dyDescent="0.3">
      <c r="A43" t="s">
        <v>199</v>
      </c>
      <c r="B43" s="293">
        <v>45983</v>
      </c>
      <c r="C43" t="s">
        <v>1283</v>
      </c>
      <c r="D43" t="s">
        <v>1328</v>
      </c>
      <c r="E43" t="s">
        <v>1264</v>
      </c>
      <c r="F43" t="s">
        <v>189</v>
      </c>
      <c r="G43">
        <v>0.63890000000000002</v>
      </c>
      <c r="H43">
        <v>180</v>
      </c>
      <c r="I43">
        <v>115</v>
      </c>
      <c r="J43">
        <v>0</v>
      </c>
      <c r="K43" t="s">
        <v>190</v>
      </c>
      <c r="L43" s="293">
        <v>45980</v>
      </c>
      <c r="M43">
        <v>8</v>
      </c>
      <c r="N43">
        <v>16</v>
      </c>
      <c r="O43">
        <v>61</v>
      </c>
      <c r="P43" t="s">
        <v>568</v>
      </c>
      <c r="Q43">
        <v>0</v>
      </c>
      <c r="R43">
        <v>0</v>
      </c>
      <c r="S43">
        <v>0</v>
      </c>
      <c r="T43">
        <v>0</v>
      </c>
      <c r="U43">
        <v>0</v>
      </c>
      <c r="V43">
        <v>0</v>
      </c>
      <c r="W43">
        <v>7</v>
      </c>
      <c r="X43">
        <v>13</v>
      </c>
      <c r="Y43">
        <v>46</v>
      </c>
      <c r="Z43">
        <v>3</v>
      </c>
      <c r="AA43">
        <v>1</v>
      </c>
      <c r="AB43">
        <v>6</v>
      </c>
      <c r="AC43">
        <v>8</v>
      </c>
      <c r="AD43">
        <v>22</v>
      </c>
      <c r="AE43">
        <v>3</v>
      </c>
      <c r="AF43">
        <v>6</v>
      </c>
      <c r="AG43">
        <v>0</v>
      </c>
      <c r="AH43">
        <v>0</v>
      </c>
      <c r="AI43">
        <v>0</v>
      </c>
      <c r="AJ43">
        <v>0</v>
      </c>
    </row>
    <row r="44" spans="1:36" x14ac:dyDescent="0.3">
      <c r="A44" t="s">
        <v>199</v>
      </c>
      <c r="B44" s="293">
        <v>45983</v>
      </c>
      <c r="C44" t="s">
        <v>1618</v>
      </c>
      <c r="D44" t="s">
        <v>1604</v>
      </c>
      <c r="E44" t="s">
        <v>1611</v>
      </c>
      <c r="F44" t="s">
        <v>189</v>
      </c>
      <c r="G44">
        <v>0.77649999999999997</v>
      </c>
      <c r="H44">
        <v>179</v>
      </c>
      <c r="I44">
        <v>139</v>
      </c>
      <c r="J44">
        <v>0</v>
      </c>
      <c r="K44" t="s">
        <v>190</v>
      </c>
      <c r="L44" s="293">
        <v>45980</v>
      </c>
      <c r="M44">
        <v>3</v>
      </c>
      <c r="N44">
        <v>5</v>
      </c>
      <c r="O44">
        <v>66</v>
      </c>
      <c r="P44" t="s">
        <v>597</v>
      </c>
      <c r="Q44">
        <v>0</v>
      </c>
      <c r="R44">
        <v>0</v>
      </c>
      <c r="S44">
        <v>0</v>
      </c>
      <c r="T44">
        <v>0</v>
      </c>
      <c r="U44">
        <v>0</v>
      </c>
      <c r="V44">
        <v>0</v>
      </c>
      <c r="W44">
        <v>0</v>
      </c>
      <c r="X44">
        <v>0</v>
      </c>
      <c r="Y44">
        <v>0</v>
      </c>
      <c r="Z44">
        <v>0</v>
      </c>
      <c r="AA44">
        <v>9</v>
      </c>
      <c r="AB44">
        <v>8</v>
      </c>
      <c r="AC44">
        <v>95</v>
      </c>
      <c r="AD44">
        <v>11</v>
      </c>
      <c r="AE44">
        <v>11</v>
      </c>
      <c r="AF44">
        <v>5</v>
      </c>
      <c r="AG44">
        <v>0</v>
      </c>
      <c r="AH44">
        <v>0</v>
      </c>
      <c r="AI44">
        <v>0</v>
      </c>
      <c r="AJ44">
        <v>0</v>
      </c>
    </row>
    <row r="45" spans="1:36" x14ac:dyDescent="0.3">
      <c r="A45" t="s">
        <v>199</v>
      </c>
      <c r="B45" s="293">
        <v>45983</v>
      </c>
      <c r="C45" t="s">
        <v>380</v>
      </c>
      <c r="D45" t="s">
        <v>635</v>
      </c>
      <c r="E45" t="s">
        <v>335</v>
      </c>
      <c r="F45" t="s">
        <v>189</v>
      </c>
      <c r="G45">
        <v>0.86109999999999998</v>
      </c>
      <c r="H45">
        <v>180</v>
      </c>
      <c r="I45">
        <v>155</v>
      </c>
      <c r="J45">
        <v>45</v>
      </c>
      <c r="K45" t="s">
        <v>190</v>
      </c>
      <c r="L45" s="293">
        <v>45980</v>
      </c>
      <c r="M45">
        <v>1</v>
      </c>
      <c r="N45">
        <v>14</v>
      </c>
      <c r="O45">
        <v>105</v>
      </c>
      <c r="P45" t="s">
        <v>448</v>
      </c>
      <c r="Q45">
        <v>0</v>
      </c>
      <c r="R45">
        <v>0</v>
      </c>
      <c r="S45">
        <v>0</v>
      </c>
      <c r="T45">
        <v>0</v>
      </c>
      <c r="U45">
        <v>0</v>
      </c>
      <c r="V45">
        <v>0</v>
      </c>
      <c r="W45">
        <v>0</v>
      </c>
      <c r="X45">
        <v>0</v>
      </c>
      <c r="Y45">
        <v>0</v>
      </c>
      <c r="Z45">
        <v>1</v>
      </c>
      <c r="AA45">
        <v>8</v>
      </c>
      <c r="AB45">
        <v>34</v>
      </c>
      <c r="AC45">
        <v>11</v>
      </c>
      <c r="AD45">
        <v>11</v>
      </c>
      <c r="AE45">
        <v>11</v>
      </c>
      <c r="AF45">
        <v>33</v>
      </c>
      <c r="AG45">
        <v>0</v>
      </c>
      <c r="AH45">
        <v>0</v>
      </c>
      <c r="AI45">
        <v>45</v>
      </c>
      <c r="AJ45">
        <v>1</v>
      </c>
    </row>
    <row r="46" spans="1:36" x14ac:dyDescent="0.3">
      <c r="A46" t="s">
        <v>199</v>
      </c>
      <c r="B46" s="293">
        <v>45983</v>
      </c>
      <c r="C46" t="s">
        <v>371</v>
      </c>
      <c r="D46" t="s">
        <v>626</v>
      </c>
      <c r="E46" t="s">
        <v>335</v>
      </c>
      <c r="F46" t="s">
        <v>189</v>
      </c>
      <c r="G46">
        <v>1</v>
      </c>
      <c r="H46">
        <v>180</v>
      </c>
      <c r="I46">
        <v>180</v>
      </c>
      <c r="J46">
        <v>113</v>
      </c>
      <c r="K46" t="s">
        <v>190</v>
      </c>
      <c r="L46" s="293">
        <v>45980</v>
      </c>
      <c r="M46">
        <v>1</v>
      </c>
      <c r="N46">
        <v>10</v>
      </c>
      <c r="O46">
        <v>37</v>
      </c>
      <c r="P46" t="s">
        <v>81</v>
      </c>
      <c r="Q46">
        <v>0</v>
      </c>
      <c r="R46">
        <v>0</v>
      </c>
      <c r="S46">
        <v>0</v>
      </c>
      <c r="T46">
        <v>0</v>
      </c>
      <c r="U46">
        <v>0</v>
      </c>
      <c r="V46">
        <v>0</v>
      </c>
      <c r="W46">
        <v>0</v>
      </c>
      <c r="X46">
        <v>0</v>
      </c>
      <c r="Y46">
        <v>0</v>
      </c>
      <c r="Z46">
        <v>1</v>
      </c>
      <c r="AA46">
        <v>0</v>
      </c>
      <c r="AB46">
        <v>8</v>
      </c>
      <c r="AC46">
        <v>12</v>
      </c>
      <c r="AD46">
        <v>12</v>
      </c>
      <c r="AE46">
        <v>12</v>
      </c>
      <c r="AF46">
        <v>22</v>
      </c>
      <c r="AG46">
        <v>49</v>
      </c>
      <c r="AH46">
        <v>0</v>
      </c>
      <c r="AI46">
        <v>64</v>
      </c>
      <c r="AJ46">
        <v>0</v>
      </c>
    </row>
    <row r="47" spans="1:36" x14ac:dyDescent="0.3">
      <c r="A47" t="s">
        <v>199</v>
      </c>
      <c r="B47" s="293">
        <v>45983</v>
      </c>
      <c r="C47" t="s">
        <v>375</v>
      </c>
      <c r="D47" t="s">
        <v>581</v>
      </c>
      <c r="E47" t="s">
        <v>335</v>
      </c>
      <c r="F47" t="s">
        <v>189</v>
      </c>
      <c r="G47">
        <v>0.98870000000000002</v>
      </c>
      <c r="H47">
        <v>177</v>
      </c>
      <c r="I47">
        <v>175</v>
      </c>
      <c r="J47">
        <v>94</v>
      </c>
      <c r="K47" t="s">
        <v>190</v>
      </c>
      <c r="L47" s="293">
        <v>45979</v>
      </c>
      <c r="M47">
        <v>0</v>
      </c>
      <c r="N47">
        <v>1</v>
      </c>
      <c r="O47">
        <v>46</v>
      </c>
      <c r="P47" t="s">
        <v>450</v>
      </c>
      <c r="Q47">
        <v>0</v>
      </c>
      <c r="R47">
        <v>0</v>
      </c>
      <c r="S47">
        <v>0</v>
      </c>
      <c r="T47">
        <v>0</v>
      </c>
      <c r="U47">
        <v>0</v>
      </c>
      <c r="V47">
        <v>0</v>
      </c>
      <c r="W47">
        <v>0</v>
      </c>
      <c r="X47">
        <v>0</v>
      </c>
      <c r="Y47">
        <v>0</v>
      </c>
      <c r="Z47">
        <v>1</v>
      </c>
      <c r="AA47">
        <v>8</v>
      </c>
      <c r="AB47">
        <v>11</v>
      </c>
      <c r="AC47">
        <v>11</v>
      </c>
      <c r="AD47">
        <v>12</v>
      </c>
      <c r="AE47">
        <v>11</v>
      </c>
      <c r="AF47">
        <v>25</v>
      </c>
      <c r="AG47">
        <v>0</v>
      </c>
      <c r="AH47">
        <v>0</v>
      </c>
      <c r="AI47">
        <v>94</v>
      </c>
      <c r="AJ47">
        <v>2</v>
      </c>
    </row>
    <row r="48" spans="1:36" x14ac:dyDescent="0.3">
      <c r="A48" t="s">
        <v>199</v>
      </c>
      <c r="B48" s="293">
        <v>45983</v>
      </c>
      <c r="C48" t="s">
        <v>383</v>
      </c>
      <c r="D48" t="s">
        <v>634</v>
      </c>
      <c r="E48" t="s">
        <v>335</v>
      </c>
      <c r="F48" t="s">
        <v>189</v>
      </c>
      <c r="G48">
        <v>0.99439999999999995</v>
      </c>
      <c r="H48">
        <v>180</v>
      </c>
      <c r="I48">
        <v>179</v>
      </c>
      <c r="J48">
        <v>125</v>
      </c>
      <c r="K48" t="s">
        <v>190</v>
      </c>
      <c r="L48" s="293">
        <v>45977</v>
      </c>
      <c r="M48">
        <v>0</v>
      </c>
      <c r="N48">
        <v>0</v>
      </c>
      <c r="O48">
        <v>23</v>
      </c>
      <c r="P48" t="s">
        <v>81</v>
      </c>
      <c r="Q48">
        <v>0</v>
      </c>
      <c r="R48">
        <v>0</v>
      </c>
      <c r="S48">
        <v>0</v>
      </c>
      <c r="T48">
        <v>0</v>
      </c>
      <c r="U48">
        <v>0</v>
      </c>
      <c r="V48">
        <v>0</v>
      </c>
      <c r="W48">
        <v>0</v>
      </c>
      <c r="X48">
        <v>0</v>
      </c>
      <c r="Y48">
        <v>1</v>
      </c>
      <c r="Z48">
        <v>1</v>
      </c>
      <c r="AA48">
        <v>0</v>
      </c>
      <c r="AB48">
        <v>0</v>
      </c>
      <c r="AC48">
        <v>9</v>
      </c>
      <c r="AD48">
        <v>12</v>
      </c>
      <c r="AE48">
        <v>15</v>
      </c>
      <c r="AF48">
        <v>15</v>
      </c>
      <c r="AG48">
        <v>0</v>
      </c>
      <c r="AH48">
        <v>0</v>
      </c>
      <c r="AI48">
        <v>125</v>
      </c>
      <c r="AJ48">
        <v>1</v>
      </c>
    </row>
    <row r="49" spans="1:36" x14ac:dyDescent="0.3">
      <c r="A49" t="s">
        <v>199</v>
      </c>
      <c r="B49" s="293">
        <v>45983</v>
      </c>
      <c r="C49" t="s">
        <v>78</v>
      </c>
      <c r="D49" t="s">
        <v>200</v>
      </c>
      <c r="E49" t="s">
        <v>1</v>
      </c>
      <c r="F49" t="s">
        <v>189</v>
      </c>
      <c r="G49">
        <v>0.9889</v>
      </c>
      <c r="H49">
        <v>180</v>
      </c>
      <c r="I49">
        <v>178</v>
      </c>
      <c r="J49">
        <v>177</v>
      </c>
      <c r="K49" t="s">
        <v>190</v>
      </c>
      <c r="L49" s="293">
        <v>45980</v>
      </c>
      <c r="M49">
        <v>3</v>
      </c>
      <c r="N49">
        <v>46</v>
      </c>
      <c r="O49">
        <v>49</v>
      </c>
      <c r="P49" t="s">
        <v>103</v>
      </c>
      <c r="Q49">
        <v>0</v>
      </c>
      <c r="R49">
        <v>0</v>
      </c>
      <c r="S49">
        <v>0</v>
      </c>
      <c r="T49">
        <v>0</v>
      </c>
      <c r="U49">
        <v>0</v>
      </c>
      <c r="V49">
        <v>0</v>
      </c>
      <c r="W49">
        <v>1</v>
      </c>
      <c r="X49">
        <v>0</v>
      </c>
      <c r="Y49">
        <v>0</v>
      </c>
      <c r="Z49">
        <v>0</v>
      </c>
      <c r="AA49">
        <v>0</v>
      </c>
      <c r="AB49">
        <v>0</v>
      </c>
      <c r="AC49">
        <v>0</v>
      </c>
      <c r="AD49">
        <v>0</v>
      </c>
      <c r="AE49">
        <v>0</v>
      </c>
      <c r="AF49">
        <v>0</v>
      </c>
      <c r="AG49">
        <v>46</v>
      </c>
      <c r="AH49">
        <v>0</v>
      </c>
      <c r="AI49">
        <v>131</v>
      </c>
      <c r="AJ49">
        <v>0</v>
      </c>
    </row>
    <row r="50" spans="1:36" x14ac:dyDescent="0.3">
      <c r="A50" t="s">
        <v>199</v>
      </c>
      <c r="B50" s="293">
        <v>45983</v>
      </c>
      <c r="C50" t="s">
        <v>1054</v>
      </c>
      <c r="D50" t="s">
        <v>1176</v>
      </c>
      <c r="E50" t="s">
        <v>1016</v>
      </c>
      <c r="F50" t="s">
        <v>189</v>
      </c>
      <c r="G50">
        <v>0.5978</v>
      </c>
      <c r="H50">
        <v>179</v>
      </c>
      <c r="I50">
        <v>107</v>
      </c>
      <c r="J50">
        <v>0</v>
      </c>
      <c r="K50" t="s">
        <v>190</v>
      </c>
      <c r="L50" s="293">
        <v>45980</v>
      </c>
      <c r="M50">
        <v>3</v>
      </c>
      <c r="N50">
        <v>17</v>
      </c>
      <c r="O50">
        <v>60</v>
      </c>
      <c r="P50" t="s">
        <v>425</v>
      </c>
      <c r="Q50">
        <v>0</v>
      </c>
      <c r="R50">
        <v>0</v>
      </c>
      <c r="S50">
        <v>0</v>
      </c>
      <c r="T50">
        <v>0</v>
      </c>
      <c r="U50">
        <v>0</v>
      </c>
      <c r="V50">
        <v>0</v>
      </c>
      <c r="W50">
        <v>0</v>
      </c>
      <c r="X50">
        <v>0</v>
      </c>
      <c r="Y50">
        <v>0</v>
      </c>
      <c r="Z50">
        <v>4</v>
      </c>
      <c r="AA50">
        <v>12</v>
      </c>
      <c r="AB50">
        <v>19</v>
      </c>
      <c r="AC50">
        <v>10</v>
      </c>
      <c r="AD50">
        <v>17</v>
      </c>
      <c r="AE50">
        <v>10</v>
      </c>
      <c r="AF50">
        <v>35</v>
      </c>
      <c r="AG50">
        <v>0</v>
      </c>
      <c r="AH50">
        <v>0</v>
      </c>
      <c r="AI50">
        <v>0</v>
      </c>
      <c r="AJ50">
        <v>0</v>
      </c>
    </row>
    <row r="51" spans="1:36" x14ac:dyDescent="0.3">
      <c r="A51" t="s">
        <v>199</v>
      </c>
      <c r="B51" s="293">
        <v>45983</v>
      </c>
      <c r="C51" t="s">
        <v>1374</v>
      </c>
      <c r="D51" t="s">
        <v>752</v>
      </c>
      <c r="E51" t="s">
        <v>1370</v>
      </c>
      <c r="F51" t="s">
        <v>1402</v>
      </c>
      <c r="G51">
        <v>0.68810000000000004</v>
      </c>
      <c r="H51">
        <v>109</v>
      </c>
      <c r="I51">
        <v>75</v>
      </c>
      <c r="J51">
        <v>0</v>
      </c>
      <c r="K51" t="s">
        <v>190</v>
      </c>
      <c r="L51" s="293">
        <v>45980</v>
      </c>
      <c r="M51">
        <v>2</v>
      </c>
      <c r="N51">
        <v>14</v>
      </c>
      <c r="O51">
        <v>42</v>
      </c>
      <c r="P51" t="s">
        <v>316</v>
      </c>
      <c r="Q51">
        <v>0</v>
      </c>
      <c r="R51">
        <v>0</v>
      </c>
      <c r="S51">
        <v>0</v>
      </c>
      <c r="T51">
        <v>0</v>
      </c>
      <c r="U51">
        <v>0</v>
      </c>
      <c r="V51">
        <v>0</v>
      </c>
      <c r="W51">
        <v>0</v>
      </c>
      <c r="X51">
        <v>0</v>
      </c>
      <c r="Y51">
        <v>0</v>
      </c>
      <c r="Z51">
        <v>3</v>
      </c>
      <c r="AA51">
        <v>0</v>
      </c>
      <c r="AB51">
        <v>0</v>
      </c>
      <c r="AC51">
        <v>0</v>
      </c>
      <c r="AD51">
        <v>4</v>
      </c>
      <c r="AE51">
        <v>13</v>
      </c>
      <c r="AF51">
        <v>55</v>
      </c>
      <c r="AG51">
        <v>0</v>
      </c>
      <c r="AH51">
        <v>0</v>
      </c>
      <c r="AI51">
        <v>0</v>
      </c>
      <c r="AJ51">
        <v>0</v>
      </c>
    </row>
    <row r="52" spans="1:36" x14ac:dyDescent="0.3">
      <c r="A52" t="s">
        <v>199</v>
      </c>
      <c r="B52" s="293">
        <v>45983</v>
      </c>
      <c r="C52" t="s">
        <v>1460</v>
      </c>
      <c r="D52" t="s">
        <v>1481</v>
      </c>
      <c r="E52" t="s">
        <v>1457</v>
      </c>
      <c r="F52" t="s">
        <v>189</v>
      </c>
      <c r="G52">
        <v>1</v>
      </c>
      <c r="H52">
        <v>179</v>
      </c>
      <c r="I52">
        <v>179</v>
      </c>
      <c r="J52">
        <v>146</v>
      </c>
      <c r="K52" t="s">
        <v>190</v>
      </c>
      <c r="L52" s="293">
        <v>45978</v>
      </c>
      <c r="M52">
        <v>0</v>
      </c>
      <c r="N52">
        <v>0</v>
      </c>
      <c r="O52">
        <v>10</v>
      </c>
      <c r="P52" t="s">
        <v>81</v>
      </c>
      <c r="Q52">
        <v>0</v>
      </c>
      <c r="R52">
        <v>0</v>
      </c>
      <c r="S52">
        <v>0</v>
      </c>
      <c r="T52">
        <v>0</v>
      </c>
      <c r="U52">
        <v>0</v>
      </c>
      <c r="V52">
        <v>0</v>
      </c>
      <c r="W52">
        <v>6</v>
      </c>
      <c r="X52">
        <v>0</v>
      </c>
      <c r="Y52">
        <v>0</v>
      </c>
      <c r="Z52">
        <v>3</v>
      </c>
      <c r="AA52">
        <v>3</v>
      </c>
      <c r="AB52">
        <v>8</v>
      </c>
      <c r="AC52">
        <v>12</v>
      </c>
      <c r="AD52">
        <v>0</v>
      </c>
      <c r="AE52">
        <v>0</v>
      </c>
      <c r="AF52">
        <v>0</v>
      </c>
      <c r="AG52">
        <v>0</v>
      </c>
      <c r="AH52">
        <v>0</v>
      </c>
      <c r="AI52">
        <v>146</v>
      </c>
      <c r="AJ52">
        <v>1</v>
      </c>
    </row>
    <row r="53" spans="1:36" x14ac:dyDescent="0.3">
      <c r="A53" t="s">
        <v>199</v>
      </c>
      <c r="B53" s="293">
        <v>45983</v>
      </c>
      <c r="C53" t="s">
        <v>761</v>
      </c>
      <c r="D53" t="s">
        <v>866</v>
      </c>
      <c r="E53" t="s">
        <v>754</v>
      </c>
      <c r="F53" t="s">
        <v>189</v>
      </c>
      <c r="G53">
        <v>0.9</v>
      </c>
      <c r="H53">
        <v>180</v>
      </c>
      <c r="I53">
        <v>162</v>
      </c>
      <c r="J53">
        <v>90</v>
      </c>
      <c r="K53" t="s">
        <v>190</v>
      </c>
      <c r="L53" s="293">
        <v>45980</v>
      </c>
      <c r="M53">
        <v>6</v>
      </c>
      <c r="N53">
        <v>5</v>
      </c>
      <c r="O53">
        <v>40</v>
      </c>
      <c r="P53" t="s">
        <v>448</v>
      </c>
      <c r="Q53">
        <v>0</v>
      </c>
      <c r="R53">
        <v>0</v>
      </c>
      <c r="S53">
        <v>0</v>
      </c>
      <c r="T53">
        <v>0</v>
      </c>
      <c r="U53">
        <v>0</v>
      </c>
      <c r="V53">
        <v>0</v>
      </c>
      <c r="W53">
        <v>0</v>
      </c>
      <c r="X53">
        <v>0</v>
      </c>
      <c r="Y53">
        <v>0</v>
      </c>
      <c r="Z53">
        <v>11</v>
      </c>
      <c r="AA53">
        <v>11</v>
      </c>
      <c r="AB53">
        <v>15</v>
      </c>
      <c r="AC53">
        <v>15</v>
      </c>
      <c r="AD53">
        <v>10</v>
      </c>
      <c r="AE53">
        <v>10</v>
      </c>
      <c r="AF53">
        <v>0</v>
      </c>
      <c r="AG53">
        <v>0</v>
      </c>
      <c r="AH53">
        <v>0</v>
      </c>
      <c r="AI53">
        <v>90</v>
      </c>
      <c r="AJ53">
        <v>0</v>
      </c>
    </row>
    <row r="54" spans="1:36" x14ac:dyDescent="0.3">
      <c r="A54" t="s">
        <v>199</v>
      </c>
      <c r="B54" s="293">
        <v>45983</v>
      </c>
      <c r="C54" t="s">
        <v>788</v>
      </c>
      <c r="D54" t="s">
        <v>864</v>
      </c>
      <c r="E54" t="s">
        <v>754</v>
      </c>
      <c r="F54" t="s">
        <v>189</v>
      </c>
      <c r="G54">
        <v>0.96109999999999995</v>
      </c>
      <c r="H54">
        <v>180</v>
      </c>
      <c r="I54">
        <v>173</v>
      </c>
      <c r="J54">
        <v>127</v>
      </c>
      <c r="K54" t="s">
        <v>190</v>
      </c>
      <c r="L54" s="293">
        <v>45980</v>
      </c>
      <c r="M54">
        <v>1</v>
      </c>
      <c r="N54">
        <v>4</v>
      </c>
      <c r="O54">
        <v>21</v>
      </c>
      <c r="P54" t="s">
        <v>789</v>
      </c>
      <c r="Q54">
        <v>0</v>
      </c>
      <c r="R54">
        <v>0</v>
      </c>
      <c r="S54">
        <v>0</v>
      </c>
      <c r="T54">
        <v>0</v>
      </c>
      <c r="U54">
        <v>0</v>
      </c>
      <c r="V54">
        <v>0</v>
      </c>
      <c r="W54">
        <v>0</v>
      </c>
      <c r="X54">
        <v>0</v>
      </c>
      <c r="Y54">
        <v>0</v>
      </c>
      <c r="Z54">
        <v>8</v>
      </c>
      <c r="AA54">
        <v>3</v>
      </c>
      <c r="AB54">
        <v>15</v>
      </c>
      <c r="AC54">
        <v>15</v>
      </c>
      <c r="AD54">
        <v>5</v>
      </c>
      <c r="AE54">
        <v>0</v>
      </c>
      <c r="AF54">
        <v>0</v>
      </c>
      <c r="AG54">
        <v>0</v>
      </c>
      <c r="AH54">
        <v>0</v>
      </c>
      <c r="AI54">
        <v>127</v>
      </c>
      <c r="AJ54">
        <v>0</v>
      </c>
    </row>
    <row r="55" spans="1:36" x14ac:dyDescent="0.3">
      <c r="A55" t="s">
        <v>203</v>
      </c>
      <c r="B55" s="293">
        <v>45984</v>
      </c>
      <c r="C55" t="s">
        <v>897</v>
      </c>
      <c r="D55" t="s">
        <v>955</v>
      </c>
      <c r="E55" t="s">
        <v>891</v>
      </c>
      <c r="F55" t="s">
        <v>189</v>
      </c>
      <c r="G55">
        <v>0.97219999999999995</v>
      </c>
      <c r="H55">
        <v>180</v>
      </c>
      <c r="I55">
        <v>175</v>
      </c>
      <c r="J55">
        <v>90</v>
      </c>
      <c r="K55" t="s">
        <v>190</v>
      </c>
      <c r="L55" s="293">
        <v>45980</v>
      </c>
      <c r="M55">
        <v>5</v>
      </c>
      <c r="N55">
        <v>11</v>
      </c>
      <c r="O55">
        <v>39</v>
      </c>
      <c r="P55" t="s">
        <v>644</v>
      </c>
      <c r="Q55">
        <v>1</v>
      </c>
      <c r="R55">
        <v>0</v>
      </c>
      <c r="S55">
        <v>0</v>
      </c>
      <c r="T55">
        <v>0</v>
      </c>
      <c r="U55">
        <v>0</v>
      </c>
      <c r="V55">
        <v>0</v>
      </c>
      <c r="W55">
        <v>0</v>
      </c>
      <c r="X55">
        <v>0</v>
      </c>
      <c r="Y55">
        <v>0</v>
      </c>
      <c r="Z55">
        <v>0</v>
      </c>
      <c r="AA55">
        <v>9</v>
      </c>
      <c r="AB55">
        <v>11</v>
      </c>
      <c r="AC55">
        <v>11</v>
      </c>
      <c r="AD55">
        <v>33</v>
      </c>
      <c r="AE55">
        <v>10</v>
      </c>
      <c r="AF55">
        <v>10</v>
      </c>
      <c r="AG55">
        <v>0</v>
      </c>
      <c r="AH55">
        <v>0</v>
      </c>
      <c r="AI55">
        <v>90</v>
      </c>
      <c r="AJ55">
        <v>0</v>
      </c>
    </row>
    <row r="56" spans="1:36" x14ac:dyDescent="0.3">
      <c r="A56" t="s">
        <v>203</v>
      </c>
      <c r="B56" s="293">
        <v>45984</v>
      </c>
      <c r="C56" t="s">
        <v>902</v>
      </c>
      <c r="D56" t="s">
        <v>940</v>
      </c>
      <c r="E56" t="s">
        <v>891</v>
      </c>
      <c r="F56" t="s">
        <v>189</v>
      </c>
      <c r="G56">
        <v>1</v>
      </c>
      <c r="H56">
        <v>180</v>
      </c>
      <c r="I56">
        <v>180</v>
      </c>
      <c r="J56">
        <v>120</v>
      </c>
      <c r="K56" t="s">
        <v>190</v>
      </c>
      <c r="L56" s="293">
        <v>45980</v>
      </c>
      <c r="M56">
        <v>3</v>
      </c>
      <c r="N56">
        <v>4</v>
      </c>
      <c r="O56">
        <v>23</v>
      </c>
      <c r="P56" t="s">
        <v>81</v>
      </c>
      <c r="Q56">
        <v>0</v>
      </c>
      <c r="R56">
        <v>0</v>
      </c>
      <c r="S56">
        <v>0</v>
      </c>
      <c r="T56">
        <v>0</v>
      </c>
      <c r="U56">
        <v>0</v>
      </c>
      <c r="V56">
        <v>0</v>
      </c>
      <c r="W56">
        <v>0</v>
      </c>
      <c r="X56">
        <v>0</v>
      </c>
      <c r="Y56">
        <v>0</v>
      </c>
      <c r="Z56">
        <v>0</v>
      </c>
      <c r="AA56">
        <v>1</v>
      </c>
      <c r="AB56">
        <v>4</v>
      </c>
      <c r="AC56">
        <v>11</v>
      </c>
      <c r="AD56">
        <v>13</v>
      </c>
      <c r="AE56">
        <v>21</v>
      </c>
      <c r="AF56">
        <v>10</v>
      </c>
      <c r="AG56">
        <v>0</v>
      </c>
      <c r="AH56">
        <v>0</v>
      </c>
      <c r="AI56">
        <v>120</v>
      </c>
      <c r="AJ56">
        <v>0</v>
      </c>
    </row>
    <row r="57" spans="1:36" x14ac:dyDescent="0.3">
      <c r="A57" t="s">
        <v>203</v>
      </c>
      <c r="B57" s="293">
        <v>45984</v>
      </c>
      <c r="C57" t="s">
        <v>1228</v>
      </c>
      <c r="D57" t="s">
        <v>1183</v>
      </c>
      <c r="E57" t="s">
        <v>1213</v>
      </c>
      <c r="F57" t="s">
        <v>189</v>
      </c>
      <c r="G57">
        <v>0.73180000000000001</v>
      </c>
      <c r="H57">
        <v>179</v>
      </c>
      <c r="I57">
        <v>131</v>
      </c>
      <c r="J57">
        <v>0</v>
      </c>
      <c r="K57" t="s">
        <v>190</v>
      </c>
      <c r="L57" s="293">
        <v>45980</v>
      </c>
      <c r="M57">
        <v>4</v>
      </c>
      <c r="N57">
        <v>6</v>
      </c>
      <c r="O57">
        <v>51</v>
      </c>
      <c r="P57" t="s">
        <v>538</v>
      </c>
      <c r="Q57">
        <v>0</v>
      </c>
      <c r="R57">
        <v>0</v>
      </c>
      <c r="S57">
        <v>0</v>
      </c>
      <c r="T57">
        <v>1</v>
      </c>
      <c r="U57">
        <v>1</v>
      </c>
      <c r="V57">
        <v>0</v>
      </c>
      <c r="W57">
        <v>31</v>
      </c>
      <c r="X57">
        <v>29</v>
      </c>
      <c r="Y57">
        <v>0</v>
      </c>
      <c r="Z57">
        <v>20</v>
      </c>
      <c r="AA57">
        <v>20</v>
      </c>
      <c r="AB57">
        <v>0</v>
      </c>
      <c r="AC57">
        <v>6</v>
      </c>
      <c r="AD57">
        <v>13</v>
      </c>
      <c r="AE57">
        <v>8</v>
      </c>
      <c r="AF57">
        <v>2</v>
      </c>
      <c r="AG57">
        <v>0</v>
      </c>
      <c r="AH57">
        <v>0</v>
      </c>
      <c r="AI57">
        <v>0</v>
      </c>
      <c r="AJ57">
        <v>0</v>
      </c>
    </row>
    <row r="58" spans="1:36" x14ac:dyDescent="0.3">
      <c r="A58" t="s">
        <v>203</v>
      </c>
      <c r="B58" s="293">
        <v>45984</v>
      </c>
      <c r="C58" t="s">
        <v>1554</v>
      </c>
      <c r="D58" t="s">
        <v>1210</v>
      </c>
      <c r="E58" t="s">
        <v>1551</v>
      </c>
      <c r="F58" t="s">
        <v>189</v>
      </c>
      <c r="G58">
        <v>0.55869999999999997</v>
      </c>
      <c r="H58">
        <v>179</v>
      </c>
      <c r="I58">
        <v>100</v>
      </c>
      <c r="J58">
        <v>0</v>
      </c>
      <c r="K58" t="s">
        <v>190</v>
      </c>
      <c r="L58" s="293">
        <v>45980</v>
      </c>
      <c r="M58">
        <v>10</v>
      </c>
      <c r="N58">
        <v>18</v>
      </c>
      <c r="O58">
        <v>51</v>
      </c>
      <c r="P58" t="s">
        <v>313</v>
      </c>
      <c r="Q58">
        <v>0</v>
      </c>
      <c r="R58">
        <v>0</v>
      </c>
      <c r="S58">
        <v>0</v>
      </c>
      <c r="T58">
        <v>0</v>
      </c>
      <c r="U58">
        <v>0</v>
      </c>
      <c r="V58">
        <v>0</v>
      </c>
      <c r="W58">
        <v>0</v>
      </c>
      <c r="X58">
        <v>0</v>
      </c>
      <c r="Y58">
        <v>3</v>
      </c>
      <c r="Z58">
        <v>23</v>
      </c>
      <c r="AA58">
        <v>42</v>
      </c>
      <c r="AB58">
        <v>0</v>
      </c>
      <c r="AC58">
        <v>1</v>
      </c>
      <c r="AD58">
        <v>1</v>
      </c>
      <c r="AE58">
        <v>4</v>
      </c>
      <c r="AF58">
        <v>26</v>
      </c>
      <c r="AG58">
        <v>0</v>
      </c>
      <c r="AH58">
        <v>0</v>
      </c>
      <c r="AI58">
        <v>0</v>
      </c>
      <c r="AJ58">
        <v>0</v>
      </c>
    </row>
    <row r="59" spans="1:36" x14ac:dyDescent="0.3">
      <c r="A59" t="s">
        <v>203</v>
      </c>
      <c r="B59" s="293">
        <v>45984</v>
      </c>
      <c r="C59" t="s">
        <v>367</v>
      </c>
      <c r="D59" t="s">
        <v>581</v>
      </c>
      <c r="E59" t="s">
        <v>335</v>
      </c>
      <c r="F59" t="s">
        <v>189</v>
      </c>
      <c r="G59">
        <v>0.99439999999999995</v>
      </c>
      <c r="H59">
        <v>180</v>
      </c>
      <c r="I59">
        <v>179</v>
      </c>
      <c r="J59">
        <v>94</v>
      </c>
      <c r="K59" t="s">
        <v>190</v>
      </c>
      <c r="L59" s="293">
        <v>45980</v>
      </c>
      <c r="M59">
        <v>5</v>
      </c>
      <c r="N59">
        <v>12</v>
      </c>
      <c r="O59">
        <v>66</v>
      </c>
      <c r="P59" t="s">
        <v>81</v>
      </c>
      <c r="Q59">
        <v>0</v>
      </c>
      <c r="R59">
        <v>0</v>
      </c>
      <c r="S59">
        <v>0</v>
      </c>
      <c r="T59">
        <v>0</v>
      </c>
      <c r="U59">
        <v>0</v>
      </c>
      <c r="V59">
        <v>0</v>
      </c>
      <c r="W59">
        <v>0</v>
      </c>
      <c r="X59">
        <v>0</v>
      </c>
      <c r="Y59">
        <v>0</v>
      </c>
      <c r="Z59">
        <v>0</v>
      </c>
      <c r="AA59">
        <v>10</v>
      </c>
      <c r="AB59">
        <v>15</v>
      </c>
      <c r="AC59">
        <v>15</v>
      </c>
      <c r="AD59">
        <v>15</v>
      </c>
      <c r="AE59">
        <v>15</v>
      </c>
      <c r="AF59">
        <v>15</v>
      </c>
      <c r="AG59">
        <v>0</v>
      </c>
      <c r="AH59">
        <v>0</v>
      </c>
      <c r="AI59">
        <v>94</v>
      </c>
      <c r="AJ59">
        <v>0</v>
      </c>
    </row>
    <row r="60" spans="1:36" x14ac:dyDescent="0.3">
      <c r="A60" t="s">
        <v>203</v>
      </c>
      <c r="B60" s="293">
        <v>45984</v>
      </c>
      <c r="C60" t="s">
        <v>421</v>
      </c>
      <c r="D60" t="s">
        <v>643</v>
      </c>
      <c r="E60" t="s">
        <v>335</v>
      </c>
      <c r="F60" t="s">
        <v>189</v>
      </c>
      <c r="G60">
        <v>1</v>
      </c>
      <c r="H60">
        <v>180</v>
      </c>
      <c r="I60">
        <v>180</v>
      </c>
      <c r="J60">
        <v>90</v>
      </c>
      <c r="K60" t="s">
        <v>190</v>
      </c>
      <c r="L60" s="293">
        <v>45980</v>
      </c>
      <c r="M60">
        <v>2</v>
      </c>
      <c r="N60">
        <v>43</v>
      </c>
      <c r="O60">
        <v>58</v>
      </c>
      <c r="P60" t="s">
        <v>81</v>
      </c>
      <c r="Q60">
        <v>0</v>
      </c>
      <c r="R60">
        <v>0</v>
      </c>
      <c r="S60">
        <v>0</v>
      </c>
      <c r="T60">
        <v>0</v>
      </c>
      <c r="U60">
        <v>0</v>
      </c>
      <c r="V60">
        <v>0</v>
      </c>
      <c r="W60">
        <v>0</v>
      </c>
      <c r="X60">
        <v>0</v>
      </c>
      <c r="Y60">
        <v>0</v>
      </c>
      <c r="Z60">
        <v>1</v>
      </c>
      <c r="AA60">
        <v>3</v>
      </c>
      <c r="AB60">
        <v>3</v>
      </c>
      <c r="AC60">
        <v>4</v>
      </c>
      <c r="AD60">
        <v>30</v>
      </c>
      <c r="AE60">
        <v>28</v>
      </c>
      <c r="AF60">
        <v>21</v>
      </c>
      <c r="AG60">
        <v>0</v>
      </c>
      <c r="AH60">
        <v>0</v>
      </c>
      <c r="AI60">
        <v>90</v>
      </c>
      <c r="AJ60">
        <v>0</v>
      </c>
    </row>
    <row r="61" spans="1:36" x14ac:dyDescent="0.3">
      <c r="A61" t="s">
        <v>203</v>
      </c>
      <c r="B61" s="293">
        <v>45984</v>
      </c>
      <c r="C61" t="s">
        <v>375</v>
      </c>
      <c r="D61" t="s">
        <v>607</v>
      </c>
      <c r="E61" t="s">
        <v>335</v>
      </c>
      <c r="F61" t="s">
        <v>189</v>
      </c>
      <c r="G61">
        <v>0.93330000000000002</v>
      </c>
      <c r="H61">
        <v>180</v>
      </c>
      <c r="I61">
        <v>168</v>
      </c>
      <c r="J61">
        <v>80</v>
      </c>
      <c r="K61" t="s">
        <v>190</v>
      </c>
      <c r="L61" s="293">
        <v>45980</v>
      </c>
      <c r="M61">
        <v>2</v>
      </c>
      <c r="N61">
        <v>9</v>
      </c>
      <c r="O61">
        <v>56</v>
      </c>
      <c r="P61" t="s">
        <v>425</v>
      </c>
      <c r="Q61">
        <v>0</v>
      </c>
      <c r="R61">
        <v>0</v>
      </c>
      <c r="S61">
        <v>0</v>
      </c>
      <c r="T61">
        <v>0</v>
      </c>
      <c r="U61">
        <v>0</v>
      </c>
      <c r="V61">
        <v>0</v>
      </c>
      <c r="W61">
        <v>0</v>
      </c>
      <c r="X61">
        <v>0</v>
      </c>
      <c r="Y61">
        <v>0</v>
      </c>
      <c r="Z61">
        <v>4</v>
      </c>
      <c r="AA61">
        <v>5</v>
      </c>
      <c r="AB61">
        <v>10</v>
      </c>
      <c r="AC61">
        <v>14</v>
      </c>
      <c r="AD61">
        <v>15</v>
      </c>
      <c r="AE61">
        <v>19</v>
      </c>
      <c r="AF61">
        <v>21</v>
      </c>
      <c r="AG61">
        <v>0</v>
      </c>
      <c r="AH61">
        <v>0</v>
      </c>
      <c r="AI61">
        <v>80</v>
      </c>
      <c r="AJ61">
        <v>0</v>
      </c>
    </row>
    <row r="62" spans="1:36" x14ac:dyDescent="0.3">
      <c r="A62" t="s">
        <v>203</v>
      </c>
      <c r="B62" s="293">
        <v>45984</v>
      </c>
      <c r="C62" t="s">
        <v>383</v>
      </c>
      <c r="D62" t="s">
        <v>649</v>
      </c>
      <c r="E62" t="s">
        <v>335</v>
      </c>
      <c r="F62" t="s">
        <v>189</v>
      </c>
      <c r="G62">
        <v>1</v>
      </c>
      <c r="H62">
        <v>180</v>
      </c>
      <c r="I62">
        <v>180</v>
      </c>
      <c r="J62">
        <v>166</v>
      </c>
      <c r="K62" t="s">
        <v>190</v>
      </c>
      <c r="L62" s="293">
        <v>45977</v>
      </c>
      <c r="M62">
        <v>0</v>
      </c>
      <c r="N62">
        <v>0</v>
      </c>
      <c r="O62">
        <v>3</v>
      </c>
      <c r="P62" t="s">
        <v>81</v>
      </c>
      <c r="Q62">
        <v>0</v>
      </c>
      <c r="R62">
        <v>0</v>
      </c>
      <c r="S62">
        <v>0</v>
      </c>
      <c r="T62">
        <v>0</v>
      </c>
      <c r="U62">
        <v>0</v>
      </c>
      <c r="V62">
        <v>0</v>
      </c>
      <c r="W62">
        <v>0</v>
      </c>
      <c r="X62">
        <v>0</v>
      </c>
      <c r="Y62">
        <v>0</v>
      </c>
      <c r="Z62">
        <v>0</v>
      </c>
      <c r="AA62">
        <v>0</v>
      </c>
      <c r="AB62">
        <v>0</v>
      </c>
      <c r="AC62">
        <v>3</v>
      </c>
      <c r="AD62">
        <v>0</v>
      </c>
      <c r="AE62">
        <v>2</v>
      </c>
      <c r="AF62">
        <v>9</v>
      </c>
      <c r="AG62">
        <v>0</v>
      </c>
      <c r="AH62">
        <v>0</v>
      </c>
      <c r="AI62">
        <v>166</v>
      </c>
      <c r="AJ62">
        <v>0</v>
      </c>
    </row>
    <row r="63" spans="1:36" x14ac:dyDescent="0.3">
      <c r="A63" t="s">
        <v>203</v>
      </c>
      <c r="B63" s="293">
        <v>45984</v>
      </c>
      <c r="C63" t="s">
        <v>363</v>
      </c>
      <c r="D63" t="s">
        <v>651</v>
      </c>
      <c r="E63" t="s">
        <v>335</v>
      </c>
      <c r="F63" t="s">
        <v>189</v>
      </c>
      <c r="G63">
        <v>0.56669999999999998</v>
      </c>
      <c r="H63">
        <v>180</v>
      </c>
      <c r="I63">
        <v>102</v>
      </c>
      <c r="J63">
        <v>0</v>
      </c>
      <c r="K63" t="s">
        <v>190</v>
      </c>
      <c r="L63" s="293">
        <v>45980</v>
      </c>
      <c r="M63">
        <v>5</v>
      </c>
      <c r="N63">
        <v>8</v>
      </c>
      <c r="O63">
        <v>60</v>
      </c>
      <c r="P63" t="s">
        <v>469</v>
      </c>
      <c r="Q63">
        <v>0</v>
      </c>
      <c r="R63">
        <v>0</v>
      </c>
      <c r="S63">
        <v>0</v>
      </c>
      <c r="T63">
        <v>0</v>
      </c>
      <c r="U63">
        <v>0</v>
      </c>
      <c r="V63">
        <v>0</v>
      </c>
      <c r="W63">
        <v>0</v>
      </c>
      <c r="X63">
        <v>0</v>
      </c>
      <c r="Y63">
        <v>1</v>
      </c>
      <c r="Z63">
        <v>9</v>
      </c>
      <c r="AA63">
        <v>9</v>
      </c>
      <c r="AB63">
        <v>9</v>
      </c>
      <c r="AC63">
        <v>24</v>
      </c>
      <c r="AD63">
        <v>15</v>
      </c>
      <c r="AE63">
        <v>20</v>
      </c>
      <c r="AF63">
        <v>15</v>
      </c>
      <c r="AG63">
        <v>0</v>
      </c>
      <c r="AH63">
        <v>0</v>
      </c>
      <c r="AI63">
        <v>0</v>
      </c>
      <c r="AJ63">
        <v>0</v>
      </c>
    </row>
    <row r="64" spans="1:36" x14ac:dyDescent="0.3">
      <c r="A64" t="s">
        <v>203</v>
      </c>
      <c r="B64" s="293">
        <v>45984</v>
      </c>
      <c r="C64" t="s">
        <v>78</v>
      </c>
      <c r="D64" t="s">
        <v>204</v>
      </c>
      <c r="E64" t="s">
        <v>1</v>
      </c>
      <c r="F64" t="s">
        <v>189</v>
      </c>
      <c r="G64">
        <v>0.98329999999999995</v>
      </c>
      <c r="H64">
        <v>180</v>
      </c>
      <c r="I64">
        <v>177</v>
      </c>
      <c r="J64">
        <v>139</v>
      </c>
      <c r="K64" t="s">
        <v>190</v>
      </c>
      <c r="L64" s="293">
        <v>45979</v>
      </c>
      <c r="M64">
        <v>0</v>
      </c>
      <c r="N64">
        <v>1</v>
      </c>
      <c r="O64">
        <v>3</v>
      </c>
      <c r="P64" t="s">
        <v>112</v>
      </c>
      <c r="Q64">
        <v>0</v>
      </c>
      <c r="R64">
        <v>0</v>
      </c>
      <c r="S64">
        <v>0</v>
      </c>
      <c r="T64">
        <v>0</v>
      </c>
      <c r="U64">
        <v>0</v>
      </c>
      <c r="V64">
        <v>0</v>
      </c>
      <c r="W64">
        <v>1</v>
      </c>
      <c r="X64">
        <v>0</v>
      </c>
      <c r="Y64">
        <v>0</v>
      </c>
      <c r="Z64">
        <v>0</v>
      </c>
      <c r="AA64">
        <v>0</v>
      </c>
      <c r="AB64">
        <v>0</v>
      </c>
      <c r="AC64">
        <v>5</v>
      </c>
      <c r="AD64">
        <v>11</v>
      </c>
      <c r="AE64">
        <v>11</v>
      </c>
      <c r="AF64">
        <v>10</v>
      </c>
      <c r="AG64">
        <v>0</v>
      </c>
      <c r="AH64">
        <v>0</v>
      </c>
      <c r="AI64">
        <v>139</v>
      </c>
      <c r="AJ64">
        <v>0</v>
      </c>
    </row>
    <row r="65" spans="1:36" x14ac:dyDescent="0.3">
      <c r="A65" t="s">
        <v>203</v>
      </c>
      <c r="B65" s="293">
        <v>45984</v>
      </c>
      <c r="C65" t="s">
        <v>1054</v>
      </c>
      <c r="D65" t="s">
        <v>1183</v>
      </c>
      <c r="E65" t="s">
        <v>1016</v>
      </c>
      <c r="F65" t="s">
        <v>189</v>
      </c>
      <c r="G65">
        <v>0.52510000000000001</v>
      </c>
      <c r="H65">
        <v>179</v>
      </c>
      <c r="I65">
        <v>94</v>
      </c>
      <c r="J65">
        <v>0</v>
      </c>
      <c r="K65" t="s">
        <v>190</v>
      </c>
      <c r="L65" s="293">
        <v>45980</v>
      </c>
      <c r="M65">
        <v>9</v>
      </c>
      <c r="N65">
        <v>7</v>
      </c>
      <c r="O65">
        <v>50</v>
      </c>
      <c r="P65" t="s">
        <v>654</v>
      </c>
      <c r="Q65">
        <v>0</v>
      </c>
      <c r="R65">
        <v>0</v>
      </c>
      <c r="S65">
        <v>0</v>
      </c>
      <c r="T65">
        <v>0</v>
      </c>
      <c r="U65">
        <v>0</v>
      </c>
      <c r="V65">
        <v>0</v>
      </c>
      <c r="W65">
        <v>0</v>
      </c>
      <c r="X65">
        <v>0</v>
      </c>
      <c r="Y65">
        <v>0</v>
      </c>
      <c r="Z65">
        <v>0</v>
      </c>
      <c r="AA65">
        <v>0</v>
      </c>
      <c r="AB65">
        <v>2</v>
      </c>
      <c r="AC65">
        <v>38</v>
      </c>
      <c r="AD65">
        <v>7</v>
      </c>
      <c r="AE65">
        <v>20</v>
      </c>
      <c r="AF65">
        <v>26</v>
      </c>
      <c r="AG65">
        <v>0</v>
      </c>
      <c r="AH65">
        <v>0</v>
      </c>
      <c r="AI65">
        <v>0</v>
      </c>
      <c r="AJ65">
        <v>1</v>
      </c>
    </row>
    <row r="66" spans="1:36" x14ac:dyDescent="0.3">
      <c r="A66" t="s">
        <v>203</v>
      </c>
      <c r="B66" s="293">
        <v>45984</v>
      </c>
      <c r="C66" t="s">
        <v>1460</v>
      </c>
      <c r="D66" t="s">
        <v>1484</v>
      </c>
      <c r="E66" t="s">
        <v>1457</v>
      </c>
      <c r="F66" t="s">
        <v>189</v>
      </c>
      <c r="G66">
        <v>1</v>
      </c>
      <c r="H66">
        <v>179</v>
      </c>
      <c r="I66">
        <v>179</v>
      </c>
      <c r="J66">
        <v>125</v>
      </c>
      <c r="K66" t="s">
        <v>190</v>
      </c>
      <c r="L66" s="293">
        <v>45979</v>
      </c>
      <c r="M66">
        <v>0</v>
      </c>
      <c r="N66">
        <v>4</v>
      </c>
      <c r="O66">
        <v>53</v>
      </c>
      <c r="P66" t="s">
        <v>81</v>
      </c>
      <c r="Q66">
        <v>0</v>
      </c>
      <c r="R66">
        <v>0</v>
      </c>
      <c r="S66">
        <v>0</v>
      </c>
      <c r="T66">
        <v>0</v>
      </c>
      <c r="U66">
        <v>1</v>
      </c>
      <c r="V66">
        <v>0</v>
      </c>
      <c r="W66">
        <v>0</v>
      </c>
      <c r="X66">
        <v>13</v>
      </c>
      <c r="Y66">
        <v>9</v>
      </c>
      <c r="Z66">
        <v>5</v>
      </c>
      <c r="AA66">
        <v>3</v>
      </c>
      <c r="AB66">
        <v>5</v>
      </c>
      <c r="AC66">
        <v>2</v>
      </c>
      <c r="AD66">
        <v>16</v>
      </c>
      <c r="AE66">
        <v>0</v>
      </c>
      <c r="AF66">
        <v>0</v>
      </c>
      <c r="AG66">
        <v>0</v>
      </c>
      <c r="AH66">
        <v>0</v>
      </c>
      <c r="AI66">
        <v>125</v>
      </c>
      <c r="AJ66">
        <v>0</v>
      </c>
    </row>
    <row r="67" spans="1:36" x14ac:dyDescent="0.3">
      <c r="A67" t="s">
        <v>203</v>
      </c>
      <c r="B67" s="293">
        <v>45984</v>
      </c>
      <c r="C67" t="s">
        <v>761</v>
      </c>
      <c r="D67" t="s">
        <v>867</v>
      </c>
      <c r="E67" t="s">
        <v>754</v>
      </c>
      <c r="F67" t="s">
        <v>189</v>
      </c>
      <c r="G67">
        <v>0.96109999999999995</v>
      </c>
      <c r="H67">
        <v>180</v>
      </c>
      <c r="I67">
        <v>173</v>
      </c>
      <c r="J67">
        <v>134</v>
      </c>
      <c r="K67" t="s">
        <v>190</v>
      </c>
      <c r="L67" s="293">
        <v>45980</v>
      </c>
      <c r="M67">
        <v>6</v>
      </c>
      <c r="N67">
        <v>9</v>
      </c>
      <c r="O67">
        <v>21</v>
      </c>
      <c r="P67" t="s">
        <v>448</v>
      </c>
      <c r="Q67">
        <v>0</v>
      </c>
      <c r="R67">
        <v>0</v>
      </c>
      <c r="S67">
        <v>0</v>
      </c>
      <c r="T67">
        <v>0</v>
      </c>
      <c r="U67">
        <v>0</v>
      </c>
      <c r="V67">
        <v>0</v>
      </c>
      <c r="W67">
        <v>0</v>
      </c>
      <c r="X67">
        <v>0</v>
      </c>
      <c r="Y67">
        <v>0</v>
      </c>
      <c r="Z67">
        <v>6</v>
      </c>
      <c r="AA67">
        <v>6</v>
      </c>
      <c r="AB67">
        <v>9</v>
      </c>
      <c r="AC67">
        <v>10</v>
      </c>
      <c r="AD67">
        <v>2</v>
      </c>
      <c r="AE67">
        <v>3</v>
      </c>
      <c r="AF67">
        <v>3</v>
      </c>
      <c r="AG67">
        <v>0</v>
      </c>
      <c r="AH67">
        <v>0</v>
      </c>
      <c r="AI67">
        <v>134</v>
      </c>
      <c r="AJ67">
        <v>0</v>
      </c>
    </row>
    <row r="68" spans="1:36" x14ac:dyDescent="0.3">
      <c r="A68" t="s">
        <v>203</v>
      </c>
      <c r="B68" s="293">
        <v>45984</v>
      </c>
      <c r="C68" t="s">
        <v>788</v>
      </c>
      <c r="D68" t="s">
        <v>870</v>
      </c>
      <c r="E68" t="s">
        <v>754</v>
      </c>
      <c r="F68" t="s">
        <v>189</v>
      </c>
      <c r="G68">
        <v>0.88890000000000002</v>
      </c>
      <c r="H68">
        <v>180</v>
      </c>
      <c r="I68">
        <v>160</v>
      </c>
      <c r="J68">
        <v>125</v>
      </c>
      <c r="K68" t="s">
        <v>190</v>
      </c>
      <c r="L68" s="293">
        <v>45979</v>
      </c>
      <c r="M68">
        <v>0</v>
      </c>
      <c r="N68">
        <v>12</v>
      </c>
      <c r="O68">
        <v>30</v>
      </c>
      <c r="P68" t="s">
        <v>422</v>
      </c>
      <c r="Q68">
        <v>0</v>
      </c>
      <c r="R68">
        <v>0</v>
      </c>
      <c r="S68">
        <v>0</v>
      </c>
      <c r="T68">
        <v>0</v>
      </c>
      <c r="U68">
        <v>0</v>
      </c>
      <c r="V68">
        <v>0</v>
      </c>
      <c r="W68">
        <v>0</v>
      </c>
      <c r="X68">
        <v>0</v>
      </c>
      <c r="Y68">
        <v>0</v>
      </c>
      <c r="Z68">
        <v>3</v>
      </c>
      <c r="AA68">
        <v>4</v>
      </c>
      <c r="AB68">
        <v>9</v>
      </c>
      <c r="AC68">
        <v>19</v>
      </c>
      <c r="AD68">
        <v>0</v>
      </c>
      <c r="AE68">
        <v>0</v>
      </c>
      <c r="AF68">
        <v>0</v>
      </c>
      <c r="AG68">
        <v>0</v>
      </c>
      <c r="AH68">
        <v>0</v>
      </c>
      <c r="AI68">
        <v>125</v>
      </c>
      <c r="AJ68">
        <v>0</v>
      </c>
    </row>
    <row r="69" spans="1:36" x14ac:dyDescent="0.3">
      <c r="A69" t="s">
        <v>203</v>
      </c>
      <c r="B69" s="293">
        <v>45984</v>
      </c>
      <c r="C69" t="s">
        <v>249</v>
      </c>
      <c r="D69" t="s">
        <v>200</v>
      </c>
      <c r="E69" t="s">
        <v>246</v>
      </c>
      <c r="F69" t="s">
        <v>189</v>
      </c>
      <c r="G69">
        <v>1.0056</v>
      </c>
      <c r="H69">
        <v>180</v>
      </c>
      <c r="I69">
        <v>181</v>
      </c>
      <c r="J69">
        <v>162</v>
      </c>
      <c r="K69" t="s">
        <v>190</v>
      </c>
      <c r="L69" s="293">
        <v>45959</v>
      </c>
      <c r="M69">
        <v>0</v>
      </c>
      <c r="N69">
        <v>0</v>
      </c>
      <c r="O69">
        <v>0</v>
      </c>
      <c r="P69" t="s">
        <v>81</v>
      </c>
      <c r="Q69">
        <v>0</v>
      </c>
      <c r="R69">
        <v>0</v>
      </c>
      <c r="S69">
        <v>0</v>
      </c>
      <c r="T69">
        <v>0</v>
      </c>
      <c r="U69">
        <v>0</v>
      </c>
      <c r="V69">
        <v>0</v>
      </c>
      <c r="W69">
        <v>0</v>
      </c>
      <c r="X69">
        <v>0</v>
      </c>
      <c r="Y69">
        <v>0</v>
      </c>
      <c r="Z69">
        <v>1</v>
      </c>
      <c r="AA69">
        <v>0</v>
      </c>
      <c r="AB69">
        <v>0</v>
      </c>
      <c r="AC69">
        <v>2</v>
      </c>
      <c r="AD69">
        <v>0</v>
      </c>
      <c r="AE69">
        <v>8</v>
      </c>
      <c r="AF69">
        <v>8</v>
      </c>
      <c r="AG69">
        <v>0</v>
      </c>
      <c r="AH69">
        <v>0</v>
      </c>
      <c r="AI69">
        <v>162</v>
      </c>
      <c r="AJ69">
        <v>0</v>
      </c>
    </row>
    <row r="70" spans="1:36" x14ac:dyDescent="0.3">
      <c r="A70" t="s">
        <v>207</v>
      </c>
      <c r="B70" s="293">
        <v>45985</v>
      </c>
      <c r="C70" t="s">
        <v>1350</v>
      </c>
      <c r="D70" t="s">
        <v>1364</v>
      </c>
      <c r="E70" t="s">
        <v>1349</v>
      </c>
      <c r="F70" t="s">
        <v>189</v>
      </c>
      <c r="G70">
        <v>0.89439999999999997</v>
      </c>
      <c r="H70">
        <v>180</v>
      </c>
      <c r="I70">
        <v>161</v>
      </c>
      <c r="J70">
        <v>0</v>
      </c>
      <c r="K70" t="s">
        <v>190</v>
      </c>
      <c r="L70" s="293">
        <v>45980</v>
      </c>
      <c r="M70">
        <v>6</v>
      </c>
      <c r="N70">
        <v>5</v>
      </c>
      <c r="O70">
        <v>64</v>
      </c>
      <c r="P70" t="s">
        <v>538</v>
      </c>
      <c r="Q70">
        <v>0</v>
      </c>
      <c r="R70">
        <v>0</v>
      </c>
      <c r="S70">
        <v>0</v>
      </c>
      <c r="T70">
        <v>0</v>
      </c>
      <c r="U70">
        <v>0</v>
      </c>
      <c r="V70">
        <v>6</v>
      </c>
      <c r="W70">
        <v>15</v>
      </c>
      <c r="X70">
        <v>15</v>
      </c>
      <c r="Y70">
        <v>15</v>
      </c>
      <c r="Z70">
        <v>20</v>
      </c>
      <c r="AA70">
        <v>14</v>
      </c>
      <c r="AB70">
        <v>18</v>
      </c>
      <c r="AC70">
        <v>14</v>
      </c>
      <c r="AD70">
        <v>15</v>
      </c>
      <c r="AE70">
        <v>15</v>
      </c>
      <c r="AF70">
        <v>14</v>
      </c>
      <c r="AG70">
        <v>0</v>
      </c>
      <c r="AH70">
        <v>0</v>
      </c>
      <c r="AI70">
        <v>0</v>
      </c>
      <c r="AJ70">
        <v>0</v>
      </c>
    </row>
    <row r="71" spans="1:36" x14ac:dyDescent="0.3">
      <c r="A71" t="s">
        <v>207</v>
      </c>
      <c r="B71" s="293">
        <v>45985</v>
      </c>
      <c r="C71" t="s">
        <v>916</v>
      </c>
      <c r="D71" t="s">
        <v>751</v>
      </c>
      <c r="E71" t="s">
        <v>891</v>
      </c>
      <c r="F71" t="s">
        <v>189</v>
      </c>
      <c r="G71">
        <v>1</v>
      </c>
      <c r="H71">
        <v>180</v>
      </c>
      <c r="I71">
        <v>180</v>
      </c>
      <c r="J71">
        <v>90</v>
      </c>
      <c r="K71" t="s">
        <v>190</v>
      </c>
      <c r="L71" s="293">
        <v>45978</v>
      </c>
      <c r="M71">
        <v>0</v>
      </c>
      <c r="N71">
        <v>0</v>
      </c>
      <c r="O71">
        <v>74</v>
      </c>
      <c r="P71" t="s">
        <v>81</v>
      </c>
      <c r="Q71">
        <v>0</v>
      </c>
      <c r="R71">
        <v>0</v>
      </c>
      <c r="S71">
        <v>0</v>
      </c>
      <c r="T71">
        <v>0</v>
      </c>
      <c r="U71">
        <v>0</v>
      </c>
      <c r="V71">
        <v>0</v>
      </c>
      <c r="W71">
        <v>0</v>
      </c>
      <c r="X71">
        <v>0</v>
      </c>
      <c r="Y71">
        <v>0</v>
      </c>
      <c r="Z71">
        <v>0</v>
      </c>
      <c r="AA71">
        <v>0</v>
      </c>
      <c r="AB71">
        <v>0</v>
      </c>
      <c r="AC71">
        <v>1</v>
      </c>
      <c r="AD71">
        <v>40</v>
      </c>
      <c r="AE71">
        <v>31</v>
      </c>
      <c r="AF71">
        <v>18</v>
      </c>
      <c r="AG71">
        <v>0</v>
      </c>
      <c r="AH71">
        <v>0</v>
      </c>
      <c r="AI71">
        <v>90</v>
      </c>
      <c r="AJ71">
        <v>0</v>
      </c>
    </row>
    <row r="72" spans="1:36" x14ac:dyDescent="0.3">
      <c r="A72" t="s">
        <v>207</v>
      </c>
      <c r="B72" s="293">
        <v>45985</v>
      </c>
      <c r="C72" t="s">
        <v>894</v>
      </c>
      <c r="D72" t="s">
        <v>960</v>
      </c>
      <c r="E72" t="s">
        <v>891</v>
      </c>
      <c r="F72" t="s">
        <v>189</v>
      </c>
      <c r="G72">
        <v>0.66669999999999996</v>
      </c>
      <c r="H72">
        <v>180</v>
      </c>
      <c r="I72">
        <v>120</v>
      </c>
      <c r="J72">
        <v>52</v>
      </c>
      <c r="K72" t="s">
        <v>190</v>
      </c>
      <c r="L72" s="293">
        <v>45980</v>
      </c>
      <c r="M72">
        <v>3</v>
      </c>
      <c r="N72">
        <v>8</v>
      </c>
      <c r="O72">
        <v>48</v>
      </c>
      <c r="P72" t="s">
        <v>425</v>
      </c>
      <c r="Q72">
        <v>0</v>
      </c>
      <c r="R72">
        <v>0</v>
      </c>
      <c r="S72">
        <v>0</v>
      </c>
      <c r="T72">
        <v>0</v>
      </c>
      <c r="U72">
        <v>0</v>
      </c>
      <c r="V72">
        <v>0</v>
      </c>
      <c r="W72">
        <v>0</v>
      </c>
      <c r="X72">
        <v>1</v>
      </c>
      <c r="Y72">
        <v>0</v>
      </c>
      <c r="Z72">
        <v>2</v>
      </c>
      <c r="AA72">
        <v>5</v>
      </c>
      <c r="AB72">
        <v>10</v>
      </c>
      <c r="AC72">
        <v>18</v>
      </c>
      <c r="AD72">
        <v>22</v>
      </c>
      <c r="AE72">
        <v>5</v>
      </c>
      <c r="AF72">
        <v>5</v>
      </c>
      <c r="AG72">
        <v>0</v>
      </c>
      <c r="AH72">
        <v>0</v>
      </c>
      <c r="AI72">
        <v>52</v>
      </c>
      <c r="AJ72">
        <v>0</v>
      </c>
    </row>
    <row r="73" spans="1:36" x14ac:dyDescent="0.3">
      <c r="A73" t="s">
        <v>207</v>
      </c>
      <c r="B73" s="293">
        <v>45985</v>
      </c>
      <c r="C73" t="s">
        <v>902</v>
      </c>
      <c r="D73" t="s">
        <v>957</v>
      </c>
      <c r="E73" t="s">
        <v>891</v>
      </c>
      <c r="F73" t="s">
        <v>189</v>
      </c>
      <c r="G73">
        <v>0.97219999999999995</v>
      </c>
      <c r="H73">
        <v>180</v>
      </c>
      <c r="I73">
        <v>175</v>
      </c>
      <c r="J73">
        <v>100</v>
      </c>
      <c r="K73" t="s">
        <v>190</v>
      </c>
      <c r="L73" s="293">
        <v>45980</v>
      </c>
      <c r="M73">
        <v>9</v>
      </c>
      <c r="N73">
        <v>5</v>
      </c>
      <c r="O73">
        <v>38</v>
      </c>
      <c r="P73" t="s">
        <v>425</v>
      </c>
      <c r="Q73">
        <v>0</v>
      </c>
      <c r="R73">
        <v>0</v>
      </c>
      <c r="S73">
        <v>0</v>
      </c>
      <c r="T73">
        <v>0</v>
      </c>
      <c r="U73">
        <v>0</v>
      </c>
      <c r="V73">
        <v>0</v>
      </c>
      <c r="W73">
        <v>0</v>
      </c>
      <c r="X73">
        <v>0</v>
      </c>
      <c r="Y73">
        <v>1</v>
      </c>
      <c r="Z73">
        <v>5</v>
      </c>
      <c r="AA73">
        <v>3</v>
      </c>
      <c r="AB73">
        <v>11</v>
      </c>
      <c r="AC73">
        <v>10</v>
      </c>
      <c r="AD73">
        <v>12</v>
      </c>
      <c r="AE73">
        <v>22</v>
      </c>
      <c r="AF73">
        <v>11</v>
      </c>
      <c r="AG73">
        <v>0</v>
      </c>
      <c r="AH73">
        <v>0</v>
      </c>
      <c r="AI73">
        <v>100</v>
      </c>
      <c r="AJ73">
        <v>0</v>
      </c>
    </row>
    <row r="74" spans="1:36" x14ac:dyDescent="0.3">
      <c r="A74" t="s">
        <v>207</v>
      </c>
      <c r="B74" s="293">
        <v>45985</v>
      </c>
      <c r="C74" t="s">
        <v>135</v>
      </c>
      <c r="D74" t="s">
        <v>318</v>
      </c>
      <c r="E74" t="s">
        <v>298</v>
      </c>
      <c r="F74" t="s">
        <v>189</v>
      </c>
      <c r="G74">
        <v>0.53890000000000005</v>
      </c>
      <c r="H74">
        <v>180</v>
      </c>
      <c r="I74">
        <v>97</v>
      </c>
      <c r="J74">
        <v>45</v>
      </c>
      <c r="K74" t="s">
        <v>190</v>
      </c>
      <c r="L74" s="293">
        <v>45980</v>
      </c>
      <c r="M74">
        <v>2</v>
      </c>
      <c r="N74">
        <v>3</v>
      </c>
      <c r="O74">
        <v>23</v>
      </c>
      <c r="P74" t="s">
        <v>304</v>
      </c>
      <c r="Q74">
        <v>0</v>
      </c>
      <c r="R74">
        <v>0</v>
      </c>
      <c r="S74">
        <v>0</v>
      </c>
      <c r="T74">
        <v>0</v>
      </c>
      <c r="U74">
        <v>0</v>
      </c>
      <c r="V74">
        <v>0</v>
      </c>
      <c r="W74">
        <v>0</v>
      </c>
      <c r="X74">
        <v>0</v>
      </c>
      <c r="Y74">
        <v>0</v>
      </c>
      <c r="Z74">
        <v>0</v>
      </c>
      <c r="AA74">
        <v>0</v>
      </c>
      <c r="AB74">
        <v>2</v>
      </c>
      <c r="AC74">
        <v>10</v>
      </c>
      <c r="AD74">
        <v>10</v>
      </c>
      <c r="AE74">
        <v>11</v>
      </c>
      <c r="AF74">
        <v>19</v>
      </c>
      <c r="AG74">
        <v>0</v>
      </c>
      <c r="AH74">
        <v>0</v>
      </c>
      <c r="AI74">
        <v>45</v>
      </c>
      <c r="AJ74">
        <v>0</v>
      </c>
    </row>
    <row r="75" spans="1:36" x14ac:dyDescent="0.3">
      <c r="A75" t="s">
        <v>207</v>
      </c>
      <c r="B75" s="293">
        <v>45985</v>
      </c>
      <c r="C75" t="s">
        <v>421</v>
      </c>
      <c r="D75" t="s">
        <v>311</v>
      </c>
      <c r="E75" t="s">
        <v>335</v>
      </c>
      <c r="F75" t="s">
        <v>189</v>
      </c>
      <c r="G75">
        <v>0.7389</v>
      </c>
      <c r="H75">
        <v>180</v>
      </c>
      <c r="I75">
        <v>133</v>
      </c>
      <c r="J75">
        <v>49</v>
      </c>
      <c r="K75" t="s">
        <v>190</v>
      </c>
      <c r="L75" s="293">
        <v>45979</v>
      </c>
      <c r="M75">
        <v>0</v>
      </c>
      <c r="N75">
        <v>2</v>
      </c>
      <c r="O75">
        <v>46</v>
      </c>
      <c r="P75" t="s">
        <v>486</v>
      </c>
      <c r="Q75">
        <v>0</v>
      </c>
      <c r="R75">
        <v>0</v>
      </c>
      <c r="S75">
        <v>0</v>
      </c>
      <c r="T75">
        <v>0</v>
      </c>
      <c r="U75">
        <v>0</v>
      </c>
      <c r="V75">
        <v>0</v>
      </c>
      <c r="W75">
        <v>0</v>
      </c>
      <c r="X75">
        <v>0</v>
      </c>
      <c r="Y75">
        <v>0</v>
      </c>
      <c r="Z75">
        <v>3</v>
      </c>
      <c r="AA75">
        <v>12</v>
      </c>
      <c r="AB75">
        <v>11</v>
      </c>
      <c r="AC75">
        <v>11</v>
      </c>
      <c r="AD75">
        <v>12</v>
      </c>
      <c r="AE75">
        <v>14</v>
      </c>
      <c r="AF75">
        <v>21</v>
      </c>
      <c r="AG75">
        <v>0</v>
      </c>
      <c r="AH75">
        <v>0</v>
      </c>
      <c r="AI75">
        <v>49</v>
      </c>
      <c r="AJ75">
        <v>0</v>
      </c>
    </row>
    <row r="76" spans="1:36" x14ac:dyDescent="0.3">
      <c r="A76" t="s">
        <v>207</v>
      </c>
      <c r="B76" s="293">
        <v>45985</v>
      </c>
      <c r="C76" t="s">
        <v>375</v>
      </c>
      <c r="D76" t="s">
        <v>653</v>
      </c>
      <c r="E76" t="s">
        <v>335</v>
      </c>
      <c r="F76" t="s">
        <v>189</v>
      </c>
      <c r="G76">
        <v>1</v>
      </c>
      <c r="H76">
        <v>180</v>
      </c>
      <c r="I76">
        <v>180</v>
      </c>
      <c r="J76">
        <v>130</v>
      </c>
      <c r="K76" t="s">
        <v>190</v>
      </c>
      <c r="L76" s="293">
        <v>45978</v>
      </c>
      <c r="M76">
        <v>0</v>
      </c>
      <c r="N76">
        <v>0</v>
      </c>
      <c r="O76">
        <v>16</v>
      </c>
      <c r="P76" t="s">
        <v>81</v>
      </c>
      <c r="Q76">
        <v>0</v>
      </c>
      <c r="R76">
        <v>0</v>
      </c>
      <c r="S76">
        <v>0</v>
      </c>
      <c r="T76">
        <v>0</v>
      </c>
      <c r="U76">
        <v>0</v>
      </c>
      <c r="V76">
        <v>0</v>
      </c>
      <c r="W76">
        <v>0</v>
      </c>
      <c r="X76">
        <v>0</v>
      </c>
      <c r="Y76">
        <v>0</v>
      </c>
      <c r="Z76">
        <v>2</v>
      </c>
      <c r="AA76">
        <v>0</v>
      </c>
      <c r="AB76">
        <v>0</v>
      </c>
      <c r="AC76">
        <v>4</v>
      </c>
      <c r="AD76">
        <v>12</v>
      </c>
      <c r="AE76">
        <v>11</v>
      </c>
      <c r="AF76">
        <v>21</v>
      </c>
      <c r="AG76">
        <v>0</v>
      </c>
      <c r="AH76">
        <v>0</v>
      </c>
      <c r="AI76">
        <v>130</v>
      </c>
      <c r="AJ76">
        <v>0</v>
      </c>
    </row>
    <row r="77" spans="1:36" x14ac:dyDescent="0.3">
      <c r="A77" t="s">
        <v>207</v>
      </c>
      <c r="B77" s="293">
        <v>45985</v>
      </c>
      <c r="C77" t="s">
        <v>383</v>
      </c>
      <c r="D77" t="s">
        <v>615</v>
      </c>
      <c r="E77" t="s">
        <v>335</v>
      </c>
      <c r="F77" t="s">
        <v>189</v>
      </c>
      <c r="G77">
        <v>1.0056</v>
      </c>
      <c r="H77">
        <v>180</v>
      </c>
      <c r="I77">
        <v>181</v>
      </c>
      <c r="J77">
        <v>136</v>
      </c>
      <c r="K77" t="s">
        <v>190</v>
      </c>
      <c r="L77" s="293">
        <v>45979</v>
      </c>
      <c r="M77">
        <v>0</v>
      </c>
      <c r="N77">
        <v>1</v>
      </c>
      <c r="O77">
        <v>13</v>
      </c>
      <c r="P77" t="s">
        <v>81</v>
      </c>
      <c r="Q77">
        <v>0</v>
      </c>
      <c r="R77">
        <v>0</v>
      </c>
      <c r="S77">
        <v>0</v>
      </c>
      <c r="T77">
        <v>0</v>
      </c>
      <c r="U77">
        <v>0</v>
      </c>
      <c r="V77">
        <v>0</v>
      </c>
      <c r="W77">
        <v>0</v>
      </c>
      <c r="X77">
        <v>0</v>
      </c>
      <c r="Y77">
        <v>0</v>
      </c>
      <c r="Z77">
        <v>0</v>
      </c>
      <c r="AA77">
        <v>0</v>
      </c>
      <c r="AB77">
        <v>0</v>
      </c>
      <c r="AC77">
        <v>1</v>
      </c>
      <c r="AD77">
        <v>16</v>
      </c>
      <c r="AE77">
        <v>8</v>
      </c>
      <c r="AF77">
        <v>20</v>
      </c>
      <c r="AG77">
        <v>0</v>
      </c>
      <c r="AH77">
        <v>0</v>
      </c>
      <c r="AI77">
        <v>136</v>
      </c>
      <c r="AJ77">
        <v>0</v>
      </c>
    </row>
    <row r="78" spans="1:36" x14ac:dyDescent="0.3">
      <c r="A78" t="s">
        <v>207</v>
      </c>
      <c r="B78" s="293">
        <v>45985</v>
      </c>
      <c r="C78" t="s">
        <v>127</v>
      </c>
      <c r="D78" t="s">
        <v>208</v>
      </c>
      <c r="E78" t="s">
        <v>1</v>
      </c>
      <c r="F78" t="s">
        <v>189</v>
      </c>
      <c r="G78">
        <v>0.9667</v>
      </c>
      <c r="H78">
        <v>180</v>
      </c>
      <c r="I78">
        <v>174</v>
      </c>
      <c r="J78">
        <v>161</v>
      </c>
      <c r="K78" t="s">
        <v>190</v>
      </c>
      <c r="L78" s="293">
        <v>45977</v>
      </c>
      <c r="M78">
        <v>0</v>
      </c>
      <c r="N78">
        <v>0</v>
      </c>
      <c r="O78">
        <v>1</v>
      </c>
      <c r="P78" t="s">
        <v>128</v>
      </c>
      <c r="Q78">
        <v>0</v>
      </c>
      <c r="R78">
        <v>0</v>
      </c>
      <c r="S78">
        <v>0</v>
      </c>
      <c r="T78">
        <v>0</v>
      </c>
      <c r="U78">
        <v>0</v>
      </c>
      <c r="V78">
        <v>0</v>
      </c>
      <c r="W78">
        <v>1</v>
      </c>
      <c r="X78">
        <v>0</v>
      </c>
      <c r="Y78">
        <v>1</v>
      </c>
      <c r="Z78">
        <v>0</v>
      </c>
      <c r="AA78">
        <v>0</v>
      </c>
      <c r="AB78">
        <v>0</v>
      </c>
      <c r="AC78">
        <v>0</v>
      </c>
      <c r="AD78">
        <v>0</v>
      </c>
      <c r="AE78">
        <v>0</v>
      </c>
      <c r="AF78">
        <v>9</v>
      </c>
      <c r="AG78">
        <v>0</v>
      </c>
      <c r="AH78">
        <v>0</v>
      </c>
      <c r="AI78">
        <v>161</v>
      </c>
      <c r="AJ78">
        <v>2</v>
      </c>
    </row>
    <row r="79" spans="1:36" x14ac:dyDescent="0.3">
      <c r="A79" t="s">
        <v>207</v>
      </c>
      <c r="B79" s="293">
        <v>45985</v>
      </c>
      <c r="C79" t="s">
        <v>1086</v>
      </c>
      <c r="D79" t="s">
        <v>1180</v>
      </c>
      <c r="E79" t="s">
        <v>1016</v>
      </c>
      <c r="F79" t="s">
        <v>189</v>
      </c>
      <c r="G79">
        <v>0.44690000000000002</v>
      </c>
      <c r="H79">
        <v>179</v>
      </c>
      <c r="I79">
        <v>80</v>
      </c>
      <c r="J79">
        <v>0</v>
      </c>
      <c r="K79" t="s">
        <v>190</v>
      </c>
      <c r="L79" s="293">
        <v>45980</v>
      </c>
      <c r="M79">
        <v>3</v>
      </c>
      <c r="N79">
        <v>7</v>
      </c>
      <c r="O79">
        <v>31</v>
      </c>
      <c r="P79" t="s">
        <v>215</v>
      </c>
      <c r="Q79">
        <v>0</v>
      </c>
      <c r="R79">
        <v>0</v>
      </c>
      <c r="S79">
        <v>0</v>
      </c>
      <c r="T79">
        <v>0</v>
      </c>
      <c r="U79">
        <v>0</v>
      </c>
      <c r="V79">
        <v>0</v>
      </c>
      <c r="W79">
        <v>0</v>
      </c>
      <c r="X79">
        <v>0</v>
      </c>
      <c r="Y79">
        <v>0</v>
      </c>
      <c r="Z79">
        <v>1</v>
      </c>
      <c r="AA79">
        <v>5</v>
      </c>
      <c r="AB79">
        <v>23</v>
      </c>
      <c r="AC79">
        <v>9</v>
      </c>
      <c r="AD79">
        <v>8</v>
      </c>
      <c r="AE79">
        <v>8</v>
      </c>
      <c r="AF79">
        <v>26</v>
      </c>
      <c r="AG79">
        <v>0</v>
      </c>
      <c r="AH79">
        <v>0</v>
      </c>
      <c r="AI79">
        <v>0</v>
      </c>
      <c r="AJ79">
        <v>0</v>
      </c>
    </row>
    <row r="80" spans="1:36" x14ac:dyDescent="0.3">
      <c r="A80" t="s">
        <v>207</v>
      </c>
      <c r="B80" s="293">
        <v>45985</v>
      </c>
      <c r="C80" t="s">
        <v>1460</v>
      </c>
      <c r="D80" t="s">
        <v>963</v>
      </c>
      <c r="E80" t="s">
        <v>1457</v>
      </c>
      <c r="F80" t="s">
        <v>189</v>
      </c>
      <c r="G80">
        <v>1</v>
      </c>
      <c r="H80">
        <v>179</v>
      </c>
      <c r="I80">
        <v>179</v>
      </c>
      <c r="J80">
        <v>143</v>
      </c>
      <c r="K80" t="s">
        <v>190</v>
      </c>
      <c r="L80" s="293">
        <v>45980</v>
      </c>
      <c r="M80">
        <v>1</v>
      </c>
      <c r="N80">
        <v>0</v>
      </c>
      <c r="O80">
        <v>5</v>
      </c>
      <c r="P80" t="s">
        <v>81</v>
      </c>
      <c r="Q80">
        <v>0</v>
      </c>
      <c r="R80">
        <v>0</v>
      </c>
      <c r="S80">
        <v>0</v>
      </c>
      <c r="T80">
        <v>0</v>
      </c>
      <c r="U80">
        <v>0</v>
      </c>
      <c r="V80">
        <v>0</v>
      </c>
      <c r="W80">
        <v>0</v>
      </c>
      <c r="X80">
        <v>0</v>
      </c>
      <c r="Y80">
        <v>0</v>
      </c>
      <c r="Z80">
        <v>6</v>
      </c>
      <c r="AA80">
        <v>10</v>
      </c>
      <c r="AB80">
        <v>10</v>
      </c>
      <c r="AC80">
        <v>10</v>
      </c>
      <c r="AD80">
        <v>0</v>
      </c>
      <c r="AE80">
        <v>0</v>
      </c>
      <c r="AF80">
        <v>0</v>
      </c>
      <c r="AG80">
        <v>0</v>
      </c>
      <c r="AH80">
        <v>0</v>
      </c>
      <c r="AI80">
        <v>143</v>
      </c>
      <c r="AJ80">
        <v>0</v>
      </c>
    </row>
    <row r="81" spans="1:36" x14ac:dyDescent="0.3">
      <c r="A81" t="s">
        <v>207</v>
      </c>
      <c r="B81" s="293">
        <v>45985</v>
      </c>
      <c r="C81" t="s">
        <v>761</v>
      </c>
      <c r="D81" t="s">
        <v>872</v>
      </c>
      <c r="E81" t="s">
        <v>754</v>
      </c>
      <c r="F81" t="s">
        <v>189</v>
      </c>
      <c r="G81">
        <v>1</v>
      </c>
      <c r="H81">
        <v>180</v>
      </c>
      <c r="I81">
        <v>180</v>
      </c>
      <c r="J81">
        <v>131</v>
      </c>
      <c r="K81" t="s">
        <v>190</v>
      </c>
      <c r="L81" s="293">
        <v>45980</v>
      </c>
      <c r="M81">
        <v>1</v>
      </c>
      <c r="N81">
        <v>7</v>
      </c>
      <c r="O81">
        <v>24</v>
      </c>
      <c r="P81" t="s">
        <v>81</v>
      </c>
      <c r="Q81">
        <v>0</v>
      </c>
      <c r="R81">
        <v>0</v>
      </c>
      <c r="S81">
        <v>0</v>
      </c>
      <c r="T81">
        <v>0</v>
      </c>
      <c r="U81">
        <v>0</v>
      </c>
      <c r="V81">
        <v>0</v>
      </c>
      <c r="W81">
        <v>0</v>
      </c>
      <c r="X81">
        <v>0</v>
      </c>
      <c r="Y81">
        <v>0</v>
      </c>
      <c r="Z81">
        <v>6</v>
      </c>
      <c r="AA81">
        <v>2</v>
      </c>
      <c r="AB81">
        <v>8</v>
      </c>
      <c r="AC81">
        <v>13</v>
      </c>
      <c r="AD81">
        <v>4</v>
      </c>
      <c r="AE81">
        <v>8</v>
      </c>
      <c r="AF81">
        <v>8</v>
      </c>
      <c r="AG81">
        <v>0</v>
      </c>
      <c r="AH81">
        <v>0</v>
      </c>
      <c r="AI81">
        <v>131</v>
      </c>
      <c r="AJ81">
        <v>0</v>
      </c>
    </row>
    <row r="82" spans="1:36" x14ac:dyDescent="0.3">
      <c r="A82" t="s">
        <v>207</v>
      </c>
      <c r="B82" s="293">
        <v>45985</v>
      </c>
      <c r="C82" t="s">
        <v>788</v>
      </c>
      <c r="D82" t="s">
        <v>871</v>
      </c>
      <c r="E82" t="s">
        <v>754</v>
      </c>
      <c r="F82" t="s">
        <v>189</v>
      </c>
      <c r="G82">
        <v>0.99439999999999995</v>
      </c>
      <c r="H82">
        <v>180</v>
      </c>
      <c r="I82">
        <v>179</v>
      </c>
      <c r="J82">
        <v>134</v>
      </c>
      <c r="K82" t="s">
        <v>190</v>
      </c>
      <c r="L82" s="293">
        <v>45980</v>
      </c>
      <c r="M82">
        <v>1</v>
      </c>
      <c r="N82">
        <v>5</v>
      </c>
      <c r="O82">
        <v>20</v>
      </c>
      <c r="P82" t="s">
        <v>81</v>
      </c>
      <c r="Q82">
        <v>0</v>
      </c>
      <c r="R82">
        <v>0</v>
      </c>
      <c r="S82">
        <v>0</v>
      </c>
      <c r="T82">
        <v>0</v>
      </c>
      <c r="U82">
        <v>0</v>
      </c>
      <c r="V82">
        <v>0</v>
      </c>
      <c r="W82">
        <v>0</v>
      </c>
      <c r="X82">
        <v>0</v>
      </c>
      <c r="Y82">
        <v>0</v>
      </c>
      <c r="Z82">
        <v>1</v>
      </c>
      <c r="AA82">
        <v>0</v>
      </c>
      <c r="AB82">
        <v>0</v>
      </c>
      <c r="AC82">
        <v>14</v>
      </c>
      <c r="AD82">
        <v>12</v>
      </c>
      <c r="AE82">
        <v>9</v>
      </c>
      <c r="AF82">
        <v>9</v>
      </c>
      <c r="AG82">
        <v>0</v>
      </c>
      <c r="AH82">
        <v>0</v>
      </c>
      <c r="AI82">
        <v>134</v>
      </c>
      <c r="AJ82">
        <v>0</v>
      </c>
    </row>
    <row r="83" spans="1:36" x14ac:dyDescent="0.3">
      <c r="A83" t="s">
        <v>207</v>
      </c>
      <c r="B83" s="293">
        <v>45985</v>
      </c>
      <c r="C83" t="s">
        <v>987</v>
      </c>
      <c r="D83" t="s">
        <v>997</v>
      </c>
      <c r="E83" t="s">
        <v>986</v>
      </c>
      <c r="F83" t="s">
        <v>189</v>
      </c>
      <c r="G83">
        <v>0</v>
      </c>
      <c r="H83">
        <v>180</v>
      </c>
      <c r="I83">
        <v>0</v>
      </c>
      <c r="J83">
        <v>0</v>
      </c>
      <c r="K83" t="s">
        <v>190</v>
      </c>
      <c r="L83" t="s">
        <v>988</v>
      </c>
      <c r="M83">
        <v>0</v>
      </c>
      <c r="N83">
        <v>0</v>
      </c>
      <c r="O83">
        <v>0</v>
      </c>
      <c r="P83" t="s">
        <v>81</v>
      </c>
      <c r="Q83">
        <v>0</v>
      </c>
      <c r="R83">
        <v>0</v>
      </c>
      <c r="S83">
        <v>0</v>
      </c>
      <c r="T83">
        <v>0</v>
      </c>
      <c r="U83">
        <v>0</v>
      </c>
      <c r="V83">
        <v>0</v>
      </c>
      <c r="W83">
        <v>0</v>
      </c>
      <c r="X83">
        <v>0</v>
      </c>
      <c r="Y83">
        <v>0</v>
      </c>
      <c r="Z83">
        <v>0</v>
      </c>
      <c r="AA83">
        <v>0</v>
      </c>
      <c r="AB83">
        <v>0</v>
      </c>
      <c r="AC83">
        <v>0</v>
      </c>
      <c r="AD83">
        <v>0</v>
      </c>
      <c r="AE83">
        <v>0</v>
      </c>
      <c r="AF83">
        <v>0</v>
      </c>
      <c r="AG83">
        <v>0</v>
      </c>
      <c r="AH83">
        <v>0</v>
      </c>
      <c r="AI83">
        <v>0</v>
      </c>
      <c r="AJ83">
        <v>0</v>
      </c>
    </row>
    <row r="84" spans="1:36" x14ac:dyDescent="0.3">
      <c r="A84" t="s">
        <v>213</v>
      </c>
      <c r="B84" s="293">
        <v>45986</v>
      </c>
      <c r="C84" t="s">
        <v>1601</v>
      </c>
      <c r="D84" t="s">
        <v>1609</v>
      </c>
      <c r="E84" t="s">
        <v>1598</v>
      </c>
      <c r="F84" t="s">
        <v>189</v>
      </c>
      <c r="G84">
        <v>0.4637</v>
      </c>
      <c r="H84">
        <v>179</v>
      </c>
      <c r="I84">
        <v>83</v>
      </c>
      <c r="J84">
        <v>0</v>
      </c>
      <c r="K84" t="s">
        <v>190</v>
      </c>
      <c r="L84" s="293">
        <v>45980</v>
      </c>
      <c r="M84">
        <v>5</v>
      </c>
      <c r="N84">
        <v>7</v>
      </c>
      <c r="O84">
        <v>41</v>
      </c>
      <c r="P84" t="s">
        <v>671</v>
      </c>
      <c r="Q84">
        <v>0</v>
      </c>
      <c r="R84">
        <v>0</v>
      </c>
      <c r="S84">
        <v>0</v>
      </c>
      <c r="T84">
        <v>0</v>
      </c>
      <c r="U84">
        <v>0</v>
      </c>
      <c r="V84">
        <v>0</v>
      </c>
      <c r="W84">
        <v>0</v>
      </c>
      <c r="X84">
        <v>0</v>
      </c>
      <c r="Y84">
        <v>8</v>
      </c>
      <c r="Z84">
        <v>15</v>
      </c>
      <c r="AA84">
        <v>5</v>
      </c>
      <c r="AB84">
        <v>0</v>
      </c>
      <c r="AC84">
        <v>7</v>
      </c>
      <c r="AD84">
        <v>15</v>
      </c>
      <c r="AE84">
        <v>14</v>
      </c>
      <c r="AF84">
        <v>19</v>
      </c>
      <c r="AG84">
        <v>0</v>
      </c>
      <c r="AH84">
        <v>0</v>
      </c>
      <c r="AI84">
        <v>0</v>
      </c>
      <c r="AJ84">
        <v>0</v>
      </c>
    </row>
    <row r="85" spans="1:36" x14ac:dyDescent="0.3">
      <c r="A85" t="s">
        <v>213</v>
      </c>
      <c r="B85" s="293">
        <v>45986</v>
      </c>
      <c r="C85" t="s">
        <v>894</v>
      </c>
      <c r="D85" t="s">
        <v>963</v>
      </c>
      <c r="E85" t="s">
        <v>891</v>
      </c>
      <c r="F85" t="s">
        <v>189</v>
      </c>
      <c r="G85">
        <v>0.69440000000000002</v>
      </c>
      <c r="H85">
        <v>180</v>
      </c>
      <c r="I85">
        <v>125</v>
      </c>
      <c r="J85">
        <v>45</v>
      </c>
      <c r="K85" t="s">
        <v>190</v>
      </c>
      <c r="L85" s="293">
        <v>45980</v>
      </c>
      <c r="M85">
        <v>4</v>
      </c>
      <c r="N85">
        <v>9</v>
      </c>
      <c r="O85">
        <v>47</v>
      </c>
      <c r="P85" t="s">
        <v>422</v>
      </c>
      <c r="Q85">
        <v>0</v>
      </c>
      <c r="R85">
        <v>0</v>
      </c>
      <c r="S85">
        <v>0</v>
      </c>
      <c r="T85">
        <v>0</v>
      </c>
      <c r="U85">
        <v>0</v>
      </c>
      <c r="V85">
        <v>0</v>
      </c>
      <c r="W85">
        <v>0</v>
      </c>
      <c r="X85">
        <v>0</v>
      </c>
      <c r="Y85">
        <v>0</v>
      </c>
      <c r="Z85">
        <v>0</v>
      </c>
      <c r="AA85">
        <v>0</v>
      </c>
      <c r="AB85">
        <v>10</v>
      </c>
      <c r="AC85">
        <v>10</v>
      </c>
      <c r="AD85">
        <v>20</v>
      </c>
      <c r="AE85">
        <v>30</v>
      </c>
      <c r="AF85">
        <v>10</v>
      </c>
      <c r="AG85">
        <v>0</v>
      </c>
      <c r="AH85">
        <v>0</v>
      </c>
      <c r="AI85">
        <v>45</v>
      </c>
      <c r="AJ85">
        <v>0</v>
      </c>
    </row>
    <row r="86" spans="1:36" x14ac:dyDescent="0.3">
      <c r="A86" t="s">
        <v>213</v>
      </c>
      <c r="B86" s="293">
        <v>45986</v>
      </c>
      <c r="C86" t="s">
        <v>897</v>
      </c>
      <c r="D86" t="s">
        <v>949</v>
      </c>
      <c r="E86" t="s">
        <v>891</v>
      </c>
      <c r="F86" t="s">
        <v>189</v>
      </c>
      <c r="G86">
        <v>0.7389</v>
      </c>
      <c r="H86">
        <v>180</v>
      </c>
      <c r="I86">
        <v>133</v>
      </c>
      <c r="J86">
        <v>50</v>
      </c>
      <c r="K86" t="s">
        <v>190</v>
      </c>
      <c r="L86" s="293">
        <v>45980</v>
      </c>
      <c r="M86">
        <v>6</v>
      </c>
      <c r="N86">
        <v>11</v>
      </c>
      <c r="O86">
        <v>57</v>
      </c>
      <c r="P86" t="s">
        <v>631</v>
      </c>
      <c r="Q86">
        <v>0</v>
      </c>
      <c r="R86">
        <v>0</v>
      </c>
      <c r="S86">
        <v>0</v>
      </c>
      <c r="T86">
        <v>0</v>
      </c>
      <c r="U86">
        <v>0</v>
      </c>
      <c r="V86">
        <v>0</v>
      </c>
      <c r="W86">
        <v>0</v>
      </c>
      <c r="X86">
        <v>0</v>
      </c>
      <c r="Y86">
        <v>0</v>
      </c>
      <c r="Z86">
        <v>4</v>
      </c>
      <c r="AA86">
        <v>4</v>
      </c>
      <c r="AB86">
        <v>11</v>
      </c>
      <c r="AC86">
        <v>11</v>
      </c>
      <c r="AD86">
        <v>41</v>
      </c>
      <c r="AE86">
        <v>10</v>
      </c>
      <c r="AF86">
        <v>2</v>
      </c>
      <c r="AG86">
        <v>0</v>
      </c>
      <c r="AH86">
        <v>0</v>
      </c>
      <c r="AI86">
        <v>50</v>
      </c>
      <c r="AJ86">
        <v>0</v>
      </c>
    </row>
    <row r="87" spans="1:36" x14ac:dyDescent="0.3">
      <c r="A87" t="s">
        <v>213</v>
      </c>
      <c r="B87" s="293">
        <v>45986</v>
      </c>
      <c r="C87" t="s">
        <v>1228</v>
      </c>
      <c r="D87" t="s">
        <v>1255</v>
      </c>
      <c r="E87" t="s">
        <v>1213</v>
      </c>
      <c r="F87" t="s">
        <v>189</v>
      </c>
      <c r="G87">
        <v>0.58660000000000001</v>
      </c>
      <c r="H87">
        <v>179</v>
      </c>
      <c r="I87">
        <v>105</v>
      </c>
      <c r="J87">
        <v>0</v>
      </c>
      <c r="K87" t="s">
        <v>190</v>
      </c>
      <c r="L87" s="293">
        <v>45980</v>
      </c>
      <c r="M87">
        <v>1</v>
      </c>
      <c r="N87">
        <v>2</v>
      </c>
      <c r="O87">
        <v>24</v>
      </c>
      <c r="P87" t="s">
        <v>538</v>
      </c>
      <c r="Q87">
        <v>0</v>
      </c>
      <c r="R87">
        <v>0</v>
      </c>
      <c r="S87">
        <v>0</v>
      </c>
      <c r="T87">
        <v>0</v>
      </c>
      <c r="U87">
        <v>0</v>
      </c>
      <c r="V87">
        <v>0</v>
      </c>
      <c r="W87">
        <v>20</v>
      </c>
      <c r="X87">
        <v>15</v>
      </c>
      <c r="Y87">
        <v>10</v>
      </c>
      <c r="Z87">
        <v>20</v>
      </c>
      <c r="AA87">
        <v>13</v>
      </c>
      <c r="AB87">
        <v>4</v>
      </c>
      <c r="AC87">
        <v>7</v>
      </c>
      <c r="AD87">
        <v>11</v>
      </c>
      <c r="AE87">
        <v>5</v>
      </c>
      <c r="AF87">
        <v>0</v>
      </c>
      <c r="AG87">
        <v>0</v>
      </c>
      <c r="AH87">
        <v>0</v>
      </c>
      <c r="AI87">
        <v>0</v>
      </c>
      <c r="AJ87">
        <v>0</v>
      </c>
    </row>
    <row r="88" spans="1:36" x14ac:dyDescent="0.3">
      <c r="A88" t="s">
        <v>213</v>
      </c>
      <c r="B88" s="293">
        <v>45986</v>
      </c>
      <c r="C88" t="s">
        <v>1425</v>
      </c>
      <c r="D88" t="s">
        <v>1440</v>
      </c>
      <c r="E88" t="s">
        <v>1420</v>
      </c>
      <c r="F88" t="s">
        <v>189</v>
      </c>
      <c r="G88">
        <v>0.43580000000000002</v>
      </c>
      <c r="H88">
        <v>179</v>
      </c>
      <c r="I88">
        <v>78</v>
      </c>
      <c r="J88">
        <v>0</v>
      </c>
      <c r="K88" t="s">
        <v>190</v>
      </c>
      <c r="L88" s="293">
        <v>45980</v>
      </c>
      <c r="M88">
        <v>4</v>
      </c>
      <c r="N88">
        <v>23</v>
      </c>
      <c r="O88">
        <v>53</v>
      </c>
      <c r="P88" t="s">
        <v>631</v>
      </c>
      <c r="Q88">
        <v>0</v>
      </c>
      <c r="R88">
        <v>0</v>
      </c>
      <c r="S88">
        <v>0</v>
      </c>
      <c r="T88">
        <v>0</v>
      </c>
      <c r="U88">
        <v>1</v>
      </c>
      <c r="V88">
        <v>0</v>
      </c>
      <c r="W88">
        <v>0</v>
      </c>
      <c r="X88">
        <v>0</v>
      </c>
      <c r="Y88">
        <v>1</v>
      </c>
      <c r="Z88">
        <v>10</v>
      </c>
      <c r="AA88">
        <v>12</v>
      </c>
      <c r="AB88">
        <v>10</v>
      </c>
      <c r="AC88">
        <v>34</v>
      </c>
      <c r="AD88">
        <v>0</v>
      </c>
      <c r="AE88">
        <v>1</v>
      </c>
      <c r="AF88">
        <v>9</v>
      </c>
      <c r="AG88">
        <v>0</v>
      </c>
      <c r="AH88">
        <v>0</v>
      </c>
      <c r="AI88">
        <v>0</v>
      </c>
      <c r="AJ88">
        <v>0</v>
      </c>
    </row>
    <row r="89" spans="1:36" x14ac:dyDescent="0.3">
      <c r="A89" t="s">
        <v>213</v>
      </c>
      <c r="B89" s="293">
        <v>45986</v>
      </c>
      <c r="C89" t="s">
        <v>1283</v>
      </c>
      <c r="D89" t="s">
        <v>1334</v>
      </c>
      <c r="E89" t="s">
        <v>1264</v>
      </c>
      <c r="F89" t="s">
        <v>189</v>
      </c>
      <c r="G89">
        <v>0.38329999999999997</v>
      </c>
      <c r="H89">
        <v>180</v>
      </c>
      <c r="I89">
        <v>69</v>
      </c>
      <c r="J89">
        <v>0</v>
      </c>
      <c r="K89" t="s">
        <v>190</v>
      </c>
      <c r="L89" s="293">
        <v>45980</v>
      </c>
      <c r="M89">
        <v>4</v>
      </c>
      <c r="N89">
        <v>12</v>
      </c>
      <c r="O89">
        <v>25</v>
      </c>
      <c r="P89" t="s">
        <v>739</v>
      </c>
      <c r="Q89">
        <v>0</v>
      </c>
      <c r="R89">
        <v>0</v>
      </c>
      <c r="S89">
        <v>0</v>
      </c>
      <c r="T89">
        <v>0</v>
      </c>
      <c r="U89">
        <v>0</v>
      </c>
      <c r="V89">
        <v>0</v>
      </c>
      <c r="W89">
        <v>1</v>
      </c>
      <c r="X89">
        <v>8</v>
      </c>
      <c r="Y89">
        <v>21</v>
      </c>
      <c r="Z89">
        <v>7</v>
      </c>
      <c r="AA89">
        <v>0</v>
      </c>
      <c r="AB89">
        <v>1</v>
      </c>
      <c r="AC89">
        <v>1</v>
      </c>
      <c r="AD89">
        <v>7</v>
      </c>
      <c r="AE89">
        <v>19</v>
      </c>
      <c r="AF89">
        <v>4</v>
      </c>
      <c r="AG89">
        <v>0</v>
      </c>
      <c r="AH89">
        <v>0</v>
      </c>
      <c r="AI89">
        <v>0</v>
      </c>
      <c r="AJ89">
        <v>0</v>
      </c>
    </row>
    <row r="90" spans="1:36" x14ac:dyDescent="0.3">
      <c r="A90" t="s">
        <v>213</v>
      </c>
      <c r="B90" s="293">
        <v>45986</v>
      </c>
      <c r="C90" t="s">
        <v>380</v>
      </c>
      <c r="D90" t="s">
        <v>667</v>
      </c>
      <c r="E90" t="s">
        <v>335</v>
      </c>
      <c r="F90" t="s">
        <v>189</v>
      </c>
      <c r="G90">
        <v>0.99439999999999995</v>
      </c>
      <c r="H90">
        <v>180</v>
      </c>
      <c r="I90">
        <v>179</v>
      </c>
      <c r="J90">
        <v>90</v>
      </c>
      <c r="K90" t="s">
        <v>190</v>
      </c>
      <c r="L90" s="293">
        <v>45979</v>
      </c>
      <c r="M90">
        <v>0</v>
      </c>
      <c r="N90">
        <v>1</v>
      </c>
      <c r="O90">
        <v>25</v>
      </c>
      <c r="P90" t="s">
        <v>81</v>
      </c>
      <c r="Q90">
        <v>0</v>
      </c>
      <c r="R90">
        <v>0</v>
      </c>
      <c r="S90">
        <v>0</v>
      </c>
      <c r="T90">
        <v>0</v>
      </c>
      <c r="U90">
        <v>0</v>
      </c>
      <c r="V90">
        <v>0</v>
      </c>
      <c r="W90">
        <v>0</v>
      </c>
      <c r="X90">
        <v>0</v>
      </c>
      <c r="Y90">
        <v>0</v>
      </c>
      <c r="Z90">
        <v>5</v>
      </c>
      <c r="AA90">
        <v>2</v>
      </c>
      <c r="AB90">
        <v>11</v>
      </c>
      <c r="AC90">
        <v>11</v>
      </c>
      <c r="AD90">
        <v>17</v>
      </c>
      <c r="AE90">
        <v>23</v>
      </c>
      <c r="AF90">
        <v>20</v>
      </c>
      <c r="AG90">
        <v>0</v>
      </c>
      <c r="AH90">
        <v>0</v>
      </c>
      <c r="AI90">
        <v>90</v>
      </c>
      <c r="AJ90">
        <v>0</v>
      </c>
    </row>
    <row r="91" spans="1:36" x14ac:dyDescent="0.3">
      <c r="A91" t="s">
        <v>213</v>
      </c>
      <c r="B91" s="293">
        <v>45986</v>
      </c>
      <c r="C91" t="s">
        <v>421</v>
      </c>
      <c r="D91" t="s">
        <v>664</v>
      </c>
      <c r="E91" t="s">
        <v>335</v>
      </c>
      <c r="F91" t="s">
        <v>189</v>
      </c>
      <c r="G91">
        <v>0.98329999999999995</v>
      </c>
      <c r="H91">
        <v>180</v>
      </c>
      <c r="I91">
        <v>177</v>
      </c>
      <c r="J91">
        <v>120</v>
      </c>
      <c r="K91" t="s">
        <v>190</v>
      </c>
      <c r="L91" s="293">
        <v>45973</v>
      </c>
      <c r="M91">
        <v>0</v>
      </c>
      <c r="N91">
        <v>0</v>
      </c>
      <c r="O91">
        <v>3</v>
      </c>
      <c r="P91" t="s">
        <v>81</v>
      </c>
      <c r="Q91">
        <v>0</v>
      </c>
      <c r="R91">
        <v>0</v>
      </c>
      <c r="S91">
        <v>0</v>
      </c>
      <c r="T91">
        <v>0</v>
      </c>
      <c r="U91">
        <v>0</v>
      </c>
      <c r="V91">
        <v>0</v>
      </c>
      <c r="W91">
        <v>0</v>
      </c>
      <c r="X91">
        <v>0</v>
      </c>
      <c r="Y91">
        <v>0</v>
      </c>
      <c r="Z91">
        <v>11</v>
      </c>
      <c r="AA91">
        <v>0</v>
      </c>
      <c r="AB91">
        <v>0</v>
      </c>
      <c r="AC91">
        <v>0</v>
      </c>
      <c r="AD91">
        <v>14</v>
      </c>
      <c r="AE91">
        <v>22</v>
      </c>
      <c r="AF91">
        <v>10</v>
      </c>
      <c r="AG91">
        <v>0</v>
      </c>
      <c r="AH91">
        <v>0</v>
      </c>
      <c r="AI91">
        <v>120</v>
      </c>
      <c r="AJ91">
        <v>0</v>
      </c>
    </row>
    <row r="92" spans="1:36" x14ac:dyDescent="0.3">
      <c r="A92" t="s">
        <v>213</v>
      </c>
      <c r="B92" s="293">
        <v>45986</v>
      </c>
      <c r="C92" t="s">
        <v>428</v>
      </c>
      <c r="D92" t="s">
        <v>660</v>
      </c>
      <c r="E92" t="s">
        <v>335</v>
      </c>
      <c r="F92" t="s">
        <v>189</v>
      </c>
      <c r="G92">
        <v>0.7722</v>
      </c>
      <c r="H92">
        <v>180</v>
      </c>
      <c r="I92">
        <v>139</v>
      </c>
      <c r="J92">
        <v>45</v>
      </c>
      <c r="K92" t="s">
        <v>190</v>
      </c>
      <c r="L92" s="293">
        <v>45980</v>
      </c>
      <c r="M92">
        <v>2</v>
      </c>
      <c r="N92">
        <v>10</v>
      </c>
      <c r="O92">
        <v>61</v>
      </c>
      <c r="P92" t="s">
        <v>494</v>
      </c>
      <c r="Q92">
        <v>0</v>
      </c>
      <c r="R92">
        <v>0</v>
      </c>
      <c r="S92">
        <v>0</v>
      </c>
      <c r="T92">
        <v>0</v>
      </c>
      <c r="U92">
        <v>0</v>
      </c>
      <c r="V92">
        <v>0</v>
      </c>
      <c r="W92">
        <v>0</v>
      </c>
      <c r="X92">
        <v>0</v>
      </c>
      <c r="Y92">
        <v>0</v>
      </c>
      <c r="Z92">
        <v>1</v>
      </c>
      <c r="AA92">
        <v>12</v>
      </c>
      <c r="AB92">
        <v>9</v>
      </c>
      <c r="AC92">
        <v>28</v>
      </c>
      <c r="AD92">
        <v>12</v>
      </c>
      <c r="AE92">
        <v>11</v>
      </c>
      <c r="AF92">
        <v>21</v>
      </c>
      <c r="AG92">
        <v>0</v>
      </c>
      <c r="AH92">
        <v>0</v>
      </c>
      <c r="AI92">
        <v>45</v>
      </c>
      <c r="AJ92">
        <v>0</v>
      </c>
    </row>
    <row r="93" spans="1:36" x14ac:dyDescent="0.3">
      <c r="A93" t="s">
        <v>213</v>
      </c>
      <c r="B93" s="293">
        <v>45986</v>
      </c>
      <c r="C93" t="s">
        <v>375</v>
      </c>
      <c r="D93" t="s">
        <v>670</v>
      </c>
      <c r="E93" t="s">
        <v>335</v>
      </c>
      <c r="F93" t="s">
        <v>189</v>
      </c>
      <c r="G93">
        <v>0.89439999999999997</v>
      </c>
      <c r="H93">
        <v>180</v>
      </c>
      <c r="I93">
        <v>161</v>
      </c>
      <c r="J93">
        <v>60</v>
      </c>
      <c r="K93" t="s">
        <v>190</v>
      </c>
      <c r="L93" s="293">
        <v>45979</v>
      </c>
      <c r="M93">
        <v>0</v>
      </c>
      <c r="N93">
        <v>7</v>
      </c>
      <c r="O93">
        <v>61</v>
      </c>
      <c r="P93" t="s">
        <v>496</v>
      </c>
      <c r="Q93">
        <v>0</v>
      </c>
      <c r="R93">
        <v>0</v>
      </c>
      <c r="S93">
        <v>0</v>
      </c>
      <c r="T93">
        <v>0</v>
      </c>
      <c r="U93">
        <v>0</v>
      </c>
      <c r="V93">
        <v>0</v>
      </c>
      <c r="W93">
        <v>0</v>
      </c>
      <c r="X93">
        <v>0</v>
      </c>
      <c r="Y93">
        <v>5</v>
      </c>
      <c r="Z93">
        <v>11</v>
      </c>
      <c r="AA93">
        <v>12</v>
      </c>
      <c r="AB93">
        <v>11</v>
      </c>
      <c r="AC93">
        <v>11</v>
      </c>
      <c r="AD93">
        <v>29</v>
      </c>
      <c r="AE93">
        <v>11</v>
      </c>
      <c r="AF93">
        <v>10</v>
      </c>
      <c r="AG93">
        <v>0</v>
      </c>
      <c r="AH93">
        <v>0</v>
      </c>
      <c r="AI93">
        <v>60</v>
      </c>
      <c r="AJ93">
        <v>1</v>
      </c>
    </row>
    <row r="94" spans="1:36" x14ac:dyDescent="0.3">
      <c r="A94" t="s">
        <v>213</v>
      </c>
      <c r="B94" s="293">
        <v>45986</v>
      </c>
      <c r="C94" t="s">
        <v>383</v>
      </c>
      <c r="D94" t="s">
        <v>615</v>
      </c>
      <c r="E94" t="s">
        <v>335</v>
      </c>
      <c r="F94" t="s">
        <v>189</v>
      </c>
      <c r="G94">
        <v>1</v>
      </c>
      <c r="H94">
        <v>180</v>
      </c>
      <c r="I94">
        <v>180</v>
      </c>
      <c r="J94">
        <v>95</v>
      </c>
      <c r="K94" t="s">
        <v>190</v>
      </c>
      <c r="L94" s="293">
        <v>45980</v>
      </c>
      <c r="M94">
        <v>3</v>
      </c>
      <c r="N94">
        <v>6</v>
      </c>
      <c r="O94">
        <v>47</v>
      </c>
      <c r="P94" t="s">
        <v>81</v>
      </c>
      <c r="Q94">
        <v>0</v>
      </c>
      <c r="R94">
        <v>0</v>
      </c>
      <c r="S94">
        <v>0</v>
      </c>
      <c r="T94">
        <v>0</v>
      </c>
      <c r="U94">
        <v>0</v>
      </c>
      <c r="V94">
        <v>0</v>
      </c>
      <c r="W94">
        <v>0</v>
      </c>
      <c r="X94">
        <v>0</v>
      </c>
      <c r="Y94">
        <v>0</v>
      </c>
      <c r="Z94">
        <v>7</v>
      </c>
      <c r="AA94">
        <v>12</v>
      </c>
      <c r="AB94">
        <v>12</v>
      </c>
      <c r="AC94">
        <v>10</v>
      </c>
      <c r="AD94">
        <v>12</v>
      </c>
      <c r="AE94">
        <v>22</v>
      </c>
      <c r="AF94">
        <v>10</v>
      </c>
      <c r="AG94">
        <v>0</v>
      </c>
      <c r="AH94">
        <v>0</v>
      </c>
      <c r="AI94">
        <v>95</v>
      </c>
      <c r="AJ94">
        <v>0</v>
      </c>
    </row>
    <row r="95" spans="1:36" x14ac:dyDescent="0.3">
      <c r="A95" t="s">
        <v>213</v>
      </c>
      <c r="B95" s="293">
        <v>45986</v>
      </c>
      <c r="C95" t="s">
        <v>363</v>
      </c>
      <c r="D95" t="s">
        <v>188</v>
      </c>
      <c r="E95" t="s">
        <v>335</v>
      </c>
      <c r="F95" t="s">
        <v>189</v>
      </c>
      <c r="G95">
        <v>0.99439999999999995</v>
      </c>
      <c r="H95">
        <v>180</v>
      </c>
      <c r="I95">
        <v>179</v>
      </c>
      <c r="J95">
        <v>137</v>
      </c>
      <c r="K95" t="s">
        <v>190</v>
      </c>
      <c r="L95" s="293">
        <v>45978</v>
      </c>
      <c r="M95">
        <v>0</v>
      </c>
      <c r="N95">
        <v>0</v>
      </c>
      <c r="O95">
        <v>19</v>
      </c>
      <c r="P95" t="s">
        <v>81</v>
      </c>
      <c r="Q95">
        <v>0</v>
      </c>
      <c r="R95">
        <v>0</v>
      </c>
      <c r="S95">
        <v>0</v>
      </c>
      <c r="T95">
        <v>0</v>
      </c>
      <c r="U95">
        <v>0</v>
      </c>
      <c r="V95">
        <v>0</v>
      </c>
      <c r="W95">
        <v>0</v>
      </c>
      <c r="X95">
        <v>0</v>
      </c>
      <c r="Y95">
        <v>0</v>
      </c>
      <c r="Z95">
        <v>4</v>
      </c>
      <c r="AA95">
        <v>0</v>
      </c>
      <c r="AB95">
        <v>1</v>
      </c>
      <c r="AC95">
        <v>9</v>
      </c>
      <c r="AD95">
        <v>10</v>
      </c>
      <c r="AE95">
        <v>10</v>
      </c>
      <c r="AF95">
        <v>5</v>
      </c>
      <c r="AG95">
        <v>0</v>
      </c>
      <c r="AH95">
        <v>0</v>
      </c>
      <c r="AI95">
        <v>137</v>
      </c>
      <c r="AJ95">
        <v>3</v>
      </c>
    </row>
    <row r="96" spans="1:36" x14ac:dyDescent="0.3">
      <c r="A96" t="s">
        <v>213</v>
      </c>
      <c r="B96" s="293">
        <v>45986</v>
      </c>
      <c r="C96" t="s">
        <v>135</v>
      </c>
      <c r="D96" t="s">
        <v>214</v>
      </c>
      <c r="E96" t="s">
        <v>1</v>
      </c>
      <c r="F96" t="s">
        <v>189</v>
      </c>
      <c r="G96">
        <v>0.99439999999999995</v>
      </c>
      <c r="H96">
        <v>180</v>
      </c>
      <c r="I96">
        <v>179</v>
      </c>
      <c r="J96">
        <v>130</v>
      </c>
      <c r="K96" t="s">
        <v>190</v>
      </c>
      <c r="L96" s="293">
        <v>45976</v>
      </c>
      <c r="M96">
        <v>0</v>
      </c>
      <c r="N96">
        <v>0</v>
      </c>
      <c r="O96">
        <v>19</v>
      </c>
      <c r="P96" t="s">
        <v>81</v>
      </c>
      <c r="Q96">
        <v>0</v>
      </c>
      <c r="R96">
        <v>0</v>
      </c>
      <c r="S96">
        <v>0</v>
      </c>
      <c r="T96">
        <v>0</v>
      </c>
      <c r="U96">
        <v>0</v>
      </c>
      <c r="V96">
        <v>0</v>
      </c>
      <c r="W96">
        <v>0</v>
      </c>
      <c r="X96">
        <v>0</v>
      </c>
      <c r="Y96">
        <v>0</v>
      </c>
      <c r="Z96">
        <v>0</v>
      </c>
      <c r="AA96">
        <v>0</v>
      </c>
      <c r="AB96">
        <v>9</v>
      </c>
      <c r="AC96">
        <v>10</v>
      </c>
      <c r="AD96">
        <v>10</v>
      </c>
      <c r="AE96">
        <v>10</v>
      </c>
      <c r="AF96">
        <v>10</v>
      </c>
      <c r="AG96">
        <v>0</v>
      </c>
      <c r="AH96">
        <v>0</v>
      </c>
      <c r="AI96">
        <v>130</v>
      </c>
      <c r="AJ96">
        <v>0</v>
      </c>
    </row>
    <row r="97" spans="1:36" x14ac:dyDescent="0.3">
      <c r="A97" t="s">
        <v>213</v>
      </c>
      <c r="B97" s="293">
        <v>45986</v>
      </c>
      <c r="C97" t="s">
        <v>78</v>
      </c>
      <c r="D97" t="s">
        <v>218</v>
      </c>
      <c r="E97" t="s">
        <v>1</v>
      </c>
      <c r="F97" t="s">
        <v>189</v>
      </c>
      <c r="G97">
        <v>1.0056</v>
      </c>
      <c r="H97">
        <v>180</v>
      </c>
      <c r="I97">
        <v>181</v>
      </c>
      <c r="J97">
        <v>155</v>
      </c>
      <c r="K97" t="s">
        <v>190</v>
      </c>
      <c r="L97" s="293">
        <v>45979</v>
      </c>
      <c r="M97">
        <v>0</v>
      </c>
      <c r="N97">
        <v>3</v>
      </c>
      <c r="O97">
        <v>3</v>
      </c>
      <c r="P97" t="s">
        <v>81</v>
      </c>
      <c r="Q97">
        <v>0</v>
      </c>
      <c r="R97">
        <v>0</v>
      </c>
      <c r="S97">
        <v>0</v>
      </c>
      <c r="T97">
        <v>0</v>
      </c>
      <c r="U97">
        <v>0</v>
      </c>
      <c r="V97">
        <v>0</v>
      </c>
      <c r="W97">
        <v>0</v>
      </c>
      <c r="X97">
        <v>0</v>
      </c>
      <c r="Y97">
        <v>1</v>
      </c>
      <c r="Z97">
        <v>0</v>
      </c>
      <c r="AA97">
        <v>0</v>
      </c>
      <c r="AB97">
        <v>0</v>
      </c>
      <c r="AC97">
        <v>0</v>
      </c>
      <c r="AD97">
        <v>3</v>
      </c>
      <c r="AE97">
        <v>12</v>
      </c>
      <c r="AF97">
        <v>8</v>
      </c>
      <c r="AG97">
        <v>65</v>
      </c>
      <c r="AH97">
        <v>0</v>
      </c>
      <c r="AI97">
        <v>90</v>
      </c>
      <c r="AJ97">
        <v>2</v>
      </c>
    </row>
    <row r="98" spans="1:36" x14ac:dyDescent="0.3">
      <c r="A98" t="s">
        <v>213</v>
      </c>
      <c r="B98" s="293">
        <v>45986</v>
      </c>
      <c r="C98" t="s">
        <v>1086</v>
      </c>
      <c r="D98" t="s">
        <v>1187</v>
      </c>
      <c r="E98" t="s">
        <v>1016</v>
      </c>
      <c r="F98" t="s">
        <v>189</v>
      </c>
      <c r="G98">
        <v>0.55869999999999997</v>
      </c>
      <c r="H98">
        <v>179</v>
      </c>
      <c r="I98">
        <v>100</v>
      </c>
      <c r="J98">
        <v>0</v>
      </c>
      <c r="K98" t="s">
        <v>190</v>
      </c>
      <c r="L98" s="293">
        <v>45980</v>
      </c>
      <c r="M98">
        <v>1</v>
      </c>
      <c r="N98">
        <v>7</v>
      </c>
      <c r="O98">
        <v>29</v>
      </c>
      <c r="P98" t="s">
        <v>422</v>
      </c>
      <c r="Q98">
        <v>0</v>
      </c>
      <c r="R98">
        <v>0</v>
      </c>
      <c r="S98">
        <v>0</v>
      </c>
      <c r="T98">
        <v>0</v>
      </c>
      <c r="U98">
        <v>0</v>
      </c>
      <c r="V98">
        <v>0</v>
      </c>
      <c r="W98">
        <v>0</v>
      </c>
      <c r="X98">
        <v>1</v>
      </c>
      <c r="Y98">
        <v>0</v>
      </c>
      <c r="Z98">
        <v>3</v>
      </c>
      <c r="AA98">
        <v>17</v>
      </c>
      <c r="AB98">
        <v>18</v>
      </c>
      <c r="AC98">
        <v>9</v>
      </c>
      <c r="AD98">
        <v>8</v>
      </c>
      <c r="AE98">
        <v>43</v>
      </c>
      <c r="AF98">
        <v>1</v>
      </c>
      <c r="AG98">
        <v>0</v>
      </c>
      <c r="AH98">
        <v>0</v>
      </c>
      <c r="AI98">
        <v>0</v>
      </c>
      <c r="AJ98">
        <v>0</v>
      </c>
    </row>
    <row r="99" spans="1:36" x14ac:dyDescent="0.3">
      <c r="A99" t="s">
        <v>213</v>
      </c>
      <c r="B99" s="293">
        <v>45986</v>
      </c>
      <c r="C99" t="s">
        <v>1460</v>
      </c>
      <c r="D99" t="s">
        <v>1486</v>
      </c>
      <c r="E99" t="s">
        <v>1457</v>
      </c>
      <c r="F99" t="s">
        <v>189</v>
      </c>
      <c r="G99">
        <v>1</v>
      </c>
      <c r="H99">
        <v>179</v>
      </c>
      <c r="I99">
        <v>179</v>
      </c>
      <c r="J99">
        <v>115</v>
      </c>
      <c r="K99" t="s">
        <v>190</v>
      </c>
      <c r="L99" s="293">
        <v>45979</v>
      </c>
      <c r="M99">
        <v>0</v>
      </c>
      <c r="N99">
        <v>1</v>
      </c>
      <c r="O99">
        <v>27</v>
      </c>
      <c r="P99" t="s">
        <v>81</v>
      </c>
      <c r="Q99">
        <v>0</v>
      </c>
      <c r="R99">
        <v>0</v>
      </c>
      <c r="S99">
        <v>0</v>
      </c>
      <c r="T99">
        <v>0</v>
      </c>
      <c r="U99">
        <v>0</v>
      </c>
      <c r="V99">
        <v>0</v>
      </c>
      <c r="W99">
        <v>0</v>
      </c>
      <c r="X99">
        <v>8</v>
      </c>
      <c r="Y99">
        <v>18</v>
      </c>
      <c r="Z99">
        <v>29</v>
      </c>
      <c r="AA99">
        <v>3</v>
      </c>
      <c r="AB99">
        <v>4</v>
      </c>
      <c r="AC99">
        <v>2</v>
      </c>
      <c r="AD99">
        <v>0</v>
      </c>
      <c r="AE99">
        <v>0</v>
      </c>
      <c r="AF99">
        <v>0</v>
      </c>
      <c r="AG99">
        <v>0</v>
      </c>
      <c r="AH99">
        <v>0</v>
      </c>
      <c r="AI99">
        <v>115</v>
      </c>
      <c r="AJ99">
        <v>0</v>
      </c>
    </row>
    <row r="100" spans="1:36" x14ac:dyDescent="0.3">
      <c r="A100" t="s">
        <v>213</v>
      </c>
      <c r="B100" s="293">
        <v>45986</v>
      </c>
      <c r="C100" t="s">
        <v>761</v>
      </c>
      <c r="D100" t="s">
        <v>874</v>
      </c>
      <c r="E100" t="s">
        <v>754</v>
      </c>
      <c r="F100" t="s">
        <v>189</v>
      </c>
      <c r="G100">
        <v>1.0222</v>
      </c>
      <c r="H100">
        <v>180</v>
      </c>
      <c r="I100">
        <v>184</v>
      </c>
      <c r="J100">
        <v>165</v>
      </c>
      <c r="K100" t="s">
        <v>190</v>
      </c>
      <c r="L100" s="293">
        <v>45961</v>
      </c>
      <c r="M100">
        <v>0</v>
      </c>
      <c r="N100">
        <v>0</v>
      </c>
      <c r="O100">
        <v>0</v>
      </c>
      <c r="P100" t="s">
        <v>81</v>
      </c>
      <c r="Q100">
        <v>0</v>
      </c>
      <c r="R100">
        <v>0</v>
      </c>
      <c r="S100">
        <v>0</v>
      </c>
      <c r="T100">
        <v>0</v>
      </c>
      <c r="U100">
        <v>0</v>
      </c>
      <c r="V100">
        <v>0</v>
      </c>
      <c r="W100">
        <v>0</v>
      </c>
      <c r="X100">
        <v>0</v>
      </c>
      <c r="Y100">
        <v>0</v>
      </c>
      <c r="Z100">
        <v>0</v>
      </c>
      <c r="AA100">
        <v>0</v>
      </c>
      <c r="AB100">
        <v>0</v>
      </c>
      <c r="AC100">
        <v>5</v>
      </c>
      <c r="AD100">
        <v>4</v>
      </c>
      <c r="AE100">
        <v>5</v>
      </c>
      <c r="AF100">
        <v>5</v>
      </c>
      <c r="AG100">
        <v>0</v>
      </c>
      <c r="AH100">
        <v>0</v>
      </c>
      <c r="AI100">
        <v>165</v>
      </c>
      <c r="AJ100">
        <v>0</v>
      </c>
    </row>
    <row r="101" spans="1:36" x14ac:dyDescent="0.3">
      <c r="A101" t="s">
        <v>213</v>
      </c>
      <c r="B101" s="293">
        <v>45986</v>
      </c>
      <c r="C101" t="s">
        <v>249</v>
      </c>
      <c r="D101" t="s">
        <v>286</v>
      </c>
      <c r="E101" t="s">
        <v>246</v>
      </c>
      <c r="F101" t="s">
        <v>189</v>
      </c>
      <c r="G101">
        <v>1</v>
      </c>
      <c r="H101">
        <v>180</v>
      </c>
      <c r="I101">
        <v>180</v>
      </c>
      <c r="J101">
        <v>170</v>
      </c>
      <c r="K101" t="s">
        <v>190</v>
      </c>
      <c r="L101" s="293">
        <v>45962</v>
      </c>
      <c r="M101">
        <v>0</v>
      </c>
      <c r="N101">
        <v>0</v>
      </c>
      <c r="O101">
        <v>0</v>
      </c>
      <c r="P101" t="s">
        <v>81</v>
      </c>
      <c r="Q101">
        <v>0</v>
      </c>
      <c r="R101">
        <v>0</v>
      </c>
      <c r="S101">
        <v>0</v>
      </c>
      <c r="T101">
        <v>0</v>
      </c>
      <c r="U101">
        <v>0</v>
      </c>
      <c r="V101">
        <v>0</v>
      </c>
      <c r="W101">
        <v>0</v>
      </c>
      <c r="X101">
        <v>0</v>
      </c>
      <c r="Y101">
        <v>0</v>
      </c>
      <c r="Z101">
        <v>0</v>
      </c>
      <c r="AA101">
        <v>0</v>
      </c>
      <c r="AB101">
        <v>5</v>
      </c>
      <c r="AC101">
        <v>5</v>
      </c>
      <c r="AD101">
        <v>0</v>
      </c>
      <c r="AE101">
        <v>0</v>
      </c>
      <c r="AF101">
        <v>0</v>
      </c>
      <c r="AG101">
        <v>0</v>
      </c>
      <c r="AH101">
        <v>45</v>
      </c>
      <c r="AI101">
        <v>125</v>
      </c>
      <c r="AJ101">
        <v>0</v>
      </c>
    </row>
    <row r="102" spans="1:36" x14ac:dyDescent="0.3">
      <c r="A102" t="s">
        <v>213</v>
      </c>
      <c r="B102" s="293">
        <v>45986</v>
      </c>
      <c r="C102" t="s">
        <v>989</v>
      </c>
      <c r="D102" t="s">
        <v>998</v>
      </c>
      <c r="E102" t="s">
        <v>986</v>
      </c>
      <c r="F102" t="s">
        <v>189</v>
      </c>
      <c r="G102">
        <v>0</v>
      </c>
      <c r="H102">
        <v>180</v>
      </c>
      <c r="I102">
        <v>0</v>
      </c>
      <c r="J102">
        <v>0</v>
      </c>
      <c r="K102" t="s">
        <v>190</v>
      </c>
      <c r="L102" t="s">
        <v>988</v>
      </c>
      <c r="M102">
        <v>0</v>
      </c>
      <c r="N102">
        <v>0</v>
      </c>
      <c r="O102">
        <v>0</v>
      </c>
      <c r="P102" t="s">
        <v>81</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row>
    <row r="103" spans="1:36" x14ac:dyDescent="0.3">
      <c r="A103" t="s">
        <v>213</v>
      </c>
      <c r="B103" s="293">
        <v>45986</v>
      </c>
      <c r="C103" t="s">
        <v>990</v>
      </c>
      <c r="D103" t="s">
        <v>999</v>
      </c>
      <c r="E103" t="s">
        <v>986</v>
      </c>
      <c r="F103" t="s">
        <v>189</v>
      </c>
      <c r="G103">
        <v>0</v>
      </c>
      <c r="H103">
        <v>180</v>
      </c>
      <c r="I103">
        <v>0</v>
      </c>
      <c r="J103">
        <v>0</v>
      </c>
      <c r="K103" t="s">
        <v>190</v>
      </c>
      <c r="L103" t="s">
        <v>988</v>
      </c>
      <c r="M103">
        <v>0</v>
      </c>
      <c r="N103">
        <v>0</v>
      </c>
      <c r="O103">
        <v>0</v>
      </c>
      <c r="P103" t="s">
        <v>81</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row>
    <row r="104" spans="1:36" x14ac:dyDescent="0.3">
      <c r="A104" t="s">
        <v>213</v>
      </c>
      <c r="B104" s="293">
        <v>45986</v>
      </c>
      <c r="C104" t="s">
        <v>991</v>
      </c>
      <c r="D104" t="s">
        <v>670</v>
      </c>
      <c r="E104" t="s">
        <v>986</v>
      </c>
      <c r="F104" t="s">
        <v>189</v>
      </c>
      <c r="G104">
        <v>0</v>
      </c>
      <c r="H104">
        <v>180</v>
      </c>
      <c r="I104">
        <v>0</v>
      </c>
      <c r="J104">
        <v>0</v>
      </c>
      <c r="K104" t="s">
        <v>190</v>
      </c>
      <c r="L104" t="s">
        <v>988</v>
      </c>
      <c r="M104">
        <v>0</v>
      </c>
      <c r="N104">
        <v>0</v>
      </c>
      <c r="O104">
        <v>0</v>
      </c>
      <c r="P104" t="s">
        <v>81</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1:36" x14ac:dyDescent="0.3">
      <c r="A105" t="s">
        <v>290</v>
      </c>
      <c r="B105" s="293">
        <v>45987</v>
      </c>
      <c r="C105" t="s">
        <v>916</v>
      </c>
      <c r="D105" t="s">
        <v>970</v>
      </c>
      <c r="E105" t="s">
        <v>891</v>
      </c>
      <c r="F105" t="s">
        <v>189</v>
      </c>
      <c r="G105">
        <v>0.99439999999999995</v>
      </c>
      <c r="H105">
        <v>180</v>
      </c>
      <c r="I105">
        <v>179</v>
      </c>
      <c r="J105">
        <v>109</v>
      </c>
      <c r="K105" t="s">
        <v>190</v>
      </c>
      <c r="L105" s="293">
        <v>45980</v>
      </c>
      <c r="M105">
        <v>1</v>
      </c>
      <c r="N105">
        <v>6</v>
      </c>
      <c r="O105">
        <v>22</v>
      </c>
      <c r="P105" t="s">
        <v>81</v>
      </c>
      <c r="Q105">
        <v>0</v>
      </c>
      <c r="R105">
        <v>0</v>
      </c>
      <c r="S105">
        <v>0</v>
      </c>
      <c r="T105">
        <v>0</v>
      </c>
      <c r="U105">
        <v>0</v>
      </c>
      <c r="V105">
        <v>0</v>
      </c>
      <c r="W105">
        <v>0</v>
      </c>
      <c r="X105">
        <v>0</v>
      </c>
      <c r="Y105">
        <v>0</v>
      </c>
      <c r="Z105">
        <v>1</v>
      </c>
      <c r="AA105">
        <v>2</v>
      </c>
      <c r="AB105">
        <v>0</v>
      </c>
      <c r="AC105">
        <v>12</v>
      </c>
      <c r="AD105">
        <v>21</v>
      </c>
      <c r="AE105">
        <v>18</v>
      </c>
      <c r="AF105">
        <v>16</v>
      </c>
      <c r="AG105">
        <v>0</v>
      </c>
      <c r="AH105">
        <v>0</v>
      </c>
      <c r="AI105">
        <v>109</v>
      </c>
      <c r="AJ105">
        <v>0</v>
      </c>
    </row>
    <row r="106" spans="1:36" x14ac:dyDescent="0.3">
      <c r="A106" t="s">
        <v>290</v>
      </c>
      <c r="B106" s="293">
        <v>45987</v>
      </c>
      <c r="C106" t="s">
        <v>894</v>
      </c>
      <c r="D106" t="s">
        <v>967</v>
      </c>
      <c r="E106" t="s">
        <v>891</v>
      </c>
      <c r="F106" t="s">
        <v>189</v>
      </c>
      <c r="G106">
        <v>1</v>
      </c>
      <c r="H106">
        <v>180</v>
      </c>
      <c r="I106">
        <v>180</v>
      </c>
      <c r="J106">
        <v>180</v>
      </c>
      <c r="K106" t="s">
        <v>190</v>
      </c>
      <c r="L106" s="293">
        <v>45905</v>
      </c>
      <c r="M106">
        <v>0</v>
      </c>
      <c r="N106">
        <v>0</v>
      </c>
      <c r="O106">
        <v>0</v>
      </c>
      <c r="P106" t="s">
        <v>81</v>
      </c>
      <c r="Q106">
        <v>0</v>
      </c>
      <c r="R106">
        <v>0</v>
      </c>
      <c r="S106">
        <v>0</v>
      </c>
      <c r="T106">
        <v>0</v>
      </c>
      <c r="U106">
        <v>0</v>
      </c>
      <c r="V106">
        <v>0</v>
      </c>
      <c r="W106">
        <v>0</v>
      </c>
      <c r="X106">
        <v>0</v>
      </c>
      <c r="Y106">
        <v>0</v>
      </c>
      <c r="Z106">
        <v>0</v>
      </c>
      <c r="AA106">
        <v>0</v>
      </c>
      <c r="AB106">
        <v>0</v>
      </c>
      <c r="AC106">
        <v>0</v>
      </c>
      <c r="AD106">
        <v>0</v>
      </c>
      <c r="AE106">
        <v>0</v>
      </c>
      <c r="AF106">
        <v>0</v>
      </c>
      <c r="AG106">
        <v>45</v>
      </c>
      <c r="AH106">
        <v>0</v>
      </c>
      <c r="AI106">
        <v>135</v>
      </c>
      <c r="AJ106">
        <v>0</v>
      </c>
    </row>
    <row r="107" spans="1:36" x14ac:dyDescent="0.3">
      <c r="A107" t="s">
        <v>290</v>
      </c>
      <c r="B107" s="293">
        <v>45987</v>
      </c>
      <c r="C107" t="s">
        <v>902</v>
      </c>
      <c r="D107" t="s">
        <v>968</v>
      </c>
      <c r="E107" t="s">
        <v>891</v>
      </c>
      <c r="F107" t="s">
        <v>189</v>
      </c>
      <c r="G107">
        <v>0.9778</v>
      </c>
      <c r="H107">
        <v>180</v>
      </c>
      <c r="I107">
        <v>176</v>
      </c>
      <c r="J107">
        <v>134</v>
      </c>
      <c r="K107" t="s">
        <v>190</v>
      </c>
      <c r="L107" s="293">
        <v>45979</v>
      </c>
      <c r="M107">
        <v>0</v>
      </c>
      <c r="N107">
        <v>1</v>
      </c>
      <c r="O107">
        <v>2</v>
      </c>
      <c r="P107" t="s">
        <v>294</v>
      </c>
      <c r="Q107">
        <v>0</v>
      </c>
      <c r="R107">
        <v>0</v>
      </c>
      <c r="S107">
        <v>0</v>
      </c>
      <c r="T107">
        <v>0</v>
      </c>
      <c r="U107">
        <v>0</v>
      </c>
      <c r="V107">
        <v>0</v>
      </c>
      <c r="W107">
        <v>0</v>
      </c>
      <c r="X107">
        <v>0</v>
      </c>
      <c r="Y107">
        <v>2</v>
      </c>
      <c r="Z107">
        <v>0</v>
      </c>
      <c r="AA107">
        <v>0</v>
      </c>
      <c r="AB107">
        <v>0</v>
      </c>
      <c r="AC107">
        <v>3</v>
      </c>
      <c r="AD107">
        <v>15</v>
      </c>
      <c r="AE107">
        <v>10</v>
      </c>
      <c r="AF107">
        <v>12</v>
      </c>
      <c r="AG107">
        <v>0</v>
      </c>
      <c r="AH107">
        <v>0</v>
      </c>
      <c r="AI107">
        <v>134</v>
      </c>
      <c r="AJ107">
        <v>0</v>
      </c>
    </row>
    <row r="108" spans="1:36" x14ac:dyDescent="0.3">
      <c r="A108" t="s">
        <v>290</v>
      </c>
      <c r="B108" s="293">
        <v>45987</v>
      </c>
      <c r="C108" t="s">
        <v>307</v>
      </c>
      <c r="D108" t="s">
        <v>322</v>
      </c>
      <c r="E108" t="s">
        <v>298</v>
      </c>
      <c r="F108" t="s">
        <v>189</v>
      </c>
      <c r="G108">
        <v>0.73329999999999995</v>
      </c>
      <c r="H108">
        <v>180</v>
      </c>
      <c r="I108">
        <v>132</v>
      </c>
      <c r="J108">
        <v>50</v>
      </c>
      <c r="K108" t="s">
        <v>190</v>
      </c>
      <c r="L108" s="293">
        <v>45980</v>
      </c>
      <c r="M108">
        <v>5</v>
      </c>
      <c r="N108">
        <v>3</v>
      </c>
      <c r="O108">
        <v>40</v>
      </c>
      <c r="P108" t="s">
        <v>215</v>
      </c>
      <c r="Q108">
        <v>0</v>
      </c>
      <c r="R108">
        <v>0</v>
      </c>
      <c r="S108">
        <v>0</v>
      </c>
      <c r="T108">
        <v>0</v>
      </c>
      <c r="U108">
        <v>0</v>
      </c>
      <c r="V108">
        <v>0</v>
      </c>
      <c r="W108">
        <v>0</v>
      </c>
      <c r="X108">
        <v>0</v>
      </c>
      <c r="Y108">
        <v>0</v>
      </c>
      <c r="Z108">
        <v>0</v>
      </c>
      <c r="AA108">
        <v>0</v>
      </c>
      <c r="AB108">
        <v>1</v>
      </c>
      <c r="AC108">
        <v>18</v>
      </c>
      <c r="AD108">
        <v>18</v>
      </c>
      <c r="AE108">
        <v>22</v>
      </c>
      <c r="AF108">
        <v>23</v>
      </c>
      <c r="AG108">
        <v>0</v>
      </c>
      <c r="AH108">
        <v>0</v>
      </c>
      <c r="AI108">
        <v>50</v>
      </c>
      <c r="AJ108">
        <v>0</v>
      </c>
    </row>
    <row r="109" spans="1:36" x14ac:dyDescent="0.3">
      <c r="A109" t="s">
        <v>290</v>
      </c>
      <c r="B109" s="293">
        <v>45987</v>
      </c>
      <c r="C109" t="s">
        <v>1237</v>
      </c>
      <c r="D109" t="s">
        <v>590</v>
      </c>
      <c r="E109" t="s">
        <v>1213</v>
      </c>
      <c r="F109" t="s">
        <v>189</v>
      </c>
      <c r="G109">
        <v>0.79890000000000005</v>
      </c>
      <c r="H109">
        <v>179</v>
      </c>
      <c r="I109">
        <v>143</v>
      </c>
      <c r="J109">
        <v>0</v>
      </c>
      <c r="K109" t="s">
        <v>190</v>
      </c>
      <c r="L109" s="293">
        <v>45980</v>
      </c>
      <c r="M109">
        <v>1</v>
      </c>
      <c r="N109">
        <v>0</v>
      </c>
      <c r="O109">
        <v>22</v>
      </c>
      <c r="P109" t="s">
        <v>1238</v>
      </c>
      <c r="Q109">
        <v>1</v>
      </c>
      <c r="R109">
        <v>0</v>
      </c>
      <c r="S109">
        <v>0</v>
      </c>
      <c r="T109">
        <v>1</v>
      </c>
      <c r="U109">
        <v>0</v>
      </c>
      <c r="V109">
        <v>0</v>
      </c>
      <c r="W109">
        <v>2</v>
      </c>
      <c r="X109">
        <v>12</v>
      </c>
      <c r="Y109">
        <v>14</v>
      </c>
      <c r="Z109">
        <v>27</v>
      </c>
      <c r="AA109">
        <v>16</v>
      </c>
      <c r="AB109">
        <v>17</v>
      </c>
      <c r="AC109">
        <v>18</v>
      </c>
      <c r="AD109">
        <v>32</v>
      </c>
      <c r="AE109">
        <v>3</v>
      </c>
      <c r="AF109">
        <v>0</v>
      </c>
      <c r="AG109">
        <v>0</v>
      </c>
      <c r="AH109">
        <v>0</v>
      </c>
      <c r="AI109">
        <v>0</v>
      </c>
      <c r="AJ109">
        <v>0</v>
      </c>
    </row>
    <row r="110" spans="1:36" x14ac:dyDescent="0.3">
      <c r="A110" t="s">
        <v>290</v>
      </c>
      <c r="B110" s="293">
        <v>45987</v>
      </c>
      <c r="C110" t="s">
        <v>1513</v>
      </c>
      <c r="D110" t="s">
        <v>1526</v>
      </c>
      <c r="E110" t="s">
        <v>1498</v>
      </c>
      <c r="F110" t="s">
        <v>189</v>
      </c>
      <c r="G110">
        <v>0.87150000000000005</v>
      </c>
      <c r="H110">
        <v>179</v>
      </c>
      <c r="I110">
        <v>156</v>
      </c>
      <c r="J110">
        <v>0</v>
      </c>
      <c r="K110" t="s">
        <v>190</v>
      </c>
      <c r="L110" s="293">
        <v>45980</v>
      </c>
      <c r="M110">
        <v>4</v>
      </c>
      <c r="N110">
        <v>9</v>
      </c>
      <c r="O110">
        <v>39</v>
      </c>
      <c r="P110" t="s">
        <v>542</v>
      </c>
      <c r="Q110">
        <v>0</v>
      </c>
      <c r="R110">
        <v>0</v>
      </c>
      <c r="S110">
        <v>0</v>
      </c>
      <c r="T110">
        <v>12</v>
      </c>
      <c r="U110">
        <v>19</v>
      </c>
      <c r="V110">
        <v>26</v>
      </c>
      <c r="W110">
        <v>27</v>
      </c>
      <c r="X110">
        <v>9</v>
      </c>
      <c r="Y110">
        <v>9</v>
      </c>
      <c r="Z110">
        <v>8</v>
      </c>
      <c r="AA110">
        <v>9</v>
      </c>
      <c r="AB110">
        <v>10</v>
      </c>
      <c r="AC110">
        <v>15</v>
      </c>
      <c r="AD110">
        <v>3</v>
      </c>
      <c r="AE110">
        <v>3</v>
      </c>
      <c r="AF110">
        <v>6</v>
      </c>
      <c r="AG110">
        <v>0</v>
      </c>
      <c r="AH110">
        <v>0</v>
      </c>
      <c r="AI110">
        <v>0</v>
      </c>
      <c r="AJ110">
        <v>0</v>
      </c>
    </row>
    <row r="111" spans="1:36" x14ac:dyDescent="0.3">
      <c r="A111" t="s">
        <v>290</v>
      </c>
      <c r="B111" s="293">
        <v>45987</v>
      </c>
      <c r="C111" t="s">
        <v>380</v>
      </c>
      <c r="D111" t="s">
        <v>674</v>
      </c>
      <c r="E111" t="s">
        <v>335</v>
      </c>
      <c r="F111" t="s">
        <v>189</v>
      </c>
      <c r="G111">
        <v>1</v>
      </c>
      <c r="H111">
        <v>180</v>
      </c>
      <c r="I111">
        <v>180</v>
      </c>
      <c r="J111">
        <v>90</v>
      </c>
      <c r="K111" t="s">
        <v>190</v>
      </c>
      <c r="L111" s="293">
        <v>45980</v>
      </c>
      <c r="M111">
        <v>1</v>
      </c>
      <c r="N111">
        <v>3</v>
      </c>
      <c r="O111">
        <v>35</v>
      </c>
      <c r="P111" t="s">
        <v>81</v>
      </c>
      <c r="Q111">
        <v>0</v>
      </c>
      <c r="R111">
        <v>0</v>
      </c>
      <c r="S111">
        <v>0</v>
      </c>
      <c r="T111">
        <v>0</v>
      </c>
      <c r="U111">
        <v>0</v>
      </c>
      <c r="V111">
        <v>0</v>
      </c>
      <c r="W111">
        <v>0</v>
      </c>
      <c r="X111">
        <v>0</v>
      </c>
      <c r="Y111">
        <v>0</v>
      </c>
      <c r="Z111">
        <v>4</v>
      </c>
      <c r="AA111">
        <v>3</v>
      </c>
      <c r="AB111">
        <v>11</v>
      </c>
      <c r="AC111">
        <v>19</v>
      </c>
      <c r="AD111">
        <v>17</v>
      </c>
      <c r="AE111">
        <v>18</v>
      </c>
      <c r="AF111">
        <v>18</v>
      </c>
      <c r="AG111">
        <v>0</v>
      </c>
      <c r="AH111">
        <v>0</v>
      </c>
      <c r="AI111">
        <v>90</v>
      </c>
      <c r="AJ111">
        <v>0</v>
      </c>
    </row>
    <row r="112" spans="1:36" x14ac:dyDescent="0.3">
      <c r="A112" t="s">
        <v>290</v>
      </c>
      <c r="B112" s="293">
        <v>45987</v>
      </c>
      <c r="C112" t="s">
        <v>421</v>
      </c>
      <c r="D112" t="s">
        <v>682</v>
      </c>
      <c r="E112" t="s">
        <v>335</v>
      </c>
      <c r="F112" t="s">
        <v>189</v>
      </c>
      <c r="G112">
        <v>0.99439999999999995</v>
      </c>
      <c r="H112">
        <v>180</v>
      </c>
      <c r="I112">
        <v>179</v>
      </c>
      <c r="J112">
        <v>90</v>
      </c>
      <c r="K112" t="s">
        <v>190</v>
      </c>
      <c r="L112" s="293">
        <v>45980</v>
      </c>
      <c r="M112">
        <v>2</v>
      </c>
      <c r="N112">
        <v>3</v>
      </c>
      <c r="O112">
        <v>25</v>
      </c>
      <c r="P112" t="s">
        <v>81</v>
      </c>
      <c r="Q112">
        <v>0</v>
      </c>
      <c r="R112">
        <v>0</v>
      </c>
      <c r="S112">
        <v>0</v>
      </c>
      <c r="T112">
        <v>0</v>
      </c>
      <c r="U112">
        <v>0</v>
      </c>
      <c r="V112">
        <v>0</v>
      </c>
      <c r="W112">
        <v>0</v>
      </c>
      <c r="X112">
        <v>0</v>
      </c>
      <c r="Y112">
        <v>0</v>
      </c>
      <c r="Z112">
        <v>0</v>
      </c>
      <c r="AA112">
        <v>0</v>
      </c>
      <c r="AB112">
        <v>14</v>
      </c>
      <c r="AC112">
        <v>21</v>
      </c>
      <c r="AD112">
        <v>18</v>
      </c>
      <c r="AE112">
        <v>18</v>
      </c>
      <c r="AF112">
        <v>18</v>
      </c>
      <c r="AG112">
        <v>0</v>
      </c>
      <c r="AH112">
        <v>0</v>
      </c>
      <c r="AI112">
        <v>90</v>
      </c>
      <c r="AJ112">
        <v>0</v>
      </c>
    </row>
    <row r="113" spans="1:36" x14ac:dyDescent="0.3">
      <c r="A113" t="s">
        <v>290</v>
      </c>
      <c r="B113" s="293">
        <v>45987</v>
      </c>
      <c r="C113" t="s">
        <v>428</v>
      </c>
      <c r="D113" t="s">
        <v>600</v>
      </c>
      <c r="E113" t="s">
        <v>335</v>
      </c>
      <c r="F113" t="s">
        <v>189</v>
      </c>
      <c r="G113">
        <v>0.59440000000000004</v>
      </c>
      <c r="H113">
        <v>180</v>
      </c>
      <c r="I113">
        <v>107</v>
      </c>
      <c r="J113">
        <v>0</v>
      </c>
      <c r="K113" t="s">
        <v>190</v>
      </c>
      <c r="L113" s="293">
        <v>45980</v>
      </c>
      <c r="M113">
        <v>1</v>
      </c>
      <c r="N113">
        <v>2</v>
      </c>
      <c r="O113">
        <v>39</v>
      </c>
      <c r="P113" t="s">
        <v>381</v>
      </c>
      <c r="Q113">
        <v>0</v>
      </c>
      <c r="R113">
        <v>0</v>
      </c>
      <c r="S113">
        <v>0</v>
      </c>
      <c r="T113">
        <v>0</v>
      </c>
      <c r="U113">
        <v>0</v>
      </c>
      <c r="V113">
        <v>0</v>
      </c>
      <c r="W113">
        <v>0</v>
      </c>
      <c r="X113">
        <v>0</v>
      </c>
      <c r="Y113">
        <v>7</v>
      </c>
      <c r="Z113">
        <v>18</v>
      </c>
      <c r="AA113">
        <v>18</v>
      </c>
      <c r="AB113">
        <v>22</v>
      </c>
      <c r="AC113">
        <v>10</v>
      </c>
      <c r="AD113">
        <v>11</v>
      </c>
      <c r="AE113">
        <v>11</v>
      </c>
      <c r="AF113">
        <v>10</v>
      </c>
      <c r="AG113">
        <v>0</v>
      </c>
      <c r="AH113">
        <v>0</v>
      </c>
      <c r="AI113">
        <v>0</v>
      </c>
      <c r="AJ113">
        <v>0</v>
      </c>
    </row>
    <row r="114" spans="1:36" x14ac:dyDescent="0.3">
      <c r="A114" t="s">
        <v>290</v>
      </c>
      <c r="B114" s="293">
        <v>45987</v>
      </c>
      <c r="C114" t="s">
        <v>375</v>
      </c>
      <c r="D114" t="s">
        <v>678</v>
      </c>
      <c r="E114" t="s">
        <v>335</v>
      </c>
      <c r="F114" t="s">
        <v>189</v>
      </c>
      <c r="G114">
        <v>0.9778</v>
      </c>
      <c r="H114">
        <v>180</v>
      </c>
      <c r="I114">
        <v>176</v>
      </c>
      <c r="J114">
        <v>51</v>
      </c>
      <c r="K114" t="s">
        <v>190</v>
      </c>
      <c r="L114" s="293">
        <v>45980</v>
      </c>
      <c r="M114">
        <v>5</v>
      </c>
      <c r="N114">
        <v>7</v>
      </c>
      <c r="O114">
        <v>69</v>
      </c>
      <c r="P114" t="s">
        <v>283</v>
      </c>
      <c r="Q114">
        <v>0</v>
      </c>
      <c r="R114">
        <v>0</v>
      </c>
      <c r="S114">
        <v>0</v>
      </c>
      <c r="T114">
        <v>0</v>
      </c>
      <c r="U114">
        <v>0</v>
      </c>
      <c r="V114">
        <v>0</v>
      </c>
      <c r="W114">
        <v>0</v>
      </c>
      <c r="X114">
        <v>0</v>
      </c>
      <c r="Y114">
        <v>0</v>
      </c>
      <c r="Z114">
        <v>17</v>
      </c>
      <c r="AA114">
        <v>18</v>
      </c>
      <c r="AB114">
        <v>18</v>
      </c>
      <c r="AC114">
        <v>18</v>
      </c>
      <c r="AD114">
        <v>18</v>
      </c>
      <c r="AE114">
        <v>18</v>
      </c>
      <c r="AF114">
        <v>18</v>
      </c>
      <c r="AG114">
        <v>0</v>
      </c>
      <c r="AH114">
        <v>0</v>
      </c>
      <c r="AI114">
        <v>51</v>
      </c>
      <c r="AJ114">
        <v>0</v>
      </c>
    </row>
    <row r="115" spans="1:36" x14ac:dyDescent="0.3">
      <c r="A115" t="s">
        <v>290</v>
      </c>
      <c r="B115" s="293">
        <v>45987</v>
      </c>
      <c r="C115" t="s">
        <v>383</v>
      </c>
      <c r="D115" t="s">
        <v>615</v>
      </c>
      <c r="E115" t="s">
        <v>335</v>
      </c>
      <c r="F115" t="s">
        <v>189</v>
      </c>
      <c r="G115">
        <v>1</v>
      </c>
      <c r="H115">
        <v>180</v>
      </c>
      <c r="I115">
        <v>180</v>
      </c>
      <c r="J115">
        <v>115</v>
      </c>
      <c r="K115" t="s">
        <v>190</v>
      </c>
      <c r="L115" s="293">
        <v>45980</v>
      </c>
      <c r="M115">
        <v>2</v>
      </c>
      <c r="N115">
        <v>1</v>
      </c>
      <c r="O115">
        <v>25</v>
      </c>
      <c r="P115" t="s">
        <v>81</v>
      </c>
      <c r="Q115">
        <v>0</v>
      </c>
      <c r="R115">
        <v>0</v>
      </c>
      <c r="S115">
        <v>0</v>
      </c>
      <c r="T115">
        <v>0</v>
      </c>
      <c r="U115">
        <v>0</v>
      </c>
      <c r="V115">
        <v>0</v>
      </c>
      <c r="W115">
        <v>0</v>
      </c>
      <c r="X115">
        <v>0</v>
      </c>
      <c r="Y115">
        <v>0</v>
      </c>
      <c r="Z115">
        <v>3</v>
      </c>
      <c r="AA115">
        <v>5</v>
      </c>
      <c r="AB115">
        <v>11</v>
      </c>
      <c r="AC115">
        <v>12</v>
      </c>
      <c r="AD115">
        <v>12</v>
      </c>
      <c r="AE115">
        <v>11</v>
      </c>
      <c r="AF115">
        <v>11</v>
      </c>
      <c r="AG115">
        <v>0</v>
      </c>
      <c r="AH115">
        <v>0</v>
      </c>
      <c r="AI115">
        <v>115</v>
      </c>
      <c r="AJ115">
        <v>0</v>
      </c>
    </row>
    <row r="116" spans="1:36" x14ac:dyDescent="0.3">
      <c r="A116" t="s">
        <v>290</v>
      </c>
      <c r="B116" s="293">
        <v>45987</v>
      </c>
      <c r="C116" t="s">
        <v>1054</v>
      </c>
      <c r="D116" t="s">
        <v>1176</v>
      </c>
      <c r="E116" t="s">
        <v>1016</v>
      </c>
      <c r="F116" t="s">
        <v>189</v>
      </c>
      <c r="G116">
        <v>0.43580000000000002</v>
      </c>
      <c r="H116">
        <v>179</v>
      </c>
      <c r="I116">
        <v>78</v>
      </c>
      <c r="J116">
        <v>0</v>
      </c>
      <c r="K116" t="s">
        <v>190</v>
      </c>
      <c r="L116" s="293">
        <v>45980</v>
      </c>
      <c r="M116">
        <v>1</v>
      </c>
      <c r="N116">
        <v>5</v>
      </c>
      <c r="O116">
        <v>17</v>
      </c>
      <c r="P116" t="s">
        <v>422</v>
      </c>
      <c r="Q116">
        <v>0</v>
      </c>
      <c r="R116">
        <v>0</v>
      </c>
      <c r="S116">
        <v>0</v>
      </c>
      <c r="T116">
        <v>0</v>
      </c>
      <c r="U116">
        <v>0</v>
      </c>
      <c r="V116">
        <v>0</v>
      </c>
      <c r="W116">
        <v>0</v>
      </c>
      <c r="X116">
        <v>0</v>
      </c>
      <c r="Y116">
        <v>0</v>
      </c>
      <c r="Z116">
        <v>0</v>
      </c>
      <c r="AA116">
        <v>18</v>
      </c>
      <c r="AB116">
        <v>0</v>
      </c>
      <c r="AC116">
        <v>7</v>
      </c>
      <c r="AD116">
        <v>18</v>
      </c>
      <c r="AE116">
        <v>8</v>
      </c>
      <c r="AF116">
        <v>27</v>
      </c>
      <c r="AG116">
        <v>0</v>
      </c>
      <c r="AH116">
        <v>0</v>
      </c>
      <c r="AI116">
        <v>0</v>
      </c>
      <c r="AJ116">
        <v>0</v>
      </c>
    </row>
    <row r="117" spans="1:36" x14ac:dyDescent="0.3">
      <c r="A117" t="s">
        <v>290</v>
      </c>
      <c r="B117" s="293">
        <v>45987</v>
      </c>
      <c r="C117" t="s">
        <v>1086</v>
      </c>
      <c r="D117" t="s">
        <v>1180</v>
      </c>
      <c r="E117" t="s">
        <v>1016</v>
      </c>
      <c r="F117" t="s">
        <v>189</v>
      </c>
      <c r="G117">
        <v>0.57540000000000002</v>
      </c>
      <c r="H117">
        <v>179</v>
      </c>
      <c r="I117">
        <v>103</v>
      </c>
      <c r="J117">
        <v>0</v>
      </c>
      <c r="K117" t="s">
        <v>190</v>
      </c>
      <c r="L117" s="293">
        <v>45980</v>
      </c>
      <c r="M117">
        <v>12</v>
      </c>
      <c r="N117">
        <v>1</v>
      </c>
      <c r="O117">
        <v>22</v>
      </c>
      <c r="P117" t="s">
        <v>381</v>
      </c>
      <c r="Q117">
        <v>0</v>
      </c>
      <c r="R117">
        <v>0</v>
      </c>
      <c r="S117">
        <v>0</v>
      </c>
      <c r="T117">
        <v>0</v>
      </c>
      <c r="U117">
        <v>0</v>
      </c>
      <c r="V117">
        <v>0</v>
      </c>
      <c r="W117">
        <v>0</v>
      </c>
      <c r="X117">
        <v>0</v>
      </c>
      <c r="Y117">
        <v>25</v>
      </c>
      <c r="Z117">
        <v>7</v>
      </c>
      <c r="AA117">
        <v>5</v>
      </c>
      <c r="AB117">
        <v>4</v>
      </c>
      <c r="AC117">
        <v>21</v>
      </c>
      <c r="AD117">
        <v>7</v>
      </c>
      <c r="AE117">
        <v>30</v>
      </c>
      <c r="AF117">
        <v>4</v>
      </c>
      <c r="AG117">
        <v>0</v>
      </c>
      <c r="AH117">
        <v>0</v>
      </c>
      <c r="AI117">
        <v>0</v>
      </c>
      <c r="AJ117">
        <v>0</v>
      </c>
    </row>
    <row r="118" spans="1:36" x14ac:dyDescent="0.3">
      <c r="A118" t="s">
        <v>290</v>
      </c>
      <c r="B118" s="293">
        <v>45987</v>
      </c>
      <c r="C118" t="s">
        <v>1374</v>
      </c>
      <c r="D118" t="s">
        <v>1400</v>
      </c>
      <c r="E118" t="s">
        <v>1370</v>
      </c>
      <c r="F118" t="s">
        <v>189</v>
      </c>
      <c r="G118">
        <v>0.30170000000000002</v>
      </c>
      <c r="H118">
        <v>179</v>
      </c>
      <c r="I118">
        <v>54</v>
      </c>
      <c r="J118">
        <v>0</v>
      </c>
      <c r="K118" t="s">
        <v>190</v>
      </c>
      <c r="L118" s="293">
        <v>45979</v>
      </c>
      <c r="M118">
        <v>0</v>
      </c>
      <c r="N118">
        <v>1</v>
      </c>
      <c r="O118">
        <v>7</v>
      </c>
      <c r="P118" t="s">
        <v>221</v>
      </c>
      <c r="Q118">
        <v>0</v>
      </c>
      <c r="R118">
        <v>0</v>
      </c>
      <c r="S118">
        <v>0</v>
      </c>
      <c r="T118">
        <v>0</v>
      </c>
      <c r="U118">
        <v>0</v>
      </c>
      <c r="V118">
        <v>0</v>
      </c>
      <c r="W118">
        <v>0</v>
      </c>
      <c r="X118">
        <v>0</v>
      </c>
      <c r="Y118">
        <v>0</v>
      </c>
      <c r="Z118">
        <v>0</v>
      </c>
      <c r="AA118">
        <v>0</v>
      </c>
      <c r="AB118">
        <v>0</v>
      </c>
      <c r="AC118">
        <v>0</v>
      </c>
      <c r="AD118">
        <v>2</v>
      </c>
      <c r="AE118">
        <v>17</v>
      </c>
      <c r="AF118">
        <v>35</v>
      </c>
      <c r="AG118">
        <v>0</v>
      </c>
      <c r="AH118">
        <v>0</v>
      </c>
      <c r="AI118">
        <v>0</v>
      </c>
      <c r="AJ118">
        <v>0</v>
      </c>
    </row>
    <row r="119" spans="1:36" x14ac:dyDescent="0.3">
      <c r="A119" t="s">
        <v>290</v>
      </c>
      <c r="B119" s="293">
        <v>45987</v>
      </c>
      <c r="C119" t="s">
        <v>1460</v>
      </c>
      <c r="D119" t="s">
        <v>1489</v>
      </c>
      <c r="E119" t="s">
        <v>1457</v>
      </c>
      <c r="F119" t="s">
        <v>189</v>
      </c>
      <c r="G119">
        <v>0.99439999999999995</v>
      </c>
      <c r="H119">
        <v>179</v>
      </c>
      <c r="I119">
        <v>178</v>
      </c>
      <c r="J119">
        <v>92</v>
      </c>
      <c r="K119" t="s">
        <v>190</v>
      </c>
      <c r="L119" s="293">
        <v>45980</v>
      </c>
      <c r="M119">
        <v>1</v>
      </c>
      <c r="N119">
        <v>1</v>
      </c>
      <c r="O119">
        <v>42</v>
      </c>
      <c r="P119" t="s">
        <v>224</v>
      </c>
      <c r="Q119">
        <v>0</v>
      </c>
      <c r="R119">
        <v>0</v>
      </c>
      <c r="S119">
        <v>0</v>
      </c>
      <c r="T119">
        <v>0</v>
      </c>
      <c r="U119">
        <v>0</v>
      </c>
      <c r="V119">
        <v>1</v>
      </c>
      <c r="W119">
        <v>6</v>
      </c>
      <c r="X119">
        <v>23</v>
      </c>
      <c r="Y119">
        <v>18</v>
      </c>
      <c r="Z119">
        <v>9</v>
      </c>
      <c r="AA119">
        <v>7</v>
      </c>
      <c r="AB119">
        <v>12</v>
      </c>
      <c r="AC119">
        <v>10</v>
      </c>
      <c r="AD119">
        <v>0</v>
      </c>
      <c r="AE119">
        <v>0</v>
      </c>
      <c r="AF119">
        <v>0</v>
      </c>
      <c r="AG119">
        <v>0</v>
      </c>
      <c r="AH119">
        <v>0</v>
      </c>
      <c r="AI119">
        <v>92</v>
      </c>
      <c r="AJ119">
        <v>0</v>
      </c>
    </row>
    <row r="120" spans="1:36" x14ac:dyDescent="0.3">
      <c r="A120" t="s">
        <v>290</v>
      </c>
      <c r="B120" s="293">
        <v>45987</v>
      </c>
      <c r="C120" t="s">
        <v>761</v>
      </c>
      <c r="D120" t="s">
        <v>876</v>
      </c>
      <c r="E120" t="s">
        <v>754</v>
      </c>
      <c r="F120" t="s">
        <v>189</v>
      </c>
      <c r="G120">
        <v>0.97219999999999995</v>
      </c>
      <c r="H120">
        <v>180</v>
      </c>
      <c r="I120">
        <v>175</v>
      </c>
      <c r="J120">
        <v>130</v>
      </c>
      <c r="K120" t="s">
        <v>190</v>
      </c>
      <c r="L120" s="293">
        <v>45980</v>
      </c>
      <c r="M120">
        <v>2</v>
      </c>
      <c r="N120">
        <v>0</v>
      </c>
      <c r="O120">
        <v>15</v>
      </c>
      <c r="P120" t="s">
        <v>425</v>
      </c>
      <c r="Q120">
        <v>0</v>
      </c>
      <c r="R120">
        <v>0</v>
      </c>
      <c r="S120">
        <v>0</v>
      </c>
      <c r="T120">
        <v>0</v>
      </c>
      <c r="U120">
        <v>0</v>
      </c>
      <c r="V120">
        <v>1</v>
      </c>
      <c r="W120">
        <v>0</v>
      </c>
      <c r="X120">
        <v>0</v>
      </c>
      <c r="Y120">
        <v>0</v>
      </c>
      <c r="Z120">
        <v>3</v>
      </c>
      <c r="AA120">
        <v>5</v>
      </c>
      <c r="AB120">
        <v>19</v>
      </c>
      <c r="AC120">
        <v>17</v>
      </c>
      <c r="AD120">
        <v>0</v>
      </c>
      <c r="AE120">
        <v>0</v>
      </c>
      <c r="AF120">
        <v>0</v>
      </c>
      <c r="AG120">
        <v>0</v>
      </c>
      <c r="AH120">
        <v>0</v>
      </c>
      <c r="AI120">
        <v>130</v>
      </c>
      <c r="AJ120">
        <v>0</v>
      </c>
    </row>
    <row r="121" spans="1:36" x14ac:dyDescent="0.3">
      <c r="A121" t="s">
        <v>290</v>
      </c>
      <c r="B121" s="293">
        <v>45987</v>
      </c>
      <c r="C121" t="s">
        <v>788</v>
      </c>
      <c r="D121" t="s">
        <v>880</v>
      </c>
      <c r="E121" t="s">
        <v>754</v>
      </c>
      <c r="F121" t="s">
        <v>189</v>
      </c>
      <c r="G121">
        <v>1</v>
      </c>
      <c r="H121">
        <v>180</v>
      </c>
      <c r="I121">
        <v>180</v>
      </c>
      <c r="J121">
        <v>135</v>
      </c>
      <c r="K121" t="s">
        <v>190</v>
      </c>
      <c r="L121" s="293">
        <v>45972</v>
      </c>
      <c r="M121">
        <v>0</v>
      </c>
      <c r="N121">
        <v>0</v>
      </c>
      <c r="O121">
        <v>0</v>
      </c>
      <c r="P121" t="s">
        <v>81</v>
      </c>
      <c r="Q121">
        <v>0</v>
      </c>
      <c r="R121">
        <v>0</v>
      </c>
      <c r="S121">
        <v>0</v>
      </c>
      <c r="T121">
        <v>0</v>
      </c>
      <c r="U121">
        <v>0</v>
      </c>
      <c r="V121">
        <v>0</v>
      </c>
      <c r="W121">
        <v>0</v>
      </c>
      <c r="X121">
        <v>0</v>
      </c>
      <c r="Y121">
        <v>0</v>
      </c>
      <c r="Z121">
        <v>0</v>
      </c>
      <c r="AA121">
        <v>0</v>
      </c>
      <c r="AB121">
        <v>9</v>
      </c>
      <c r="AC121">
        <v>9</v>
      </c>
      <c r="AD121">
        <v>9</v>
      </c>
      <c r="AE121">
        <v>9</v>
      </c>
      <c r="AF121">
        <v>9</v>
      </c>
      <c r="AG121">
        <v>0</v>
      </c>
      <c r="AH121">
        <v>0</v>
      </c>
      <c r="AI121">
        <v>135</v>
      </c>
      <c r="AJ121">
        <v>0</v>
      </c>
    </row>
    <row r="122" spans="1:36" x14ac:dyDescent="0.3">
      <c r="A122" t="s">
        <v>290</v>
      </c>
      <c r="B122" s="293">
        <v>45987</v>
      </c>
      <c r="C122" t="s">
        <v>825</v>
      </c>
      <c r="D122" t="s">
        <v>882</v>
      </c>
      <c r="E122" t="s">
        <v>754</v>
      </c>
      <c r="F122" t="s">
        <v>189</v>
      </c>
      <c r="G122">
        <v>1</v>
      </c>
      <c r="H122">
        <v>180</v>
      </c>
      <c r="I122">
        <v>180</v>
      </c>
      <c r="J122">
        <v>166</v>
      </c>
      <c r="K122" t="s">
        <v>190</v>
      </c>
      <c r="L122" s="293">
        <v>45971</v>
      </c>
      <c r="M122">
        <v>0</v>
      </c>
      <c r="N122">
        <v>0</v>
      </c>
      <c r="O122">
        <v>0</v>
      </c>
      <c r="P122" t="s">
        <v>81</v>
      </c>
      <c r="Q122">
        <v>0</v>
      </c>
      <c r="R122">
        <v>0</v>
      </c>
      <c r="S122">
        <v>0</v>
      </c>
      <c r="T122">
        <v>0</v>
      </c>
      <c r="U122">
        <v>0</v>
      </c>
      <c r="V122">
        <v>0</v>
      </c>
      <c r="W122">
        <v>0</v>
      </c>
      <c r="X122">
        <v>0</v>
      </c>
      <c r="Y122">
        <v>0</v>
      </c>
      <c r="Z122">
        <v>1</v>
      </c>
      <c r="AA122">
        <v>0</v>
      </c>
      <c r="AB122">
        <v>4</v>
      </c>
      <c r="AC122">
        <v>9</v>
      </c>
      <c r="AD122">
        <v>0</v>
      </c>
      <c r="AE122">
        <v>0</v>
      </c>
      <c r="AF122">
        <v>0</v>
      </c>
      <c r="AG122">
        <v>0</v>
      </c>
      <c r="AH122">
        <v>0</v>
      </c>
      <c r="AI122">
        <v>166</v>
      </c>
      <c r="AJ122">
        <v>0</v>
      </c>
    </row>
    <row r="123" spans="1:36" x14ac:dyDescent="0.3">
      <c r="A123" t="s">
        <v>290</v>
      </c>
      <c r="B123" s="293">
        <v>45987</v>
      </c>
      <c r="C123" t="s">
        <v>249</v>
      </c>
      <c r="D123" t="s">
        <v>291</v>
      </c>
      <c r="E123" t="s">
        <v>246</v>
      </c>
      <c r="F123" t="s">
        <v>189</v>
      </c>
      <c r="G123">
        <v>0.99439999999999995</v>
      </c>
      <c r="H123">
        <v>180</v>
      </c>
      <c r="I123">
        <v>179</v>
      </c>
      <c r="J123">
        <v>175</v>
      </c>
      <c r="K123" t="s">
        <v>190</v>
      </c>
      <c r="L123" s="293">
        <v>45976</v>
      </c>
      <c r="M123">
        <v>0</v>
      </c>
      <c r="N123">
        <v>0</v>
      </c>
      <c r="O123">
        <v>1</v>
      </c>
      <c r="P123" t="s">
        <v>81</v>
      </c>
      <c r="Q123">
        <v>0</v>
      </c>
      <c r="R123">
        <v>0</v>
      </c>
      <c r="S123">
        <v>0</v>
      </c>
      <c r="T123">
        <v>0</v>
      </c>
      <c r="U123">
        <v>0</v>
      </c>
      <c r="V123">
        <v>0</v>
      </c>
      <c r="W123">
        <v>0</v>
      </c>
      <c r="X123">
        <v>0</v>
      </c>
      <c r="Y123">
        <v>1</v>
      </c>
      <c r="Z123">
        <v>0</v>
      </c>
      <c r="AA123">
        <v>0</v>
      </c>
      <c r="AB123">
        <v>0</v>
      </c>
      <c r="AC123">
        <v>0</v>
      </c>
      <c r="AD123">
        <v>0</v>
      </c>
      <c r="AE123">
        <v>0</v>
      </c>
      <c r="AF123">
        <v>3</v>
      </c>
      <c r="AG123">
        <v>0</v>
      </c>
      <c r="AH123">
        <v>0</v>
      </c>
      <c r="AI123">
        <v>175</v>
      </c>
      <c r="AJ123">
        <v>0</v>
      </c>
    </row>
    <row r="124" spans="1:36" x14ac:dyDescent="0.3">
      <c r="A124" t="s">
        <v>187</v>
      </c>
      <c r="B124" s="293">
        <v>45988</v>
      </c>
      <c r="C124" t="s">
        <v>894</v>
      </c>
      <c r="D124" t="s">
        <v>940</v>
      </c>
      <c r="E124" t="s">
        <v>891</v>
      </c>
      <c r="F124" t="s">
        <v>189</v>
      </c>
      <c r="G124">
        <v>1</v>
      </c>
      <c r="H124">
        <v>180</v>
      </c>
      <c r="I124">
        <v>180</v>
      </c>
      <c r="J124">
        <v>135</v>
      </c>
      <c r="K124" t="s">
        <v>190</v>
      </c>
      <c r="L124" s="293">
        <v>45980</v>
      </c>
      <c r="M124">
        <v>1</v>
      </c>
      <c r="N124">
        <v>5</v>
      </c>
      <c r="O124">
        <v>26</v>
      </c>
      <c r="P124" t="s">
        <v>81</v>
      </c>
      <c r="Q124">
        <v>0</v>
      </c>
      <c r="R124">
        <v>0</v>
      </c>
      <c r="S124">
        <v>0</v>
      </c>
      <c r="T124">
        <v>0</v>
      </c>
      <c r="U124">
        <v>0</v>
      </c>
      <c r="V124">
        <v>0</v>
      </c>
      <c r="W124">
        <v>0</v>
      </c>
      <c r="X124">
        <v>0</v>
      </c>
      <c r="Y124">
        <v>0</v>
      </c>
      <c r="Z124">
        <v>2</v>
      </c>
      <c r="AA124">
        <v>1</v>
      </c>
      <c r="AB124">
        <v>9</v>
      </c>
      <c r="AC124">
        <v>23</v>
      </c>
      <c r="AD124">
        <v>5</v>
      </c>
      <c r="AE124">
        <v>3</v>
      </c>
      <c r="AF124">
        <v>2</v>
      </c>
      <c r="AG124">
        <v>0</v>
      </c>
      <c r="AH124">
        <v>0</v>
      </c>
      <c r="AI124">
        <v>135</v>
      </c>
      <c r="AJ124">
        <v>0</v>
      </c>
    </row>
    <row r="125" spans="1:36" x14ac:dyDescent="0.3">
      <c r="A125" t="s">
        <v>187</v>
      </c>
      <c r="B125" s="293">
        <v>45988</v>
      </c>
      <c r="C125" t="s">
        <v>897</v>
      </c>
      <c r="D125" t="s">
        <v>944</v>
      </c>
      <c r="E125" t="s">
        <v>891</v>
      </c>
      <c r="F125" t="s">
        <v>189</v>
      </c>
      <c r="G125">
        <v>0.95</v>
      </c>
      <c r="H125">
        <v>180</v>
      </c>
      <c r="I125">
        <v>171</v>
      </c>
      <c r="J125">
        <v>140</v>
      </c>
      <c r="K125" t="s">
        <v>190</v>
      </c>
      <c r="L125" s="293">
        <v>45979</v>
      </c>
      <c r="M125">
        <v>0</v>
      </c>
      <c r="N125">
        <v>5</v>
      </c>
      <c r="O125">
        <v>18</v>
      </c>
      <c r="P125" t="s">
        <v>631</v>
      </c>
      <c r="Q125">
        <v>0</v>
      </c>
      <c r="R125">
        <v>0</v>
      </c>
      <c r="S125">
        <v>0</v>
      </c>
      <c r="T125">
        <v>0</v>
      </c>
      <c r="U125">
        <v>0</v>
      </c>
      <c r="V125">
        <v>0</v>
      </c>
      <c r="W125">
        <v>0</v>
      </c>
      <c r="X125">
        <v>0</v>
      </c>
      <c r="Y125">
        <v>0</v>
      </c>
      <c r="Z125">
        <v>2</v>
      </c>
      <c r="AA125">
        <v>5</v>
      </c>
      <c r="AB125">
        <v>6</v>
      </c>
      <c r="AC125">
        <v>15</v>
      </c>
      <c r="AD125">
        <v>0</v>
      </c>
      <c r="AE125">
        <v>2</v>
      </c>
      <c r="AF125">
        <v>1</v>
      </c>
      <c r="AG125">
        <v>0</v>
      </c>
      <c r="AH125">
        <v>0</v>
      </c>
      <c r="AI125">
        <v>140</v>
      </c>
      <c r="AJ125">
        <v>0</v>
      </c>
    </row>
    <row r="126" spans="1:36" x14ac:dyDescent="0.3">
      <c r="A126" t="s">
        <v>187</v>
      </c>
      <c r="B126" s="293">
        <v>45988</v>
      </c>
      <c r="C126" t="s">
        <v>1503</v>
      </c>
      <c r="D126" t="s">
        <v>311</v>
      </c>
      <c r="E126" t="s">
        <v>1498</v>
      </c>
      <c r="F126" t="s">
        <v>189</v>
      </c>
      <c r="G126">
        <v>0.74860000000000004</v>
      </c>
      <c r="H126">
        <v>179</v>
      </c>
      <c r="I126">
        <v>134</v>
      </c>
      <c r="J126">
        <v>0</v>
      </c>
      <c r="K126" t="s">
        <v>190</v>
      </c>
      <c r="L126" s="293">
        <v>45978</v>
      </c>
      <c r="M126">
        <v>0</v>
      </c>
      <c r="N126">
        <v>0</v>
      </c>
      <c r="O126">
        <v>17</v>
      </c>
      <c r="P126" t="s">
        <v>1506</v>
      </c>
      <c r="Q126">
        <v>0</v>
      </c>
      <c r="R126">
        <v>0</v>
      </c>
      <c r="S126">
        <v>9</v>
      </c>
      <c r="T126">
        <v>25</v>
      </c>
      <c r="U126">
        <v>12</v>
      </c>
      <c r="V126">
        <v>9</v>
      </c>
      <c r="W126">
        <v>8</v>
      </c>
      <c r="X126">
        <v>9</v>
      </c>
      <c r="Y126">
        <v>9</v>
      </c>
      <c r="Z126">
        <v>8</v>
      </c>
      <c r="AA126">
        <v>13</v>
      </c>
      <c r="AB126">
        <v>9</v>
      </c>
      <c r="AC126">
        <v>8</v>
      </c>
      <c r="AD126">
        <v>6</v>
      </c>
      <c r="AE126">
        <v>6</v>
      </c>
      <c r="AF126">
        <v>3</v>
      </c>
      <c r="AG126">
        <v>0</v>
      </c>
      <c r="AH126">
        <v>0</v>
      </c>
      <c r="AI126">
        <v>0</v>
      </c>
      <c r="AJ126">
        <v>0</v>
      </c>
    </row>
    <row r="127" spans="1:36" x14ac:dyDescent="0.3">
      <c r="A127" t="s">
        <v>187</v>
      </c>
      <c r="B127" s="293">
        <v>45988</v>
      </c>
      <c r="C127" t="s">
        <v>1425</v>
      </c>
      <c r="D127" t="s">
        <v>1437</v>
      </c>
      <c r="E127" t="s">
        <v>1420</v>
      </c>
      <c r="F127" t="s">
        <v>189</v>
      </c>
      <c r="G127">
        <v>0.73180000000000001</v>
      </c>
      <c r="H127">
        <v>179</v>
      </c>
      <c r="I127">
        <v>131</v>
      </c>
      <c r="J127">
        <v>0</v>
      </c>
      <c r="K127" t="s">
        <v>190</v>
      </c>
      <c r="L127" s="293">
        <v>45980</v>
      </c>
      <c r="M127">
        <v>8</v>
      </c>
      <c r="N127">
        <v>23</v>
      </c>
      <c r="O127">
        <v>76</v>
      </c>
      <c r="P127" t="s">
        <v>568</v>
      </c>
      <c r="Q127">
        <v>0</v>
      </c>
      <c r="R127">
        <v>0</v>
      </c>
      <c r="S127">
        <v>0</v>
      </c>
      <c r="T127">
        <v>0</v>
      </c>
      <c r="U127">
        <v>0</v>
      </c>
      <c r="V127">
        <v>0</v>
      </c>
      <c r="W127">
        <v>0</v>
      </c>
      <c r="X127">
        <v>20</v>
      </c>
      <c r="Y127">
        <v>14</v>
      </c>
      <c r="Z127">
        <v>26</v>
      </c>
      <c r="AA127">
        <v>3</v>
      </c>
      <c r="AB127">
        <v>15</v>
      </c>
      <c r="AC127">
        <v>24</v>
      </c>
      <c r="AD127">
        <v>8</v>
      </c>
      <c r="AE127">
        <v>4</v>
      </c>
      <c r="AF127">
        <v>17</v>
      </c>
      <c r="AG127">
        <v>0</v>
      </c>
      <c r="AH127">
        <v>0</v>
      </c>
      <c r="AI127">
        <v>0</v>
      </c>
      <c r="AJ127">
        <v>0</v>
      </c>
    </row>
    <row r="128" spans="1:36" x14ac:dyDescent="0.3">
      <c r="A128" t="s">
        <v>187</v>
      </c>
      <c r="B128" s="293">
        <v>45988</v>
      </c>
      <c r="C128" t="s">
        <v>1283</v>
      </c>
      <c r="D128" t="s">
        <v>1328</v>
      </c>
      <c r="E128" t="s">
        <v>1264</v>
      </c>
      <c r="F128" t="s">
        <v>189</v>
      </c>
      <c r="G128">
        <v>0.7</v>
      </c>
      <c r="H128">
        <v>180</v>
      </c>
      <c r="I128">
        <v>126</v>
      </c>
      <c r="J128">
        <v>0</v>
      </c>
      <c r="K128" t="s">
        <v>190</v>
      </c>
      <c r="L128" s="293">
        <v>45979</v>
      </c>
      <c r="M128">
        <v>0</v>
      </c>
      <c r="N128">
        <v>1</v>
      </c>
      <c r="O128">
        <v>11</v>
      </c>
      <c r="P128" t="s">
        <v>277</v>
      </c>
      <c r="Q128">
        <v>0</v>
      </c>
      <c r="R128">
        <v>0</v>
      </c>
      <c r="S128">
        <v>0</v>
      </c>
      <c r="T128">
        <v>1</v>
      </c>
      <c r="U128">
        <v>18</v>
      </c>
      <c r="V128">
        <v>18</v>
      </c>
      <c r="W128">
        <v>7</v>
      </c>
      <c r="X128">
        <v>10</v>
      </c>
      <c r="Y128">
        <v>8</v>
      </c>
      <c r="Z128">
        <v>8</v>
      </c>
      <c r="AA128">
        <v>17</v>
      </c>
      <c r="AB128">
        <v>9</v>
      </c>
      <c r="AC128">
        <v>7</v>
      </c>
      <c r="AD128">
        <v>9</v>
      </c>
      <c r="AE128">
        <v>7</v>
      </c>
      <c r="AF128">
        <v>7</v>
      </c>
      <c r="AG128">
        <v>0</v>
      </c>
      <c r="AH128">
        <v>0</v>
      </c>
      <c r="AI128">
        <v>0</v>
      </c>
      <c r="AJ128">
        <v>0</v>
      </c>
    </row>
    <row r="129" spans="1:36" x14ac:dyDescent="0.3">
      <c r="A129" t="s">
        <v>187</v>
      </c>
      <c r="B129" s="293">
        <v>45988</v>
      </c>
      <c r="C129" t="s">
        <v>1554</v>
      </c>
      <c r="D129" t="s">
        <v>1210</v>
      </c>
      <c r="E129" t="s">
        <v>1551</v>
      </c>
      <c r="F129" t="s">
        <v>189</v>
      </c>
      <c r="G129">
        <v>0.57540000000000002</v>
      </c>
      <c r="H129">
        <v>179</v>
      </c>
      <c r="I129">
        <v>103</v>
      </c>
      <c r="J129">
        <v>0</v>
      </c>
      <c r="K129" t="s">
        <v>190</v>
      </c>
      <c r="L129" s="293">
        <v>45980</v>
      </c>
      <c r="M129">
        <v>2</v>
      </c>
      <c r="N129">
        <v>3</v>
      </c>
      <c r="O129">
        <v>6</v>
      </c>
      <c r="P129" t="s">
        <v>731</v>
      </c>
      <c r="Q129">
        <v>0</v>
      </c>
      <c r="R129">
        <v>0</v>
      </c>
      <c r="S129">
        <v>0</v>
      </c>
      <c r="T129">
        <v>0</v>
      </c>
      <c r="U129">
        <v>0</v>
      </c>
      <c r="V129">
        <v>4</v>
      </c>
      <c r="W129">
        <v>5</v>
      </c>
      <c r="X129">
        <v>9</v>
      </c>
      <c r="Y129">
        <v>17</v>
      </c>
      <c r="Z129">
        <v>10</v>
      </c>
      <c r="AA129">
        <v>10</v>
      </c>
      <c r="AB129">
        <v>21</v>
      </c>
      <c r="AC129">
        <v>10</v>
      </c>
      <c r="AD129">
        <v>3</v>
      </c>
      <c r="AE129">
        <v>6</v>
      </c>
      <c r="AF129">
        <v>8</v>
      </c>
      <c r="AG129">
        <v>0</v>
      </c>
      <c r="AH129">
        <v>0</v>
      </c>
      <c r="AI129">
        <v>0</v>
      </c>
      <c r="AJ129">
        <v>0</v>
      </c>
    </row>
    <row r="130" spans="1:36" x14ac:dyDescent="0.3">
      <c r="A130" t="s">
        <v>187</v>
      </c>
      <c r="B130" s="293">
        <v>45988</v>
      </c>
      <c r="C130" t="s">
        <v>1618</v>
      </c>
      <c r="D130" t="s">
        <v>1604</v>
      </c>
      <c r="E130" t="s">
        <v>1611</v>
      </c>
      <c r="F130" t="s">
        <v>189</v>
      </c>
      <c r="G130">
        <v>0.63129999999999997</v>
      </c>
      <c r="H130">
        <v>179</v>
      </c>
      <c r="I130">
        <v>113</v>
      </c>
      <c r="J130">
        <v>0</v>
      </c>
      <c r="K130" t="s">
        <v>190</v>
      </c>
      <c r="L130" s="293">
        <v>45980</v>
      </c>
      <c r="M130">
        <v>1</v>
      </c>
      <c r="N130">
        <v>3</v>
      </c>
      <c r="O130">
        <v>19</v>
      </c>
      <c r="P130" t="s">
        <v>698</v>
      </c>
      <c r="Q130">
        <v>0</v>
      </c>
      <c r="R130">
        <v>0</v>
      </c>
      <c r="S130">
        <v>0</v>
      </c>
      <c r="T130">
        <v>0</v>
      </c>
      <c r="U130">
        <v>0</v>
      </c>
      <c r="V130">
        <v>23</v>
      </c>
      <c r="W130">
        <v>20</v>
      </c>
      <c r="X130">
        <v>8</v>
      </c>
      <c r="Y130">
        <v>7</v>
      </c>
      <c r="Z130">
        <v>9</v>
      </c>
      <c r="AA130">
        <v>9</v>
      </c>
      <c r="AB130">
        <v>10</v>
      </c>
      <c r="AC130">
        <v>6</v>
      </c>
      <c r="AD130">
        <v>8</v>
      </c>
      <c r="AE130">
        <v>9</v>
      </c>
      <c r="AF130">
        <v>4</v>
      </c>
      <c r="AG130">
        <v>0</v>
      </c>
      <c r="AH130">
        <v>0</v>
      </c>
      <c r="AI130">
        <v>0</v>
      </c>
      <c r="AJ130">
        <v>0</v>
      </c>
    </row>
    <row r="131" spans="1:36" x14ac:dyDescent="0.3">
      <c r="A131" t="s">
        <v>187</v>
      </c>
      <c r="B131" s="293">
        <v>45988</v>
      </c>
      <c r="C131" t="s">
        <v>380</v>
      </c>
      <c r="D131" t="s">
        <v>600</v>
      </c>
      <c r="E131" t="s">
        <v>335</v>
      </c>
      <c r="F131" t="s">
        <v>189</v>
      </c>
      <c r="G131">
        <v>0.82779999999999998</v>
      </c>
      <c r="H131">
        <v>180</v>
      </c>
      <c r="I131">
        <v>149</v>
      </c>
      <c r="J131">
        <v>0</v>
      </c>
      <c r="K131" t="s">
        <v>190</v>
      </c>
      <c r="L131" s="293">
        <v>45979</v>
      </c>
      <c r="M131">
        <v>0</v>
      </c>
      <c r="N131">
        <v>10</v>
      </c>
      <c r="O131">
        <v>17</v>
      </c>
      <c r="P131" t="s">
        <v>103</v>
      </c>
      <c r="Q131">
        <v>0</v>
      </c>
      <c r="R131">
        <v>0</v>
      </c>
      <c r="S131">
        <v>0</v>
      </c>
      <c r="T131">
        <v>0</v>
      </c>
      <c r="U131">
        <v>0</v>
      </c>
      <c r="V131">
        <v>6</v>
      </c>
      <c r="W131">
        <v>21</v>
      </c>
      <c r="X131">
        <v>7</v>
      </c>
      <c r="Y131">
        <v>11</v>
      </c>
      <c r="Z131">
        <v>22</v>
      </c>
      <c r="AA131">
        <v>12</v>
      </c>
      <c r="AB131">
        <v>12</v>
      </c>
      <c r="AC131">
        <v>12</v>
      </c>
      <c r="AD131">
        <v>21</v>
      </c>
      <c r="AE131">
        <v>11</v>
      </c>
      <c r="AF131">
        <v>10</v>
      </c>
      <c r="AG131">
        <v>0</v>
      </c>
      <c r="AH131">
        <v>0</v>
      </c>
      <c r="AI131">
        <v>0</v>
      </c>
      <c r="AJ131">
        <v>4</v>
      </c>
    </row>
    <row r="132" spans="1:36" x14ac:dyDescent="0.3">
      <c r="A132" t="s">
        <v>187</v>
      </c>
      <c r="B132" s="293">
        <v>45988</v>
      </c>
      <c r="C132" t="s">
        <v>367</v>
      </c>
      <c r="D132" t="s">
        <v>584</v>
      </c>
      <c r="E132" t="s">
        <v>335</v>
      </c>
      <c r="F132" t="s">
        <v>189</v>
      </c>
      <c r="G132">
        <v>0.74439999999999995</v>
      </c>
      <c r="H132">
        <v>180</v>
      </c>
      <c r="I132">
        <v>134</v>
      </c>
      <c r="J132">
        <v>45</v>
      </c>
      <c r="K132" t="s">
        <v>190</v>
      </c>
      <c r="L132" s="293">
        <v>45979</v>
      </c>
      <c r="M132">
        <v>0</v>
      </c>
      <c r="N132">
        <v>2</v>
      </c>
      <c r="O132">
        <v>37</v>
      </c>
      <c r="P132" t="s">
        <v>209</v>
      </c>
      <c r="Q132">
        <v>0</v>
      </c>
      <c r="R132">
        <v>0</v>
      </c>
      <c r="S132">
        <v>0</v>
      </c>
      <c r="T132">
        <v>0</v>
      </c>
      <c r="U132">
        <v>0</v>
      </c>
      <c r="V132">
        <v>0</v>
      </c>
      <c r="W132">
        <v>0</v>
      </c>
      <c r="X132">
        <v>0</v>
      </c>
      <c r="Y132">
        <v>9</v>
      </c>
      <c r="Z132">
        <v>31</v>
      </c>
      <c r="AA132">
        <v>9</v>
      </c>
      <c r="AB132">
        <v>20</v>
      </c>
      <c r="AC132">
        <v>5</v>
      </c>
      <c r="AD132">
        <v>5</v>
      </c>
      <c r="AE132">
        <v>5</v>
      </c>
      <c r="AF132">
        <v>5</v>
      </c>
      <c r="AG132">
        <v>0</v>
      </c>
      <c r="AH132">
        <v>0</v>
      </c>
      <c r="AI132">
        <v>45</v>
      </c>
      <c r="AJ132">
        <v>0</v>
      </c>
    </row>
    <row r="133" spans="1:36" x14ac:dyDescent="0.3">
      <c r="A133" t="s">
        <v>187</v>
      </c>
      <c r="B133" s="293">
        <v>45988</v>
      </c>
      <c r="C133" t="s">
        <v>371</v>
      </c>
      <c r="D133" t="s">
        <v>240</v>
      </c>
      <c r="E133" t="s">
        <v>335</v>
      </c>
      <c r="F133" t="s">
        <v>189</v>
      </c>
      <c r="G133">
        <v>0.68889999999999996</v>
      </c>
      <c r="H133">
        <v>180</v>
      </c>
      <c r="I133">
        <v>124</v>
      </c>
      <c r="J133">
        <v>0</v>
      </c>
      <c r="K133" t="s">
        <v>190</v>
      </c>
      <c r="L133" s="293">
        <v>45979</v>
      </c>
      <c r="M133">
        <v>0</v>
      </c>
      <c r="N133">
        <v>6</v>
      </c>
      <c r="O133">
        <v>27</v>
      </c>
      <c r="P133" t="s">
        <v>496</v>
      </c>
      <c r="Q133">
        <v>0</v>
      </c>
      <c r="R133">
        <v>0</v>
      </c>
      <c r="S133">
        <v>0</v>
      </c>
      <c r="T133">
        <v>0</v>
      </c>
      <c r="U133">
        <v>0</v>
      </c>
      <c r="V133">
        <v>0</v>
      </c>
      <c r="W133">
        <v>0</v>
      </c>
      <c r="X133">
        <v>0</v>
      </c>
      <c r="Y133">
        <v>4</v>
      </c>
      <c r="Z133">
        <v>15</v>
      </c>
      <c r="AA133">
        <v>22</v>
      </c>
      <c r="AB133">
        <v>20</v>
      </c>
      <c r="AC133">
        <v>19</v>
      </c>
      <c r="AD133">
        <v>12</v>
      </c>
      <c r="AE133">
        <v>11</v>
      </c>
      <c r="AF133">
        <v>21</v>
      </c>
      <c r="AG133">
        <v>0</v>
      </c>
      <c r="AH133">
        <v>0</v>
      </c>
      <c r="AI133">
        <v>0</v>
      </c>
      <c r="AJ133">
        <v>0</v>
      </c>
    </row>
    <row r="134" spans="1:36" x14ac:dyDescent="0.3">
      <c r="A134" t="s">
        <v>187</v>
      </c>
      <c r="B134" s="293">
        <v>45988</v>
      </c>
      <c r="C134" t="s">
        <v>375</v>
      </c>
      <c r="D134" t="s">
        <v>581</v>
      </c>
      <c r="E134" t="s">
        <v>335</v>
      </c>
      <c r="F134" t="s">
        <v>189</v>
      </c>
      <c r="G134">
        <v>0.86109999999999998</v>
      </c>
      <c r="H134">
        <v>180</v>
      </c>
      <c r="I134">
        <v>155</v>
      </c>
      <c r="J134">
        <v>48</v>
      </c>
      <c r="K134" t="s">
        <v>190</v>
      </c>
      <c r="L134" s="293">
        <v>45980</v>
      </c>
      <c r="M134">
        <v>2</v>
      </c>
      <c r="N134">
        <v>5</v>
      </c>
      <c r="O134">
        <v>15</v>
      </c>
      <c r="P134" t="s">
        <v>515</v>
      </c>
      <c r="Q134">
        <v>0</v>
      </c>
      <c r="R134">
        <v>0</v>
      </c>
      <c r="S134">
        <v>0</v>
      </c>
      <c r="T134">
        <v>0</v>
      </c>
      <c r="U134">
        <v>0</v>
      </c>
      <c r="V134">
        <v>0</v>
      </c>
      <c r="W134">
        <v>0</v>
      </c>
      <c r="X134">
        <v>0</v>
      </c>
      <c r="Y134">
        <v>7</v>
      </c>
      <c r="Z134">
        <v>15</v>
      </c>
      <c r="AA134">
        <v>9</v>
      </c>
      <c r="AB134">
        <v>9</v>
      </c>
      <c r="AC134">
        <v>23</v>
      </c>
      <c r="AD134">
        <v>12</v>
      </c>
      <c r="AE134">
        <v>11</v>
      </c>
      <c r="AF134">
        <v>21</v>
      </c>
      <c r="AG134">
        <v>0</v>
      </c>
      <c r="AH134">
        <v>0</v>
      </c>
      <c r="AI134">
        <v>48</v>
      </c>
      <c r="AJ134">
        <v>0</v>
      </c>
    </row>
    <row r="135" spans="1:36" x14ac:dyDescent="0.3">
      <c r="A135" t="s">
        <v>187</v>
      </c>
      <c r="B135" s="293">
        <v>45988</v>
      </c>
      <c r="C135" t="s">
        <v>383</v>
      </c>
      <c r="D135" t="s">
        <v>590</v>
      </c>
      <c r="E135" t="s">
        <v>335</v>
      </c>
      <c r="F135" t="s">
        <v>189</v>
      </c>
      <c r="G135">
        <v>1</v>
      </c>
      <c r="H135">
        <v>180</v>
      </c>
      <c r="I135">
        <v>180</v>
      </c>
      <c r="J135">
        <v>135</v>
      </c>
      <c r="K135" t="s">
        <v>190</v>
      </c>
      <c r="L135" s="293">
        <v>45960</v>
      </c>
      <c r="M135">
        <v>0</v>
      </c>
      <c r="N135">
        <v>0</v>
      </c>
      <c r="O135">
        <v>0</v>
      </c>
      <c r="P135" t="s">
        <v>81</v>
      </c>
      <c r="Q135">
        <v>0</v>
      </c>
      <c r="R135">
        <v>0</v>
      </c>
      <c r="S135">
        <v>0</v>
      </c>
      <c r="T135">
        <v>0</v>
      </c>
      <c r="U135">
        <v>0</v>
      </c>
      <c r="V135">
        <v>0</v>
      </c>
      <c r="W135">
        <v>0</v>
      </c>
      <c r="X135">
        <v>0</v>
      </c>
      <c r="Y135">
        <v>0</v>
      </c>
      <c r="Z135">
        <v>0</v>
      </c>
      <c r="AA135">
        <v>0</v>
      </c>
      <c r="AB135">
        <v>0</v>
      </c>
      <c r="AC135">
        <v>1</v>
      </c>
      <c r="AD135">
        <v>12</v>
      </c>
      <c r="AE135">
        <v>11</v>
      </c>
      <c r="AF135">
        <v>21</v>
      </c>
      <c r="AG135">
        <v>0</v>
      </c>
      <c r="AH135">
        <v>0</v>
      </c>
      <c r="AI135">
        <v>135</v>
      </c>
      <c r="AJ135">
        <v>0</v>
      </c>
    </row>
    <row r="136" spans="1:36" x14ac:dyDescent="0.3">
      <c r="A136" t="s">
        <v>187</v>
      </c>
      <c r="B136" s="293">
        <v>45988</v>
      </c>
      <c r="C136" t="s">
        <v>363</v>
      </c>
      <c r="D136" t="s">
        <v>595</v>
      </c>
      <c r="E136" t="s">
        <v>335</v>
      </c>
      <c r="F136" t="s">
        <v>189</v>
      </c>
      <c r="G136">
        <v>0.99439999999999995</v>
      </c>
      <c r="H136">
        <v>180</v>
      </c>
      <c r="I136">
        <v>179</v>
      </c>
      <c r="J136">
        <v>135</v>
      </c>
      <c r="K136" t="s">
        <v>190</v>
      </c>
      <c r="L136" s="293">
        <v>45975</v>
      </c>
      <c r="M136">
        <v>0</v>
      </c>
      <c r="N136">
        <v>0</v>
      </c>
      <c r="O136">
        <v>3</v>
      </c>
      <c r="P136" t="s">
        <v>81</v>
      </c>
      <c r="Q136">
        <v>0</v>
      </c>
      <c r="R136">
        <v>0</v>
      </c>
      <c r="S136">
        <v>0</v>
      </c>
      <c r="T136">
        <v>0</v>
      </c>
      <c r="U136">
        <v>0</v>
      </c>
      <c r="V136">
        <v>3</v>
      </c>
      <c r="W136">
        <v>0</v>
      </c>
      <c r="X136">
        <v>5</v>
      </c>
      <c r="Y136">
        <v>0</v>
      </c>
      <c r="Z136">
        <v>3</v>
      </c>
      <c r="AA136">
        <v>2</v>
      </c>
      <c r="AB136">
        <v>3</v>
      </c>
      <c r="AC136">
        <v>13</v>
      </c>
      <c r="AD136">
        <v>6</v>
      </c>
      <c r="AE136">
        <v>4</v>
      </c>
      <c r="AF136">
        <v>5</v>
      </c>
      <c r="AG136">
        <v>0</v>
      </c>
      <c r="AH136">
        <v>0</v>
      </c>
      <c r="AI136">
        <v>135</v>
      </c>
      <c r="AJ136">
        <v>0</v>
      </c>
    </row>
    <row r="137" spans="1:36" x14ac:dyDescent="0.3">
      <c r="A137" t="s">
        <v>187</v>
      </c>
      <c r="B137" s="293">
        <v>45988</v>
      </c>
      <c r="C137" t="s">
        <v>78</v>
      </c>
      <c r="D137" t="s">
        <v>188</v>
      </c>
      <c r="E137" t="s">
        <v>1</v>
      </c>
      <c r="F137" t="s">
        <v>189</v>
      </c>
      <c r="G137">
        <v>1</v>
      </c>
      <c r="H137">
        <v>180</v>
      </c>
      <c r="I137">
        <v>180</v>
      </c>
      <c r="J137">
        <v>168</v>
      </c>
      <c r="K137" t="s">
        <v>190</v>
      </c>
      <c r="L137" s="293">
        <v>45970</v>
      </c>
      <c r="M137">
        <v>0</v>
      </c>
      <c r="N137">
        <v>0</v>
      </c>
      <c r="O137">
        <v>0</v>
      </c>
      <c r="P137" t="s">
        <v>81</v>
      </c>
      <c r="Q137">
        <v>0</v>
      </c>
      <c r="R137">
        <v>0</v>
      </c>
      <c r="S137">
        <v>0</v>
      </c>
      <c r="T137">
        <v>0</v>
      </c>
      <c r="U137">
        <v>0</v>
      </c>
      <c r="V137">
        <v>0</v>
      </c>
      <c r="W137">
        <v>0</v>
      </c>
      <c r="X137">
        <v>1</v>
      </c>
      <c r="Y137">
        <v>0</v>
      </c>
      <c r="Z137">
        <v>0</v>
      </c>
      <c r="AA137">
        <v>0</v>
      </c>
      <c r="AB137">
        <v>0</v>
      </c>
      <c r="AC137">
        <v>0</v>
      </c>
      <c r="AD137">
        <v>0</v>
      </c>
      <c r="AE137">
        <v>3</v>
      </c>
      <c r="AF137">
        <v>8</v>
      </c>
      <c r="AG137">
        <v>0</v>
      </c>
      <c r="AH137">
        <v>0</v>
      </c>
      <c r="AI137">
        <v>168</v>
      </c>
      <c r="AJ137">
        <v>0</v>
      </c>
    </row>
    <row r="138" spans="1:36" x14ac:dyDescent="0.3">
      <c r="A138" t="s">
        <v>187</v>
      </c>
      <c r="B138" s="293">
        <v>45988</v>
      </c>
      <c r="C138" t="s">
        <v>1054</v>
      </c>
      <c r="D138" t="s">
        <v>1176</v>
      </c>
      <c r="E138" t="s">
        <v>1016</v>
      </c>
      <c r="F138" t="s">
        <v>189</v>
      </c>
      <c r="G138">
        <v>0.43020000000000003</v>
      </c>
      <c r="H138">
        <v>179</v>
      </c>
      <c r="I138">
        <v>77</v>
      </c>
      <c r="J138">
        <v>0</v>
      </c>
      <c r="K138" t="s">
        <v>190</v>
      </c>
      <c r="L138" s="293">
        <v>45979</v>
      </c>
      <c r="M138">
        <v>0</v>
      </c>
      <c r="N138">
        <v>2</v>
      </c>
      <c r="O138">
        <v>14</v>
      </c>
      <c r="P138" t="s">
        <v>469</v>
      </c>
      <c r="Q138">
        <v>0</v>
      </c>
      <c r="R138">
        <v>0</v>
      </c>
      <c r="S138">
        <v>0</v>
      </c>
      <c r="T138">
        <v>0</v>
      </c>
      <c r="U138">
        <v>0</v>
      </c>
      <c r="V138">
        <v>0</v>
      </c>
      <c r="W138">
        <v>0</v>
      </c>
      <c r="X138">
        <v>0</v>
      </c>
      <c r="Y138">
        <v>12</v>
      </c>
      <c r="Z138">
        <v>18</v>
      </c>
      <c r="AA138">
        <v>9</v>
      </c>
      <c r="AB138">
        <v>7</v>
      </c>
      <c r="AC138">
        <v>12</v>
      </c>
      <c r="AD138">
        <v>10</v>
      </c>
      <c r="AE138">
        <v>6</v>
      </c>
      <c r="AF138">
        <v>3</v>
      </c>
      <c r="AG138">
        <v>0</v>
      </c>
      <c r="AH138">
        <v>0</v>
      </c>
      <c r="AI138">
        <v>0</v>
      </c>
      <c r="AJ138">
        <v>0</v>
      </c>
    </row>
    <row r="139" spans="1:36" x14ac:dyDescent="0.3">
      <c r="A139" t="s">
        <v>187</v>
      </c>
      <c r="B139" s="293">
        <v>45988</v>
      </c>
      <c r="C139" t="s">
        <v>1374</v>
      </c>
      <c r="D139" t="s">
        <v>1400</v>
      </c>
      <c r="E139" t="s">
        <v>1370</v>
      </c>
      <c r="F139" t="s">
        <v>189</v>
      </c>
      <c r="G139">
        <v>0.49719999999999998</v>
      </c>
      <c r="H139">
        <v>179</v>
      </c>
      <c r="I139">
        <v>89</v>
      </c>
      <c r="J139">
        <v>0</v>
      </c>
      <c r="K139" t="s">
        <v>190</v>
      </c>
      <c r="L139" s="293">
        <v>45980</v>
      </c>
      <c r="M139">
        <v>1</v>
      </c>
      <c r="N139">
        <v>11</v>
      </c>
      <c r="O139">
        <v>25</v>
      </c>
      <c r="P139" t="s">
        <v>205</v>
      </c>
      <c r="Q139">
        <v>0</v>
      </c>
      <c r="R139">
        <v>0</v>
      </c>
      <c r="S139">
        <v>0</v>
      </c>
      <c r="T139">
        <v>0</v>
      </c>
      <c r="U139">
        <v>0</v>
      </c>
      <c r="V139">
        <v>0</v>
      </c>
      <c r="W139">
        <v>0</v>
      </c>
      <c r="X139">
        <v>0</v>
      </c>
      <c r="Y139">
        <v>0</v>
      </c>
      <c r="Z139">
        <v>0</v>
      </c>
      <c r="AA139">
        <v>0</v>
      </c>
      <c r="AB139">
        <v>9</v>
      </c>
      <c r="AC139">
        <v>10</v>
      </c>
      <c r="AD139">
        <v>10</v>
      </c>
      <c r="AE139">
        <v>20</v>
      </c>
      <c r="AF139">
        <v>40</v>
      </c>
      <c r="AG139">
        <v>0</v>
      </c>
      <c r="AH139">
        <v>0</v>
      </c>
      <c r="AI139">
        <v>0</v>
      </c>
      <c r="AJ139">
        <v>0</v>
      </c>
    </row>
    <row r="140" spans="1:36" x14ac:dyDescent="0.3">
      <c r="A140" t="s">
        <v>187</v>
      </c>
      <c r="B140" s="293">
        <v>45988</v>
      </c>
      <c r="C140" t="s">
        <v>1460</v>
      </c>
      <c r="D140" t="s">
        <v>615</v>
      </c>
      <c r="E140" t="s">
        <v>1457</v>
      </c>
      <c r="F140" t="s">
        <v>189</v>
      </c>
      <c r="G140">
        <v>1</v>
      </c>
      <c r="H140">
        <v>179</v>
      </c>
      <c r="I140">
        <v>179</v>
      </c>
      <c r="J140">
        <v>135</v>
      </c>
      <c r="K140" t="s">
        <v>190</v>
      </c>
      <c r="L140" s="293">
        <v>45975</v>
      </c>
      <c r="M140">
        <v>0</v>
      </c>
      <c r="N140">
        <v>0</v>
      </c>
      <c r="O140">
        <v>1</v>
      </c>
      <c r="P140" t="s">
        <v>81</v>
      </c>
      <c r="Q140">
        <v>0</v>
      </c>
      <c r="R140">
        <v>0</v>
      </c>
      <c r="S140">
        <v>0</v>
      </c>
      <c r="T140">
        <v>0</v>
      </c>
      <c r="U140">
        <v>1</v>
      </c>
      <c r="V140">
        <v>0</v>
      </c>
      <c r="W140">
        <v>1</v>
      </c>
      <c r="X140">
        <v>6</v>
      </c>
      <c r="Y140">
        <v>18</v>
      </c>
      <c r="Z140">
        <v>10</v>
      </c>
      <c r="AA140">
        <v>2</v>
      </c>
      <c r="AB140">
        <v>4</v>
      </c>
      <c r="AC140">
        <v>2</v>
      </c>
      <c r="AD140">
        <v>0</v>
      </c>
      <c r="AE140">
        <v>0</v>
      </c>
      <c r="AF140">
        <v>0</v>
      </c>
      <c r="AG140">
        <v>0</v>
      </c>
      <c r="AH140">
        <v>0</v>
      </c>
      <c r="AI140">
        <v>135</v>
      </c>
      <c r="AJ140">
        <v>0</v>
      </c>
    </row>
    <row r="141" spans="1:36" x14ac:dyDescent="0.3">
      <c r="A141" t="s">
        <v>187</v>
      </c>
      <c r="B141" s="293">
        <v>45988</v>
      </c>
      <c r="C141" t="s">
        <v>761</v>
      </c>
      <c r="D141" t="s">
        <v>862</v>
      </c>
      <c r="E141" t="s">
        <v>754</v>
      </c>
      <c r="F141" t="s">
        <v>189</v>
      </c>
      <c r="G141">
        <v>0.99439999999999995</v>
      </c>
      <c r="H141">
        <v>180</v>
      </c>
      <c r="I141">
        <v>179</v>
      </c>
      <c r="J141">
        <v>127</v>
      </c>
      <c r="K141" t="s">
        <v>190</v>
      </c>
      <c r="L141" s="293">
        <v>45979</v>
      </c>
      <c r="M141">
        <v>0</v>
      </c>
      <c r="N141">
        <v>9</v>
      </c>
      <c r="O141">
        <v>18</v>
      </c>
      <c r="P141" t="s">
        <v>81</v>
      </c>
      <c r="Q141">
        <v>0</v>
      </c>
      <c r="R141">
        <v>0</v>
      </c>
      <c r="S141">
        <v>0</v>
      </c>
      <c r="T141">
        <v>0</v>
      </c>
      <c r="U141">
        <v>0</v>
      </c>
      <c r="V141">
        <v>0</v>
      </c>
      <c r="W141">
        <v>0</v>
      </c>
      <c r="X141">
        <v>0</v>
      </c>
      <c r="Y141">
        <v>0</v>
      </c>
      <c r="Z141">
        <v>12</v>
      </c>
      <c r="AA141">
        <v>10</v>
      </c>
      <c r="AB141">
        <v>5</v>
      </c>
      <c r="AC141">
        <v>5</v>
      </c>
      <c r="AD141">
        <v>5</v>
      </c>
      <c r="AE141">
        <v>5</v>
      </c>
      <c r="AF141">
        <v>5</v>
      </c>
      <c r="AG141">
        <v>0</v>
      </c>
      <c r="AH141">
        <v>0</v>
      </c>
      <c r="AI141">
        <v>127</v>
      </c>
      <c r="AJ141">
        <v>5</v>
      </c>
    </row>
    <row r="142" spans="1:36" x14ac:dyDescent="0.3">
      <c r="A142" t="s">
        <v>187</v>
      </c>
      <c r="B142" s="293">
        <v>45988</v>
      </c>
      <c r="C142" t="s">
        <v>249</v>
      </c>
      <c r="D142" t="s">
        <v>276</v>
      </c>
      <c r="E142" t="s">
        <v>246</v>
      </c>
      <c r="F142" t="s">
        <v>189</v>
      </c>
      <c r="G142">
        <v>1</v>
      </c>
      <c r="H142">
        <v>180</v>
      </c>
      <c r="I142">
        <v>180</v>
      </c>
      <c r="J142">
        <v>166</v>
      </c>
      <c r="K142" t="s">
        <v>190</v>
      </c>
      <c r="L142" s="293">
        <v>45980</v>
      </c>
      <c r="M142">
        <v>1</v>
      </c>
      <c r="N142">
        <v>0</v>
      </c>
      <c r="O142">
        <v>1</v>
      </c>
      <c r="P142" t="s">
        <v>81</v>
      </c>
      <c r="Q142">
        <v>0</v>
      </c>
      <c r="R142">
        <v>0</v>
      </c>
      <c r="S142">
        <v>0</v>
      </c>
      <c r="T142">
        <v>0</v>
      </c>
      <c r="U142">
        <v>0</v>
      </c>
      <c r="V142">
        <v>0</v>
      </c>
      <c r="W142">
        <v>0</v>
      </c>
      <c r="X142">
        <v>0</v>
      </c>
      <c r="Y142">
        <v>3</v>
      </c>
      <c r="Z142">
        <v>0</v>
      </c>
      <c r="AA142">
        <v>0</v>
      </c>
      <c r="AB142">
        <v>0</v>
      </c>
      <c r="AC142">
        <v>3</v>
      </c>
      <c r="AD142">
        <v>0</v>
      </c>
      <c r="AE142">
        <v>0</v>
      </c>
      <c r="AF142">
        <v>8</v>
      </c>
      <c r="AG142">
        <v>0</v>
      </c>
      <c r="AH142">
        <v>0</v>
      </c>
      <c r="AI142">
        <v>166</v>
      </c>
      <c r="AJ142">
        <v>0</v>
      </c>
    </row>
    <row r="143" spans="1:36" x14ac:dyDescent="0.3">
      <c r="A143" t="s">
        <v>606</v>
      </c>
      <c r="B143" s="293">
        <v>45989</v>
      </c>
      <c r="C143" t="s">
        <v>1540</v>
      </c>
      <c r="D143" t="s">
        <v>1544</v>
      </c>
      <c r="E143" t="s">
        <v>1537</v>
      </c>
      <c r="F143" t="s">
        <v>189</v>
      </c>
      <c r="G143">
        <v>0.87709999999999999</v>
      </c>
      <c r="H143">
        <v>179</v>
      </c>
      <c r="I143">
        <v>157</v>
      </c>
      <c r="J143">
        <v>0</v>
      </c>
      <c r="K143" t="s">
        <v>190</v>
      </c>
      <c r="L143" s="293">
        <v>45980</v>
      </c>
      <c r="M143">
        <v>3</v>
      </c>
      <c r="N143">
        <v>16</v>
      </c>
      <c r="O143">
        <v>70</v>
      </c>
      <c r="P143" t="s">
        <v>381</v>
      </c>
      <c r="Q143">
        <v>0</v>
      </c>
      <c r="R143">
        <v>0</v>
      </c>
      <c r="S143">
        <v>0</v>
      </c>
      <c r="T143">
        <v>0</v>
      </c>
      <c r="U143">
        <v>0</v>
      </c>
      <c r="V143">
        <v>0</v>
      </c>
      <c r="W143">
        <v>0</v>
      </c>
      <c r="X143">
        <v>0</v>
      </c>
      <c r="Y143">
        <v>7</v>
      </c>
      <c r="Z143">
        <v>20</v>
      </c>
      <c r="AA143">
        <v>20</v>
      </c>
      <c r="AB143">
        <v>38</v>
      </c>
      <c r="AC143">
        <v>18</v>
      </c>
      <c r="AD143">
        <v>27</v>
      </c>
      <c r="AE143">
        <v>27</v>
      </c>
      <c r="AF143">
        <v>0</v>
      </c>
      <c r="AG143">
        <v>0</v>
      </c>
      <c r="AH143">
        <v>0</v>
      </c>
      <c r="AI143">
        <v>0</v>
      </c>
      <c r="AJ143">
        <v>0</v>
      </c>
    </row>
    <row r="144" spans="1:36" x14ac:dyDescent="0.3">
      <c r="A144" t="s">
        <v>606</v>
      </c>
      <c r="B144" s="293">
        <v>45989</v>
      </c>
      <c r="C144" t="s">
        <v>1449</v>
      </c>
      <c r="D144" t="s">
        <v>276</v>
      </c>
      <c r="E144" t="s">
        <v>1446</v>
      </c>
      <c r="F144" t="s">
        <v>189</v>
      </c>
      <c r="G144">
        <v>0.43580000000000002</v>
      </c>
      <c r="H144">
        <v>179</v>
      </c>
      <c r="I144">
        <v>78</v>
      </c>
      <c r="J144">
        <v>0</v>
      </c>
      <c r="K144" t="s">
        <v>190</v>
      </c>
      <c r="L144" s="293">
        <v>45980</v>
      </c>
      <c r="M144">
        <v>1</v>
      </c>
      <c r="N144">
        <v>10</v>
      </c>
      <c r="O144">
        <v>40</v>
      </c>
      <c r="P144" t="s">
        <v>219</v>
      </c>
      <c r="Q144">
        <v>0</v>
      </c>
      <c r="R144">
        <v>0</v>
      </c>
      <c r="S144">
        <v>0</v>
      </c>
      <c r="T144">
        <v>0</v>
      </c>
      <c r="U144">
        <v>0</v>
      </c>
      <c r="V144">
        <v>0</v>
      </c>
      <c r="W144">
        <v>0</v>
      </c>
      <c r="X144">
        <v>0</v>
      </c>
      <c r="Y144">
        <v>0</v>
      </c>
      <c r="Z144">
        <v>0</v>
      </c>
      <c r="AA144">
        <v>0</v>
      </c>
      <c r="AB144">
        <v>0</v>
      </c>
      <c r="AC144">
        <v>3</v>
      </c>
      <c r="AD144">
        <v>11</v>
      </c>
      <c r="AE144">
        <v>20</v>
      </c>
      <c r="AF144">
        <v>44</v>
      </c>
      <c r="AG144">
        <v>0</v>
      </c>
      <c r="AH144">
        <v>0</v>
      </c>
      <c r="AI144">
        <v>0</v>
      </c>
      <c r="AJ144">
        <v>0</v>
      </c>
    </row>
    <row r="145" spans="1:36" x14ac:dyDescent="0.3">
      <c r="A145" t="s">
        <v>606</v>
      </c>
      <c r="B145" s="293">
        <v>45989</v>
      </c>
      <c r="C145" t="s">
        <v>1350</v>
      </c>
      <c r="D145" t="s">
        <v>1362</v>
      </c>
      <c r="E145" t="s">
        <v>1349</v>
      </c>
      <c r="F145" t="s">
        <v>189</v>
      </c>
      <c r="G145">
        <v>0.82220000000000004</v>
      </c>
      <c r="H145">
        <v>180</v>
      </c>
      <c r="I145">
        <v>148</v>
      </c>
      <c r="J145">
        <v>0</v>
      </c>
      <c r="K145" t="s">
        <v>190</v>
      </c>
      <c r="L145" s="293">
        <v>45980</v>
      </c>
      <c r="M145">
        <v>7</v>
      </c>
      <c r="N145">
        <v>11</v>
      </c>
      <c r="O145">
        <v>48</v>
      </c>
      <c r="P145" t="s">
        <v>1359</v>
      </c>
      <c r="Q145">
        <v>2</v>
      </c>
      <c r="R145">
        <v>0</v>
      </c>
      <c r="S145">
        <v>0</v>
      </c>
      <c r="T145">
        <v>0</v>
      </c>
      <c r="U145">
        <v>1</v>
      </c>
      <c r="V145">
        <v>5</v>
      </c>
      <c r="W145">
        <v>10</v>
      </c>
      <c r="X145">
        <v>15</v>
      </c>
      <c r="Y145">
        <v>30</v>
      </c>
      <c r="Z145">
        <v>16</v>
      </c>
      <c r="AA145">
        <v>19</v>
      </c>
      <c r="AB145">
        <v>20</v>
      </c>
      <c r="AC145">
        <v>20</v>
      </c>
      <c r="AD145">
        <v>5</v>
      </c>
      <c r="AE145">
        <v>4</v>
      </c>
      <c r="AF145">
        <v>1</v>
      </c>
      <c r="AG145">
        <v>0</v>
      </c>
      <c r="AH145">
        <v>0</v>
      </c>
      <c r="AI145">
        <v>0</v>
      </c>
      <c r="AJ145">
        <v>0</v>
      </c>
    </row>
    <row r="146" spans="1:36" x14ac:dyDescent="0.3">
      <c r="A146" t="s">
        <v>606</v>
      </c>
      <c r="B146" s="293">
        <v>45989</v>
      </c>
      <c r="C146" t="s">
        <v>902</v>
      </c>
      <c r="D146" t="s">
        <v>808</v>
      </c>
      <c r="E146" t="s">
        <v>891</v>
      </c>
      <c r="F146" t="s">
        <v>189</v>
      </c>
      <c r="G146">
        <v>0.39439999999999997</v>
      </c>
      <c r="H146">
        <v>180</v>
      </c>
      <c r="I146">
        <v>71</v>
      </c>
      <c r="J146">
        <v>0</v>
      </c>
      <c r="K146" t="s">
        <v>190</v>
      </c>
      <c r="L146" s="293">
        <v>45980</v>
      </c>
      <c r="M146">
        <v>3</v>
      </c>
      <c r="N146">
        <v>11</v>
      </c>
      <c r="O146">
        <v>51</v>
      </c>
      <c r="P146" t="s">
        <v>422</v>
      </c>
      <c r="Q146">
        <v>0</v>
      </c>
      <c r="R146">
        <v>0</v>
      </c>
      <c r="S146">
        <v>0</v>
      </c>
      <c r="T146">
        <v>0</v>
      </c>
      <c r="U146">
        <v>0</v>
      </c>
      <c r="V146">
        <v>0</v>
      </c>
      <c r="W146">
        <v>0</v>
      </c>
      <c r="X146">
        <v>0</v>
      </c>
      <c r="Y146">
        <v>0</v>
      </c>
      <c r="Z146">
        <v>7</v>
      </c>
      <c r="AA146">
        <v>9</v>
      </c>
      <c r="AB146">
        <v>7</v>
      </c>
      <c r="AC146">
        <v>46</v>
      </c>
      <c r="AD146">
        <v>1</v>
      </c>
      <c r="AE146">
        <v>1</v>
      </c>
      <c r="AF146">
        <v>0</v>
      </c>
      <c r="AG146">
        <v>0</v>
      </c>
      <c r="AH146">
        <v>0</v>
      </c>
      <c r="AI146">
        <v>0</v>
      </c>
      <c r="AJ146">
        <v>0</v>
      </c>
    </row>
    <row r="147" spans="1:36" x14ac:dyDescent="0.3">
      <c r="A147" t="s">
        <v>606</v>
      </c>
      <c r="B147" s="293">
        <v>45989</v>
      </c>
      <c r="C147" t="s">
        <v>1409</v>
      </c>
      <c r="D147" t="s">
        <v>1416</v>
      </c>
      <c r="E147" t="s">
        <v>1406</v>
      </c>
      <c r="F147" t="s">
        <v>189</v>
      </c>
      <c r="G147">
        <v>0.32400000000000001</v>
      </c>
      <c r="H147">
        <v>179</v>
      </c>
      <c r="I147">
        <v>58</v>
      </c>
      <c r="J147">
        <v>0</v>
      </c>
      <c r="K147" t="s">
        <v>190</v>
      </c>
      <c r="L147" s="293">
        <v>45979</v>
      </c>
      <c r="M147">
        <v>0</v>
      </c>
      <c r="N147">
        <v>12</v>
      </c>
      <c r="O147">
        <v>23</v>
      </c>
      <c r="P147" t="s">
        <v>951</v>
      </c>
      <c r="Q147">
        <v>0</v>
      </c>
      <c r="R147">
        <v>0</v>
      </c>
      <c r="S147">
        <v>0</v>
      </c>
      <c r="T147">
        <v>0</v>
      </c>
      <c r="U147">
        <v>0</v>
      </c>
      <c r="V147">
        <v>0</v>
      </c>
      <c r="W147">
        <v>0</v>
      </c>
      <c r="X147">
        <v>0</v>
      </c>
      <c r="Y147">
        <v>0</v>
      </c>
      <c r="Z147">
        <v>0</v>
      </c>
      <c r="AA147">
        <v>0</v>
      </c>
      <c r="AB147">
        <v>0</v>
      </c>
      <c r="AC147">
        <v>0</v>
      </c>
      <c r="AD147">
        <v>1</v>
      </c>
      <c r="AE147">
        <v>9</v>
      </c>
      <c r="AF147">
        <v>48</v>
      </c>
      <c r="AG147">
        <v>0</v>
      </c>
      <c r="AH147">
        <v>0</v>
      </c>
      <c r="AI147">
        <v>0</v>
      </c>
      <c r="AJ147">
        <v>0</v>
      </c>
    </row>
    <row r="148" spans="1:36" x14ac:dyDescent="0.3">
      <c r="A148" t="s">
        <v>606</v>
      </c>
      <c r="B148" s="293">
        <v>45989</v>
      </c>
      <c r="C148" t="s">
        <v>1283</v>
      </c>
      <c r="D148" t="s">
        <v>188</v>
      </c>
      <c r="E148" t="s">
        <v>1264</v>
      </c>
      <c r="F148" t="s">
        <v>189</v>
      </c>
      <c r="G148">
        <v>0.69350000000000001</v>
      </c>
      <c r="H148">
        <v>186</v>
      </c>
      <c r="I148">
        <v>129</v>
      </c>
      <c r="J148">
        <v>0</v>
      </c>
      <c r="K148" t="s">
        <v>190</v>
      </c>
      <c r="L148" s="293">
        <v>45979</v>
      </c>
      <c r="M148">
        <v>0</v>
      </c>
      <c r="N148">
        <v>3</v>
      </c>
      <c r="O148">
        <v>15</v>
      </c>
      <c r="P148" t="s">
        <v>1166</v>
      </c>
      <c r="Q148">
        <v>0</v>
      </c>
      <c r="R148">
        <v>0</v>
      </c>
      <c r="S148">
        <v>4</v>
      </c>
      <c r="T148">
        <v>11</v>
      </c>
      <c r="U148">
        <v>3</v>
      </c>
      <c r="V148">
        <v>16</v>
      </c>
      <c r="W148">
        <v>7</v>
      </c>
      <c r="X148">
        <v>11</v>
      </c>
      <c r="Y148">
        <v>27</v>
      </c>
      <c r="Z148">
        <v>13</v>
      </c>
      <c r="AA148">
        <v>12</v>
      </c>
      <c r="AB148">
        <v>8</v>
      </c>
      <c r="AC148">
        <v>5</v>
      </c>
      <c r="AD148">
        <v>3</v>
      </c>
      <c r="AE148">
        <v>5</v>
      </c>
      <c r="AF148">
        <v>4</v>
      </c>
      <c r="AG148">
        <v>0</v>
      </c>
      <c r="AH148">
        <v>0</v>
      </c>
      <c r="AI148">
        <v>0</v>
      </c>
      <c r="AJ148">
        <v>0</v>
      </c>
    </row>
    <row r="149" spans="1:36" x14ac:dyDescent="0.3">
      <c r="A149" t="s">
        <v>606</v>
      </c>
      <c r="B149" s="293">
        <v>45989</v>
      </c>
      <c r="C149" t="s">
        <v>1554</v>
      </c>
      <c r="D149" t="s">
        <v>651</v>
      </c>
      <c r="E149" t="s">
        <v>1551</v>
      </c>
      <c r="F149" t="s">
        <v>189</v>
      </c>
      <c r="G149">
        <v>0.67600000000000005</v>
      </c>
      <c r="H149">
        <v>179</v>
      </c>
      <c r="I149">
        <v>121</v>
      </c>
      <c r="J149">
        <v>0</v>
      </c>
      <c r="K149" t="s">
        <v>190</v>
      </c>
      <c r="L149" s="293">
        <v>45979</v>
      </c>
      <c r="M149">
        <v>0</v>
      </c>
      <c r="N149">
        <v>8</v>
      </c>
      <c r="O149">
        <v>16</v>
      </c>
      <c r="P149" t="s">
        <v>1587</v>
      </c>
      <c r="Q149">
        <v>0</v>
      </c>
      <c r="R149">
        <v>0</v>
      </c>
      <c r="S149">
        <v>1</v>
      </c>
      <c r="T149">
        <v>38</v>
      </c>
      <c r="U149">
        <v>0</v>
      </c>
      <c r="V149">
        <v>9</v>
      </c>
      <c r="W149">
        <v>7</v>
      </c>
      <c r="X149">
        <v>9</v>
      </c>
      <c r="Y149">
        <v>11</v>
      </c>
      <c r="Z149">
        <v>8</v>
      </c>
      <c r="AA149">
        <v>5</v>
      </c>
      <c r="AB149">
        <v>6</v>
      </c>
      <c r="AC149">
        <v>7</v>
      </c>
      <c r="AD149">
        <v>9</v>
      </c>
      <c r="AE149">
        <v>11</v>
      </c>
      <c r="AF149">
        <v>0</v>
      </c>
      <c r="AG149">
        <v>0</v>
      </c>
      <c r="AH149">
        <v>0</v>
      </c>
      <c r="AI149">
        <v>0</v>
      </c>
      <c r="AJ149">
        <v>0</v>
      </c>
    </row>
    <row r="150" spans="1:36" x14ac:dyDescent="0.3">
      <c r="A150" t="s">
        <v>606</v>
      </c>
      <c r="B150" s="293">
        <v>45989</v>
      </c>
      <c r="C150" t="s">
        <v>421</v>
      </c>
      <c r="D150" t="s">
        <v>622</v>
      </c>
      <c r="E150" t="s">
        <v>335</v>
      </c>
      <c r="F150" t="s">
        <v>189</v>
      </c>
      <c r="G150">
        <v>0.99439999999999995</v>
      </c>
      <c r="H150">
        <v>180</v>
      </c>
      <c r="I150">
        <v>179</v>
      </c>
      <c r="J150">
        <v>0</v>
      </c>
      <c r="K150" t="s">
        <v>190</v>
      </c>
      <c r="L150" s="293">
        <v>45980</v>
      </c>
      <c r="M150">
        <v>2</v>
      </c>
      <c r="N150">
        <v>7</v>
      </c>
      <c r="O150">
        <v>43</v>
      </c>
      <c r="P150" t="s">
        <v>542</v>
      </c>
      <c r="Q150">
        <v>0</v>
      </c>
      <c r="R150">
        <v>0</v>
      </c>
      <c r="S150">
        <v>0</v>
      </c>
      <c r="T150">
        <v>0</v>
      </c>
      <c r="U150">
        <v>0</v>
      </c>
      <c r="V150">
        <v>26</v>
      </c>
      <c r="W150">
        <v>29</v>
      </c>
      <c r="X150">
        <v>26</v>
      </c>
      <c r="Y150">
        <v>10</v>
      </c>
      <c r="Z150">
        <v>12</v>
      </c>
      <c r="AA150">
        <v>21</v>
      </c>
      <c r="AB150">
        <v>13</v>
      </c>
      <c r="AC150">
        <v>9</v>
      </c>
      <c r="AD150">
        <v>12</v>
      </c>
      <c r="AE150">
        <v>11</v>
      </c>
      <c r="AF150">
        <v>10</v>
      </c>
      <c r="AG150">
        <v>0</v>
      </c>
      <c r="AH150">
        <v>0</v>
      </c>
      <c r="AI150">
        <v>0</v>
      </c>
      <c r="AJ150">
        <v>0</v>
      </c>
    </row>
    <row r="151" spans="1:36" x14ac:dyDescent="0.3">
      <c r="A151" t="s">
        <v>606</v>
      </c>
      <c r="B151" s="293">
        <v>45989</v>
      </c>
      <c r="C151" t="s">
        <v>428</v>
      </c>
      <c r="D151" t="s">
        <v>617</v>
      </c>
      <c r="E151" t="s">
        <v>335</v>
      </c>
      <c r="F151" t="s">
        <v>189</v>
      </c>
      <c r="G151">
        <v>0.75560000000000005</v>
      </c>
      <c r="H151">
        <v>180</v>
      </c>
      <c r="I151">
        <v>136</v>
      </c>
      <c r="J151">
        <v>0</v>
      </c>
      <c r="K151" t="s">
        <v>190</v>
      </c>
      <c r="L151" s="293">
        <v>45979</v>
      </c>
      <c r="M151">
        <v>0</v>
      </c>
      <c r="N151">
        <v>1</v>
      </c>
      <c r="O151">
        <v>19</v>
      </c>
      <c r="P151" t="s">
        <v>538</v>
      </c>
      <c r="Q151">
        <v>0</v>
      </c>
      <c r="R151">
        <v>0</v>
      </c>
      <c r="S151">
        <v>0</v>
      </c>
      <c r="T151">
        <v>0</v>
      </c>
      <c r="U151">
        <v>0</v>
      </c>
      <c r="V151">
        <v>2</v>
      </c>
      <c r="W151">
        <v>15</v>
      </c>
      <c r="X151">
        <v>22</v>
      </c>
      <c r="Y151">
        <v>11</v>
      </c>
      <c r="Z151">
        <v>11</v>
      </c>
      <c r="AA151">
        <v>11</v>
      </c>
      <c r="AB151">
        <v>10</v>
      </c>
      <c r="AC151">
        <v>22</v>
      </c>
      <c r="AD151">
        <v>11</v>
      </c>
      <c r="AE151">
        <v>11</v>
      </c>
      <c r="AF151">
        <v>10</v>
      </c>
      <c r="AG151">
        <v>0</v>
      </c>
      <c r="AH151">
        <v>0</v>
      </c>
      <c r="AI151">
        <v>0</v>
      </c>
      <c r="AJ151">
        <v>0</v>
      </c>
    </row>
    <row r="152" spans="1:36" x14ac:dyDescent="0.3">
      <c r="A152" t="s">
        <v>606</v>
      </c>
      <c r="B152" s="293">
        <v>45989</v>
      </c>
      <c r="C152" t="s">
        <v>375</v>
      </c>
      <c r="D152" t="s">
        <v>607</v>
      </c>
      <c r="E152" t="s">
        <v>335</v>
      </c>
      <c r="F152" t="s">
        <v>189</v>
      </c>
      <c r="G152">
        <v>0.96109999999999995</v>
      </c>
      <c r="H152">
        <v>180</v>
      </c>
      <c r="I152">
        <v>173</v>
      </c>
      <c r="J152">
        <v>30</v>
      </c>
      <c r="K152" t="s">
        <v>190</v>
      </c>
      <c r="L152" s="293">
        <v>45979</v>
      </c>
      <c r="M152">
        <v>0</v>
      </c>
      <c r="N152">
        <v>3</v>
      </c>
      <c r="O152">
        <v>27</v>
      </c>
      <c r="P152" t="s">
        <v>103</v>
      </c>
      <c r="Q152">
        <v>0</v>
      </c>
      <c r="R152">
        <v>0</v>
      </c>
      <c r="S152">
        <v>0</v>
      </c>
      <c r="T152">
        <v>0</v>
      </c>
      <c r="U152">
        <v>0</v>
      </c>
      <c r="V152">
        <v>8</v>
      </c>
      <c r="W152">
        <v>10</v>
      </c>
      <c r="X152">
        <v>24</v>
      </c>
      <c r="Y152">
        <v>11</v>
      </c>
      <c r="Z152">
        <v>14</v>
      </c>
      <c r="AA152">
        <v>11</v>
      </c>
      <c r="AB152">
        <v>9</v>
      </c>
      <c r="AC152">
        <v>11</v>
      </c>
      <c r="AD152">
        <v>23</v>
      </c>
      <c r="AE152">
        <v>11</v>
      </c>
      <c r="AF152">
        <v>10</v>
      </c>
      <c r="AG152">
        <v>0</v>
      </c>
      <c r="AH152">
        <v>0</v>
      </c>
      <c r="AI152">
        <v>30</v>
      </c>
      <c r="AJ152">
        <v>1</v>
      </c>
    </row>
    <row r="153" spans="1:36" x14ac:dyDescent="0.3">
      <c r="A153" t="s">
        <v>606</v>
      </c>
      <c r="B153" s="293">
        <v>45989</v>
      </c>
      <c r="C153" t="s">
        <v>383</v>
      </c>
      <c r="D153" t="s">
        <v>611</v>
      </c>
      <c r="E153" t="s">
        <v>335</v>
      </c>
      <c r="F153" t="s">
        <v>189</v>
      </c>
      <c r="G153">
        <v>0.75</v>
      </c>
      <c r="H153">
        <v>180</v>
      </c>
      <c r="I153">
        <v>135</v>
      </c>
      <c r="J153">
        <v>0</v>
      </c>
      <c r="K153" t="s">
        <v>190</v>
      </c>
      <c r="L153" s="293">
        <v>45979</v>
      </c>
      <c r="M153">
        <v>0</v>
      </c>
      <c r="N153">
        <v>2</v>
      </c>
      <c r="O153">
        <v>20</v>
      </c>
      <c r="P153" t="s">
        <v>128</v>
      </c>
      <c r="Q153">
        <v>0</v>
      </c>
      <c r="R153">
        <v>0</v>
      </c>
      <c r="S153">
        <v>0</v>
      </c>
      <c r="T153">
        <v>0</v>
      </c>
      <c r="U153">
        <v>0</v>
      </c>
      <c r="V153">
        <v>0</v>
      </c>
      <c r="W153">
        <v>5</v>
      </c>
      <c r="X153">
        <v>19</v>
      </c>
      <c r="Y153">
        <v>22</v>
      </c>
      <c r="Z153">
        <v>11</v>
      </c>
      <c r="AA153">
        <v>12</v>
      </c>
      <c r="AB153">
        <v>11</v>
      </c>
      <c r="AC153">
        <v>11</v>
      </c>
      <c r="AD153">
        <v>12</v>
      </c>
      <c r="AE153">
        <v>22</v>
      </c>
      <c r="AF153">
        <v>10</v>
      </c>
      <c r="AG153">
        <v>0</v>
      </c>
      <c r="AH153">
        <v>0</v>
      </c>
      <c r="AI153">
        <v>0</v>
      </c>
      <c r="AJ153">
        <v>0</v>
      </c>
    </row>
    <row r="154" spans="1:36" x14ac:dyDescent="0.3">
      <c r="A154" t="s">
        <v>606</v>
      </c>
      <c r="B154" s="293">
        <v>45989</v>
      </c>
      <c r="C154" t="s">
        <v>363</v>
      </c>
      <c r="D154" t="s">
        <v>615</v>
      </c>
      <c r="E154" t="s">
        <v>335</v>
      </c>
      <c r="F154" t="s">
        <v>189</v>
      </c>
      <c r="G154">
        <v>0.87780000000000002</v>
      </c>
      <c r="H154">
        <v>180</v>
      </c>
      <c r="I154">
        <v>158</v>
      </c>
      <c r="J154">
        <v>45</v>
      </c>
      <c r="K154" t="s">
        <v>190</v>
      </c>
      <c r="L154" s="293">
        <v>45978</v>
      </c>
      <c r="M154">
        <v>0</v>
      </c>
      <c r="N154">
        <v>0</v>
      </c>
      <c r="O154">
        <v>25</v>
      </c>
      <c r="P154" t="s">
        <v>538</v>
      </c>
      <c r="Q154">
        <v>0</v>
      </c>
      <c r="R154">
        <v>0</v>
      </c>
      <c r="S154">
        <v>0</v>
      </c>
      <c r="T154">
        <v>0</v>
      </c>
      <c r="U154">
        <v>0</v>
      </c>
      <c r="V154">
        <v>3</v>
      </c>
      <c r="W154">
        <v>16</v>
      </c>
      <c r="X154">
        <v>17</v>
      </c>
      <c r="Y154">
        <v>8</v>
      </c>
      <c r="Z154">
        <v>9</v>
      </c>
      <c r="AA154">
        <v>9</v>
      </c>
      <c r="AB154">
        <v>9</v>
      </c>
      <c r="AC154">
        <v>9</v>
      </c>
      <c r="AD154">
        <v>8</v>
      </c>
      <c r="AE154">
        <v>8</v>
      </c>
      <c r="AF154">
        <v>17</v>
      </c>
      <c r="AG154">
        <v>0</v>
      </c>
      <c r="AH154">
        <v>0</v>
      </c>
      <c r="AI154">
        <v>45</v>
      </c>
      <c r="AJ154">
        <v>0</v>
      </c>
    </row>
    <row r="155" spans="1:36" x14ac:dyDescent="0.3">
      <c r="A155" t="s">
        <v>606</v>
      </c>
      <c r="B155" s="293">
        <v>45989</v>
      </c>
      <c r="C155" t="s">
        <v>1054</v>
      </c>
      <c r="D155" t="s">
        <v>590</v>
      </c>
      <c r="E155" t="s">
        <v>1016</v>
      </c>
      <c r="F155" t="s">
        <v>189</v>
      </c>
      <c r="G155">
        <v>0.58099999999999996</v>
      </c>
      <c r="H155">
        <v>179</v>
      </c>
      <c r="I155">
        <v>104</v>
      </c>
      <c r="J155">
        <v>0</v>
      </c>
      <c r="K155" t="s">
        <v>190</v>
      </c>
      <c r="L155" s="293">
        <v>45980</v>
      </c>
      <c r="M155">
        <v>1</v>
      </c>
      <c r="N155">
        <v>0</v>
      </c>
      <c r="O155">
        <v>11</v>
      </c>
      <c r="P155" t="s">
        <v>1151</v>
      </c>
      <c r="Q155">
        <v>0</v>
      </c>
      <c r="R155">
        <v>0</v>
      </c>
      <c r="S155">
        <v>0</v>
      </c>
      <c r="T155">
        <v>0</v>
      </c>
      <c r="U155">
        <v>1</v>
      </c>
      <c r="V155">
        <v>22</v>
      </c>
      <c r="W155">
        <v>7</v>
      </c>
      <c r="X155">
        <v>9</v>
      </c>
      <c r="Y155">
        <v>12</v>
      </c>
      <c r="Z155">
        <v>15</v>
      </c>
      <c r="AA155">
        <v>8</v>
      </c>
      <c r="AB155">
        <v>6</v>
      </c>
      <c r="AC155">
        <v>4</v>
      </c>
      <c r="AD155">
        <v>9</v>
      </c>
      <c r="AE155">
        <v>5</v>
      </c>
      <c r="AF155">
        <v>6</v>
      </c>
      <c r="AG155">
        <v>0</v>
      </c>
      <c r="AH155">
        <v>0</v>
      </c>
      <c r="AI155">
        <v>0</v>
      </c>
      <c r="AJ155">
        <v>0</v>
      </c>
    </row>
    <row r="156" spans="1:36" x14ac:dyDescent="0.3">
      <c r="A156" t="s">
        <v>606</v>
      </c>
      <c r="B156" s="293">
        <v>45989</v>
      </c>
      <c r="C156" t="s">
        <v>1086</v>
      </c>
      <c r="D156" t="s">
        <v>1180</v>
      </c>
      <c r="E156" t="s">
        <v>1016</v>
      </c>
      <c r="F156" t="s">
        <v>189</v>
      </c>
      <c r="G156">
        <v>0.53069999999999995</v>
      </c>
      <c r="H156">
        <v>179</v>
      </c>
      <c r="I156">
        <v>95</v>
      </c>
      <c r="J156">
        <v>0</v>
      </c>
      <c r="K156" t="s">
        <v>190</v>
      </c>
      <c r="L156" s="293">
        <v>45979</v>
      </c>
      <c r="M156">
        <v>0</v>
      </c>
      <c r="N156">
        <v>2</v>
      </c>
      <c r="O156">
        <v>3</v>
      </c>
      <c r="P156" t="s">
        <v>1153</v>
      </c>
      <c r="Q156">
        <v>0</v>
      </c>
      <c r="R156">
        <v>0</v>
      </c>
      <c r="S156">
        <v>0</v>
      </c>
      <c r="T156">
        <v>6</v>
      </c>
      <c r="U156">
        <v>3</v>
      </c>
      <c r="V156">
        <v>9</v>
      </c>
      <c r="W156">
        <v>7</v>
      </c>
      <c r="X156">
        <v>16</v>
      </c>
      <c r="Y156">
        <v>10</v>
      </c>
      <c r="Z156">
        <v>3</v>
      </c>
      <c r="AA156">
        <v>13</v>
      </c>
      <c r="AB156">
        <v>5</v>
      </c>
      <c r="AC156">
        <v>5</v>
      </c>
      <c r="AD156">
        <v>4</v>
      </c>
      <c r="AE156">
        <v>7</v>
      </c>
      <c r="AF156">
        <v>7</v>
      </c>
      <c r="AG156">
        <v>0</v>
      </c>
      <c r="AH156">
        <v>0</v>
      </c>
      <c r="AI156">
        <v>0</v>
      </c>
      <c r="AJ156">
        <v>0</v>
      </c>
    </row>
    <row r="157" spans="1:36" x14ac:dyDescent="0.3">
      <c r="A157" t="s">
        <v>606</v>
      </c>
      <c r="B157" s="293">
        <v>45989</v>
      </c>
      <c r="C157" t="s">
        <v>1460</v>
      </c>
      <c r="D157" t="s">
        <v>963</v>
      </c>
      <c r="E157" t="s">
        <v>1457</v>
      </c>
      <c r="F157" t="s">
        <v>189</v>
      </c>
      <c r="G157">
        <v>0.96650000000000003</v>
      </c>
      <c r="H157">
        <v>179</v>
      </c>
      <c r="I157">
        <v>173</v>
      </c>
      <c r="J157">
        <v>80</v>
      </c>
      <c r="K157" t="s">
        <v>190</v>
      </c>
      <c r="L157" s="293">
        <v>45980</v>
      </c>
      <c r="M157">
        <v>2</v>
      </c>
      <c r="N157">
        <v>2</v>
      </c>
      <c r="O157">
        <v>4</v>
      </c>
      <c r="P157" t="s">
        <v>698</v>
      </c>
      <c r="Q157">
        <v>0</v>
      </c>
      <c r="R157">
        <v>0</v>
      </c>
      <c r="S157">
        <v>0</v>
      </c>
      <c r="T157">
        <v>0</v>
      </c>
      <c r="U157">
        <v>2</v>
      </c>
      <c r="V157">
        <v>4</v>
      </c>
      <c r="W157">
        <v>13</v>
      </c>
      <c r="X157">
        <v>18</v>
      </c>
      <c r="Y157">
        <v>18</v>
      </c>
      <c r="Z157">
        <v>29</v>
      </c>
      <c r="AA157">
        <v>3</v>
      </c>
      <c r="AB157">
        <v>4</v>
      </c>
      <c r="AC157">
        <v>2</v>
      </c>
      <c r="AD157">
        <v>0</v>
      </c>
      <c r="AE157">
        <v>0</v>
      </c>
      <c r="AF157">
        <v>0</v>
      </c>
      <c r="AG157">
        <v>0</v>
      </c>
      <c r="AH157">
        <v>0</v>
      </c>
      <c r="AI157">
        <v>80</v>
      </c>
      <c r="AJ157">
        <v>0</v>
      </c>
    </row>
    <row r="158" spans="1:36" x14ac:dyDescent="0.3">
      <c r="A158" t="s">
        <v>606</v>
      </c>
      <c r="B158" s="293">
        <v>45989</v>
      </c>
      <c r="C158" t="s">
        <v>761</v>
      </c>
      <c r="D158" t="s">
        <v>237</v>
      </c>
      <c r="E158" t="s">
        <v>754</v>
      </c>
      <c r="F158" t="s">
        <v>189</v>
      </c>
      <c r="G158">
        <v>0.5</v>
      </c>
      <c r="H158">
        <v>180</v>
      </c>
      <c r="I158">
        <v>90</v>
      </c>
      <c r="J158">
        <v>0</v>
      </c>
      <c r="K158" t="s">
        <v>190</v>
      </c>
      <c r="L158" s="293">
        <v>45980</v>
      </c>
      <c r="M158">
        <v>2</v>
      </c>
      <c r="N158">
        <v>10</v>
      </c>
      <c r="O158">
        <v>29</v>
      </c>
      <c r="P158" t="s">
        <v>494</v>
      </c>
      <c r="Q158">
        <v>0</v>
      </c>
      <c r="R158">
        <v>0</v>
      </c>
      <c r="S158">
        <v>0</v>
      </c>
      <c r="T158">
        <v>0</v>
      </c>
      <c r="U158">
        <v>0</v>
      </c>
      <c r="V158">
        <v>0</v>
      </c>
      <c r="W158">
        <v>0</v>
      </c>
      <c r="X158">
        <v>0</v>
      </c>
      <c r="Y158">
        <v>0</v>
      </c>
      <c r="Z158">
        <v>9</v>
      </c>
      <c r="AA158">
        <v>28</v>
      </c>
      <c r="AB158">
        <v>33</v>
      </c>
      <c r="AC158">
        <v>18</v>
      </c>
      <c r="AD158">
        <v>0</v>
      </c>
      <c r="AE158">
        <v>0</v>
      </c>
      <c r="AF158">
        <v>0</v>
      </c>
      <c r="AG158">
        <v>0</v>
      </c>
      <c r="AH158">
        <v>0</v>
      </c>
      <c r="AI158">
        <v>0</v>
      </c>
      <c r="AJ158">
        <v>2</v>
      </c>
    </row>
    <row r="159" spans="1:36" x14ac:dyDescent="0.3">
      <c r="A159" t="s">
        <v>199</v>
      </c>
      <c r="B159" s="293">
        <v>45990</v>
      </c>
      <c r="C159" t="s">
        <v>1601</v>
      </c>
      <c r="D159" t="s">
        <v>955</v>
      </c>
      <c r="E159" t="s">
        <v>1598</v>
      </c>
      <c r="F159" t="s">
        <v>189</v>
      </c>
      <c r="G159">
        <v>0.36309999999999998</v>
      </c>
      <c r="H159">
        <v>179</v>
      </c>
      <c r="I159">
        <v>65</v>
      </c>
      <c r="J159">
        <v>0</v>
      </c>
      <c r="K159" t="s">
        <v>190</v>
      </c>
      <c r="L159" s="293">
        <v>45980</v>
      </c>
      <c r="M159">
        <v>1</v>
      </c>
      <c r="N159">
        <v>1</v>
      </c>
      <c r="O159">
        <v>24</v>
      </c>
      <c r="P159" t="s">
        <v>381</v>
      </c>
      <c r="Q159">
        <v>0</v>
      </c>
      <c r="R159">
        <v>0</v>
      </c>
      <c r="S159">
        <v>0</v>
      </c>
      <c r="T159">
        <v>0</v>
      </c>
      <c r="U159">
        <v>0</v>
      </c>
      <c r="V159">
        <v>0</v>
      </c>
      <c r="W159">
        <v>0</v>
      </c>
      <c r="X159">
        <v>0</v>
      </c>
      <c r="Y159">
        <v>2</v>
      </c>
      <c r="Z159">
        <v>15</v>
      </c>
      <c r="AA159">
        <v>15</v>
      </c>
      <c r="AB159">
        <v>12</v>
      </c>
      <c r="AC159">
        <v>7</v>
      </c>
      <c r="AD159">
        <v>9</v>
      </c>
      <c r="AE159">
        <v>5</v>
      </c>
      <c r="AF159">
        <v>0</v>
      </c>
      <c r="AG159">
        <v>0</v>
      </c>
      <c r="AH159">
        <v>0</v>
      </c>
      <c r="AI159">
        <v>0</v>
      </c>
      <c r="AJ159">
        <v>0</v>
      </c>
    </row>
    <row r="160" spans="1:36" x14ac:dyDescent="0.3">
      <c r="A160" t="s">
        <v>199</v>
      </c>
      <c r="B160" s="293">
        <v>45990</v>
      </c>
      <c r="C160" t="s">
        <v>897</v>
      </c>
      <c r="D160" t="s">
        <v>949</v>
      </c>
      <c r="E160" t="s">
        <v>891</v>
      </c>
      <c r="F160" t="s">
        <v>189</v>
      </c>
      <c r="G160">
        <v>0.87219999999999998</v>
      </c>
      <c r="H160">
        <v>180</v>
      </c>
      <c r="I160">
        <v>157</v>
      </c>
      <c r="J160">
        <v>90</v>
      </c>
      <c r="K160" t="s">
        <v>190</v>
      </c>
      <c r="L160" s="293">
        <v>45980</v>
      </c>
      <c r="M160">
        <v>1</v>
      </c>
      <c r="N160">
        <v>2</v>
      </c>
      <c r="O160">
        <v>11</v>
      </c>
      <c r="P160" t="s">
        <v>381</v>
      </c>
      <c r="Q160">
        <v>2</v>
      </c>
      <c r="R160">
        <v>0</v>
      </c>
      <c r="S160">
        <v>0</v>
      </c>
      <c r="T160">
        <v>0</v>
      </c>
      <c r="U160">
        <v>0</v>
      </c>
      <c r="V160">
        <v>0</v>
      </c>
      <c r="W160">
        <v>0</v>
      </c>
      <c r="X160">
        <v>0</v>
      </c>
      <c r="Y160">
        <v>13</v>
      </c>
      <c r="Z160">
        <v>14</v>
      </c>
      <c r="AA160">
        <v>25</v>
      </c>
      <c r="AB160">
        <v>2</v>
      </c>
      <c r="AC160">
        <v>11</v>
      </c>
      <c r="AD160">
        <v>0</v>
      </c>
      <c r="AE160">
        <v>0</v>
      </c>
      <c r="AF160">
        <v>0</v>
      </c>
      <c r="AG160">
        <v>0</v>
      </c>
      <c r="AH160">
        <v>0</v>
      </c>
      <c r="AI160">
        <v>90</v>
      </c>
      <c r="AJ160">
        <v>0</v>
      </c>
    </row>
    <row r="161" spans="1:36" x14ac:dyDescent="0.3">
      <c r="A161" t="s">
        <v>199</v>
      </c>
      <c r="B161" s="293">
        <v>45990</v>
      </c>
      <c r="C161" t="s">
        <v>902</v>
      </c>
      <c r="D161" t="s">
        <v>607</v>
      </c>
      <c r="E161" t="s">
        <v>891</v>
      </c>
      <c r="F161" t="s">
        <v>189</v>
      </c>
      <c r="G161">
        <v>0.65559999999999996</v>
      </c>
      <c r="H161">
        <v>180</v>
      </c>
      <c r="I161">
        <v>118</v>
      </c>
      <c r="J161">
        <v>85</v>
      </c>
      <c r="K161" t="s">
        <v>190</v>
      </c>
      <c r="L161" s="293">
        <v>45980</v>
      </c>
      <c r="M161">
        <v>1</v>
      </c>
      <c r="N161">
        <v>2</v>
      </c>
      <c r="O161">
        <v>12</v>
      </c>
      <c r="P161" t="s">
        <v>376</v>
      </c>
      <c r="Q161">
        <v>1</v>
      </c>
      <c r="R161">
        <v>0</v>
      </c>
      <c r="S161">
        <v>0</v>
      </c>
      <c r="T161">
        <v>0</v>
      </c>
      <c r="U161">
        <v>0</v>
      </c>
      <c r="V161">
        <v>0</v>
      </c>
      <c r="W161">
        <v>0</v>
      </c>
      <c r="X161">
        <v>0</v>
      </c>
      <c r="Y161">
        <v>0</v>
      </c>
      <c r="Z161">
        <v>12</v>
      </c>
      <c r="AA161">
        <v>11</v>
      </c>
      <c r="AB161">
        <v>5</v>
      </c>
      <c r="AC161">
        <v>4</v>
      </c>
      <c r="AD161">
        <v>0</v>
      </c>
      <c r="AE161">
        <v>0</v>
      </c>
      <c r="AF161">
        <v>0</v>
      </c>
      <c r="AG161">
        <v>0</v>
      </c>
      <c r="AH161">
        <v>0</v>
      </c>
      <c r="AI161">
        <v>85</v>
      </c>
      <c r="AJ161">
        <v>0</v>
      </c>
    </row>
    <row r="162" spans="1:36" x14ac:dyDescent="0.3">
      <c r="A162" t="s">
        <v>199</v>
      </c>
      <c r="B162" s="293">
        <v>45990</v>
      </c>
      <c r="C162" t="s">
        <v>135</v>
      </c>
      <c r="D162" t="s">
        <v>311</v>
      </c>
      <c r="E162" t="s">
        <v>298</v>
      </c>
      <c r="F162" t="s">
        <v>189</v>
      </c>
      <c r="G162">
        <v>0.77780000000000005</v>
      </c>
      <c r="H162">
        <v>180</v>
      </c>
      <c r="I162">
        <v>140</v>
      </c>
      <c r="J162">
        <v>90</v>
      </c>
      <c r="K162" t="s">
        <v>190</v>
      </c>
      <c r="L162" s="293">
        <v>45980</v>
      </c>
      <c r="M162">
        <v>2</v>
      </c>
      <c r="N162">
        <v>4</v>
      </c>
      <c r="O162">
        <v>15</v>
      </c>
      <c r="P162" t="s">
        <v>309</v>
      </c>
      <c r="Q162">
        <v>1</v>
      </c>
      <c r="R162">
        <v>0</v>
      </c>
      <c r="S162">
        <v>0</v>
      </c>
      <c r="T162">
        <v>0</v>
      </c>
      <c r="U162">
        <v>0</v>
      </c>
      <c r="V162">
        <v>0</v>
      </c>
      <c r="W162">
        <v>0</v>
      </c>
      <c r="X162">
        <v>0</v>
      </c>
      <c r="Y162">
        <v>0</v>
      </c>
      <c r="Z162">
        <v>1</v>
      </c>
      <c r="AA162">
        <v>0</v>
      </c>
      <c r="AB162">
        <v>9</v>
      </c>
      <c r="AC162">
        <v>21</v>
      </c>
      <c r="AD162">
        <v>5</v>
      </c>
      <c r="AE162">
        <v>4</v>
      </c>
      <c r="AF162">
        <v>9</v>
      </c>
      <c r="AG162">
        <v>0</v>
      </c>
      <c r="AH162">
        <v>0</v>
      </c>
      <c r="AI162">
        <v>90</v>
      </c>
      <c r="AJ162">
        <v>0</v>
      </c>
    </row>
    <row r="163" spans="1:36" x14ac:dyDescent="0.3">
      <c r="A163" t="s">
        <v>199</v>
      </c>
      <c r="B163" s="293">
        <v>45990</v>
      </c>
      <c r="C163" t="s">
        <v>1503</v>
      </c>
      <c r="D163" t="s">
        <v>311</v>
      </c>
      <c r="E163" t="s">
        <v>1498</v>
      </c>
      <c r="F163" t="s">
        <v>189</v>
      </c>
      <c r="G163">
        <v>0.6704</v>
      </c>
      <c r="H163">
        <v>179</v>
      </c>
      <c r="I163">
        <v>120</v>
      </c>
      <c r="J163">
        <v>0</v>
      </c>
      <c r="K163" t="s">
        <v>190</v>
      </c>
      <c r="L163" s="293">
        <v>45980</v>
      </c>
      <c r="M163">
        <v>2</v>
      </c>
      <c r="N163">
        <v>1</v>
      </c>
      <c r="O163">
        <v>3</v>
      </c>
      <c r="P163" t="s">
        <v>1519</v>
      </c>
      <c r="Q163">
        <v>14</v>
      </c>
      <c r="R163">
        <v>5</v>
      </c>
      <c r="S163">
        <v>9</v>
      </c>
      <c r="T163">
        <v>7</v>
      </c>
      <c r="U163">
        <v>21</v>
      </c>
      <c r="V163">
        <v>0</v>
      </c>
      <c r="W163">
        <v>0</v>
      </c>
      <c r="X163">
        <v>9</v>
      </c>
      <c r="Y163">
        <v>3</v>
      </c>
      <c r="Z163">
        <v>10</v>
      </c>
      <c r="AA163">
        <v>8</v>
      </c>
      <c r="AB163">
        <v>9</v>
      </c>
      <c r="AC163">
        <v>7</v>
      </c>
      <c r="AD163">
        <v>5</v>
      </c>
      <c r="AE163">
        <v>7</v>
      </c>
      <c r="AF163">
        <v>6</v>
      </c>
      <c r="AG163">
        <v>0</v>
      </c>
      <c r="AH163">
        <v>0</v>
      </c>
      <c r="AI163">
        <v>0</v>
      </c>
      <c r="AJ163">
        <v>0</v>
      </c>
    </row>
    <row r="164" spans="1:36" x14ac:dyDescent="0.3">
      <c r="A164" t="s">
        <v>199</v>
      </c>
      <c r="B164" s="293">
        <v>45990</v>
      </c>
      <c r="C164" t="s">
        <v>1425</v>
      </c>
      <c r="D164" t="s">
        <v>1438</v>
      </c>
      <c r="E164" t="s">
        <v>1420</v>
      </c>
      <c r="F164" t="s">
        <v>189</v>
      </c>
      <c r="G164">
        <v>0.76539999999999997</v>
      </c>
      <c r="H164">
        <v>179</v>
      </c>
      <c r="I164">
        <v>137</v>
      </c>
      <c r="J164">
        <v>0</v>
      </c>
      <c r="K164" t="s">
        <v>190</v>
      </c>
      <c r="L164" s="293">
        <v>45979</v>
      </c>
      <c r="M164">
        <v>0</v>
      </c>
      <c r="N164">
        <v>2</v>
      </c>
      <c r="O164">
        <v>34</v>
      </c>
      <c r="P164" t="s">
        <v>538</v>
      </c>
      <c r="Q164">
        <v>0</v>
      </c>
      <c r="R164">
        <v>0</v>
      </c>
      <c r="S164">
        <v>0</v>
      </c>
      <c r="T164">
        <v>0</v>
      </c>
      <c r="U164">
        <v>2</v>
      </c>
      <c r="V164">
        <v>9</v>
      </c>
      <c r="W164">
        <v>37</v>
      </c>
      <c r="X164">
        <v>17</v>
      </c>
      <c r="Y164">
        <v>3</v>
      </c>
      <c r="Z164">
        <v>6</v>
      </c>
      <c r="AA164">
        <v>16</v>
      </c>
      <c r="AB164">
        <v>12</v>
      </c>
      <c r="AC164">
        <v>8</v>
      </c>
      <c r="AD164">
        <v>9</v>
      </c>
      <c r="AE164">
        <v>14</v>
      </c>
      <c r="AF164">
        <v>4</v>
      </c>
      <c r="AG164">
        <v>0</v>
      </c>
      <c r="AH164">
        <v>0</v>
      </c>
      <c r="AI164">
        <v>0</v>
      </c>
      <c r="AJ164">
        <v>0</v>
      </c>
    </row>
    <row r="165" spans="1:36" x14ac:dyDescent="0.3">
      <c r="A165" t="s">
        <v>199</v>
      </c>
      <c r="B165" s="293">
        <v>45990</v>
      </c>
      <c r="C165" t="s">
        <v>1283</v>
      </c>
      <c r="D165" t="s">
        <v>1328</v>
      </c>
      <c r="E165" t="s">
        <v>1264</v>
      </c>
      <c r="F165" t="s">
        <v>189</v>
      </c>
      <c r="G165">
        <v>0.67220000000000002</v>
      </c>
      <c r="H165">
        <v>180</v>
      </c>
      <c r="I165">
        <v>121</v>
      </c>
      <c r="J165">
        <v>0</v>
      </c>
      <c r="K165" t="s">
        <v>190</v>
      </c>
      <c r="L165" s="293">
        <v>45978</v>
      </c>
      <c r="M165">
        <v>0</v>
      </c>
      <c r="N165">
        <v>0</v>
      </c>
      <c r="O165">
        <v>12</v>
      </c>
      <c r="P165" t="s">
        <v>1166</v>
      </c>
      <c r="Q165">
        <v>0</v>
      </c>
      <c r="R165">
        <v>1</v>
      </c>
      <c r="S165">
        <v>17</v>
      </c>
      <c r="T165">
        <v>21</v>
      </c>
      <c r="U165">
        <v>9</v>
      </c>
      <c r="V165">
        <v>0</v>
      </c>
      <c r="W165">
        <v>12</v>
      </c>
      <c r="X165">
        <v>12</v>
      </c>
      <c r="Y165">
        <v>8</v>
      </c>
      <c r="Z165">
        <v>6</v>
      </c>
      <c r="AA165">
        <v>9</v>
      </c>
      <c r="AB165">
        <v>10</v>
      </c>
      <c r="AC165">
        <v>2</v>
      </c>
      <c r="AD165">
        <v>4</v>
      </c>
      <c r="AE165">
        <v>7</v>
      </c>
      <c r="AF165">
        <v>3</v>
      </c>
      <c r="AG165">
        <v>0</v>
      </c>
      <c r="AH165">
        <v>0</v>
      </c>
      <c r="AI165">
        <v>0</v>
      </c>
      <c r="AJ165">
        <v>0</v>
      </c>
    </row>
    <row r="166" spans="1:36" x14ac:dyDescent="0.3">
      <c r="A166" t="s">
        <v>199</v>
      </c>
      <c r="B166" s="293">
        <v>45990</v>
      </c>
      <c r="C166" t="s">
        <v>1618</v>
      </c>
      <c r="D166" t="s">
        <v>1604</v>
      </c>
      <c r="E166" t="s">
        <v>1611</v>
      </c>
      <c r="F166" t="s">
        <v>189</v>
      </c>
      <c r="G166">
        <v>0.67600000000000005</v>
      </c>
      <c r="H166">
        <v>179</v>
      </c>
      <c r="I166">
        <v>121</v>
      </c>
      <c r="J166">
        <v>0</v>
      </c>
      <c r="K166" t="s">
        <v>190</v>
      </c>
      <c r="L166" s="293">
        <v>45980</v>
      </c>
      <c r="M166">
        <v>1</v>
      </c>
      <c r="N166">
        <v>0</v>
      </c>
      <c r="O166">
        <v>7</v>
      </c>
      <c r="P166" t="s">
        <v>1166</v>
      </c>
      <c r="Q166">
        <v>0</v>
      </c>
      <c r="R166">
        <v>0</v>
      </c>
      <c r="S166">
        <v>1</v>
      </c>
      <c r="T166">
        <v>20</v>
      </c>
      <c r="U166">
        <v>16</v>
      </c>
      <c r="V166">
        <v>8</v>
      </c>
      <c r="W166">
        <v>5</v>
      </c>
      <c r="X166">
        <v>9</v>
      </c>
      <c r="Y166">
        <v>7</v>
      </c>
      <c r="Z166">
        <v>9</v>
      </c>
      <c r="AA166">
        <v>7</v>
      </c>
      <c r="AB166">
        <v>10</v>
      </c>
      <c r="AC166">
        <v>9</v>
      </c>
      <c r="AD166">
        <v>9</v>
      </c>
      <c r="AE166">
        <v>9</v>
      </c>
      <c r="AF166">
        <v>2</v>
      </c>
      <c r="AG166">
        <v>0</v>
      </c>
      <c r="AH166">
        <v>0</v>
      </c>
      <c r="AI166">
        <v>0</v>
      </c>
      <c r="AJ166">
        <v>0</v>
      </c>
    </row>
    <row r="167" spans="1:36" x14ac:dyDescent="0.3">
      <c r="A167" t="s">
        <v>199</v>
      </c>
      <c r="B167" s="293">
        <v>45990</v>
      </c>
      <c r="C167" t="s">
        <v>380</v>
      </c>
      <c r="D167" t="s">
        <v>635</v>
      </c>
      <c r="E167" t="s">
        <v>335</v>
      </c>
      <c r="F167" t="s">
        <v>189</v>
      </c>
      <c r="G167">
        <v>0.89439999999999997</v>
      </c>
      <c r="H167">
        <v>180</v>
      </c>
      <c r="I167">
        <v>161</v>
      </c>
      <c r="J167">
        <v>0</v>
      </c>
      <c r="K167" t="s">
        <v>190</v>
      </c>
      <c r="L167" s="293">
        <v>45979</v>
      </c>
      <c r="M167">
        <v>0</v>
      </c>
      <c r="N167">
        <v>12</v>
      </c>
      <c r="O167">
        <v>36</v>
      </c>
      <c r="P167" t="s">
        <v>250</v>
      </c>
      <c r="Q167">
        <v>0</v>
      </c>
      <c r="R167">
        <v>0</v>
      </c>
      <c r="S167">
        <v>0</v>
      </c>
      <c r="T167">
        <v>0</v>
      </c>
      <c r="U167">
        <v>8</v>
      </c>
      <c r="V167">
        <v>13</v>
      </c>
      <c r="W167">
        <v>20</v>
      </c>
      <c r="X167">
        <v>18</v>
      </c>
      <c r="Y167">
        <v>11</v>
      </c>
      <c r="Z167">
        <v>21</v>
      </c>
      <c r="AA167">
        <v>12</v>
      </c>
      <c r="AB167">
        <v>11</v>
      </c>
      <c r="AC167">
        <v>11</v>
      </c>
      <c r="AD167">
        <v>12</v>
      </c>
      <c r="AE167">
        <v>11</v>
      </c>
      <c r="AF167">
        <v>10</v>
      </c>
      <c r="AG167">
        <v>0</v>
      </c>
      <c r="AH167">
        <v>0</v>
      </c>
      <c r="AI167">
        <v>0</v>
      </c>
      <c r="AJ167">
        <v>3</v>
      </c>
    </row>
    <row r="168" spans="1:36" x14ac:dyDescent="0.3">
      <c r="A168" t="s">
        <v>199</v>
      </c>
      <c r="B168" s="293">
        <v>45990</v>
      </c>
      <c r="C168" t="s">
        <v>371</v>
      </c>
      <c r="D168" t="s">
        <v>626</v>
      </c>
      <c r="E168" t="s">
        <v>335</v>
      </c>
      <c r="F168" t="s">
        <v>189</v>
      </c>
      <c r="G168">
        <v>1.0333000000000001</v>
      </c>
      <c r="H168">
        <v>180</v>
      </c>
      <c r="I168">
        <v>186</v>
      </c>
      <c r="J168">
        <v>45</v>
      </c>
      <c r="K168" t="s">
        <v>190</v>
      </c>
      <c r="L168" s="293">
        <v>45974</v>
      </c>
      <c r="M168">
        <v>0</v>
      </c>
      <c r="N168">
        <v>0</v>
      </c>
      <c r="O168">
        <v>1</v>
      </c>
      <c r="P168" t="s">
        <v>81</v>
      </c>
      <c r="Q168">
        <v>0</v>
      </c>
      <c r="R168">
        <v>0</v>
      </c>
      <c r="S168">
        <v>0</v>
      </c>
      <c r="T168">
        <v>0</v>
      </c>
      <c r="U168">
        <v>0</v>
      </c>
      <c r="V168">
        <v>0</v>
      </c>
      <c r="W168">
        <v>1</v>
      </c>
      <c r="X168">
        <v>0</v>
      </c>
      <c r="Y168">
        <v>15</v>
      </c>
      <c r="Z168">
        <v>21</v>
      </c>
      <c r="AA168">
        <v>20</v>
      </c>
      <c r="AB168">
        <v>42</v>
      </c>
      <c r="AC168">
        <v>9</v>
      </c>
      <c r="AD168">
        <v>12</v>
      </c>
      <c r="AE168">
        <v>11</v>
      </c>
      <c r="AF168">
        <v>10</v>
      </c>
      <c r="AG168">
        <v>0</v>
      </c>
      <c r="AH168">
        <v>0</v>
      </c>
      <c r="AI168">
        <v>45</v>
      </c>
      <c r="AJ168">
        <v>0</v>
      </c>
    </row>
    <row r="169" spans="1:36" x14ac:dyDescent="0.3">
      <c r="A169" t="s">
        <v>199</v>
      </c>
      <c r="B169" s="293">
        <v>45990</v>
      </c>
      <c r="C169" t="s">
        <v>375</v>
      </c>
      <c r="D169" t="s">
        <v>581</v>
      </c>
      <c r="E169" t="s">
        <v>335</v>
      </c>
      <c r="F169" t="s">
        <v>189</v>
      </c>
      <c r="G169">
        <v>1.0056</v>
      </c>
      <c r="H169">
        <v>180</v>
      </c>
      <c r="I169">
        <v>181</v>
      </c>
      <c r="J169">
        <v>135</v>
      </c>
      <c r="K169" t="s">
        <v>190</v>
      </c>
      <c r="L169" s="293">
        <v>45952</v>
      </c>
      <c r="M169">
        <v>0</v>
      </c>
      <c r="N169">
        <v>0</v>
      </c>
      <c r="O169">
        <v>0</v>
      </c>
      <c r="P169" t="s">
        <v>81</v>
      </c>
      <c r="Q169">
        <v>0</v>
      </c>
      <c r="R169">
        <v>0</v>
      </c>
      <c r="S169">
        <v>0</v>
      </c>
      <c r="T169">
        <v>0</v>
      </c>
      <c r="U169">
        <v>0</v>
      </c>
      <c r="V169">
        <v>0</v>
      </c>
      <c r="W169">
        <v>0</v>
      </c>
      <c r="X169">
        <v>0</v>
      </c>
      <c r="Y169">
        <v>6</v>
      </c>
      <c r="Z169">
        <v>0</v>
      </c>
      <c r="AA169">
        <v>0</v>
      </c>
      <c r="AB169">
        <v>0</v>
      </c>
      <c r="AC169">
        <v>7</v>
      </c>
      <c r="AD169">
        <v>11</v>
      </c>
      <c r="AE169">
        <v>11</v>
      </c>
      <c r="AF169">
        <v>10</v>
      </c>
      <c r="AG169">
        <v>0</v>
      </c>
      <c r="AH169">
        <v>0</v>
      </c>
      <c r="AI169">
        <v>135</v>
      </c>
      <c r="AJ169">
        <v>1</v>
      </c>
    </row>
    <row r="170" spans="1:36" x14ac:dyDescent="0.3">
      <c r="A170" t="s">
        <v>199</v>
      </c>
      <c r="B170" s="293">
        <v>45990</v>
      </c>
      <c r="C170" t="s">
        <v>383</v>
      </c>
      <c r="D170" t="s">
        <v>634</v>
      </c>
      <c r="E170" t="s">
        <v>335</v>
      </c>
      <c r="F170" t="s">
        <v>189</v>
      </c>
      <c r="G170">
        <v>1</v>
      </c>
      <c r="H170">
        <v>180</v>
      </c>
      <c r="I170">
        <v>180</v>
      </c>
      <c r="J170">
        <v>90</v>
      </c>
      <c r="K170" t="s">
        <v>190</v>
      </c>
      <c r="L170" s="293">
        <v>45973</v>
      </c>
      <c r="M170">
        <v>0</v>
      </c>
      <c r="N170">
        <v>0</v>
      </c>
      <c r="O170">
        <v>6</v>
      </c>
      <c r="P170" t="s">
        <v>81</v>
      </c>
      <c r="Q170">
        <v>3</v>
      </c>
      <c r="R170">
        <v>0</v>
      </c>
      <c r="S170">
        <v>0</v>
      </c>
      <c r="T170">
        <v>0</v>
      </c>
      <c r="U170">
        <v>0</v>
      </c>
      <c r="V170">
        <v>8</v>
      </c>
      <c r="W170">
        <v>9</v>
      </c>
      <c r="X170">
        <v>15</v>
      </c>
      <c r="Y170">
        <v>9</v>
      </c>
      <c r="Z170">
        <v>10</v>
      </c>
      <c r="AA170">
        <v>18</v>
      </c>
      <c r="AB170">
        <v>9</v>
      </c>
      <c r="AC170">
        <v>9</v>
      </c>
      <c r="AD170">
        <v>0</v>
      </c>
      <c r="AE170">
        <v>0</v>
      </c>
      <c r="AF170">
        <v>0</v>
      </c>
      <c r="AG170">
        <v>0</v>
      </c>
      <c r="AH170">
        <v>0</v>
      </c>
      <c r="AI170">
        <v>90</v>
      </c>
      <c r="AJ170">
        <v>0</v>
      </c>
    </row>
    <row r="171" spans="1:36" x14ac:dyDescent="0.3">
      <c r="A171" t="s">
        <v>199</v>
      </c>
      <c r="B171" s="293">
        <v>45990</v>
      </c>
      <c r="C171" t="s">
        <v>78</v>
      </c>
      <c r="D171" t="s">
        <v>200</v>
      </c>
      <c r="E171" t="s">
        <v>1</v>
      </c>
      <c r="F171" t="s">
        <v>189</v>
      </c>
      <c r="G171">
        <v>0.99439999999999995</v>
      </c>
      <c r="H171">
        <v>180</v>
      </c>
      <c r="I171">
        <v>179</v>
      </c>
      <c r="J171">
        <v>138</v>
      </c>
      <c r="K171" t="s">
        <v>190</v>
      </c>
      <c r="L171" s="293">
        <v>45977</v>
      </c>
      <c r="M171">
        <v>0</v>
      </c>
      <c r="N171">
        <v>0</v>
      </c>
      <c r="O171">
        <v>2</v>
      </c>
      <c r="P171" t="s">
        <v>81</v>
      </c>
      <c r="Q171">
        <v>0</v>
      </c>
      <c r="R171">
        <v>0</v>
      </c>
      <c r="S171">
        <v>0</v>
      </c>
      <c r="T171">
        <v>0</v>
      </c>
      <c r="U171">
        <v>0</v>
      </c>
      <c r="V171">
        <v>0</v>
      </c>
      <c r="W171">
        <v>0</v>
      </c>
      <c r="X171">
        <v>0</v>
      </c>
      <c r="Y171">
        <v>2</v>
      </c>
      <c r="Z171">
        <v>0</v>
      </c>
      <c r="AA171">
        <v>0</v>
      </c>
      <c r="AB171">
        <v>0</v>
      </c>
      <c r="AC171">
        <v>7</v>
      </c>
      <c r="AD171">
        <v>11</v>
      </c>
      <c r="AE171">
        <v>11</v>
      </c>
      <c r="AF171">
        <v>10</v>
      </c>
      <c r="AG171">
        <v>0</v>
      </c>
      <c r="AH171">
        <v>0</v>
      </c>
      <c r="AI171">
        <v>135</v>
      </c>
      <c r="AJ171">
        <v>3</v>
      </c>
    </row>
    <row r="172" spans="1:36" x14ac:dyDescent="0.3">
      <c r="A172" t="s">
        <v>199</v>
      </c>
      <c r="B172" s="293">
        <v>45990</v>
      </c>
      <c r="C172" t="s">
        <v>1054</v>
      </c>
      <c r="D172" t="s">
        <v>1176</v>
      </c>
      <c r="E172" t="s">
        <v>1016</v>
      </c>
      <c r="F172" t="s">
        <v>189</v>
      </c>
      <c r="G172">
        <v>0.65920000000000001</v>
      </c>
      <c r="H172">
        <v>179</v>
      </c>
      <c r="I172">
        <v>118</v>
      </c>
      <c r="J172">
        <v>0</v>
      </c>
      <c r="K172" t="s">
        <v>190</v>
      </c>
      <c r="L172" s="293">
        <v>45978</v>
      </c>
      <c r="M172">
        <v>0</v>
      </c>
      <c r="N172">
        <v>0</v>
      </c>
      <c r="O172">
        <v>22</v>
      </c>
      <c r="P172" t="s">
        <v>1166</v>
      </c>
      <c r="Q172">
        <v>0</v>
      </c>
      <c r="R172">
        <v>0</v>
      </c>
      <c r="S172">
        <v>5</v>
      </c>
      <c r="T172">
        <v>21</v>
      </c>
      <c r="U172">
        <v>0</v>
      </c>
      <c r="V172">
        <v>12</v>
      </c>
      <c r="W172">
        <v>14</v>
      </c>
      <c r="X172">
        <v>11</v>
      </c>
      <c r="Y172">
        <v>12</v>
      </c>
      <c r="Z172">
        <v>6</v>
      </c>
      <c r="AA172">
        <v>10</v>
      </c>
      <c r="AB172">
        <v>3</v>
      </c>
      <c r="AC172">
        <v>4</v>
      </c>
      <c r="AD172">
        <v>8</v>
      </c>
      <c r="AE172">
        <v>9</v>
      </c>
      <c r="AF172">
        <v>3</v>
      </c>
      <c r="AG172">
        <v>0</v>
      </c>
      <c r="AH172">
        <v>0</v>
      </c>
      <c r="AI172">
        <v>0</v>
      </c>
      <c r="AJ172">
        <v>0</v>
      </c>
    </row>
    <row r="173" spans="1:36" x14ac:dyDescent="0.3">
      <c r="A173" t="s">
        <v>199</v>
      </c>
      <c r="B173" s="293">
        <v>45990</v>
      </c>
      <c r="C173" t="s">
        <v>1374</v>
      </c>
      <c r="D173" t="s">
        <v>752</v>
      </c>
      <c r="E173" t="s">
        <v>1370</v>
      </c>
      <c r="F173" t="s">
        <v>189</v>
      </c>
      <c r="G173">
        <v>0.60340000000000005</v>
      </c>
      <c r="H173">
        <v>179</v>
      </c>
      <c r="I173">
        <v>108</v>
      </c>
      <c r="J173">
        <v>0</v>
      </c>
      <c r="K173" t="s">
        <v>190</v>
      </c>
      <c r="L173" s="293">
        <v>45979</v>
      </c>
      <c r="M173">
        <v>0</v>
      </c>
      <c r="N173">
        <v>1</v>
      </c>
      <c r="O173">
        <v>3</v>
      </c>
      <c r="P173" t="s">
        <v>538</v>
      </c>
      <c r="Q173">
        <v>0</v>
      </c>
      <c r="R173">
        <v>0</v>
      </c>
      <c r="S173">
        <v>0</v>
      </c>
      <c r="T173">
        <v>1</v>
      </c>
      <c r="U173">
        <v>1</v>
      </c>
      <c r="V173">
        <v>11</v>
      </c>
      <c r="W173">
        <v>18</v>
      </c>
      <c r="X173">
        <v>18</v>
      </c>
      <c r="Y173">
        <v>5</v>
      </c>
      <c r="Z173">
        <v>0</v>
      </c>
      <c r="AA173">
        <v>0</v>
      </c>
      <c r="AB173">
        <v>7</v>
      </c>
      <c r="AC173">
        <v>12</v>
      </c>
      <c r="AD173">
        <v>9</v>
      </c>
      <c r="AE173">
        <v>8</v>
      </c>
      <c r="AF173">
        <v>18</v>
      </c>
      <c r="AG173">
        <v>0</v>
      </c>
      <c r="AH173">
        <v>0</v>
      </c>
      <c r="AI173">
        <v>0</v>
      </c>
      <c r="AJ173">
        <v>0</v>
      </c>
    </row>
    <row r="174" spans="1:36" x14ac:dyDescent="0.3">
      <c r="A174" t="s">
        <v>199</v>
      </c>
      <c r="B174" s="293">
        <v>45990</v>
      </c>
      <c r="C174" t="s">
        <v>1460</v>
      </c>
      <c r="D174" t="s">
        <v>1481</v>
      </c>
      <c r="E174" t="s">
        <v>1457</v>
      </c>
      <c r="F174" t="s">
        <v>189</v>
      </c>
      <c r="G174">
        <v>0.89939999999999998</v>
      </c>
      <c r="H174">
        <v>179</v>
      </c>
      <c r="I174">
        <v>161</v>
      </c>
      <c r="J174">
        <v>45</v>
      </c>
      <c r="K174" t="s">
        <v>190</v>
      </c>
      <c r="L174" s="293">
        <v>45976</v>
      </c>
      <c r="M174">
        <v>0</v>
      </c>
      <c r="N174">
        <v>0</v>
      </c>
      <c r="O174">
        <v>16</v>
      </c>
      <c r="P174" t="s">
        <v>1474</v>
      </c>
      <c r="Q174">
        <v>0</v>
      </c>
      <c r="R174">
        <v>2</v>
      </c>
      <c r="S174">
        <v>1</v>
      </c>
      <c r="T174">
        <v>11</v>
      </c>
      <c r="U174">
        <v>16</v>
      </c>
      <c r="V174">
        <v>16</v>
      </c>
      <c r="W174">
        <v>18</v>
      </c>
      <c r="X174">
        <v>17</v>
      </c>
      <c r="Y174">
        <v>18</v>
      </c>
      <c r="Z174">
        <v>9</v>
      </c>
      <c r="AA174">
        <v>3</v>
      </c>
      <c r="AB174">
        <v>4</v>
      </c>
      <c r="AC174">
        <v>1</v>
      </c>
      <c r="AD174">
        <v>0</v>
      </c>
      <c r="AE174">
        <v>0</v>
      </c>
      <c r="AF174">
        <v>0</v>
      </c>
      <c r="AG174">
        <v>0</v>
      </c>
      <c r="AH174">
        <v>0</v>
      </c>
      <c r="AI174">
        <v>45</v>
      </c>
      <c r="AJ174">
        <v>0</v>
      </c>
    </row>
    <row r="175" spans="1:36" x14ac:dyDescent="0.3">
      <c r="A175" t="s">
        <v>199</v>
      </c>
      <c r="B175" s="293">
        <v>45990</v>
      </c>
      <c r="C175" t="s">
        <v>761</v>
      </c>
      <c r="D175" t="s">
        <v>866</v>
      </c>
      <c r="E175" t="s">
        <v>754</v>
      </c>
      <c r="F175" t="s">
        <v>189</v>
      </c>
      <c r="G175">
        <v>0.94440000000000002</v>
      </c>
      <c r="H175">
        <v>180</v>
      </c>
      <c r="I175">
        <v>170</v>
      </c>
      <c r="J175">
        <v>95</v>
      </c>
      <c r="K175" t="s">
        <v>190</v>
      </c>
      <c r="L175" s="293">
        <v>45979</v>
      </c>
      <c r="M175">
        <v>0</v>
      </c>
      <c r="N175">
        <v>7</v>
      </c>
      <c r="O175">
        <v>11</v>
      </c>
      <c r="P175" t="s">
        <v>224</v>
      </c>
      <c r="Q175">
        <v>0</v>
      </c>
      <c r="R175">
        <v>0</v>
      </c>
      <c r="S175">
        <v>0</v>
      </c>
      <c r="T175">
        <v>0</v>
      </c>
      <c r="U175">
        <v>0</v>
      </c>
      <c r="V175">
        <v>0</v>
      </c>
      <c r="W175">
        <v>4</v>
      </c>
      <c r="X175">
        <v>10</v>
      </c>
      <c r="Y175">
        <v>7</v>
      </c>
      <c r="Z175">
        <v>18</v>
      </c>
      <c r="AA175">
        <v>18</v>
      </c>
      <c r="AB175">
        <v>9</v>
      </c>
      <c r="AC175">
        <v>9</v>
      </c>
      <c r="AD175">
        <v>0</v>
      </c>
      <c r="AE175">
        <v>0</v>
      </c>
      <c r="AF175">
        <v>0</v>
      </c>
      <c r="AG175">
        <v>0</v>
      </c>
      <c r="AH175">
        <v>0</v>
      </c>
      <c r="AI175">
        <v>95</v>
      </c>
      <c r="AJ175">
        <v>0</v>
      </c>
    </row>
    <row r="176" spans="1:36" x14ac:dyDescent="0.3">
      <c r="A176" t="s">
        <v>199</v>
      </c>
      <c r="B176" s="293">
        <v>45990</v>
      </c>
      <c r="C176" t="s">
        <v>788</v>
      </c>
      <c r="D176" t="s">
        <v>864</v>
      </c>
      <c r="E176" t="s">
        <v>754</v>
      </c>
      <c r="F176" t="s">
        <v>189</v>
      </c>
      <c r="G176">
        <v>1</v>
      </c>
      <c r="H176">
        <v>180</v>
      </c>
      <c r="I176">
        <v>180</v>
      </c>
      <c r="J176">
        <v>135</v>
      </c>
      <c r="K176" t="s">
        <v>190</v>
      </c>
      <c r="L176" s="293">
        <v>45976</v>
      </c>
      <c r="M176">
        <v>0</v>
      </c>
      <c r="N176">
        <v>0</v>
      </c>
      <c r="O176">
        <v>2</v>
      </c>
      <c r="P176" t="s">
        <v>81</v>
      </c>
      <c r="Q176">
        <v>0</v>
      </c>
      <c r="R176">
        <v>0</v>
      </c>
      <c r="S176">
        <v>0</v>
      </c>
      <c r="T176">
        <v>0</v>
      </c>
      <c r="U176">
        <v>0</v>
      </c>
      <c r="V176">
        <v>0</v>
      </c>
      <c r="W176">
        <v>0</v>
      </c>
      <c r="X176">
        <v>2</v>
      </c>
      <c r="Y176">
        <v>0</v>
      </c>
      <c r="Z176">
        <v>8</v>
      </c>
      <c r="AA176">
        <v>17</v>
      </c>
      <c r="AB176">
        <v>9</v>
      </c>
      <c r="AC176">
        <v>9</v>
      </c>
      <c r="AD176">
        <v>0</v>
      </c>
      <c r="AE176">
        <v>0</v>
      </c>
      <c r="AF176">
        <v>0</v>
      </c>
      <c r="AG176">
        <v>0</v>
      </c>
      <c r="AH176">
        <v>0</v>
      </c>
      <c r="AI176">
        <v>135</v>
      </c>
      <c r="AJ176">
        <v>0</v>
      </c>
    </row>
    <row r="177" spans="1:36" x14ac:dyDescent="0.3">
      <c r="A177" t="s">
        <v>203</v>
      </c>
      <c r="B177" s="293">
        <v>45991</v>
      </c>
      <c r="C177" t="s">
        <v>897</v>
      </c>
      <c r="D177" t="s">
        <v>955</v>
      </c>
      <c r="E177" t="s">
        <v>891</v>
      </c>
      <c r="F177" t="s">
        <v>189</v>
      </c>
      <c r="G177">
        <v>0.5222</v>
      </c>
      <c r="H177">
        <v>180</v>
      </c>
      <c r="I177">
        <v>94</v>
      </c>
      <c r="J177">
        <v>45</v>
      </c>
      <c r="K177" t="s">
        <v>190</v>
      </c>
      <c r="L177" s="293">
        <v>45980</v>
      </c>
      <c r="M177">
        <v>1</v>
      </c>
      <c r="N177">
        <v>7</v>
      </c>
      <c r="O177">
        <v>31</v>
      </c>
      <c r="P177" t="s">
        <v>215</v>
      </c>
      <c r="Q177">
        <v>1</v>
      </c>
      <c r="R177">
        <v>0</v>
      </c>
      <c r="S177">
        <v>0</v>
      </c>
      <c r="T177">
        <v>0</v>
      </c>
      <c r="U177">
        <v>0</v>
      </c>
      <c r="V177">
        <v>0</v>
      </c>
      <c r="W177">
        <v>0</v>
      </c>
      <c r="X177">
        <v>0</v>
      </c>
      <c r="Y177">
        <v>0</v>
      </c>
      <c r="Z177">
        <v>0</v>
      </c>
      <c r="AA177">
        <v>7</v>
      </c>
      <c r="AB177">
        <v>6</v>
      </c>
      <c r="AC177">
        <v>15</v>
      </c>
      <c r="AD177">
        <v>20</v>
      </c>
      <c r="AE177">
        <v>0</v>
      </c>
      <c r="AF177">
        <v>0</v>
      </c>
      <c r="AG177">
        <v>0</v>
      </c>
      <c r="AH177">
        <v>0</v>
      </c>
      <c r="AI177">
        <v>45</v>
      </c>
      <c r="AJ177">
        <v>0</v>
      </c>
    </row>
    <row r="178" spans="1:36" x14ac:dyDescent="0.3">
      <c r="A178" t="s">
        <v>203</v>
      </c>
      <c r="B178" s="293">
        <v>45991</v>
      </c>
      <c r="C178" t="s">
        <v>902</v>
      </c>
      <c r="D178" t="s">
        <v>940</v>
      </c>
      <c r="E178" t="s">
        <v>891</v>
      </c>
      <c r="F178" t="s">
        <v>189</v>
      </c>
      <c r="G178">
        <v>0.80559999999999998</v>
      </c>
      <c r="H178">
        <v>180</v>
      </c>
      <c r="I178">
        <v>145</v>
      </c>
      <c r="J178">
        <v>82</v>
      </c>
      <c r="K178" t="s">
        <v>190</v>
      </c>
      <c r="L178" s="293">
        <v>45980</v>
      </c>
      <c r="M178">
        <v>5</v>
      </c>
      <c r="N178">
        <v>18</v>
      </c>
      <c r="O178">
        <v>41</v>
      </c>
      <c r="P178" t="s">
        <v>205</v>
      </c>
      <c r="Q178">
        <v>0</v>
      </c>
      <c r="R178">
        <v>0</v>
      </c>
      <c r="S178">
        <v>0</v>
      </c>
      <c r="T178">
        <v>0</v>
      </c>
      <c r="U178">
        <v>0</v>
      </c>
      <c r="V178">
        <v>0</v>
      </c>
      <c r="W178">
        <v>0</v>
      </c>
      <c r="X178">
        <v>0</v>
      </c>
      <c r="Y178">
        <v>0</v>
      </c>
      <c r="Z178">
        <v>0</v>
      </c>
      <c r="AA178">
        <v>2</v>
      </c>
      <c r="AB178">
        <v>16</v>
      </c>
      <c r="AC178">
        <v>15</v>
      </c>
      <c r="AD178">
        <v>25</v>
      </c>
      <c r="AE178">
        <v>3</v>
      </c>
      <c r="AF178">
        <v>2</v>
      </c>
      <c r="AG178">
        <v>37</v>
      </c>
      <c r="AH178">
        <v>0</v>
      </c>
      <c r="AI178">
        <v>45</v>
      </c>
      <c r="AJ178">
        <v>0</v>
      </c>
    </row>
    <row r="179" spans="1:36" x14ac:dyDescent="0.3">
      <c r="A179" t="s">
        <v>203</v>
      </c>
      <c r="B179" s="293">
        <v>45991</v>
      </c>
      <c r="C179" t="s">
        <v>1228</v>
      </c>
      <c r="D179" t="s">
        <v>1183</v>
      </c>
      <c r="E179" t="s">
        <v>1213</v>
      </c>
      <c r="F179" t="s">
        <v>189</v>
      </c>
      <c r="G179">
        <v>0.51959999999999995</v>
      </c>
      <c r="H179">
        <v>179</v>
      </c>
      <c r="I179">
        <v>93</v>
      </c>
      <c r="J179">
        <v>0</v>
      </c>
      <c r="K179" t="s">
        <v>190</v>
      </c>
      <c r="L179" s="293">
        <v>45980</v>
      </c>
      <c r="M179">
        <v>2</v>
      </c>
      <c r="N179">
        <v>2</v>
      </c>
      <c r="O179">
        <v>13</v>
      </c>
      <c r="P179" t="s">
        <v>1247</v>
      </c>
      <c r="Q179">
        <v>0</v>
      </c>
      <c r="R179">
        <v>0</v>
      </c>
      <c r="S179">
        <v>0</v>
      </c>
      <c r="T179">
        <v>1</v>
      </c>
      <c r="U179">
        <v>14</v>
      </c>
      <c r="V179">
        <v>9</v>
      </c>
      <c r="W179">
        <v>7</v>
      </c>
      <c r="X179">
        <v>1</v>
      </c>
      <c r="Y179">
        <v>0</v>
      </c>
      <c r="Z179">
        <v>1</v>
      </c>
      <c r="AA179">
        <v>12</v>
      </c>
      <c r="AB179">
        <v>16</v>
      </c>
      <c r="AC179">
        <v>12</v>
      </c>
      <c r="AD179">
        <v>13</v>
      </c>
      <c r="AE179">
        <v>6</v>
      </c>
      <c r="AF179">
        <v>1</v>
      </c>
      <c r="AG179">
        <v>0</v>
      </c>
      <c r="AH179">
        <v>0</v>
      </c>
      <c r="AI179">
        <v>0</v>
      </c>
      <c r="AJ179">
        <v>0</v>
      </c>
    </row>
    <row r="180" spans="1:36" x14ac:dyDescent="0.3">
      <c r="A180" t="s">
        <v>203</v>
      </c>
      <c r="B180" s="293">
        <v>45991</v>
      </c>
      <c r="C180" t="s">
        <v>1554</v>
      </c>
      <c r="D180" t="s">
        <v>1210</v>
      </c>
      <c r="E180" t="s">
        <v>1551</v>
      </c>
      <c r="F180" t="s">
        <v>189</v>
      </c>
      <c r="G180">
        <v>0.62570000000000003</v>
      </c>
      <c r="H180">
        <v>179</v>
      </c>
      <c r="I180">
        <v>112</v>
      </c>
      <c r="J180">
        <v>0</v>
      </c>
      <c r="K180" t="s">
        <v>190</v>
      </c>
      <c r="L180" s="293">
        <v>45980</v>
      </c>
      <c r="M180">
        <v>3</v>
      </c>
      <c r="N180">
        <v>9</v>
      </c>
      <c r="O180">
        <v>34</v>
      </c>
      <c r="P180" t="s">
        <v>568</v>
      </c>
      <c r="Q180">
        <v>0</v>
      </c>
      <c r="R180">
        <v>0</v>
      </c>
      <c r="S180">
        <v>0</v>
      </c>
      <c r="T180">
        <v>1</v>
      </c>
      <c r="U180">
        <v>0</v>
      </c>
      <c r="V180">
        <v>2</v>
      </c>
      <c r="W180">
        <v>24</v>
      </c>
      <c r="X180">
        <v>8</v>
      </c>
      <c r="Y180">
        <v>10</v>
      </c>
      <c r="Z180">
        <v>15</v>
      </c>
      <c r="AA180">
        <v>11</v>
      </c>
      <c r="AB180">
        <v>10</v>
      </c>
      <c r="AC180">
        <v>12</v>
      </c>
      <c r="AD180">
        <v>5</v>
      </c>
      <c r="AE180">
        <v>8</v>
      </c>
      <c r="AF180">
        <v>4</v>
      </c>
      <c r="AG180">
        <v>0</v>
      </c>
      <c r="AH180">
        <v>0</v>
      </c>
      <c r="AI180">
        <v>0</v>
      </c>
      <c r="AJ180">
        <v>2</v>
      </c>
    </row>
    <row r="181" spans="1:36" x14ac:dyDescent="0.3">
      <c r="A181" t="s">
        <v>203</v>
      </c>
      <c r="B181" s="293">
        <v>45991</v>
      </c>
      <c r="C181" t="s">
        <v>367</v>
      </c>
      <c r="D181" t="s">
        <v>581</v>
      </c>
      <c r="E181" t="s">
        <v>335</v>
      </c>
      <c r="F181" t="s">
        <v>189</v>
      </c>
      <c r="G181">
        <v>0.95</v>
      </c>
      <c r="H181">
        <v>180</v>
      </c>
      <c r="I181">
        <v>171</v>
      </c>
      <c r="J181">
        <v>90</v>
      </c>
      <c r="K181" t="s">
        <v>190</v>
      </c>
      <c r="L181" s="293">
        <v>45979</v>
      </c>
      <c r="M181">
        <v>0</v>
      </c>
      <c r="N181">
        <v>1</v>
      </c>
      <c r="O181">
        <v>12</v>
      </c>
      <c r="P181" t="s">
        <v>570</v>
      </c>
      <c r="Q181">
        <v>0</v>
      </c>
      <c r="R181">
        <v>0</v>
      </c>
      <c r="S181">
        <v>0</v>
      </c>
      <c r="T181">
        <v>0</v>
      </c>
      <c r="U181">
        <v>0</v>
      </c>
      <c r="V181">
        <v>0</v>
      </c>
      <c r="W181">
        <v>7</v>
      </c>
      <c r="X181">
        <v>9</v>
      </c>
      <c r="Y181">
        <v>15</v>
      </c>
      <c r="Z181">
        <v>12</v>
      </c>
      <c r="AA181">
        <v>9</v>
      </c>
      <c r="AB181">
        <v>10</v>
      </c>
      <c r="AC181">
        <v>4</v>
      </c>
      <c r="AD181">
        <v>5</v>
      </c>
      <c r="AE181">
        <v>5</v>
      </c>
      <c r="AF181">
        <v>5</v>
      </c>
      <c r="AG181">
        <v>45</v>
      </c>
      <c r="AH181">
        <v>0</v>
      </c>
      <c r="AI181">
        <v>45</v>
      </c>
      <c r="AJ181">
        <v>0</v>
      </c>
    </row>
    <row r="182" spans="1:36" x14ac:dyDescent="0.3">
      <c r="A182" t="s">
        <v>203</v>
      </c>
      <c r="B182" s="293">
        <v>45991</v>
      </c>
      <c r="C182" t="s">
        <v>421</v>
      </c>
      <c r="D182" t="s">
        <v>643</v>
      </c>
      <c r="E182" t="s">
        <v>335</v>
      </c>
      <c r="F182" t="s">
        <v>189</v>
      </c>
      <c r="G182">
        <v>1</v>
      </c>
      <c r="H182">
        <v>180</v>
      </c>
      <c r="I182">
        <v>180</v>
      </c>
      <c r="J182">
        <v>89</v>
      </c>
      <c r="K182" t="s">
        <v>190</v>
      </c>
      <c r="L182" s="293">
        <v>45979</v>
      </c>
      <c r="M182">
        <v>0</v>
      </c>
      <c r="N182">
        <v>2</v>
      </c>
      <c r="O182">
        <v>5</v>
      </c>
      <c r="P182" t="s">
        <v>81</v>
      </c>
      <c r="Q182">
        <v>0</v>
      </c>
      <c r="R182">
        <v>0</v>
      </c>
      <c r="S182">
        <v>0</v>
      </c>
      <c r="T182">
        <v>0</v>
      </c>
      <c r="U182">
        <v>0</v>
      </c>
      <c r="V182">
        <v>0</v>
      </c>
      <c r="W182">
        <v>0</v>
      </c>
      <c r="X182">
        <v>0</v>
      </c>
      <c r="Y182">
        <v>7</v>
      </c>
      <c r="Z182">
        <v>8</v>
      </c>
      <c r="AA182">
        <v>11</v>
      </c>
      <c r="AB182">
        <v>10</v>
      </c>
      <c r="AC182">
        <v>11</v>
      </c>
      <c r="AD182">
        <v>12</v>
      </c>
      <c r="AE182">
        <v>22</v>
      </c>
      <c r="AF182">
        <v>10</v>
      </c>
      <c r="AG182">
        <v>0</v>
      </c>
      <c r="AH182">
        <v>0</v>
      </c>
      <c r="AI182">
        <v>89</v>
      </c>
      <c r="AJ182">
        <v>0</v>
      </c>
    </row>
    <row r="183" spans="1:36" x14ac:dyDescent="0.3">
      <c r="A183" t="s">
        <v>203</v>
      </c>
      <c r="B183" s="293">
        <v>45991</v>
      </c>
      <c r="C183" t="s">
        <v>375</v>
      </c>
      <c r="D183" t="s">
        <v>607</v>
      </c>
      <c r="E183" t="s">
        <v>335</v>
      </c>
      <c r="F183" t="s">
        <v>189</v>
      </c>
      <c r="G183">
        <v>1</v>
      </c>
      <c r="H183">
        <v>180</v>
      </c>
      <c r="I183">
        <v>180</v>
      </c>
      <c r="J183">
        <v>90</v>
      </c>
      <c r="K183" t="s">
        <v>190</v>
      </c>
      <c r="L183" s="293">
        <v>45966</v>
      </c>
      <c r="M183">
        <v>0</v>
      </c>
      <c r="N183">
        <v>0</v>
      </c>
      <c r="O183">
        <v>0</v>
      </c>
      <c r="P183" t="s">
        <v>81</v>
      </c>
      <c r="Q183">
        <v>0</v>
      </c>
      <c r="R183">
        <v>0</v>
      </c>
      <c r="S183">
        <v>0</v>
      </c>
      <c r="T183">
        <v>0</v>
      </c>
      <c r="U183">
        <v>0</v>
      </c>
      <c r="V183">
        <v>0</v>
      </c>
      <c r="W183">
        <v>0</v>
      </c>
      <c r="X183">
        <v>0</v>
      </c>
      <c r="Y183">
        <v>2</v>
      </c>
      <c r="Z183">
        <v>10</v>
      </c>
      <c r="AA183">
        <v>12</v>
      </c>
      <c r="AB183">
        <v>11</v>
      </c>
      <c r="AC183">
        <v>11</v>
      </c>
      <c r="AD183">
        <v>23</v>
      </c>
      <c r="AE183">
        <v>11</v>
      </c>
      <c r="AF183">
        <v>10</v>
      </c>
      <c r="AG183">
        <v>0</v>
      </c>
      <c r="AH183">
        <v>0</v>
      </c>
      <c r="AI183">
        <v>90</v>
      </c>
      <c r="AJ183">
        <v>0</v>
      </c>
    </row>
    <row r="184" spans="1:36" x14ac:dyDescent="0.3">
      <c r="A184" t="s">
        <v>203</v>
      </c>
      <c r="B184" s="293">
        <v>45991</v>
      </c>
      <c r="C184" t="s">
        <v>383</v>
      </c>
      <c r="D184" t="s">
        <v>649</v>
      </c>
      <c r="E184" t="s">
        <v>335</v>
      </c>
      <c r="F184" t="s">
        <v>189</v>
      </c>
      <c r="G184">
        <v>0.92779999999999996</v>
      </c>
      <c r="H184">
        <v>180</v>
      </c>
      <c r="I184">
        <v>167</v>
      </c>
      <c r="J184">
        <v>90</v>
      </c>
      <c r="K184" t="s">
        <v>190</v>
      </c>
      <c r="L184" s="293">
        <v>45980</v>
      </c>
      <c r="M184">
        <v>2</v>
      </c>
      <c r="N184">
        <v>8</v>
      </c>
      <c r="O184">
        <v>22</v>
      </c>
      <c r="P184" t="s">
        <v>568</v>
      </c>
      <c r="Q184">
        <v>0</v>
      </c>
      <c r="R184">
        <v>0</v>
      </c>
      <c r="S184">
        <v>0</v>
      </c>
      <c r="T184">
        <v>0</v>
      </c>
      <c r="U184">
        <v>0</v>
      </c>
      <c r="V184">
        <v>0</v>
      </c>
      <c r="W184">
        <v>0</v>
      </c>
      <c r="X184">
        <v>7</v>
      </c>
      <c r="Y184">
        <v>20</v>
      </c>
      <c r="Z184">
        <v>10</v>
      </c>
      <c r="AA184">
        <v>10</v>
      </c>
      <c r="AB184">
        <v>10</v>
      </c>
      <c r="AC184">
        <v>20</v>
      </c>
      <c r="AD184">
        <v>0</v>
      </c>
      <c r="AE184">
        <v>0</v>
      </c>
      <c r="AF184">
        <v>0</v>
      </c>
      <c r="AG184">
        <v>0</v>
      </c>
      <c r="AH184">
        <v>0</v>
      </c>
      <c r="AI184">
        <v>90</v>
      </c>
      <c r="AJ184">
        <v>0</v>
      </c>
    </row>
    <row r="185" spans="1:36" x14ac:dyDescent="0.3">
      <c r="A185" t="s">
        <v>203</v>
      </c>
      <c r="B185" s="293">
        <v>45991</v>
      </c>
      <c r="C185" t="s">
        <v>363</v>
      </c>
      <c r="D185" t="s">
        <v>651</v>
      </c>
      <c r="E185" t="s">
        <v>335</v>
      </c>
      <c r="F185" t="s">
        <v>189</v>
      </c>
      <c r="G185">
        <v>0.92220000000000002</v>
      </c>
      <c r="H185">
        <v>180</v>
      </c>
      <c r="I185">
        <v>166</v>
      </c>
      <c r="J185">
        <v>90</v>
      </c>
      <c r="K185" t="s">
        <v>190</v>
      </c>
      <c r="L185" s="293">
        <v>45980</v>
      </c>
      <c r="M185">
        <v>1</v>
      </c>
      <c r="N185">
        <v>0</v>
      </c>
      <c r="O185">
        <v>4</v>
      </c>
      <c r="P185" t="s">
        <v>572</v>
      </c>
      <c r="Q185">
        <v>0</v>
      </c>
      <c r="R185">
        <v>0</v>
      </c>
      <c r="S185">
        <v>0</v>
      </c>
      <c r="T185">
        <v>0</v>
      </c>
      <c r="U185">
        <v>0</v>
      </c>
      <c r="V185">
        <v>0</v>
      </c>
      <c r="W185">
        <v>5</v>
      </c>
      <c r="X185">
        <v>11</v>
      </c>
      <c r="Y185">
        <v>9</v>
      </c>
      <c r="Z185">
        <v>11</v>
      </c>
      <c r="AA185">
        <v>7</v>
      </c>
      <c r="AB185">
        <v>9</v>
      </c>
      <c r="AC185">
        <v>9</v>
      </c>
      <c r="AD185">
        <v>5</v>
      </c>
      <c r="AE185">
        <v>5</v>
      </c>
      <c r="AF185">
        <v>5</v>
      </c>
      <c r="AG185">
        <v>0</v>
      </c>
      <c r="AH185">
        <v>0</v>
      </c>
      <c r="AI185">
        <v>90</v>
      </c>
      <c r="AJ185">
        <v>0</v>
      </c>
    </row>
    <row r="186" spans="1:36" x14ac:dyDescent="0.3">
      <c r="A186" t="s">
        <v>203</v>
      </c>
      <c r="B186" s="293">
        <v>45991</v>
      </c>
      <c r="C186" t="s">
        <v>78</v>
      </c>
      <c r="D186" t="s">
        <v>204</v>
      </c>
      <c r="E186" t="s">
        <v>1</v>
      </c>
      <c r="F186" t="s">
        <v>189</v>
      </c>
      <c r="G186">
        <v>1</v>
      </c>
      <c r="H186">
        <v>180</v>
      </c>
      <c r="I186">
        <v>180</v>
      </c>
      <c r="J186">
        <v>135</v>
      </c>
      <c r="K186" t="s">
        <v>190</v>
      </c>
      <c r="L186" s="293">
        <v>45980</v>
      </c>
      <c r="M186">
        <v>1</v>
      </c>
      <c r="N186">
        <v>0</v>
      </c>
      <c r="O186">
        <v>5</v>
      </c>
      <c r="P186" t="s">
        <v>81</v>
      </c>
      <c r="Q186">
        <v>0</v>
      </c>
      <c r="R186">
        <v>0</v>
      </c>
      <c r="S186">
        <v>0</v>
      </c>
      <c r="T186">
        <v>0</v>
      </c>
      <c r="U186">
        <v>0</v>
      </c>
      <c r="V186">
        <v>0</v>
      </c>
      <c r="W186">
        <v>0</v>
      </c>
      <c r="X186">
        <v>5</v>
      </c>
      <c r="Y186">
        <v>0</v>
      </c>
      <c r="Z186">
        <v>0</v>
      </c>
      <c r="AA186">
        <v>0</v>
      </c>
      <c r="AB186">
        <v>0</v>
      </c>
      <c r="AC186">
        <v>8</v>
      </c>
      <c r="AD186">
        <v>11</v>
      </c>
      <c r="AE186">
        <v>11</v>
      </c>
      <c r="AF186">
        <v>10</v>
      </c>
      <c r="AG186">
        <v>0</v>
      </c>
      <c r="AH186">
        <v>0</v>
      </c>
      <c r="AI186">
        <v>135</v>
      </c>
      <c r="AJ186">
        <v>0</v>
      </c>
    </row>
    <row r="187" spans="1:36" x14ac:dyDescent="0.3">
      <c r="A187" t="s">
        <v>203</v>
      </c>
      <c r="B187" s="293">
        <v>45991</v>
      </c>
      <c r="C187" t="s">
        <v>1054</v>
      </c>
      <c r="D187" t="s">
        <v>1183</v>
      </c>
      <c r="E187" t="s">
        <v>1016</v>
      </c>
      <c r="F187" t="s">
        <v>189</v>
      </c>
      <c r="G187">
        <v>0.56420000000000003</v>
      </c>
      <c r="H187">
        <v>179</v>
      </c>
      <c r="I187">
        <v>101</v>
      </c>
      <c r="J187">
        <v>0</v>
      </c>
      <c r="K187" t="s">
        <v>190</v>
      </c>
      <c r="L187" s="293">
        <v>45980</v>
      </c>
      <c r="M187">
        <v>1</v>
      </c>
      <c r="N187">
        <v>2</v>
      </c>
      <c r="O187">
        <v>21</v>
      </c>
      <c r="P187" t="s">
        <v>1172</v>
      </c>
      <c r="Q187">
        <v>0</v>
      </c>
      <c r="R187">
        <v>0</v>
      </c>
      <c r="S187">
        <v>0</v>
      </c>
      <c r="T187">
        <v>0</v>
      </c>
      <c r="U187">
        <v>0</v>
      </c>
      <c r="V187">
        <v>2</v>
      </c>
      <c r="W187">
        <v>12</v>
      </c>
      <c r="X187">
        <v>25</v>
      </c>
      <c r="Y187">
        <v>7</v>
      </c>
      <c r="Z187">
        <v>19</v>
      </c>
      <c r="AA187">
        <v>6</v>
      </c>
      <c r="AB187">
        <v>8</v>
      </c>
      <c r="AC187">
        <v>4</v>
      </c>
      <c r="AD187">
        <v>6</v>
      </c>
      <c r="AE187">
        <v>7</v>
      </c>
      <c r="AF187">
        <v>5</v>
      </c>
      <c r="AG187">
        <v>0</v>
      </c>
      <c r="AH187">
        <v>0</v>
      </c>
      <c r="AI187">
        <v>0</v>
      </c>
      <c r="AJ187">
        <v>0</v>
      </c>
    </row>
    <row r="188" spans="1:36" x14ac:dyDescent="0.3">
      <c r="A188" t="s">
        <v>203</v>
      </c>
      <c r="B188" s="293">
        <v>45991</v>
      </c>
      <c r="C188" t="s">
        <v>1460</v>
      </c>
      <c r="D188" t="s">
        <v>1484</v>
      </c>
      <c r="E188" t="s">
        <v>1457</v>
      </c>
      <c r="F188" t="s">
        <v>189</v>
      </c>
      <c r="G188">
        <v>1</v>
      </c>
      <c r="H188">
        <v>179</v>
      </c>
      <c r="I188">
        <v>179</v>
      </c>
      <c r="J188">
        <v>90</v>
      </c>
      <c r="K188" t="s">
        <v>190</v>
      </c>
      <c r="L188" s="293">
        <v>45980</v>
      </c>
      <c r="M188">
        <v>1</v>
      </c>
      <c r="N188">
        <v>0</v>
      </c>
      <c r="O188">
        <v>10</v>
      </c>
      <c r="P188" t="s">
        <v>81</v>
      </c>
      <c r="Q188">
        <v>0</v>
      </c>
      <c r="R188">
        <v>0</v>
      </c>
      <c r="S188">
        <v>0</v>
      </c>
      <c r="T188">
        <v>0</v>
      </c>
      <c r="U188">
        <v>0</v>
      </c>
      <c r="V188">
        <v>0</v>
      </c>
      <c r="W188">
        <v>9</v>
      </c>
      <c r="X188">
        <v>10</v>
      </c>
      <c r="Y188">
        <v>20</v>
      </c>
      <c r="Z188">
        <v>25</v>
      </c>
      <c r="AA188">
        <v>19</v>
      </c>
      <c r="AB188">
        <v>4</v>
      </c>
      <c r="AC188">
        <v>2</v>
      </c>
      <c r="AD188">
        <v>0</v>
      </c>
      <c r="AE188">
        <v>0</v>
      </c>
      <c r="AF188">
        <v>0</v>
      </c>
      <c r="AG188">
        <v>0</v>
      </c>
      <c r="AH188">
        <v>0</v>
      </c>
      <c r="AI188">
        <v>90</v>
      </c>
      <c r="AJ188">
        <v>0</v>
      </c>
    </row>
    <row r="189" spans="1:36" x14ac:dyDescent="0.3">
      <c r="A189" t="s">
        <v>203</v>
      </c>
      <c r="B189" s="293">
        <v>45991</v>
      </c>
      <c r="C189" t="s">
        <v>761</v>
      </c>
      <c r="D189" t="s">
        <v>867</v>
      </c>
      <c r="E189" t="s">
        <v>754</v>
      </c>
      <c r="F189" t="s">
        <v>189</v>
      </c>
      <c r="G189">
        <v>0.99439999999999995</v>
      </c>
      <c r="H189">
        <v>180</v>
      </c>
      <c r="I189">
        <v>179</v>
      </c>
      <c r="J189">
        <v>135</v>
      </c>
      <c r="K189" t="s">
        <v>190</v>
      </c>
      <c r="L189" s="293">
        <v>45980</v>
      </c>
      <c r="M189">
        <v>3</v>
      </c>
      <c r="N189">
        <v>6</v>
      </c>
      <c r="O189">
        <v>17</v>
      </c>
      <c r="P189" t="s">
        <v>81</v>
      </c>
      <c r="Q189">
        <v>0</v>
      </c>
      <c r="R189">
        <v>0</v>
      </c>
      <c r="S189">
        <v>0</v>
      </c>
      <c r="T189">
        <v>0</v>
      </c>
      <c r="U189">
        <v>0</v>
      </c>
      <c r="V189">
        <v>0</v>
      </c>
      <c r="W189">
        <v>0</v>
      </c>
      <c r="X189">
        <v>0</v>
      </c>
      <c r="Y189">
        <v>5</v>
      </c>
      <c r="Z189">
        <v>10</v>
      </c>
      <c r="AA189">
        <v>4</v>
      </c>
      <c r="AB189">
        <v>5</v>
      </c>
      <c r="AC189">
        <v>5</v>
      </c>
      <c r="AD189">
        <v>5</v>
      </c>
      <c r="AE189">
        <v>5</v>
      </c>
      <c r="AF189">
        <v>5</v>
      </c>
      <c r="AG189">
        <v>0</v>
      </c>
      <c r="AH189">
        <v>0</v>
      </c>
      <c r="AI189">
        <v>135</v>
      </c>
      <c r="AJ189">
        <v>0</v>
      </c>
    </row>
    <row r="190" spans="1:36" x14ac:dyDescent="0.3">
      <c r="A190" t="s">
        <v>203</v>
      </c>
      <c r="B190" s="293">
        <v>45991</v>
      </c>
      <c r="C190" t="s">
        <v>788</v>
      </c>
      <c r="D190" t="s">
        <v>870</v>
      </c>
      <c r="E190" t="s">
        <v>754</v>
      </c>
      <c r="F190" t="s">
        <v>189</v>
      </c>
      <c r="G190">
        <v>1</v>
      </c>
      <c r="H190">
        <v>180</v>
      </c>
      <c r="I190">
        <v>180</v>
      </c>
      <c r="J190">
        <v>135</v>
      </c>
      <c r="K190" t="s">
        <v>190</v>
      </c>
      <c r="L190" s="293">
        <v>45978</v>
      </c>
      <c r="M190">
        <v>0</v>
      </c>
      <c r="N190">
        <v>0</v>
      </c>
      <c r="O190">
        <v>5</v>
      </c>
      <c r="P190" t="s">
        <v>81</v>
      </c>
      <c r="Q190">
        <v>0</v>
      </c>
      <c r="R190">
        <v>0</v>
      </c>
      <c r="S190">
        <v>0</v>
      </c>
      <c r="T190">
        <v>0</v>
      </c>
      <c r="U190">
        <v>0</v>
      </c>
      <c r="V190">
        <v>0</v>
      </c>
      <c r="W190">
        <v>0</v>
      </c>
      <c r="X190">
        <v>0</v>
      </c>
      <c r="Y190">
        <v>5</v>
      </c>
      <c r="Z190">
        <v>3</v>
      </c>
      <c r="AA190">
        <v>1</v>
      </c>
      <c r="AB190">
        <v>18</v>
      </c>
      <c r="AC190">
        <v>18</v>
      </c>
      <c r="AD190">
        <v>0</v>
      </c>
      <c r="AE190">
        <v>0</v>
      </c>
      <c r="AF190">
        <v>0</v>
      </c>
      <c r="AG190">
        <v>0</v>
      </c>
      <c r="AH190">
        <v>0</v>
      </c>
      <c r="AI190">
        <v>135</v>
      </c>
      <c r="AJ190">
        <v>0</v>
      </c>
    </row>
    <row r="191" spans="1:36" x14ac:dyDescent="0.3">
      <c r="A191" t="s">
        <v>203</v>
      </c>
      <c r="B191" s="293">
        <v>45991</v>
      </c>
      <c r="C191" t="s">
        <v>249</v>
      </c>
      <c r="D191" t="s">
        <v>200</v>
      </c>
      <c r="E191" t="s">
        <v>246</v>
      </c>
      <c r="F191" t="s">
        <v>189</v>
      </c>
      <c r="G191">
        <v>1</v>
      </c>
      <c r="H191">
        <v>180</v>
      </c>
      <c r="I191">
        <v>180</v>
      </c>
      <c r="J191">
        <v>135</v>
      </c>
      <c r="K191" t="s">
        <v>190</v>
      </c>
      <c r="L191" s="293">
        <v>45977</v>
      </c>
      <c r="M191">
        <v>0</v>
      </c>
      <c r="N191">
        <v>0</v>
      </c>
      <c r="O191">
        <v>2</v>
      </c>
      <c r="P191" t="s">
        <v>81</v>
      </c>
      <c r="Q191">
        <v>0</v>
      </c>
      <c r="R191">
        <v>0</v>
      </c>
      <c r="S191">
        <v>0</v>
      </c>
      <c r="T191">
        <v>0</v>
      </c>
      <c r="U191">
        <v>0</v>
      </c>
      <c r="V191">
        <v>0</v>
      </c>
      <c r="W191">
        <v>0</v>
      </c>
      <c r="X191">
        <v>3</v>
      </c>
      <c r="Y191">
        <v>0</v>
      </c>
      <c r="Z191">
        <v>0</v>
      </c>
      <c r="AA191">
        <v>0</v>
      </c>
      <c r="AB191">
        <v>0</v>
      </c>
      <c r="AC191">
        <v>10</v>
      </c>
      <c r="AD191">
        <v>11</v>
      </c>
      <c r="AE191">
        <v>11</v>
      </c>
      <c r="AF191">
        <v>10</v>
      </c>
      <c r="AG191">
        <v>0</v>
      </c>
      <c r="AH191">
        <v>0</v>
      </c>
      <c r="AI191">
        <v>135</v>
      </c>
      <c r="AJ191">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CAI-MED</vt:lpstr>
      <vt:lpstr>CAI-MED LF LEGACY</vt:lpstr>
      <vt:lpstr>CAI-MED - FOCUS MODE</vt:lpstr>
      <vt:lpstr>CAI-MED - OAL Threats Alert</vt:lpstr>
      <vt:lpstr>HBE-MED</vt:lpstr>
      <vt:lpstr>HBE-MED LF LEGACY</vt:lpstr>
      <vt:lpstr>HBE-MED - FOCUS MODE</vt:lpstr>
      <vt:lpstr>ATZ-MED</vt:lpstr>
      <vt:lpstr>ATZ-MED LF LEGACY</vt:lpstr>
      <vt:lpstr>ATZ-MED - FOCUS MODE</vt:lpstr>
      <vt:lpstr>CAI-JED</vt:lpstr>
      <vt:lpstr>CAI-JED LF LEGACY</vt:lpstr>
      <vt:lpstr>CAI-JED - FOCUS MODE</vt:lpstr>
      <vt:lpstr>CAI-JED - OAL Threats Alert</vt:lpstr>
      <vt:lpstr>HBE-JED</vt:lpstr>
      <vt:lpstr>HBE-JED LF LEGACY</vt:lpstr>
      <vt:lpstr>HBE-JED - FOCUS MODE</vt:lpstr>
      <vt:lpstr>ATZ-JED</vt:lpstr>
      <vt:lpstr>ATZ-JED LF LEGACY</vt:lpstr>
      <vt:lpstr>ATZ-JED - FOCUS MODE</vt:lpstr>
      <vt:lpstr>LXR-JED</vt:lpstr>
      <vt:lpstr>LXR-JED LF LEGACY</vt:lpstr>
      <vt:lpstr>LXR-JED - FOCUS MODE</vt:lpstr>
      <vt:lpstr>ASW-JED</vt:lpstr>
      <vt:lpstr>ASW-JED LF LEGACY</vt:lpstr>
      <vt:lpstr>ASW-JED - FOCUS MODE</vt:lpstr>
      <vt:lpstr>SSH-JED</vt:lpstr>
      <vt:lpstr>SSH-JED LF LEGACY</vt:lpstr>
      <vt:lpstr>SSH-JED - FOCUS MODE</vt:lpstr>
      <vt:lpstr>HRG-JED</vt:lpstr>
      <vt:lpstr>HRG-JED LF LEGACY</vt:lpstr>
      <vt:lpstr>HRG-JED - FOCUS MODE</vt:lpstr>
      <vt:lpstr>CAI-RUH</vt:lpstr>
      <vt:lpstr>CAI-RUH LF LEGACY</vt:lpstr>
      <vt:lpstr>CAI-RUH - FOCUS MODE</vt:lpstr>
      <vt:lpstr>CAI-RUH - OAL Threats Alert</vt:lpstr>
      <vt:lpstr>ATZ-RUH</vt:lpstr>
      <vt:lpstr>ATZ-RUH LF LEGACY</vt:lpstr>
      <vt:lpstr>ATZ-RUH - FOCUS MODE</vt:lpstr>
      <vt:lpstr>CAI-DMM</vt:lpstr>
      <vt:lpstr>CAI-DMM LF LEGACY</vt:lpstr>
      <vt:lpstr>CAI-DMM - FOCUS MODE</vt:lpstr>
      <vt:lpstr>CAI-DMM - OAL Threats Alert</vt:lpstr>
      <vt:lpstr>ATZ-DMM</vt:lpstr>
      <vt:lpstr>ATZ-DMM LF LEGACY</vt:lpstr>
      <vt:lpstr>ATZ-DMM - FOCUS MODE</vt:lpstr>
      <vt:lpstr>CAI-TUU</vt:lpstr>
      <vt:lpstr>CAI-TUU LF LEGACY</vt:lpstr>
      <vt:lpstr>CAI-TUU - FOCUS MODE</vt:lpstr>
      <vt:lpstr>CAI-TUU - OAL Threats Alert</vt:lpstr>
      <vt:lpstr>ATZ-TUU</vt:lpstr>
      <vt:lpstr>ATZ-TUU LF LEGACY</vt:lpstr>
      <vt:lpstr>ATZ-TUU - FOCUS MODE</vt:lpstr>
      <vt:lpstr>CAI-AJF</vt:lpstr>
      <vt:lpstr>CAI-AJF LF LEGACY</vt:lpstr>
      <vt:lpstr>CAI-AJF - FOCUS MODE</vt:lpstr>
      <vt:lpstr>CAI-AJF - OAL Threats Alert</vt:lpstr>
      <vt:lpstr>ATZ-AJF</vt:lpstr>
      <vt:lpstr>ATZ-AJF LF LEGACY</vt:lpstr>
      <vt:lpstr>ATZ-AJF - FOCUS MODE</vt:lpstr>
      <vt:lpstr>CAI-YNB</vt:lpstr>
      <vt:lpstr>CAI-YNB LF LEGACY</vt:lpstr>
      <vt:lpstr>CAI-YNB - FOCUS MODE</vt:lpstr>
      <vt:lpstr>CAI-YNB - OAL Threats Alert</vt:lpstr>
      <vt:lpstr>CAI-AHB</vt:lpstr>
      <vt:lpstr>CAI-AHB LF LEGACY</vt:lpstr>
      <vt:lpstr>CAI-AHB - FOCUS MODE</vt:lpstr>
      <vt:lpstr>CAI-AHB - OAL Threats Alert</vt:lpstr>
      <vt:lpstr>ATZ-AHB</vt:lpstr>
      <vt:lpstr>ATZ-AHB LF LEGACY</vt:lpstr>
      <vt:lpstr>ATZ-AHB - FOCUS MODE</vt:lpstr>
      <vt:lpstr>CAI-ELQ</vt:lpstr>
      <vt:lpstr>CAI-ELQ LF LEGACY</vt:lpstr>
      <vt:lpstr>CAI-ELQ - FOCUS MODE</vt:lpstr>
      <vt:lpstr>CAI-ELQ - OAL Threats Alert</vt:lpstr>
      <vt:lpstr>ATZ-ELQ</vt:lpstr>
      <vt:lpstr>ATZ-ELQ LF LEGACY</vt:lpstr>
      <vt:lpstr>ATZ-ELQ - FOCUS MODE</vt:lpstr>
      <vt:lpstr>CAI-GIZ</vt:lpstr>
      <vt:lpstr>CAI-GIZ LF LEGACY</vt:lpstr>
      <vt:lpstr>CAI-GIZ - FOCUS MODE</vt:lpstr>
      <vt:lpstr>CAI-GIZ - OAL Threats Alert</vt:lpstr>
      <vt:lpstr>EGY_TO_KSA_ALL_ROUTES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2025-11-19T11:01:11Z</dcterms:created>
  <dcterms:modified xsi:type="dcterms:W3CDTF">2025-11-19T11:04:43Z</dcterms:modified>
</cp:coreProperties>
</file>