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5.xml" ContentType="application/vnd.openxmlformats-officedocument.spreadsheetml.comments+xml"/>
  <Override PartName="/xl/tables/table9.xml" ContentType="application/vnd.openxmlformats-officedocument.spreadsheetml.table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72C6C657-09BD-4EEF-8E1B-3E129E7B9F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- FOCUS MODE" sheetId="3" r:id="rId3"/>
    <sheet name="MED-CAI - OAL Threats Alert" sheetId="4" r:id="rId4"/>
    <sheet name="JED-CAI" sheetId="5" r:id="rId5"/>
    <sheet name="JED-CAI LF LEGACY" sheetId="6" r:id="rId6"/>
    <sheet name="JED-CAI - FOCUS MODE" sheetId="7" r:id="rId7"/>
    <sheet name="JED-CAI - OAL Threats Alert" sheetId="8" r:id="rId8"/>
    <sheet name="RUH-CAI" sheetId="9" r:id="rId9"/>
    <sheet name="RUH-CAI LF LEGACY" sheetId="10" r:id="rId10"/>
    <sheet name="RUH-CAI - FOCUS MODE" sheetId="11" r:id="rId11"/>
    <sheet name="RUH-CAI - OAL Threats Aler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10" l="1"/>
  <c r="E8" i="10"/>
  <c r="G8" i="10"/>
  <c r="H8" i="10"/>
  <c r="I8" i="10"/>
  <c r="J8" i="10"/>
  <c r="M8" i="10"/>
  <c r="N8" i="10"/>
  <c r="O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C24" i="6"/>
  <c r="E24" i="6"/>
  <c r="G24" i="6"/>
  <c r="H24" i="6"/>
  <c r="I24" i="6"/>
  <c r="J24" i="6"/>
  <c r="M24" i="6"/>
  <c r="N24" i="6"/>
  <c r="O24" i="6"/>
  <c r="Q24" i="6"/>
  <c r="R24" i="6"/>
  <c r="S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AJ24" i="6"/>
  <c r="C6" i="2"/>
  <c r="E6" i="2"/>
  <c r="G6" i="2"/>
  <c r="H6" i="2"/>
  <c r="I6" i="2"/>
  <c r="J6" i="2"/>
  <c r="M6" i="2"/>
  <c r="N6" i="2"/>
  <c r="O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AF6" i="2"/>
  <c r="AG6" i="2"/>
  <c r="AH6" i="2"/>
  <c r="AI6" i="2"/>
  <c r="AJ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6" authorId="0" shapeId="0" xr:uid="{E6966174-AB25-4E5D-8060-F6F5E55AF6F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B6" authorId="0" shapeId="0" xr:uid="{14104BC7-82BC-4F58-A3B6-A4CCCA7B552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C6" authorId="0" shapeId="0" xr:uid="{2C7C433D-6052-4FBB-9583-002B8057F8F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D6" authorId="0" shapeId="0" xr:uid="{B44A21EC-26C0-4CCC-8AC9-B54F2BFEF8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E6" authorId="0" shapeId="0" xr:uid="{F01D4C01-61F1-479E-BED3-80630AD37B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F6" authorId="0" shapeId="0" xr:uid="{2CF2703E-6DB2-43FE-A720-E9FFFA516D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G6" authorId="0" shapeId="0" xr:uid="{AFAB2CB6-027F-4AAD-A446-2591F663AA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H6" authorId="0" shapeId="0" xr:uid="{BDE1D0F5-9CFA-4EFE-8A77-1DDC9DC16A7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A9" authorId="0" shapeId="0" xr:uid="{F247FA03-E6FA-4340-B894-A2F64C74CF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B9" authorId="0" shapeId="0" xr:uid="{7C561ADF-ADDB-4308-B623-A80CA6D59D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C9" authorId="0" shapeId="0" xr:uid="{1424F040-ACE7-42A7-A7C6-46A08563D48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D9" authorId="0" shapeId="0" xr:uid="{E6C458F5-9E3D-433D-87C8-D38AB6AC601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E9" authorId="0" shapeId="0" xr:uid="{E2667F96-5532-4724-B0E5-140E43E01E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F9" authorId="0" shapeId="0" xr:uid="{74ADB276-329D-46F9-9D6D-0029944988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G9" authorId="0" shapeId="0" xr:uid="{4EFEEEE0-7C09-4E47-996F-087DEFD432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H9" authorId="0" shapeId="0" xr:uid="{036E38F8-FD93-49D2-8AEE-E5AA8CDD70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A22" authorId="0" shapeId="0" xr:uid="{3C89ACD0-E676-4F4B-BD88-354CFFC237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B22" authorId="0" shapeId="0" xr:uid="{AB8D45A8-89BB-4679-AC84-F374E388D79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C22" authorId="0" shapeId="0" xr:uid="{B15ED47A-CD5D-4475-A85B-3CF0A1B41AE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D22" authorId="0" shapeId="0" xr:uid="{AD2263FF-6D6D-4179-8321-194E2A4CAAB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E22" authorId="0" shapeId="0" xr:uid="{22BD5835-0F2C-4826-AC07-F875FF311DF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F22" authorId="0" shapeId="0" xr:uid="{A7C07574-9BDC-4DF0-B6A9-0C5330AD176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G22" authorId="0" shapeId="0" xr:uid="{EADDC7A5-45F8-473B-9821-80B8954CBD2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H22" authorId="0" shapeId="0" xr:uid="{526C70DD-D6CF-4B6C-8AE8-AC3D896487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A54" authorId="0" shapeId="0" xr:uid="{7895C83F-29AF-43C2-B99D-05050C081C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B54" authorId="0" shapeId="0" xr:uid="{D979DD59-9532-4481-8401-9F43058BC99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C54" authorId="0" shapeId="0" xr:uid="{6017BC67-6756-4FA5-B929-5FC01088269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D54" authorId="0" shapeId="0" xr:uid="{B49F00DF-FD06-44D9-8891-DEBE887A8A9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E54" authorId="0" shapeId="0" xr:uid="{345AD178-AB6F-4E64-982A-827D3B69643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F54" authorId="0" shapeId="0" xr:uid="{0CB0A6AB-11CC-4AA4-9FE9-63D2AA7A85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G54" authorId="0" shapeId="0" xr:uid="{D5CC9042-CF86-43F6-A389-59C82FA52E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H54" authorId="0" shapeId="0" xr:uid="{C0BFD6D1-594F-4BD1-9FB0-4C6D121DB48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3" authorId="0" shapeId="0" xr:uid="{B9DFD905-53B5-4D5E-A400-712F10720D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B3" authorId="0" shapeId="0" xr:uid="{1F36AE41-099A-4E5B-B931-49BAD1F1A1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C3" authorId="0" shapeId="0" xr:uid="{6DBA5970-9C19-468A-BB5A-C50E119F22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D3" authorId="0" shapeId="0" xr:uid="{DF6CFF2E-694C-49B5-A748-B471BFBDC6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E3" authorId="0" shapeId="0" xr:uid="{9C5A4314-838B-4E97-AA80-66B4A0D2C14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F3" authorId="0" shapeId="0" xr:uid="{841E77E4-3B3F-4332-9F5F-347C695655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G3" authorId="0" shapeId="0" xr:uid="{9A3C4447-81BC-4BDB-AFF6-DC933D0DDF2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H3" authorId="0" shapeId="0" xr:uid="{A342C1A7-7017-43DD-9888-0A0A02C740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G9]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L5 &amp; G15 &amp; S10 &amp; W10 &amp; T10 &amp; X10 &amp; U10 &amp; O10 &amp; I10</t>
        </r>
      </text>
    </comment>
    <comment ref="A5" authorId="0" shapeId="0" xr:uid="{23A82721-A32D-4FE9-816E-32BCE81BAF4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B5" authorId="0" shapeId="0" xr:uid="{2762B097-B708-4385-84E0-0CBC3D158C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C5" authorId="0" shapeId="0" xr:uid="{0C60EBF0-3E88-46C9-B910-33689FC6898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D5" authorId="0" shapeId="0" xr:uid="{A9D14075-F066-4748-8EA0-3B112ABF0A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E5" authorId="0" shapeId="0" xr:uid="{EA35B8CB-1A33-4E61-B790-24C6C05FBD0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F5" authorId="0" shapeId="0" xr:uid="{F2C4C109-D879-4AFD-A716-413A94AA2EA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G5" authorId="0" shapeId="0" xr:uid="{9FCDA5EA-B453-4B44-9A07-A834F76344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H5" authorId="0" shapeId="0" xr:uid="{2242F07C-8745-486A-AE92-EFA856FD38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V8]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04-NOV]_x000D_
_x000D_
{CLASSES}_x000D_
_x000D_
L1 &amp; I4 &amp; E44 &amp; P114</t>
        </r>
      </text>
    </comment>
    <comment ref="A9" authorId="0" shapeId="0" xr:uid="{7E873CF4-EF0F-4B95-A25F-61C662CA711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B9" authorId="0" shapeId="0" xr:uid="{F7806FFF-C1EA-4638-AF24-08749F22C3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C9" authorId="0" shapeId="0" xr:uid="{F29B1F88-1378-4F78-9661-0C3F6478B4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D9" authorId="0" shapeId="0" xr:uid="{5BC33B34-4BBC-4275-9A12-8DF2B06BEC5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E9" authorId="0" shapeId="0" xr:uid="{44DA8A6A-6BDD-40DD-B027-A5133EA0A3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F9" authorId="0" shapeId="0" xr:uid="{25A91796-AD2A-4E79-A4AA-C03C125AD93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G9" authorId="0" shapeId="0" xr:uid="{BC5212E7-6499-4F5B-BCA8-713674BC460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H9" authorId="0" shapeId="0" xr:uid="{D7CBCD41-26BE-4C50-93FA-716A2DFF38C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100.0%]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Q2 &amp; K5 &amp; V4 &amp; S11 &amp; X3 &amp; U5 &amp; O9 &amp; I17 &amp; P123</t>
        </r>
      </text>
    </comment>
    <comment ref="A27" authorId="0" shapeId="0" xr:uid="{98C4F90A-58A6-4643-BD7E-30062CB833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B27" authorId="0" shapeId="0" xr:uid="{E2DACA8D-76DD-4DA8-8E0D-727271391F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C27" authorId="0" shapeId="0" xr:uid="{103360C3-B436-4630-981A-AA3048114C3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D27" authorId="0" shapeId="0" xr:uid="{D1640DE8-BB96-49E9-AA47-E84A65A6AD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E27" authorId="0" shapeId="0" xr:uid="{2119269B-4FF7-4862-8D94-D18439E42D1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F27" authorId="0" shapeId="0" xr:uid="{27975653-7D69-4888-A460-BB618E0A084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G27" authorId="0" shapeId="0" xr:uid="{39101192-C07C-4807-B1D7-1F7C7ACE67A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  <comment ref="H27" authorId="0" shapeId="0" xr:uid="{3AE7DD5B-B2F3-4C95-9662-E7735193A6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SM494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98.3%]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171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B4]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V7 &amp; L2 &amp; S1 &amp; U6 &amp; O9 &amp; I17 &amp; P128 &amp; N1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7" authorId="0" shapeId="0" xr:uid="{428A7D2B-31DB-4835-88B5-2115BDB7E9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B7" authorId="0" shapeId="0" xr:uid="{21EB8C66-81B4-4DD9-A7D9-FEE53DB0D6C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C7" authorId="0" shapeId="0" xr:uid="{ADDDBE4B-A129-45C1-B338-C5CEC58592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D7" authorId="0" shapeId="0" xr:uid="{2D9E1C30-48A3-4633-A7EB-20ADA276EC8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E7" authorId="0" shapeId="0" xr:uid="{386002FA-077F-4048-8ECF-8A0400ADF9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F7" authorId="0" shapeId="0" xr:uid="{B9ECA859-D09D-4885-BC71-6CB69ECF672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G7" authorId="0" shapeId="0" xr:uid="{59F83A85-5960-4907-82F7-526BF6CAA5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H7" authorId="0" shapeId="0" xr:uid="{286AEACD-7ACE-4CA3-AD5A-FC7ECA66348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A8" authorId="0" shapeId="0" xr:uid="{376C0518-2C8F-46B9-86EF-BC96CFC7D8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B8" authorId="0" shapeId="0" xr:uid="{7EAB52EE-423A-4F8C-ADD9-D26BD2DD802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C8" authorId="0" shapeId="0" xr:uid="{CCBDF51A-EEBA-4EBC-9896-EE970A4F16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D8" authorId="0" shapeId="0" xr:uid="{789A2226-09A3-45C0-B9EE-D3AD4E6B2EB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E8" authorId="0" shapeId="0" xr:uid="{7EC54FD7-8C43-4EB9-8431-EF4693F84B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F8" authorId="0" shapeId="0" xr:uid="{3D90B8E6-4FF5-4208-993B-34EC3FAB099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G8" authorId="0" shapeId="0" xr:uid="{DB662E6B-18AC-4F87-94C5-FABBB6F182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H8" authorId="0" shapeId="0" xr:uid="{40A72F36-27F2-4662-B509-A9557A39A0A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A9" authorId="0" shapeId="0" xr:uid="{E5A665AD-E99E-4F38-A6D1-7F8E6E2272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B9" authorId="0" shapeId="0" xr:uid="{3B96535C-3A71-41EE-A78F-4B487AC70C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C9" authorId="0" shapeId="0" xr:uid="{C9CF5332-17E6-48FA-A70C-E0E3C6E137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D9" authorId="0" shapeId="0" xr:uid="{32F734E8-890B-470D-8C15-FFAC63BAC46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E9" authorId="0" shapeId="0" xr:uid="{B6410F1A-430F-4A1B-856A-0F74177744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F9" authorId="0" shapeId="0" xr:uid="{6FFB0E25-22B2-4C8E-B476-D70DD057C1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G9" authorId="0" shapeId="0" xr:uid="{56017323-BBD9-44E3-A65F-4A5337EC86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H9" authorId="0" shapeId="0" xr:uid="{A42192D0-A300-4BB9-8E55-28A77A59EB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A10" authorId="0" shapeId="0" xr:uid="{E96132A4-2E68-4AFA-8CD1-8CB69144FF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B10" authorId="0" shapeId="0" xr:uid="{325FBE09-50C4-4037-9EF7-7C4A7BBC656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C10" authorId="0" shapeId="0" xr:uid="{08A26C67-1FAC-4818-BE7D-16BB1AAF8D9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D10" authorId="0" shapeId="0" xr:uid="{B277E92A-390C-4F2A-9E91-DBAB79A8EEF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E10" authorId="0" shapeId="0" xr:uid="{DC6BDF63-B0C8-4143-90F8-1BF94F0383E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F10" authorId="0" shapeId="0" xr:uid="{3596BBC6-AC04-472E-9B94-A79CC2391B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G10" authorId="0" shapeId="0" xr:uid="{04B25B9A-FE30-480E-BCD4-F94C006B80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H10" authorId="0" shapeId="0" xr:uid="{C7349AE3-81E2-445C-933F-A607A2792B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A15" authorId="0" shapeId="0" xr:uid="{EB633B30-FB10-495E-B623-ADD246BE34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B15" authorId="0" shapeId="0" xr:uid="{3D707362-4A6F-41D3-805A-25A88DD50E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C15" authorId="0" shapeId="0" xr:uid="{4A9CFD95-6AB5-46CD-BDDB-43C838877E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D15" authorId="0" shapeId="0" xr:uid="{4E99D0A8-AA94-4B7E-BBE5-541EC2474CE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E15" authorId="0" shapeId="0" xr:uid="{7CF763FD-CB06-4D75-8949-2DA3B3240B9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F15" authorId="0" shapeId="0" xr:uid="{9B0A1A21-85EB-4549-91FA-D9E27CF4E5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G15" authorId="0" shapeId="0" xr:uid="{EA6BFEB0-0C97-444E-8CAD-A72A20B18E4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H15" authorId="0" shapeId="0" xr:uid="{8E3732FA-90B5-4EC7-9531-9B8915A7F7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A75" authorId="0" shapeId="0" xr:uid="{AE712892-FC44-49B9-A4CE-963BD3A380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B75" authorId="0" shapeId="0" xr:uid="{BD3355CA-E7F9-447E-990A-1C64D207093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C75" authorId="0" shapeId="0" xr:uid="{9553028C-2378-4B36-B0F3-7CCE3E0367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D75" authorId="0" shapeId="0" xr:uid="{1A32C7E7-3032-49D4-BA96-5AECD713756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E75" authorId="0" shapeId="0" xr:uid="{15861E6B-5F00-470D-8D44-AF25BDA43D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F75" authorId="0" shapeId="0" xr:uid="{60AD67F1-2B49-4D6D-A384-923CC9D8431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G75" authorId="0" shapeId="0" xr:uid="{89701D6D-BEE9-40E6-A864-A3907FEB45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H75" authorId="0" shapeId="0" xr:uid="{095BCD02-8811-4861-B6FF-6E3D11E916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A77" authorId="0" shapeId="0" xr:uid="{E2A7ADC7-477A-4892-A0A2-E6D4853EBCE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B77" authorId="0" shapeId="0" xr:uid="{01B254C2-23EA-4D72-AA09-2240C88AC07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C77" authorId="0" shapeId="0" xr:uid="{978AAF28-A8FA-42B3-BD44-D7A6C67F82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D77" authorId="0" shapeId="0" xr:uid="{7958A6ED-6134-4797-B32C-798D03FBCE8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E77" authorId="0" shapeId="0" xr:uid="{74BCD066-D035-4ACF-A3D3-7E5AC13301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F77" authorId="0" shapeId="0" xr:uid="{975E822D-BE1D-47B1-B645-2968336F1A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G77" authorId="0" shapeId="0" xr:uid="{AF62861E-E015-4E4E-BC25-61D230F770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H77" authorId="0" shapeId="0" xr:uid="{CE38F058-68B4-4098-A058-67BAFD0C1BD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A78" authorId="0" shapeId="0" xr:uid="{4EA4FE52-530C-4408-B1AC-B0822EB6AE4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B78" authorId="0" shapeId="0" xr:uid="{4AE0F60D-D494-4788-9164-BDBC3F320F9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C78" authorId="0" shapeId="0" xr:uid="{38A84A7C-EDA2-45ED-B036-23BA68014D6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D78" authorId="0" shapeId="0" xr:uid="{CCB4A6AC-7147-4CF2-92D8-8B745E0BE5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E78" authorId="0" shapeId="0" xr:uid="{D7D58C79-5C2D-491F-B829-77B78A7FDD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F78" authorId="0" shapeId="0" xr:uid="{E796B678-7E9B-413C-B16F-67C03D6D0D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G78" authorId="0" shapeId="0" xr:uid="{C0DD1FF1-53A7-4226-B02F-CC2E2FA6A1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H78" authorId="0" shapeId="0" xr:uid="{F9494A55-5AB4-4384-815B-5260B445D0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A85" authorId="0" shapeId="0" xr:uid="{F5A34A4D-6796-46B9-A058-EA4FD7301A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B85" authorId="0" shapeId="0" xr:uid="{4027E3D9-7B5A-4D4D-A702-F743515C35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C85" authorId="0" shapeId="0" xr:uid="{4F94FD83-4177-446A-A1CE-1329D2B2BF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D85" authorId="0" shapeId="0" xr:uid="{D38DDDA2-E80E-4AED-8891-6E02B7DC76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E85" authorId="0" shapeId="0" xr:uid="{57493206-E826-4F86-838F-DA4F3F70CEB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F85" authorId="0" shapeId="0" xr:uid="{6D1998EC-BE45-40B6-ACB2-E36C634C488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G85" authorId="0" shapeId="0" xr:uid="{2778CA12-C953-43B2-8B4E-76807653A28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H85" authorId="0" shapeId="0" xr:uid="{6593F316-AC1C-4C02-B5E9-89B5B78F5C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A154" authorId="0" shapeId="0" xr:uid="{16966959-D5A4-49BE-A0FF-B19A3BC3B25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B154" authorId="0" shapeId="0" xr:uid="{9F60DFC5-B9E0-4AF3-9C44-9EF5841AE8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C154" authorId="0" shapeId="0" xr:uid="{00F84E5F-D0AC-4A6D-934A-E23130F15AE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D154" authorId="0" shapeId="0" xr:uid="{3092A752-D292-4466-85A4-CFCC278A09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E154" authorId="0" shapeId="0" xr:uid="{DEC4A379-8664-4EE2-A92E-D06E05ECE3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F154" authorId="0" shapeId="0" xr:uid="{C281E17E-9FFD-48DC-88AA-50329FD2FE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G154" authorId="0" shapeId="0" xr:uid="{79C087AB-F87D-4960-A93F-BB0D3C3129B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H154" authorId="0" shapeId="0" xr:uid="{8A2A0EA6-C96E-423F-B548-A51A306FA3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A155" authorId="0" shapeId="0" xr:uid="{49BEC5F5-246D-4918-8E43-6F7323DD210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B155" authorId="0" shapeId="0" xr:uid="{A827A614-10DE-4D16-959F-CED632AB5E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C155" authorId="0" shapeId="0" xr:uid="{C4939D83-43FD-4897-B21C-58AE7CAABA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D155" authorId="0" shapeId="0" xr:uid="{2B879739-AD43-44DC-A2FF-C2E9036A3B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E155" authorId="0" shapeId="0" xr:uid="{7CF34A8A-3BA7-482A-8F62-164AB5F5A6C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F155" authorId="0" shapeId="0" xr:uid="{65F81329-64E5-4B01-B310-792A71DA767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G155" authorId="0" shapeId="0" xr:uid="{70A83458-0243-425C-B822-5F0992BE45E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H155" authorId="0" shapeId="0" xr:uid="{8059A1FE-8808-4AE9-BC92-04B6717D53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A156" authorId="0" shapeId="0" xr:uid="{6BC99E40-E5E8-4F79-B0BD-A4B63A4C72E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B156" authorId="0" shapeId="0" xr:uid="{88344F55-05F8-4429-B916-51C0278A1C4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C156" authorId="0" shapeId="0" xr:uid="{22E46851-DC3D-41B7-96FD-41E034DF59D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D156" authorId="0" shapeId="0" xr:uid="{DEA287B3-AE63-40EB-AC3D-DFAB9EC47F7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E156" authorId="0" shapeId="0" xr:uid="{A26EECB4-10F7-46F5-847E-FD23C3FE39D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F156" authorId="0" shapeId="0" xr:uid="{B2B58892-CF01-442D-9E14-CD4DCFBF9E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G156" authorId="0" shapeId="0" xr:uid="{FB37D8D1-1637-4227-A31C-9A8FE56820D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H156" authorId="0" shapeId="0" xr:uid="{A740A376-749A-4B78-8E87-FBF81D2AED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A157" authorId="0" shapeId="0" xr:uid="{A5C0411E-66E6-4C45-B92A-6792BA0545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B157" authorId="0" shapeId="0" xr:uid="{3FE30729-ED97-4C79-8DD8-28A1C23A81C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C157" authorId="0" shapeId="0" xr:uid="{16C97FC0-71E0-4320-9200-FF958476A4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D157" authorId="0" shapeId="0" xr:uid="{961A79FA-FE6F-43D0-9E00-4CDEFAEF08A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E157" authorId="0" shapeId="0" xr:uid="{069206F7-3AE3-4DF6-9412-3E50A1914DB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F157" authorId="0" shapeId="0" xr:uid="{B1C5F4EF-5E45-46B4-8C60-ED8B9A15DB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G157" authorId="0" shapeId="0" xr:uid="{3FA02E96-980E-4DDF-86BE-9872CE07036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H157" authorId="0" shapeId="0" xr:uid="{B258C781-C152-4DB0-A4E1-AAB829E76B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A162" authorId="0" shapeId="0" xr:uid="{696F822D-C44E-4094-ADB0-2F67F2A4AF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B162" authorId="0" shapeId="0" xr:uid="{02F2C51F-123A-4519-8C9E-2E3F03FC33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C162" authorId="0" shapeId="0" xr:uid="{29EBE39E-750B-440A-94DB-AF3EFF819D2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D162" authorId="0" shapeId="0" xr:uid="{F7248259-0B41-43C2-86A6-44572272C7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E162" authorId="0" shapeId="0" xr:uid="{64507B0F-FE5C-4E1F-8F58-F88F3AE6C0E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F162" authorId="0" shapeId="0" xr:uid="{7F1894A8-3B0F-4779-916D-368A1599C81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G162" authorId="0" shapeId="0" xr:uid="{94B0A5A1-508C-41B5-9833-FD94A9A232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H162" authorId="0" shapeId="0" xr:uid="{AD5AF5C7-0278-4D34-8A25-5446601FA6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A163" authorId="0" shapeId="0" xr:uid="{B4D4B92A-4620-487D-831C-173B683520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B163" authorId="0" shapeId="0" xr:uid="{11191665-9FEB-42EE-BE5E-982E26E2C3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C163" authorId="0" shapeId="0" xr:uid="{CC437E06-3B7B-44EE-9A8D-5EC8B554AC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D163" authorId="0" shapeId="0" xr:uid="{82060369-FD48-45F9-91B8-23D6BF76E33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E163" authorId="0" shapeId="0" xr:uid="{38A07620-ACFA-4744-9E2D-5991A0DDB0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F163" authorId="0" shapeId="0" xr:uid="{9AF7EDD0-40F3-4AC4-9B9F-70BE262CBF7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G163" authorId="0" shapeId="0" xr:uid="{C9439BBD-5647-4017-BF7F-A7F9B1EC79D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H163" authorId="0" shapeId="0" xr:uid="{93B7CB31-0D48-4859-996C-211A5F7BB40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A164" authorId="0" shapeId="0" xr:uid="{8CEA4934-ED5D-4908-A496-EF639173ED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B164" authorId="0" shapeId="0" xr:uid="{D29B0FE9-1F23-48D3-A3E0-2560C439C6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C164" authorId="0" shapeId="0" xr:uid="{C3BB961E-7242-4DDE-BDE2-85E9D140A2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D164" authorId="0" shapeId="0" xr:uid="{0024C37D-926B-4E58-B641-385366F3F0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E164" authorId="0" shapeId="0" xr:uid="{AB15DA35-AD1F-48CD-83F0-E0F48869CA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F164" authorId="0" shapeId="0" xr:uid="{C2256E7B-943D-4D18-BE5D-10775220018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G164" authorId="0" shapeId="0" xr:uid="{7638F7BE-88DF-4BE7-885F-26FF43DCA61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H164" authorId="0" shapeId="0" xr:uid="{A16658A4-60F7-4DB9-9746-6989EFC0BAD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A228" authorId="0" shapeId="0" xr:uid="{2D0151C2-A178-4F10-9748-7AFDAE3251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B228" authorId="0" shapeId="0" xr:uid="{776CF713-1C3C-4DF7-8240-56538D613E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C228" authorId="0" shapeId="0" xr:uid="{C3944480-1391-4DE7-B1C4-8F537322898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D228" authorId="0" shapeId="0" xr:uid="{3D8F9F63-7A97-427E-AE26-8F74C192E0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E228" authorId="0" shapeId="0" xr:uid="{5D88E0A4-AE21-470F-8FF4-460903F750B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F228" authorId="0" shapeId="0" xr:uid="{B0CB3BDE-28AD-4394-BF7E-7B54C8E27A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G228" authorId="0" shapeId="0" xr:uid="{47E8F694-74F8-4165-8E85-1AC7DAAA184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H228" authorId="0" shapeId="0" xr:uid="{6525AF23-2609-438C-B155-B50A444FFC1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A229" authorId="0" shapeId="0" xr:uid="{86CC07C5-F7E3-4CF6-A15C-E6F3741A0A6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B229" authorId="0" shapeId="0" xr:uid="{20181D81-1457-41AF-8CDF-4F9B31A605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C229" authorId="0" shapeId="0" xr:uid="{B24D73C9-B618-46B6-8144-8A082AA199B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D229" authorId="0" shapeId="0" xr:uid="{C29E06E8-4EBF-4CE6-A484-07B69E845E2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E229" authorId="0" shapeId="0" xr:uid="{E8D3D697-53E9-47B2-91DF-8B80D31129B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F229" authorId="0" shapeId="0" xr:uid="{50840681-DF9A-4657-BAE4-4102EC0AC4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G229" authorId="0" shapeId="0" xr:uid="{7C30901B-FB6D-4527-85CB-943C886B13F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H229" authorId="0" shapeId="0" xr:uid="{8F9FE689-8D46-40DF-92D0-BF5A6A90D31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A230" authorId="0" shapeId="0" xr:uid="{8B3AE093-4165-4BC5-A1D8-9DDD680A9A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B230" authorId="0" shapeId="0" xr:uid="{3F8B9F64-5AE8-4CEC-9541-457ACFA8F5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C230" authorId="0" shapeId="0" xr:uid="{78EA6311-6927-4B35-92E2-D9B16CF275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D230" authorId="0" shapeId="0" xr:uid="{50B1935E-A645-4AFE-BA6D-A4E7F6B64C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E230" authorId="0" shapeId="0" xr:uid="{59A1D9D5-2692-424E-91B7-70AF07EBA2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F230" authorId="0" shapeId="0" xr:uid="{A3088C0A-D67D-431E-B51A-9AB8CEE099D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G230" authorId="0" shapeId="0" xr:uid="{F8F429CC-5DBB-405E-9274-26FDD755A51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H230" authorId="0" shapeId="0" xr:uid="{BFC6C7CC-72C6-49CE-BA6E-764E6F581D7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A231" authorId="0" shapeId="0" xr:uid="{946EAB8F-B8FE-416A-8DE9-BCD65EE476F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B231" authorId="0" shapeId="0" xr:uid="{63525915-8AAF-4BB1-A425-EE9C3C356D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C231" authorId="0" shapeId="0" xr:uid="{051FB8B1-8CFB-47F0-870F-BC62E0115E8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D231" authorId="0" shapeId="0" xr:uid="{7D97B91D-4F1F-45F4-A3A4-F35CFA83005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E231" authorId="0" shapeId="0" xr:uid="{90A1810E-2C3A-4F9B-9347-9D77A202BF9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F231" authorId="0" shapeId="0" xr:uid="{7759DEB9-FA31-4748-A0D0-834C959643F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G231" authorId="0" shapeId="0" xr:uid="{0DCB3D01-F698-4275-919F-B346C27FD6B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H231" authorId="0" shapeId="0" xr:uid="{C760AD30-40D2-4E2B-A32C-CBFD7E2E8CF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A232" authorId="0" shapeId="0" xr:uid="{B58B115A-99F4-4782-A563-2FFDA63C0E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B232" authorId="0" shapeId="0" xr:uid="{98E54C05-5218-47E7-993F-C3C542255B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C232" authorId="0" shapeId="0" xr:uid="{0362F1D4-3E53-4DCD-9921-16C76F2B342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D232" authorId="0" shapeId="0" xr:uid="{2129341B-B070-4DB7-86C7-F90BA7105EC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E232" authorId="0" shapeId="0" xr:uid="{5EBA1444-B5C1-4091-AD5C-BB0A605BC2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F232" authorId="0" shapeId="0" xr:uid="{DD08FF72-5CE6-4403-AA61-37EE1245EC3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G232" authorId="0" shapeId="0" xr:uid="{A27CA3FE-7140-463B-B92B-1B7AA61D09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H232" authorId="0" shapeId="0" xr:uid="{EC3A6DDA-1376-4DBF-A58B-B585793866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A243" authorId="0" shapeId="0" xr:uid="{CADCCF9E-CB49-4861-B6B7-70F3188901C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B243" authorId="0" shapeId="0" xr:uid="{EA7239C0-F14D-4FA2-8FE3-B8964A9815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C243" authorId="0" shapeId="0" xr:uid="{4F175132-6794-4F61-BAA8-9E2EC7F1890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D243" authorId="0" shapeId="0" xr:uid="{F046ED2E-6984-47FD-BB8A-D45A95307B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E243" authorId="0" shapeId="0" xr:uid="{DA54C93A-BBCD-47F6-AAB4-C3D3947844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F243" authorId="0" shapeId="0" xr:uid="{230A756A-254B-481A-94DC-5B648F2237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G243" authorId="0" shapeId="0" xr:uid="{5EAEDD8C-E249-477A-9AC1-85924C0266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H243" authorId="0" shapeId="0" xr:uid="{7F982EBA-2C69-4662-BB8F-A8FEFA980F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4" authorId="0" shapeId="0" xr:uid="{F8D5A662-35B8-4EEA-9FAB-42B7FBE7E4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B4" authorId="0" shapeId="0" xr:uid="{B34B3900-D710-467D-B3CC-04D4C4D0B67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C4" authorId="0" shapeId="0" xr:uid="{C02C46AB-6441-46A9-8D50-7BDD4DEF572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D4" authorId="0" shapeId="0" xr:uid="{8A2CEC8F-6683-4DFA-AFBA-D8D93604D3E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E4" authorId="0" shapeId="0" xr:uid="{8AD509F2-FBA0-4F53-A063-B68A330044F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F4" authorId="0" shapeId="0" xr:uid="{3B9572D8-3CC7-43AF-AE08-92E25C8072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G4" authorId="0" shapeId="0" xr:uid="{5A4E3ED2-C58F-4A15-AF6C-9034AE3C40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H4" authorId="0" shapeId="0" xr:uid="{7CD13923-E81E-4EE3-8B5D-B1B2F5CBF7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68.2%]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122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S2 &amp; X4 &amp; U5 &amp; O10 &amp; I15 &amp; P86</t>
        </r>
      </text>
    </comment>
    <comment ref="A5" authorId="0" shapeId="0" xr:uid="{2A7C3780-6893-474E-86B2-F986CB4EA46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B5" authorId="0" shapeId="0" xr:uid="{99273BCA-83AA-46E8-9D78-CA7C618E98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C5" authorId="0" shapeId="0" xr:uid="{834B0F8D-5737-4C7B-9A6B-F884A498C9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D5" authorId="0" shapeId="0" xr:uid="{E4751C00-2D26-4F5B-8C66-9E613CE5B39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E5" authorId="0" shapeId="0" xr:uid="{81A478E3-63C6-4C47-BA02-E2A47E7E096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F5" authorId="0" shapeId="0" xr:uid="{9293E69D-5199-4CB6-9629-BC5A5F1E99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G5" authorId="0" shapeId="0" xr:uid="{70A89756-543C-485E-93AF-6B22ADCD363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H5" authorId="0" shapeId="0" xr:uid="{D5869362-4031-46C5-B476-A3135FF1AC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S8 &amp; X3 &amp; U10 &amp; O13 &amp; I30</t>
        </r>
      </text>
    </comment>
    <comment ref="A6" authorId="0" shapeId="0" xr:uid="{C1AD225F-4C54-4013-8E56-8B80B3C9C3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B6" authorId="0" shapeId="0" xr:uid="{6FF82183-DC39-4629-BE6C-7EF8B56A9D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C6" authorId="0" shapeId="0" xr:uid="{EACEF168-F590-4887-AB3F-FA1EAB6D537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D6" authorId="0" shapeId="0" xr:uid="{E8FD46D5-8745-4C67-9AEB-6516A43D87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E6" authorId="0" shapeId="0" xr:uid="{3DD1A4FC-F7A6-4A82-B237-B20520895B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F6" authorId="0" shapeId="0" xr:uid="{CDB14A8C-7C1B-4226-ADEB-E9B12D5262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G6" authorId="0" shapeId="0" xr:uid="{64CCC9FB-FCEA-491E-8B11-B0A3C54CF7D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H6" authorId="0" shapeId="0" xr:uid="{C6856AE6-51B1-44BB-A14D-0DF08707DF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58.7%]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X1 &amp; U10 &amp; O18 &amp; I30 &amp; P46</t>
        </r>
      </text>
    </comment>
    <comment ref="A7" authorId="0" shapeId="0" xr:uid="{7CCD5451-8BF9-4BF2-B719-7552480A2B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B7" authorId="0" shapeId="0" xr:uid="{9D7656D9-5158-41B8-AAE1-08F20805CA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C7" authorId="0" shapeId="0" xr:uid="{B55006FC-BF54-4430-B336-818544E10AB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D7" authorId="0" shapeId="0" xr:uid="{A86A8F9A-24F8-440C-AC40-265BFA2451E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E7" authorId="0" shapeId="0" xr:uid="{ABC74724-B09D-4D0B-B8FB-0F4401E04B3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F7" authorId="0" shapeId="0" xr:uid="{B35B4898-2A8D-4949-8797-4CA43E22C26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G7" authorId="0" shapeId="0" xr:uid="{84E1E65F-B777-43AB-B043-EA31023ED9C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H7" authorId="0" shapeId="0" xr:uid="{18A25EAE-AFF0-4E60-AC26-27C389A77D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84.4%]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151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O6]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X7 &amp; U13 &amp; O29 &amp; I15 &amp; P82</t>
        </r>
      </text>
    </comment>
    <comment ref="A8" authorId="0" shapeId="0" xr:uid="{C4CEF4B4-5A5E-49D9-A1FD-72A392E1517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B8" authorId="0" shapeId="0" xr:uid="{1196AE9B-9E8D-4865-9C19-13D5AED635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C8" authorId="0" shapeId="0" xr:uid="{76E54C49-21B1-4B7A-8E22-B8744D36A0E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D8" authorId="0" shapeId="0" xr:uid="{B7E2A638-1FFC-4917-9251-A2A7C192D25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E8" authorId="0" shapeId="0" xr:uid="{B761FED6-5282-404D-9FE5-4A527BEAC18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F8" authorId="0" shapeId="0" xr:uid="{AB136769-B8F0-4EED-BEF3-B9D068291C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G8" authorId="0" shapeId="0" xr:uid="{17D88A68-9277-4E74-BE5E-D5341966744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H8" authorId="0" shapeId="0" xr:uid="{71C684E2-4360-4CB1-9CC8-5BE5BE4A456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91.1%]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163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U1]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S1 &amp; W2 &amp; X4 &amp; U16 &amp; O15 &amp; I9 &amp; P116</t>
        </r>
      </text>
    </comment>
    <comment ref="A9" authorId="0" shapeId="0" xr:uid="{33F8E985-0B87-4DD0-9E09-053C11A0D3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B9" authorId="0" shapeId="0" xr:uid="{7008461C-269B-45AC-9606-F5113A3A049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C9" authorId="0" shapeId="0" xr:uid="{025CE548-AE20-4DB5-A455-5DC73DCF579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D9" authorId="0" shapeId="0" xr:uid="{BBD2F7D0-D7BB-4EDD-87D1-DD54D48D8AA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E9" authorId="0" shapeId="0" xr:uid="{223791EF-931E-4959-A060-875D79F0AD6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F9" authorId="0" shapeId="0" xr:uid="{74AFBD27-6721-4DDF-9210-6BB9ADCAA29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G9" authorId="0" shapeId="0" xr:uid="{BD8A8AD5-89CC-4CAF-BD2C-E092E77D9C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H9" authorId="0" shapeId="0" xr:uid="{978916B2-B153-4F99-95F4-EE59746B2F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93.8%]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_x000D_
{CLASSES}_x000D_
_x000D_
S2 &amp; X1 &amp; U15 &amp; O15 &amp; I15 &amp; P117 &amp; N3</t>
        </r>
      </text>
    </comment>
    <comment ref="A11" authorId="0" shapeId="0" xr:uid="{180108DC-82CE-4581-8CAF-10B7EB800A3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B11" authorId="0" shapeId="0" xr:uid="{07B66FB1-5DED-4280-A5A6-35F6628BDD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C11" authorId="0" shapeId="0" xr:uid="{515CC3F2-3CF5-4FBE-A29D-DEBEA734027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D11" authorId="0" shapeId="0" xr:uid="{7AF61E43-5B27-4F5A-A571-BB0B8F0CBE4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E11" authorId="0" shapeId="0" xr:uid="{48A80EB1-76DE-49C0-9F68-53EA85DEB8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F11" authorId="0" shapeId="0" xr:uid="{85AB90EC-B44C-4F90-A121-5C473B955F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G11" authorId="0" shapeId="0" xr:uid="{14604B9C-F9F8-4BEC-B229-249C3CFD94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H11" authorId="0" shapeId="0" xr:uid="{ABB61D43-A8A4-4E30-B598-B7E7A046595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69.8%]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125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56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W1 &amp; U7 &amp; O18 &amp; I49 &amp; P47</t>
        </r>
      </text>
    </comment>
    <comment ref="A12" authorId="0" shapeId="0" xr:uid="{4C19354D-5604-46D3-9947-9FBB5B64EBC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B12" authorId="0" shapeId="0" xr:uid="{62148463-A23E-494D-B438-5B70C32D87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C12" authorId="0" shapeId="0" xr:uid="{0372C48E-4443-4F46-BDB4-2FBD2AF8F15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D12" authorId="0" shapeId="0" xr:uid="{FE796BEA-D492-461E-BED8-B8CEF6E558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E12" authorId="0" shapeId="0" xr:uid="{74F421B3-2B6D-415C-A418-A0B288A0A45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F12" authorId="0" shapeId="0" xr:uid="{914CCCD8-705B-4B75-B259-804334DAA4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G12" authorId="0" shapeId="0" xr:uid="{3C930205-1996-48B8-9C6F-50A75E5B3C6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H12" authorId="0" shapeId="0" xr:uid="{5703F158-E09F-4635-B8D2-2E02E477E3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U2 &amp; O21 &amp; I46</t>
        </r>
      </text>
    </comment>
    <comment ref="A15" authorId="0" shapeId="0" xr:uid="{D7741570-399D-4EFD-A949-4E4425EB515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B15" authorId="0" shapeId="0" xr:uid="{77F014DC-673B-46F3-ADED-F194678E498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C15" authorId="0" shapeId="0" xr:uid="{432BCA0B-E1CF-47EC-AE9C-C3644079D17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D15" authorId="0" shapeId="0" xr:uid="{A6D5BA59-4DC6-4C3D-8F58-D31D1FA5EC3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E15" authorId="0" shapeId="0" xr:uid="{9CB5D3E0-399A-413F-9F5A-F0B5E1DAE9F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F15" authorId="0" shapeId="0" xr:uid="{99D4B36F-44EE-4BD5-AA18-41564B6549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G15" authorId="0" shapeId="0" xr:uid="{912F827D-E1B6-4718-B74E-3A3AF824AC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H15" authorId="0" shapeId="0" xr:uid="{41C2B8AA-511E-4925-A017-676C12C9E41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60.9%]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S2 &amp; U17 &amp; O18 &amp; I25 &amp; P45 &amp; N2</t>
        </r>
      </text>
    </comment>
    <comment ref="A18" authorId="0" shapeId="0" xr:uid="{3FA288DA-35E2-4639-A905-E8BE260DA8C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B18" authorId="0" shapeId="0" xr:uid="{898DC60B-55E8-43A6-8AB2-D91067B8B51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C18" authorId="0" shapeId="0" xr:uid="{2B1BE471-0D2C-45FB-8A3C-AFB40E072B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D18" authorId="0" shapeId="0" xr:uid="{58849746-52FE-4D63-B425-A36BF3A1182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E18" authorId="0" shapeId="0" xr:uid="{E3CDED5D-3BA9-4ADC-B0D0-93C065F59E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F18" authorId="0" shapeId="0" xr:uid="{011585EA-0A9A-4634-B7CB-A510A39E33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G18" authorId="0" shapeId="0" xr:uid="{F70AEB42-F579-4D34-8662-69F051D139B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H18" authorId="0" shapeId="0" xr:uid="{C9DFE940-82CC-4F9B-B029-CE7F3A8306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SM432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24.6%]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O6 &amp; I37</t>
        </r>
      </text>
    </comment>
    <comment ref="A19" authorId="0" shapeId="0" xr:uid="{33B47251-AA0B-41ED-BB78-139DFC90D3C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B19" authorId="0" shapeId="0" xr:uid="{FFDDD169-E678-4A47-BBF6-0C8384F6242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C19" authorId="0" shapeId="0" xr:uid="{ABFF7EF3-19B1-45CD-BA35-8C2F5D1E51C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D19" authorId="0" shapeId="0" xr:uid="{606D31D2-82B1-41B8-9B09-A76C59CAFD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E19" authorId="0" shapeId="0" xr:uid="{3A8113CF-6947-4C3F-B15F-C52B7F4564E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F19" authorId="0" shapeId="0" xr:uid="{AF0FE546-6D42-4172-884C-EADBD11F7BD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G19" authorId="0" shapeId="0" xr:uid="{44F3C36C-F4A0-4C87-BEDA-B6DD1A480E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H19" authorId="0" shapeId="0" xr:uid="{3A3A9DF0-AC47-4563-A56D-3BC30785CB0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SM450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31.3%]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I27 &amp; E28 &amp; N1</t>
        </r>
      </text>
    </comment>
    <comment ref="A20" authorId="0" shapeId="0" xr:uid="{32B5A73E-128A-4D6B-A440-C693B3B8070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B20" authorId="0" shapeId="0" xr:uid="{7694749A-6131-4EAB-BE5C-74E01FE5DD8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C20" authorId="0" shapeId="0" xr:uid="{001E32AB-6846-4935-8C47-89ACDA53D6F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D20" authorId="0" shapeId="0" xr:uid="{F5C5FB13-16D7-4954-B596-69EDBF3079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E20" authorId="0" shapeId="0" xr:uid="{8E295BAB-60F1-4FAA-BDCC-6C99E8B628F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F20" authorId="0" shapeId="0" xr:uid="{9E12035D-D044-43A8-A472-B1A4795884F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G20" authorId="0" shapeId="0" xr:uid="{7D1DC45A-8EB2-41C5-9140-35ACD6C6989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H20" authorId="0" shapeId="0" xr:uid="{8BDA6310-C3A8-40F9-940E-8A3238CDD03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76.5%]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137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8]_x000D_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U3 &amp; O22 &amp; I20 &amp; P89</t>
        </r>
      </text>
    </comment>
    <comment ref="A21" authorId="0" shapeId="0" xr:uid="{D3F46336-837A-4DFD-831E-7581F5039B5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B21" authorId="0" shapeId="0" xr:uid="{DCA774B6-DB1F-486B-A95A-C33B4532763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C21" authorId="0" shapeId="0" xr:uid="{1EAF3AA1-61F3-453A-AA97-A48CA3D21F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D21" authorId="0" shapeId="0" xr:uid="{AE12D5F1-536A-40AC-AEEE-BC6039B04A3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E21" authorId="0" shapeId="0" xr:uid="{4A15D79F-4A0C-49C5-A964-6449CB642A5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F21" authorId="0" shapeId="0" xr:uid="{411A81C2-9BA0-4FDD-9914-5514AC9A35D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G21" authorId="0" shapeId="0" xr:uid="{BBE843F1-61B0-44C9-AAB2-4407819378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H21" authorId="0" shapeId="0" xr:uid="{91C3CFBA-4623-4E36-9FA3-CF34DD115D9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50.8%]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S1 &amp; U4 &amp; O25 &amp; I15 &amp; E44 &amp; N2</t>
        </r>
      </text>
    </comment>
    <comment ref="A23" authorId="0" shapeId="0" xr:uid="{DC7AFD02-7B6A-4A1E-B3AF-ACEC20023E2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B23" authorId="0" shapeId="0" xr:uid="{F613C921-8D4F-4697-AA0D-388817E7D7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C23" authorId="0" shapeId="0" xr:uid="{FB3825D1-554B-4D21-A8F3-626191BE32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D23" authorId="0" shapeId="0" xr:uid="{EF7E85F6-DDD7-4663-A647-CEDC893E585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E23" authorId="0" shapeId="0" xr:uid="{28E00BBB-DDFB-4629-A335-4433F57F138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F23" authorId="0" shapeId="0" xr:uid="{6EDE420E-7C08-4BB6-9F5D-A603543473B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G23" authorId="0" shapeId="0" xr:uid="{25797BAA-2D3F-49B3-9474-DD0ED503BF7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H23" authorId="0" shapeId="0" xr:uid="{59BF4743-9E82-4FB6-8357-A19E544B18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48.0%]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X1 &amp; U1 &amp; P84</t>
        </r>
      </text>
    </comment>
    <comment ref="A24" authorId="0" shapeId="0" xr:uid="{0E7B746C-38CE-4235-93D5-D5C8F09165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B24" authorId="0" shapeId="0" xr:uid="{E95584D0-69FB-4F0D-B430-A57783D105E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C24" authorId="0" shapeId="0" xr:uid="{B817ED6E-B9F5-4781-BBA1-D66A8459DD4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D24" authorId="0" shapeId="0" xr:uid="{5A106100-11FF-424E-BF57-278828A4CBE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E24" authorId="0" shapeId="0" xr:uid="{D8B7E34A-219C-4276-8568-F0A50054AE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F24" authorId="0" shapeId="0" xr:uid="{53A98B0D-FD81-4DA4-8678-D6C1466207D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G24" authorId="0" shapeId="0" xr:uid="{C60D70F6-189B-4998-AE9B-654A0F69D70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H24" authorId="0" shapeId="0" xr:uid="{AA6123B5-29A8-4A70-B903-4ADB78D4B44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27.4%]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S5 &amp; U4 &amp; O10 &amp; I30</t>
        </r>
      </text>
    </comment>
    <comment ref="A25" authorId="0" shapeId="0" xr:uid="{49848A6C-1A26-4281-B648-B80934AC10E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B25" authorId="0" shapeId="0" xr:uid="{43D2CD35-2E20-4F59-86DE-66038F92BE5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C25" authorId="0" shapeId="0" xr:uid="{D2823641-F379-4133-B10D-02430CDB45B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D25" authorId="0" shapeId="0" xr:uid="{959A4D5B-5C8D-4760-8134-F444BBC3E08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E25" authorId="0" shapeId="0" xr:uid="{1D730D02-FC4F-487C-AB6D-4D91F265AD6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F25" authorId="0" shapeId="0" xr:uid="{BD8D5AA6-C0FB-4164-B1EA-1A7984E171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G25" authorId="0" shapeId="0" xr:uid="{843C08C2-4EDA-4B26-9021-3E044771126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H25" authorId="0" shapeId="0" xr:uid="{9C9137EC-D5A7-4F94-9373-BD8D13B9026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80.5%]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144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O5]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O2 &amp; I10 &amp; P132</t>
        </r>
      </text>
    </comment>
    <comment ref="A26" authorId="0" shapeId="0" xr:uid="{6732F2B7-B048-4D80-8E79-111AF82F014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B26" authorId="0" shapeId="0" xr:uid="{A3381B22-DF99-427A-8159-4693406EA73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C26" authorId="0" shapeId="0" xr:uid="{54C040FA-6DA6-4DD0-8E68-2A72E8D7AD4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D26" authorId="0" shapeId="0" xr:uid="{2AACD456-4B15-472E-B713-9CCA5823D8F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E26" authorId="0" shapeId="0" xr:uid="{8D077A72-8A8B-4438-945A-5E02A065800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F26" authorId="0" shapeId="0" xr:uid="{07AEEC90-208E-4423-834A-23138899E55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G26" authorId="0" shapeId="0" xr:uid="{06E09990-B378-49AE-929F-16B3BAFAFA0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H26" authorId="0" shapeId="0" xr:uid="{72509B3E-263B-42DF-8EE7-B53EE161D0C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25.1%]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B1 &amp; U4 &amp; O9 &amp; I31</t>
        </r>
      </text>
    </comment>
    <comment ref="A27" authorId="0" shapeId="0" xr:uid="{AEF8A71B-D447-4B9D-95C3-7244179B33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B27" authorId="0" shapeId="0" xr:uid="{4CD7B2E7-26A5-4535-A041-74A6EB225FE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C27" authorId="0" shapeId="0" xr:uid="{04AD6CF4-3D29-409D-AA5A-E43B83598FE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D27" authorId="0" shapeId="0" xr:uid="{B6E56C67-C8F8-4B81-A61F-2081824ADC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E27" authorId="0" shapeId="0" xr:uid="{D29EBEAB-7762-457E-AD5C-790D4F8F353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F27" authorId="0" shapeId="0" xr:uid="{74E63927-406C-4E2E-8F69-65B7A222E3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G27" authorId="0" shapeId="0" xr:uid="{D79D9CD0-35F6-4332-A057-810B00BD2EF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H27" authorId="0" shapeId="0" xr:uid="{F829ECA6-B9F4-4C8C-A6A9-8E536BDC9E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38.6%]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69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11]_x000D_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S4 &amp; U11 &amp; O27 &amp; I25 &amp; N2</t>
        </r>
      </text>
    </comment>
    <comment ref="A28" authorId="0" shapeId="0" xr:uid="{C634D5C1-7E0B-422A-834D-BBB6FA195EA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B28" authorId="0" shapeId="0" xr:uid="{DF5E0A0D-CC9A-41DE-83D7-0C94B4C2849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C28" authorId="0" shapeId="0" xr:uid="{BFAA4188-6F00-480C-AEAB-B0479750D44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D28" authorId="0" shapeId="0" xr:uid="{3242D45E-6B25-4350-97EF-892E454FBFD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E28" authorId="0" shapeId="0" xr:uid="{7984AD96-5146-40DF-A3EC-C925A10CA60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F28" authorId="0" shapeId="0" xr:uid="{8711D1DF-4264-4484-8D1D-CE92C1209BC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G28" authorId="0" shapeId="0" xr:uid="{DF2EDD1A-0016-4730-B424-6C895DA41EC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H28" authorId="0" shapeId="0" xr:uid="{8600F6BD-F5A0-4BD1-861E-22DC83D458D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26.8%]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48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S3 &amp; O9 &amp; I36</t>
        </r>
      </text>
    </comment>
    <comment ref="A29" authorId="0" shapeId="0" xr:uid="{BDA022D0-BF7E-4067-97A2-FBBCA54A28F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B29" authorId="0" shapeId="0" xr:uid="{D8B90D31-66BA-4F0A-A5E9-1F49F5C5F5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C29" authorId="0" shapeId="0" xr:uid="{7848607E-7999-40B4-AC0B-E43AE0BF980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D29" authorId="0" shapeId="0" xr:uid="{6732C3FD-8481-4D88-8A68-2947B64006A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E29" authorId="0" shapeId="0" xr:uid="{760E6EE2-D962-49BD-A203-4A66D785F5D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F29" authorId="0" shapeId="0" xr:uid="{D4645B47-C8D6-4275-B2B0-C4490277B23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G29" authorId="0" shapeId="0" xr:uid="{FE626529-37F4-4BA4-A464-7A6E43A9A7C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H29" authorId="0" shapeId="0" xr:uid="{0D76E560-7E42-4CC8-89C2-1BFF36D7A8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36.3%]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O18 &amp; I8 &amp; P39</t>
        </r>
      </text>
    </comment>
    <comment ref="A30" authorId="0" shapeId="0" xr:uid="{A89532D2-B4C4-4AE8-8AA7-CB50822642D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B30" authorId="0" shapeId="0" xr:uid="{FFF19009-6C97-4665-8EE8-B11BEFA76DD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C30" authorId="0" shapeId="0" xr:uid="{CB3F8895-7DD0-46DB-8442-6E5A3BD7B50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D30" authorId="0" shapeId="0" xr:uid="{D291A0A0-CCF4-49FA-88AF-E09BE71F3C3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E30" authorId="0" shapeId="0" xr:uid="{6551CB96-70AB-476A-960E-28AEE640611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F30" authorId="0" shapeId="0" xr:uid="{F2CACEB4-DB91-40E1-BFDC-C60945350A2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G30" authorId="0" shapeId="0" xr:uid="{F66BB9D4-EF72-436E-91D9-A151376726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H30" authorId="0" shapeId="0" xr:uid="{3FA8CB8D-FD22-49D9-9B05-2D521B28D82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64.8%]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116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9]_x000D_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L1 &amp; G1 &amp; S1 &amp; U3 &amp; O29 &amp; I13 &amp; P68</t>
        </r>
      </text>
    </comment>
    <comment ref="A34" authorId="0" shapeId="0" xr:uid="{D7AEF61F-37E2-486B-8BCE-0591D38AF6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B34" authorId="0" shapeId="0" xr:uid="{FAEC0FC8-83D1-498A-B9CD-E8DD41F9441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C34" authorId="0" shapeId="0" xr:uid="{28312FD1-E9DA-46E4-AB59-D2AA7B07A01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D34" authorId="0" shapeId="0" xr:uid="{2BC13654-4FE7-4B04-8971-710BFCADB45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E34" authorId="0" shapeId="0" xr:uid="{984D62B8-5ADE-4AA5-92F2-8A51258840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F34" authorId="0" shapeId="0" xr:uid="{CFBED5BE-175E-4C70-9B51-BD1B3CE839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G34" authorId="0" shapeId="0" xr:uid="{CBEDCDE8-F626-41ED-AE80-928D10CA2B3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  <comment ref="H34" authorId="0" shapeId="0" xr:uid="{2C682422-644C-476D-9625-5D40DF3A8DC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92.2%]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165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U3]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19-NOV]_x000D_
_x000D_
{CLASSES}_x000D_
_x000D_
S5 &amp; W3 &amp; U13 &amp; O20 &amp; I10 &amp; P114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13" authorId="0" shapeId="0" xr:uid="{C4198882-7A95-4531-8CE7-77CA6E99ACD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B13" authorId="0" shapeId="0" xr:uid="{44B749C2-5C63-4B86-8181-00A4912B90B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C13" authorId="0" shapeId="0" xr:uid="{A2EF8C70-092F-40B7-94F4-487662C714C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D13" authorId="0" shapeId="0" xr:uid="{F851042E-6A2D-493D-9FB7-76C627E6EFA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E13" authorId="0" shapeId="0" xr:uid="{57BAB9FC-156C-440C-A7A9-A8CE4CEE76A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F13" authorId="0" shapeId="0" xr:uid="{F2F562E3-99E9-4541-957B-81AF152483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G13" authorId="0" shapeId="0" xr:uid="{7DCD4414-455F-4EB4-A8A3-53BD05A0744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H13" authorId="0" shapeId="0" xr:uid="{BDA211AA-B410-41CF-98E7-A96509ED2D3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A66" authorId="0" shapeId="0" xr:uid="{5F5AD10A-55DF-4F9D-8265-9E7D0F9F0B1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B66" authorId="0" shapeId="0" xr:uid="{0C19EE82-603B-44A2-8AC7-78AB1AEE2D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C66" authorId="0" shapeId="0" xr:uid="{5C7C2E56-A190-45E5-AC9C-7C51751D8F9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D66" authorId="0" shapeId="0" xr:uid="{AF6705BD-3345-4B31-92F4-315ABAC0EDB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E66" authorId="0" shapeId="0" xr:uid="{B609E4D7-938F-4ED6-8A32-ECB07FBF561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F66" authorId="0" shapeId="0" xr:uid="{49716C3B-2B44-4BB7-B6A5-0A994088347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G66" authorId="0" shapeId="0" xr:uid="{102B1A04-FFEB-43FC-9C77-760FC1D14A6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H66" authorId="0" shapeId="0" xr:uid="{FD8E4116-B988-43C7-8D00-CD206E81DB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A68" authorId="0" shapeId="0" xr:uid="{DF5FC8C5-B452-4091-A633-F30B0730E1C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B68" authorId="0" shapeId="0" xr:uid="{884FA56D-1DAC-4372-8A2F-2340D8235EC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C68" authorId="0" shapeId="0" xr:uid="{2365031C-B8BF-46B0-9D64-C5F97EBBCC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D68" authorId="0" shapeId="0" xr:uid="{6ED3A3E2-6F5C-4BB8-A1F1-EDDA08A8C9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E68" authorId="0" shapeId="0" xr:uid="{A4B02D81-E5E3-4AC8-9CBE-B5C7DF1A83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F68" authorId="0" shapeId="0" xr:uid="{2D383F83-255C-46FA-9204-E2357E5F4B3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G68" authorId="0" shapeId="0" xr:uid="{46930EDA-79CE-446D-89F6-A4AFCC8844C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H68" authorId="0" shapeId="0" xr:uid="{76EC9210-A652-4F89-A6A3-B80571AA48B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A121" authorId="0" shapeId="0" xr:uid="{D10776F4-4D61-4091-96E2-A3D48BC3764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B121" authorId="0" shapeId="0" xr:uid="{9C113568-BE08-424B-B957-A9B8E15626B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C121" authorId="0" shapeId="0" xr:uid="{722103F0-F6C5-4269-86DC-B332BA4F412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D121" authorId="0" shapeId="0" xr:uid="{6456C434-8730-4FDD-86D9-B5906008437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E121" authorId="0" shapeId="0" xr:uid="{6C27539B-8A11-451E-8D77-5EF452FFCC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F121" authorId="0" shapeId="0" xr:uid="{1E8D2B79-7F3D-4D26-B1AA-0DAD1CFAAE4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G121" authorId="0" shapeId="0" xr:uid="{18825733-0EB2-4032-A5B6-0AC00A8C6C0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H121" authorId="0" shapeId="0" xr:uid="{B76D2955-EF7D-4127-BC59-A4A23F3F80A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A165" authorId="0" shapeId="0" xr:uid="{5DD54070-C2EF-45A0-A405-378B54DCFD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B165" authorId="0" shapeId="0" xr:uid="{7DD262DB-4D62-42A9-BC14-07E119FC389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C165" authorId="0" shapeId="0" xr:uid="{6E0FC3C8-8A37-48C2-82A6-50FB463F0F7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D165" authorId="0" shapeId="0" xr:uid="{555BE4A6-0E50-4047-A54A-171E7AE50A6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E165" authorId="0" shapeId="0" xr:uid="{A36E9F57-8C6C-4E57-A6EE-A0C3E55A7F8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F165" authorId="0" shapeId="0" xr:uid="{A52B29A5-6864-4F71-B083-547F05540F5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G165" authorId="0" shapeId="0" xr:uid="{D28D6C57-37D0-49C4-9398-6163A63F3B2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H165" authorId="0" shapeId="0" xr:uid="{A1349B82-6803-440A-91CF-6536FE470C2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A169" authorId="0" shapeId="0" xr:uid="{C62DC7A8-6EDC-4C84-88A5-8CBA581E03A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B169" authorId="0" shapeId="0" xr:uid="{9B1244B4-6B30-42CB-B106-9345795FBAC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C169" authorId="0" shapeId="0" xr:uid="{276CF609-2099-4F81-90C1-1C1E895F66C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D169" authorId="0" shapeId="0" xr:uid="{2CC60414-E1B3-43BD-B24C-D6BBD267FD7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E169" authorId="0" shapeId="0" xr:uid="{FC52F2CC-6B9D-43A8-AC0F-2D8931B1713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F169" authorId="0" shapeId="0" xr:uid="{4A3CF19E-2AE6-4B99-8910-7A1B01919B0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G169" authorId="0" shapeId="0" xr:uid="{669D3843-8FFD-46AD-ACE5-8198D899B9AA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H169" authorId="0" shapeId="0" xr:uid="{25280638-A051-4B0E-BB65-DD7C62212C9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A3" authorId="0" shapeId="0" xr:uid="{26699C22-3288-4DE8-9E93-AE95BB594D5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B3" authorId="0" shapeId="0" xr:uid="{6514DF49-F236-4CA7-BEE4-4C76DD45193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C3" authorId="0" shapeId="0" xr:uid="{7D8C67EE-B327-44AD-893C-9E656C34838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D3" authorId="0" shapeId="0" xr:uid="{95ABD3E7-3CDF-4486-BCEA-C3FF694B01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E3" authorId="0" shapeId="0" xr:uid="{04511B78-AB14-4FE4-BD9D-63B8C69844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F3" authorId="0" shapeId="0" xr:uid="{3E31A853-7EAA-4F2E-8CCF-A20B431531A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G3" authorId="0" shapeId="0" xr:uid="{3EDBE9B7-E175-495F-B6EE-62B9DDBA33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H3" authorId="0" shapeId="0" xr:uid="{F31816B9-8793-45FE-8A87-0736984B432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60.1%]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101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13]_x000D_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U3 &amp; O18 &amp; I80</t>
        </r>
      </text>
    </comment>
    <comment ref="A5" authorId="0" shapeId="0" xr:uid="{BFDBA862-E068-4222-86C1-BD89B525EE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B5" authorId="0" shapeId="0" xr:uid="{876A1F94-66BB-4231-B064-0D6DE751939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C5" authorId="0" shapeId="0" xr:uid="{73ADCEDF-A7FC-417B-A7DA-D7BFDC1A0F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D5" authorId="0" shapeId="0" xr:uid="{6353884C-B0A7-4035-921E-3325A8B0E07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E5" authorId="0" shapeId="0" xr:uid="{3420A696-5B0A-4FAC-A847-F8313BAC417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F5" authorId="0" shapeId="0" xr:uid="{1AE05E87-3B7A-438C-8E00-A2B3F07E8238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G5" authorId="0" shapeId="0" xr:uid="{7E585CA9-BAEC-460C-9503-D9BBE8456CF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H5" authorId="0" shapeId="0" xr:uid="{B9B59AEB-341F-43B5-A1DC-37A03842B65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39.3%]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66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15]_x000D_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Q2 &amp; K1 &amp; S1 &amp; W1 &amp; I61</t>
        </r>
      </text>
    </comment>
    <comment ref="A7" authorId="0" shapeId="0" xr:uid="{D4E1456F-B6F8-4EB9-93F8-76B68EF5C2F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B7" authorId="0" shapeId="0" xr:uid="{F59EFC78-A7A5-4AC2-95FA-35DD1BC7105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C7" authorId="0" shapeId="0" xr:uid="{B04A811E-EDDE-458F-AB2C-102A052921A1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D7" authorId="0" shapeId="0" xr:uid="{9BF16DFC-EB70-4473-8CD1-0CA2846C0AF5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E7" authorId="0" shapeId="0" xr:uid="{80E1D43D-F494-4134-BB78-2349EE20C27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F7" authorId="0" shapeId="0" xr:uid="{D24853EC-1019-441B-989C-8A47FD13FD1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G7" authorId="0" shapeId="0" xr:uid="{2694B832-3BE8-421A-BB03-B91E5BF05A0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H7" authorId="0" shapeId="0" xr:uid="{F520AD0A-3C9F-47A3-ABEE-C32CBB4E196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52.4%]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88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37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K3 &amp; O27 &amp; I58</t>
        </r>
      </text>
    </comment>
    <comment ref="A15" authorId="0" shapeId="0" xr:uid="{A2A0E8EE-38B3-46A7-A169-919115447A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B15" authorId="0" shapeId="0" xr:uid="{2D2F61FD-4EA6-4F68-A5E1-FD319DEBEB4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C15" authorId="0" shapeId="0" xr:uid="{7638FEE7-60E3-4A14-99AA-4B745F61F4F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D15" authorId="0" shapeId="0" xr:uid="{E310C6E6-2C3E-4090-AEE7-7560D0620FB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E15" authorId="0" shapeId="0" xr:uid="{E49D85C0-ACEC-4B1C-9461-5C34EA00B57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F15" authorId="0" shapeId="0" xr:uid="{4B52106F-6755-45DA-B0DB-867098A4872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G15" authorId="0" shapeId="0" xr:uid="{95709791-723B-4AAA-ACF3-C0BAF2A8B41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H15" authorId="0" shapeId="0" xr:uid="{C6EB1EA8-646A-4BB0-BE21-724E9A59EA9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53.6%]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90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18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U9]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K2 &amp; S2 &amp; W3 &amp; X2 &amp; U11 &amp; O10 &amp; I60</t>
        </r>
      </text>
    </comment>
    <comment ref="A19" authorId="0" shapeId="0" xr:uid="{F982024A-7D1E-4105-915D-57A1A3336B80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B19" authorId="0" shapeId="0" xr:uid="{701DA7F9-C133-47D3-9F2E-060080279A9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C19" authorId="0" shapeId="0" xr:uid="{DE25FB27-EA3A-4B0A-9AC0-AEA072AA1FE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D19" authorId="0" shapeId="0" xr:uid="{B7B701A5-05E4-44F5-B1D8-7A0DF39E144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E19" authorId="0" shapeId="0" xr:uid="{586392EB-87F7-4E20-8484-448DBF40616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F19" authorId="0" shapeId="0" xr:uid="{83FDAD83-CA66-4DDB-A97F-9E5262A5929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G19" authorId="0" shapeId="0" xr:uid="{CE1992EB-9721-425E-AF6C-A286E4B1C5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H19" authorId="0" shapeId="0" xr:uid="{07E12DEB-5E4A-4100-90F8-8DCD90FFF7E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SM470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33.3%]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56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30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12]_x000D_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I9]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W4 &amp; I52</t>
        </r>
      </text>
    </comment>
    <comment ref="A21" authorId="0" shapeId="0" xr:uid="{6C20C090-DE40-4DB0-BFE3-EE0D8614875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B21" authorId="0" shapeId="0" xr:uid="{D6B5BAFD-0344-47EC-99A2-0C39DD8B06C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C21" authorId="0" shapeId="0" xr:uid="{596DDE12-9866-4079-8235-B5F03A9CA48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D21" authorId="0" shapeId="0" xr:uid="{A1D26C8E-DC81-4CEC-8A78-96E1B582183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E21" authorId="0" shapeId="0" xr:uid="{30FDBE9C-B156-4EE4-8C66-CC27CECA0D1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F21" authorId="0" shapeId="0" xr:uid="{1945665E-6F8F-4459-BDCD-CAB029385762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G21" authorId="0" shapeId="0" xr:uid="{275A97F7-6F54-49BE-A0D4-687E196383E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  <comment ref="H21" authorId="0" shapeId="0" xr:uid="{6D685DBA-FFB5-4642-A2DF-939DC61E7D44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SM462</t>
        </r>
        <r>
          <rPr>
            <b/>
            <sz val="8.5"/>
            <color indexed="8"/>
            <rFont val="Calibri"/>
            <family val="2"/>
          </rPr>
          <t xml:space="preserve"> }-_x000D_
_x000D_
[</t>
        </r>
        <r>
          <rPr>
            <b/>
            <sz val="8.5"/>
            <color indexed="12"/>
            <rFont val="Calibri"/>
            <family val="2"/>
          </rPr>
          <t>LF</t>
        </r>
        <r>
          <rPr>
            <b/>
            <sz val="8.5"/>
            <color indexed="8"/>
            <rFont val="Calibri"/>
            <family val="2"/>
          </rPr>
          <t xml:space="preserve"> » 45.8%] - [</t>
        </r>
        <r>
          <rPr>
            <b/>
            <sz val="8.5"/>
            <color indexed="12"/>
            <rFont val="Calibri"/>
            <family val="2"/>
          </rPr>
          <t>SOLD</t>
        </r>
        <r>
          <rPr>
            <b/>
            <sz val="8.5"/>
            <color indexed="8"/>
            <rFont val="Calibri"/>
            <family val="2"/>
          </rPr>
          <t xml:space="preserve"> » 77 PAX]_x000D_
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31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6]_x000D_
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O8]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168]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_x000D_
{CLASSES}_x000D_
_x000D_
K1 &amp; S1 &amp; U3 &amp; O22 &amp; I50</t>
        </r>
      </text>
    </comment>
  </commentList>
</comments>
</file>

<file path=xl/sharedStrings.xml><?xml version="1.0" encoding="utf-8"?>
<sst xmlns="http://schemas.openxmlformats.org/spreadsheetml/2006/main" count="6705" uniqueCount="573">
  <si>
    <t>COMPREHENSIVE REPORT</t>
  </si>
  <si>
    <t>MED-CAI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</si>
  <si>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</si>
  <si>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</si>
  <si>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</si>
  <si>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</si>
  <si>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</si>
  <si>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</si>
  <si>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</si>
  <si>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</si>
  <si>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</si>
  <si>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</si>
  <si>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</si>
  <si>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</si>
  <si>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</si>
  <si>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</si>
  <si>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</si>
  <si>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</si>
  <si>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</si>
  <si>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</si>
  <si>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</si>
  <si>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</si>
  <si>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</si>
  <si>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</si>
  <si>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</si>
  <si>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</si>
  <si>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</si>
  <si>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</si>
  <si>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</si>
  <si>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3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</si>
  <si>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559 SAR</t>
  </si>
  <si>
    <t>Cabin: 10 KG / Check-in: 25 KG</t>
  </si>
  <si>
    <r>
      <rPr>
        <i/>
        <sz val="13"/>
        <rFont val="Calibri"/>
      </rPr>
      <t>10</t>
    </r>
    <r>
      <rPr>
        <i/>
        <sz val="10"/>
        <rFont val="Calibri"/>
      </rPr>
      <t xml:space="preserve"> FOR SAME CLASS</t>
    </r>
  </si>
  <si>
    <t>709 SAR</t>
  </si>
  <si>
    <t>Cabin: 10 KG / Check-in: 2 x 40 KG</t>
  </si>
  <si>
    <t>1,099 SAR</t>
  </si>
  <si>
    <t>flynas</t>
  </si>
  <si>
    <t>XY-576</t>
  </si>
  <si>
    <t>Cabin: 7 KG / Check-in: 20 KG</t>
  </si>
  <si>
    <r>
      <rPr>
        <b/>
        <i/>
        <sz val="13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</si>
  <si>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639 SAR</t>
  </si>
  <si>
    <t>Cabin: 7 KG / Check-in: 30 KG</t>
  </si>
  <si>
    <r>
      <rPr>
        <i/>
        <sz val="13"/>
        <rFont val="Calibri"/>
      </rPr>
      <t>2</t>
    </r>
    <r>
      <rPr>
        <i/>
        <sz val="10"/>
        <rFont val="Calibri"/>
      </rPr>
      <t xml:space="preserve"> FOR SAME CLASS</t>
    </r>
  </si>
  <si>
    <t>739 SAR</t>
  </si>
  <si>
    <t>Cabin: 7 KG / Check-in: 2 x 40 KG</t>
  </si>
  <si>
    <t>829 SAR</t>
  </si>
  <si>
    <t>Air Cairo</t>
  </si>
  <si>
    <t>SM-488</t>
  </si>
  <si>
    <t>Cabin: 7 KG | Check-in: 40 KG</t>
  </si>
  <si>
    <r>
      <rPr>
        <b/>
        <i/>
        <sz val="13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</si>
  <si>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758 SAR</t>
  </si>
  <si>
    <t>SM488</t>
  </si>
  <si>
    <t>G9</t>
  </si>
  <si>
    <t>L5 &amp; G15 &amp; S10 &amp; W10 &amp; T10 &amp; X10 &amp; U10 &amp; O10 &amp; I10</t>
  </si>
  <si>
    <t>SM-496</t>
  </si>
  <si>
    <r>
      <rPr>
        <b/>
        <i/>
        <sz val="13"/>
        <rFont val="Calibri"/>
      </rPr>
      <t>8</t>
    </r>
    <r>
      <rPr>
        <b/>
        <i/>
        <sz val="10"/>
        <rFont val="Calibri"/>
      </rPr>
      <t xml:space="preserve"> FOR SAME CLASS</t>
    </r>
  </si>
  <si>
    <t>914 SAR</t>
  </si>
  <si>
    <t>SM496</t>
  </si>
  <si>
    <t>V8</t>
  </si>
  <si>
    <t>L1 &amp; I4 &amp; E44 &amp; P114</t>
  </si>
  <si>
    <t>SM494</t>
  </si>
  <si>
    <t>30KG + 7KG CABIN</t>
  </si>
  <si>
    <t>FULLY BOOKED</t>
  </si>
  <si>
    <t>CLOSED</t>
  </si>
  <si>
    <t>Q2 &amp; K5 &amp; V4 &amp; S11 &amp; X3 &amp; U5 &amp; O9 &amp; I17 &amp; P123</t>
  </si>
  <si>
    <t>EgyptAir</t>
  </si>
  <si>
    <t>MS-676</t>
  </si>
  <si>
    <t>Cabin: 7 KG | Check-in: 2 PIECE</t>
  </si>
  <si>
    <t>866 SAR</t>
  </si>
  <si>
    <t>MS-640</t>
  </si>
  <si>
    <r>
      <rPr>
        <b/>
        <i/>
        <sz val="13"/>
        <rFont val="Calibri"/>
      </rPr>
      <t>+9</t>
    </r>
    <r>
      <rPr>
        <b/>
        <i/>
        <sz val="10"/>
        <rFont val="Calibri"/>
      </rPr>
      <t xml:space="preserve"> FOR SAME CLASS</t>
    </r>
  </si>
  <si>
    <t>962 SAR</t>
  </si>
  <si>
    <t>MS-694</t>
  </si>
  <si>
    <t>MS-696</t>
  </si>
  <si>
    <r>
      <rPr>
        <b/>
        <i/>
        <sz val="13"/>
        <rFont val="Calibri"/>
      </rPr>
      <t>5</t>
    </r>
    <r>
      <rPr>
        <b/>
        <i/>
        <sz val="10"/>
        <rFont val="Calibri"/>
      </rPr>
      <t xml:space="preserve"> FOR SAME CLASS</t>
    </r>
  </si>
  <si>
    <t>MS-678</t>
  </si>
  <si>
    <t>1,654 SAR</t>
  </si>
  <si>
    <t>Saudia</t>
  </si>
  <si>
    <t>SV-6903</t>
  </si>
  <si>
    <t>Cabin: 7 KG / Check-in: 2 x 46 KG</t>
  </si>
  <si>
    <r>
      <rPr>
        <b/>
        <i/>
        <sz val="13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</si>
  <si>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1,651 SAR</t>
  </si>
  <si>
    <t>SV-319</t>
  </si>
  <si>
    <t>Cabin: 7 KG / Check-in: 23 KG</t>
  </si>
  <si>
    <t>1,868 SAR</t>
  </si>
  <si>
    <r>
      <rPr>
        <i/>
        <sz val="13"/>
        <rFont val="Calibri"/>
      </rPr>
      <t>+9</t>
    </r>
    <r>
      <rPr>
        <i/>
        <sz val="10"/>
        <rFont val="Calibri"/>
      </rPr>
      <t xml:space="preserve"> FOR SAME CLASS</t>
    </r>
  </si>
  <si>
    <t>2,009 SAR</t>
  </si>
  <si>
    <t>SV-381</t>
  </si>
  <si>
    <r>
      <rPr>
        <b/>
        <i/>
        <sz val="13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</si>
  <si>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3</t>
    </r>
    <r>
      <rPr>
        <i/>
        <sz val="10"/>
        <rFont val="Calibri"/>
      </rPr>
      <t xml:space="preserve"> FOR SAME CLASS</t>
    </r>
  </si>
  <si>
    <t>SV-391</t>
  </si>
  <si>
    <r>
      <rPr>
        <b/>
        <i/>
        <sz val="13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</si>
  <si>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t>619 SAR</t>
  </si>
  <si>
    <r>
      <rPr>
        <i/>
        <sz val="13"/>
        <rFont val="Calibri"/>
      </rPr>
      <t>11</t>
    </r>
    <r>
      <rPr>
        <i/>
        <sz val="10"/>
        <rFont val="Calibri"/>
      </rPr>
      <t xml:space="preserve"> FOR SAME CLASS</t>
    </r>
  </si>
  <si>
    <t>769 SAR</t>
  </si>
  <si>
    <t>799 SAR</t>
  </si>
  <si>
    <t>682 SAR</t>
  </si>
  <si>
    <t>757 SAR</t>
  </si>
  <si>
    <r>
      <rPr>
        <b/>
        <i/>
        <sz val="13"/>
        <rFont val="Calibri"/>
      </rPr>
      <t>2</t>
    </r>
    <r>
      <rPr>
        <b/>
        <i/>
        <sz val="10"/>
        <rFont val="Calibri"/>
      </rPr>
      <t xml:space="preserve"> FOR SAME CLASS</t>
    </r>
  </si>
  <si>
    <t>1,121 SAR</t>
  </si>
  <si>
    <r>
      <rPr>
        <b/>
        <i/>
        <sz val="13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</si>
  <si>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749 SAR</t>
  </si>
  <si>
    <r>
      <rPr>
        <i/>
        <sz val="13"/>
        <rFont val="Calibri"/>
      </rPr>
      <t>9</t>
    </r>
    <r>
      <rPr>
        <i/>
        <sz val="10"/>
        <rFont val="Calibri"/>
      </rPr>
      <t xml:space="preserve"> FOR SAME CLASS</t>
    </r>
  </si>
  <si>
    <t>849 SAR</t>
  </si>
  <si>
    <t>939 SAR</t>
  </si>
  <si>
    <t>1,385 SAR</t>
  </si>
  <si>
    <t>1,525 SAR</t>
  </si>
  <si>
    <r>
      <rPr>
        <b/>
        <i/>
        <sz val="13"/>
        <rFont val="Calibri"/>
      </rPr>
      <t>4</t>
    </r>
    <r>
      <rPr>
        <b/>
        <i/>
        <sz val="10"/>
        <rFont val="Calibri"/>
      </rPr>
      <t xml:space="preserve"> FOR SAME CLASS</t>
    </r>
  </si>
  <si>
    <r>
      <rPr>
        <b/>
        <i/>
        <sz val="13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</si>
  <si>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rFont val="Calibri"/>
      </rPr>
      <t>7</t>
    </r>
    <r>
      <rPr>
        <b/>
        <i/>
        <sz val="10"/>
        <rFont val="Calibri"/>
      </rPr>
      <t xml:space="preserve"> FOR SAME CLASS</t>
    </r>
  </si>
  <si>
    <t>699 SAR</t>
  </si>
  <si>
    <t>XY-793</t>
  </si>
  <si>
    <t>1,299 SAR</t>
  </si>
  <si>
    <r>
      <rPr>
        <i/>
        <sz val="13"/>
        <rFont val="Calibri"/>
      </rPr>
      <t>4</t>
    </r>
    <r>
      <rPr>
        <i/>
        <sz val="10"/>
        <rFont val="Calibri"/>
      </rPr>
      <t xml:space="preserve"> FOR SAME CLASS</t>
    </r>
  </si>
  <si>
    <t>1,399 SAR</t>
  </si>
  <si>
    <t>1,489 SAR</t>
  </si>
  <si>
    <r>
      <rPr>
        <b/>
        <i/>
        <sz val="13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</si>
  <si>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</t>
    </r>
    <r>
      <rPr>
        <i/>
        <sz val="10"/>
        <rFont val="Calibri"/>
      </rPr>
      <t xml:space="preserve"> FOR SAME CLASS</t>
    </r>
  </si>
  <si>
    <t>1,945 SAR</t>
  </si>
  <si>
    <t>SM-494</t>
  </si>
  <si>
    <t>1,472 SAR</t>
  </si>
  <si>
    <t>B4</t>
  </si>
  <si>
    <t>V7 &amp; L2 &amp; S1 &amp; U6 &amp; O9 &amp; I17 &amp; P128 &amp; N1</t>
  </si>
  <si>
    <r>
      <rPr>
        <b/>
        <i/>
        <sz val="13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</si>
  <si>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7</t>
    </r>
    <r>
      <rPr>
        <i/>
        <sz val="10"/>
        <rFont val="Calibri"/>
      </rPr>
      <t xml:space="preserve"> FOR SAME CLASS</t>
    </r>
  </si>
  <si>
    <t>1,020 SAR</t>
  </si>
  <si>
    <t>1,160 SAR</t>
  </si>
  <si>
    <t>2,165 SAR</t>
  </si>
  <si>
    <t>2,305 SAR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</si>
  <si>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</si>
  <si>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</si>
  <si>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</si>
  <si>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</si>
  <si>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</si>
  <si>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</si>
  <si>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</si>
  <si>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</si>
  <si>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</si>
  <si>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</si>
  <si>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</si>
  <si>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</si>
  <si>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</si>
  <si>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</si>
  <si>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</si>
  <si>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</si>
  <si>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</si>
  <si>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</si>
  <si>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</si>
  <si>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</si>
  <si>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</si>
  <si>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</si>
  <si>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</si>
  <si>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</si>
  <si>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</si>
  <si>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</si>
  <si>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</si>
  <si>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</si>
  <si>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</si>
  <si>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</si>
  <si>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01:10</t>
  </si>
  <si>
    <t>320</t>
  </si>
  <si>
    <t>UPCOMING</t>
  </si>
  <si>
    <t>L1</t>
  </si>
  <si>
    <t>I4</t>
  </si>
  <si>
    <t>E44</t>
  </si>
  <si>
    <t>P114</t>
  </si>
  <si>
    <t>06:40</t>
  </si>
  <si>
    <t>L5</t>
  </si>
  <si>
    <t>G15</t>
  </si>
  <si>
    <t>S10</t>
  </si>
  <si>
    <t>W10</t>
  </si>
  <si>
    <t>T10</t>
  </si>
  <si>
    <t>X10</t>
  </si>
  <si>
    <t>U10</t>
  </si>
  <si>
    <t>O10</t>
  </si>
  <si>
    <t>I10</t>
  </si>
  <si>
    <t>23:30</t>
  </si>
  <si>
    <t>Q2</t>
  </si>
  <si>
    <t>K5</t>
  </si>
  <si>
    <t>V4</t>
  </si>
  <si>
    <t>S11</t>
  </si>
  <si>
    <t>X3</t>
  </si>
  <si>
    <t>U5</t>
  </si>
  <si>
    <t>O9</t>
  </si>
  <si>
    <t>I17</t>
  </si>
  <si>
    <t>P123</t>
  </si>
  <si>
    <t>THURSDAY</t>
  </si>
  <si>
    <t>12:55</t>
  </si>
  <si>
    <t>V7</t>
  </si>
  <si>
    <t>L2</t>
  </si>
  <si>
    <t>S1</t>
  </si>
  <si>
    <t>U6</t>
  </si>
  <si>
    <t>P128</t>
  </si>
  <si>
    <t>N1</t>
  </si>
  <si>
    <t>DATE</t>
  </si>
  <si>
    <t>ROUTE</t>
  </si>
  <si>
    <t>2025-11-25</t>
  </si>
  <si>
    <t>10:05</t>
  </si>
  <si>
    <t>18:10</t>
  </si>
  <si>
    <t>JED-CAI</t>
  </si>
  <si>
    <t>Nile Air</t>
  </si>
  <si>
    <t>NP-228</t>
  </si>
  <si>
    <t>Cabin: 7 KG | Check-in: 30 KG</t>
  </si>
  <si>
    <t>401 SAR</t>
  </si>
  <si>
    <t>NP-328</t>
  </si>
  <si>
    <t>NP-128</t>
  </si>
  <si>
    <t>599 SAR</t>
  </si>
  <si>
    <t>F3-755</t>
  </si>
  <si>
    <r>
      <rPr>
        <b/>
        <i/>
        <sz val="13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</si>
  <si>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419 SAR</t>
  </si>
  <si>
    <r>
      <rPr>
        <i/>
        <sz val="13"/>
        <rFont val="Calibri"/>
      </rPr>
      <t>5</t>
    </r>
    <r>
      <rPr>
        <i/>
        <sz val="10"/>
        <rFont val="Calibri"/>
      </rPr>
      <t xml:space="preserve"> FOR SAME CLASS</t>
    </r>
  </si>
  <si>
    <t>569 SAR</t>
  </si>
  <si>
    <t>F3-761</t>
  </si>
  <si>
    <t>F3-763</t>
  </si>
  <si>
    <t>F3-753</t>
  </si>
  <si>
    <t>459 SAR</t>
  </si>
  <si>
    <t>609 SAR</t>
  </si>
  <si>
    <t>SM-424</t>
  </si>
  <si>
    <t>436 SAR</t>
  </si>
  <si>
    <t>SM424</t>
  </si>
  <si>
    <t>S2 &amp; X4 &amp; U5 &amp; O10 &amp; I15 &amp; P86</t>
  </si>
  <si>
    <t>SM-472</t>
  </si>
  <si>
    <t>SM472</t>
  </si>
  <si>
    <t>S8 &amp; X3 &amp; U10 &amp; O13 &amp; I30</t>
  </si>
  <si>
    <t>SM-476</t>
  </si>
  <si>
    <t>SM476</t>
  </si>
  <si>
    <t>X1 &amp; U10 &amp; O18 &amp; I30 &amp; P46</t>
  </si>
  <si>
    <t>SM-478</t>
  </si>
  <si>
    <r>
      <rPr>
        <b/>
        <i/>
        <sz val="13"/>
        <rFont val="Calibri"/>
      </rPr>
      <t>6</t>
    </r>
    <r>
      <rPr>
        <b/>
        <i/>
        <sz val="10"/>
        <rFont val="Calibri"/>
      </rPr>
      <t xml:space="preserve"> FOR SAME CLASS</t>
    </r>
  </si>
  <si>
    <t>SM478</t>
  </si>
  <si>
    <t>O6</t>
  </si>
  <si>
    <t>S5 &amp; X7 &amp; U13 &amp; O29 &amp; I15 &amp; P82</t>
  </si>
  <si>
    <t>SM-460</t>
  </si>
  <si>
    <t>471 SAR</t>
  </si>
  <si>
    <t>SM460</t>
  </si>
  <si>
    <t>U1</t>
  </si>
  <si>
    <t>S1 &amp; W2 &amp; X4 &amp; U16 &amp; O15 &amp; I9 &amp; P116</t>
  </si>
  <si>
    <t>SM480</t>
  </si>
  <si>
    <t>S2 &amp; X1 &amp; U15 &amp; O15 &amp; I15 &amp; P117 &amp; N3</t>
  </si>
  <si>
    <t>XY-567</t>
  </si>
  <si>
    <t>449 SAR</t>
  </si>
  <si>
    <t>549 SAR</t>
  </si>
  <si>
    <t>XY-573</t>
  </si>
  <si>
    <t>XY-589</t>
  </si>
  <si>
    <t>XY-565</t>
  </si>
  <si>
    <t>489 SAR</t>
  </si>
  <si>
    <r>
      <rPr>
        <i/>
        <sz val="13"/>
        <rFont val="Calibri"/>
      </rPr>
      <t>8</t>
    </r>
    <r>
      <rPr>
        <i/>
        <sz val="10"/>
        <rFont val="Calibri"/>
      </rPr>
      <t xml:space="preserve"> FOR SAME CLASS</t>
    </r>
  </si>
  <si>
    <t>589 SAR</t>
  </si>
  <si>
    <t>679 SAR</t>
  </si>
  <si>
    <t>XY-569</t>
  </si>
  <si>
    <r>
      <rPr>
        <b/>
        <i/>
        <sz val="13"/>
        <rFont val="Calibri"/>
      </rPr>
      <t>9</t>
    </r>
    <r>
      <rPr>
        <b/>
        <i/>
        <sz val="10"/>
        <rFont val="Calibri"/>
      </rPr>
      <t xml:space="preserve"> FOR SAME CLASS</t>
    </r>
  </si>
  <si>
    <t>XY-571</t>
  </si>
  <si>
    <t>XY-583</t>
  </si>
  <si>
    <t>XY-577</t>
  </si>
  <si>
    <t>529 SAR</t>
  </si>
  <si>
    <t>629 SAR</t>
  </si>
  <si>
    <t>719 SAR</t>
  </si>
  <si>
    <t>Air Arabia Egypt</t>
  </si>
  <si>
    <t>E5-362</t>
  </si>
  <si>
    <t>Cabin: 10 KG / Check-in: 30 KG</t>
  </si>
  <si>
    <t>536 SAR</t>
  </si>
  <si>
    <t>660 SAR</t>
  </si>
  <si>
    <t>Nesma Airlines</t>
  </si>
  <si>
    <t>NE-171</t>
  </si>
  <si>
    <t>595 SAR</t>
  </si>
  <si>
    <t>NE-173</t>
  </si>
  <si>
    <t>645 SAR</t>
  </si>
  <si>
    <t>SV-335</t>
  </si>
  <si>
    <t>678 SAR</t>
  </si>
  <si>
    <t>723 SAR</t>
  </si>
  <si>
    <t>SV-301</t>
  </si>
  <si>
    <t>935 SAR</t>
  </si>
  <si>
    <t>980 SAR</t>
  </si>
  <si>
    <t>SV-309</t>
  </si>
  <si>
    <t>SV-383</t>
  </si>
  <si>
    <t>SV-387</t>
  </si>
  <si>
    <t>SV-303</t>
  </si>
  <si>
    <t>1,093 SAR</t>
  </si>
  <si>
    <t>1,138 SAR</t>
  </si>
  <si>
    <t>SV-6664</t>
  </si>
  <si>
    <t>1,349 SAR</t>
  </si>
  <si>
    <t>SV-6891</t>
  </si>
  <si>
    <t>SV-6893</t>
  </si>
  <si>
    <t>SV-6895</t>
  </si>
  <si>
    <t>SV-389</t>
  </si>
  <si>
    <t>1,486 SAR</t>
  </si>
  <si>
    <t>1,531 SAR</t>
  </si>
  <si>
    <t>SV-305</t>
  </si>
  <si>
    <t>2,005 SAR</t>
  </si>
  <si>
    <t>2,050 SAR</t>
  </si>
  <si>
    <t>MS-662</t>
  </si>
  <si>
    <t>970 SAR</t>
  </si>
  <si>
    <t>MS-668</t>
  </si>
  <si>
    <t>MS-674</t>
  </si>
  <si>
    <t>1,080 SAR</t>
  </si>
  <si>
    <t>MS-666</t>
  </si>
  <si>
    <t>1,407 SAR</t>
  </si>
  <si>
    <t>MS-672</t>
  </si>
  <si>
    <t>1,844 SAR</t>
  </si>
  <si>
    <r>
      <rPr>
        <b/>
        <i/>
        <sz val="13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</si>
  <si>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400 SAR</t>
  </si>
  <si>
    <t>695 SAR</t>
  </si>
  <si>
    <t>I9</t>
  </si>
  <si>
    <t>S3 &amp; W1 &amp; U7 &amp; O18 &amp; I49 &amp; P47</t>
  </si>
  <si>
    <t>U2 &amp; O21 &amp; I46</t>
  </si>
  <si>
    <t>S2 &amp; U17 &amp; O18 &amp; I25 &amp; P45 &amp; N2</t>
  </si>
  <si>
    <r>
      <rPr>
        <b/>
        <i/>
        <sz val="13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</si>
  <si>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3"/>
        <rFont val="Calibri"/>
      </rPr>
      <t>10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</si>
  <si>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6</t>
    </r>
    <r>
      <rPr>
        <i/>
        <sz val="10"/>
        <rFont val="Calibri"/>
      </rPr>
      <t xml:space="preserve"> FOR SAME CLASS</t>
    </r>
  </si>
  <si>
    <t>E5-328</t>
  </si>
  <si>
    <t>MS-1672</t>
  </si>
  <si>
    <t>673 SAR</t>
  </si>
  <si>
    <t>MS-664</t>
  </si>
  <si>
    <t>765 SAR</t>
  </si>
  <si>
    <t>842 SAR</t>
  </si>
  <si>
    <t>MS-670</t>
  </si>
  <si>
    <t>MS-644</t>
  </si>
  <si>
    <t>1,260 SAR</t>
  </si>
  <si>
    <t>1,276 SAR</t>
  </si>
  <si>
    <t>1,321 SAR</t>
  </si>
  <si>
    <t>359 SAR</t>
  </si>
  <si>
    <t>509 SAR</t>
  </si>
  <si>
    <t>SM-432</t>
  </si>
  <si>
    <t>SM432</t>
  </si>
  <si>
    <t>S1 &amp; O6 &amp; I37</t>
  </si>
  <si>
    <t>SM-450</t>
  </si>
  <si>
    <t>SM450</t>
  </si>
  <si>
    <t>I27 &amp; E28 &amp; N1</t>
  </si>
  <si>
    <t>S3 &amp; U3 &amp; O22 &amp; I20 &amp; P89</t>
  </si>
  <si>
    <t>SM-480</t>
  </si>
  <si>
    <t>S1 &amp; U4 &amp; O25 &amp; I15 &amp; E44 &amp; N2</t>
  </si>
  <si>
    <t>X1 &amp; U1 &amp; P84</t>
  </si>
  <si>
    <t>S5 &amp; U4 &amp; O10 &amp; I30</t>
  </si>
  <si>
    <t>O5</t>
  </si>
  <si>
    <t>O2 &amp; I10 &amp; P132</t>
  </si>
  <si>
    <t>409 SAR</t>
  </si>
  <si>
    <t>469 SAR</t>
  </si>
  <si>
    <t>593 SAR</t>
  </si>
  <si>
    <t>1,178 SAR</t>
  </si>
  <si>
    <t>1,225 SAR</t>
  </si>
  <si>
    <t>1,270 SAR</t>
  </si>
  <si>
    <t>1,228 SAR</t>
  </si>
  <si>
    <t>1,618 SAR</t>
  </si>
  <si>
    <t>1,663 SAR</t>
  </si>
  <si>
    <t>389 SAR</t>
  </si>
  <si>
    <t>539 SAR</t>
  </si>
  <si>
    <t>B1 &amp; U4 &amp; O9 &amp; I31</t>
  </si>
  <si>
    <t>S4 &amp; U11 &amp; O27 &amp; I25 &amp; N2</t>
  </si>
  <si>
    <t>S3 &amp; O9 &amp; I36</t>
  </si>
  <si>
    <t>O18 &amp; I8 &amp; P39</t>
  </si>
  <si>
    <t>L1 &amp; G1 &amp; S1 &amp; U3 &amp; O29 &amp; I13 &amp; P68</t>
  </si>
  <si>
    <t>U3</t>
  </si>
  <si>
    <t>S5 &amp; W3 &amp; U13 &amp; O20 &amp; I10 &amp; P114</t>
  </si>
  <si>
    <t>572 SAR</t>
  </si>
  <si>
    <t>E5-322</t>
  </si>
  <si>
    <t>456 SAR</t>
  </si>
  <si>
    <t>579 SAR</t>
  </si>
  <si>
    <t>797 SAR</t>
  </si>
  <si>
    <t>05:30</t>
  </si>
  <si>
    <t>S8</t>
  </si>
  <si>
    <t>O13</t>
  </si>
  <si>
    <t>I30</t>
  </si>
  <si>
    <t>13:25</t>
  </si>
  <si>
    <t>S2</t>
  </si>
  <si>
    <t>X1</t>
  </si>
  <si>
    <t>U15</t>
  </si>
  <si>
    <t>O15</t>
  </si>
  <si>
    <t>I15</t>
  </si>
  <si>
    <t>P117</t>
  </si>
  <si>
    <t>N3</t>
  </si>
  <si>
    <t>14:45</t>
  </si>
  <si>
    <t>S5</t>
  </si>
  <si>
    <t>X7</t>
  </si>
  <si>
    <t>U13</t>
  </si>
  <si>
    <t>O29</t>
  </si>
  <si>
    <t>P82</t>
  </si>
  <si>
    <t>17:30</t>
  </si>
  <si>
    <t>W2</t>
  </si>
  <si>
    <t>X4</t>
  </si>
  <si>
    <t>U16</t>
  </si>
  <si>
    <t>P116</t>
  </si>
  <si>
    <t>22:25</t>
  </si>
  <si>
    <t>P86</t>
  </si>
  <si>
    <t>23:15</t>
  </si>
  <si>
    <t>O18</t>
  </si>
  <si>
    <t>P46</t>
  </si>
  <si>
    <t>WEDNESDAY</t>
  </si>
  <si>
    <t>12:25</t>
  </si>
  <si>
    <t>U2</t>
  </si>
  <si>
    <t>O21</t>
  </si>
  <si>
    <t>I46</t>
  </si>
  <si>
    <t>12:30</t>
  </si>
  <si>
    <t>S3</t>
  </si>
  <si>
    <t>W1</t>
  </si>
  <si>
    <t>U7</t>
  </si>
  <si>
    <t>I49</t>
  </si>
  <si>
    <t>P47</t>
  </si>
  <si>
    <t>U17</t>
  </si>
  <si>
    <t>I25</t>
  </si>
  <si>
    <t>P45</t>
  </si>
  <si>
    <t>N2</t>
  </si>
  <si>
    <t>P84</t>
  </si>
  <si>
    <t>02:45</t>
  </si>
  <si>
    <t>U4</t>
  </si>
  <si>
    <t>06:05</t>
  </si>
  <si>
    <t>I27</t>
  </si>
  <si>
    <t>E28</t>
  </si>
  <si>
    <t>08:00</t>
  </si>
  <si>
    <t>O2</t>
  </si>
  <si>
    <t>P132</t>
  </si>
  <si>
    <t>08:45</t>
  </si>
  <si>
    <t>I37</t>
  </si>
  <si>
    <t>14:00</t>
  </si>
  <si>
    <t>O22</t>
  </si>
  <si>
    <t>I20</t>
  </si>
  <si>
    <t>P89</t>
  </si>
  <si>
    <t>17:45</t>
  </si>
  <si>
    <t>O25</t>
  </si>
  <si>
    <t>FRIDAY</t>
  </si>
  <si>
    <t>B1</t>
  </si>
  <si>
    <t>I31</t>
  </si>
  <si>
    <t>07:40</t>
  </si>
  <si>
    <t>I36</t>
  </si>
  <si>
    <t>11:00</t>
  </si>
  <si>
    <t>I8</t>
  </si>
  <si>
    <t>P39</t>
  </si>
  <si>
    <t>G1</t>
  </si>
  <si>
    <t>I13</t>
  </si>
  <si>
    <t>P68</t>
  </si>
  <si>
    <t>17:40</t>
  </si>
  <si>
    <t>S4</t>
  </si>
  <si>
    <t>U11</t>
  </si>
  <si>
    <t>O27</t>
  </si>
  <si>
    <t>22:30</t>
  </si>
  <si>
    <t>W3</t>
  </si>
  <si>
    <t>O20</t>
  </si>
  <si>
    <t>01:05</t>
  </si>
  <si>
    <t>03:05</t>
  </si>
  <si>
    <t>18:55</t>
  </si>
  <si>
    <t>21:20</t>
  </si>
  <si>
    <t>RUH-CAI</t>
  </si>
  <si>
    <t>F3-605</t>
  </si>
  <si>
    <r>
      <rPr>
        <b/>
        <i/>
        <sz val="13"/>
        <color rgb="FFBC0000"/>
        <rFont val="Calibri"/>
      </rPr>
      <t>31</t>
    </r>
    <r>
      <rPr>
        <b/>
        <i/>
        <sz val="10"/>
        <color rgb="FFBC0000"/>
        <rFont val="Calibri"/>
      </rPr>
      <t xml:space="preserve"> FOR SAME CLASS</t>
    </r>
  </si>
  <si>
    <t>259 SAR</t>
  </si>
  <si>
    <r>
      <rPr>
        <i/>
        <sz val="13"/>
        <rFont val="Calibri"/>
      </rPr>
      <t>31</t>
    </r>
    <r>
      <rPr>
        <i/>
        <sz val="10"/>
        <rFont val="Calibri"/>
      </rPr>
      <t xml:space="preserve"> FOR SAME CLASS</t>
    </r>
  </si>
  <si>
    <t>899 SAR</t>
  </si>
  <si>
    <t>F3-607</t>
  </si>
  <si>
    <r>
      <rPr>
        <b/>
        <i/>
        <sz val="13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</si>
  <si>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34</t>
    </r>
    <r>
      <rPr>
        <i/>
        <sz val="10"/>
        <rFont val="Calibri"/>
      </rPr>
      <t xml:space="preserve"> FOR SAME CLASS</t>
    </r>
  </si>
  <si>
    <t>F3-611</t>
  </si>
  <si>
    <t>F3-615</t>
  </si>
  <si>
    <r>
      <rPr>
        <b/>
        <i/>
        <sz val="13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</si>
  <si>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16</t>
    </r>
    <r>
      <rPr>
        <i/>
        <sz val="10"/>
        <rFont val="Calibri"/>
      </rPr>
      <t xml:space="preserve"> FOR SAME CLASS</t>
    </r>
  </si>
  <si>
    <t>XY-263</t>
  </si>
  <si>
    <t>289 SAR</t>
  </si>
  <si>
    <t>479 SAR</t>
  </si>
  <si>
    <t>XY-275</t>
  </si>
  <si>
    <t>XY-265</t>
  </si>
  <si>
    <t>329 SAR</t>
  </si>
  <si>
    <t>429 SAR</t>
  </si>
  <si>
    <t>519 SAR</t>
  </si>
  <si>
    <t>XY-269</t>
  </si>
  <si>
    <t>XY-271</t>
  </si>
  <si>
    <t>XY-273</t>
  </si>
  <si>
    <t>XY-267</t>
  </si>
  <si>
    <t>369 SAR</t>
  </si>
  <si>
    <t>NE-161</t>
  </si>
  <si>
    <t>350 SAR</t>
  </si>
  <si>
    <t>SM-470</t>
  </si>
  <si>
    <t>355 SAR</t>
  </si>
  <si>
    <t>SM470</t>
  </si>
  <si>
    <t>U3 &amp; O18 &amp; I80</t>
  </si>
  <si>
    <t>E5-411</t>
  </si>
  <si>
    <t>372 SAR</t>
  </si>
  <si>
    <t>495 SAR</t>
  </si>
  <si>
    <t>MS-650</t>
  </si>
  <si>
    <t>462 SAR</t>
  </si>
  <si>
    <t>MS-652</t>
  </si>
  <si>
    <t>597 SAR</t>
  </si>
  <si>
    <t>MS-648</t>
  </si>
  <si>
    <t>601 SAR</t>
  </si>
  <si>
    <t>SV-311</t>
  </si>
  <si>
    <t>661 SAR</t>
  </si>
  <si>
    <t>711 SAR</t>
  </si>
  <si>
    <t>SV-313</t>
  </si>
  <si>
    <t>SV-323</t>
  </si>
  <si>
    <t>SV-417</t>
  </si>
  <si>
    <t>SV-321</t>
  </si>
  <si>
    <t>774 SAR</t>
  </si>
  <si>
    <t>824 SAR</t>
  </si>
  <si>
    <t>SV-6595</t>
  </si>
  <si>
    <t>1,161 SAR</t>
  </si>
  <si>
    <t>SV-6676</t>
  </si>
  <si>
    <t>SV-6749</t>
  </si>
  <si>
    <r>
      <rPr>
        <b/>
        <i/>
        <sz val="13"/>
        <color rgb="FFBC0000"/>
        <rFont val="Calibri"/>
      </rPr>
      <t>23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</si>
  <si>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3"/>
        <rFont val="Calibri"/>
      </rPr>
      <t>23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</si>
  <si>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57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</si>
  <si>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57</t>
    </r>
    <r>
      <rPr>
        <i/>
        <sz val="10"/>
        <rFont val="Calibri"/>
      </rPr>
      <t xml:space="preserve"> FOR SAME CLASS</t>
    </r>
  </si>
  <si>
    <r>
      <rPr>
        <b/>
        <i/>
        <sz val="13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</si>
  <si>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19</t>
    </r>
    <r>
      <rPr>
        <i/>
        <sz val="10"/>
        <rFont val="Calibri"/>
      </rPr>
      <t xml:space="preserve"> FOR SAME CLASS</t>
    </r>
  </si>
  <si>
    <t>290 SAR</t>
  </si>
  <si>
    <t>299 SAR</t>
  </si>
  <si>
    <t>Q2 &amp; K1 &amp; S1 &amp; W1 &amp; I61</t>
  </si>
  <si>
    <t>SM-462</t>
  </si>
  <si>
    <t>SM462</t>
  </si>
  <si>
    <t>K3 &amp; O27 &amp; I58</t>
  </si>
  <si>
    <t>E5-416</t>
  </si>
  <si>
    <t>305 SAR</t>
  </si>
  <si>
    <t>428 SAR</t>
  </si>
  <si>
    <t>NP-252</t>
  </si>
  <si>
    <t>357 SAR</t>
  </si>
  <si>
    <t>702 SAR</t>
  </si>
  <si>
    <t>736 SAR</t>
  </si>
  <si>
    <t>786 SAR</t>
  </si>
  <si>
    <r>
      <rPr>
        <b/>
        <i/>
        <sz val="13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</si>
  <si>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3"/>
        <rFont val="Calibri"/>
      </rPr>
      <t>12</t>
    </r>
    <r>
      <rPr>
        <i/>
        <sz val="10"/>
        <rFont val="Calibri"/>
      </rPr>
      <t xml:space="preserve"> FOR SAME CLASS</t>
    </r>
  </si>
  <si>
    <t>399 SAR</t>
  </si>
  <si>
    <t>729 SAR</t>
  </si>
  <si>
    <t>NP-152</t>
  </si>
  <si>
    <t>416 SAR</t>
  </si>
  <si>
    <t>361 SAR</t>
  </si>
  <si>
    <t>484 SAR</t>
  </si>
  <si>
    <t>397 SAR</t>
  </si>
  <si>
    <t>U9</t>
  </si>
  <si>
    <t>K2 &amp; S2 &amp; W3 &amp; X2 &amp; U11 &amp; O10 &amp; I60</t>
  </si>
  <si>
    <t>NE-165</t>
  </si>
  <si>
    <t>466 SAR</t>
  </si>
  <si>
    <t>841 SAR</t>
  </si>
  <si>
    <t>1,027 SAR</t>
  </si>
  <si>
    <r>
      <rPr>
        <b/>
        <i/>
        <sz val="13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</si>
  <si>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683 SAR</t>
  </si>
  <si>
    <t>733 SAR</t>
  </si>
  <si>
    <t>999 SAR</t>
  </si>
  <si>
    <t>1,049 SAR</t>
  </si>
  <si>
    <t>1,112 SAR</t>
  </si>
  <si>
    <t>1,162 SAR</t>
  </si>
  <si>
    <t>1,529 SAR</t>
  </si>
  <si>
    <t>1,850 SAR</t>
  </si>
  <si>
    <t>1,978 SAR</t>
  </si>
  <si>
    <t>279 SAR</t>
  </si>
  <si>
    <t>309 SAR</t>
  </si>
  <si>
    <t>319 SAR</t>
  </si>
  <si>
    <t>W4 &amp; I52</t>
  </si>
  <si>
    <t>O8</t>
  </si>
  <si>
    <t>K1 &amp; S1 &amp; U3 &amp; O22 &amp; I50</t>
  </si>
  <si>
    <t>527 SAR</t>
  </si>
  <si>
    <t>837 SAR</t>
  </si>
  <si>
    <t>21:55</t>
  </si>
  <si>
    <t>I80</t>
  </si>
  <si>
    <t>14:40</t>
  </si>
  <si>
    <t>K3</t>
  </si>
  <si>
    <t>I58</t>
  </si>
  <si>
    <t>22:10</t>
  </si>
  <si>
    <t>K1</t>
  </si>
  <si>
    <t>I61</t>
  </si>
  <si>
    <t>K2</t>
  </si>
  <si>
    <t>X2</t>
  </si>
  <si>
    <t>I60</t>
  </si>
  <si>
    <t>14:30</t>
  </si>
  <si>
    <t>I50</t>
  </si>
  <si>
    <t>W4</t>
  </si>
  <si>
    <t>I52</t>
  </si>
  <si>
    <t>10:45</t>
  </si>
  <si>
    <t>12:00</t>
  </si>
  <si>
    <t>18:15</t>
  </si>
  <si>
    <t>19:35</t>
  </si>
  <si>
    <t>07:20</t>
  </si>
  <si>
    <t>13:35</t>
  </si>
  <si>
    <t>19:50</t>
  </si>
  <si>
    <t>10:15</t>
  </si>
  <si>
    <t>16:30</t>
  </si>
  <si>
    <t>09:00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</si>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</sst>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h:mm;@"/>
    <numFmt numFmtId="169" formatCode="0.0%"/>
    <numFmt numFmtId="170" formatCode="[$-409]dddd"/>
    <numFmt numFmtId="171" formatCode="#,##0\ &quot;SAR&quot;"/>
    <numFmt numFmtId="172" formatCode="dd\-mmm\-yy"/>
    <numFmt numFmtId="173" formatCode="hh:mm"/>
  </numFmts>
  <fonts count="34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u/>
      <sz val="18"/>
      <name val="Calibri"/>
    </font>
    <font>
      <b/>
      <i/>
      <sz val="18"/>
      <name val="Calibri"/>
    </font>
    <font>
      <i/>
      <sz val="13"/>
      <name val="Calibri"/>
    </font>
    <font>
      <b/>
      <i/>
      <sz val="20"/>
      <color rgb="FFFFFFFF"/>
      <name val="Calibri"/>
    </font>
    <font>
      <b/>
      <i/>
      <sz val="20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3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i/>
      <sz val="18"/>
      <color rgb="FFFF0000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3"/>
      <color rgb="FFBC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10"/>
      <color indexed="8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C5D9F1"/>
      </patternFill>
    </fill>
    <fill>
      <patternFill patternType="solid">
        <fgColor rgb="FFF2CA93"/>
      </patternFill>
    </fill>
    <fill>
      <patternFill patternType="solid">
        <fgColor rgb="FFFFE4B5"/>
      </patternFill>
    </fill>
    <fill>
      <patternFill patternType="solid">
        <fgColor rgb="FFCCCCCC"/>
        <bgColor rgb="FFCCCCCC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C7FFFF"/>
      </patternFill>
    </fill>
    <fill>
      <patternFill patternType="solid">
        <fgColor rgb="FFFFFFCC"/>
      </patternFill>
    </fill>
    <fill>
      <patternFill patternType="solid">
        <fgColor rgb="FFE6D5E6"/>
      </patternFill>
    </fill>
    <fill>
      <patternFill patternType="solid">
        <fgColor rgb="FFB5E7D3"/>
      </patternFill>
    </fill>
    <fill>
      <patternFill patternType="solid">
        <fgColor rgb="FF36549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ck">
        <color rgb="FFA0A0A0"/>
      </left>
      <right/>
      <top/>
      <bottom style="thick">
        <color rgb="FFA0A0A0"/>
      </bottom>
      <diagonal/>
    </border>
    <border>
      <left/>
      <right/>
      <top/>
      <bottom style="thick">
        <color rgb="FFA0A0A0"/>
      </bottom>
      <diagonal/>
    </border>
    <border>
      <left/>
      <right style="thick">
        <color rgb="FFA0A0A0"/>
      </right>
      <top/>
      <bottom style="thick">
        <color rgb="FFA0A0A0"/>
      </bottom>
      <diagonal/>
    </border>
  </borders>
  <cellStyleXfs count="1">
    <xf numFmtId="0" fontId="0" fillId="0" borderId="0"/>
  </cellStyleXfs>
  <cellXfs count="20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0" fillId="0" borderId="1" xfId="0" applyBorder="1"/>
    <xf numFmtId="167" fontId="7" fillId="5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/>
    </xf>
    <xf numFmtId="49" fontId="11" fillId="0" borderId="4" xfId="0" applyNumberFormat="1" applyFont="1" applyBorder="1" applyAlignment="1">
      <alignment horizontal="center" vertical="center"/>
    </xf>
    <xf numFmtId="168" fontId="11" fillId="0" borderId="4" xfId="0" applyNumberFormat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168" fontId="14" fillId="0" borderId="8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49" fontId="11" fillId="8" borderId="2" xfId="0" applyNumberFormat="1" applyFont="1" applyFill="1" applyBorder="1" applyAlignment="1">
      <alignment horizontal="center" vertical="center"/>
    </xf>
    <xf numFmtId="168" fontId="11" fillId="8" borderId="2" xfId="0" applyNumberFormat="1" applyFont="1" applyFill="1" applyBorder="1" applyAlignment="1">
      <alignment horizontal="center" vertical="center"/>
    </xf>
    <xf numFmtId="49" fontId="15" fillId="8" borderId="9" xfId="0" applyNumberFormat="1" applyFont="1" applyFill="1" applyBorder="1" applyAlignment="1">
      <alignment horizontal="center" vertical="center"/>
    </xf>
    <xf numFmtId="169" fontId="16" fillId="8" borderId="10" xfId="0" applyNumberFormat="1" applyFont="1" applyFill="1" applyBorder="1" applyAlignment="1">
      <alignment horizontal="center" vertical="center"/>
    </xf>
    <xf numFmtId="1" fontId="15" fillId="8" borderId="10" xfId="0" applyNumberFormat="1" applyFont="1" applyFill="1" applyBorder="1" applyAlignment="1">
      <alignment horizontal="center" vertical="center"/>
    </xf>
    <xf numFmtId="16" fontId="15" fillId="8" borderId="10" xfId="0" applyNumberFormat="1" applyFont="1" applyFill="1" applyBorder="1" applyAlignment="1">
      <alignment horizontal="center" vertical="center"/>
    </xf>
    <xf numFmtId="49" fontId="17" fillId="8" borderId="10" xfId="0" applyNumberFormat="1" applyFont="1" applyFill="1" applyBorder="1" applyAlignment="1">
      <alignment horizontal="center" vertical="center"/>
    </xf>
    <xf numFmtId="168" fontId="15" fillId="8" borderId="10" xfId="0" applyNumberFormat="1" applyFont="1" applyFill="1" applyBorder="1" applyAlignment="1">
      <alignment horizontal="center" vertical="center"/>
    </xf>
    <xf numFmtId="49" fontId="15" fillId="8" borderId="11" xfId="0" applyNumberFormat="1" applyFont="1" applyFill="1" applyBorder="1" applyAlignment="1">
      <alignment horizontal="center" vertical="center"/>
    </xf>
    <xf numFmtId="49" fontId="18" fillId="9" borderId="2" xfId="0" applyNumberFormat="1" applyFont="1" applyFill="1" applyBorder="1" applyAlignment="1">
      <alignment horizontal="center" vertical="center"/>
    </xf>
    <xf numFmtId="168" fontId="18" fillId="9" borderId="2" xfId="0" applyNumberFormat="1" applyFont="1" applyFill="1" applyBorder="1" applyAlignment="1">
      <alignment horizontal="center" vertical="center"/>
    </xf>
    <xf numFmtId="49" fontId="15" fillId="9" borderId="9" xfId="0" applyNumberFormat="1" applyFont="1" applyFill="1" applyBorder="1" applyAlignment="1">
      <alignment horizontal="center" vertical="center"/>
    </xf>
    <xf numFmtId="169" fontId="19" fillId="9" borderId="10" xfId="0" applyNumberFormat="1" applyFont="1" applyFill="1" applyBorder="1" applyAlignment="1">
      <alignment horizontal="center" vertical="center"/>
    </xf>
    <xf numFmtId="1" fontId="15" fillId="9" borderId="10" xfId="0" applyNumberFormat="1" applyFont="1" applyFill="1" applyBorder="1" applyAlignment="1">
      <alignment horizontal="center" vertical="center"/>
    </xf>
    <xf numFmtId="16" fontId="15" fillId="9" borderId="10" xfId="0" applyNumberFormat="1" applyFont="1" applyFill="1" applyBorder="1" applyAlignment="1">
      <alignment horizontal="center" vertical="center"/>
    </xf>
    <xf numFmtId="49" fontId="17" fillId="9" borderId="10" xfId="0" applyNumberFormat="1" applyFont="1" applyFill="1" applyBorder="1" applyAlignment="1">
      <alignment horizontal="center" vertical="center"/>
    </xf>
    <xf numFmtId="168" fontId="15" fillId="9" borderId="10" xfId="0" applyNumberFormat="1" applyFont="1" applyFill="1" applyBorder="1" applyAlignment="1">
      <alignment horizontal="center" vertical="center"/>
    </xf>
    <xf numFmtId="49" fontId="15" fillId="9" borderId="11" xfId="0" applyNumberFormat="1" applyFont="1" applyFill="1" applyBorder="1" applyAlignment="1">
      <alignment horizontal="center" vertical="center"/>
    </xf>
    <xf numFmtId="49" fontId="18" fillId="10" borderId="2" xfId="0" applyNumberFormat="1" applyFont="1" applyFill="1" applyBorder="1" applyAlignment="1">
      <alignment horizontal="center" vertical="center"/>
    </xf>
    <xf numFmtId="168" fontId="18" fillId="10" borderId="2" xfId="0" applyNumberFormat="1" applyFont="1" applyFill="1" applyBorder="1" applyAlignment="1">
      <alignment horizontal="center" vertical="center"/>
    </xf>
    <xf numFmtId="0" fontId="18" fillId="10" borderId="2" xfId="0" applyFont="1" applyFill="1" applyBorder="1" applyAlignment="1">
      <alignment horizontal="center" vertical="center"/>
    </xf>
    <xf numFmtId="49" fontId="15" fillId="10" borderId="9" xfId="0" applyNumberFormat="1" applyFont="1" applyFill="1" applyBorder="1" applyAlignment="1">
      <alignment horizontal="center" vertical="center"/>
    </xf>
    <xf numFmtId="169" fontId="19" fillId="10" borderId="10" xfId="0" applyNumberFormat="1" applyFont="1" applyFill="1" applyBorder="1" applyAlignment="1">
      <alignment horizontal="center" vertical="center"/>
    </xf>
    <xf numFmtId="1" fontId="15" fillId="10" borderId="10" xfId="0" applyNumberFormat="1" applyFont="1" applyFill="1" applyBorder="1" applyAlignment="1">
      <alignment horizontal="center" vertical="center"/>
    </xf>
    <xf numFmtId="16" fontId="15" fillId="10" borderId="10" xfId="0" applyNumberFormat="1" applyFont="1" applyFill="1" applyBorder="1" applyAlignment="1">
      <alignment horizontal="center" vertical="center"/>
    </xf>
    <xf numFmtId="49" fontId="17" fillId="10" borderId="10" xfId="0" applyNumberFormat="1" applyFont="1" applyFill="1" applyBorder="1" applyAlignment="1">
      <alignment horizontal="center" vertical="center"/>
    </xf>
    <xf numFmtId="168" fontId="15" fillId="10" borderId="10" xfId="0" applyNumberFormat="1" applyFont="1" applyFill="1" applyBorder="1" applyAlignment="1">
      <alignment horizontal="center" vertical="center"/>
    </xf>
    <xf numFmtId="49" fontId="15" fillId="10" borderId="11" xfId="0" applyNumberFormat="1" applyFont="1" applyFill="1" applyBorder="1" applyAlignment="1">
      <alignment horizontal="center" vertical="center"/>
    </xf>
    <xf numFmtId="49" fontId="18" fillId="0" borderId="8" xfId="0" applyNumberFormat="1" applyFont="1" applyBorder="1" applyAlignment="1">
      <alignment horizontal="center" vertical="center"/>
    </xf>
    <xf numFmtId="168" fontId="18" fillId="0" borderId="8" xfId="0" applyNumberFormat="1" applyFont="1" applyBorder="1" applyAlignment="1">
      <alignment horizontal="center" vertical="center"/>
    </xf>
    <xf numFmtId="49" fontId="14" fillId="0" borderId="12" xfId="0" applyNumberFormat="1" applyFont="1" applyBorder="1" applyAlignment="1">
      <alignment horizontal="center" vertical="center"/>
    </xf>
    <xf numFmtId="168" fontId="14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7" fontId="4" fillId="5" borderId="2" xfId="0" applyNumberFormat="1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168" fontId="9" fillId="6" borderId="2" xfId="0" applyNumberFormat="1" applyFont="1" applyFill="1" applyBorder="1" applyAlignment="1">
      <alignment horizontal="center" vertical="center"/>
    </xf>
    <xf numFmtId="49" fontId="10" fillId="6" borderId="2" xfId="0" applyNumberFormat="1" applyFont="1" applyFill="1" applyBorder="1" applyAlignment="1">
      <alignment horizontal="center" vertical="center"/>
    </xf>
    <xf numFmtId="49" fontId="10" fillId="7" borderId="3" xfId="0" applyNumberFormat="1" applyFont="1" applyFill="1" applyBorder="1" applyAlignment="1">
      <alignment horizontal="center" vertical="center"/>
    </xf>
    <xf numFmtId="169" fontId="9" fillId="6" borderId="2" xfId="0" applyNumberFormat="1" applyFont="1" applyFill="1" applyBorder="1" applyAlignment="1">
      <alignment horizontal="center" vertical="center"/>
    </xf>
    <xf numFmtId="1" fontId="9" fillId="6" borderId="2" xfId="0" applyNumberFormat="1" applyFont="1" applyFill="1" applyBorder="1" applyAlignment="1">
      <alignment horizontal="center" vertical="center"/>
    </xf>
    <xf numFmtId="16" fontId="9" fillId="6" borderId="2" xfId="0" applyNumberFormat="1" applyFont="1" applyFill="1" applyBorder="1" applyAlignment="1">
      <alignment horizontal="center" vertical="center"/>
    </xf>
    <xf numFmtId="49" fontId="18" fillId="0" borderId="12" xfId="0" applyNumberFormat="1" applyFont="1" applyBorder="1" applyAlignment="1">
      <alignment horizontal="center" vertical="center"/>
    </xf>
    <xf numFmtId="168" fontId="18" fillId="0" borderId="12" xfId="0" applyNumberFormat="1" applyFont="1" applyBorder="1" applyAlignment="1">
      <alignment horizontal="center" vertical="center"/>
    </xf>
    <xf numFmtId="49" fontId="11" fillId="12" borderId="12" xfId="0" applyNumberFormat="1" applyFont="1" applyFill="1" applyBorder="1" applyAlignment="1">
      <alignment horizontal="center" vertical="center"/>
    </xf>
    <xf numFmtId="168" fontId="11" fillId="12" borderId="12" xfId="0" applyNumberFormat="1" applyFont="1" applyFill="1" applyBorder="1" applyAlignment="1">
      <alignment horizontal="center" vertical="center"/>
    </xf>
    <xf numFmtId="49" fontId="15" fillId="12" borderId="16" xfId="0" applyNumberFormat="1" applyFont="1" applyFill="1" applyBorder="1" applyAlignment="1">
      <alignment horizontal="center" vertical="center"/>
    </xf>
    <xf numFmtId="169" fontId="19" fillId="12" borderId="17" xfId="0" applyNumberFormat="1" applyFont="1" applyFill="1" applyBorder="1" applyAlignment="1">
      <alignment horizontal="center" vertical="center"/>
    </xf>
    <xf numFmtId="1" fontId="15" fillId="12" borderId="17" xfId="0" applyNumberFormat="1" applyFont="1" applyFill="1" applyBorder="1" applyAlignment="1">
      <alignment horizontal="center" vertical="center"/>
    </xf>
    <xf numFmtId="16" fontId="15" fillId="12" borderId="17" xfId="0" applyNumberFormat="1" applyFont="1" applyFill="1" applyBorder="1" applyAlignment="1">
      <alignment horizontal="center" vertical="center"/>
    </xf>
    <xf numFmtId="49" fontId="17" fillId="12" borderId="17" xfId="0" applyNumberFormat="1" applyFont="1" applyFill="1" applyBorder="1" applyAlignment="1">
      <alignment horizontal="center" vertical="center"/>
    </xf>
    <xf numFmtId="168" fontId="15" fillId="12" borderId="17" xfId="0" applyNumberFormat="1" applyFont="1" applyFill="1" applyBorder="1" applyAlignment="1">
      <alignment horizontal="center" vertical="center"/>
    </xf>
    <xf numFmtId="49" fontId="15" fillId="12" borderId="18" xfId="0" applyNumberFormat="1" applyFont="1" applyFill="1" applyBorder="1" applyAlignment="1">
      <alignment horizontal="center" vertical="center"/>
    </xf>
    <xf numFmtId="0" fontId="22" fillId="13" borderId="24" xfId="0" applyFont="1" applyFill="1" applyBorder="1" applyAlignment="1">
      <alignment horizontal="center" vertical="center"/>
    </xf>
    <xf numFmtId="0" fontId="22" fillId="13" borderId="25" xfId="0" applyFont="1" applyFill="1" applyBorder="1" applyAlignment="1">
      <alignment horizontal="center" vertical="center"/>
    </xf>
    <xf numFmtId="0" fontId="22" fillId="13" borderId="26" xfId="0" applyFont="1" applyFill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49" fontId="23" fillId="0" borderId="28" xfId="0" applyNumberFormat="1" applyFont="1" applyBorder="1" applyAlignment="1">
      <alignment horizontal="center" vertical="center"/>
    </xf>
    <xf numFmtId="1" fontId="23" fillId="0" borderId="28" xfId="0" applyNumberFormat="1" applyFont="1" applyBorder="1" applyAlignment="1">
      <alignment horizontal="center" vertical="center"/>
    </xf>
    <xf numFmtId="171" fontId="23" fillId="0" borderId="29" xfId="0" applyNumberFormat="1" applyFont="1" applyBorder="1" applyAlignment="1">
      <alignment horizontal="center" vertical="center"/>
    </xf>
    <xf numFmtId="0" fontId="24" fillId="0" borderId="27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49" fontId="24" fillId="0" borderId="28" xfId="0" applyNumberFormat="1" applyFont="1" applyBorder="1" applyAlignment="1">
      <alignment horizontal="center" vertical="center"/>
    </xf>
    <xf numFmtId="1" fontId="24" fillId="0" borderId="28" xfId="0" applyNumberFormat="1" applyFont="1" applyBorder="1" applyAlignment="1">
      <alignment horizontal="center" vertical="center"/>
    </xf>
    <xf numFmtId="171" fontId="24" fillId="0" borderId="29" xfId="0" applyNumberFormat="1" applyFont="1" applyBorder="1" applyAlignment="1">
      <alignment horizontal="center" vertical="center"/>
    </xf>
    <xf numFmtId="172" fontId="23" fillId="0" borderId="27" xfId="0" applyNumberFormat="1" applyFont="1" applyBorder="1" applyAlignment="1">
      <alignment horizontal="center" vertical="center"/>
    </xf>
    <xf numFmtId="173" fontId="23" fillId="0" borderId="28" xfId="0" applyNumberFormat="1" applyFont="1" applyBorder="1" applyAlignment="1">
      <alignment horizontal="center" vertical="center"/>
    </xf>
    <xf numFmtId="172" fontId="24" fillId="0" borderId="27" xfId="0" applyNumberFormat="1" applyFont="1" applyBorder="1" applyAlignment="1">
      <alignment horizontal="center" vertical="center"/>
    </xf>
    <xf numFmtId="173" fontId="24" fillId="0" borderId="28" xfId="0" applyNumberFormat="1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172" fontId="24" fillId="0" borderId="30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49" fontId="24" fillId="0" borderId="31" xfId="0" applyNumberFormat="1" applyFont="1" applyBorder="1" applyAlignment="1">
      <alignment horizontal="center" vertical="center"/>
    </xf>
    <xf numFmtId="173" fontId="24" fillId="0" borderId="31" xfId="0" applyNumberFormat="1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172" fontId="23" fillId="0" borderId="30" xfId="0" applyNumberFormat="1" applyFont="1" applyBorder="1" applyAlignment="1">
      <alignment horizontal="center" vertical="center"/>
    </xf>
    <xf numFmtId="0" fontId="23" fillId="0" borderId="31" xfId="0" applyFont="1" applyBorder="1" applyAlignment="1">
      <alignment horizontal="center" vertical="center"/>
    </xf>
    <xf numFmtId="49" fontId="23" fillId="0" borderId="31" xfId="0" applyNumberFormat="1" applyFont="1" applyBorder="1" applyAlignment="1">
      <alignment horizontal="center" vertical="center"/>
    </xf>
    <xf numFmtId="173" fontId="23" fillId="0" borderId="31" xfId="0" applyNumberFormat="1" applyFont="1" applyBorder="1" applyAlignment="1">
      <alignment horizontal="center" vertical="center"/>
    </xf>
    <xf numFmtId="1" fontId="23" fillId="0" borderId="31" xfId="0" applyNumberFormat="1" applyFont="1" applyBorder="1" applyAlignment="1">
      <alignment horizontal="center" vertical="center"/>
    </xf>
    <xf numFmtId="0" fontId="23" fillId="0" borderId="32" xfId="0" applyFont="1" applyBorder="1" applyAlignment="1">
      <alignment horizontal="center" vertical="center"/>
    </xf>
    <xf numFmtId="0" fontId="24" fillId="0" borderId="29" xfId="0" applyFont="1" applyBorder="1" applyAlignment="1">
      <alignment horizontal="center" vertical="center"/>
    </xf>
    <xf numFmtId="1" fontId="24" fillId="0" borderId="31" xfId="0" applyNumberFormat="1" applyFont="1" applyBorder="1" applyAlignment="1">
      <alignment horizontal="center" vertical="center"/>
    </xf>
    <xf numFmtId="169" fontId="15" fillId="8" borderId="10" xfId="0" applyNumberFormat="1" applyFont="1" applyFill="1" applyBorder="1" applyAlignment="1">
      <alignment horizontal="center" vertical="center"/>
    </xf>
    <xf numFmtId="49" fontId="18" fillId="14" borderId="2" xfId="0" applyNumberFormat="1" applyFont="1" applyFill="1" applyBorder="1" applyAlignment="1">
      <alignment horizontal="center" vertical="center"/>
    </xf>
    <xf numFmtId="168" fontId="18" fillId="14" borderId="2" xfId="0" applyNumberFormat="1" applyFont="1" applyFill="1" applyBorder="1" applyAlignment="1">
      <alignment horizontal="center" vertical="center"/>
    </xf>
    <xf numFmtId="49" fontId="15" fillId="14" borderId="9" xfId="0" applyNumberFormat="1" applyFont="1" applyFill="1" applyBorder="1" applyAlignment="1">
      <alignment horizontal="center" vertical="center"/>
    </xf>
    <xf numFmtId="169" fontId="16" fillId="14" borderId="10" xfId="0" applyNumberFormat="1" applyFont="1" applyFill="1" applyBorder="1" applyAlignment="1">
      <alignment horizontal="center" vertical="center"/>
    </xf>
    <xf numFmtId="1" fontId="15" fillId="14" borderId="10" xfId="0" applyNumberFormat="1" applyFont="1" applyFill="1" applyBorder="1" applyAlignment="1">
      <alignment horizontal="center" vertical="center"/>
    </xf>
    <xf numFmtId="16" fontId="15" fillId="14" borderId="10" xfId="0" applyNumberFormat="1" applyFont="1" applyFill="1" applyBorder="1" applyAlignment="1">
      <alignment horizontal="center" vertical="center"/>
    </xf>
    <xf numFmtId="49" fontId="17" fillId="14" borderId="10" xfId="0" applyNumberFormat="1" applyFont="1" applyFill="1" applyBorder="1" applyAlignment="1">
      <alignment horizontal="center" vertical="center"/>
    </xf>
    <xf numFmtId="168" fontId="15" fillId="14" borderId="10" xfId="0" applyNumberFormat="1" applyFont="1" applyFill="1" applyBorder="1" applyAlignment="1">
      <alignment horizontal="center" vertical="center"/>
    </xf>
    <xf numFmtId="49" fontId="15" fillId="14" borderId="11" xfId="0" applyNumberFormat="1" applyFont="1" applyFill="1" applyBorder="1" applyAlignment="1">
      <alignment horizontal="center" vertical="center"/>
    </xf>
    <xf numFmtId="49" fontId="18" fillId="8" borderId="2" xfId="0" applyNumberFormat="1" applyFont="1" applyFill="1" applyBorder="1" applyAlignment="1">
      <alignment horizontal="center" vertical="center"/>
    </xf>
    <xf numFmtId="168" fontId="18" fillId="8" borderId="2" xfId="0" applyNumberFormat="1" applyFont="1" applyFill="1" applyBorder="1" applyAlignment="1">
      <alignment horizontal="center" vertical="center"/>
    </xf>
    <xf numFmtId="169" fontId="15" fillId="14" borderId="10" xfId="0" applyNumberFormat="1" applyFont="1" applyFill="1" applyBorder="1" applyAlignment="1">
      <alignment horizontal="center" vertical="center"/>
    </xf>
    <xf numFmtId="49" fontId="18" fillId="15" borderId="2" xfId="0" applyNumberFormat="1" applyFont="1" applyFill="1" applyBorder="1" applyAlignment="1">
      <alignment horizontal="center" vertical="center"/>
    </xf>
    <xf numFmtId="168" fontId="18" fillId="15" borderId="2" xfId="0" applyNumberFormat="1" applyFont="1" applyFill="1" applyBorder="1" applyAlignment="1">
      <alignment horizontal="center" vertical="center"/>
    </xf>
    <xf numFmtId="49" fontId="15" fillId="15" borderId="9" xfId="0" applyNumberFormat="1" applyFont="1" applyFill="1" applyBorder="1" applyAlignment="1">
      <alignment horizontal="center" vertical="center"/>
    </xf>
    <xf numFmtId="169" fontId="19" fillId="15" borderId="10" xfId="0" applyNumberFormat="1" applyFont="1" applyFill="1" applyBorder="1" applyAlignment="1">
      <alignment horizontal="center" vertical="center"/>
    </xf>
    <xf numFmtId="1" fontId="15" fillId="15" borderId="10" xfId="0" applyNumberFormat="1" applyFont="1" applyFill="1" applyBorder="1" applyAlignment="1">
      <alignment horizontal="center" vertical="center"/>
    </xf>
    <xf numFmtId="16" fontId="15" fillId="15" borderId="10" xfId="0" applyNumberFormat="1" applyFont="1" applyFill="1" applyBorder="1" applyAlignment="1">
      <alignment horizontal="center" vertical="center"/>
    </xf>
    <xf numFmtId="49" fontId="17" fillId="15" borderId="10" xfId="0" applyNumberFormat="1" applyFont="1" applyFill="1" applyBorder="1" applyAlignment="1">
      <alignment horizontal="center" vertical="center"/>
    </xf>
    <xf numFmtId="168" fontId="15" fillId="15" borderId="10" xfId="0" applyNumberFormat="1" applyFont="1" applyFill="1" applyBorder="1" applyAlignment="1">
      <alignment horizontal="center" vertical="center"/>
    </xf>
    <xf numFmtId="49" fontId="15" fillId="15" borderId="11" xfId="0" applyNumberFormat="1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169" fontId="19" fillId="8" borderId="10" xfId="0" applyNumberFormat="1" applyFont="1" applyFill="1" applyBorder="1" applyAlignment="1">
      <alignment horizontal="center" vertical="center"/>
    </xf>
    <xf numFmtId="49" fontId="11" fillId="12" borderId="2" xfId="0" applyNumberFormat="1" applyFont="1" applyFill="1" applyBorder="1" applyAlignment="1">
      <alignment horizontal="center" vertical="center"/>
    </xf>
    <xf numFmtId="168" fontId="11" fillId="12" borderId="2" xfId="0" applyNumberFormat="1" applyFont="1" applyFill="1" applyBorder="1" applyAlignment="1">
      <alignment horizontal="center" vertical="center"/>
    </xf>
    <xf numFmtId="49" fontId="15" fillId="12" borderId="9" xfId="0" applyNumberFormat="1" applyFont="1" applyFill="1" applyBorder="1" applyAlignment="1">
      <alignment horizontal="center" vertical="center"/>
    </xf>
    <xf numFmtId="169" fontId="15" fillId="12" borderId="10" xfId="0" applyNumberFormat="1" applyFont="1" applyFill="1" applyBorder="1" applyAlignment="1">
      <alignment horizontal="center" vertical="center"/>
    </xf>
    <xf numFmtId="1" fontId="15" fillId="12" borderId="10" xfId="0" applyNumberFormat="1" applyFont="1" applyFill="1" applyBorder="1" applyAlignment="1">
      <alignment horizontal="center" vertical="center"/>
    </xf>
    <xf numFmtId="16" fontId="15" fillId="12" borderId="10" xfId="0" applyNumberFormat="1" applyFont="1" applyFill="1" applyBorder="1" applyAlignment="1">
      <alignment horizontal="center" vertical="center"/>
    </xf>
    <xf numFmtId="49" fontId="17" fillId="12" borderId="10" xfId="0" applyNumberFormat="1" applyFont="1" applyFill="1" applyBorder="1" applyAlignment="1">
      <alignment horizontal="center" vertical="center"/>
    </xf>
    <xf numFmtId="168" fontId="15" fillId="12" borderId="10" xfId="0" applyNumberFormat="1" applyFont="1" applyFill="1" applyBorder="1" applyAlignment="1">
      <alignment horizontal="center" vertical="center"/>
    </xf>
    <xf numFmtId="49" fontId="15" fillId="12" borderId="11" xfId="0" applyNumberFormat="1" applyFont="1" applyFill="1" applyBorder="1" applyAlignment="1">
      <alignment horizontal="center" vertical="center"/>
    </xf>
    <xf numFmtId="169" fontId="15" fillId="10" borderId="10" xfId="0" applyNumberFormat="1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>
      <alignment horizontal="center" vertical="center"/>
    </xf>
    <xf numFmtId="168" fontId="11" fillId="9" borderId="2" xfId="0" applyNumberFormat="1" applyFont="1" applyFill="1" applyBorder="1" applyAlignment="1">
      <alignment horizontal="center" vertical="center"/>
    </xf>
    <xf numFmtId="169" fontId="16" fillId="9" borderId="10" xfId="0" applyNumberFormat="1" applyFont="1" applyFill="1" applyBorder="1" applyAlignment="1">
      <alignment horizontal="center" vertical="center"/>
    </xf>
    <xf numFmtId="49" fontId="18" fillId="16" borderId="2" xfId="0" applyNumberFormat="1" applyFont="1" applyFill="1" applyBorder="1" applyAlignment="1">
      <alignment horizontal="center" vertical="center"/>
    </xf>
    <xf numFmtId="168" fontId="18" fillId="16" borderId="2" xfId="0" applyNumberFormat="1" applyFont="1" applyFill="1" applyBorder="1" applyAlignment="1">
      <alignment horizontal="center" vertical="center"/>
    </xf>
    <xf numFmtId="49" fontId="15" fillId="16" borderId="9" xfId="0" applyNumberFormat="1" applyFont="1" applyFill="1" applyBorder="1" applyAlignment="1">
      <alignment horizontal="center" vertical="center"/>
    </xf>
    <xf numFmtId="169" fontId="15" fillId="16" borderId="10" xfId="0" applyNumberFormat="1" applyFont="1" applyFill="1" applyBorder="1" applyAlignment="1">
      <alignment horizontal="center" vertical="center"/>
    </xf>
    <xf numFmtId="1" fontId="15" fillId="16" borderId="10" xfId="0" applyNumberFormat="1" applyFont="1" applyFill="1" applyBorder="1" applyAlignment="1">
      <alignment horizontal="center" vertical="center"/>
    </xf>
    <xf numFmtId="16" fontId="15" fillId="16" borderId="10" xfId="0" applyNumberFormat="1" applyFont="1" applyFill="1" applyBorder="1" applyAlignment="1">
      <alignment horizontal="center" vertical="center"/>
    </xf>
    <xf numFmtId="49" fontId="17" fillId="16" borderId="10" xfId="0" applyNumberFormat="1" applyFont="1" applyFill="1" applyBorder="1" applyAlignment="1">
      <alignment horizontal="center" vertical="center"/>
    </xf>
    <xf numFmtId="168" fontId="15" fillId="16" borderId="10" xfId="0" applyNumberFormat="1" applyFont="1" applyFill="1" applyBorder="1" applyAlignment="1">
      <alignment horizontal="center" vertical="center"/>
    </xf>
    <xf numFmtId="49" fontId="15" fillId="16" borderId="11" xfId="0" applyNumberFormat="1" applyFont="1" applyFill="1" applyBorder="1" applyAlignment="1">
      <alignment horizontal="center" vertical="center"/>
    </xf>
    <xf numFmtId="169" fontId="16" fillId="16" borderId="10" xfId="0" applyNumberFormat="1" applyFont="1" applyFill="1" applyBorder="1" applyAlignment="1">
      <alignment horizontal="center" vertical="center"/>
    </xf>
    <xf numFmtId="49" fontId="11" fillId="10" borderId="2" xfId="0" applyNumberFormat="1" applyFont="1" applyFill="1" applyBorder="1" applyAlignment="1">
      <alignment horizontal="center" vertical="center"/>
    </xf>
    <xf numFmtId="168" fontId="11" fillId="10" borderId="2" xfId="0" applyNumberFormat="1" applyFont="1" applyFill="1" applyBorder="1" applyAlignment="1">
      <alignment horizontal="center" vertical="center"/>
    </xf>
    <xf numFmtId="169" fontId="16" fillId="10" borderId="10" xfId="0" applyNumberFormat="1" applyFont="1" applyFill="1" applyBorder="1" applyAlignment="1">
      <alignment horizontal="center" vertical="center"/>
    </xf>
    <xf numFmtId="169" fontId="16" fillId="15" borderId="10" xfId="0" applyNumberFormat="1" applyFont="1" applyFill="1" applyBorder="1" applyAlignment="1">
      <alignment horizontal="center" vertical="center"/>
    </xf>
    <xf numFmtId="49" fontId="18" fillId="17" borderId="2" xfId="0" applyNumberFormat="1" applyFont="1" applyFill="1" applyBorder="1" applyAlignment="1">
      <alignment horizontal="center" vertical="center"/>
    </xf>
    <xf numFmtId="168" fontId="18" fillId="17" borderId="2" xfId="0" applyNumberFormat="1" applyFont="1" applyFill="1" applyBorder="1" applyAlignment="1">
      <alignment horizontal="center" vertical="center"/>
    </xf>
    <xf numFmtId="49" fontId="15" fillId="17" borderId="9" xfId="0" applyNumberFormat="1" applyFont="1" applyFill="1" applyBorder="1" applyAlignment="1">
      <alignment horizontal="center" vertical="center"/>
    </xf>
    <xf numFmtId="169" fontId="19" fillId="17" borderId="10" xfId="0" applyNumberFormat="1" applyFont="1" applyFill="1" applyBorder="1" applyAlignment="1">
      <alignment horizontal="center" vertical="center"/>
    </xf>
    <xf numFmtId="1" fontId="15" fillId="17" borderId="10" xfId="0" applyNumberFormat="1" applyFont="1" applyFill="1" applyBorder="1" applyAlignment="1">
      <alignment horizontal="center" vertical="center"/>
    </xf>
    <xf numFmtId="16" fontId="15" fillId="17" borderId="10" xfId="0" applyNumberFormat="1" applyFont="1" applyFill="1" applyBorder="1" applyAlignment="1">
      <alignment horizontal="center" vertical="center"/>
    </xf>
    <xf numFmtId="49" fontId="17" fillId="17" borderId="10" xfId="0" applyNumberFormat="1" applyFont="1" applyFill="1" applyBorder="1" applyAlignment="1">
      <alignment horizontal="center" vertical="center"/>
    </xf>
    <xf numFmtId="168" fontId="15" fillId="17" borderId="10" xfId="0" applyNumberFormat="1" applyFont="1" applyFill="1" applyBorder="1" applyAlignment="1">
      <alignment horizontal="center" vertical="center"/>
    </xf>
    <xf numFmtId="49" fontId="15" fillId="17" borderId="11" xfId="0" applyNumberFormat="1" applyFont="1" applyFill="1" applyBorder="1" applyAlignment="1">
      <alignment horizontal="center" vertical="center"/>
    </xf>
    <xf numFmtId="171" fontId="24" fillId="0" borderId="32" xfId="0" applyNumberFormat="1" applyFont="1" applyBorder="1" applyAlignment="1">
      <alignment horizontal="center" vertical="center"/>
    </xf>
    <xf numFmtId="169" fontId="16" fillId="17" borderId="10" xfId="0" applyNumberFormat="1" applyFont="1" applyFill="1" applyBorder="1" applyAlignment="1">
      <alignment horizontal="center" vertical="center"/>
    </xf>
    <xf numFmtId="49" fontId="11" fillId="14" borderId="2" xfId="0" applyNumberFormat="1" applyFont="1" applyFill="1" applyBorder="1" applyAlignment="1">
      <alignment horizontal="center" vertical="center"/>
    </xf>
    <xf numFmtId="168" fontId="11" fillId="14" borderId="2" xfId="0" applyNumberFormat="1" applyFont="1" applyFill="1" applyBorder="1" applyAlignment="1">
      <alignment horizontal="center" vertical="center"/>
    </xf>
    <xf numFmtId="169" fontId="16" fillId="12" borderId="10" xfId="0" applyNumberFormat="1" applyFont="1" applyFill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171" fontId="23" fillId="0" borderId="32" xfId="0" applyNumberFormat="1" applyFont="1" applyBorder="1" applyAlignment="1">
      <alignment horizontal="center" vertical="center"/>
    </xf>
    <xf numFmtId="0" fontId="21" fillId="0" borderId="19" xfId="0" applyFont="1" applyBorder="1"/>
    <xf numFmtId="0" fontId="0" fillId="0" borderId="20" xfId="0" applyBorder="1"/>
    <xf numFmtId="0" fontId="0" fillId="0" borderId="21" xfId="0" applyBorder="1"/>
    <xf numFmtId="165" fontId="2" fillId="2" borderId="0" xfId="0" applyNumberFormat="1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3" fillId="3" borderId="0" xfId="0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49" fontId="6" fillId="4" borderId="2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165" fontId="2" fillId="2" borderId="0" xfId="0" applyNumberFormat="1" applyFont="1" applyFill="1" applyAlignment="1">
      <alignment horizontal="left" vertical="center"/>
    </xf>
    <xf numFmtId="49" fontId="8" fillId="4" borderId="2" xfId="0" applyNumberFormat="1" applyFont="1" applyFill="1" applyBorder="1" applyAlignment="1">
      <alignment horizontal="center" vertical="center"/>
    </xf>
    <xf numFmtId="18" fontId="3" fillId="3" borderId="0" xfId="0" applyNumberFormat="1" applyFont="1" applyFill="1" applyAlignment="1">
      <alignment horizontal="left" vertical="center"/>
    </xf>
    <xf numFmtId="0" fontId="0" fillId="0" borderId="19" xfId="0" applyBorder="1"/>
    <xf numFmtId="0" fontId="29" fillId="0" borderId="0" xfId="0" applyFont="1" applyAlignment="1">
      <alignment horizontal="center" vertical="center"/>
    </xf>
    <xf numFmtId="0" fontId="29" fillId="0" borderId="0" xfId="0" applyFont="1"/>
    <xf numFmtId="170" fontId="29" fillId="0" borderId="0" xfId="0" applyNumberFormat="1" applyFont="1" applyAlignment="1">
      <alignment horizontal="center" vertical="center"/>
    </xf>
    <xf numFmtId="15" fontId="29" fillId="0" borderId="0" xfId="0" applyNumberFormat="1" applyFont="1" applyAlignment="1">
      <alignment horizontal="center" vertical="center"/>
    </xf>
    <xf numFmtId="49" fontId="29" fillId="0" borderId="0" xfId="0" applyNumberFormat="1" applyFont="1" applyAlignment="1">
      <alignment horizontal="center" vertical="center"/>
    </xf>
    <xf numFmtId="168" fontId="29" fillId="0" borderId="0" xfId="0" applyNumberFormat="1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 vertical="center"/>
    </xf>
    <xf numFmtId="16" fontId="29" fillId="0" borderId="0" xfId="0" applyNumberFormat="1" applyFont="1" applyAlignment="1">
      <alignment horizontal="center" vertical="center"/>
    </xf>
    <xf numFmtId="0" fontId="30" fillId="18" borderId="0" xfId="0" applyFont="1" applyFill="1" applyAlignment="1">
      <alignment horizontal="center" vertical="center"/>
    </xf>
    <xf numFmtId="15" fontId="30" fillId="18" borderId="0" xfId="0" applyNumberFormat="1" applyFont="1" applyFill="1" applyAlignment="1">
      <alignment horizontal="center" vertical="center"/>
    </xf>
    <xf numFmtId="169" fontId="30" fillId="18" borderId="0" xfId="0" applyNumberFormat="1" applyFont="1" applyFill="1" applyAlignment="1">
      <alignment horizontal="center" vertical="center"/>
    </xf>
    <xf numFmtId="1" fontId="30" fillId="18" borderId="0" xfId="0" applyNumberFormat="1" applyFont="1" applyFill="1" applyAlignment="1">
      <alignment horizontal="center" vertical="center"/>
    </xf>
    <xf numFmtId="0" fontId="30" fillId="18" borderId="0" xfId="0" applyNumberFormat="1" applyFont="1" applyFill="1" applyAlignment="1">
      <alignment horizontal="center" vertical="center"/>
    </xf>
    <xf numFmtId="0" fontId="20" fillId="11" borderId="33" xfId="0" applyFont="1" applyFill="1" applyBorder="1" applyAlignment="1">
      <alignment horizontal="center" vertical="center"/>
    </xf>
    <xf numFmtId="0" fontId="20" fillId="11" borderId="34" xfId="0" applyFont="1" applyFill="1" applyBorder="1" applyAlignment="1">
      <alignment horizontal="center" vertical="center"/>
    </xf>
    <xf numFmtId="0" fontId="20" fillId="11" borderId="35" xfId="0" applyFont="1" applyFill="1" applyBorder="1" applyAlignment="1">
      <alignment horizontal="center" vertical="center"/>
    </xf>
  </cellXfs>
  <cellStyles count="1">
    <cellStyle name="Normal" xfId="0" builtinId="0"/>
  </cellStyles>
  <dxfs count="225"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9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D_CAI_LF_LEGACY" displayName="MED_CAI_LF_LEGACY" ref="A1:AJ6" totalsRowCount="1" headerRowDxfId="224" dataDxfId="187" totalsRowDxfId="150">
  <tableColumns count="36">
    <tableColumn id="1" xr3:uid="{00000000-0010-0000-0000-000001000000}" name="Day" totalsRowLabel="TOTAL" dataDxfId="223" totalsRowDxfId="186"/>
    <tableColumn id="2" xr3:uid="{00000000-0010-0000-0000-000002000000}" name="Flt Dt" dataDxfId="222" totalsRowDxfId="185"/>
    <tableColumn id="3" xr3:uid="{00000000-0010-0000-0000-000003000000}" name="Flt" totalsRowFunction="count" dataDxfId="221" totalsRowDxfId="184"/>
    <tableColumn id="4" xr3:uid="{00000000-0010-0000-0000-000004000000}" name="DEP" dataDxfId="220" totalsRowDxfId="183"/>
    <tableColumn id="5" xr3:uid="{00000000-0010-0000-0000-000005000000}" name="Brd-Off" totalsRowFunction="count" dataDxfId="219" totalsRowDxfId="182"/>
    <tableColumn id="6" xr3:uid="{00000000-0010-0000-0000-000006000000}" name="Eqp" dataDxfId="218" totalsRowDxfId="181"/>
    <tableColumn id="7" xr3:uid="{00000000-0010-0000-0000-000007000000}" name="LF%" totalsRowFunction="average" dataDxfId="217" totalsRowDxfId="180"/>
    <tableColumn id="8" xr3:uid="{00000000-0010-0000-0000-000008000000}" name="CAP" totalsRowFunction="sum" dataDxfId="216" totalsRowDxfId="179"/>
    <tableColumn id="9" xr3:uid="{00000000-0010-0000-0000-000009000000}" name="BKG(Y)" totalsRowFunction="sum" dataDxfId="215" totalsRowDxfId="178"/>
    <tableColumn id="10" xr3:uid="{00000000-0010-0000-0000-00000A000000}" name="GRP(Y)" totalsRowFunction="sum" dataDxfId="214" totalsRowDxfId="177"/>
    <tableColumn id="11" xr3:uid="{00000000-0010-0000-0000-00000B000000}" name="FLT ST" dataDxfId="213" totalsRowDxfId="176"/>
    <tableColumn id="12" xr3:uid="{00000000-0010-0000-0000-00000C000000}" name="LST-SOLD" dataDxfId="212" totalsRowDxfId="175"/>
    <tableColumn id="13" xr3:uid="{00000000-0010-0000-0000-00000D000000}" name="TO-DAY" totalsRowFunction="sum" dataDxfId="211" totalsRowDxfId="174"/>
    <tableColumn id="14" xr3:uid="{00000000-0010-0000-0000-00000E000000}" name="Y-DAY" totalsRowFunction="sum" dataDxfId="210" totalsRowDxfId="173"/>
    <tableColumn id="15" xr3:uid="{00000000-0010-0000-0000-00000F000000}" name="WEEKLY" totalsRowFunction="sum" dataDxfId="209" totalsRowDxfId="172"/>
    <tableColumn id="16" xr3:uid="{00000000-0010-0000-0000-000010000000}" name="LOWEST AVAIL" dataDxfId="208" totalsRowDxfId="171"/>
    <tableColumn id="17" xr3:uid="{00000000-0010-0000-0000-000011000000}" name="Y" totalsRowFunction="sum" dataDxfId="207" totalsRowDxfId="170"/>
    <tableColumn id="18" xr3:uid="{00000000-0010-0000-0000-000012000000}" name="B" totalsRowFunction="sum" dataDxfId="206" totalsRowDxfId="169"/>
    <tableColumn id="19" xr3:uid="{00000000-0010-0000-0000-000013000000}" name="M" totalsRowFunction="sum" dataDxfId="205" totalsRowDxfId="168"/>
    <tableColumn id="20" xr3:uid="{00000000-0010-0000-0000-000014000000}" name="H" totalsRowFunction="sum" dataDxfId="204" totalsRowDxfId="167"/>
    <tableColumn id="21" xr3:uid="{00000000-0010-0000-0000-000015000000}" name="Q" totalsRowFunction="sum" dataDxfId="203" totalsRowDxfId="166"/>
    <tableColumn id="22" xr3:uid="{00000000-0010-0000-0000-000016000000}" name="K" totalsRowFunction="sum" dataDxfId="202" totalsRowDxfId="165"/>
    <tableColumn id="23" xr3:uid="{00000000-0010-0000-0000-000017000000}" name="V" totalsRowFunction="sum" dataDxfId="201" totalsRowDxfId="164"/>
    <tableColumn id="24" xr3:uid="{00000000-0010-0000-0000-000018000000}" name="L" totalsRowFunction="sum" dataDxfId="200" totalsRowDxfId="163"/>
    <tableColumn id="25" xr3:uid="{00000000-0010-0000-0000-000019000000}" name="G" totalsRowFunction="sum" dataDxfId="199" totalsRowDxfId="162"/>
    <tableColumn id="26" xr3:uid="{00000000-0010-0000-0000-00001A000000}" name="S" totalsRowFunction="sum" dataDxfId="198" totalsRowDxfId="161"/>
    <tableColumn id="27" xr3:uid="{00000000-0010-0000-0000-00001B000000}" name="W" totalsRowFunction="sum" dataDxfId="197" totalsRowDxfId="160"/>
    <tableColumn id="28" xr3:uid="{00000000-0010-0000-0000-00001C000000}" name="T" totalsRowFunction="sum" dataDxfId="196" totalsRowDxfId="159"/>
    <tableColumn id="29" xr3:uid="{00000000-0010-0000-0000-00001D000000}" name="X" totalsRowFunction="sum" dataDxfId="195" totalsRowDxfId="158"/>
    <tableColumn id="30" xr3:uid="{00000000-0010-0000-0000-00001E000000}" name="U" totalsRowFunction="sum" dataDxfId="194" totalsRowDxfId="157"/>
    <tableColumn id="31" xr3:uid="{00000000-0010-0000-0000-00001F000000}" name="O" totalsRowFunction="sum" dataDxfId="193" totalsRowDxfId="156"/>
    <tableColumn id="32" xr3:uid="{00000000-0010-0000-0000-000020000000}" name="I" totalsRowFunction="sum" dataDxfId="192" totalsRowDxfId="155"/>
    <tableColumn id="33" xr3:uid="{00000000-0010-0000-0000-000021000000}" name="E" totalsRowFunction="sum" dataDxfId="191" totalsRowDxfId="154"/>
    <tableColumn id="34" xr3:uid="{00000000-0010-0000-0000-000022000000}" name="A" totalsRowFunction="sum" dataDxfId="190" totalsRowDxfId="153"/>
    <tableColumn id="35" xr3:uid="{00000000-0010-0000-0000-000023000000}" name="P" totalsRowFunction="sum" dataDxfId="189" totalsRowDxfId="152"/>
    <tableColumn id="36" xr3:uid="{00000000-0010-0000-0000-000024000000}" name="N" totalsRowFunction="count" dataDxfId="188" totalsRowDxfId="15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CAI" displayName="FocusMode_MED_CAI" ref="A1:H76" totalsRowShown="0">
  <autoFilter ref="A1:H76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MED_CAI" displayName="ThreatsAlert_MED_CAI" ref="A1:H43" totalsRowShown="0">
  <autoFilter ref="A1:H43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ED_CAI_LF_LEGACY" displayName="JED_CAI_LF_LEGACY" ref="A1:AJ24" totalsRowCount="1" headerRowDxfId="149" dataDxfId="112" totalsRowDxfId="75">
  <tableColumns count="36">
    <tableColumn id="1" xr3:uid="{00000000-0010-0000-0300-000001000000}" name="Day" totalsRowLabel="TOTAL" dataDxfId="148" totalsRowDxfId="111"/>
    <tableColumn id="2" xr3:uid="{00000000-0010-0000-0300-000002000000}" name="Flt Dt" dataDxfId="147" totalsRowDxfId="110"/>
    <tableColumn id="3" xr3:uid="{00000000-0010-0000-0300-000003000000}" name="Flt" totalsRowFunction="count" dataDxfId="146" totalsRowDxfId="109"/>
    <tableColumn id="4" xr3:uid="{00000000-0010-0000-0300-000004000000}" name="DEP" dataDxfId="145" totalsRowDxfId="108"/>
    <tableColumn id="5" xr3:uid="{00000000-0010-0000-0300-000005000000}" name="Brd-Off" totalsRowFunction="count" dataDxfId="144" totalsRowDxfId="107"/>
    <tableColumn id="6" xr3:uid="{00000000-0010-0000-0300-000006000000}" name="Eqp" dataDxfId="143" totalsRowDxfId="106"/>
    <tableColumn id="7" xr3:uid="{00000000-0010-0000-0300-000007000000}" name="LF%" totalsRowFunction="average" dataDxfId="142" totalsRowDxfId="105"/>
    <tableColumn id="8" xr3:uid="{00000000-0010-0000-0300-000008000000}" name="CAP" totalsRowFunction="sum" dataDxfId="141" totalsRowDxfId="104"/>
    <tableColumn id="9" xr3:uid="{00000000-0010-0000-0300-000009000000}" name="BKG(Y)" totalsRowFunction="sum" dataDxfId="140" totalsRowDxfId="103"/>
    <tableColumn id="10" xr3:uid="{00000000-0010-0000-0300-00000A000000}" name="GRP(Y)" totalsRowFunction="sum" dataDxfId="139" totalsRowDxfId="102"/>
    <tableColumn id="11" xr3:uid="{00000000-0010-0000-0300-00000B000000}" name="FLT ST" dataDxfId="138" totalsRowDxfId="101"/>
    <tableColumn id="12" xr3:uid="{00000000-0010-0000-0300-00000C000000}" name="LST-SOLD" dataDxfId="137" totalsRowDxfId="100"/>
    <tableColumn id="13" xr3:uid="{00000000-0010-0000-0300-00000D000000}" name="TO-DAY" totalsRowFunction="sum" dataDxfId="136" totalsRowDxfId="99"/>
    <tableColumn id="14" xr3:uid="{00000000-0010-0000-0300-00000E000000}" name="Y-DAY" totalsRowFunction="sum" dataDxfId="135" totalsRowDxfId="98"/>
    <tableColumn id="15" xr3:uid="{00000000-0010-0000-0300-00000F000000}" name="WEEKLY" totalsRowFunction="sum" dataDxfId="134" totalsRowDxfId="97"/>
    <tableColumn id="16" xr3:uid="{00000000-0010-0000-0300-000010000000}" name="LOWEST AVAIL" dataDxfId="133" totalsRowDxfId="96"/>
    <tableColumn id="17" xr3:uid="{00000000-0010-0000-0300-000011000000}" name="Y" totalsRowFunction="sum" dataDxfId="132" totalsRowDxfId="95"/>
    <tableColumn id="18" xr3:uid="{00000000-0010-0000-0300-000012000000}" name="B" totalsRowFunction="sum" dataDxfId="131" totalsRowDxfId="94"/>
    <tableColumn id="19" xr3:uid="{00000000-0010-0000-0300-000013000000}" name="M" totalsRowFunction="sum" dataDxfId="130" totalsRowDxfId="93"/>
    <tableColumn id="20" xr3:uid="{00000000-0010-0000-0300-000014000000}" name="H" totalsRowFunction="sum" dataDxfId="129" totalsRowDxfId="92"/>
    <tableColumn id="21" xr3:uid="{00000000-0010-0000-0300-000015000000}" name="Q" totalsRowFunction="sum" dataDxfId="128" totalsRowDxfId="91"/>
    <tableColumn id="22" xr3:uid="{00000000-0010-0000-0300-000016000000}" name="K" totalsRowFunction="sum" dataDxfId="127" totalsRowDxfId="90"/>
    <tableColumn id="23" xr3:uid="{00000000-0010-0000-0300-000017000000}" name="V" totalsRowFunction="sum" dataDxfId="126" totalsRowDxfId="89"/>
    <tableColumn id="24" xr3:uid="{00000000-0010-0000-0300-000018000000}" name="L" totalsRowFunction="sum" dataDxfId="125" totalsRowDxfId="88"/>
    <tableColumn id="25" xr3:uid="{00000000-0010-0000-0300-000019000000}" name="G" totalsRowFunction="sum" dataDxfId="124" totalsRowDxfId="87"/>
    <tableColumn id="26" xr3:uid="{00000000-0010-0000-0300-00001A000000}" name="S" totalsRowFunction="sum" dataDxfId="123" totalsRowDxfId="86"/>
    <tableColumn id="27" xr3:uid="{00000000-0010-0000-0300-00001B000000}" name="W" totalsRowFunction="sum" dataDxfId="122" totalsRowDxfId="85"/>
    <tableColumn id="28" xr3:uid="{00000000-0010-0000-0300-00001C000000}" name="T" totalsRowFunction="sum" dataDxfId="121" totalsRowDxfId="84"/>
    <tableColumn id="29" xr3:uid="{00000000-0010-0000-0300-00001D000000}" name="X" totalsRowFunction="sum" dataDxfId="120" totalsRowDxfId="83"/>
    <tableColumn id="30" xr3:uid="{00000000-0010-0000-0300-00001E000000}" name="U" totalsRowFunction="sum" dataDxfId="119" totalsRowDxfId="82"/>
    <tableColumn id="31" xr3:uid="{00000000-0010-0000-0300-00001F000000}" name="O" totalsRowFunction="sum" dataDxfId="118" totalsRowDxfId="81"/>
    <tableColumn id="32" xr3:uid="{00000000-0010-0000-0300-000020000000}" name="I" totalsRowFunction="sum" dataDxfId="117" totalsRowDxfId="80"/>
    <tableColumn id="33" xr3:uid="{00000000-0010-0000-0300-000021000000}" name="E" totalsRowFunction="sum" dataDxfId="116" totalsRowDxfId="79"/>
    <tableColumn id="34" xr3:uid="{00000000-0010-0000-0300-000022000000}" name="A" totalsRowFunction="sum" dataDxfId="115" totalsRowDxfId="78"/>
    <tableColumn id="35" xr3:uid="{00000000-0010-0000-0300-000023000000}" name="P" totalsRowFunction="sum" dataDxfId="114" totalsRowDxfId="77"/>
    <tableColumn id="36" xr3:uid="{00000000-0010-0000-0300-000024000000}" name="N" totalsRowFunction="count" dataDxfId="113" totalsRowDxfId="7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CAI" displayName="FocusMode_JED_CAI" ref="A1:H296" totalsRowShown="0">
  <autoFilter ref="A1:H296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hreatsAlert_JED_CAI" displayName="ThreatsAlert_JED_CAI" ref="A1:H34" totalsRowShown="0">
  <autoFilter ref="A1:H34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RUH_CAI_LF_LEGACY" displayName="RUH_CAI_LF_LEGACY" ref="A1:AJ8" totalsRowCount="1" headerRowDxfId="74" dataDxfId="37" totalsRowDxfId="0">
  <tableColumns count="36">
    <tableColumn id="1" xr3:uid="{00000000-0010-0000-0600-000001000000}" name="Day" totalsRowLabel="TOTAL" dataDxfId="73" totalsRowDxfId="36"/>
    <tableColumn id="2" xr3:uid="{00000000-0010-0000-0600-000002000000}" name="Flt Dt" dataDxfId="72" totalsRowDxfId="35"/>
    <tableColumn id="3" xr3:uid="{00000000-0010-0000-0600-000003000000}" name="Flt" totalsRowFunction="count" dataDxfId="71" totalsRowDxfId="34"/>
    <tableColumn id="4" xr3:uid="{00000000-0010-0000-0600-000004000000}" name="DEP" dataDxfId="70" totalsRowDxfId="33"/>
    <tableColumn id="5" xr3:uid="{00000000-0010-0000-0600-000005000000}" name="Brd-Off" totalsRowFunction="count" dataDxfId="69" totalsRowDxfId="32"/>
    <tableColumn id="6" xr3:uid="{00000000-0010-0000-0600-000006000000}" name="Eqp" dataDxfId="68" totalsRowDxfId="31"/>
    <tableColumn id="7" xr3:uid="{00000000-0010-0000-0600-000007000000}" name="LF%" totalsRowFunction="average" dataDxfId="67" totalsRowDxfId="30"/>
    <tableColumn id="8" xr3:uid="{00000000-0010-0000-0600-000008000000}" name="CAP" totalsRowFunction="sum" dataDxfId="66" totalsRowDxfId="29"/>
    <tableColumn id="9" xr3:uid="{00000000-0010-0000-0600-000009000000}" name="BKG(Y)" totalsRowFunction="sum" dataDxfId="65" totalsRowDxfId="28"/>
    <tableColumn id="10" xr3:uid="{00000000-0010-0000-0600-00000A000000}" name="GRP(Y)" totalsRowFunction="sum" dataDxfId="64" totalsRowDxfId="27"/>
    <tableColumn id="11" xr3:uid="{00000000-0010-0000-0600-00000B000000}" name="FLT ST" dataDxfId="63" totalsRowDxfId="26"/>
    <tableColumn id="12" xr3:uid="{00000000-0010-0000-0600-00000C000000}" name="LST-SOLD" dataDxfId="62" totalsRowDxfId="25"/>
    <tableColumn id="13" xr3:uid="{00000000-0010-0000-0600-00000D000000}" name="TO-DAY" totalsRowFunction="sum" dataDxfId="61" totalsRowDxfId="24"/>
    <tableColumn id="14" xr3:uid="{00000000-0010-0000-0600-00000E000000}" name="Y-DAY" totalsRowFunction="sum" dataDxfId="60" totalsRowDxfId="23"/>
    <tableColumn id="15" xr3:uid="{00000000-0010-0000-0600-00000F000000}" name="WEEKLY" totalsRowFunction="sum" dataDxfId="59" totalsRowDxfId="22"/>
    <tableColumn id="16" xr3:uid="{00000000-0010-0000-0600-000010000000}" name="LOWEST AVAIL" dataDxfId="58" totalsRowDxfId="21"/>
    <tableColumn id="17" xr3:uid="{00000000-0010-0000-0600-000011000000}" name="Y" totalsRowFunction="sum" dataDxfId="57" totalsRowDxfId="20"/>
    <tableColumn id="18" xr3:uid="{00000000-0010-0000-0600-000012000000}" name="B" totalsRowFunction="sum" dataDxfId="56" totalsRowDxfId="19"/>
    <tableColumn id="19" xr3:uid="{00000000-0010-0000-0600-000013000000}" name="M" totalsRowFunction="sum" dataDxfId="55" totalsRowDxfId="18"/>
    <tableColumn id="20" xr3:uid="{00000000-0010-0000-0600-000014000000}" name="H" totalsRowFunction="sum" dataDxfId="54" totalsRowDxfId="17"/>
    <tableColumn id="21" xr3:uid="{00000000-0010-0000-0600-000015000000}" name="Q" totalsRowFunction="sum" dataDxfId="53" totalsRowDxfId="16"/>
    <tableColumn id="22" xr3:uid="{00000000-0010-0000-0600-000016000000}" name="K" totalsRowFunction="sum" dataDxfId="52" totalsRowDxfId="15"/>
    <tableColumn id="23" xr3:uid="{00000000-0010-0000-0600-000017000000}" name="V" totalsRowFunction="sum" dataDxfId="51" totalsRowDxfId="14"/>
    <tableColumn id="24" xr3:uid="{00000000-0010-0000-0600-000018000000}" name="L" totalsRowFunction="sum" dataDxfId="50" totalsRowDxfId="13"/>
    <tableColumn id="25" xr3:uid="{00000000-0010-0000-0600-000019000000}" name="G" totalsRowFunction="sum" dataDxfId="49" totalsRowDxfId="12"/>
    <tableColumn id="26" xr3:uid="{00000000-0010-0000-0600-00001A000000}" name="S" totalsRowFunction="sum" dataDxfId="48" totalsRowDxfId="11"/>
    <tableColumn id="27" xr3:uid="{00000000-0010-0000-0600-00001B000000}" name="W" totalsRowFunction="sum" dataDxfId="47" totalsRowDxfId="10"/>
    <tableColumn id="28" xr3:uid="{00000000-0010-0000-0600-00001C000000}" name="T" totalsRowFunction="sum" dataDxfId="46" totalsRowDxfId="9"/>
    <tableColumn id="29" xr3:uid="{00000000-0010-0000-0600-00001D000000}" name="X" totalsRowFunction="sum" dataDxfId="45" totalsRowDxfId="8"/>
    <tableColumn id="30" xr3:uid="{00000000-0010-0000-0600-00001E000000}" name="U" totalsRowFunction="sum" dataDxfId="44" totalsRowDxfId="7"/>
    <tableColumn id="31" xr3:uid="{00000000-0010-0000-0600-00001F000000}" name="O" totalsRowFunction="sum" dataDxfId="43" totalsRowDxfId="6"/>
    <tableColumn id="32" xr3:uid="{00000000-0010-0000-0600-000020000000}" name="I" totalsRowFunction="sum" dataDxfId="42" totalsRowDxfId="5"/>
    <tableColumn id="33" xr3:uid="{00000000-0010-0000-0600-000021000000}" name="E" totalsRowFunction="sum" dataDxfId="41" totalsRowDxfId="4"/>
    <tableColumn id="34" xr3:uid="{00000000-0010-0000-0600-000022000000}" name="A" totalsRowFunction="sum" dataDxfId="40" totalsRowDxfId="3"/>
    <tableColumn id="35" xr3:uid="{00000000-0010-0000-0600-000023000000}" name="P" totalsRowFunction="sum" dataDxfId="39" totalsRowDxfId="2"/>
    <tableColumn id="36" xr3:uid="{00000000-0010-0000-0600-000024000000}" name="N" totalsRowFunction="count" dataDxfId="38" totalsRowDxfId="1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RUH_CAI" displayName="FocusMode_RUH_CAI" ref="A1:H211" totalsRowShown="0">
  <autoFilter ref="A1:H211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hreatsAlert_RUH_CAI" displayName="ThreatsAlert_RUH_CAI" ref="A1:H22" totalsRowShown="0">
  <autoFilter ref="A1:H2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4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5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9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89"/>
  <sheetViews>
    <sheetView tabSelected="1" workbookViewId="0">
      <selection sqref="A1:E1"/>
    </sheetView>
  </sheetViews>
  <sheetFormatPr defaultRowHeight="14.4" x14ac:dyDescent="0.3"/>
  <cols>
    <col min="1" max="1" width="10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59.44140625" bestFit="1" customWidth="1"/>
  </cols>
  <sheetData>
    <row r="1" spans="1:92" ht="28.8" customHeight="1" x14ac:dyDescent="0.3">
      <c r="A1" s="178" t="s">
        <v>0</v>
      </c>
      <c r="B1" s="177"/>
      <c r="C1" s="177"/>
      <c r="D1" s="177"/>
      <c r="E1" s="177"/>
      <c r="F1" s="1" t="s">
        <v>1</v>
      </c>
      <c r="G1" s="2" t="s">
        <v>2</v>
      </c>
      <c r="H1" s="176">
        <v>45986</v>
      </c>
      <c r="I1" s="177"/>
      <c r="J1" s="177"/>
      <c r="K1" s="177"/>
      <c r="L1" s="177"/>
      <c r="M1" s="1" t="s">
        <v>3</v>
      </c>
      <c r="N1" s="187">
        <v>45989</v>
      </c>
      <c r="O1" s="177"/>
      <c r="P1" s="177"/>
      <c r="Q1" s="177"/>
      <c r="R1" s="17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2" t="s">
        <v>4</v>
      </c>
      <c r="B2" s="177"/>
      <c r="C2" s="177"/>
      <c r="D2" s="177"/>
      <c r="E2" s="177"/>
      <c r="F2" s="177"/>
      <c r="G2" s="185">
        <v>45982.043582499777</v>
      </c>
      <c r="H2" s="177"/>
      <c r="I2" s="177"/>
      <c r="J2" s="177"/>
      <c r="K2" s="189">
        <v>45982.043582500082</v>
      </c>
      <c r="L2" s="177"/>
      <c r="M2" s="177"/>
      <c r="N2" s="177"/>
      <c r="O2" s="177"/>
      <c r="P2" s="177"/>
      <c r="Q2" s="177"/>
      <c r="R2" s="1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83" t="s">
        <v>5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86" t="s">
        <v>6</v>
      </c>
      <c r="B4" s="180"/>
      <c r="C4" s="180"/>
      <c r="D4" s="180"/>
      <c r="E4" s="180"/>
      <c r="F4" s="181"/>
      <c r="G4" s="4">
        <v>45986</v>
      </c>
      <c r="H4" s="179" t="s">
        <v>7</v>
      </c>
      <c r="I4" s="180"/>
      <c r="J4" s="180"/>
      <c r="K4" s="180"/>
      <c r="L4" s="180"/>
      <c r="M4" s="180"/>
      <c r="N4" s="180"/>
      <c r="O4" s="180"/>
      <c r="P4" s="180"/>
      <c r="Q4" s="180"/>
      <c r="R4" s="18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27</v>
      </c>
      <c r="C6" s="9">
        <v>0.4201388888888889</v>
      </c>
      <c r="D6" s="8" t="s">
        <v>28</v>
      </c>
      <c r="E6" s="8" t="s">
        <v>29</v>
      </c>
      <c r="F6" s="8" t="s">
        <v>30</v>
      </c>
      <c r="G6" s="190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27</v>
      </c>
      <c r="C7" s="16">
        <v>0.4201388888888889</v>
      </c>
      <c r="D7" s="15" t="s">
        <v>31</v>
      </c>
      <c r="E7" s="15" t="s">
        <v>32</v>
      </c>
      <c r="F7" s="15" t="s">
        <v>33</v>
      </c>
      <c r="G7" s="174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27</v>
      </c>
      <c r="C8" s="16">
        <v>0.4201388888888889</v>
      </c>
      <c r="D8" s="15" t="s">
        <v>34</v>
      </c>
      <c r="E8" s="15" t="s">
        <v>32</v>
      </c>
      <c r="F8" s="15" t="s">
        <v>35</v>
      </c>
      <c r="G8" s="174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36</v>
      </c>
      <c r="B9" s="17" t="s">
        <v>37</v>
      </c>
      <c r="C9" s="18">
        <v>0.75694444444444453</v>
      </c>
      <c r="D9" s="17" t="s">
        <v>38</v>
      </c>
      <c r="E9" s="17" t="s">
        <v>39</v>
      </c>
      <c r="F9" s="17" t="s">
        <v>40</v>
      </c>
      <c r="G9" s="174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36</v>
      </c>
      <c r="B10" s="15" t="s">
        <v>37</v>
      </c>
      <c r="C10" s="16">
        <v>0.75694444444444453</v>
      </c>
      <c r="D10" s="15" t="s">
        <v>41</v>
      </c>
      <c r="E10" s="15" t="s">
        <v>42</v>
      </c>
      <c r="F10" s="15" t="s">
        <v>43</v>
      </c>
      <c r="G10" s="174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36</v>
      </c>
      <c r="B11" s="15" t="s">
        <v>37</v>
      </c>
      <c r="C11" s="16">
        <v>0.75694444444444453</v>
      </c>
      <c r="D11" s="15" t="s">
        <v>44</v>
      </c>
      <c r="E11" s="15" t="s">
        <v>42</v>
      </c>
      <c r="F11" s="15" t="s">
        <v>45</v>
      </c>
      <c r="G11" s="174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19" t="s">
        <v>46</v>
      </c>
      <c r="B12" s="19" t="s">
        <v>47</v>
      </c>
      <c r="C12" s="20">
        <v>0.27777777777777779</v>
      </c>
      <c r="D12" s="19" t="s">
        <v>48</v>
      </c>
      <c r="E12" s="19" t="s">
        <v>49</v>
      </c>
      <c r="F12" s="19" t="s">
        <v>50</v>
      </c>
      <c r="G12" s="174"/>
      <c r="H12" s="21" t="s">
        <v>51</v>
      </c>
      <c r="I12" s="22">
        <v>0.53569999999999995</v>
      </c>
      <c r="J12" s="23">
        <v>90</v>
      </c>
      <c r="K12" s="24">
        <v>45981</v>
      </c>
      <c r="L12" s="23">
        <v>21</v>
      </c>
      <c r="M12" s="23">
        <v>0</v>
      </c>
      <c r="N12" s="23">
        <v>5</v>
      </c>
      <c r="O12" s="25" t="s">
        <v>52</v>
      </c>
      <c r="P12" s="26">
        <v>0.27777777777777779</v>
      </c>
      <c r="Q12" s="23">
        <v>168</v>
      </c>
      <c r="R12" s="27" t="s">
        <v>53</v>
      </c>
    </row>
    <row r="13" spans="1:92" ht="15" customHeight="1" x14ac:dyDescent="0.3">
      <c r="A13" s="28" t="s">
        <v>46</v>
      </c>
      <c r="B13" s="28" t="s">
        <v>54</v>
      </c>
      <c r="C13" s="29">
        <v>4.8611111111111112E-2</v>
      </c>
      <c r="D13" s="28" t="s">
        <v>48</v>
      </c>
      <c r="E13" s="28" t="s">
        <v>55</v>
      </c>
      <c r="F13" s="28" t="s">
        <v>56</v>
      </c>
      <c r="G13" s="174"/>
      <c r="H13" s="30" t="s">
        <v>57</v>
      </c>
      <c r="I13" s="31">
        <v>0.91059999999999997</v>
      </c>
      <c r="J13" s="32">
        <v>163</v>
      </c>
      <c r="K13" s="33">
        <v>45965</v>
      </c>
      <c r="L13" s="32">
        <v>0</v>
      </c>
      <c r="M13" s="32">
        <v>0</v>
      </c>
      <c r="N13" s="32">
        <v>0</v>
      </c>
      <c r="O13" s="34" t="s">
        <v>58</v>
      </c>
      <c r="P13" s="35">
        <v>4.8611111111111112E-2</v>
      </c>
      <c r="Q13" s="32">
        <v>179</v>
      </c>
      <c r="R13" s="36" t="s">
        <v>59</v>
      </c>
    </row>
    <row r="14" spans="1:92" ht="15" customHeight="1" x14ac:dyDescent="0.3">
      <c r="A14" s="37" t="s">
        <v>46</v>
      </c>
      <c r="B14" s="37" t="s">
        <v>60</v>
      </c>
      <c r="C14" s="38">
        <v>0.97916666666666663</v>
      </c>
      <c r="D14" s="37" t="s">
        <v>61</v>
      </c>
      <c r="E14" s="39"/>
      <c r="F14" s="37" t="s">
        <v>62</v>
      </c>
      <c r="G14" s="174"/>
      <c r="H14" s="40" t="s">
        <v>60</v>
      </c>
      <c r="I14" s="41">
        <v>1</v>
      </c>
      <c r="J14" s="42">
        <v>179</v>
      </c>
      <c r="K14" s="43">
        <v>45980</v>
      </c>
      <c r="L14" s="42">
        <v>6</v>
      </c>
      <c r="M14" s="42">
        <v>0</v>
      </c>
      <c r="N14" s="42">
        <v>0</v>
      </c>
      <c r="O14" s="44" t="s">
        <v>63</v>
      </c>
      <c r="P14" s="45">
        <v>0.97916666666666663</v>
      </c>
      <c r="Q14" s="42">
        <v>179</v>
      </c>
      <c r="R14" s="46" t="s">
        <v>64</v>
      </c>
    </row>
    <row r="15" spans="1:92" ht="15" customHeight="1" x14ac:dyDescent="0.3">
      <c r="A15" s="17" t="s">
        <v>65</v>
      </c>
      <c r="B15" s="17" t="s">
        <v>66</v>
      </c>
      <c r="C15" s="18">
        <v>9.7222222222222224E-2</v>
      </c>
      <c r="D15" s="17" t="s">
        <v>67</v>
      </c>
      <c r="E15" s="17" t="s">
        <v>49</v>
      </c>
      <c r="F15" s="17" t="s">
        <v>68</v>
      </c>
      <c r="G15" s="174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47" t="s">
        <v>65</v>
      </c>
      <c r="B16" s="47" t="s">
        <v>69</v>
      </c>
      <c r="C16" s="48">
        <v>0.49305555555555558</v>
      </c>
      <c r="D16" s="47" t="s">
        <v>67</v>
      </c>
      <c r="E16" s="47" t="s">
        <v>70</v>
      </c>
      <c r="F16" s="47" t="s">
        <v>71</v>
      </c>
      <c r="G16" s="174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47" t="s">
        <v>65</v>
      </c>
      <c r="B17" s="47" t="s">
        <v>72</v>
      </c>
      <c r="C17" s="48">
        <v>0.22222222222222221</v>
      </c>
      <c r="D17" s="47" t="s">
        <v>67</v>
      </c>
      <c r="E17" s="47" t="s">
        <v>70</v>
      </c>
      <c r="F17" s="47" t="s">
        <v>71</v>
      </c>
      <c r="G17" s="174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47" t="s">
        <v>65</v>
      </c>
      <c r="B18" s="47" t="s">
        <v>73</v>
      </c>
      <c r="C18" s="48">
        <v>0.44444444444444442</v>
      </c>
      <c r="D18" s="47" t="s">
        <v>67</v>
      </c>
      <c r="E18" s="47" t="s">
        <v>74</v>
      </c>
      <c r="F18" s="47" t="s">
        <v>71</v>
      </c>
      <c r="G18" s="174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47" t="s">
        <v>65</v>
      </c>
      <c r="B19" s="47" t="s">
        <v>75</v>
      </c>
      <c r="C19" s="48">
        <v>0.85416666666666663</v>
      </c>
      <c r="D19" s="47" t="s">
        <v>67</v>
      </c>
      <c r="E19" s="47" t="s">
        <v>70</v>
      </c>
      <c r="F19" s="47" t="s">
        <v>76</v>
      </c>
      <c r="G19" s="174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7" t="s">
        <v>77</v>
      </c>
      <c r="B20" s="17" t="s">
        <v>78</v>
      </c>
      <c r="C20" s="18">
        <v>0.4201388888888889</v>
      </c>
      <c r="D20" s="17" t="s">
        <v>79</v>
      </c>
      <c r="E20" s="17" t="s">
        <v>80</v>
      </c>
      <c r="F20" s="17" t="s">
        <v>81</v>
      </c>
      <c r="G20" s="174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47" t="s">
        <v>77</v>
      </c>
      <c r="B21" s="47" t="s">
        <v>82</v>
      </c>
      <c r="C21" s="48">
        <v>0.60416666666666663</v>
      </c>
      <c r="D21" s="47" t="s">
        <v>83</v>
      </c>
      <c r="E21" s="47" t="s">
        <v>70</v>
      </c>
      <c r="F21" s="47" t="s">
        <v>84</v>
      </c>
      <c r="G21" s="174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5" t="s">
        <v>77</v>
      </c>
      <c r="B22" s="15" t="s">
        <v>82</v>
      </c>
      <c r="C22" s="16">
        <v>0.60416666666666663</v>
      </c>
      <c r="D22" s="15" t="s">
        <v>79</v>
      </c>
      <c r="E22" s="15" t="s">
        <v>85</v>
      </c>
      <c r="F22" s="15" t="s">
        <v>86</v>
      </c>
      <c r="G22" s="174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47" t="s">
        <v>77</v>
      </c>
      <c r="B23" s="47" t="s">
        <v>87</v>
      </c>
      <c r="C23" s="48">
        <v>0.79513888888888884</v>
      </c>
      <c r="D23" s="47" t="s">
        <v>83</v>
      </c>
      <c r="E23" s="47" t="s">
        <v>88</v>
      </c>
      <c r="F23" s="47" t="s">
        <v>84</v>
      </c>
      <c r="G23" s="174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15" t="s">
        <v>77</v>
      </c>
      <c r="B24" s="15" t="s">
        <v>87</v>
      </c>
      <c r="C24" s="16">
        <v>0.79513888888888884</v>
      </c>
      <c r="D24" s="15" t="s">
        <v>79</v>
      </c>
      <c r="E24" s="15" t="s">
        <v>89</v>
      </c>
      <c r="F24" s="15" t="s">
        <v>86</v>
      </c>
      <c r="G24" s="174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47" t="s">
        <v>77</v>
      </c>
      <c r="B25" s="47" t="s">
        <v>90</v>
      </c>
      <c r="C25" s="48">
        <v>8.6805555555555566E-2</v>
      </c>
      <c r="D25" s="47" t="s">
        <v>83</v>
      </c>
      <c r="E25" s="47" t="s">
        <v>70</v>
      </c>
      <c r="F25" s="47" t="s">
        <v>84</v>
      </c>
      <c r="G25" s="174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thickBot="1" x14ac:dyDescent="0.35">
      <c r="A26" s="49" t="s">
        <v>77</v>
      </c>
      <c r="B26" s="49" t="s">
        <v>90</v>
      </c>
      <c r="C26" s="50">
        <v>8.6805555555555566E-2</v>
      </c>
      <c r="D26" s="49" t="s">
        <v>79</v>
      </c>
      <c r="E26" s="49" t="s">
        <v>85</v>
      </c>
      <c r="F26" s="49" t="s">
        <v>86</v>
      </c>
      <c r="G26" s="175"/>
      <c r="H26" s="51"/>
      <c r="I26" s="52"/>
      <c r="J26" s="52"/>
      <c r="K26" s="52"/>
      <c r="L26" s="52"/>
      <c r="M26" s="52"/>
      <c r="N26" s="52"/>
      <c r="O26" s="53"/>
      <c r="P26" s="52"/>
      <c r="Q26" s="54"/>
      <c r="R26" s="55"/>
    </row>
    <row r="27" spans="1:18" ht="17.399999999999999" customHeight="1" thickBot="1" x14ac:dyDescent="0.35">
      <c r="A27" s="205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7"/>
    </row>
    <row r="28" spans="1:18" ht="22.05" customHeight="1" thickTop="1" thickBot="1" x14ac:dyDescent="0.35">
      <c r="A28" s="184" t="s">
        <v>6</v>
      </c>
      <c r="B28" s="180"/>
      <c r="C28" s="180"/>
      <c r="D28" s="180"/>
      <c r="E28" s="180"/>
      <c r="F28" s="181"/>
      <c r="G28" s="56">
        <v>45987</v>
      </c>
      <c r="H28" s="188" t="s">
        <v>7</v>
      </c>
      <c r="I28" s="180"/>
      <c r="J28" s="180"/>
      <c r="K28" s="180"/>
      <c r="L28" s="180"/>
      <c r="M28" s="180"/>
      <c r="N28" s="180"/>
      <c r="O28" s="180"/>
      <c r="P28" s="180"/>
      <c r="Q28" s="180"/>
      <c r="R28" s="181"/>
    </row>
    <row r="29" spans="1:18" ht="24" customHeight="1" x14ac:dyDescent="0.3">
      <c r="A29" s="57" t="s">
        <v>8</v>
      </c>
      <c r="B29" s="57" t="s">
        <v>9</v>
      </c>
      <c r="C29" s="58" t="s">
        <v>10</v>
      </c>
      <c r="D29" s="57" t="s">
        <v>11</v>
      </c>
      <c r="E29" s="57" t="s">
        <v>12</v>
      </c>
      <c r="F29" s="59" t="s">
        <v>13</v>
      </c>
      <c r="G29" s="60" t="s">
        <v>14</v>
      </c>
      <c r="H29" s="57" t="s">
        <v>15</v>
      </c>
      <c r="I29" s="61" t="s">
        <v>16</v>
      </c>
      <c r="J29" s="62" t="s">
        <v>17</v>
      </c>
      <c r="K29" s="63" t="s">
        <v>18</v>
      </c>
      <c r="L29" s="62" t="s">
        <v>19</v>
      </c>
      <c r="M29" s="62" t="s">
        <v>20</v>
      </c>
      <c r="N29" s="62" t="s">
        <v>21</v>
      </c>
      <c r="O29" s="57" t="s">
        <v>22</v>
      </c>
      <c r="P29" s="58" t="s">
        <v>23</v>
      </c>
      <c r="Q29" s="62" t="s">
        <v>24</v>
      </c>
      <c r="R29" s="57" t="s">
        <v>25</v>
      </c>
    </row>
    <row r="30" spans="1:18" ht="15" customHeight="1" x14ac:dyDescent="0.3">
      <c r="A30" s="8" t="s">
        <v>26</v>
      </c>
      <c r="B30" s="8" t="s">
        <v>27</v>
      </c>
      <c r="C30" s="9">
        <v>0.4201388888888889</v>
      </c>
      <c r="D30" s="8" t="s">
        <v>28</v>
      </c>
      <c r="E30" s="8" t="s">
        <v>91</v>
      </c>
      <c r="F30" s="8" t="s">
        <v>92</v>
      </c>
      <c r="G30" s="173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26</v>
      </c>
      <c r="B31" s="15" t="s">
        <v>27</v>
      </c>
      <c r="C31" s="16">
        <v>0.4201388888888889</v>
      </c>
      <c r="D31" s="15" t="s">
        <v>31</v>
      </c>
      <c r="E31" s="15" t="s">
        <v>93</v>
      </c>
      <c r="F31" s="15" t="s">
        <v>94</v>
      </c>
      <c r="G31" s="174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26</v>
      </c>
      <c r="B32" s="15" t="s">
        <v>27</v>
      </c>
      <c r="C32" s="16">
        <v>0.4201388888888889</v>
      </c>
      <c r="D32" s="15" t="s">
        <v>34</v>
      </c>
      <c r="E32" s="15" t="s">
        <v>93</v>
      </c>
      <c r="F32" s="15" t="s">
        <v>95</v>
      </c>
      <c r="G32" s="174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17" t="s">
        <v>65</v>
      </c>
      <c r="B33" s="17" t="s">
        <v>72</v>
      </c>
      <c r="C33" s="18">
        <v>0.22222222222222221</v>
      </c>
      <c r="D33" s="17" t="s">
        <v>67</v>
      </c>
      <c r="E33" s="17" t="s">
        <v>49</v>
      </c>
      <c r="F33" s="17" t="s">
        <v>96</v>
      </c>
      <c r="G33" s="174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47" t="s">
        <v>65</v>
      </c>
      <c r="B34" s="47" t="s">
        <v>73</v>
      </c>
      <c r="C34" s="48">
        <v>0.44444444444444442</v>
      </c>
      <c r="D34" s="47" t="s">
        <v>67</v>
      </c>
      <c r="E34" s="47" t="s">
        <v>70</v>
      </c>
      <c r="F34" s="47" t="s">
        <v>97</v>
      </c>
      <c r="G34" s="174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47" t="s">
        <v>65</v>
      </c>
      <c r="B35" s="47" t="s">
        <v>75</v>
      </c>
      <c r="C35" s="48">
        <v>0.84722222222222221</v>
      </c>
      <c r="D35" s="47" t="s">
        <v>67</v>
      </c>
      <c r="E35" s="47" t="s">
        <v>98</v>
      </c>
      <c r="F35" s="47" t="s">
        <v>99</v>
      </c>
      <c r="G35" s="174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17" t="s">
        <v>36</v>
      </c>
      <c r="B36" s="17" t="s">
        <v>37</v>
      </c>
      <c r="C36" s="18">
        <v>0.75694444444444453</v>
      </c>
      <c r="D36" s="17" t="s">
        <v>38</v>
      </c>
      <c r="E36" s="17" t="s">
        <v>100</v>
      </c>
      <c r="F36" s="17" t="s">
        <v>101</v>
      </c>
      <c r="G36" s="174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36</v>
      </c>
      <c r="B37" s="15" t="s">
        <v>37</v>
      </c>
      <c r="C37" s="16">
        <v>0.75694444444444453</v>
      </c>
      <c r="D37" s="15" t="s">
        <v>41</v>
      </c>
      <c r="E37" s="15" t="s">
        <v>102</v>
      </c>
      <c r="F37" s="15" t="s">
        <v>103</v>
      </c>
      <c r="G37" s="174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36</v>
      </c>
      <c r="B38" s="15" t="s">
        <v>37</v>
      </c>
      <c r="C38" s="16">
        <v>0.75694444444444453</v>
      </c>
      <c r="D38" s="15" t="s">
        <v>44</v>
      </c>
      <c r="E38" s="15" t="s">
        <v>102</v>
      </c>
      <c r="F38" s="15" t="s">
        <v>104</v>
      </c>
      <c r="G38" s="174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7" t="s">
        <v>77</v>
      </c>
      <c r="B39" s="17" t="s">
        <v>82</v>
      </c>
      <c r="C39" s="18">
        <v>0.60416666666666663</v>
      </c>
      <c r="D39" s="17" t="s">
        <v>83</v>
      </c>
      <c r="E39" s="17" t="s">
        <v>49</v>
      </c>
      <c r="F39" s="17" t="s">
        <v>105</v>
      </c>
      <c r="G39" s="174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77</v>
      </c>
      <c r="B40" s="15" t="s">
        <v>82</v>
      </c>
      <c r="C40" s="16">
        <v>0.60416666666666663</v>
      </c>
      <c r="D40" s="15" t="s">
        <v>79</v>
      </c>
      <c r="E40" s="15" t="s">
        <v>85</v>
      </c>
      <c r="F40" s="15" t="s">
        <v>106</v>
      </c>
      <c r="G40" s="174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47" t="s">
        <v>77</v>
      </c>
      <c r="B41" s="47" t="s">
        <v>87</v>
      </c>
      <c r="C41" s="48">
        <v>0.79513888888888884</v>
      </c>
      <c r="D41" s="47" t="s">
        <v>83</v>
      </c>
      <c r="E41" s="47" t="s">
        <v>70</v>
      </c>
      <c r="F41" s="47" t="s">
        <v>105</v>
      </c>
      <c r="G41" s="174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77</v>
      </c>
      <c r="B42" s="15" t="s">
        <v>87</v>
      </c>
      <c r="C42" s="16">
        <v>0.79513888888888884</v>
      </c>
      <c r="D42" s="15" t="s">
        <v>79</v>
      </c>
      <c r="E42" s="15" t="s">
        <v>85</v>
      </c>
      <c r="F42" s="15" t="s">
        <v>106</v>
      </c>
      <c r="G42" s="174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47" t="s">
        <v>77</v>
      </c>
      <c r="B43" s="47" t="s">
        <v>90</v>
      </c>
      <c r="C43" s="48">
        <v>8.6805555555555566E-2</v>
      </c>
      <c r="D43" s="47" t="s">
        <v>83</v>
      </c>
      <c r="E43" s="47" t="s">
        <v>70</v>
      </c>
      <c r="F43" s="47" t="s">
        <v>105</v>
      </c>
      <c r="G43" s="174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5" t="s">
        <v>77</v>
      </c>
      <c r="B44" s="15" t="s">
        <v>90</v>
      </c>
      <c r="C44" s="16">
        <v>8.6805555555555566E-2</v>
      </c>
      <c r="D44" s="15" t="s">
        <v>79</v>
      </c>
      <c r="E44" s="15" t="s">
        <v>85</v>
      </c>
      <c r="F44" s="15" t="s">
        <v>106</v>
      </c>
      <c r="G44" s="174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thickBot="1" x14ac:dyDescent="0.35">
      <c r="A45" s="64" t="s">
        <v>77</v>
      </c>
      <c r="B45" s="64" t="s">
        <v>78</v>
      </c>
      <c r="C45" s="65">
        <v>0.4201388888888889</v>
      </c>
      <c r="D45" s="64" t="s">
        <v>79</v>
      </c>
      <c r="E45" s="64" t="s">
        <v>107</v>
      </c>
      <c r="F45" s="64" t="s">
        <v>81</v>
      </c>
      <c r="G45" s="175"/>
      <c r="H45" s="51"/>
      <c r="I45" s="52"/>
      <c r="J45" s="52"/>
      <c r="K45" s="52"/>
      <c r="L45" s="52"/>
      <c r="M45" s="52"/>
      <c r="N45" s="52"/>
      <c r="O45" s="53"/>
      <c r="P45" s="52"/>
      <c r="Q45" s="54"/>
      <c r="R45" s="55"/>
    </row>
    <row r="46" spans="1:18" ht="17.399999999999999" customHeight="1" thickBot="1" x14ac:dyDescent="0.35">
      <c r="A46" s="205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7"/>
    </row>
    <row r="47" spans="1:18" ht="22.05" customHeight="1" thickTop="1" thickBot="1" x14ac:dyDescent="0.35">
      <c r="A47" s="184" t="s">
        <v>6</v>
      </c>
      <c r="B47" s="180"/>
      <c r="C47" s="180"/>
      <c r="D47" s="180"/>
      <c r="E47" s="180"/>
      <c r="F47" s="181"/>
      <c r="G47" s="56">
        <v>45988</v>
      </c>
      <c r="H47" s="188" t="s">
        <v>7</v>
      </c>
      <c r="I47" s="180"/>
      <c r="J47" s="180"/>
      <c r="K47" s="180"/>
      <c r="L47" s="180"/>
      <c r="M47" s="180"/>
      <c r="N47" s="180"/>
      <c r="O47" s="180"/>
      <c r="P47" s="180"/>
      <c r="Q47" s="180"/>
      <c r="R47" s="181"/>
    </row>
    <row r="48" spans="1:18" ht="24" customHeight="1" x14ac:dyDescent="0.3">
      <c r="A48" s="57" t="s">
        <v>8</v>
      </c>
      <c r="B48" s="57" t="s">
        <v>9</v>
      </c>
      <c r="C48" s="58" t="s">
        <v>10</v>
      </c>
      <c r="D48" s="57" t="s">
        <v>11</v>
      </c>
      <c r="E48" s="57" t="s">
        <v>12</v>
      </c>
      <c r="F48" s="59" t="s">
        <v>13</v>
      </c>
      <c r="G48" s="60" t="s">
        <v>14</v>
      </c>
      <c r="H48" s="57" t="s">
        <v>15</v>
      </c>
      <c r="I48" s="61" t="s">
        <v>16</v>
      </c>
      <c r="J48" s="62" t="s">
        <v>17</v>
      </c>
      <c r="K48" s="63" t="s">
        <v>18</v>
      </c>
      <c r="L48" s="62" t="s">
        <v>19</v>
      </c>
      <c r="M48" s="62" t="s">
        <v>20</v>
      </c>
      <c r="N48" s="62" t="s">
        <v>21</v>
      </c>
      <c r="O48" s="57" t="s">
        <v>22</v>
      </c>
      <c r="P48" s="58" t="s">
        <v>23</v>
      </c>
      <c r="Q48" s="62" t="s">
        <v>24</v>
      </c>
      <c r="R48" s="57" t="s">
        <v>25</v>
      </c>
    </row>
    <row r="49" spans="1:18" ht="15" customHeight="1" x14ac:dyDescent="0.3">
      <c r="A49" s="8" t="s">
        <v>65</v>
      </c>
      <c r="B49" s="8" t="s">
        <v>66</v>
      </c>
      <c r="C49" s="9">
        <v>0.1076388888888889</v>
      </c>
      <c r="D49" s="8" t="s">
        <v>67</v>
      </c>
      <c r="E49" s="8" t="s">
        <v>108</v>
      </c>
      <c r="F49" s="8" t="s">
        <v>96</v>
      </c>
      <c r="G49" s="173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47" t="s">
        <v>65</v>
      </c>
      <c r="B50" s="47" t="s">
        <v>73</v>
      </c>
      <c r="C50" s="48">
        <v>0.43055555555555558</v>
      </c>
      <c r="D50" s="47" t="s">
        <v>67</v>
      </c>
      <c r="E50" s="47" t="s">
        <v>70</v>
      </c>
      <c r="F50" s="47" t="s">
        <v>68</v>
      </c>
      <c r="G50" s="174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47" t="s">
        <v>65</v>
      </c>
      <c r="B51" s="47" t="s">
        <v>69</v>
      </c>
      <c r="C51" s="48">
        <v>0.49305555555555558</v>
      </c>
      <c r="D51" s="47" t="s">
        <v>67</v>
      </c>
      <c r="E51" s="47" t="s">
        <v>70</v>
      </c>
      <c r="F51" s="47" t="s">
        <v>71</v>
      </c>
      <c r="G51" s="174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47" t="s">
        <v>65</v>
      </c>
      <c r="B52" s="47" t="s">
        <v>72</v>
      </c>
      <c r="C52" s="48">
        <v>0.22222222222222221</v>
      </c>
      <c r="D52" s="47" t="s">
        <v>67</v>
      </c>
      <c r="E52" s="47" t="s">
        <v>70</v>
      </c>
      <c r="F52" s="47" t="s">
        <v>71</v>
      </c>
      <c r="G52" s="174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47" t="s">
        <v>65</v>
      </c>
      <c r="B53" s="47" t="s">
        <v>75</v>
      </c>
      <c r="C53" s="48">
        <v>0.85416666666666663</v>
      </c>
      <c r="D53" s="47" t="s">
        <v>67</v>
      </c>
      <c r="E53" s="47" t="s">
        <v>109</v>
      </c>
      <c r="F53" s="47" t="s">
        <v>76</v>
      </c>
      <c r="G53" s="174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17" t="s">
        <v>26</v>
      </c>
      <c r="B54" s="17" t="s">
        <v>27</v>
      </c>
      <c r="C54" s="18">
        <v>0.4201388888888889</v>
      </c>
      <c r="D54" s="17" t="s">
        <v>28</v>
      </c>
      <c r="E54" s="17" t="s">
        <v>29</v>
      </c>
      <c r="F54" s="17" t="s">
        <v>110</v>
      </c>
      <c r="G54" s="174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26</v>
      </c>
      <c r="B55" s="15" t="s">
        <v>27</v>
      </c>
      <c r="C55" s="16">
        <v>0.4201388888888889</v>
      </c>
      <c r="D55" s="15" t="s">
        <v>31</v>
      </c>
      <c r="E55" s="15" t="s">
        <v>32</v>
      </c>
      <c r="F55" s="15" t="s">
        <v>103</v>
      </c>
      <c r="G55" s="174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5" t="s">
        <v>26</v>
      </c>
      <c r="B56" s="15" t="s">
        <v>27</v>
      </c>
      <c r="C56" s="16">
        <v>0.4201388888888889</v>
      </c>
      <c r="D56" s="15" t="s">
        <v>34</v>
      </c>
      <c r="E56" s="15" t="s">
        <v>32</v>
      </c>
      <c r="F56" s="15" t="s">
        <v>35</v>
      </c>
      <c r="G56" s="174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17" t="s">
        <v>36</v>
      </c>
      <c r="B57" s="17" t="s">
        <v>111</v>
      </c>
      <c r="C57" s="18">
        <v>0.35416666666666669</v>
      </c>
      <c r="D57" s="17" t="s">
        <v>38</v>
      </c>
      <c r="E57" s="17" t="s">
        <v>39</v>
      </c>
      <c r="F57" s="17" t="s">
        <v>101</v>
      </c>
      <c r="G57" s="174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5" t="s">
        <v>36</v>
      </c>
      <c r="B58" s="15" t="s">
        <v>111</v>
      </c>
      <c r="C58" s="16">
        <v>0.35416666666666669</v>
      </c>
      <c r="D58" s="15" t="s">
        <v>41</v>
      </c>
      <c r="E58" s="15" t="s">
        <v>42</v>
      </c>
      <c r="F58" s="15" t="s">
        <v>103</v>
      </c>
      <c r="G58" s="174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15" t="s">
        <v>36</v>
      </c>
      <c r="B59" s="15" t="s">
        <v>111</v>
      </c>
      <c r="C59" s="16">
        <v>0.35416666666666669</v>
      </c>
      <c r="D59" s="15" t="s">
        <v>44</v>
      </c>
      <c r="E59" s="15" t="s">
        <v>42</v>
      </c>
      <c r="F59" s="15" t="s">
        <v>104</v>
      </c>
      <c r="G59" s="174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47" t="s">
        <v>36</v>
      </c>
      <c r="B60" s="47" t="s">
        <v>37</v>
      </c>
      <c r="C60" s="48">
        <v>0.75694444444444453</v>
      </c>
      <c r="D60" s="47" t="s">
        <v>38</v>
      </c>
      <c r="E60" s="47" t="s">
        <v>107</v>
      </c>
      <c r="F60" s="47" t="s">
        <v>112</v>
      </c>
      <c r="G60" s="174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15" t="s">
        <v>36</v>
      </c>
      <c r="B61" s="15" t="s">
        <v>37</v>
      </c>
      <c r="C61" s="16">
        <v>0.75694444444444453</v>
      </c>
      <c r="D61" s="15" t="s">
        <v>41</v>
      </c>
      <c r="E61" s="15" t="s">
        <v>113</v>
      </c>
      <c r="F61" s="15" t="s">
        <v>114</v>
      </c>
      <c r="G61" s="174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5" t="s">
        <v>36</v>
      </c>
      <c r="B62" s="15" t="s">
        <v>37</v>
      </c>
      <c r="C62" s="16">
        <v>0.75694444444444453</v>
      </c>
      <c r="D62" s="15" t="s">
        <v>44</v>
      </c>
      <c r="E62" s="15" t="s">
        <v>113</v>
      </c>
      <c r="F62" s="15" t="s">
        <v>115</v>
      </c>
      <c r="G62" s="174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7" t="s">
        <v>77</v>
      </c>
      <c r="B63" s="17" t="s">
        <v>82</v>
      </c>
      <c r="C63" s="18">
        <v>0.60416666666666663</v>
      </c>
      <c r="D63" s="17" t="s">
        <v>83</v>
      </c>
      <c r="E63" s="17" t="s">
        <v>49</v>
      </c>
      <c r="F63" s="17" t="s">
        <v>105</v>
      </c>
      <c r="G63" s="174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5" t="s">
        <v>77</v>
      </c>
      <c r="B64" s="15" t="s">
        <v>82</v>
      </c>
      <c r="C64" s="16">
        <v>0.60416666666666663</v>
      </c>
      <c r="D64" s="15" t="s">
        <v>79</v>
      </c>
      <c r="E64" s="15" t="s">
        <v>85</v>
      </c>
      <c r="F64" s="15" t="s">
        <v>106</v>
      </c>
      <c r="G64" s="174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47" t="s">
        <v>77</v>
      </c>
      <c r="B65" s="47" t="s">
        <v>87</v>
      </c>
      <c r="C65" s="48">
        <v>0.79513888888888884</v>
      </c>
      <c r="D65" s="47" t="s">
        <v>83</v>
      </c>
      <c r="E65" s="47" t="s">
        <v>116</v>
      </c>
      <c r="F65" s="47" t="s">
        <v>105</v>
      </c>
      <c r="G65" s="174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5" t="s">
        <v>77</v>
      </c>
      <c r="B66" s="15" t="s">
        <v>87</v>
      </c>
      <c r="C66" s="16">
        <v>0.79513888888888884</v>
      </c>
      <c r="D66" s="15" t="s">
        <v>79</v>
      </c>
      <c r="E66" s="15" t="s">
        <v>117</v>
      </c>
      <c r="F66" s="15" t="s">
        <v>106</v>
      </c>
      <c r="G66" s="174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47" t="s">
        <v>77</v>
      </c>
      <c r="B67" s="47" t="s">
        <v>90</v>
      </c>
      <c r="C67" s="48">
        <v>8.6805555555555566E-2</v>
      </c>
      <c r="D67" s="47" t="s">
        <v>83</v>
      </c>
      <c r="E67" s="47" t="s">
        <v>70</v>
      </c>
      <c r="F67" s="47" t="s">
        <v>105</v>
      </c>
      <c r="G67" s="174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15" t="s">
        <v>77</v>
      </c>
      <c r="B68" s="15" t="s">
        <v>90</v>
      </c>
      <c r="C68" s="16">
        <v>8.6805555555555566E-2</v>
      </c>
      <c r="D68" s="15" t="s">
        <v>79</v>
      </c>
      <c r="E68" s="15" t="s">
        <v>85</v>
      </c>
      <c r="F68" s="15" t="s">
        <v>106</v>
      </c>
      <c r="G68" s="174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47" t="s">
        <v>77</v>
      </c>
      <c r="B69" s="47" t="s">
        <v>78</v>
      </c>
      <c r="C69" s="48">
        <v>0.4201388888888889</v>
      </c>
      <c r="D69" s="47" t="s">
        <v>79</v>
      </c>
      <c r="E69" s="47" t="s">
        <v>107</v>
      </c>
      <c r="F69" s="47" t="s">
        <v>118</v>
      </c>
      <c r="G69" s="174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thickBot="1" x14ac:dyDescent="0.35">
      <c r="A70" s="66" t="s">
        <v>46</v>
      </c>
      <c r="B70" s="66" t="s">
        <v>119</v>
      </c>
      <c r="C70" s="67">
        <v>0.53819444444444442</v>
      </c>
      <c r="D70" s="66" t="s">
        <v>48</v>
      </c>
      <c r="E70" s="66" t="s">
        <v>80</v>
      </c>
      <c r="F70" s="66" t="s">
        <v>120</v>
      </c>
      <c r="G70" s="175"/>
      <c r="H70" s="68" t="s">
        <v>60</v>
      </c>
      <c r="I70" s="69">
        <v>0.98280000000000001</v>
      </c>
      <c r="J70" s="70">
        <v>171</v>
      </c>
      <c r="K70" s="71">
        <v>45981</v>
      </c>
      <c r="L70" s="70">
        <v>7</v>
      </c>
      <c r="M70" s="70">
        <v>0</v>
      </c>
      <c r="N70" s="70">
        <v>1</v>
      </c>
      <c r="O70" s="72" t="s">
        <v>121</v>
      </c>
      <c r="P70" s="73">
        <v>0.53819444444444442</v>
      </c>
      <c r="Q70" s="70">
        <v>174</v>
      </c>
      <c r="R70" s="74" t="s">
        <v>122</v>
      </c>
    </row>
    <row r="71" spans="1:18" ht="17.399999999999999" customHeight="1" thickBot="1" x14ac:dyDescent="0.35">
      <c r="A71" s="205"/>
      <c r="B71" s="206"/>
      <c r="C71" s="206"/>
      <c r="D71" s="206"/>
      <c r="E71" s="206"/>
      <c r="F71" s="206"/>
      <c r="G71" s="206"/>
      <c r="H71" s="206"/>
      <c r="I71" s="206"/>
      <c r="J71" s="206"/>
      <c r="K71" s="206"/>
      <c r="L71" s="206"/>
      <c r="M71" s="206"/>
      <c r="N71" s="206"/>
      <c r="O71" s="206"/>
      <c r="P71" s="206"/>
      <c r="Q71" s="206"/>
      <c r="R71" s="207"/>
    </row>
    <row r="72" spans="1:18" ht="22.05" customHeight="1" thickTop="1" thickBot="1" x14ac:dyDescent="0.35">
      <c r="A72" s="184" t="s">
        <v>6</v>
      </c>
      <c r="B72" s="180"/>
      <c r="C72" s="180"/>
      <c r="D72" s="180"/>
      <c r="E72" s="180"/>
      <c r="F72" s="181"/>
      <c r="G72" s="56">
        <v>45989</v>
      </c>
      <c r="H72" s="188" t="s">
        <v>7</v>
      </c>
      <c r="I72" s="180"/>
      <c r="J72" s="180"/>
      <c r="K72" s="180"/>
      <c r="L72" s="180"/>
      <c r="M72" s="180"/>
      <c r="N72" s="180"/>
      <c r="O72" s="180"/>
      <c r="P72" s="180"/>
      <c r="Q72" s="180"/>
      <c r="R72" s="181"/>
    </row>
    <row r="73" spans="1:18" ht="24" customHeight="1" x14ac:dyDescent="0.3">
      <c r="A73" s="57" t="s">
        <v>8</v>
      </c>
      <c r="B73" s="57" t="s">
        <v>9</v>
      </c>
      <c r="C73" s="58" t="s">
        <v>10</v>
      </c>
      <c r="D73" s="57" t="s">
        <v>11</v>
      </c>
      <c r="E73" s="57" t="s">
        <v>12</v>
      </c>
      <c r="F73" s="59" t="s">
        <v>13</v>
      </c>
      <c r="G73" s="60" t="s">
        <v>14</v>
      </c>
      <c r="H73" s="57" t="s">
        <v>15</v>
      </c>
      <c r="I73" s="61" t="s">
        <v>16</v>
      </c>
      <c r="J73" s="62" t="s">
        <v>17</v>
      </c>
      <c r="K73" s="63" t="s">
        <v>18</v>
      </c>
      <c r="L73" s="62" t="s">
        <v>19</v>
      </c>
      <c r="M73" s="62" t="s">
        <v>20</v>
      </c>
      <c r="N73" s="62" t="s">
        <v>21</v>
      </c>
      <c r="O73" s="57" t="s">
        <v>22</v>
      </c>
      <c r="P73" s="58" t="s">
        <v>23</v>
      </c>
      <c r="Q73" s="62" t="s">
        <v>24</v>
      </c>
      <c r="R73" s="57" t="s">
        <v>25</v>
      </c>
    </row>
    <row r="74" spans="1:18" ht="15" customHeight="1" x14ac:dyDescent="0.3">
      <c r="A74" s="8" t="s">
        <v>26</v>
      </c>
      <c r="B74" s="8" t="s">
        <v>27</v>
      </c>
      <c r="C74" s="9">
        <v>0.4201388888888889</v>
      </c>
      <c r="D74" s="8" t="s">
        <v>28</v>
      </c>
      <c r="E74" s="8" t="s">
        <v>123</v>
      </c>
      <c r="F74" s="8" t="s">
        <v>30</v>
      </c>
      <c r="G74" s="173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5" t="s">
        <v>26</v>
      </c>
      <c r="B75" s="15" t="s">
        <v>27</v>
      </c>
      <c r="C75" s="16">
        <v>0.4201388888888889</v>
      </c>
      <c r="D75" s="15" t="s">
        <v>31</v>
      </c>
      <c r="E75" s="15" t="s">
        <v>124</v>
      </c>
      <c r="F75" s="15" t="s">
        <v>33</v>
      </c>
      <c r="G75" s="174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5" t="s">
        <v>26</v>
      </c>
      <c r="B76" s="15" t="s">
        <v>27</v>
      </c>
      <c r="C76" s="16">
        <v>0.4201388888888889</v>
      </c>
      <c r="D76" s="15" t="s">
        <v>34</v>
      </c>
      <c r="E76" s="15" t="s">
        <v>124</v>
      </c>
      <c r="F76" s="15" t="s">
        <v>35</v>
      </c>
      <c r="G76" s="174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17" t="s">
        <v>36</v>
      </c>
      <c r="B77" s="17" t="s">
        <v>37</v>
      </c>
      <c r="C77" s="18">
        <v>0.75694444444444453</v>
      </c>
      <c r="D77" s="17" t="s">
        <v>38</v>
      </c>
      <c r="E77" s="17" t="s">
        <v>108</v>
      </c>
      <c r="F77" s="17" t="s">
        <v>40</v>
      </c>
      <c r="G77" s="174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5" t="s">
        <v>36</v>
      </c>
      <c r="B78" s="15" t="s">
        <v>37</v>
      </c>
      <c r="C78" s="16">
        <v>0.75694444444444453</v>
      </c>
      <c r="D78" s="15" t="s">
        <v>41</v>
      </c>
      <c r="E78" s="15" t="s">
        <v>89</v>
      </c>
      <c r="F78" s="15" t="s">
        <v>43</v>
      </c>
      <c r="G78" s="174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5" t="s">
        <v>36</v>
      </c>
      <c r="B79" s="15" t="s">
        <v>37</v>
      </c>
      <c r="C79" s="16">
        <v>0.75694444444444453</v>
      </c>
      <c r="D79" s="15" t="s">
        <v>44</v>
      </c>
      <c r="E79" s="15" t="s">
        <v>89</v>
      </c>
      <c r="F79" s="15" t="s">
        <v>45</v>
      </c>
      <c r="G79" s="174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17" t="s">
        <v>65</v>
      </c>
      <c r="B80" s="17" t="s">
        <v>66</v>
      </c>
      <c r="C80" s="18">
        <v>0.1076388888888889</v>
      </c>
      <c r="D80" s="17" t="s">
        <v>67</v>
      </c>
      <c r="E80" s="17" t="s">
        <v>49</v>
      </c>
      <c r="F80" s="17" t="s">
        <v>68</v>
      </c>
      <c r="G80" s="174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47" t="s">
        <v>65</v>
      </c>
      <c r="B81" s="47" t="s">
        <v>72</v>
      </c>
      <c r="C81" s="48">
        <v>0.22222222222222221</v>
      </c>
      <c r="D81" s="47" t="s">
        <v>67</v>
      </c>
      <c r="E81" s="47" t="s">
        <v>70</v>
      </c>
      <c r="F81" s="47" t="s">
        <v>68</v>
      </c>
      <c r="G81" s="174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47" t="s">
        <v>65</v>
      </c>
      <c r="B82" s="47" t="s">
        <v>69</v>
      </c>
      <c r="C82" s="48">
        <v>0.49305555555555558</v>
      </c>
      <c r="D82" s="47" t="s">
        <v>67</v>
      </c>
      <c r="E82" s="47" t="s">
        <v>116</v>
      </c>
      <c r="F82" s="47" t="s">
        <v>76</v>
      </c>
      <c r="G82" s="174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17" t="s">
        <v>77</v>
      </c>
      <c r="B83" s="17" t="s">
        <v>82</v>
      </c>
      <c r="C83" s="18">
        <v>0.60416666666666663</v>
      </c>
      <c r="D83" s="17" t="s">
        <v>83</v>
      </c>
      <c r="E83" s="17" t="s">
        <v>49</v>
      </c>
      <c r="F83" s="17" t="s">
        <v>125</v>
      </c>
      <c r="G83" s="174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5" t="s">
        <v>77</v>
      </c>
      <c r="B84" s="15" t="s">
        <v>82</v>
      </c>
      <c r="C84" s="16">
        <v>0.60416666666666663</v>
      </c>
      <c r="D84" s="15" t="s">
        <v>79</v>
      </c>
      <c r="E84" s="15" t="s">
        <v>85</v>
      </c>
      <c r="F84" s="15" t="s">
        <v>126</v>
      </c>
      <c r="G84" s="174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47" t="s">
        <v>77</v>
      </c>
      <c r="B85" s="47" t="s">
        <v>90</v>
      </c>
      <c r="C85" s="48">
        <v>8.6805555555555566E-2</v>
      </c>
      <c r="D85" s="47" t="s">
        <v>83</v>
      </c>
      <c r="E85" s="47" t="s">
        <v>70</v>
      </c>
      <c r="F85" s="47" t="s">
        <v>105</v>
      </c>
      <c r="G85" s="174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15" t="s">
        <v>77</v>
      </c>
      <c r="B86" s="15" t="s">
        <v>90</v>
      </c>
      <c r="C86" s="16">
        <v>8.6805555555555566E-2</v>
      </c>
      <c r="D86" s="15" t="s">
        <v>79</v>
      </c>
      <c r="E86" s="15" t="s">
        <v>85</v>
      </c>
      <c r="F86" s="15" t="s">
        <v>106</v>
      </c>
      <c r="G86" s="174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47" t="s">
        <v>77</v>
      </c>
      <c r="B87" s="47" t="s">
        <v>78</v>
      </c>
      <c r="C87" s="48">
        <v>0.4201388888888889</v>
      </c>
      <c r="D87" s="47" t="s">
        <v>79</v>
      </c>
      <c r="E87" s="47" t="s">
        <v>107</v>
      </c>
      <c r="F87" s="47" t="s">
        <v>81</v>
      </c>
      <c r="G87" s="174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47" t="s">
        <v>77</v>
      </c>
      <c r="B88" s="47" t="s">
        <v>87</v>
      </c>
      <c r="C88" s="48">
        <v>0.79513888888888884</v>
      </c>
      <c r="D88" s="47" t="s">
        <v>83</v>
      </c>
      <c r="E88" s="47" t="s">
        <v>116</v>
      </c>
      <c r="F88" s="47" t="s">
        <v>127</v>
      </c>
      <c r="G88" s="174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49" t="s">
        <v>77</v>
      </c>
      <c r="B89" s="49" t="s">
        <v>87</v>
      </c>
      <c r="C89" s="50">
        <v>0.79513888888888884</v>
      </c>
      <c r="D89" s="49" t="s">
        <v>79</v>
      </c>
      <c r="E89" s="49" t="s">
        <v>117</v>
      </c>
      <c r="F89" s="49" t="s">
        <v>128</v>
      </c>
      <c r="G89" s="175"/>
      <c r="H89" s="51"/>
      <c r="I89" s="52"/>
      <c r="J89" s="52"/>
      <c r="K89" s="52"/>
      <c r="L89" s="52"/>
      <c r="M89" s="52"/>
      <c r="N89" s="52"/>
      <c r="O89" s="53"/>
      <c r="P89" s="52"/>
      <c r="Q89" s="54"/>
      <c r="R89" s="55"/>
    </row>
  </sheetData>
  <mergeCells count="22">
    <mergeCell ref="A28:F28"/>
    <mergeCell ref="H72:R72"/>
    <mergeCell ref="K2:R2"/>
    <mergeCell ref="G6:G26"/>
    <mergeCell ref="H28:R28"/>
    <mergeCell ref="H47:R47"/>
    <mergeCell ref="G74:G89"/>
    <mergeCell ref="A46:R46"/>
    <mergeCell ref="H1:L1"/>
    <mergeCell ref="A1:E1"/>
    <mergeCell ref="A27:R27"/>
    <mergeCell ref="H4:R4"/>
    <mergeCell ref="G30:G45"/>
    <mergeCell ref="A2:F2"/>
    <mergeCell ref="A3:R3"/>
    <mergeCell ref="A47:F47"/>
    <mergeCell ref="G49:G70"/>
    <mergeCell ref="A71:R71"/>
    <mergeCell ref="G2:J2"/>
    <mergeCell ref="A4:F4"/>
    <mergeCell ref="A72:F72"/>
    <mergeCell ref="N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"/>
  <sheetViews>
    <sheetView workbookViewId="0"/>
  </sheetViews>
  <sheetFormatPr defaultRowHeight="15.6" outlineLevelCol="1" x14ac:dyDescent="0.3"/>
  <cols>
    <col min="1" max="1" width="11.77734375" style="192" bestFit="1" customWidth="1"/>
    <col min="2" max="2" width="11.109375" style="192" bestFit="1" customWidth="1"/>
    <col min="3" max="3" width="7.88671875" style="192" bestFit="1" customWidth="1"/>
    <col min="4" max="4" width="6.77734375" style="192" bestFit="1" customWidth="1"/>
    <col min="5" max="5" width="9.77734375" style="192" bestFit="1" customWidth="1"/>
    <col min="6" max="6" width="5.21875" style="192" bestFit="1" customWidth="1"/>
    <col min="7" max="7" width="10" style="192" bestFit="1" customWidth="1"/>
    <col min="8" max="8" width="7" style="192" bestFit="1" customWidth="1"/>
    <col min="9" max="10" width="8" style="192" bestFit="1" customWidth="1"/>
    <col min="11" max="11" width="12.21875" style="192" bestFit="1" customWidth="1"/>
    <col min="12" max="12" width="10.109375" style="192" bestFit="1" customWidth="1"/>
    <col min="13" max="13" width="8.77734375" style="192" bestFit="1" customWidth="1" outlineLevel="1"/>
    <col min="14" max="14" width="7.33203125" style="192" bestFit="1" customWidth="1" outlineLevel="1"/>
    <col min="15" max="15" width="9.109375" style="192" bestFit="1" customWidth="1" outlineLevel="1"/>
    <col min="16" max="16" width="15.33203125" style="192" bestFit="1" customWidth="1"/>
    <col min="17" max="20" width="3.88671875" style="192" bestFit="1" customWidth="1"/>
    <col min="21" max="21" width="4.33203125" style="192" bestFit="1" customWidth="1"/>
    <col min="22" max="22" width="4" style="192" bestFit="1" customWidth="1"/>
    <col min="23" max="23" width="4.109375" style="192" bestFit="1" customWidth="1"/>
    <col min="24" max="24" width="3.88671875" style="192" bestFit="1" customWidth="1"/>
    <col min="25" max="25" width="5.33203125" style="192" bestFit="1" customWidth="1"/>
    <col min="26" max="26" width="4.88671875" style="192" bestFit="1" customWidth="1"/>
    <col min="27" max="27" width="5.88671875" style="192" bestFit="1" customWidth="1"/>
    <col min="28" max="28" width="5" style="192" bestFit="1" customWidth="1"/>
    <col min="29" max="29" width="5.109375" style="192" bestFit="1" customWidth="1"/>
    <col min="30" max="31" width="5.33203125" style="192" bestFit="1" customWidth="1"/>
    <col min="32" max="32" width="4.44140625" style="192" bestFit="1" customWidth="1"/>
    <col min="33" max="33" width="5" style="192" bestFit="1" customWidth="1"/>
    <col min="34" max="34" width="3.88671875" style="192" bestFit="1" customWidth="1"/>
    <col min="35" max="35" width="6.21875" style="192" bestFit="1" customWidth="1"/>
    <col min="36" max="36" width="4.21875" style="192" bestFit="1" customWidth="1"/>
    <col min="37" max="16384" width="8.88671875" style="192"/>
  </cols>
  <sheetData>
    <row r="1" spans="1:36" x14ac:dyDescent="0.3">
      <c r="A1" s="191" t="s">
        <v>129</v>
      </c>
      <c r="B1" s="191" t="s">
        <v>130</v>
      </c>
      <c r="C1" s="191" t="s">
        <v>131</v>
      </c>
      <c r="D1" s="191" t="s">
        <v>23</v>
      </c>
      <c r="E1" s="191" t="s">
        <v>132</v>
      </c>
      <c r="F1" s="191" t="s">
        <v>133</v>
      </c>
      <c r="G1" s="191" t="s">
        <v>16</v>
      </c>
      <c r="H1" s="191" t="s">
        <v>134</v>
      </c>
      <c r="I1" s="191" t="s">
        <v>135</v>
      </c>
      <c r="J1" s="191" t="s">
        <v>136</v>
      </c>
      <c r="K1" s="191" t="s">
        <v>137</v>
      </c>
      <c r="L1" s="191" t="s">
        <v>18</v>
      </c>
      <c r="M1" s="191" t="s">
        <v>20</v>
      </c>
      <c r="N1" s="191" t="s">
        <v>21</v>
      </c>
      <c r="O1" s="191" t="s">
        <v>19</v>
      </c>
      <c r="P1" s="191" t="s">
        <v>22</v>
      </c>
      <c r="Q1" s="191" t="s">
        <v>138</v>
      </c>
      <c r="R1" s="191" t="s">
        <v>139</v>
      </c>
      <c r="S1" s="191" t="s">
        <v>140</v>
      </c>
      <c r="T1" s="191" t="s">
        <v>141</v>
      </c>
      <c r="U1" s="191" t="s">
        <v>142</v>
      </c>
      <c r="V1" s="191" t="s">
        <v>143</v>
      </c>
      <c r="W1" s="191" t="s">
        <v>144</v>
      </c>
      <c r="X1" s="191" t="s">
        <v>145</v>
      </c>
      <c r="Y1" s="191" t="s">
        <v>146</v>
      </c>
      <c r="Z1" s="191" t="s">
        <v>147</v>
      </c>
      <c r="AA1" s="191" t="s">
        <v>148</v>
      </c>
      <c r="AB1" s="191" t="s">
        <v>149</v>
      </c>
      <c r="AC1" s="191" t="s">
        <v>150</v>
      </c>
      <c r="AD1" s="191" t="s">
        <v>151</v>
      </c>
      <c r="AE1" s="191" t="s">
        <v>152</v>
      </c>
      <c r="AF1" s="191" t="s">
        <v>153</v>
      </c>
      <c r="AG1" s="191" t="s">
        <v>154</v>
      </c>
      <c r="AH1" s="191" t="s">
        <v>155</v>
      </c>
      <c r="AI1" s="191" t="s">
        <v>156</v>
      </c>
      <c r="AJ1" s="191" t="s">
        <v>157</v>
      </c>
    </row>
    <row r="2" spans="1:36" x14ac:dyDescent="0.3">
      <c r="A2" s="193" t="s">
        <v>158</v>
      </c>
      <c r="B2" s="194">
        <v>45986</v>
      </c>
      <c r="C2" s="195" t="s">
        <v>57</v>
      </c>
      <c r="D2" s="196" t="s">
        <v>159</v>
      </c>
      <c r="E2" s="195" t="s">
        <v>1</v>
      </c>
      <c r="F2" s="195" t="s">
        <v>160</v>
      </c>
      <c r="G2" s="197">
        <v>0.91059999999999997</v>
      </c>
      <c r="H2" s="198">
        <v>179</v>
      </c>
      <c r="I2" s="198">
        <v>163</v>
      </c>
      <c r="J2" s="198">
        <v>158</v>
      </c>
      <c r="K2" s="195" t="s">
        <v>161</v>
      </c>
      <c r="L2" s="199">
        <v>45965</v>
      </c>
      <c r="M2" s="198">
        <v>0</v>
      </c>
      <c r="N2" s="198">
        <v>0</v>
      </c>
      <c r="O2" s="198">
        <v>0</v>
      </c>
      <c r="P2" s="195" t="s">
        <v>58</v>
      </c>
      <c r="Q2" s="191"/>
      <c r="R2" s="191"/>
      <c r="S2" s="191"/>
      <c r="T2" s="191"/>
      <c r="U2" s="191"/>
      <c r="V2" s="191"/>
      <c r="W2" s="191"/>
      <c r="X2" s="198" t="s">
        <v>162</v>
      </c>
      <c r="Y2" s="191"/>
      <c r="Z2" s="191"/>
      <c r="AA2" s="191"/>
      <c r="AB2" s="191"/>
      <c r="AC2" s="191"/>
      <c r="AD2" s="191"/>
      <c r="AE2" s="191"/>
      <c r="AF2" s="198" t="s">
        <v>163</v>
      </c>
      <c r="AG2" s="198" t="s">
        <v>164</v>
      </c>
      <c r="AH2" s="191"/>
      <c r="AI2" s="198" t="s">
        <v>165</v>
      </c>
      <c r="AJ2" s="191"/>
    </row>
    <row r="3" spans="1:36" x14ac:dyDescent="0.3">
      <c r="A3" s="193" t="s">
        <v>158</v>
      </c>
      <c r="B3" s="194">
        <v>45986</v>
      </c>
      <c r="C3" s="195" t="s">
        <v>51</v>
      </c>
      <c r="D3" s="196" t="s">
        <v>166</v>
      </c>
      <c r="E3" s="195" t="s">
        <v>1</v>
      </c>
      <c r="F3" s="195" t="s">
        <v>160</v>
      </c>
      <c r="G3" s="197">
        <v>0.53569999999999995</v>
      </c>
      <c r="H3" s="198">
        <v>168</v>
      </c>
      <c r="I3" s="198">
        <v>90</v>
      </c>
      <c r="J3" s="198">
        <v>0</v>
      </c>
      <c r="K3" s="195" t="s">
        <v>161</v>
      </c>
      <c r="L3" s="199">
        <v>45981</v>
      </c>
      <c r="M3" s="198">
        <v>0</v>
      </c>
      <c r="N3" s="198">
        <v>5</v>
      </c>
      <c r="O3" s="198">
        <v>21</v>
      </c>
      <c r="P3" s="195" t="s">
        <v>52</v>
      </c>
      <c r="Q3" s="191"/>
      <c r="R3" s="191"/>
      <c r="S3" s="191"/>
      <c r="T3" s="191"/>
      <c r="U3" s="191"/>
      <c r="V3" s="191"/>
      <c r="W3" s="191"/>
      <c r="X3" s="198" t="s">
        <v>167</v>
      </c>
      <c r="Y3" s="198" t="s">
        <v>168</v>
      </c>
      <c r="Z3" s="198" t="s">
        <v>169</v>
      </c>
      <c r="AA3" s="198" t="s">
        <v>170</v>
      </c>
      <c r="AB3" s="198" t="s">
        <v>171</v>
      </c>
      <c r="AC3" s="198" t="s">
        <v>172</v>
      </c>
      <c r="AD3" s="198" t="s">
        <v>173</v>
      </c>
      <c r="AE3" s="198" t="s">
        <v>174</v>
      </c>
      <c r="AF3" s="198" t="s">
        <v>175</v>
      </c>
      <c r="AG3" s="191"/>
      <c r="AH3" s="191"/>
      <c r="AI3" s="191"/>
      <c r="AJ3" s="191"/>
    </row>
    <row r="4" spans="1:36" x14ac:dyDescent="0.3">
      <c r="A4" s="193" t="s">
        <v>158</v>
      </c>
      <c r="B4" s="194">
        <v>45986</v>
      </c>
      <c r="C4" s="195" t="s">
        <v>60</v>
      </c>
      <c r="D4" s="196" t="s">
        <v>176</v>
      </c>
      <c r="E4" s="195" t="s">
        <v>1</v>
      </c>
      <c r="F4" s="195" t="s">
        <v>160</v>
      </c>
      <c r="G4" s="197">
        <v>1</v>
      </c>
      <c r="H4" s="198">
        <v>179</v>
      </c>
      <c r="I4" s="198">
        <v>179</v>
      </c>
      <c r="J4" s="198">
        <v>123</v>
      </c>
      <c r="K4" s="195" t="s">
        <v>161</v>
      </c>
      <c r="L4" s="199">
        <v>45980</v>
      </c>
      <c r="M4" s="198">
        <v>0</v>
      </c>
      <c r="N4" s="198">
        <v>0</v>
      </c>
      <c r="O4" s="198">
        <v>6</v>
      </c>
      <c r="P4" s="195" t="s">
        <v>63</v>
      </c>
      <c r="Q4" s="191"/>
      <c r="R4" s="191"/>
      <c r="S4" s="191"/>
      <c r="T4" s="191"/>
      <c r="U4" s="198" t="s">
        <v>177</v>
      </c>
      <c r="V4" s="198" t="s">
        <v>178</v>
      </c>
      <c r="W4" s="198" t="s">
        <v>179</v>
      </c>
      <c r="X4" s="191"/>
      <c r="Y4" s="191"/>
      <c r="Z4" s="198" t="s">
        <v>180</v>
      </c>
      <c r="AA4" s="191"/>
      <c r="AB4" s="191"/>
      <c r="AC4" s="198" t="s">
        <v>181</v>
      </c>
      <c r="AD4" s="198" t="s">
        <v>182</v>
      </c>
      <c r="AE4" s="198" t="s">
        <v>183</v>
      </c>
      <c r="AF4" s="198" t="s">
        <v>184</v>
      </c>
      <c r="AG4" s="191"/>
      <c r="AH4" s="191"/>
      <c r="AI4" s="198" t="s">
        <v>185</v>
      </c>
      <c r="AJ4" s="191"/>
    </row>
    <row r="5" spans="1:36" x14ac:dyDescent="0.3">
      <c r="A5" s="193" t="s">
        <v>186</v>
      </c>
      <c r="B5" s="194">
        <v>45988</v>
      </c>
      <c r="C5" s="195" t="s">
        <v>60</v>
      </c>
      <c r="D5" s="196" t="s">
        <v>187</v>
      </c>
      <c r="E5" s="195" t="s">
        <v>1</v>
      </c>
      <c r="F5" s="195" t="s">
        <v>160</v>
      </c>
      <c r="G5" s="197">
        <v>0.98280000000000001</v>
      </c>
      <c r="H5" s="198">
        <v>174</v>
      </c>
      <c r="I5" s="198">
        <v>171</v>
      </c>
      <c r="J5" s="198">
        <v>128</v>
      </c>
      <c r="K5" s="195" t="s">
        <v>161</v>
      </c>
      <c r="L5" s="199">
        <v>45981</v>
      </c>
      <c r="M5" s="198">
        <v>0</v>
      </c>
      <c r="N5" s="198">
        <v>1</v>
      </c>
      <c r="O5" s="198">
        <v>7</v>
      </c>
      <c r="P5" s="195" t="s">
        <v>121</v>
      </c>
      <c r="Q5" s="191"/>
      <c r="R5" s="191"/>
      <c r="S5" s="191"/>
      <c r="T5" s="191"/>
      <c r="U5" s="191"/>
      <c r="V5" s="191"/>
      <c r="W5" s="198" t="s">
        <v>188</v>
      </c>
      <c r="X5" s="198" t="s">
        <v>189</v>
      </c>
      <c r="Y5" s="191"/>
      <c r="Z5" s="198" t="s">
        <v>190</v>
      </c>
      <c r="AA5" s="191"/>
      <c r="AB5" s="191"/>
      <c r="AC5" s="191"/>
      <c r="AD5" s="198" t="s">
        <v>191</v>
      </c>
      <c r="AE5" s="198" t="s">
        <v>183</v>
      </c>
      <c r="AF5" s="198" t="s">
        <v>184</v>
      </c>
      <c r="AG5" s="191"/>
      <c r="AH5" s="191"/>
      <c r="AI5" s="198" t="s">
        <v>192</v>
      </c>
      <c r="AJ5" s="198" t="s">
        <v>193</v>
      </c>
    </row>
    <row r="6" spans="1:36" ht="21" x14ac:dyDescent="0.3">
      <c r="A6" s="200" t="s">
        <v>572</v>
      </c>
      <c r="B6" s="201"/>
      <c r="C6" s="200">
        <f>SUBTOTAL(103,MED_CAI_LF_LEGACY[Flt])</f>
        <v>4</v>
      </c>
      <c r="D6" s="200"/>
      <c r="E6" s="200">
        <f>SUBTOTAL(103,MED_CAI_LF_LEGACY[Brd-Off])</f>
        <v>4</v>
      </c>
      <c r="F6" s="200"/>
      <c r="G6" s="202">
        <f>SUBTOTAL(101,MED_CAI_LF_LEGACY[LF%])</f>
        <v>0.85727500000000001</v>
      </c>
      <c r="H6" s="203">
        <f>SUBTOTAL(109,MED_CAI_LF_LEGACY[CAP])</f>
        <v>700</v>
      </c>
      <c r="I6" s="203">
        <f>SUBTOTAL(109,MED_CAI_LF_LEGACY[BKG(Y)])</f>
        <v>603</v>
      </c>
      <c r="J6" s="203">
        <f>SUBTOTAL(109,MED_CAI_LF_LEGACY[GRP(Y)])</f>
        <v>409</v>
      </c>
      <c r="K6" s="200"/>
      <c r="L6" s="201"/>
      <c r="M6" s="203">
        <f>SUBTOTAL(109,MED_CAI_LF_LEGACY[TO-DAY])</f>
        <v>0</v>
      </c>
      <c r="N6" s="203">
        <f>SUBTOTAL(109,MED_CAI_LF_LEGACY[Y-DAY])</f>
        <v>6</v>
      </c>
      <c r="O6" s="203">
        <f>SUBTOTAL(109,MED_CAI_LF_LEGACY[WEEKLY])</f>
        <v>34</v>
      </c>
      <c r="P6" s="204"/>
      <c r="Q6" s="200">
        <f>SUBTOTAL(109,MED_CAI_LF_LEGACY[Y])</f>
        <v>0</v>
      </c>
      <c r="R6" s="200">
        <f>SUBTOTAL(109,MED_CAI_LF_LEGACY[B])</f>
        <v>0</v>
      </c>
      <c r="S6" s="200">
        <f>SUBTOTAL(109,MED_CAI_LF_LEGACY[M])</f>
        <v>0</v>
      </c>
      <c r="T6" s="200">
        <f>SUBTOTAL(109,MED_CAI_LF_LEGACY[H])</f>
        <v>0</v>
      </c>
      <c r="U6" s="200">
        <f>SUBTOTAL(109,MED_CAI_LF_LEGACY[Q])</f>
        <v>0</v>
      </c>
      <c r="V6" s="200">
        <f>SUBTOTAL(109,MED_CAI_LF_LEGACY[K])</f>
        <v>0</v>
      </c>
      <c r="W6" s="203">
        <f>SUBTOTAL(109,MED_CAI_LF_LEGACY[V])</f>
        <v>0</v>
      </c>
      <c r="X6" s="203">
        <f>SUBTOTAL(109,MED_CAI_LF_LEGACY[L])</f>
        <v>0</v>
      </c>
      <c r="Y6" s="200">
        <f>SUBTOTAL(109,MED_CAI_LF_LEGACY[G])</f>
        <v>0</v>
      </c>
      <c r="Z6" s="203">
        <f>SUBTOTAL(109,MED_CAI_LF_LEGACY[S])</f>
        <v>0</v>
      </c>
      <c r="AA6" s="200">
        <f>SUBTOTAL(109,MED_CAI_LF_LEGACY[W])</f>
        <v>0</v>
      </c>
      <c r="AB6" s="200">
        <f>SUBTOTAL(109,MED_CAI_LF_LEGACY[T])</f>
        <v>0</v>
      </c>
      <c r="AC6" s="203">
        <f>SUBTOTAL(109,MED_CAI_LF_LEGACY[X])</f>
        <v>0</v>
      </c>
      <c r="AD6" s="203">
        <f>SUBTOTAL(109,MED_CAI_LF_LEGACY[U])</f>
        <v>0</v>
      </c>
      <c r="AE6" s="203">
        <f>SUBTOTAL(109,MED_CAI_LF_LEGACY[O])</f>
        <v>0</v>
      </c>
      <c r="AF6" s="203">
        <f>SUBTOTAL(109,MED_CAI_LF_LEGACY[I])</f>
        <v>0</v>
      </c>
      <c r="AG6" s="200">
        <f>SUBTOTAL(109,MED_CAI_LF_LEGACY[E])</f>
        <v>0</v>
      </c>
      <c r="AH6" s="200">
        <f>SUBTOTAL(109,MED_CAI_LF_LEGACY[A])</f>
        <v>0</v>
      </c>
      <c r="AI6" s="203">
        <f>SUBTOTAL(109,MED_CAI_LF_LEGACY[P])</f>
        <v>0</v>
      </c>
      <c r="AJ6" s="200">
        <f>SUBTOTAL(103,MED_CAI_LF_LEGACY[N])</f>
        <v>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6"/>
  <sheetViews>
    <sheetView workbookViewId="0"/>
  </sheetViews>
  <sheetFormatPr defaultRowHeight="14.4" x14ac:dyDescent="0.3"/>
  <cols>
    <col min="1" max="1" width="11.8867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5" t="s">
        <v>194</v>
      </c>
      <c r="B1" s="76" t="s">
        <v>8</v>
      </c>
      <c r="C1" s="76" t="s">
        <v>9</v>
      </c>
      <c r="D1" s="76" t="s">
        <v>195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78" t="s">
        <v>196</v>
      </c>
      <c r="B2" s="79" t="s">
        <v>26</v>
      </c>
      <c r="C2" s="80" t="s">
        <v>27</v>
      </c>
      <c r="D2" s="79" t="s">
        <v>1</v>
      </c>
      <c r="E2" s="79" t="s">
        <v>197</v>
      </c>
      <c r="F2" s="79" t="s">
        <v>28</v>
      </c>
      <c r="G2" s="81">
        <v>10</v>
      </c>
      <c r="H2" s="82">
        <v>559</v>
      </c>
    </row>
    <row r="3" spans="1:8" ht="19.8" customHeight="1" x14ac:dyDescent="0.3">
      <c r="A3" s="78" t="s">
        <v>196</v>
      </c>
      <c r="B3" s="79" t="s">
        <v>36</v>
      </c>
      <c r="C3" s="80" t="s">
        <v>37</v>
      </c>
      <c r="D3" s="79" t="s">
        <v>1</v>
      </c>
      <c r="E3" s="79" t="s">
        <v>198</v>
      </c>
      <c r="F3" s="79" t="s">
        <v>38</v>
      </c>
      <c r="G3" s="81">
        <v>2</v>
      </c>
      <c r="H3" s="82">
        <v>639</v>
      </c>
    </row>
    <row r="4" spans="1:8" ht="19.8" customHeight="1" x14ac:dyDescent="0.3">
      <c r="A4" s="78" t="s">
        <v>196</v>
      </c>
      <c r="B4" s="79" t="s">
        <v>26</v>
      </c>
      <c r="C4" s="80" t="s">
        <v>27</v>
      </c>
      <c r="D4" s="79" t="s">
        <v>1</v>
      </c>
      <c r="E4" s="79" t="s">
        <v>197</v>
      </c>
      <c r="F4" s="79" t="s">
        <v>31</v>
      </c>
      <c r="G4" s="81">
        <v>10</v>
      </c>
      <c r="H4" s="82">
        <v>709</v>
      </c>
    </row>
    <row r="5" spans="1:8" ht="19.8" customHeight="1" x14ac:dyDescent="0.3">
      <c r="A5" s="78" t="s">
        <v>196</v>
      </c>
      <c r="B5" s="79" t="s">
        <v>36</v>
      </c>
      <c r="C5" s="80" t="s">
        <v>37</v>
      </c>
      <c r="D5" s="79" t="s">
        <v>1</v>
      </c>
      <c r="E5" s="79" t="s">
        <v>198</v>
      </c>
      <c r="F5" s="79" t="s">
        <v>41</v>
      </c>
      <c r="G5" s="81">
        <v>2</v>
      </c>
      <c r="H5" s="82">
        <v>739</v>
      </c>
    </row>
    <row r="6" spans="1:8" ht="19.8" customHeight="1" x14ac:dyDescent="0.3">
      <c r="A6" s="83" t="s">
        <v>196</v>
      </c>
      <c r="B6" s="84" t="s">
        <v>46</v>
      </c>
      <c r="C6" s="85" t="s">
        <v>47</v>
      </c>
      <c r="D6" s="84" t="s">
        <v>1</v>
      </c>
      <c r="E6" s="84" t="s">
        <v>166</v>
      </c>
      <c r="F6" s="84" t="s">
        <v>48</v>
      </c>
      <c r="G6" s="86">
        <v>9</v>
      </c>
      <c r="H6" s="87">
        <v>758</v>
      </c>
    </row>
    <row r="7" spans="1:8" ht="19.8" customHeight="1" x14ac:dyDescent="0.3">
      <c r="A7" s="88">
        <v>45986</v>
      </c>
      <c r="B7" s="79" t="s">
        <v>36</v>
      </c>
      <c r="C7" s="80" t="s">
        <v>37</v>
      </c>
      <c r="D7" s="79" t="s">
        <v>1</v>
      </c>
      <c r="E7" s="89">
        <v>1.756944444444444</v>
      </c>
      <c r="F7" s="79" t="s">
        <v>44</v>
      </c>
      <c r="G7" s="81">
        <v>2</v>
      </c>
      <c r="H7" s="82">
        <v>829</v>
      </c>
    </row>
    <row r="8" spans="1:8" ht="19.8" customHeight="1" x14ac:dyDescent="0.3">
      <c r="A8" s="88">
        <v>45986</v>
      </c>
      <c r="B8" s="79" t="s">
        <v>65</v>
      </c>
      <c r="C8" s="80" t="s">
        <v>66</v>
      </c>
      <c r="D8" s="79" t="s">
        <v>1</v>
      </c>
      <c r="E8" s="89">
        <v>1.0972222222222221</v>
      </c>
      <c r="F8" s="79" t="s">
        <v>67</v>
      </c>
      <c r="G8" s="81">
        <v>9</v>
      </c>
      <c r="H8" s="82">
        <v>866</v>
      </c>
    </row>
    <row r="9" spans="1:8" ht="19.8" customHeight="1" x14ac:dyDescent="0.3">
      <c r="A9" s="90">
        <v>45986</v>
      </c>
      <c r="B9" s="84" t="s">
        <v>46</v>
      </c>
      <c r="C9" s="85" t="s">
        <v>54</v>
      </c>
      <c r="D9" s="84" t="s">
        <v>1</v>
      </c>
      <c r="E9" s="91">
        <v>1.0486111111111109</v>
      </c>
      <c r="F9" s="84" t="s">
        <v>48</v>
      </c>
      <c r="G9" s="86">
        <v>8</v>
      </c>
      <c r="H9" s="87">
        <v>914</v>
      </c>
    </row>
    <row r="10" spans="1:8" ht="19.8" customHeight="1" x14ac:dyDescent="0.3">
      <c r="A10" s="88">
        <v>45986</v>
      </c>
      <c r="B10" s="79" t="s">
        <v>65</v>
      </c>
      <c r="C10" s="80" t="s">
        <v>69</v>
      </c>
      <c r="D10" s="79" t="s">
        <v>1</v>
      </c>
      <c r="E10" s="89">
        <v>1.493055555555556</v>
      </c>
      <c r="F10" s="79" t="s">
        <v>67</v>
      </c>
      <c r="G10" s="81">
        <v>9</v>
      </c>
      <c r="H10" s="82">
        <v>962</v>
      </c>
    </row>
    <row r="11" spans="1:8" ht="19.8" customHeight="1" x14ac:dyDescent="0.3">
      <c r="A11" s="88">
        <v>45986</v>
      </c>
      <c r="B11" s="79" t="s">
        <v>65</v>
      </c>
      <c r="C11" s="80" t="s">
        <v>72</v>
      </c>
      <c r="D11" s="79" t="s">
        <v>1</v>
      </c>
      <c r="E11" s="89">
        <v>1.2222222222222221</v>
      </c>
      <c r="F11" s="79" t="s">
        <v>67</v>
      </c>
      <c r="G11" s="81">
        <v>9</v>
      </c>
      <c r="H11" s="82">
        <v>962</v>
      </c>
    </row>
    <row r="12" spans="1:8" ht="19.8" customHeight="1" x14ac:dyDescent="0.3">
      <c r="A12" s="88">
        <v>45986</v>
      </c>
      <c r="B12" s="79" t="s">
        <v>65</v>
      </c>
      <c r="C12" s="80" t="s">
        <v>73</v>
      </c>
      <c r="D12" s="79" t="s">
        <v>1</v>
      </c>
      <c r="E12" s="89">
        <v>1.444444444444444</v>
      </c>
      <c r="F12" s="79" t="s">
        <v>67</v>
      </c>
      <c r="G12" s="81">
        <v>5</v>
      </c>
      <c r="H12" s="82">
        <v>962</v>
      </c>
    </row>
    <row r="13" spans="1:8" ht="19.8" customHeight="1" x14ac:dyDescent="0.3">
      <c r="A13" s="88">
        <v>45986</v>
      </c>
      <c r="B13" s="79" t="s">
        <v>26</v>
      </c>
      <c r="C13" s="80" t="s">
        <v>27</v>
      </c>
      <c r="D13" s="79" t="s">
        <v>1</v>
      </c>
      <c r="E13" s="89">
        <v>1.4201388888888891</v>
      </c>
      <c r="F13" s="79" t="s">
        <v>34</v>
      </c>
      <c r="G13" s="81">
        <v>10</v>
      </c>
      <c r="H13" s="92" t="s">
        <v>35</v>
      </c>
    </row>
    <row r="14" spans="1:8" ht="19.8" customHeight="1" x14ac:dyDescent="0.3">
      <c r="A14" s="88">
        <v>45986</v>
      </c>
      <c r="B14" s="79" t="s">
        <v>77</v>
      </c>
      <c r="C14" s="80" t="s">
        <v>78</v>
      </c>
      <c r="D14" s="79" t="s">
        <v>1</v>
      </c>
      <c r="E14" s="89">
        <v>1.4201388888888891</v>
      </c>
      <c r="F14" s="79" t="s">
        <v>79</v>
      </c>
      <c r="G14" s="81">
        <v>4</v>
      </c>
      <c r="H14" s="92" t="s">
        <v>81</v>
      </c>
    </row>
    <row r="15" spans="1:8" ht="19.8" customHeight="1" x14ac:dyDescent="0.3">
      <c r="A15" s="88">
        <v>45986</v>
      </c>
      <c r="B15" s="79" t="s">
        <v>65</v>
      </c>
      <c r="C15" s="80" t="s">
        <v>75</v>
      </c>
      <c r="D15" s="79" t="s">
        <v>1</v>
      </c>
      <c r="E15" s="89">
        <v>1.854166666666667</v>
      </c>
      <c r="F15" s="79" t="s">
        <v>67</v>
      </c>
      <c r="G15" s="81">
        <v>9</v>
      </c>
      <c r="H15" s="92" t="s">
        <v>76</v>
      </c>
    </row>
    <row r="16" spans="1:8" ht="19.8" customHeight="1" x14ac:dyDescent="0.3">
      <c r="A16" s="88">
        <v>45986</v>
      </c>
      <c r="B16" s="79" t="s">
        <v>77</v>
      </c>
      <c r="C16" s="80" t="s">
        <v>82</v>
      </c>
      <c r="D16" s="79" t="s">
        <v>1</v>
      </c>
      <c r="E16" s="89">
        <v>1.604166666666667</v>
      </c>
      <c r="F16" s="79" t="s">
        <v>83</v>
      </c>
      <c r="G16" s="81">
        <v>9</v>
      </c>
      <c r="H16" s="92" t="s">
        <v>84</v>
      </c>
    </row>
    <row r="17" spans="1:8" ht="19.8" customHeight="1" x14ac:dyDescent="0.3">
      <c r="A17" s="88">
        <v>45986</v>
      </c>
      <c r="B17" s="79" t="s">
        <v>77</v>
      </c>
      <c r="C17" s="80" t="s">
        <v>87</v>
      </c>
      <c r="D17" s="79" t="s">
        <v>1</v>
      </c>
      <c r="E17" s="89">
        <v>1.7951388888888891</v>
      </c>
      <c r="F17" s="79" t="s">
        <v>83</v>
      </c>
      <c r="G17" s="81">
        <v>3</v>
      </c>
      <c r="H17" s="92" t="s">
        <v>84</v>
      </c>
    </row>
    <row r="18" spans="1:8" ht="19.8" customHeight="1" x14ac:dyDescent="0.3">
      <c r="A18" s="88">
        <v>45986</v>
      </c>
      <c r="B18" s="79" t="s">
        <v>77</v>
      </c>
      <c r="C18" s="80" t="s">
        <v>90</v>
      </c>
      <c r="D18" s="79" t="s">
        <v>1</v>
      </c>
      <c r="E18" s="89">
        <v>1.086805555555556</v>
      </c>
      <c r="F18" s="79" t="s">
        <v>83</v>
      </c>
      <c r="G18" s="81">
        <v>9</v>
      </c>
      <c r="H18" s="92" t="s">
        <v>84</v>
      </c>
    </row>
    <row r="19" spans="1:8" ht="19.8" customHeight="1" x14ac:dyDescent="0.3">
      <c r="A19" s="88">
        <v>45986</v>
      </c>
      <c r="B19" s="79" t="s">
        <v>77</v>
      </c>
      <c r="C19" s="80" t="s">
        <v>82</v>
      </c>
      <c r="D19" s="79" t="s">
        <v>1</v>
      </c>
      <c r="E19" s="89">
        <v>1.604166666666667</v>
      </c>
      <c r="F19" s="79" t="s">
        <v>79</v>
      </c>
      <c r="G19" s="81">
        <v>9</v>
      </c>
      <c r="H19" s="92" t="s">
        <v>86</v>
      </c>
    </row>
    <row r="20" spans="1:8" ht="19.8" customHeight="1" x14ac:dyDescent="0.3">
      <c r="A20" s="88">
        <v>45986</v>
      </c>
      <c r="B20" s="79" t="s">
        <v>77</v>
      </c>
      <c r="C20" s="80" t="s">
        <v>87</v>
      </c>
      <c r="D20" s="79" t="s">
        <v>1</v>
      </c>
      <c r="E20" s="89">
        <v>1.7951388888888891</v>
      </c>
      <c r="F20" s="79" t="s">
        <v>79</v>
      </c>
      <c r="G20" s="81">
        <v>3</v>
      </c>
      <c r="H20" s="92" t="s">
        <v>86</v>
      </c>
    </row>
    <row r="21" spans="1:8" ht="19.8" customHeight="1" x14ac:dyDescent="0.3">
      <c r="A21" s="88">
        <v>45986</v>
      </c>
      <c r="B21" s="79" t="s">
        <v>77</v>
      </c>
      <c r="C21" s="80" t="s">
        <v>90</v>
      </c>
      <c r="D21" s="79" t="s">
        <v>1</v>
      </c>
      <c r="E21" s="89">
        <v>1.086805555555556</v>
      </c>
      <c r="F21" s="79" t="s">
        <v>79</v>
      </c>
      <c r="G21" s="81">
        <v>9</v>
      </c>
      <c r="H21" s="92" t="s">
        <v>86</v>
      </c>
    </row>
    <row r="22" spans="1:8" ht="19.8" customHeight="1" x14ac:dyDescent="0.3">
      <c r="A22" s="93">
        <v>45986</v>
      </c>
      <c r="B22" s="94" t="s">
        <v>46</v>
      </c>
      <c r="C22" s="95" t="s">
        <v>60</v>
      </c>
      <c r="D22" s="94" t="s">
        <v>1</v>
      </c>
      <c r="E22" s="96">
        <v>1.979166666666667</v>
      </c>
      <c r="F22" s="94" t="s">
        <v>61</v>
      </c>
      <c r="G22" s="94"/>
      <c r="H22" s="97" t="s">
        <v>62</v>
      </c>
    </row>
    <row r="23" spans="1:8" ht="19.8" customHeight="1" x14ac:dyDescent="0.3">
      <c r="A23" s="88">
        <v>45987</v>
      </c>
      <c r="B23" s="79" t="s">
        <v>26</v>
      </c>
      <c r="C23" s="80" t="s">
        <v>27</v>
      </c>
      <c r="D23" s="79" t="s">
        <v>1</v>
      </c>
      <c r="E23" s="89">
        <v>1.4201388888888891</v>
      </c>
      <c r="F23" s="79" t="s">
        <v>28</v>
      </c>
      <c r="G23" s="81">
        <v>11</v>
      </c>
      <c r="H23" s="82">
        <v>619</v>
      </c>
    </row>
    <row r="24" spans="1:8" ht="19.8" customHeight="1" x14ac:dyDescent="0.3">
      <c r="A24" s="88">
        <v>45987</v>
      </c>
      <c r="B24" s="79" t="s">
        <v>65</v>
      </c>
      <c r="C24" s="80" t="s">
        <v>72</v>
      </c>
      <c r="D24" s="79" t="s">
        <v>1</v>
      </c>
      <c r="E24" s="89">
        <v>1.2222222222222221</v>
      </c>
      <c r="F24" s="79" t="s">
        <v>67</v>
      </c>
      <c r="G24" s="81">
        <v>9</v>
      </c>
      <c r="H24" s="82">
        <v>682</v>
      </c>
    </row>
    <row r="25" spans="1:8" ht="19.8" customHeight="1" x14ac:dyDescent="0.3">
      <c r="A25" s="88">
        <v>45987</v>
      </c>
      <c r="B25" s="79" t="s">
        <v>36</v>
      </c>
      <c r="C25" s="80" t="s">
        <v>37</v>
      </c>
      <c r="D25" s="79" t="s">
        <v>1</v>
      </c>
      <c r="E25" s="89">
        <v>1.756944444444444</v>
      </c>
      <c r="F25" s="79" t="s">
        <v>38</v>
      </c>
      <c r="G25" s="81">
        <v>9</v>
      </c>
      <c r="H25" s="82">
        <v>749</v>
      </c>
    </row>
    <row r="26" spans="1:8" ht="19.8" customHeight="1" x14ac:dyDescent="0.3">
      <c r="A26" s="88">
        <v>45987</v>
      </c>
      <c r="B26" s="79" t="s">
        <v>65</v>
      </c>
      <c r="C26" s="80" t="s">
        <v>73</v>
      </c>
      <c r="D26" s="79" t="s">
        <v>1</v>
      </c>
      <c r="E26" s="89">
        <v>1.444444444444444</v>
      </c>
      <c r="F26" s="79" t="s">
        <v>67</v>
      </c>
      <c r="G26" s="81">
        <v>9</v>
      </c>
      <c r="H26" s="82">
        <v>757</v>
      </c>
    </row>
    <row r="27" spans="1:8" ht="19.8" customHeight="1" x14ac:dyDescent="0.3">
      <c r="A27" s="88">
        <v>45987</v>
      </c>
      <c r="B27" s="79" t="s">
        <v>26</v>
      </c>
      <c r="C27" s="80" t="s">
        <v>27</v>
      </c>
      <c r="D27" s="79" t="s">
        <v>1</v>
      </c>
      <c r="E27" s="89">
        <v>1.4201388888888891</v>
      </c>
      <c r="F27" s="79" t="s">
        <v>31</v>
      </c>
      <c r="G27" s="81">
        <v>11</v>
      </c>
      <c r="H27" s="82">
        <v>769</v>
      </c>
    </row>
    <row r="28" spans="1:8" ht="19.8" customHeight="1" x14ac:dyDescent="0.3">
      <c r="A28" s="88">
        <v>45987</v>
      </c>
      <c r="B28" s="79" t="s">
        <v>26</v>
      </c>
      <c r="C28" s="80" t="s">
        <v>27</v>
      </c>
      <c r="D28" s="79" t="s">
        <v>1</v>
      </c>
      <c r="E28" s="89">
        <v>1.4201388888888891</v>
      </c>
      <c r="F28" s="79" t="s">
        <v>34</v>
      </c>
      <c r="G28" s="81">
        <v>11</v>
      </c>
      <c r="H28" s="82">
        <v>799</v>
      </c>
    </row>
    <row r="29" spans="1:8" ht="19.8" customHeight="1" x14ac:dyDescent="0.3">
      <c r="A29" s="88">
        <v>45987</v>
      </c>
      <c r="B29" s="79" t="s">
        <v>36</v>
      </c>
      <c r="C29" s="80" t="s">
        <v>37</v>
      </c>
      <c r="D29" s="79" t="s">
        <v>1</v>
      </c>
      <c r="E29" s="89">
        <v>1.756944444444444</v>
      </c>
      <c r="F29" s="79" t="s">
        <v>41</v>
      </c>
      <c r="G29" s="81">
        <v>9</v>
      </c>
      <c r="H29" s="82">
        <v>849</v>
      </c>
    </row>
    <row r="30" spans="1:8" ht="19.8" customHeight="1" x14ac:dyDescent="0.3">
      <c r="A30" s="88">
        <v>45987</v>
      </c>
      <c r="B30" s="79" t="s">
        <v>36</v>
      </c>
      <c r="C30" s="80" t="s">
        <v>37</v>
      </c>
      <c r="D30" s="79" t="s">
        <v>1</v>
      </c>
      <c r="E30" s="89">
        <v>1.756944444444444</v>
      </c>
      <c r="F30" s="79" t="s">
        <v>44</v>
      </c>
      <c r="G30" s="81">
        <v>9</v>
      </c>
      <c r="H30" s="82">
        <v>939</v>
      </c>
    </row>
    <row r="31" spans="1:8" ht="19.8" customHeight="1" x14ac:dyDescent="0.3">
      <c r="A31" s="88">
        <v>45987</v>
      </c>
      <c r="B31" s="79" t="s">
        <v>65</v>
      </c>
      <c r="C31" s="80" t="s">
        <v>75</v>
      </c>
      <c r="D31" s="79" t="s">
        <v>1</v>
      </c>
      <c r="E31" s="89">
        <v>1.8472222222222221</v>
      </c>
      <c r="F31" s="79" t="s">
        <v>67</v>
      </c>
      <c r="G31" s="81">
        <v>2</v>
      </c>
      <c r="H31" s="92" t="s">
        <v>99</v>
      </c>
    </row>
    <row r="32" spans="1:8" ht="19.8" customHeight="1" x14ac:dyDescent="0.3">
      <c r="A32" s="88">
        <v>45987</v>
      </c>
      <c r="B32" s="79" t="s">
        <v>77</v>
      </c>
      <c r="C32" s="80" t="s">
        <v>82</v>
      </c>
      <c r="D32" s="79" t="s">
        <v>1</v>
      </c>
      <c r="E32" s="89">
        <v>1.604166666666667</v>
      </c>
      <c r="F32" s="79" t="s">
        <v>83</v>
      </c>
      <c r="G32" s="81">
        <v>9</v>
      </c>
      <c r="H32" s="92" t="s">
        <v>105</v>
      </c>
    </row>
    <row r="33" spans="1:8" ht="19.8" customHeight="1" x14ac:dyDescent="0.3">
      <c r="A33" s="88">
        <v>45987</v>
      </c>
      <c r="B33" s="79" t="s">
        <v>77</v>
      </c>
      <c r="C33" s="80" t="s">
        <v>87</v>
      </c>
      <c r="D33" s="79" t="s">
        <v>1</v>
      </c>
      <c r="E33" s="89">
        <v>1.7951388888888891</v>
      </c>
      <c r="F33" s="79" t="s">
        <v>83</v>
      </c>
      <c r="G33" s="81">
        <v>9</v>
      </c>
      <c r="H33" s="92" t="s">
        <v>105</v>
      </c>
    </row>
    <row r="34" spans="1:8" ht="19.8" customHeight="1" x14ac:dyDescent="0.3">
      <c r="A34" s="88">
        <v>45987</v>
      </c>
      <c r="B34" s="79" t="s">
        <v>77</v>
      </c>
      <c r="C34" s="80" t="s">
        <v>90</v>
      </c>
      <c r="D34" s="79" t="s">
        <v>1</v>
      </c>
      <c r="E34" s="89">
        <v>1.086805555555556</v>
      </c>
      <c r="F34" s="79" t="s">
        <v>83</v>
      </c>
      <c r="G34" s="81">
        <v>9</v>
      </c>
      <c r="H34" s="92" t="s">
        <v>105</v>
      </c>
    </row>
    <row r="35" spans="1:8" ht="19.8" customHeight="1" x14ac:dyDescent="0.3">
      <c r="A35" s="88">
        <v>45987</v>
      </c>
      <c r="B35" s="79" t="s">
        <v>77</v>
      </c>
      <c r="C35" s="80" t="s">
        <v>82</v>
      </c>
      <c r="D35" s="79" t="s">
        <v>1</v>
      </c>
      <c r="E35" s="89">
        <v>1.604166666666667</v>
      </c>
      <c r="F35" s="79" t="s">
        <v>79</v>
      </c>
      <c r="G35" s="81">
        <v>9</v>
      </c>
      <c r="H35" s="92" t="s">
        <v>106</v>
      </c>
    </row>
    <row r="36" spans="1:8" ht="19.8" customHeight="1" x14ac:dyDescent="0.3">
      <c r="A36" s="88">
        <v>45987</v>
      </c>
      <c r="B36" s="79" t="s">
        <v>77</v>
      </c>
      <c r="C36" s="80" t="s">
        <v>87</v>
      </c>
      <c r="D36" s="79" t="s">
        <v>1</v>
      </c>
      <c r="E36" s="89">
        <v>1.7951388888888891</v>
      </c>
      <c r="F36" s="79" t="s">
        <v>79</v>
      </c>
      <c r="G36" s="81">
        <v>9</v>
      </c>
      <c r="H36" s="92" t="s">
        <v>106</v>
      </c>
    </row>
    <row r="37" spans="1:8" ht="19.8" customHeight="1" x14ac:dyDescent="0.3">
      <c r="A37" s="88">
        <v>45987</v>
      </c>
      <c r="B37" s="79" t="s">
        <v>77</v>
      </c>
      <c r="C37" s="80" t="s">
        <v>90</v>
      </c>
      <c r="D37" s="79" t="s">
        <v>1</v>
      </c>
      <c r="E37" s="89">
        <v>1.086805555555556</v>
      </c>
      <c r="F37" s="79" t="s">
        <v>79</v>
      </c>
      <c r="G37" s="81">
        <v>9</v>
      </c>
      <c r="H37" s="92" t="s">
        <v>106</v>
      </c>
    </row>
    <row r="38" spans="1:8" ht="19.8" customHeight="1" x14ac:dyDescent="0.3">
      <c r="A38" s="98">
        <v>45987</v>
      </c>
      <c r="B38" s="99" t="s">
        <v>77</v>
      </c>
      <c r="C38" s="100" t="s">
        <v>78</v>
      </c>
      <c r="D38" s="99" t="s">
        <v>1</v>
      </c>
      <c r="E38" s="101">
        <v>1.4201388888888891</v>
      </c>
      <c r="F38" s="99" t="s">
        <v>79</v>
      </c>
      <c r="G38" s="102">
        <v>4</v>
      </c>
      <c r="H38" s="103" t="s">
        <v>81</v>
      </c>
    </row>
    <row r="39" spans="1:8" ht="19.8" customHeight="1" x14ac:dyDescent="0.3">
      <c r="A39" s="88">
        <v>45988</v>
      </c>
      <c r="B39" s="79" t="s">
        <v>65</v>
      </c>
      <c r="C39" s="80" t="s">
        <v>66</v>
      </c>
      <c r="D39" s="79" t="s">
        <v>1</v>
      </c>
      <c r="E39" s="89">
        <v>1.1076388888888891</v>
      </c>
      <c r="F39" s="79" t="s">
        <v>67</v>
      </c>
      <c r="G39" s="81">
        <v>3</v>
      </c>
      <c r="H39" s="82">
        <v>682</v>
      </c>
    </row>
    <row r="40" spans="1:8" ht="19.8" customHeight="1" x14ac:dyDescent="0.3">
      <c r="A40" s="88">
        <v>45988</v>
      </c>
      <c r="B40" s="79" t="s">
        <v>26</v>
      </c>
      <c r="C40" s="80" t="s">
        <v>27</v>
      </c>
      <c r="D40" s="79" t="s">
        <v>1</v>
      </c>
      <c r="E40" s="89">
        <v>1.4201388888888891</v>
      </c>
      <c r="F40" s="79" t="s">
        <v>28</v>
      </c>
      <c r="G40" s="81">
        <v>10</v>
      </c>
      <c r="H40" s="82">
        <v>699</v>
      </c>
    </row>
    <row r="41" spans="1:8" ht="19.8" customHeight="1" x14ac:dyDescent="0.3">
      <c r="A41" s="88">
        <v>45988</v>
      </c>
      <c r="B41" s="79" t="s">
        <v>36</v>
      </c>
      <c r="C41" s="80" t="s">
        <v>111</v>
      </c>
      <c r="D41" s="79" t="s">
        <v>1</v>
      </c>
      <c r="E41" s="89">
        <v>1.354166666666667</v>
      </c>
      <c r="F41" s="79" t="s">
        <v>38</v>
      </c>
      <c r="G41" s="81">
        <v>2</v>
      </c>
      <c r="H41" s="82">
        <v>749</v>
      </c>
    </row>
    <row r="42" spans="1:8" ht="19.8" customHeight="1" x14ac:dyDescent="0.3">
      <c r="A42" s="88">
        <v>45988</v>
      </c>
      <c r="B42" s="79" t="s">
        <v>26</v>
      </c>
      <c r="C42" s="80" t="s">
        <v>27</v>
      </c>
      <c r="D42" s="79" t="s">
        <v>1</v>
      </c>
      <c r="E42" s="89">
        <v>1.4201388888888891</v>
      </c>
      <c r="F42" s="79" t="s">
        <v>31</v>
      </c>
      <c r="G42" s="81">
        <v>10</v>
      </c>
      <c r="H42" s="82">
        <v>849</v>
      </c>
    </row>
    <row r="43" spans="1:8" ht="19.8" customHeight="1" x14ac:dyDescent="0.3">
      <c r="A43" s="88">
        <v>45988</v>
      </c>
      <c r="B43" s="79" t="s">
        <v>36</v>
      </c>
      <c r="C43" s="80" t="s">
        <v>111</v>
      </c>
      <c r="D43" s="79" t="s">
        <v>1</v>
      </c>
      <c r="E43" s="89">
        <v>1.354166666666667</v>
      </c>
      <c r="F43" s="79" t="s">
        <v>41</v>
      </c>
      <c r="G43" s="81">
        <v>2</v>
      </c>
      <c r="H43" s="82">
        <v>849</v>
      </c>
    </row>
    <row r="44" spans="1:8" ht="19.8" customHeight="1" x14ac:dyDescent="0.3">
      <c r="A44" s="88">
        <v>45988</v>
      </c>
      <c r="B44" s="79" t="s">
        <v>65</v>
      </c>
      <c r="C44" s="80" t="s">
        <v>73</v>
      </c>
      <c r="D44" s="79" t="s">
        <v>1</v>
      </c>
      <c r="E44" s="89">
        <v>1.430555555555556</v>
      </c>
      <c r="F44" s="79" t="s">
        <v>67</v>
      </c>
      <c r="G44" s="81">
        <v>9</v>
      </c>
      <c r="H44" s="82">
        <v>866</v>
      </c>
    </row>
    <row r="45" spans="1:8" ht="19.8" customHeight="1" x14ac:dyDescent="0.3">
      <c r="A45" s="88">
        <v>45988</v>
      </c>
      <c r="B45" s="79" t="s">
        <v>36</v>
      </c>
      <c r="C45" s="80" t="s">
        <v>111</v>
      </c>
      <c r="D45" s="79" t="s">
        <v>1</v>
      </c>
      <c r="E45" s="89">
        <v>1.354166666666667</v>
      </c>
      <c r="F45" s="79" t="s">
        <v>44</v>
      </c>
      <c r="G45" s="81">
        <v>2</v>
      </c>
      <c r="H45" s="82">
        <v>939</v>
      </c>
    </row>
    <row r="46" spans="1:8" ht="19.8" customHeight="1" x14ac:dyDescent="0.3">
      <c r="A46" s="88">
        <v>45988</v>
      </c>
      <c r="B46" s="79" t="s">
        <v>65</v>
      </c>
      <c r="C46" s="80" t="s">
        <v>69</v>
      </c>
      <c r="D46" s="79" t="s">
        <v>1</v>
      </c>
      <c r="E46" s="89">
        <v>1.493055555555556</v>
      </c>
      <c r="F46" s="79" t="s">
        <v>67</v>
      </c>
      <c r="G46" s="81">
        <v>9</v>
      </c>
      <c r="H46" s="82">
        <v>962</v>
      </c>
    </row>
    <row r="47" spans="1:8" ht="19.8" customHeight="1" x14ac:dyDescent="0.3">
      <c r="A47" s="88">
        <v>45988</v>
      </c>
      <c r="B47" s="79" t="s">
        <v>65</v>
      </c>
      <c r="C47" s="80" t="s">
        <v>72</v>
      </c>
      <c r="D47" s="79" t="s">
        <v>1</v>
      </c>
      <c r="E47" s="89">
        <v>1.2222222222222221</v>
      </c>
      <c r="F47" s="79" t="s">
        <v>67</v>
      </c>
      <c r="G47" s="81">
        <v>9</v>
      </c>
      <c r="H47" s="82">
        <v>962</v>
      </c>
    </row>
    <row r="48" spans="1:8" ht="19.8" customHeight="1" x14ac:dyDescent="0.3">
      <c r="A48" s="88">
        <v>45988</v>
      </c>
      <c r="B48" s="79" t="s">
        <v>26</v>
      </c>
      <c r="C48" s="80" t="s">
        <v>27</v>
      </c>
      <c r="D48" s="79" t="s">
        <v>1</v>
      </c>
      <c r="E48" s="89">
        <v>1.4201388888888891</v>
      </c>
      <c r="F48" s="79" t="s">
        <v>34</v>
      </c>
      <c r="G48" s="81">
        <v>10</v>
      </c>
      <c r="H48" s="92" t="s">
        <v>35</v>
      </c>
    </row>
    <row r="49" spans="1:8" ht="19.8" customHeight="1" x14ac:dyDescent="0.3">
      <c r="A49" s="88">
        <v>45988</v>
      </c>
      <c r="B49" s="79" t="s">
        <v>36</v>
      </c>
      <c r="C49" s="80" t="s">
        <v>37</v>
      </c>
      <c r="D49" s="79" t="s">
        <v>1</v>
      </c>
      <c r="E49" s="89">
        <v>1.756944444444444</v>
      </c>
      <c r="F49" s="79" t="s">
        <v>38</v>
      </c>
      <c r="G49" s="81">
        <v>4</v>
      </c>
      <c r="H49" s="92" t="s">
        <v>112</v>
      </c>
    </row>
    <row r="50" spans="1:8" ht="19.8" customHeight="1" x14ac:dyDescent="0.3">
      <c r="A50" s="88">
        <v>45988</v>
      </c>
      <c r="B50" s="79" t="s">
        <v>77</v>
      </c>
      <c r="C50" s="80" t="s">
        <v>82</v>
      </c>
      <c r="D50" s="79" t="s">
        <v>1</v>
      </c>
      <c r="E50" s="89">
        <v>1.604166666666667</v>
      </c>
      <c r="F50" s="79" t="s">
        <v>83</v>
      </c>
      <c r="G50" s="81">
        <v>9</v>
      </c>
      <c r="H50" s="92" t="s">
        <v>105</v>
      </c>
    </row>
    <row r="51" spans="1:8" ht="19.8" customHeight="1" x14ac:dyDescent="0.3">
      <c r="A51" s="88">
        <v>45988</v>
      </c>
      <c r="B51" s="79" t="s">
        <v>77</v>
      </c>
      <c r="C51" s="80" t="s">
        <v>87</v>
      </c>
      <c r="D51" s="79" t="s">
        <v>1</v>
      </c>
      <c r="E51" s="89">
        <v>1.7951388888888891</v>
      </c>
      <c r="F51" s="79" t="s">
        <v>83</v>
      </c>
      <c r="G51" s="81">
        <v>1</v>
      </c>
      <c r="H51" s="92" t="s">
        <v>105</v>
      </c>
    </row>
    <row r="52" spans="1:8" ht="19.8" customHeight="1" x14ac:dyDescent="0.3">
      <c r="A52" s="88">
        <v>45988</v>
      </c>
      <c r="B52" s="79" t="s">
        <v>77</v>
      </c>
      <c r="C52" s="80" t="s">
        <v>90</v>
      </c>
      <c r="D52" s="79" t="s">
        <v>1</v>
      </c>
      <c r="E52" s="89">
        <v>1.086805555555556</v>
      </c>
      <c r="F52" s="79" t="s">
        <v>83</v>
      </c>
      <c r="G52" s="81">
        <v>9</v>
      </c>
      <c r="H52" s="92" t="s">
        <v>105</v>
      </c>
    </row>
    <row r="53" spans="1:8" ht="19.8" customHeight="1" x14ac:dyDescent="0.3">
      <c r="A53" s="88">
        <v>45988</v>
      </c>
      <c r="B53" s="79" t="s">
        <v>36</v>
      </c>
      <c r="C53" s="80" t="s">
        <v>37</v>
      </c>
      <c r="D53" s="79" t="s">
        <v>1</v>
      </c>
      <c r="E53" s="89">
        <v>1.756944444444444</v>
      </c>
      <c r="F53" s="79" t="s">
        <v>41</v>
      </c>
      <c r="G53" s="81">
        <v>4</v>
      </c>
      <c r="H53" s="92" t="s">
        <v>114</v>
      </c>
    </row>
    <row r="54" spans="1:8" ht="19.8" customHeight="1" x14ac:dyDescent="0.3">
      <c r="A54" s="90">
        <v>45988</v>
      </c>
      <c r="B54" s="84" t="s">
        <v>46</v>
      </c>
      <c r="C54" s="85" t="s">
        <v>119</v>
      </c>
      <c r="D54" s="84" t="s">
        <v>1</v>
      </c>
      <c r="E54" s="91">
        <v>1.538194444444444</v>
      </c>
      <c r="F54" s="84" t="s">
        <v>48</v>
      </c>
      <c r="G54" s="86">
        <v>4</v>
      </c>
      <c r="H54" s="104" t="s">
        <v>120</v>
      </c>
    </row>
    <row r="55" spans="1:8" ht="19.8" customHeight="1" x14ac:dyDescent="0.3">
      <c r="A55" s="88">
        <v>45988</v>
      </c>
      <c r="B55" s="79" t="s">
        <v>36</v>
      </c>
      <c r="C55" s="80" t="s">
        <v>37</v>
      </c>
      <c r="D55" s="79" t="s">
        <v>1</v>
      </c>
      <c r="E55" s="89">
        <v>1.756944444444444</v>
      </c>
      <c r="F55" s="79" t="s">
        <v>44</v>
      </c>
      <c r="G55" s="81">
        <v>4</v>
      </c>
      <c r="H55" s="92" t="s">
        <v>115</v>
      </c>
    </row>
    <row r="56" spans="1:8" ht="19.8" customHeight="1" x14ac:dyDescent="0.3">
      <c r="A56" s="88">
        <v>45988</v>
      </c>
      <c r="B56" s="79" t="s">
        <v>77</v>
      </c>
      <c r="C56" s="80" t="s">
        <v>82</v>
      </c>
      <c r="D56" s="79" t="s">
        <v>1</v>
      </c>
      <c r="E56" s="89">
        <v>1.604166666666667</v>
      </c>
      <c r="F56" s="79" t="s">
        <v>79</v>
      </c>
      <c r="G56" s="81">
        <v>9</v>
      </c>
      <c r="H56" s="92" t="s">
        <v>106</v>
      </c>
    </row>
    <row r="57" spans="1:8" ht="19.8" customHeight="1" x14ac:dyDescent="0.3">
      <c r="A57" s="88">
        <v>45988</v>
      </c>
      <c r="B57" s="79" t="s">
        <v>77</v>
      </c>
      <c r="C57" s="80" t="s">
        <v>87</v>
      </c>
      <c r="D57" s="79" t="s">
        <v>1</v>
      </c>
      <c r="E57" s="89">
        <v>1.7951388888888891</v>
      </c>
      <c r="F57" s="79" t="s">
        <v>79</v>
      </c>
      <c r="G57" s="81">
        <v>1</v>
      </c>
      <c r="H57" s="92" t="s">
        <v>106</v>
      </c>
    </row>
    <row r="58" spans="1:8" ht="19.8" customHeight="1" x14ac:dyDescent="0.3">
      <c r="A58" s="88">
        <v>45988</v>
      </c>
      <c r="B58" s="79" t="s">
        <v>77</v>
      </c>
      <c r="C58" s="80" t="s">
        <v>90</v>
      </c>
      <c r="D58" s="79" t="s">
        <v>1</v>
      </c>
      <c r="E58" s="89">
        <v>1.086805555555556</v>
      </c>
      <c r="F58" s="79" t="s">
        <v>79</v>
      </c>
      <c r="G58" s="81">
        <v>9</v>
      </c>
      <c r="H58" s="92" t="s">
        <v>106</v>
      </c>
    </row>
    <row r="59" spans="1:8" ht="19.8" customHeight="1" x14ac:dyDescent="0.3">
      <c r="A59" s="88">
        <v>45988</v>
      </c>
      <c r="B59" s="79" t="s">
        <v>65</v>
      </c>
      <c r="C59" s="80" t="s">
        <v>75</v>
      </c>
      <c r="D59" s="79" t="s">
        <v>1</v>
      </c>
      <c r="E59" s="89">
        <v>1.854166666666667</v>
      </c>
      <c r="F59" s="79" t="s">
        <v>67</v>
      </c>
      <c r="G59" s="81">
        <v>7</v>
      </c>
      <c r="H59" s="92" t="s">
        <v>76</v>
      </c>
    </row>
    <row r="60" spans="1:8" ht="19.8" customHeight="1" x14ac:dyDescent="0.3">
      <c r="A60" s="98">
        <v>45988</v>
      </c>
      <c r="B60" s="99" t="s">
        <v>77</v>
      </c>
      <c r="C60" s="100" t="s">
        <v>78</v>
      </c>
      <c r="D60" s="99" t="s">
        <v>1</v>
      </c>
      <c r="E60" s="101">
        <v>1.4201388888888891</v>
      </c>
      <c r="F60" s="99" t="s">
        <v>79</v>
      </c>
      <c r="G60" s="102">
        <v>4</v>
      </c>
      <c r="H60" s="103" t="s">
        <v>118</v>
      </c>
    </row>
    <row r="61" spans="1:8" ht="19.8" customHeight="1" x14ac:dyDescent="0.3">
      <c r="A61" s="88">
        <v>45989</v>
      </c>
      <c r="B61" s="79" t="s">
        <v>26</v>
      </c>
      <c r="C61" s="80" t="s">
        <v>27</v>
      </c>
      <c r="D61" s="79" t="s">
        <v>1</v>
      </c>
      <c r="E61" s="89">
        <v>1.4201388888888891</v>
      </c>
      <c r="F61" s="79" t="s">
        <v>28</v>
      </c>
      <c r="G61" s="81">
        <v>7</v>
      </c>
      <c r="H61" s="82">
        <v>559</v>
      </c>
    </row>
    <row r="62" spans="1:8" ht="19.8" customHeight="1" x14ac:dyDescent="0.3">
      <c r="A62" s="88">
        <v>45989</v>
      </c>
      <c r="B62" s="79" t="s">
        <v>36</v>
      </c>
      <c r="C62" s="80" t="s">
        <v>37</v>
      </c>
      <c r="D62" s="79" t="s">
        <v>1</v>
      </c>
      <c r="E62" s="89">
        <v>1.756944444444444</v>
      </c>
      <c r="F62" s="79" t="s">
        <v>38</v>
      </c>
      <c r="G62" s="81">
        <v>3</v>
      </c>
      <c r="H62" s="82">
        <v>639</v>
      </c>
    </row>
    <row r="63" spans="1:8" ht="19.8" customHeight="1" x14ac:dyDescent="0.3">
      <c r="A63" s="88">
        <v>45989</v>
      </c>
      <c r="B63" s="79" t="s">
        <v>26</v>
      </c>
      <c r="C63" s="80" t="s">
        <v>27</v>
      </c>
      <c r="D63" s="79" t="s">
        <v>1</v>
      </c>
      <c r="E63" s="89">
        <v>1.4201388888888891</v>
      </c>
      <c r="F63" s="79" t="s">
        <v>31</v>
      </c>
      <c r="G63" s="81">
        <v>7</v>
      </c>
      <c r="H63" s="82">
        <v>709</v>
      </c>
    </row>
    <row r="64" spans="1:8" ht="19.8" customHeight="1" x14ac:dyDescent="0.3">
      <c r="A64" s="88">
        <v>45989</v>
      </c>
      <c r="B64" s="79" t="s">
        <v>36</v>
      </c>
      <c r="C64" s="80" t="s">
        <v>37</v>
      </c>
      <c r="D64" s="79" t="s">
        <v>1</v>
      </c>
      <c r="E64" s="89">
        <v>1.756944444444444</v>
      </c>
      <c r="F64" s="79" t="s">
        <v>41</v>
      </c>
      <c r="G64" s="81">
        <v>3</v>
      </c>
      <c r="H64" s="82">
        <v>739</v>
      </c>
    </row>
    <row r="65" spans="1:8" ht="19.8" customHeight="1" x14ac:dyDescent="0.3">
      <c r="A65" s="88">
        <v>45989</v>
      </c>
      <c r="B65" s="79" t="s">
        <v>36</v>
      </c>
      <c r="C65" s="80" t="s">
        <v>37</v>
      </c>
      <c r="D65" s="79" t="s">
        <v>1</v>
      </c>
      <c r="E65" s="89">
        <v>1.756944444444444</v>
      </c>
      <c r="F65" s="79" t="s">
        <v>44</v>
      </c>
      <c r="G65" s="81">
        <v>3</v>
      </c>
      <c r="H65" s="82">
        <v>829</v>
      </c>
    </row>
    <row r="66" spans="1:8" ht="19.8" customHeight="1" x14ac:dyDescent="0.3">
      <c r="A66" s="88">
        <v>45989</v>
      </c>
      <c r="B66" s="79" t="s">
        <v>65</v>
      </c>
      <c r="C66" s="80" t="s">
        <v>66</v>
      </c>
      <c r="D66" s="79" t="s">
        <v>1</v>
      </c>
      <c r="E66" s="89">
        <v>1.1076388888888891</v>
      </c>
      <c r="F66" s="79" t="s">
        <v>67</v>
      </c>
      <c r="G66" s="81">
        <v>9</v>
      </c>
      <c r="H66" s="82">
        <v>866</v>
      </c>
    </row>
    <row r="67" spans="1:8" ht="19.8" customHeight="1" x14ac:dyDescent="0.3">
      <c r="A67" s="88">
        <v>45989</v>
      </c>
      <c r="B67" s="79" t="s">
        <v>65</v>
      </c>
      <c r="C67" s="80" t="s">
        <v>72</v>
      </c>
      <c r="D67" s="79" t="s">
        <v>1</v>
      </c>
      <c r="E67" s="89">
        <v>1.2222222222222221</v>
      </c>
      <c r="F67" s="79" t="s">
        <v>67</v>
      </c>
      <c r="G67" s="81">
        <v>9</v>
      </c>
      <c r="H67" s="82">
        <v>866</v>
      </c>
    </row>
    <row r="68" spans="1:8" ht="19.8" customHeight="1" x14ac:dyDescent="0.3">
      <c r="A68" s="88">
        <v>45989</v>
      </c>
      <c r="B68" s="79" t="s">
        <v>77</v>
      </c>
      <c r="C68" s="80" t="s">
        <v>82</v>
      </c>
      <c r="D68" s="79" t="s">
        <v>1</v>
      </c>
      <c r="E68" s="89">
        <v>1.604166666666667</v>
      </c>
      <c r="F68" s="79" t="s">
        <v>83</v>
      </c>
      <c r="G68" s="81">
        <v>9</v>
      </c>
      <c r="H68" s="92" t="s">
        <v>125</v>
      </c>
    </row>
    <row r="69" spans="1:8" ht="19.8" customHeight="1" x14ac:dyDescent="0.3">
      <c r="A69" s="88">
        <v>45989</v>
      </c>
      <c r="B69" s="79" t="s">
        <v>26</v>
      </c>
      <c r="C69" s="80" t="s">
        <v>27</v>
      </c>
      <c r="D69" s="79" t="s">
        <v>1</v>
      </c>
      <c r="E69" s="89">
        <v>1.4201388888888891</v>
      </c>
      <c r="F69" s="79" t="s">
        <v>34</v>
      </c>
      <c r="G69" s="81">
        <v>7</v>
      </c>
      <c r="H69" s="92" t="s">
        <v>35</v>
      </c>
    </row>
    <row r="70" spans="1:8" ht="19.8" customHeight="1" x14ac:dyDescent="0.3">
      <c r="A70" s="88">
        <v>45989</v>
      </c>
      <c r="B70" s="79" t="s">
        <v>77</v>
      </c>
      <c r="C70" s="80" t="s">
        <v>82</v>
      </c>
      <c r="D70" s="79" t="s">
        <v>1</v>
      </c>
      <c r="E70" s="89">
        <v>1.604166666666667</v>
      </c>
      <c r="F70" s="79" t="s">
        <v>79</v>
      </c>
      <c r="G70" s="81">
        <v>9</v>
      </c>
      <c r="H70" s="92" t="s">
        <v>126</v>
      </c>
    </row>
    <row r="71" spans="1:8" ht="19.8" customHeight="1" x14ac:dyDescent="0.3">
      <c r="A71" s="88">
        <v>45989</v>
      </c>
      <c r="B71" s="79" t="s">
        <v>77</v>
      </c>
      <c r="C71" s="80" t="s">
        <v>90</v>
      </c>
      <c r="D71" s="79" t="s">
        <v>1</v>
      </c>
      <c r="E71" s="89">
        <v>1.086805555555556</v>
      </c>
      <c r="F71" s="79" t="s">
        <v>83</v>
      </c>
      <c r="G71" s="81">
        <v>9</v>
      </c>
      <c r="H71" s="92" t="s">
        <v>105</v>
      </c>
    </row>
    <row r="72" spans="1:8" ht="19.8" customHeight="1" x14ac:dyDescent="0.3">
      <c r="A72" s="88">
        <v>45989</v>
      </c>
      <c r="B72" s="79" t="s">
        <v>77</v>
      </c>
      <c r="C72" s="80" t="s">
        <v>90</v>
      </c>
      <c r="D72" s="79" t="s">
        <v>1</v>
      </c>
      <c r="E72" s="89">
        <v>1.086805555555556</v>
      </c>
      <c r="F72" s="79" t="s">
        <v>79</v>
      </c>
      <c r="G72" s="81">
        <v>9</v>
      </c>
      <c r="H72" s="92" t="s">
        <v>106</v>
      </c>
    </row>
    <row r="73" spans="1:8" ht="19.8" customHeight="1" x14ac:dyDescent="0.3">
      <c r="A73" s="88">
        <v>45989</v>
      </c>
      <c r="B73" s="79" t="s">
        <v>77</v>
      </c>
      <c r="C73" s="80" t="s">
        <v>78</v>
      </c>
      <c r="D73" s="79" t="s">
        <v>1</v>
      </c>
      <c r="E73" s="89">
        <v>1.4201388888888891</v>
      </c>
      <c r="F73" s="79" t="s">
        <v>79</v>
      </c>
      <c r="G73" s="81">
        <v>4</v>
      </c>
      <c r="H73" s="92" t="s">
        <v>81</v>
      </c>
    </row>
    <row r="74" spans="1:8" ht="19.8" customHeight="1" x14ac:dyDescent="0.3">
      <c r="A74" s="88">
        <v>45989</v>
      </c>
      <c r="B74" s="79" t="s">
        <v>65</v>
      </c>
      <c r="C74" s="80" t="s">
        <v>69</v>
      </c>
      <c r="D74" s="79" t="s">
        <v>1</v>
      </c>
      <c r="E74" s="89">
        <v>1.493055555555556</v>
      </c>
      <c r="F74" s="79" t="s">
        <v>67</v>
      </c>
      <c r="G74" s="81">
        <v>1</v>
      </c>
      <c r="H74" s="92" t="s">
        <v>76</v>
      </c>
    </row>
    <row r="75" spans="1:8" ht="19.8" customHeight="1" x14ac:dyDescent="0.3">
      <c r="A75" s="88">
        <v>45989</v>
      </c>
      <c r="B75" s="79" t="s">
        <v>77</v>
      </c>
      <c r="C75" s="80" t="s">
        <v>87</v>
      </c>
      <c r="D75" s="79" t="s">
        <v>1</v>
      </c>
      <c r="E75" s="89">
        <v>1.7951388888888891</v>
      </c>
      <c r="F75" s="79" t="s">
        <v>83</v>
      </c>
      <c r="G75" s="81">
        <v>1</v>
      </c>
      <c r="H75" s="92" t="s">
        <v>127</v>
      </c>
    </row>
    <row r="76" spans="1:8" ht="19.8" customHeight="1" x14ac:dyDescent="0.3">
      <c r="A76" s="98">
        <v>45989</v>
      </c>
      <c r="B76" s="99" t="s">
        <v>77</v>
      </c>
      <c r="C76" s="100" t="s">
        <v>87</v>
      </c>
      <c r="D76" s="99" t="s">
        <v>1</v>
      </c>
      <c r="E76" s="101">
        <v>1.7951388888888891</v>
      </c>
      <c r="F76" s="99" t="s">
        <v>79</v>
      </c>
      <c r="G76" s="102">
        <v>1</v>
      </c>
      <c r="H76" s="103" t="s">
        <v>128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3"/>
  <sheetViews>
    <sheetView workbookViewId="0"/>
  </sheetViews>
  <sheetFormatPr defaultRowHeight="14.4" x14ac:dyDescent="0.3"/>
  <cols>
    <col min="1" max="1" width="11.886718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5" t="s">
        <v>194</v>
      </c>
      <c r="B1" s="76" t="s">
        <v>8</v>
      </c>
      <c r="C1" s="76" t="s">
        <v>9</v>
      </c>
      <c r="D1" s="76" t="s">
        <v>195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78" t="s">
        <v>196</v>
      </c>
      <c r="B2" s="79" t="s">
        <v>36</v>
      </c>
      <c r="C2" s="80" t="s">
        <v>37</v>
      </c>
      <c r="D2" s="79" t="s">
        <v>1</v>
      </c>
      <c r="E2" s="79" t="s">
        <v>198</v>
      </c>
      <c r="F2" s="79" t="s">
        <v>41</v>
      </c>
      <c r="G2" s="81">
        <v>2</v>
      </c>
      <c r="H2" s="82">
        <v>739</v>
      </c>
    </row>
    <row r="3" spans="1:8" ht="19.8" customHeight="1" x14ac:dyDescent="0.3">
      <c r="A3" s="83" t="s">
        <v>196</v>
      </c>
      <c r="B3" s="84" t="s">
        <v>46</v>
      </c>
      <c r="C3" s="85" t="s">
        <v>47</v>
      </c>
      <c r="D3" s="84" t="s">
        <v>1</v>
      </c>
      <c r="E3" s="84" t="s">
        <v>166</v>
      </c>
      <c r="F3" s="84" t="s">
        <v>48</v>
      </c>
      <c r="G3" s="86">
        <v>9</v>
      </c>
      <c r="H3" s="87">
        <v>758</v>
      </c>
    </row>
    <row r="4" spans="1:8" ht="19.8" customHeight="1" x14ac:dyDescent="0.3">
      <c r="A4" s="88">
        <v>45986</v>
      </c>
      <c r="B4" s="79" t="s">
        <v>65</v>
      </c>
      <c r="C4" s="80" t="s">
        <v>66</v>
      </c>
      <c r="D4" s="79" t="s">
        <v>1</v>
      </c>
      <c r="E4" s="89">
        <v>1.0972222222222221</v>
      </c>
      <c r="F4" s="79" t="s">
        <v>67</v>
      </c>
      <c r="G4" s="81">
        <v>9</v>
      </c>
      <c r="H4" s="82">
        <v>866</v>
      </c>
    </row>
    <row r="5" spans="1:8" ht="19.8" customHeight="1" x14ac:dyDescent="0.3">
      <c r="A5" s="90">
        <v>45986</v>
      </c>
      <c r="B5" s="84" t="s">
        <v>46</v>
      </c>
      <c r="C5" s="85" t="s">
        <v>54</v>
      </c>
      <c r="D5" s="84" t="s">
        <v>1</v>
      </c>
      <c r="E5" s="91">
        <v>1.0486111111111109</v>
      </c>
      <c r="F5" s="84" t="s">
        <v>48</v>
      </c>
      <c r="G5" s="86">
        <v>8</v>
      </c>
      <c r="H5" s="87">
        <v>914</v>
      </c>
    </row>
    <row r="6" spans="1:8" ht="19.8" customHeight="1" x14ac:dyDescent="0.3">
      <c r="A6" s="88">
        <v>45986</v>
      </c>
      <c r="B6" s="79" t="s">
        <v>65</v>
      </c>
      <c r="C6" s="80" t="s">
        <v>69</v>
      </c>
      <c r="D6" s="79" t="s">
        <v>1</v>
      </c>
      <c r="E6" s="89">
        <v>1.493055555555556</v>
      </c>
      <c r="F6" s="79" t="s">
        <v>67</v>
      </c>
      <c r="G6" s="81">
        <v>9</v>
      </c>
      <c r="H6" s="82">
        <v>962</v>
      </c>
    </row>
    <row r="7" spans="1:8" ht="19.8" customHeight="1" x14ac:dyDescent="0.3">
      <c r="A7" s="88">
        <v>45986</v>
      </c>
      <c r="B7" s="79" t="s">
        <v>65</v>
      </c>
      <c r="C7" s="80" t="s">
        <v>72</v>
      </c>
      <c r="D7" s="79" t="s">
        <v>1</v>
      </c>
      <c r="E7" s="89">
        <v>1.2222222222222221</v>
      </c>
      <c r="F7" s="79" t="s">
        <v>67</v>
      </c>
      <c r="G7" s="81">
        <v>9</v>
      </c>
      <c r="H7" s="82">
        <v>962</v>
      </c>
    </row>
    <row r="8" spans="1:8" ht="19.8" customHeight="1" x14ac:dyDescent="0.3">
      <c r="A8" s="88">
        <v>45986</v>
      </c>
      <c r="B8" s="79" t="s">
        <v>65</v>
      </c>
      <c r="C8" s="80" t="s">
        <v>73</v>
      </c>
      <c r="D8" s="79" t="s">
        <v>1</v>
      </c>
      <c r="E8" s="89">
        <v>1.444444444444444</v>
      </c>
      <c r="F8" s="79" t="s">
        <v>67</v>
      </c>
      <c r="G8" s="81">
        <v>5</v>
      </c>
      <c r="H8" s="82">
        <v>962</v>
      </c>
    </row>
    <row r="9" spans="1:8" ht="19.8" customHeight="1" x14ac:dyDescent="0.3">
      <c r="A9" s="93">
        <v>45986</v>
      </c>
      <c r="B9" s="94" t="s">
        <v>46</v>
      </c>
      <c r="C9" s="95" t="s">
        <v>60</v>
      </c>
      <c r="D9" s="94" t="s">
        <v>1</v>
      </c>
      <c r="E9" s="96">
        <v>1.979166666666667</v>
      </c>
      <c r="F9" s="94" t="s">
        <v>61</v>
      </c>
      <c r="G9" s="94"/>
      <c r="H9" s="97" t="s">
        <v>62</v>
      </c>
    </row>
    <row r="10" spans="1:8" ht="19.8" customHeight="1" x14ac:dyDescent="0.3">
      <c r="A10" s="88">
        <v>45987</v>
      </c>
      <c r="B10" s="79" t="s">
        <v>26</v>
      </c>
      <c r="C10" s="80" t="s">
        <v>27</v>
      </c>
      <c r="D10" s="79" t="s">
        <v>1</v>
      </c>
      <c r="E10" s="89">
        <v>1.4201388888888891</v>
      </c>
      <c r="F10" s="79" t="s">
        <v>28</v>
      </c>
      <c r="G10" s="81">
        <v>11</v>
      </c>
      <c r="H10" s="82">
        <v>619</v>
      </c>
    </row>
    <row r="11" spans="1:8" ht="19.8" customHeight="1" x14ac:dyDescent="0.3">
      <c r="A11" s="88">
        <v>45987</v>
      </c>
      <c r="B11" s="79" t="s">
        <v>65</v>
      </c>
      <c r="C11" s="80" t="s">
        <v>72</v>
      </c>
      <c r="D11" s="79" t="s">
        <v>1</v>
      </c>
      <c r="E11" s="89">
        <v>1.2222222222222221</v>
      </c>
      <c r="F11" s="79" t="s">
        <v>67</v>
      </c>
      <c r="G11" s="81">
        <v>9</v>
      </c>
      <c r="H11" s="82">
        <v>682</v>
      </c>
    </row>
    <row r="12" spans="1:8" ht="19.8" customHeight="1" x14ac:dyDescent="0.3">
      <c r="A12" s="88">
        <v>45987</v>
      </c>
      <c r="B12" s="79" t="s">
        <v>36</v>
      </c>
      <c r="C12" s="80" t="s">
        <v>37</v>
      </c>
      <c r="D12" s="79" t="s">
        <v>1</v>
      </c>
      <c r="E12" s="89">
        <v>1.756944444444444</v>
      </c>
      <c r="F12" s="79" t="s">
        <v>38</v>
      </c>
      <c r="G12" s="81">
        <v>9</v>
      </c>
      <c r="H12" s="82">
        <v>749</v>
      </c>
    </row>
    <row r="13" spans="1:8" ht="19.8" customHeight="1" x14ac:dyDescent="0.3">
      <c r="A13" s="88">
        <v>45987</v>
      </c>
      <c r="B13" s="79" t="s">
        <v>65</v>
      </c>
      <c r="C13" s="80" t="s">
        <v>73</v>
      </c>
      <c r="D13" s="79" t="s">
        <v>1</v>
      </c>
      <c r="E13" s="89">
        <v>1.444444444444444</v>
      </c>
      <c r="F13" s="79" t="s">
        <v>67</v>
      </c>
      <c r="G13" s="81">
        <v>9</v>
      </c>
      <c r="H13" s="82">
        <v>757</v>
      </c>
    </row>
    <row r="14" spans="1:8" ht="19.8" customHeight="1" x14ac:dyDescent="0.3">
      <c r="A14" s="88">
        <v>45987</v>
      </c>
      <c r="B14" s="79" t="s">
        <v>26</v>
      </c>
      <c r="C14" s="80" t="s">
        <v>27</v>
      </c>
      <c r="D14" s="79" t="s">
        <v>1</v>
      </c>
      <c r="E14" s="89">
        <v>1.4201388888888891</v>
      </c>
      <c r="F14" s="79" t="s">
        <v>31</v>
      </c>
      <c r="G14" s="81">
        <v>11</v>
      </c>
      <c r="H14" s="82">
        <v>769</v>
      </c>
    </row>
    <row r="15" spans="1:8" ht="19.8" customHeight="1" x14ac:dyDescent="0.3">
      <c r="A15" s="88">
        <v>45987</v>
      </c>
      <c r="B15" s="79" t="s">
        <v>26</v>
      </c>
      <c r="C15" s="80" t="s">
        <v>27</v>
      </c>
      <c r="D15" s="79" t="s">
        <v>1</v>
      </c>
      <c r="E15" s="89">
        <v>1.4201388888888891</v>
      </c>
      <c r="F15" s="79" t="s">
        <v>34</v>
      </c>
      <c r="G15" s="81">
        <v>11</v>
      </c>
      <c r="H15" s="82">
        <v>799</v>
      </c>
    </row>
    <row r="16" spans="1:8" ht="19.8" customHeight="1" x14ac:dyDescent="0.3">
      <c r="A16" s="88">
        <v>45987</v>
      </c>
      <c r="B16" s="79" t="s">
        <v>36</v>
      </c>
      <c r="C16" s="80" t="s">
        <v>37</v>
      </c>
      <c r="D16" s="79" t="s">
        <v>1</v>
      </c>
      <c r="E16" s="89">
        <v>1.756944444444444</v>
      </c>
      <c r="F16" s="79" t="s">
        <v>41</v>
      </c>
      <c r="G16" s="81">
        <v>9</v>
      </c>
      <c r="H16" s="82">
        <v>849</v>
      </c>
    </row>
    <row r="17" spans="1:8" ht="19.8" customHeight="1" x14ac:dyDescent="0.3">
      <c r="A17" s="88">
        <v>45987</v>
      </c>
      <c r="B17" s="79" t="s">
        <v>36</v>
      </c>
      <c r="C17" s="80" t="s">
        <v>37</v>
      </c>
      <c r="D17" s="79" t="s">
        <v>1</v>
      </c>
      <c r="E17" s="89">
        <v>1.756944444444444</v>
      </c>
      <c r="F17" s="79" t="s">
        <v>44</v>
      </c>
      <c r="G17" s="81">
        <v>9</v>
      </c>
      <c r="H17" s="82">
        <v>939</v>
      </c>
    </row>
    <row r="18" spans="1:8" ht="19.8" customHeight="1" x14ac:dyDescent="0.3">
      <c r="A18" s="88">
        <v>45987</v>
      </c>
      <c r="B18" s="79" t="s">
        <v>65</v>
      </c>
      <c r="C18" s="80" t="s">
        <v>75</v>
      </c>
      <c r="D18" s="79" t="s">
        <v>1</v>
      </c>
      <c r="E18" s="89">
        <v>1.8472222222222221</v>
      </c>
      <c r="F18" s="79" t="s">
        <v>67</v>
      </c>
      <c r="G18" s="81">
        <v>2</v>
      </c>
      <c r="H18" s="92" t="s">
        <v>99</v>
      </c>
    </row>
    <row r="19" spans="1:8" ht="19.8" customHeight="1" x14ac:dyDescent="0.3">
      <c r="A19" s="88">
        <v>45987</v>
      </c>
      <c r="B19" s="79" t="s">
        <v>77</v>
      </c>
      <c r="C19" s="80" t="s">
        <v>82</v>
      </c>
      <c r="D19" s="79" t="s">
        <v>1</v>
      </c>
      <c r="E19" s="89">
        <v>1.604166666666667</v>
      </c>
      <c r="F19" s="79" t="s">
        <v>83</v>
      </c>
      <c r="G19" s="81">
        <v>9</v>
      </c>
      <c r="H19" s="92" t="s">
        <v>105</v>
      </c>
    </row>
    <row r="20" spans="1:8" ht="19.8" customHeight="1" x14ac:dyDescent="0.3">
      <c r="A20" s="88">
        <v>45987</v>
      </c>
      <c r="B20" s="79" t="s">
        <v>77</v>
      </c>
      <c r="C20" s="80" t="s">
        <v>87</v>
      </c>
      <c r="D20" s="79" t="s">
        <v>1</v>
      </c>
      <c r="E20" s="89">
        <v>1.7951388888888891</v>
      </c>
      <c r="F20" s="79" t="s">
        <v>83</v>
      </c>
      <c r="G20" s="81">
        <v>9</v>
      </c>
      <c r="H20" s="92" t="s">
        <v>105</v>
      </c>
    </row>
    <row r="21" spans="1:8" ht="19.8" customHeight="1" x14ac:dyDescent="0.3">
      <c r="A21" s="88">
        <v>45987</v>
      </c>
      <c r="B21" s="79" t="s">
        <v>77</v>
      </c>
      <c r="C21" s="80" t="s">
        <v>90</v>
      </c>
      <c r="D21" s="79" t="s">
        <v>1</v>
      </c>
      <c r="E21" s="89">
        <v>1.086805555555556</v>
      </c>
      <c r="F21" s="79" t="s">
        <v>83</v>
      </c>
      <c r="G21" s="81">
        <v>9</v>
      </c>
      <c r="H21" s="92" t="s">
        <v>105</v>
      </c>
    </row>
    <row r="22" spans="1:8" ht="19.8" customHeight="1" x14ac:dyDescent="0.3">
      <c r="A22" s="88">
        <v>45987</v>
      </c>
      <c r="B22" s="79" t="s">
        <v>77</v>
      </c>
      <c r="C22" s="80" t="s">
        <v>82</v>
      </c>
      <c r="D22" s="79" t="s">
        <v>1</v>
      </c>
      <c r="E22" s="89">
        <v>1.604166666666667</v>
      </c>
      <c r="F22" s="79" t="s">
        <v>79</v>
      </c>
      <c r="G22" s="81">
        <v>9</v>
      </c>
      <c r="H22" s="92" t="s">
        <v>106</v>
      </c>
    </row>
    <row r="23" spans="1:8" ht="19.8" customHeight="1" x14ac:dyDescent="0.3">
      <c r="A23" s="88">
        <v>45987</v>
      </c>
      <c r="B23" s="79" t="s">
        <v>77</v>
      </c>
      <c r="C23" s="80" t="s">
        <v>87</v>
      </c>
      <c r="D23" s="79" t="s">
        <v>1</v>
      </c>
      <c r="E23" s="89">
        <v>1.7951388888888891</v>
      </c>
      <c r="F23" s="79" t="s">
        <v>79</v>
      </c>
      <c r="G23" s="81">
        <v>9</v>
      </c>
      <c r="H23" s="92" t="s">
        <v>106</v>
      </c>
    </row>
    <row r="24" spans="1:8" ht="19.8" customHeight="1" x14ac:dyDescent="0.3">
      <c r="A24" s="88">
        <v>45987</v>
      </c>
      <c r="B24" s="79" t="s">
        <v>77</v>
      </c>
      <c r="C24" s="80" t="s">
        <v>90</v>
      </c>
      <c r="D24" s="79" t="s">
        <v>1</v>
      </c>
      <c r="E24" s="89">
        <v>1.086805555555556</v>
      </c>
      <c r="F24" s="79" t="s">
        <v>79</v>
      </c>
      <c r="G24" s="81">
        <v>9</v>
      </c>
      <c r="H24" s="92" t="s">
        <v>106</v>
      </c>
    </row>
    <row r="25" spans="1:8" ht="19.8" customHeight="1" x14ac:dyDescent="0.3">
      <c r="A25" s="98">
        <v>45987</v>
      </c>
      <c r="B25" s="99" t="s">
        <v>77</v>
      </c>
      <c r="C25" s="100" t="s">
        <v>78</v>
      </c>
      <c r="D25" s="99" t="s">
        <v>1</v>
      </c>
      <c r="E25" s="101">
        <v>1.4201388888888891</v>
      </c>
      <c r="F25" s="99" t="s">
        <v>79</v>
      </c>
      <c r="G25" s="102">
        <v>4</v>
      </c>
      <c r="H25" s="103" t="s">
        <v>81</v>
      </c>
    </row>
    <row r="26" spans="1:8" ht="19.8" customHeight="1" x14ac:dyDescent="0.3">
      <c r="A26" s="88">
        <v>45988</v>
      </c>
      <c r="B26" s="79" t="s">
        <v>36</v>
      </c>
      <c r="C26" s="80" t="s">
        <v>37</v>
      </c>
      <c r="D26" s="79" t="s">
        <v>1</v>
      </c>
      <c r="E26" s="89">
        <v>1.756944444444444</v>
      </c>
      <c r="F26" s="79" t="s">
        <v>41</v>
      </c>
      <c r="G26" s="81">
        <v>4</v>
      </c>
      <c r="H26" s="92" t="s">
        <v>114</v>
      </c>
    </row>
    <row r="27" spans="1:8" ht="19.8" customHeight="1" x14ac:dyDescent="0.3">
      <c r="A27" s="93">
        <v>45988</v>
      </c>
      <c r="B27" s="94" t="s">
        <v>46</v>
      </c>
      <c r="C27" s="95" t="s">
        <v>119</v>
      </c>
      <c r="D27" s="94" t="s">
        <v>1</v>
      </c>
      <c r="E27" s="96">
        <v>1.538194444444444</v>
      </c>
      <c r="F27" s="94" t="s">
        <v>48</v>
      </c>
      <c r="G27" s="105">
        <v>4</v>
      </c>
      <c r="H27" s="97" t="s">
        <v>120</v>
      </c>
    </row>
    <row r="28" spans="1:8" ht="19.8" customHeight="1" x14ac:dyDescent="0.3">
      <c r="A28" s="88">
        <v>45989</v>
      </c>
      <c r="B28" s="79" t="s">
        <v>26</v>
      </c>
      <c r="C28" s="80" t="s">
        <v>27</v>
      </c>
      <c r="D28" s="79" t="s">
        <v>1</v>
      </c>
      <c r="E28" s="89">
        <v>1.4201388888888891</v>
      </c>
      <c r="F28" s="79" t="s">
        <v>28</v>
      </c>
      <c r="G28" s="81">
        <v>7</v>
      </c>
      <c r="H28" s="82">
        <v>559</v>
      </c>
    </row>
    <row r="29" spans="1:8" ht="19.8" customHeight="1" x14ac:dyDescent="0.3">
      <c r="A29" s="88">
        <v>45989</v>
      </c>
      <c r="B29" s="79" t="s">
        <v>36</v>
      </c>
      <c r="C29" s="80" t="s">
        <v>37</v>
      </c>
      <c r="D29" s="79" t="s">
        <v>1</v>
      </c>
      <c r="E29" s="89">
        <v>1.756944444444444</v>
      </c>
      <c r="F29" s="79" t="s">
        <v>38</v>
      </c>
      <c r="G29" s="81">
        <v>3</v>
      </c>
      <c r="H29" s="82">
        <v>639</v>
      </c>
    </row>
    <row r="30" spans="1:8" ht="19.8" customHeight="1" x14ac:dyDescent="0.3">
      <c r="A30" s="88">
        <v>45989</v>
      </c>
      <c r="B30" s="79" t="s">
        <v>26</v>
      </c>
      <c r="C30" s="80" t="s">
        <v>27</v>
      </c>
      <c r="D30" s="79" t="s">
        <v>1</v>
      </c>
      <c r="E30" s="89">
        <v>1.4201388888888891</v>
      </c>
      <c r="F30" s="79" t="s">
        <v>31</v>
      </c>
      <c r="G30" s="81">
        <v>7</v>
      </c>
      <c r="H30" s="82">
        <v>709</v>
      </c>
    </row>
    <row r="31" spans="1:8" ht="19.8" customHeight="1" x14ac:dyDescent="0.3">
      <c r="A31" s="88">
        <v>45989</v>
      </c>
      <c r="B31" s="79" t="s">
        <v>36</v>
      </c>
      <c r="C31" s="80" t="s">
        <v>37</v>
      </c>
      <c r="D31" s="79" t="s">
        <v>1</v>
      </c>
      <c r="E31" s="89">
        <v>1.756944444444444</v>
      </c>
      <c r="F31" s="79" t="s">
        <v>41</v>
      </c>
      <c r="G31" s="81">
        <v>3</v>
      </c>
      <c r="H31" s="82">
        <v>739</v>
      </c>
    </row>
    <row r="32" spans="1:8" ht="19.8" customHeight="1" x14ac:dyDescent="0.3">
      <c r="A32" s="88">
        <v>45989</v>
      </c>
      <c r="B32" s="79" t="s">
        <v>36</v>
      </c>
      <c r="C32" s="80" t="s">
        <v>37</v>
      </c>
      <c r="D32" s="79" t="s">
        <v>1</v>
      </c>
      <c r="E32" s="89">
        <v>1.756944444444444</v>
      </c>
      <c r="F32" s="79" t="s">
        <v>44</v>
      </c>
      <c r="G32" s="81">
        <v>3</v>
      </c>
      <c r="H32" s="82">
        <v>829</v>
      </c>
    </row>
    <row r="33" spans="1:8" ht="19.8" customHeight="1" x14ac:dyDescent="0.3">
      <c r="A33" s="88">
        <v>45989</v>
      </c>
      <c r="B33" s="79" t="s">
        <v>65</v>
      </c>
      <c r="C33" s="80" t="s">
        <v>66</v>
      </c>
      <c r="D33" s="79" t="s">
        <v>1</v>
      </c>
      <c r="E33" s="89">
        <v>1.1076388888888891</v>
      </c>
      <c r="F33" s="79" t="s">
        <v>67</v>
      </c>
      <c r="G33" s="81">
        <v>9</v>
      </c>
      <c r="H33" s="82">
        <v>866</v>
      </c>
    </row>
    <row r="34" spans="1:8" ht="19.8" customHeight="1" x14ac:dyDescent="0.3">
      <c r="A34" s="88">
        <v>45989</v>
      </c>
      <c r="B34" s="79" t="s">
        <v>65</v>
      </c>
      <c r="C34" s="80" t="s">
        <v>72</v>
      </c>
      <c r="D34" s="79" t="s">
        <v>1</v>
      </c>
      <c r="E34" s="89">
        <v>1.2222222222222221</v>
      </c>
      <c r="F34" s="79" t="s">
        <v>67</v>
      </c>
      <c r="G34" s="81">
        <v>9</v>
      </c>
      <c r="H34" s="82">
        <v>866</v>
      </c>
    </row>
    <row r="35" spans="1:8" ht="19.8" customHeight="1" x14ac:dyDescent="0.3">
      <c r="A35" s="88">
        <v>45989</v>
      </c>
      <c r="B35" s="79" t="s">
        <v>77</v>
      </c>
      <c r="C35" s="80" t="s">
        <v>82</v>
      </c>
      <c r="D35" s="79" t="s">
        <v>1</v>
      </c>
      <c r="E35" s="89">
        <v>1.604166666666667</v>
      </c>
      <c r="F35" s="79" t="s">
        <v>83</v>
      </c>
      <c r="G35" s="81">
        <v>9</v>
      </c>
      <c r="H35" s="92" t="s">
        <v>125</v>
      </c>
    </row>
    <row r="36" spans="1:8" ht="19.8" customHeight="1" x14ac:dyDescent="0.3">
      <c r="A36" s="88">
        <v>45989</v>
      </c>
      <c r="B36" s="79" t="s">
        <v>26</v>
      </c>
      <c r="C36" s="80" t="s">
        <v>27</v>
      </c>
      <c r="D36" s="79" t="s">
        <v>1</v>
      </c>
      <c r="E36" s="89">
        <v>1.4201388888888891</v>
      </c>
      <c r="F36" s="79" t="s">
        <v>34</v>
      </c>
      <c r="G36" s="81">
        <v>7</v>
      </c>
      <c r="H36" s="92" t="s">
        <v>35</v>
      </c>
    </row>
    <row r="37" spans="1:8" ht="19.8" customHeight="1" x14ac:dyDescent="0.3">
      <c r="A37" s="88">
        <v>45989</v>
      </c>
      <c r="B37" s="79" t="s">
        <v>77</v>
      </c>
      <c r="C37" s="80" t="s">
        <v>82</v>
      </c>
      <c r="D37" s="79" t="s">
        <v>1</v>
      </c>
      <c r="E37" s="89">
        <v>1.604166666666667</v>
      </c>
      <c r="F37" s="79" t="s">
        <v>79</v>
      </c>
      <c r="G37" s="81">
        <v>9</v>
      </c>
      <c r="H37" s="92" t="s">
        <v>126</v>
      </c>
    </row>
    <row r="38" spans="1:8" ht="19.8" customHeight="1" x14ac:dyDescent="0.3">
      <c r="A38" s="88">
        <v>45989</v>
      </c>
      <c r="B38" s="79" t="s">
        <v>77</v>
      </c>
      <c r="C38" s="80" t="s">
        <v>90</v>
      </c>
      <c r="D38" s="79" t="s">
        <v>1</v>
      </c>
      <c r="E38" s="89">
        <v>1.086805555555556</v>
      </c>
      <c r="F38" s="79" t="s">
        <v>83</v>
      </c>
      <c r="G38" s="81">
        <v>9</v>
      </c>
      <c r="H38" s="92" t="s">
        <v>105</v>
      </c>
    </row>
    <row r="39" spans="1:8" ht="19.8" customHeight="1" x14ac:dyDescent="0.3">
      <c r="A39" s="88">
        <v>45989</v>
      </c>
      <c r="B39" s="79" t="s">
        <v>77</v>
      </c>
      <c r="C39" s="80" t="s">
        <v>90</v>
      </c>
      <c r="D39" s="79" t="s">
        <v>1</v>
      </c>
      <c r="E39" s="89">
        <v>1.086805555555556</v>
      </c>
      <c r="F39" s="79" t="s">
        <v>79</v>
      </c>
      <c r="G39" s="81">
        <v>9</v>
      </c>
      <c r="H39" s="92" t="s">
        <v>106</v>
      </c>
    </row>
    <row r="40" spans="1:8" ht="19.8" customHeight="1" x14ac:dyDescent="0.3">
      <c r="A40" s="88">
        <v>45989</v>
      </c>
      <c r="B40" s="79" t="s">
        <v>77</v>
      </c>
      <c r="C40" s="80" t="s">
        <v>78</v>
      </c>
      <c r="D40" s="79" t="s">
        <v>1</v>
      </c>
      <c r="E40" s="89">
        <v>1.4201388888888891</v>
      </c>
      <c r="F40" s="79" t="s">
        <v>79</v>
      </c>
      <c r="G40" s="81">
        <v>4</v>
      </c>
      <c r="H40" s="92" t="s">
        <v>81</v>
      </c>
    </row>
    <row r="41" spans="1:8" ht="19.8" customHeight="1" x14ac:dyDescent="0.3">
      <c r="A41" s="88">
        <v>45989</v>
      </c>
      <c r="B41" s="79" t="s">
        <v>65</v>
      </c>
      <c r="C41" s="80" t="s">
        <v>69</v>
      </c>
      <c r="D41" s="79" t="s">
        <v>1</v>
      </c>
      <c r="E41" s="89">
        <v>1.493055555555556</v>
      </c>
      <c r="F41" s="79" t="s">
        <v>67</v>
      </c>
      <c r="G41" s="81">
        <v>1</v>
      </c>
      <c r="H41" s="92" t="s">
        <v>76</v>
      </c>
    </row>
    <row r="42" spans="1:8" ht="19.8" customHeight="1" x14ac:dyDescent="0.3">
      <c r="A42" s="88">
        <v>45989</v>
      </c>
      <c r="B42" s="79" t="s">
        <v>77</v>
      </c>
      <c r="C42" s="80" t="s">
        <v>87</v>
      </c>
      <c r="D42" s="79" t="s">
        <v>1</v>
      </c>
      <c r="E42" s="89">
        <v>1.7951388888888891</v>
      </c>
      <c r="F42" s="79" t="s">
        <v>83</v>
      </c>
      <c r="G42" s="81">
        <v>1</v>
      </c>
      <c r="H42" s="92" t="s">
        <v>127</v>
      </c>
    </row>
    <row r="43" spans="1:8" ht="19.8" customHeight="1" x14ac:dyDescent="0.3">
      <c r="A43" s="98">
        <v>45989</v>
      </c>
      <c r="B43" s="99" t="s">
        <v>77</v>
      </c>
      <c r="C43" s="100" t="s">
        <v>87</v>
      </c>
      <c r="D43" s="99" t="s">
        <v>1</v>
      </c>
      <c r="E43" s="101">
        <v>1.7951388888888891</v>
      </c>
      <c r="F43" s="99" t="s">
        <v>79</v>
      </c>
      <c r="G43" s="102">
        <v>1</v>
      </c>
      <c r="H43" s="103" t="s">
        <v>128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N309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4" bestFit="1" customWidth="1"/>
  </cols>
  <sheetData>
    <row r="1" spans="1:92" ht="28.8" customHeight="1" x14ac:dyDescent="0.3">
      <c r="A1" s="178" t="s">
        <v>0</v>
      </c>
      <c r="B1" s="177"/>
      <c r="C1" s="177"/>
      <c r="D1" s="177"/>
      <c r="E1" s="177"/>
      <c r="F1" s="1" t="s">
        <v>199</v>
      </c>
      <c r="G1" s="2" t="s">
        <v>2</v>
      </c>
      <c r="H1" s="176">
        <v>45986</v>
      </c>
      <c r="I1" s="177"/>
      <c r="J1" s="177"/>
      <c r="K1" s="177"/>
      <c r="L1" s="177"/>
      <c r="M1" s="1" t="s">
        <v>3</v>
      </c>
      <c r="N1" s="187">
        <v>45989</v>
      </c>
      <c r="O1" s="177"/>
      <c r="P1" s="177"/>
      <c r="Q1" s="177"/>
      <c r="R1" s="17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2" t="s">
        <v>4</v>
      </c>
      <c r="B2" s="177"/>
      <c r="C2" s="177"/>
      <c r="D2" s="177"/>
      <c r="E2" s="177"/>
      <c r="F2" s="177"/>
      <c r="G2" s="185">
        <v>45982.043594463074</v>
      </c>
      <c r="H2" s="177"/>
      <c r="I2" s="177"/>
      <c r="J2" s="177"/>
      <c r="K2" s="189">
        <v>45982.043594463343</v>
      </c>
      <c r="L2" s="177"/>
      <c r="M2" s="177"/>
      <c r="N2" s="177"/>
      <c r="O2" s="177"/>
      <c r="P2" s="177"/>
      <c r="Q2" s="177"/>
      <c r="R2" s="1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83" t="s">
        <v>5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86" t="s">
        <v>6</v>
      </c>
      <c r="B4" s="180"/>
      <c r="C4" s="180"/>
      <c r="D4" s="180"/>
      <c r="E4" s="180"/>
      <c r="F4" s="181"/>
      <c r="G4" s="4">
        <v>45986</v>
      </c>
      <c r="H4" s="179" t="s">
        <v>7</v>
      </c>
      <c r="I4" s="180"/>
      <c r="J4" s="180"/>
      <c r="K4" s="180"/>
      <c r="L4" s="180"/>
      <c r="M4" s="180"/>
      <c r="N4" s="180"/>
      <c r="O4" s="180"/>
      <c r="P4" s="180"/>
      <c r="Q4" s="180"/>
      <c r="R4" s="18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200</v>
      </c>
      <c r="B6" s="8" t="s">
        <v>201</v>
      </c>
      <c r="C6" s="9">
        <v>0.36458333333333331</v>
      </c>
      <c r="D6" s="8" t="s">
        <v>202</v>
      </c>
      <c r="E6" s="8" t="s">
        <v>49</v>
      </c>
      <c r="F6" s="8" t="s">
        <v>203</v>
      </c>
      <c r="G6" s="173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47" t="s">
        <v>200</v>
      </c>
      <c r="B7" s="47" t="s">
        <v>204</v>
      </c>
      <c r="C7" s="48">
        <v>4.5138888888888888E-2</v>
      </c>
      <c r="D7" s="47" t="s">
        <v>202</v>
      </c>
      <c r="E7" s="47" t="s">
        <v>70</v>
      </c>
      <c r="F7" s="47" t="s">
        <v>203</v>
      </c>
      <c r="G7" s="174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47" t="s">
        <v>200</v>
      </c>
      <c r="B8" s="47" t="s">
        <v>205</v>
      </c>
      <c r="C8" s="48">
        <v>0.66666666666666663</v>
      </c>
      <c r="D8" s="47" t="s">
        <v>202</v>
      </c>
      <c r="E8" s="47" t="s">
        <v>70</v>
      </c>
      <c r="F8" s="47" t="s">
        <v>206</v>
      </c>
      <c r="G8" s="174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17" t="s">
        <v>26</v>
      </c>
      <c r="B9" s="17" t="s">
        <v>207</v>
      </c>
      <c r="C9" s="18">
        <v>0.12847222222222221</v>
      </c>
      <c r="D9" s="17" t="s">
        <v>28</v>
      </c>
      <c r="E9" s="17" t="s">
        <v>208</v>
      </c>
      <c r="F9" s="17" t="s">
        <v>209</v>
      </c>
      <c r="G9" s="174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26</v>
      </c>
      <c r="B10" s="15" t="s">
        <v>207</v>
      </c>
      <c r="C10" s="16">
        <v>0.12847222222222221</v>
      </c>
      <c r="D10" s="15" t="s">
        <v>31</v>
      </c>
      <c r="E10" s="15" t="s">
        <v>210</v>
      </c>
      <c r="F10" s="15" t="s">
        <v>211</v>
      </c>
      <c r="G10" s="174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207</v>
      </c>
      <c r="C11" s="16">
        <v>0.12847222222222221</v>
      </c>
      <c r="D11" s="15" t="s">
        <v>34</v>
      </c>
      <c r="E11" s="15" t="s">
        <v>210</v>
      </c>
      <c r="F11" s="15" t="s">
        <v>35</v>
      </c>
      <c r="G11" s="174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47" t="s">
        <v>26</v>
      </c>
      <c r="B12" s="47" t="s">
        <v>212</v>
      </c>
      <c r="C12" s="48">
        <v>0.78819444444444453</v>
      </c>
      <c r="D12" s="47" t="s">
        <v>28</v>
      </c>
      <c r="E12" s="47" t="s">
        <v>98</v>
      </c>
      <c r="F12" s="47" t="s">
        <v>209</v>
      </c>
      <c r="G12" s="174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26</v>
      </c>
      <c r="B13" s="15" t="s">
        <v>212</v>
      </c>
      <c r="C13" s="16">
        <v>0.78819444444444453</v>
      </c>
      <c r="D13" s="15" t="s">
        <v>31</v>
      </c>
      <c r="E13" s="15" t="s">
        <v>42</v>
      </c>
      <c r="F13" s="15" t="s">
        <v>211</v>
      </c>
      <c r="G13" s="174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26</v>
      </c>
      <c r="B14" s="15" t="s">
        <v>212</v>
      </c>
      <c r="C14" s="16">
        <v>0.78819444444444453</v>
      </c>
      <c r="D14" s="15" t="s">
        <v>34</v>
      </c>
      <c r="E14" s="15" t="s">
        <v>42</v>
      </c>
      <c r="F14" s="15" t="s">
        <v>35</v>
      </c>
      <c r="G14" s="174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47" t="s">
        <v>26</v>
      </c>
      <c r="B15" s="47" t="s">
        <v>213</v>
      </c>
      <c r="C15" s="48">
        <v>0.88888888888888884</v>
      </c>
      <c r="D15" s="47" t="s">
        <v>28</v>
      </c>
      <c r="E15" s="47" t="s">
        <v>74</v>
      </c>
      <c r="F15" s="47" t="s">
        <v>209</v>
      </c>
      <c r="G15" s="174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26</v>
      </c>
      <c r="B16" s="15" t="s">
        <v>213</v>
      </c>
      <c r="C16" s="16">
        <v>0.88888888888888884</v>
      </c>
      <c r="D16" s="15" t="s">
        <v>31</v>
      </c>
      <c r="E16" s="15" t="s">
        <v>210</v>
      </c>
      <c r="F16" s="15" t="s">
        <v>211</v>
      </c>
      <c r="G16" s="174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5" t="s">
        <v>26</v>
      </c>
      <c r="B17" s="15" t="s">
        <v>213</v>
      </c>
      <c r="C17" s="16">
        <v>0.88888888888888884</v>
      </c>
      <c r="D17" s="15" t="s">
        <v>34</v>
      </c>
      <c r="E17" s="15" t="s">
        <v>210</v>
      </c>
      <c r="F17" s="15" t="s">
        <v>35</v>
      </c>
      <c r="G17" s="174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47" t="s">
        <v>26</v>
      </c>
      <c r="B18" s="47" t="s">
        <v>214</v>
      </c>
      <c r="C18" s="48">
        <v>0.30208333333333331</v>
      </c>
      <c r="D18" s="47" t="s">
        <v>28</v>
      </c>
      <c r="E18" s="47" t="s">
        <v>74</v>
      </c>
      <c r="F18" s="47" t="s">
        <v>215</v>
      </c>
      <c r="G18" s="174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26</v>
      </c>
      <c r="B19" s="15" t="s">
        <v>214</v>
      </c>
      <c r="C19" s="16">
        <v>0.30208333333333331</v>
      </c>
      <c r="D19" s="15" t="s">
        <v>31</v>
      </c>
      <c r="E19" s="15" t="s">
        <v>210</v>
      </c>
      <c r="F19" s="15" t="s">
        <v>216</v>
      </c>
      <c r="G19" s="174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5" t="s">
        <v>26</v>
      </c>
      <c r="B20" s="15" t="s">
        <v>214</v>
      </c>
      <c r="C20" s="16">
        <v>0.30208333333333331</v>
      </c>
      <c r="D20" s="15" t="s">
        <v>34</v>
      </c>
      <c r="E20" s="15" t="s">
        <v>210</v>
      </c>
      <c r="F20" s="15" t="s">
        <v>35</v>
      </c>
      <c r="G20" s="174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19" t="s">
        <v>46</v>
      </c>
      <c r="B21" s="19" t="s">
        <v>217</v>
      </c>
      <c r="C21" s="20">
        <v>0.93402777777777779</v>
      </c>
      <c r="D21" s="19" t="s">
        <v>48</v>
      </c>
      <c r="E21" s="19" t="s">
        <v>49</v>
      </c>
      <c r="F21" s="19" t="s">
        <v>218</v>
      </c>
      <c r="G21" s="174"/>
      <c r="H21" s="21" t="s">
        <v>219</v>
      </c>
      <c r="I21" s="106">
        <v>0.68159999999999998</v>
      </c>
      <c r="J21" s="23">
        <v>122</v>
      </c>
      <c r="K21" s="24">
        <v>45981</v>
      </c>
      <c r="L21" s="23">
        <v>13</v>
      </c>
      <c r="M21" s="23">
        <v>0</v>
      </c>
      <c r="N21" s="23">
        <v>2</v>
      </c>
      <c r="O21" s="25" t="s">
        <v>183</v>
      </c>
      <c r="P21" s="26">
        <v>0.93402777777777779</v>
      </c>
      <c r="Q21" s="23">
        <v>179</v>
      </c>
      <c r="R21" s="27" t="s">
        <v>220</v>
      </c>
    </row>
    <row r="22" spans="1:18" ht="15" customHeight="1" x14ac:dyDescent="0.3">
      <c r="A22" s="107" t="s">
        <v>46</v>
      </c>
      <c r="B22" s="107" t="s">
        <v>221</v>
      </c>
      <c r="C22" s="108">
        <v>0.22916666666666671</v>
      </c>
      <c r="D22" s="107" t="s">
        <v>48</v>
      </c>
      <c r="E22" s="107" t="s">
        <v>70</v>
      </c>
      <c r="F22" s="107" t="s">
        <v>218</v>
      </c>
      <c r="G22" s="174"/>
      <c r="H22" s="109" t="s">
        <v>222</v>
      </c>
      <c r="I22" s="110">
        <v>0.35749999999999998</v>
      </c>
      <c r="J22" s="111">
        <v>64</v>
      </c>
      <c r="K22" s="112">
        <v>45981</v>
      </c>
      <c r="L22" s="111">
        <v>46</v>
      </c>
      <c r="M22" s="111">
        <v>0</v>
      </c>
      <c r="N22" s="111">
        <v>9</v>
      </c>
      <c r="O22" s="113" t="s">
        <v>183</v>
      </c>
      <c r="P22" s="114">
        <v>0.22916666666666671</v>
      </c>
      <c r="Q22" s="111">
        <v>179</v>
      </c>
      <c r="R22" s="115" t="s">
        <v>223</v>
      </c>
    </row>
    <row r="23" spans="1:18" ht="15" customHeight="1" x14ac:dyDescent="0.3">
      <c r="A23" s="116" t="s">
        <v>46</v>
      </c>
      <c r="B23" s="116" t="s">
        <v>224</v>
      </c>
      <c r="C23" s="117">
        <v>0.96875</v>
      </c>
      <c r="D23" s="116" t="s">
        <v>48</v>
      </c>
      <c r="E23" s="116" t="s">
        <v>70</v>
      </c>
      <c r="F23" s="116" t="s">
        <v>218</v>
      </c>
      <c r="G23" s="174"/>
      <c r="H23" s="21" t="s">
        <v>225</v>
      </c>
      <c r="I23" s="106">
        <v>0.58660000000000001</v>
      </c>
      <c r="J23" s="23">
        <v>105</v>
      </c>
      <c r="K23" s="24">
        <v>45981</v>
      </c>
      <c r="L23" s="23">
        <v>34</v>
      </c>
      <c r="M23" s="23">
        <v>0</v>
      </c>
      <c r="N23" s="23">
        <v>5</v>
      </c>
      <c r="O23" s="25" t="s">
        <v>183</v>
      </c>
      <c r="P23" s="26">
        <v>0.96875</v>
      </c>
      <c r="Q23" s="23">
        <v>179</v>
      </c>
      <c r="R23" s="27" t="s">
        <v>226</v>
      </c>
    </row>
    <row r="24" spans="1:18" ht="15" customHeight="1" x14ac:dyDescent="0.3">
      <c r="A24" s="107" t="s">
        <v>46</v>
      </c>
      <c r="B24" s="107" t="s">
        <v>227</v>
      </c>
      <c r="C24" s="108">
        <v>0.61458333333333337</v>
      </c>
      <c r="D24" s="107" t="s">
        <v>48</v>
      </c>
      <c r="E24" s="107" t="s">
        <v>228</v>
      </c>
      <c r="F24" s="107" t="s">
        <v>218</v>
      </c>
      <c r="G24" s="174"/>
      <c r="H24" s="109" t="s">
        <v>229</v>
      </c>
      <c r="I24" s="118">
        <v>0.84360000000000002</v>
      </c>
      <c r="J24" s="111">
        <v>151</v>
      </c>
      <c r="K24" s="112">
        <v>45981</v>
      </c>
      <c r="L24" s="111">
        <v>34</v>
      </c>
      <c r="M24" s="111">
        <v>0</v>
      </c>
      <c r="N24" s="111">
        <v>15</v>
      </c>
      <c r="O24" s="113" t="s">
        <v>230</v>
      </c>
      <c r="P24" s="114">
        <v>0.61458333333333337</v>
      </c>
      <c r="Q24" s="111">
        <v>179</v>
      </c>
      <c r="R24" s="115" t="s">
        <v>231</v>
      </c>
    </row>
    <row r="25" spans="1:18" ht="15" customHeight="1" x14ac:dyDescent="0.3">
      <c r="A25" s="119" t="s">
        <v>46</v>
      </c>
      <c r="B25" s="119" t="s">
        <v>232</v>
      </c>
      <c r="C25" s="120">
        <v>0.72916666666666663</v>
      </c>
      <c r="D25" s="119" t="s">
        <v>48</v>
      </c>
      <c r="E25" s="119" t="s">
        <v>116</v>
      </c>
      <c r="F25" s="119" t="s">
        <v>233</v>
      </c>
      <c r="G25" s="174"/>
      <c r="H25" s="121" t="s">
        <v>234</v>
      </c>
      <c r="I25" s="122">
        <v>0.91059999999999997</v>
      </c>
      <c r="J25" s="123">
        <v>163</v>
      </c>
      <c r="K25" s="124">
        <v>45980</v>
      </c>
      <c r="L25" s="123">
        <v>23</v>
      </c>
      <c r="M25" s="123">
        <v>0</v>
      </c>
      <c r="N25" s="123">
        <v>0</v>
      </c>
      <c r="O25" s="125" t="s">
        <v>235</v>
      </c>
      <c r="P25" s="126">
        <v>0.72916666666666663</v>
      </c>
      <c r="Q25" s="123">
        <v>179</v>
      </c>
      <c r="R25" s="127" t="s">
        <v>236</v>
      </c>
    </row>
    <row r="26" spans="1:18" ht="15" customHeight="1" x14ac:dyDescent="0.3">
      <c r="A26" s="116" t="s">
        <v>46</v>
      </c>
      <c r="B26" s="116" t="s">
        <v>237</v>
      </c>
      <c r="C26" s="117">
        <v>0.55902777777777779</v>
      </c>
      <c r="D26" s="116" t="s">
        <v>61</v>
      </c>
      <c r="E26" s="128"/>
      <c r="F26" s="116" t="s">
        <v>62</v>
      </c>
      <c r="G26" s="174"/>
      <c r="H26" s="21" t="s">
        <v>237</v>
      </c>
      <c r="I26" s="129">
        <v>0.9385</v>
      </c>
      <c r="J26" s="23">
        <v>168</v>
      </c>
      <c r="K26" s="24">
        <v>45979</v>
      </c>
      <c r="L26" s="23">
        <v>25</v>
      </c>
      <c r="M26" s="23">
        <v>0</v>
      </c>
      <c r="N26" s="23">
        <v>0</v>
      </c>
      <c r="O26" s="25" t="s">
        <v>63</v>
      </c>
      <c r="P26" s="26">
        <v>0.55902777777777779</v>
      </c>
      <c r="Q26" s="23">
        <v>179</v>
      </c>
      <c r="R26" s="27" t="s">
        <v>238</v>
      </c>
    </row>
    <row r="27" spans="1:18" ht="15" customHeight="1" x14ac:dyDescent="0.3">
      <c r="A27" s="17" t="s">
        <v>36</v>
      </c>
      <c r="B27" s="17" t="s">
        <v>239</v>
      </c>
      <c r="C27" s="18">
        <v>0.90277777777777779</v>
      </c>
      <c r="D27" s="17" t="s">
        <v>38</v>
      </c>
      <c r="E27" s="17" t="s">
        <v>39</v>
      </c>
      <c r="F27" s="17" t="s">
        <v>240</v>
      </c>
      <c r="G27" s="174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36</v>
      </c>
      <c r="B28" s="15" t="s">
        <v>239</v>
      </c>
      <c r="C28" s="16">
        <v>0.90277777777777779</v>
      </c>
      <c r="D28" s="15" t="s">
        <v>41</v>
      </c>
      <c r="E28" s="15" t="s">
        <v>42</v>
      </c>
      <c r="F28" s="15" t="s">
        <v>241</v>
      </c>
      <c r="G28" s="174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36</v>
      </c>
      <c r="B29" s="15" t="s">
        <v>239</v>
      </c>
      <c r="C29" s="16">
        <v>0.90277777777777779</v>
      </c>
      <c r="D29" s="15" t="s">
        <v>44</v>
      </c>
      <c r="E29" s="15" t="s">
        <v>42</v>
      </c>
      <c r="F29" s="15" t="s">
        <v>40</v>
      </c>
      <c r="G29" s="174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47" t="s">
        <v>36</v>
      </c>
      <c r="B30" s="47" t="s">
        <v>242</v>
      </c>
      <c r="C30" s="48">
        <v>0.85416666666666663</v>
      </c>
      <c r="D30" s="47" t="s">
        <v>38</v>
      </c>
      <c r="E30" s="47" t="s">
        <v>116</v>
      </c>
      <c r="F30" s="47" t="s">
        <v>240</v>
      </c>
      <c r="G30" s="174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36</v>
      </c>
      <c r="B31" s="15" t="s">
        <v>242</v>
      </c>
      <c r="C31" s="16">
        <v>0.85416666666666663</v>
      </c>
      <c r="D31" s="15" t="s">
        <v>41</v>
      </c>
      <c r="E31" s="15" t="s">
        <v>117</v>
      </c>
      <c r="F31" s="15" t="s">
        <v>241</v>
      </c>
      <c r="G31" s="174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36</v>
      </c>
      <c r="B32" s="15" t="s">
        <v>242</v>
      </c>
      <c r="C32" s="16">
        <v>0.85416666666666663</v>
      </c>
      <c r="D32" s="15" t="s">
        <v>44</v>
      </c>
      <c r="E32" s="15" t="s">
        <v>117</v>
      </c>
      <c r="F32" s="15" t="s">
        <v>40</v>
      </c>
      <c r="G32" s="174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47" t="s">
        <v>36</v>
      </c>
      <c r="B33" s="47" t="s">
        <v>243</v>
      </c>
      <c r="C33" s="48">
        <v>0.79861111111111116</v>
      </c>
      <c r="D33" s="47" t="s">
        <v>38</v>
      </c>
      <c r="E33" s="47" t="s">
        <v>88</v>
      </c>
      <c r="F33" s="47" t="s">
        <v>240</v>
      </c>
      <c r="G33" s="174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36</v>
      </c>
      <c r="B34" s="15" t="s">
        <v>243</v>
      </c>
      <c r="C34" s="16">
        <v>0.79861111111111116</v>
      </c>
      <c r="D34" s="15" t="s">
        <v>41</v>
      </c>
      <c r="E34" s="15" t="s">
        <v>89</v>
      </c>
      <c r="F34" s="15" t="s">
        <v>241</v>
      </c>
      <c r="G34" s="174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36</v>
      </c>
      <c r="B35" s="15" t="s">
        <v>243</v>
      </c>
      <c r="C35" s="16">
        <v>0.79861111111111116</v>
      </c>
      <c r="D35" s="15" t="s">
        <v>44</v>
      </c>
      <c r="E35" s="15" t="s">
        <v>89</v>
      </c>
      <c r="F35" s="15" t="s">
        <v>40</v>
      </c>
      <c r="G35" s="174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47" t="s">
        <v>36</v>
      </c>
      <c r="B36" s="47" t="s">
        <v>244</v>
      </c>
      <c r="C36" s="48">
        <v>0.25694444444444448</v>
      </c>
      <c r="D36" s="47" t="s">
        <v>38</v>
      </c>
      <c r="E36" s="47" t="s">
        <v>55</v>
      </c>
      <c r="F36" s="47" t="s">
        <v>245</v>
      </c>
      <c r="G36" s="174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36</v>
      </c>
      <c r="B37" s="15" t="s">
        <v>244</v>
      </c>
      <c r="C37" s="16">
        <v>0.25694444444444448</v>
      </c>
      <c r="D37" s="15" t="s">
        <v>41</v>
      </c>
      <c r="E37" s="15" t="s">
        <v>246</v>
      </c>
      <c r="F37" s="15" t="s">
        <v>247</v>
      </c>
      <c r="G37" s="174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36</v>
      </c>
      <c r="B38" s="15" t="s">
        <v>244</v>
      </c>
      <c r="C38" s="16">
        <v>0.25694444444444448</v>
      </c>
      <c r="D38" s="15" t="s">
        <v>44</v>
      </c>
      <c r="E38" s="15" t="s">
        <v>246</v>
      </c>
      <c r="F38" s="15" t="s">
        <v>248</v>
      </c>
      <c r="G38" s="174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47" t="s">
        <v>36</v>
      </c>
      <c r="B39" s="47" t="s">
        <v>249</v>
      </c>
      <c r="C39" s="48">
        <v>0.64583333333333337</v>
      </c>
      <c r="D39" s="47" t="s">
        <v>38</v>
      </c>
      <c r="E39" s="47" t="s">
        <v>250</v>
      </c>
      <c r="F39" s="47" t="s">
        <v>245</v>
      </c>
      <c r="G39" s="174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5" t="s">
        <v>36</v>
      </c>
      <c r="B40" s="15" t="s">
        <v>249</v>
      </c>
      <c r="C40" s="16">
        <v>0.64583333333333337</v>
      </c>
      <c r="D40" s="15" t="s">
        <v>41</v>
      </c>
      <c r="E40" s="15" t="s">
        <v>102</v>
      </c>
      <c r="F40" s="15" t="s">
        <v>247</v>
      </c>
      <c r="G40" s="174"/>
      <c r="H40" s="10"/>
      <c r="I40" s="11"/>
      <c r="J40" s="11"/>
      <c r="K40" s="11"/>
      <c r="L40" s="11"/>
      <c r="M40" s="11"/>
      <c r="N40" s="11"/>
      <c r="O40" s="12"/>
      <c r="P40" s="11"/>
      <c r="Q40" s="13"/>
      <c r="R40" s="14"/>
    </row>
    <row r="41" spans="1:18" ht="15" customHeight="1" x14ac:dyDescent="0.3">
      <c r="A41" s="15" t="s">
        <v>36</v>
      </c>
      <c r="B41" s="15" t="s">
        <v>249</v>
      </c>
      <c r="C41" s="16">
        <v>0.64583333333333337</v>
      </c>
      <c r="D41" s="15" t="s">
        <v>44</v>
      </c>
      <c r="E41" s="15" t="s">
        <v>102</v>
      </c>
      <c r="F41" s="15" t="s">
        <v>248</v>
      </c>
      <c r="G41" s="174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47" t="s">
        <v>36</v>
      </c>
      <c r="B42" s="47" t="s">
        <v>251</v>
      </c>
      <c r="C42" s="48">
        <v>0.51736111111111105</v>
      </c>
      <c r="D42" s="47" t="s">
        <v>38</v>
      </c>
      <c r="E42" s="47" t="s">
        <v>250</v>
      </c>
      <c r="F42" s="47" t="s">
        <v>245</v>
      </c>
      <c r="G42" s="174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5" t="s">
        <v>36</v>
      </c>
      <c r="B43" s="15" t="s">
        <v>251</v>
      </c>
      <c r="C43" s="16">
        <v>0.51736111111111105</v>
      </c>
      <c r="D43" s="15" t="s">
        <v>41</v>
      </c>
      <c r="E43" s="15" t="s">
        <v>102</v>
      </c>
      <c r="F43" s="15" t="s">
        <v>247</v>
      </c>
      <c r="G43" s="174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15" t="s">
        <v>36</v>
      </c>
      <c r="B44" s="15" t="s">
        <v>251</v>
      </c>
      <c r="C44" s="16">
        <v>0.51736111111111105</v>
      </c>
      <c r="D44" s="15" t="s">
        <v>44</v>
      </c>
      <c r="E44" s="15" t="s">
        <v>102</v>
      </c>
      <c r="F44" s="15" t="s">
        <v>248</v>
      </c>
      <c r="G44" s="174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47" t="s">
        <v>36</v>
      </c>
      <c r="B45" s="47" t="s">
        <v>252</v>
      </c>
      <c r="C45" s="48">
        <v>0.30208333333333331</v>
      </c>
      <c r="D45" s="47" t="s">
        <v>38</v>
      </c>
      <c r="E45" s="47" t="s">
        <v>250</v>
      </c>
      <c r="F45" s="47" t="s">
        <v>245</v>
      </c>
      <c r="G45" s="174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5" t="s">
        <v>36</v>
      </c>
      <c r="B46" s="15" t="s">
        <v>252</v>
      </c>
      <c r="C46" s="16">
        <v>0.30208333333333331</v>
      </c>
      <c r="D46" s="15" t="s">
        <v>41</v>
      </c>
      <c r="E46" s="15" t="s">
        <v>102</v>
      </c>
      <c r="F46" s="15" t="s">
        <v>247</v>
      </c>
      <c r="G46" s="174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5" t="s">
        <v>36</v>
      </c>
      <c r="B47" s="15" t="s">
        <v>252</v>
      </c>
      <c r="C47" s="16">
        <v>0.30208333333333331</v>
      </c>
      <c r="D47" s="15" t="s">
        <v>44</v>
      </c>
      <c r="E47" s="15" t="s">
        <v>102</v>
      </c>
      <c r="F47" s="15" t="s">
        <v>248</v>
      </c>
      <c r="G47" s="174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47" t="s">
        <v>36</v>
      </c>
      <c r="B48" s="47" t="s">
        <v>253</v>
      </c>
      <c r="C48" s="48">
        <v>0.39583333333333331</v>
      </c>
      <c r="D48" s="47" t="s">
        <v>38</v>
      </c>
      <c r="E48" s="47" t="s">
        <v>107</v>
      </c>
      <c r="F48" s="47" t="s">
        <v>254</v>
      </c>
      <c r="G48" s="174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36</v>
      </c>
      <c r="B49" s="15" t="s">
        <v>253</v>
      </c>
      <c r="C49" s="16">
        <v>0.39583333333333331</v>
      </c>
      <c r="D49" s="15" t="s">
        <v>41</v>
      </c>
      <c r="E49" s="15" t="s">
        <v>113</v>
      </c>
      <c r="F49" s="15" t="s">
        <v>255</v>
      </c>
      <c r="G49" s="174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15" t="s">
        <v>36</v>
      </c>
      <c r="B50" s="15" t="s">
        <v>253</v>
      </c>
      <c r="C50" s="16">
        <v>0.39583333333333331</v>
      </c>
      <c r="D50" s="15" t="s">
        <v>44</v>
      </c>
      <c r="E50" s="15" t="s">
        <v>113</v>
      </c>
      <c r="F50" s="15" t="s">
        <v>256</v>
      </c>
      <c r="G50" s="174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7" t="s">
        <v>257</v>
      </c>
      <c r="B51" s="17" t="s">
        <v>258</v>
      </c>
      <c r="C51" s="18">
        <v>0.22222222222222221</v>
      </c>
      <c r="D51" s="17" t="s">
        <v>259</v>
      </c>
      <c r="E51" s="17" t="s">
        <v>100</v>
      </c>
      <c r="F51" s="17" t="s">
        <v>260</v>
      </c>
      <c r="G51" s="174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15" t="s">
        <v>257</v>
      </c>
      <c r="B52" s="15" t="s">
        <v>258</v>
      </c>
      <c r="C52" s="16">
        <v>0.22222222222222221</v>
      </c>
      <c r="D52" s="15" t="s">
        <v>34</v>
      </c>
      <c r="E52" s="15" t="s">
        <v>102</v>
      </c>
      <c r="F52" s="15" t="s">
        <v>261</v>
      </c>
      <c r="G52" s="174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7" t="s">
        <v>262</v>
      </c>
      <c r="B53" s="17" t="s">
        <v>263</v>
      </c>
      <c r="C53" s="18">
        <v>0.27430555555555552</v>
      </c>
      <c r="D53" s="17" t="s">
        <v>202</v>
      </c>
      <c r="E53" s="17" t="s">
        <v>49</v>
      </c>
      <c r="F53" s="17" t="s">
        <v>264</v>
      </c>
      <c r="G53" s="174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47" t="s">
        <v>262</v>
      </c>
      <c r="B54" s="47" t="s">
        <v>265</v>
      </c>
      <c r="C54" s="48">
        <v>0.73958333333333337</v>
      </c>
      <c r="D54" s="47" t="s">
        <v>202</v>
      </c>
      <c r="E54" s="47" t="s">
        <v>70</v>
      </c>
      <c r="F54" s="47" t="s">
        <v>266</v>
      </c>
      <c r="G54" s="174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7" t="s">
        <v>77</v>
      </c>
      <c r="B55" s="17" t="s">
        <v>267</v>
      </c>
      <c r="C55" s="18">
        <v>0.23958333333333329</v>
      </c>
      <c r="D55" s="17" t="s">
        <v>83</v>
      </c>
      <c r="E55" s="17" t="s">
        <v>49</v>
      </c>
      <c r="F55" s="17" t="s">
        <v>268</v>
      </c>
      <c r="G55" s="174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15" t="s">
        <v>77</v>
      </c>
      <c r="B56" s="15" t="s">
        <v>267</v>
      </c>
      <c r="C56" s="16">
        <v>0.23958333333333329</v>
      </c>
      <c r="D56" s="15" t="s">
        <v>79</v>
      </c>
      <c r="E56" s="15" t="s">
        <v>85</v>
      </c>
      <c r="F56" s="15" t="s">
        <v>269</v>
      </c>
      <c r="G56" s="174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47" t="s">
        <v>77</v>
      </c>
      <c r="B57" s="47" t="s">
        <v>270</v>
      </c>
      <c r="C57" s="48">
        <v>0.37847222222222232</v>
      </c>
      <c r="D57" s="47" t="s">
        <v>83</v>
      </c>
      <c r="E57" s="47" t="s">
        <v>70</v>
      </c>
      <c r="F57" s="47" t="s">
        <v>271</v>
      </c>
      <c r="G57" s="174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x14ac:dyDescent="0.3">
      <c r="A58" s="15" t="s">
        <v>77</v>
      </c>
      <c r="B58" s="15" t="s">
        <v>270</v>
      </c>
      <c r="C58" s="16">
        <v>0.37847222222222232</v>
      </c>
      <c r="D58" s="15" t="s">
        <v>79</v>
      </c>
      <c r="E58" s="15" t="s">
        <v>85</v>
      </c>
      <c r="F58" s="15" t="s">
        <v>272</v>
      </c>
      <c r="G58" s="174"/>
      <c r="H58" s="10"/>
      <c r="I58" s="11"/>
      <c r="J58" s="11"/>
      <c r="K58" s="11"/>
      <c r="L58" s="11"/>
      <c r="M58" s="11"/>
      <c r="N58" s="11"/>
      <c r="O58" s="12"/>
      <c r="P58" s="11"/>
      <c r="Q58" s="13"/>
      <c r="R58" s="14"/>
    </row>
    <row r="59" spans="1:18" ht="15" customHeight="1" x14ac:dyDescent="0.3">
      <c r="A59" s="47" t="s">
        <v>77</v>
      </c>
      <c r="B59" s="47" t="s">
        <v>273</v>
      </c>
      <c r="C59" s="48">
        <v>6.9444444444444441E-3</v>
      </c>
      <c r="D59" s="47" t="s">
        <v>83</v>
      </c>
      <c r="E59" s="47" t="s">
        <v>70</v>
      </c>
      <c r="F59" s="47" t="s">
        <v>271</v>
      </c>
      <c r="G59" s="174"/>
      <c r="H59" s="10"/>
      <c r="I59" s="11"/>
      <c r="J59" s="11"/>
      <c r="K59" s="11"/>
      <c r="L59" s="11"/>
      <c r="M59" s="11"/>
      <c r="N59" s="11"/>
      <c r="O59" s="12"/>
      <c r="P59" s="11"/>
      <c r="Q59" s="13"/>
      <c r="R59" s="14"/>
    </row>
    <row r="60" spans="1:18" ht="15" customHeight="1" x14ac:dyDescent="0.3">
      <c r="A60" s="15" t="s">
        <v>77</v>
      </c>
      <c r="B60" s="15" t="s">
        <v>273</v>
      </c>
      <c r="C60" s="16">
        <v>6.9444444444444441E-3</v>
      </c>
      <c r="D60" s="15" t="s">
        <v>79</v>
      </c>
      <c r="E60" s="15" t="s">
        <v>85</v>
      </c>
      <c r="F60" s="15" t="s">
        <v>272</v>
      </c>
      <c r="G60" s="174"/>
      <c r="H60" s="10"/>
      <c r="I60" s="11"/>
      <c r="J60" s="11"/>
      <c r="K60" s="11"/>
      <c r="L60" s="11"/>
      <c r="M60" s="11"/>
      <c r="N60" s="11"/>
      <c r="O60" s="12"/>
      <c r="P60" s="11"/>
      <c r="Q60" s="13"/>
      <c r="R60" s="14"/>
    </row>
    <row r="61" spans="1:18" ht="15" customHeight="1" x14ac:dyDescent="0.3">
      <c r="A61" s="47" t="s">
        <v>77</v>
      </c>
      <c r="B61" s="47" t="s">
        <v>274</v>
      </c>
      <c r="C61" s="48">
        <v>0.1423611111111111</v>
      </c>
      <c r="D61" s="47" t="s">
        <v>83</v>
      </c>
      <c r="E61" s="47" t="s">
        <v>70</v>
      </c>
      <c r="F61" s="47" t="s">
        <v>271</v>
      </c>
      <c r="G61" s="174"/>
      <c r="H61" s="10"/>
      <c r="I61" s="11"/>
      <c r="J61" s="11"/>
      <c r="K61" s="11"/>
      <c r="L61" s="11"/>
      <c r="M61" s="11"/>
      <c r="N61" s="11"/>
      <c r="O61" s="12"/>
      <c r="P61" s="11"/>
      <c r="Q61" s="13"/>
      <c r="R61" s="14"/>
    </row>
    <row r="62" spans="1:18" ht="15" customHeight="1" x14ac:dyDescent="0.3">
      <c r="A62" s="15" t="s">
        <v>77</v>
      </c>
      <c r="B62" s="15" t="s">
        <v>274</v>
      </c>
      <c r="C62" s="16">
        <v>0.1423611111111111</v>
      </c>
      <c r="D62" s="15" t="s">
        <v>79</v>
      </c>
      <c r="E62" s="15" t="s">
        <v>85</v>
      </c>
      <c r="F62" s="15" t="s">
        <v>272</v>
      </c>
      <c r="G62" s="174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47" t="s">
        <v>77</v>
      </c>
      <c r="B63" s="47" t="s">
        <v>275</v>
      </c>
      <c r="C63" s="48">
        <v>0.93055555555555547</v>
      </c>
      <c r="D63" s="47" t="s">
        <v>83</v>
      </c>
      <c r="E63" s="47" t="s">
        <v>70</v>
      </c>
      <c r="F63" s="47" t="s">
        <v>271</v>
      </c>
      <c r="G63" s="174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5" t="s">
        <v>77</v>
      </c>
      <c r="B64" s="15" t="s">
        <v>275</v>
      </c>
      <c r="C64" s="16">
        <v>0.93055555555555547</v>
      </c>
      <c r="D64" s="15" t="s">
        <v>79</v>
      </c>
      <c r="E64" s="15" t="s">
        <v>85</v>
      </c>
      <c r="F64" s="15" t="s">
        <v>272</v>
      </c>
      <c r="G64" s="174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47" t="s">
        <v>77</v>
      </c>
      <c r="B65" s="47" t="s">
        <v>276</v>
      </c>
      <c r="C65" s="48">
        <v>0.71875</v>
      </c>
      <c r="D65" s="47" t="s">
        <v>83</v>
      </c>
      <c r="E65" s="47" t="s">
        <v>70</v>
      </c>
      <c r="F65" s="47" t="s">
        <v>277</v>
      </c>
      <c r="G65" s="174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5" t="s">
        <v>77</v>
      </c>
      <c r="B66" s="15" t="s">
        <v>276</v>
      </c>
      <c r="C66" s="16">
        <v>0.71875</v>
      </c>
      <c r="D66" s="15" t="s">
        <v>79</v>
      </c>
      <c r="E66" s="15" t="s">
        <v>85</v>
      </c>
      <c r="F66" s="15" t="s">
        <v>278</v>
      </c>
      <c r="G66" s="174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47" t="s">
        <v>77</v>
      </c>
      <c r="B67" s="47" t="s">
        <v>279</v>
      </c>
      <c r="C67" s="48">
        <v>0.88888888888888884</v>
      </c>
      <c r="D67" s="47" t="s">
        <v>79</v>
      </c>
      <c r="E67" s="47" t="s">
        <v>107</v>
      </c>
      <c r="F67" s="47" t="s">
        <v>280</v>
      </c>
      <c r="G67" s="174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47" t="s">
        <v>77</v>
      </c>
      <c r="B68" s="47" t="s">
        <v>281</v>
      </c>
      <c r="C68" s="48">
        <v>0.30208333333333331</v>
      </c>
      <c r="D68" s="47" t="s">
        <v>79</v>
      </c>
      <c r="E68" s="47" t="s">
        <v>107</v>
      </c>
      <c r="F68" s="47" t="s">
        <v>280</v>
      </c>
      <c r="G68" s="174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47" t="s">
        <v>77</v>
      </c>
      <c r="B69" s="47" t="s">
        <v>282</v>
      </c>
      <c r="C69" s="48">
        <v>0.12847222222222221</v>
      </c>
      <c r="D69" s="47" t="s">
        <v>79</v>
      </c>
      <c r="E69" s="47" t="s">
        <v>107</v>
      </c>
      <c r="F69" s="47" t="s">
        <v>280</v>
      </c>
      <c r="G69" s="174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47" t="s">
        <v>77</v>
      </c>
      <c r="B70" s="47" t="s">
        <v>283</v>
      </c>
      <c r="C70" s="48">
        <v>0.78819444444444453</v>
      </c>
      <c r="D70" s="47" t="s">
        <v>79</v>
      </c>
      <c r="E70" s="47" t="s">
        <v>107</v>
      </c>
      <c r="F70" s="47" t="s">
        <v>280</v>
      </c>
      <c r="G70" s="174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47" t="s">
        <v>77</v>
      </c>
      <c r="B71" s="47" t="s">
        <v>284</v>
      </c>
      <c r="C71" s="48">
        <v>0.82986111111111116</v>
      </c>
      <c r="D71" s="47" t="s">
        <v>83</v>
      </c>
      <c r="E71" s="47" t="s">
        <v>70</v>
      </c>
      <c r="F71" s="47" t="s">
        <v>285</v>
      </c>
      <c r="G71" s="174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5" t="s">
        <v>77</v>
      </c>
      <c r="B72" s="15" t="s">
        <v>284</v>
      </c>
      <c r="C72" s="16">
        <v>0.82986111111111116</v>
      </c>
      <c r="D72" s="15" t="s">
        <v>79</v>
      </c>
      <c r="E72" s="15" t="s">
        <v>85</v>
      </c>
      <c r="F72" s="15" t="s">
        <v>286</v>
      </c>
      <c r="G72" s="174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47" t="s">
        <v>77</v>
      </c>
      <c r="B73" s="47" t="s">
        <v>287</v>
      </c>
      <c r="C73" s="48">
        <v>0.61111111111111105</v>
      </c>
      <c r="D73" s="47" t="s">
        <v>83</v>
      </c>
      <c r="E73" s="47" t="s">
        <v>116</v>
      </c>
      <c r="F73" s="47" t="s">
        <v>288</v>
      </c>
      <c r="G73" s="174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5" t="s">
        <v>77</v>
      </c>
      <c r="B74" s="15" t="s">
        <v>287</v>
      </c>
      <c r="C74" s="16">
        <v>0.61111111111111105</v>
      </c>
      <c r="D74" s="15" t="s">
        <v>79</v>
      </c>
      <c r="E74" s="15" t="s">
        <v>117</v>
      </c>
      <c r="F74" s="15" t="s">
        <v>289</v>
      </c>
      <c r="G74" s="174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7" t="s">
        <v>65</v>
      </c>
      <c r="B75" s="17" t="s">
        <v>290</v>
      </c>
      <c r="C75" s="18">
        <v>0.4861111111111111</v>
      </c>
      <c r="D75" s="17" t="s">
        <v>67</v>
      </c>
      <c r="E75" s="17" t="s">
        <v>49</v>
      </c>
      <c r="F75" s="17" t="s">
        <v>291</v>
      </c>
      <c r="G75" s="174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47" t="s">
        <v>65</v>
      </c>
      <c r="B76" s="47" t="s">
        <v>292</v>
      </c>
      <c r="C76" s="48">
        <v>0.51388888888888895</v>
      </c>
      <c r="D76" s="47" t="s">
        <v>67</v>
      </c>
      <c r="E76" s="47" t="s">
        <v>70</v>
      </c>
      <c r="F76" s="47" t="s">
        <v>291</v>
      </c>
      <c r="G76" s="174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47" t="s">
        <v>65</v>
      </c>
      <c r="B77" s="47" t="s">
        <v>293</v>
      </c>
      <c r="C77" s="48">
        <v>0.22222222222222221</v>
      </c>
      <c r="D77" s="47" t="s">
        <v>67</v>
      </c>
      <c r="E77" s="47" t="s">
        <v>70</v>
      </c>
      <c r="F77" s="47" t="s">
        <v>294</v>
      </c>
      <c r="G77" s="174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47" t="s">
        <v>65</v>
      </c>
      <c r="B78" s="47" t="s">
        <v>295</v>
      </c>
      <c r="C78" s="48">
        <v>0.27777777777777779</v>
      </c>
      <c r="D78" s="47" t="s">
        <v>67</v>
      </c>
      <c r="E78" s="47" t="s">
        <v>70</v>
      </c>
      <c r="F78" s="47" t="s">
        <v>296</v>
      </c>
      <c r="G78" s="174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thickBot="1" x14ac:dyDescent="0.35">
      <c r="A79" s="64" t="s">
        <v>65</v>
      </c>
      <c r="B79" s="64" t="s">
        <v>297</v>
      </c>
      <c r="C79" s="65">
        <v>0.77430555555555547</v>
      </c>
      <c r="D79" s="64" t="s">
        <v>67</v>
      </c>
      <c r="E79" s="64" t="s">
        <v>70</v>
      </c>
      <c r="F79" s="64" t="s">
        <v>298</v>
      </c>
      <c r="G79" s="175"/>
      <c r="H79" s="51"/>
      <c r="I79" s="52"/>
      <c r="J79" s="52"/>
      <c r="K79" s="52"/>
      <c r="L79" s="52"/>
      <c r="M79" s="52"/>
      <c r="N79" s="52"/>
      <c r="O79" s="53"/>
      <c r="P79" s="52"/>
      <c r="Q79" s="54"/>
      <c r="R79" s="55"/>
    </row>
    <row r="80" spans="1:18" ht="17.399999999999999" customHeight="1" thickBot="1" x14ac:dyDescent="0.35">
      <c r="A80" s="205"/>
      <c r="B80" s="206"/>
      <c r="C80" s="206"/>
      <c r="D80" s="206"/>
      <c r="E80" s="206"/>
      <c r="F80" s="206"/>
      <c r="G80" s="206"/>
      <c r="H80" s="206"/>
      <c r="I80" s="206"/>
      <c r="J80" s="206"/>
      <c r="K80" s="206"/>
      <c r="L80" s="206"/>
      <c r="M80" s="206"/>
      <c r="N80" s="206"/>
      <c r="O80" s="206"/>
      <c r="P80" s="206"/>
      <c r="Q80" s="206"/>
      <c r="R80" s="207"/>
    </row>
    <row r="81" spans="1:18" ht="22.05" customHeight="1" thickTop="1" thickBot="1" x14ac:dyDescent="0.35">
      <c r="A81" s="184" t="s">
        <v>6</v>
      </c>
      <c r="B81" s="180"/>
      <c r="C81" s="180"/>
      <c r="D81" s="180"/>
      <c r="E81" s="180"/>
      <c r="F81" s="181"/>
      <c r="G81" s="56">
        <v>45987</v>
      </c>
      <c r="H81" s="188" t="s">
        <v>7</v>
      </c>
      <c r="I81" s="180"/>
      <c r="J81" s="180"/>
      <c r="K81" s="180"/>
      <c r="L81" s="180"/>
      <c r="M81" s="180"/>
      <c r="N81" s="180"/>
      <c r="O81" s="180"/>
      <c r="P81" s="180"/>
      <c r="Q81" s="180"/>
      <c r="R81" s="181"/>
    </row>
    <row r="82" spans="1:18" ht="24" customHeight="1" x14ac:dyDescent="0.3">
      <c r="A82" s="57" t="s">
        <v>8</v>
      </c>
      <c r="B82" s="57" t="s">
        <v>9</v>
      </c>
      <c r="C82" s="58" t="s">
        <v>10</v>
      </c>
      <c r="D82" s="57" t="s">
        <v>11</v>
      </c>
      <c r="E82" s="57" t="s">
        <v>12</v>
      </c>
      <c r="F82" s="59" t="s">
        <v>13</v>
      </c>
      <c r="G82" s="60" t="s">
        <v>14</v>
      </c>
      <c r="H82" s="57" t="s">
        <v>15</v>
      </c>
      <c r="I82" s="61" t="s">
        <v>16</v>
      </c>
      <c r="J82" s="62" t="s">
        <v>17</v>
      </c>
      <c r="K82" s="63" t="s">
        <v>18</v>
      </c>
      <c r="L82" s="62" t="s">
        <v>19</v>
      </c>
      <c r="M82" s="62" t="s">
        <v>20</v>
      </c>
      <c r="N82" s="62" t="s">
        <v>21</v>
      </c>
      <c r="O82" s="57" t="s">
        <v>22</v>
      </c>
      <c r="P82" s="58" t="s">
        <v>23</v>
      </c>
      <c r="Q82" s="62" t="s">
        <v>24</v>
      </c>
      <c r="R82" s="57" t="s">
        <v>25</v>
      </c>
    </row>
    <row r="83" spans="1:18" ht="15" customHeight="1" x14ac:dyDescent="0.3">
      <c r="A83" s="8" t="s">
        <v>262</v>
      </c>
      <c r="B83" s="8" t="s">
        <v>263</v>
      </c>
      <c r="C83" s="9">
        <v>0.27083333333333331</v>
      </c>
      <c r="D83" s="8" t="s">
        <v>202</v>
      </c>
      <c r="E83" s="8" t="s">
        <v>299</v>
      </c>
      <c r="F83" s="8" t="s">
        <v>300</v>
      </c>
      <c r="G83" s="190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47" t="s">
        <v>262</v>
      </c>
      <c r="B84" s="47" t="s">
        <v>265</v>
      </c>
      <c r="C84" s="48">
        <v>0.86111111111111116</v>
      </c>
      <c r="D84" s="47" t="s">
        <v>202</v>
      </c>
      <c r="E84" s="47" t="s">
        <v>88</v>
      </c>
      <c r="F84" s="47" t="s">
        <v>301</v>
      </c>
      <c r="G84" s="174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30" t="s">
        <v>46</v>
      </c>
      <c r="B85" s="130" t="s">
        <v>232</v>
      </c>
      <c r="C85" s="131">
        <v>0.52083333333333337</v>
      </c>
      <c r="D85" s="130" t="s">
        <v>48</v>
      </c>
      <c r="E85" s="130" t="s">
        <v>49</v>
      </c>
      <c r="F85" s="130" t="s">
        <v>203</v>
      </c>
      <c r="G85" s="174"/>
      <c r="H85" s="132" t="s">
        <v>234</v>
      </c>
      <c r="I85" s="133">
        <v>0.69830000000000003</v>
      </c>
      <c r="J85" s="134">
        <v>125</v>
      </c>
      <c r="K85" s="135">
        <v>45981</v>
      </c>
      <c r="L85" s="134">
        <v>56</v>
      </c>
      <c r="M85" s="134">
        <v>0</v>
      </c>
      <c r="N85" s="134">
        <v>11</v>
      </c>
      <c r="O85" s="136" t="s">
        <v>302</v>
      </c>
      <c r="P85" s="137">
        <v>0.52083333333333337</v>
      </c>
      <c r="Q85" s="134">
        <v>179</v>
      </c>
      <c r="R85" s="138" t="s">
        <v>303</v>
      </c>
    </row>
    <row r="86" spans="1:18" ht="15" customHeight="1" x14ac:dyDescent="0.3">
      <c r="A86" s="116" t="s">
        <v>46</v>
      </c>
      <c r="B86" s="116" t="s">
        <v>224</v>
      </c>
      <c r="C86" s="117">
        <v>0.51736111111111105</v>
      </c>
      <c r="D86" s="116" t="s">
        <v>48</v>
      </c>
      <c r="E86" s="116" t="s">
        <v>70</v>
      </c>
      <c r="F86" s="116" t="s">
        <v>203</v>
      </c>
      <c r="G86" s="174"/>
      <c r="H86" s="21" t="s">
        <v>225</v>
      </c>
      <c r="I86" s="22">
        <v>0.38550000000000001</v>
      </c>
      <c r="J86" s="23">
        <v>69</v>
      </c>
      <c r="K86" s="24">
        <v>45981</v>
      </c>
      <c r="L86" s="23">
        <v>47</v>
      </c>
      <c r="M86" s="23">
        <v>0</v>
      </c>
      <c r="N86" s="23">
        <v>4</v>
      </c>
      <c r="O86" s="25" t="s">
        <v>302</v>
      </c>
      <c r="P86" s="26">
        <v>0.51736111111111105</v>
      </c>
      <c r="Q86" s="23">
        <v>179</v>
      </c>
      <c r="R86" s="27" t="s">
        <v>304</v>
      </c>
    </row>
    <row r="87" spans="1:18" ht="15" customHeight="1" x14ac:dyDescent="0.3">
      <c r="A87" s="37" t="s">
        <v>46</v>
      </c>
      <c r="B87" s="37" t="s">
        <v>227</v>
      </c>
      <c r="C87" s="38">
        <v>0.61458333333333337</v>
      </c>
      <c r="D87" s="37" t="s">
        <v>48</v>
      </c>
      <c r="E87" s="37" t="s">
        <v>70</v>
      </c>
      <c r="F87" s="37" t="s">
        <v>218</v>
      </c>
      <c r="G87" s="174"/>
      <c r="H87" s="40" t="s">
        <v>229</v>
      </c>
      <c r="I87" s="139">
        <v>0.6089</v>
      </c>
      <c r="J87" s="42">
        <v>109</v>
      </c>
      <c r="K87" s="43">
        <v>45980</v>
      </c>
      <c r="L87" s="42">
        <v>23</v>
      </c>
      <c r="M87" s="42">
        <v>0</v>
      </c>
      <c r="N87" s="42">
        <v>0</v>
      </c>
      <c r="O87" s="44" t="s">
        <v>183</v>
      </c>
      <c r="P87" s="45">
        <v>0.61458333333333337</v>
      </c>
      <c r="Q87" s="42">
        <v>179</v>
      </c>
      <c r="R87" s="46" t="s">
        <v>305</v>
      </c>
    </row>
    <row r="88" spans="1:18" ht="15" customHeight="1" x14ac:dyDescent="0.3">
      <c r="A88" s="17" t="s">
        <v>200</v>
      </c>
      <c r="B88" s="17" t="s">
        <v>205</v>
      </c>
      <c r="C88" s="18">
        <v>0.9375</v>
      </c>
      <c r="D88" s="17" t="s">
        <v>202</v>
      </c>
      <c r="E88" s="17" t="s">
        <v>306</v>
      </c>
      <c r="F88" s="17" t="s">
        <v>203</v>
      </c>
      <c r="G88" s="174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47" t="s">
        <v>200</v>
      </c>
      <c r="B89" s="47" t="s">
        <v>201</v>
      </c>
      <c r="C89" s="48">
        <v>0.37152777777777768</v>
      </c>
      <c r="D89" s="47" t="s">
        <v>202</v>
      </c>
      <c r="E89" s="47" t="s">
        <v>70</v>
      </c>
      <c r="F89" s="47" t="s">
        <v>203</v>
      </c>
      <c r="G89" s="174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7" t="s">
        <v>26</v>
      </c>
      <c r="B90" s="17" t="s">
        <v>214</v>
      </c>
      <c r="C90" s="18">
        <v>0.30208333333333331</v>
      </c>
      <c r="D90" s="17" t="s">
        <v>28</v>
      </c>
      <c r="E90" s="17" t="s">
        <v>208</v>
      </c>
      <c r="F90" s="17" t="s">
        <v>209</v>
      </c>
      <c r="G90" s="174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5" t="s">
        <v>26</v>
      </c>
      <c r="B91" s="15" t="s">
        <v>214</v>
      </c>
      <c r="C91" s="16">
        <v>0.30208333333333331</v>
      </c>
      <c r="D91" s="15" t="s">
        <v>31</v>
      </c>
      <c r="E91" s="15" t="s">
        <v>210</v>
      </c>
      <c r="F91" s="15" t="s">
        <v>211</v>
      </c>
      <c r="G91" s="174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15" t="s">
        <v>26</v>
      </c>
      <c r="B92" s="15" t="s">
        <v>214</v>
      </c>
      <c r="C92" s="16">
        <v>0.30208333333333331</v>
      </c>
      <c r="D92" s="15" t="s">
        <v>34</v>
      </c>
      <c r="E92" s="15" t="s">
        <v>210</v>
      </c>
      <c r="F92" s="15" t="s">
        <v>35</v>
      </c>
      <c r="G92" s="174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47" t="s">
        <v>26</v>
      </c>
      <c r="B93" s="47" t="s">
        <v>207</v>
      </c>
      <c r="C93" s="48">
        <v>0.12847222222222221</v>
      </c>
      <c r="D93" s="47" t="s">
        <v>28</v>
      </c>
      <c r="E93" s="47" t="s">
        <v>98</v>
      </c>
      <c r="F93" s="47" t="s">
        <v>209</v>
      </c>
      <c r="G93" s="174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5" t="s">
        <v>26</v>
      </c>
      <c r="B94" s="15" t="s">
        <v>207</v>
      </c>
      <c r="C94" s="16">
        <v>0.12847222222222221</v>
      </c>
      <c r="D94" s="15" t="s">
        <v>31</v>
      </c>
      <c r="E94" s="15" t="s">
        <v>42</v>
      </c>
      <c r="F94" s="15" t="s">
        <v>211</v>
      </c>
      <c r="G94" s="174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5" t="s">
        <v>26</v>
      </c>
      <c r="B95" s="15" t="s">
        <v>207</v>
      </c>
      <c r="C95" s="16">
        <v>0.12847222222222221</v>
      </c>
      <c r="D95" s="15" t="s">
        <v>34</v>
      </c>
      <c r="E95" s="15" t="s">
        <v>42</v>
      </c>
      <c r="F95" s="15" t="s">
        <v>35</v>
      </c>
      <c r="G95" s="174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47" t="s">
        <v>26</v>
      </c>
      <c r="B96" s="47" t="s">
        <v>212</v>
      </c>
      <c r="C96" s="48">
        <v>0.78819444444444453</v>
      </c>
      <c r="D96" s="47" t="s">
        <v>28</v>
      </c>
      <c r="E96" s="47" t="s">
        <v>109</v>
      </c>
      <c r="F96" s="47" t="s">
        <v>209</v>
      </c>
      <c r="G96" s="174"/>
      <c r="H96" s="10"/>
      <c r="I96" s="11"/>
      <c r="J96" s="11"/>
      <c r="K96" s="11"/>
      <c r="L96" s="11"/>
      <c r="M96" s="11"/>
      <c r="N96" s="11"/>
      <c r="O96" s="12"/>
      <c r="P96" s="11"/>
      <c r="Q96" s="13"/>
      <c r="R96" s="14"/>
    </row>
    <row r="97" spans="1:18" ht="15" customHeight="1" x14ac:dyDescent="0.3">
      <c r="A97" s="15" t="s">
        <v>26</v>
      </c>
      <c r="B97" s="15" t="s">
        <v>212</v>
      </c>
      <c r="C97" s="16">
        <v>0.78819444444444453</v>
      </c>
      <c r="D97" s="15" t="s">
        <v>31</v>
      </c>
      <c r="E97" s="15" t="s">
        <v>124</v>
      </c>
      <c r="F97" s="15" t="s">
        <v>211</v>
      </c>
      <c r="G97" s="174"/>
      <c r="H97" s="10"/>
      <c r="I97" s="11"/>
      <c r="J97" s="11"/>
      <c r="K97" s="11"/>
      <c r="L97" s="11"/>
      <c r="M97" s="11"/>
      <c r="N97" s="11"/>
      <c r="O97" s="12"/>
      <c r="P97" s="11"/>
      <c r="Q97" s="13"/>
      <c r="R97" s="14"/>
    </row>
    <row r="98" spans="1:18" ht="15" customHeight="1" x14ac:dyDescent="0.3">
      <c r="A98" s="15" t="s">
        <v>26</v>
      </c>
      <c r="B98" s="15" t="s">
        <v>212</v>
      </c>
      <c r="C98" s="16">
        <v>0.78819444444444453</v>
      </c>
      <c r="D98" s="15" t="s">
        <v>34</v>
      </c>
      <c r="E98" s="15" t="s">
        <v>124</v>
      </c>
      <c r="F98" s="15" t="s">
        <v>35</v>
      </c>
      <c r="G98" s="174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47" t="s">
        <v>26</v>
      </c>
      <c r="B99" s="47" t="s">
        <v>213</v>
      </c>
      <c r="C99" s="48">
        <v>0.88888888888888884</v>
      </c>
      <c r="D99" s="47" t="s">
        <v>28</v>
      </c>
      <c r="E99" s="47" t="s">
        <v>307</v>
      </c>
      <c r="F99" s="47" t="s">
        <v>209</v>
      </c>
      <c r="G99" s="174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15" t="s">
        <v>26</v>
      </c>
      <c r="B100" s="15" t="s">
        <v>213</v>
      </c>
      <c r="C100" s="16">
        <v>0.88888888888888884</v>
      </c>
      <c r="D100" s="15" t="s">
        <v>31</v>
      </c>
      <c r="E100" s="15" t="s">
        <v>32</v>
      </c>
      <c r="F100" s="15" t="s">
        <v>211</v>
      </c>
      <c r="G100" s="174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5" t="s">
        <v>26</v>
      </c>
      <c r="B101" s="15" t="s">
        <v>213</v>
      </c>
      <c r="C101" s="16">
        <v>0.88888888888888884</v>
      </c>
      <c r="D101" s="15" t="s">
        <v>34</v>
      </c>
      <c r="E101" s="15" t="s">
        <v>32</v>
      </c>
      <c r="F101" s="15" t="s">
        <v>35</v>
      </c>
      <c r="G101" s="174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17" t="s">
        <v>36</v>
      </c>
      <c r="B102" s="17" t="s">
        <v>239</v>
      </c>
      <c r="C102" s="18">
        <v>0.90277777777777779</v>
      </c>
      <c r="D102" s="17" t="s">
        <v>38</v>
      </c>
      <c r="E102" s="17" t="s">
        <v>299</v>
      </c>
      <c r="F102" s="17" t="s">
        <v>240</v>
      </c>
      <c r="G102" s="174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15" t="s">
        <v>36</v>
      </c>
      <c r="B103" s="15" t="s">
        <v>239</v>
      </c>
      <c r="C103" s="16">
        <v>0.90277777777777779</v>
      </c>
      <c r="D103" s="15" t="s">
        <v>41</v>
      </c>
      <c r="E103" s="15" t="s">
        <v>117</v>
      </c>
      <c r="F103" s="15" t="s">
        <v>241</v>
      </c>
      <c r="G103" s="174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5" t="s">
        <v>36</v>
      </c>
      <c r="B104" s="15" t="s">
        <v>239</v>
      </c>
      <c r="C104" s="16">
        <v>0.90277777777777779</v>
      </c>
      <c r="D104" s="15" t="s">
        <v>44</v>
      </c>
      <c r="E104" s="15" t="s">
        <v>117</v>
      </c>
      <c r="F104" s="15" t="s">
        <v>40</v>
      </c>
      <c r="G104" s="174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47" t="s">
        <v>36</v>
      </c>
      <c r="B105" s="47" t="s">
        <v>252</v>
      </c>
      <c r="C105" s="48">
        <v>0.30208333333333331</v>
      </c>
      <c r="D105" s="47" t="s">
        <v>38</v>
      </c>
      <c r="E105" s="47" t="s">
        <v>74</v>
      </c>
      <c r="F105" s="47" t="s">
        <v>240</v>
      </c>
      <c r="G105" s="174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15" t="s">
        <v>36</v>
      </c>
      <c r="B106" s="15" t="s">
        <v>252</v>
      </c>
      <c r="C106" s="16">
        <v>0.30208333333333331</v>
      </c>
      <c r="D106" s="15" t="s">
        <v>41</v>
      </c>
      <c r="E106" s="15" t="s">
        <v>210</v>
      </c>
      <c r="F106" s="15" t="s">
        <v>241</v>
      </c>
      <c r="G106" s="174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5" t="s">
        <v>36</v>
      </c>
      <c r="B107" s="15" t="s">
        <v>252</v>
      </c>
      <c r="C107" s="16">
        <v>0.30208333333333331</v>
      </c>
      <c r="D107" s="15" t="s">
        <v>44</v>
      </c>
      <c r="E107" s="15" t="s">
        <v>210</v>
      </c>
      <c r="F107" s="15" t="s">
        <v>40</v>
      </c>
      <c r="G107" s="174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47" t="s">
        <v>36</v>
      </c>
      <c r="B108" s="47" t="s">
        <v>243</v>
      </c>
      <c r="C108" s="48">
        <v>0.79861111111111116</v>
      </c>
      <c r="D108" s="47" t="s">
        <v>38</v>
      </c>
      <c r="E108" s="47" t="s">
        <v>116</v>
      </c>
      <c r="F108" s="47" t="s">
        <v>240</v>
      </c>
      <c r="G108" s="174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5" t="s">
        <v>36</v>
      </c>
      <c r="B109" s="15" t="s">
        <v>243</v>
      </c>
      <c r="C109" s="16">
        <v>0.79861111111111116</v>
      </c>
      <c r="D109" s="15" t="s">
        <v>41</v>
      </c>
      <c r="E109" s="15" t="s">
        <v>117</v>
      </c>
      <c r="F109" s="15" t="s">
        <v>241</v>
      </c>
      <c r="G109" s="174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15" t="s">
        <v>36</v>
      </c>
      <c r="B110" s="15" t="s">
        <v>243</v>
      </c>
      <c r="C110" s="16">
        <v>0.79861111111111116</v>
      </c>
      <c r="D110" s="15" t="s">
        <v>44</v>
      </c>
      <c r="E110" s="15" t="s">
        <v>117</v>
      </c>
      <c r="F110" s="15" t="s">
        <v>40</v>
      </c>
      <c r="G110" s="174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47" t="s">
        <v>36</v>
      </c>
      <c r="B111" s="47" t="s">
        <v>244</v>
      </c>
      <c r="C111" s="48">
        <v>0.25694444444444448</v>
      </c>
      <c r="D111" s="47" t="s">
        <v>38</v>
      </c>
      <c r="E111" s="47" t="s">
        <v>250</v>
      </c>
      <c r="F111" s="47" t="s">
        <v>245</v>
      </c>
      <c r="G111" s="174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15" t="s">
        <v>36</v>
      </c>
      <c r="B112" s="15" t="s">
        <v>244</v>
      </c>
      <c r="C112" s="16">
        <v>0.25694444444444448</v>
      </c>
      <c r="D112" s="15" t="s">
        <v>41</v>
      </c>
      <c r="E112" s="15" t="s">
        <v>102</v>
      </c>
      <c r="F112" s="15" t="s">
        <v>247</v>
      </c>
      <c r="G112" s="174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15" t="s">
        <v>36</v>
      </c>
      <c r="B113" s="15" t="s">
        <v>244</v>
      </c>
      <c r="C113" s="16">
        <v>0.25694444444444448</v>
      </c>
      <c r="D113" s="15" t="s">
        <v>44</v>
      </c>
      <c r="E113" s="15" t="s">
        <v>102</v>
      </c>
      <c r="F113" s="15" t="s">
        <v>248</v>
      </c>
      <c r="G113" s="174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x14ac:dyDescent="0.3">
      <c r="A114" s="47" t="s">
        <v>36</v>
      </c>
      <c r="B114" s="47" t="s">
        <v>249</v>
      </c>
      <c r="C114" s="48">
        <v>0.64583333333333337</v>
      </c>
      <c r="D114" s="47" t="s">
        <v>38</v>
      </c>
      <c r="E114" s="47" t="s">
        <v>228</v>
      </c>
      <c r="F114" s="47" t="s">
        <v>245</v>
      </c>
      <c r="G114" s="174"/>
      <c r="H114" s="10"/>
      <c r="I114" s="11"/>
      <c r="J114" s="11"/>
      <c r="K114" s="11"/>
      <c r="L114" s="11"/>
      <c r="M114" s="11"/>
      <c r="N114" s="11"/>
      <c r="O114" s="12"/>
      <c r="P114" s="11"/>
      <c r="Q114" s="13"/>
      <c r="R114" s="14"/>
    </row>
    <row r="115" spans="1:18" ht="15" customHeight="1" x14ac:dyDescent="0.3">
      <c r="A115" s="15" t="s">
        <v>36</v>
      </c>
      <c r="B115" s="15" t="s">
        <v>249</v>
      </c>
      <c r="C115" s="16">
        <v>0.64583333333333337</v>
      </c>
      <c r="D115" s="15" t="s">
        <v>41</v>
      </c>
      <c r="E115" s="15" t="s">
        <v>308</v>
      </c>
      <c r="F115" s="15" t="s">
        <v>247</v>
      </c>
      <c r="G115" s="174"/>
      <c r="H115" s="10"/>
      <c r="I115" s="11"/>
      <c r="J115" s="11"/>
      <c r="K115" s="11"/>
      <c r="L115" s="11"/>
      <c r="M115" s="11"/>
      <c r="N115" s="11"/>
      <c r="O115" s="12"/>
      <c r="P115" s="11"/>
      <c r="Q115" s="13"/>
      <c r="R115" s="14"/>
    </row>
    <row r="116" spans="1:18" ht="15" customHeight="1" x14ac:dyDescent="0.3">
      <c r="A116" s="15" t="s">
        <v>36</v>
      </c>
      <c r="B116" s="15" t="s">
        <v>249</v>
      </c>
      <c r="C116" s="16">
        <v>0.64583333333333337</v>
      </c>
      <c r="D116" s="15" t="s">
        <v>44</v>
      </c>
      <c r="E116" s="15" t="s">
        <v>308</v>
      </c>
      <c r="F116" s="15" t="s">
        <v>248</v>
      </c>
      <c r="G116" s="174"/>
      <c r="H116" s="10"/>
      <c r="I116" s="11"/>
      <c r="J116" s="11"/>
      <c r="K116" s="11"/>
      <c r="L116" s="11"/>
      <c r="M116" s="11"/>
      <c r="N116" s="11"/>
      <c r="O116" s="12"/>
      <c r="P116" s="11"/>
      <c r="Q116" s="13"/>
      <c r="R116" s="14"/>
    </row>
    <row r="117" spans="1:18" ht="15" customHeight="1" x14ac:dyDescent="0.3">
      <c r="A117" s="47" t="s">
        <v>36</v>
      </c>
      <c r="B117" s="47" t="s">
        <v>251</v>
      </c>
      <c r="C117" s="48">
        <v>0.51736111111111105</v>
      </c>
      <c r="D117" s="47" t="s">
        <v>38</v>
      </c>
      <c r="E117" s="47" t="s">
        <v>250</v>
      </c>
      <c r="F117" s="47" t="s">
        <v>245</v>
      </c>
      <c r="G117" s="174"/>
      <c r="H117" s="10"/>
      <c r="I117" s="11"/>
      <c r="J117" s="11"/>
      <c r="K117" s="11"/>
      <c r="L117" s="11"/>
      <c r="M117" s="11"/>
      <c r="N117" s="11"/>
      <c r="O117" s="12"/>
      <c r="P117" s="11"/>
      <c r="Q117" s="13"/>
      <c r="R117" s="14"/>
    </row>
    <row r="118" spans="1:18" ht="15" customHeight="1" x14ac:dyDescent="0.3">
      <c r="A118" s="15" t="s">
        <v>36</v>
      </c>
      <c r="B118" s="15" t="s">
        <v>251</v>
      </c>
      <c r="C118" s="16">
        <v>0.51736111111111105</v>
      </c>
      <c r="D118" s="15" t="s">
        <v>41</v>
      </c>
      <c r="E118" s="15" t="s">
        <v>102</v>
      </c>
      <c r="F118" s="15" t="s">
        <v>247</v>
      </c>
      <c r="G118" s="174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5" t="s">
        <v>36</v>
      </c>
      <c r="B119" s="15" t="s">
        <v>251</v>
      </c>
      <c r="C119" s="16">
        <v>0.51736111111111105</v>
      </c>
      <c r="D119" s="15" t="s">
        <v>44</v>
      </c>
      <c r="E119" s="15" t="s">
        <v>102</v>
      </c>
      <c r="F119" s="15" t="s">
        <v>248</v>
      </c>
      <c r="G119" s="174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47" t="s">
        <v>36</v>
      </c>
      <c r="B120" s="47" t="s">
        <v>242</v>
      </c>
      <c r="C120" s="48">
        <v>0.85416666666666663</v>
      </c>
      <c r="D120" s="47" t="s">
        <v>38</v>
      </c>
      <c r="E120" s="47" t="s">
        <v>88</v>
      </c>
      <c r="F120" s="47" t="s">
        <v>245</v>
      </c>
      <c r="G120" s="174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15" t="s">
        <v>36</v>
      </c>
      <c r="B121" s="15" t="s">
        <v>242</v>
      </c>
      <c r="C121" s="16">
        <v>0.85416666666666663</v>
      </c>
      <c r="D121" s="15" t="s">
        <v>41</v>
      </c>
      <c r="E121" s="15" t="s">
        <v>89</v>
      </c>
      <c r="F121" s="15" t="s">
        <v>247</v>
      </c>
      <c r="G121" s="174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x14ac:dyDescent="0.3">
      <c r="A122" s="15" t="s">
        <v>36</v>
      </c>
      <c r="B122" s="15" t="s">
        <v>242</v>
      </c>
      <c r="C122" s="16">
        <v>0.85416666666666663</v>
      </c>
      <c r="D122" s="15" t="s">
        <v>44</v>
      </c>
      <c r="E122" s="15" t="s">
        <v>89</v>
      </c>
      <c r="F122" s="15" t="s">
        <v>248</v>
      </c>
      <c r="G122" s="174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</row>
    <row r="123" spans="1:18" ht="15" customHeight="1" x14ac:dyDescent="0.3">
      <c r="A123" s="47" t="s">
        <v>36</v>
      </c>
      <c r="B123" s="47" t="s">
        <v>253</v>
      </c>
      <c r="C123" s="48">
        <v>0.39583333333333331</v>
      </c>
      <c r="D123" s="47" t="s">
        <v>38</v>
      </c>
      <c r="E123" s="47" t="s">
        <v>250</v>
      </c>
      <c r="F123" s="47" t="s">
        <v>245</v>
      </c>
      <c r="G123" s="174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</row>
    <row r="124" spans="1:18" ht="15" customHeight="1" x14ac:dyDescent="0.3">
      <c r="A124" s="15" t="s">
        <v>36</v>
      </c>
      <c r="B124" s="15" t="s">
        <v>253</v>
      </c>
      <c r="C124" s="16">
        <v>0.39583333333333331</v>
      </c>
      <c r="D124" s="15" t="s">
        <v>41</v>
      </c>
      <c r="E124" s="15" t="s">
        <v>102</v>
      </c>
      <c r="F124" s="15" t="s">
        <v>247</v>
      </c>
      <c r="G124" s="174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</row>
    <row r="125" spans="1:18" ht="15" customHeight="1" x14ac:dyDescent="0.3">
      <c r="A125" s="15" t="s">
        <v>36</v>
      </c>
      <c r="B125" s="15" t="s">
        <v>253</v>
      </c>
      <c r="C125" s="16">
        <v>0.39583333333333331</v>
      </c>
      <c r="D125" s="15" t="s">
        <v>44</v>
      </c>
      <c r="E125" s="15" t="s">
        <v>102</v>
      </c>
      <c r="F125" s="15" t="s">
        <v>248</v>
      </c>
      <c r="G125" s="174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</row>
    <row r="126" spans="1:18" ht="15" customHeight="1" x14ac:dyDescent="0.3">
      <c r="A126" s="17" t="s">
        <v>257</v>
      </c>
      <c r="B126" s="17" t="s">
        <v>309</v>
      </c>
      <c r="C126" s="18">
        <v>0.3923611111111111</v>
      </c>
      <c r="D126" s="17" t="s">
        <v>259</v>
      </c>
      <c r="E126" s="17" t="s">
        <v>100</v>
      </c>
      <c r="F126" s="17" t="s">
        <v>260</v>
      </c>
      <c r="G126" s="174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15" t="s">
        <v>257</v>
      </c>
      <c r="B127" s="15" t="s">
        <v>309</v>
      </c>
      <c r="C127" s="16">
        <v>0.3923611111111111</v>
      </c>
      <c r="D127" s="15" t="s">
        <v>34</v>
      </c>
      <c r="E127" s="15" t="s">
        <v>102</v>
      </c>
      <c r="F127" s="15" t="s">
        <v>261</v>
      </c>
      <c r="G127" s="174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7" t="s">
        <v>65</v>
      </c>
      <c r="B128" s="17" t="s">
        <v>310</v>
      </c>
      <c r="C128" s="18">
        <v>0.78472222222222221</v>
      </c>
      <c r="D128" s="17" t="s">
        <v>67</v>
      </c>
      <c r="E128" s="17" t="s">
        <v>49</v>
      </c>
      <c r="F128" s="17" t="s">
        <v>311</v>
      </c>
      <c r="G128" s="174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47" t="s">
        <v>65</v>
      </c>
      <c r="B129" s="47" t="s">
        <v>312</v>
      </c>
      <c r="C129" s="48">
        <v>0.14583333333333329</v>
      </c>
      <c r="D129" s="47" t="s">
        <v>67</v>
      </c>
      <c r="E129" s="47" t="s">
        <v>70</v>
      </c>
      <c r="F129" s="47" t="s">
        <v>313</v>
      </c>
      <c r="G129" s="174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47" t="s">
        <v>65</v>
      </c>
      <c r="B130" s="47" t="s">
        <v>290</v>
      </c>
      <c r="C130" s="48">
        <v>0.4861111111111111</v>
      </c>
      <c r="D130" s="47" t="s">
        <v>67</v>
      </c>
      <c r="E130" s="47" t="s">
        <v>70</v>
      </c>
      <c r="F130" s="47" t="s">
        <v>314</v>
      </c>
      <c r="G130" s="174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47" t="s">
        <v>65</v>
      </c>
      <c r="B131" s="47" t="s">
        <v>295</v>
      </c>
      <c r="C131" s="48">
        <v>0.27430555555555552</v>
      </c>
      <c r="D131" s="47" t="s">
        <v>67</v>
      </c>
      <c r="E131" s="47" t="s">
        <v>70</v>
      </c>
      <c r="F131" s="47" t="s">
        <v>314</v>
      </c>
      <c r="G131" s="174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47" t="s">
        <v>65</v>
      </c>
      <c r="B132" s="47" t="s">
        <v>292</v>
      </c>
      <c r="C132" s="48">
        <v>0.50694444444444442</v>
      </c>
      <c r="D132" s="47" t="s">
        <v>67</v>
      </c>
      <c r="E132" s="47" t="s">
        <v>70</v>
      </c>
      <c r="F132" s="47" t="s">
        <v>314</v>
      </c>
      <c r="G132" s="174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47" t="s">
        <v>65</v>
      </c>
      <c r="B133" s="47" t="s">
        <v>315</v>
      </c>
      <c r="C133" s="48">
        <v>0.95833333333333337</v>
      </c>
      <c r="D133" s="47" t="s">
        <v>67</v>
      </c>
      <c r="E133" s="47" t="s">
        <v>70</v>
      </c>
      <c r="F133" s="47" t="s">
        <v>314</v>
      </c>
      <c r="G133" s="174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47" t="s">
        <v>65</v>
      </c>
      <c r="B134" s="47" t="s">
        <v>293</v>
      </c>
      <c r="C134" s="48">
        <v>0.22222222222222221</v>
      </c>
      <c r="D134" s="47" t="s">
        <v>67</v>
      </c>
      <c r="E134" s="47" t="s">
        <v>70</v>
      </c>
      <c r="F134" s="47" t="s">
        <v>314</v>
      </c>
      <c r="G134" s="174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47" t="s">
        <v>65</v>
      </c>
      <c r="B135" s="47" t="s">
        <v>316</v>
      </c>
      <c r="C135" s="48">
        <v>1.388888888888889E-2</v>
      </c>
      <c r="D135" s="47" t="s">
        <v>67</v>
      </c>
      <c r="E135" s="47" t="s">
        <v>70</v>
      </c>
      <c r="F135" s="47" t="s">
        <v>317</v>
      </c>
      <c r="G135" s="174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47" t="s">
        <v>65</v>
      </c>
      <c r="B136" s="47" t="s">
        <v>297</v>
      </c>
      <c r="C136" s="48">
        <v>0.77430555555555547</v>
      </c>
      <c r="D136" s="47" t="s">
        <v>67</v>
      </c>
      <c r="E136" s="47" t="s">
        <v>107</v>
      </c>
      <c r="F136" s="47" t="s">
        <v>298</v>
      </c>
      <c r="G136" s="174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7" t="s">
        <v>77</v>
      </c>
      <c r="B137" s="17" t="s">
        <v>274</v>
      </c>
      <c r="C137" s="18">
        <v>0.1423611111111111</v>
      </c>
      <c r="D137" s="17" t="s">
        <v>83</v>
      </c>
      <c r="E137" s="17" t="s">
        <v>299</v>
      </c>
      <c r="F137" s="17" t="s">
        <v>268</v>
      </c>
      <c r="G137" s="174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5" t="s">
        <v>77</v>
      </c>
      <c r="B138" s="15" t="s">
        <v>274</v>
      </c>
      <c r="C138" s="16">
        <v>0.1423611111111111</v>
      </c>
      <c r="D138" s="15" t="s">
        <v>79</v>
      </c>
      <c r="E138" s="15" t="s">
        <v>117</v>
      </c>
      <c r="F138" s="15" t="s">
        <v>269</v>
      </c>
      <c r="G138" s="174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47" t="s">
        <v>77</v>
      </c>
      <c r="B139" s="47" t="s">
        <v>270</v>
      </c>
      <c r="C139" s="48">
        <v>0.37847222222222232</v>
      </c>
      <c r="D139" s="47" t="s">
        <v>83</v>
      </c>
      <c r="E139" s="47" t="s">
        <v>70</v>
      </c>
      <c r="F139" s="47" t="s">
        <v>271</v>
      </c>
      <c r="G139" s="174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5" t="s">
        <v>77</v>
      </c>
      <c r="B140" s="15" t="s">
        <v>270</v>
      </c>
      <c r="C140" s="16">
        <v>0.37847222222222232</v>
      </c>
      <c r="D140" s="15" t="s">
        <v>79</v>
      </c>
      <c r="E140" s="15" t="s">
        <v>85</v>
      </c>
      <c r="F140" s="15" t="s">
        <v>272</v>
      </c>
      <c r="G140" s="174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47" t="s">
        <v>77</v>
      </c>
      <c r="B141" s="47" t="s">
        <v>273</v>
      </c>
      <c r="C141" s="48">
        <v>6.9444444444444441E-3</v>
      </c>
      <c r="D141" s="47" t="s">
        <v>83</v>
      </c>
      <c r="E141" s="47" t="s">
        <v>70</v>
      </c>
      <c r="F141" s="47" t="s">
        <v>271</v>
      </c>
      <c r="G141" s="174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15" t="s">
        <v>77</v>
      </c>
      <c r="B142" s="15" t="s">
        <v>273</v>
      </c>
      <c r="C142" s="16">
        <v>6.9444444444444441E-3</v>
      </c>
      <c r="D142" s="15" t="s">
        <v>79</v>
      </c>
      <c r="E142" s="15" t="s">
        <v>85</v>
      </c>
      <c r="F142" s="15" t="s">
        <v>272</v>
      </c>
      <c r="G142" s="174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47" t="s">
        <v>77</v>
      </c>
      <c r="B143" s="47" t="s">
        <v>267</v>
      </c>
      <c r="C143" s="48">
        <v>0.23958333333333329</v>
      </c>
      <c r="D143" s="47" t="s">
        <v>83</v>
      </c>
      <c r="E143" s="47" t="s">
        <v>70</v>
      </c>
      <c r="F143" s="47" t="s">
        <v>271</v>
      </c>
      <c r="G143" s="174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5" t="s">
        <v>77</v>
      </c>
      <c r="B144" s="15" t="s">
        <v>267</v>
      </c>
      <c r="C144" s="16">
        <v>0.23958333333333329</v>
      </c>
      <c r="D144" s="15" t="s">
        <v>79</v>
      </c>
      <c r="E144" s="15" t="s">
        <v>85</v>
      </c>
      <c r="F144" s="15" t="s">
        <v>272</v>
      </c>
      <c r="G144" s="174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47" t="s">
        <v>77</v>
      </c>
      <c r="B145" s="47" t="s">
        <v>275</v>
      </c>
      <c r="C145" s="48">
        <v>0.93055555555555547</v>
      </c>
      <c r="D145" s="47" t="s">
        <v>83</v>
      </c>
      <c r="E145" s="47" t="s">
        <v>70</v>
      </c>
      <c r="F145" s="47" t="s">
        <v>318</v>
      </c>
      <c r="G145" s="174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77</v>
      </c>
      <c r="B146" s="15" t="s">
        <v>275</v>
      </c>
      <c r="C146" s="16">
        <v>0.93055555555555547</v>
      </c>
      <c r="D146" s="15" t="s">
        <v>79</v>
      </c>
      <c r="E146" s="15" t="s">
        <v>85</v>
      </c>
      <c r="F146" s="15" t="s">
        <v>319</v>
      </c>
      <c r="G146" s="174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47" t="s">
        <v>77</v>
      </c>
      <c r="B147" s="47" t="s">
        <v>279</v>
      </c>
      <c r="C147" s="48">
        <v>0.88888888888888884</v>
      </c>
      <c r="D147" s="47" t="s">
        <v>79</v>
      </c>
      <c r="E147" s="47" t="s">
        <v>107</v>
      </c>
      <c r="F147" s="47" t="s">
        <v>280</v>
      </c>
      <c r="G147" s="174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47" t="s">
        <v>77</v>
      </c>
      <c r="B148" s="47" t="s">
        <v>281</v>
      </c>
      <c r="C148" s="48">
        <v>0.30208333333333331</v>
      </c>
      <c r="D148" s="47" t="s">
        <v>79</v>
      </c>
      <c r="E148" s="47" t="s">
        <v>107</v>
      </c>
      <c r="F148" s="47" t="s">
        <v>280</v>
      </c>
      <c r="G148" s="174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47" t="s">
        <v>77</v>
      </c>
      <c r="B149" s="47" t="s">
        <v>282</v>
      </c>
      <c r="C149" s="48">
        <v>0.12847222222222221</v>
      </c>
      <c r="D149" s="47" t="s">
        <v>79</v>
      </c>
      <c r="E149" s="47" t="s">
        <v>107</v>
      </c>
      <c r="F149" s="47" t="s">
        <v>280</v>
      </c>
      <c r="G149" s="174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x14ac:dyDescent="0.3">
      <c r="A150" s="47" t="s">
        <v>77</v>
      </c>
      <c r="B150" s="47" t="s">
        <v>283</v>
      </c>
      <c r="C150" s="48">
        <v>0.78819444444444453</v>
      </c>
      <c r="D150" s="47" t="s">
        <v>79</v>
      </c>
      <c r="E150" s="47" t="s">
        <v>107</v>
      </c>
      <c r="F150" s="47" t="s">
        <v>280</v>
      </c>
      <c r="G150" s="174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</row>
    <row r="151" spans="1:18" ht="15" customHeight="1" x14ac:dyDescent="0.3">
      <c r="A151" s="47" t="s">
        <v>77</v>
      </c>
      <c r="B151" s="47" t="s">
        <v>276</v>
      </c>
      <c r="C151" s="48">
        <v>0.71875</v>
      </c>
      <c r="D151" s="47" t="s">
        <v>83</v>
      </c>
      <c r="E151" s="47" t="s">
        <v>70</v>
      </c>
      <c r="F151" s="47" t="s">
        <v>285</v>
      </c>
      <c r="G151" s="174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15" t="s">
        <v>77</v>
      </c>
      <c r="B152" s="15" t="s">
        <v>276</v>
      </c>
      <c r="C152" s="16">
        <v>0.71875</v>
      </c>
      <c r="D152" s="15" t="s">
        <v>79</v>
      </c>
      <c r="E152" s="15" t="s">
        <v>85</v>
      </c>
      <c r="F152" s="15" t="s">
        <v>286</v>
      </c>
      <c r="G152" s="174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47" t="s">
        <v>77</v>
      </c>
      <c r="B153" s="47" t="s">
        <v>287</v>
      </c>
      <c r="C153" s="48">
        <v>0.61111111111111105</v>
      </c>
      <c r="D153" s="47" t="s">
        <v>83</v>
      </c>
      <c r="E153" s="47" t="s">
        <v>70</v>
      </c>
      <c r="F153" s="47" t="s">
        <v>285</v>
      </c>
      <c r="G153" s="174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15" t="s">
        <v>77</v>
      </c>
      <c r="B154" s="15" t="s">
        <v>287</v>
      </c>
      <c r="C154" s="16">
        <v>0.61111111111111105</v>
      </c>
      <c r="D154" s="15" t="s">
        <v>79</v>
      </c>
      <c r="E154" s="15" t="s">
        <v>85</v>
      </c>
      <c r="F154" s="15" t="s">
        <v>286</v>
      </c>
      <c r="G154" s="174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47" t="s">
        <v>77</v>
      </c>
      <c r="B155" s="47" t="s">
        <v>284</v>
      </c>
      <c r="C155" s="48">
        <v>0.82986111111111116</v>
      </c>
      <c r="D155" s="47" t="s">
        <v>83</v>
      </c>
      <c r="E155" s="47" t="s">
        <v>70</v>
      </c>
      <c r="F155" s="47" t="s">
        <v>285</v>
      </c>
      <c r="G155" s="174"/>
      <c r="H155" s="10"/>
      <c r="I155" s="11"/>
      <c r="J155" s="11"/>
      <c r="K155" s="11"/>
      <c r="L155" s="11"/>
      <c r="M155" s="11"/>
      <c r="N155" s="11"/>
      <c r="O155" s="12"/>
      <c r="P155" s="11"/>
      <c r="Q155" s="13"/>
      <c r="R155" s="14"/>
    </row>
    <row r="156" spans="1:18" ht="15" customHeight="1" thickBot="1" x14ac:dyDescent="0.35">
      <c r="A156" s="49" t="s">
        <v>77</v>
      </c>
      <c r="B156" s="49" t="s">
        <v>284</v>
      </c>
      <c r="C156" s="50">
        <v>0.82986111111111116</v>
      </c>
      <c r="D156" s="49" t="s">
        <v>79</v>
      </c>
      <c r="E156" s="49" t="s">
        <v>85</v>
      </c>
      <c r="F156" s="49" t="s">
        <v>286</v>
      </c>
      <c r="G156" s="175"/>
      <c r="H156" s="51"/>
      <c r="I156" s="52"/>
      <c r="J156" s="52"/>
      <c r="K156" s="52"/>
      <c r="L156" s="52"/>
      <c r="M156" s="52"/>
      <c r="N156" s="52"/>
      <c r="O156" s="53"/>
      <c r="P156" s="52"/>
      <c r="Q156" s="54"/>
      <c r="R156" s="55"/>
    </row>
    <row r="157" spans="1:18" ht="17.399999999999999" customHeight="1" thickBot="1" x14ac:dyDescent="0.35">
      <c r="A157" s="205"/>
      <c r="B157" s="206"/>
      <c r="C157" s="206"/>
      <c r="D157" s="206"/>
      <c r="E157" s="206"/>
      <c r="F157" s="206"/>
      <c r="G157" s="206"/>
      <c r="H157" s="206"/>
      <c r="I157" s="206"/>
      <c r="J157" s="206"/>
      <c r="K157" s="206"/>
      <c r="L157" s="206"/>
      <c r="M157" s="206"/>
      <c r="N157" s="206"/>
      <c r="O157" s="206"/>
      <c r="P157" s="206"/>
      <c r="Q157" s="206"/>
      <c r="R157" s="207"/>
    </row>
    <row r="158" spans="1:18" ht="22.05" customHeight="1" thickTop="1" thickBot="1" x14ac:dyDescent="0.35">
      <c r="A158" s="184" t="s">
        <v>6</v>
      </c>
      <c r="B158" s="180"/>
      <c r="C158" s="180"/>
      <c r="D158" s="180"/>
      <c r="E158" s="180"/>
      <c r="F158" s="181"/>
      <c r="G158" s="56">
        <v>45988</v>
      </c>
      <c r="H158" s="188" t="s">
        <v>7</v>
      </c>
      <c r="I158" s="180"/>
      <c r="J158" s="180"/>
      <c r="K158" s="180"/>
      <c r="L158" s="180"/>
      <c r="M158" s="180"/>
      <c r="N158" s="180"/>
      <c r="O158" s="180"/>
      <c r="P158" s="180"/>
      <c r="Q158" s="180"/>
      <c r="R158" s="181"/>
    </row>
    <row r="159" spans="1:18" ht="24" customHeight="1" x14ac:dyDescent="0.3">
      <c r="A159" s="57" t="s">
        <v>8</v>
      </c>
      <c r="B159" s="57" t="s">
        <v>9</v>
      </c>
      <c r="C159" s="58" t="s">
        <v>10</v>
      </c>
      <c r="D159" s="57" t="s">
        <v>11</v>
      </c>
      <c r="E159" s="57" t="s">
        <v>12</v>
      </c>
      <c r="F159" s="59" t="s">
        <v>13</v>
      </c>
      <c r="G159" s="60" t="s">
        <v>14</v>
      </c>
      <c r="H159" s="57" t="s">
        <v>15</v>
      </c>
      <c r="I159" s="61" t="s">
        <v>16</v>
      </c>
      <c r="J159" s="62" t="s">
        <v>17</v>
      </c>
      <c r="K159" s="63" t="s">
        <v>18</v>
      </c>
      <c r="L159" s="62" t="s">
        <v>19</v>
      </c>
      <c r="M159" s="62" t="s">
        <v>20</v>
      </c>
      <c r="N159" s="62" t="s">
        <v>21</v>
      </c>
      <c r="O159" s="57" t="s">
        <v>22</v>
      </c>
      <c r="P159" s="58" t="s">
        <v>23</v>
      </c>
      <c r="Q159" s="62" t="s">
        <v>24</v>
      </c>
      <c r="R159" s="57" t="s">
        <v>25</v>
      </c>
    </row>
    <row r="160" spans="1:18" ht="15" customHeight="1" x14ac:dyDescent="0.3">
      <c r="A160" s="8" t="s">
        <v>26</v>
      </c>
      <c r="B160" s="8" t="s">
        <v>214</v>
      </c>
      <c r="C160" s="9">
        <v>0.30208333333333331</v>
      </c>
      <c r="D160" s="8" t="s">
        <v>28</v>
      </c>
      <c r="E160" s="8" t="s">
        <v>39</v>
      </c>
      <c r="F160" s="8" t="s">
        <v>320</v>
      </c>
      <c r="G160" s="173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5" t="s">
        <v>26</v>
      </c>
      <c r="B161" s="15" t="s">
        <v>214</v>
      </c>
      <c r="C161" s="16">
        <v>0.30208333333333331</v>
      </c>
      <c r="D161" s="15" t="s">
        <v>31</v>
      </c>
      <c r="E161" s="15" t="s">
        <v>42</v>
      </c>
      <c r="F161" s="15" t="s">
        <v>321</v>
      </c>
      <c r="G161" s="174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15" t="s">
        <v>26</v>
      </c>
      <c r="B162" s="15" t="s">
        <v>214</v>
      </c>
      <c r="C162" s="16">
        <v>0.30208333333333331</v>
      </c>
      <c r="D162" s="15" t="s">
        <v>34</v>
      </c>
      <c r="E162" s="15" t="s">
        <v>42</v>
      </c>
      <c r="F162" s="15" t="s">
        <v>35</v>
      </c>
      <c r="G162" s="174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47" t="s">
        <v>26</v>
      </c>
      <c r="B163" s="47" t="s">
        <v>207</v>
      </c>
      <c r="C163" s="48">
        <v>0.12847222222222221</v>
      </c>
      <c r="D163" s="47" t="s">
        <v>28</v>
      </c>
      <c r="E163" s="47" t="s">
        <v>107</v>
      </c>
      <c r="F163" s="47" t="s">
        <v>320</v>
      </c>
      <c r="G163" s="174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15" t="s">
        <v>26</v>
      </c>
      <c r="B164" s="15" t="s">
        <v>207</v>
      </c>
      <c r="C164" s="16">
        <v>0.12847222222222221</v>
      </c>
      <c r="D164" s="15" t="s">
        <v>31</v>
      </c>
      <c r="E164" s="15" t="s">
        <v>113</v>
      </c>
      <c r="F164" s="15" t="s">
        <v>321</v>
      </c>
      <c r="G164" s="174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15" t="s">
        <v>26</v>
      </c>
      <c r="B165" s="15" t="s">
        <v>207</v>
      </c>
      <c r="C165" s="16">
        <v>0.12847222222222221</v>
      </c>
      <c r="D165" s="15" t="s">
        <v>34</v>
      </c>
      <c r="E165" s="15" t="s">
        <v>113</v>
      </c>
      <c r="F165" s="15" t="s">
        <v>35</v>
      </c>
      <c r="G165" s="174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47" t="s">
        <v>26</v>
      </c>
      <c r="B166" s="47" t="s">
        <v>212</v>
      </c>
      <c r="C166" s="48">
        <v>0.78819444444444453</v>
      </c>
      <c r="D166" s="47" t="s">
        <v>28</v>
      </c>
      <c r="E166" s="47" t="s">
        <v>307</v>
      </c>
      <c r="F166" s="47" t="s">
        <v>209</v>
      </c>
      <c r="G166" s="174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</row>
    <row r="167" spans="1:18" ht="15" customHeight="1" x14ac:dyDescent="0.3">
      <c r="A167" s="15" t="s">
        <v>26</v>
      </c>
      <c r="B167" s="15" t="s">
        <v>212</v>
      </c>
      <c r="C167" s="16">
        <v>0.78819444444444453</v>
      </c>
      <c r="D167" s="15" t="s">
        <v>31</v>
      </c>
      <c r="E167" s="15" t="s">
        <v>32</v>
      </c>
      <c r="F167" s="15" t="s">
        <v>211</v>
      </c>
      <c r="G167" s="174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</row>
    <row r="168" spans="1:18" ht="15" customHeight="1" x14ac:dyDescent="0.3">
      <c r="A168" s="15" t="s">
        <v>26</v>
      </c>
      <c r="B168" s="15" t="s">
        <v>212</v>
      </c>
      <c r="C168" s="16">
        <v>0.78819444444444453</v>
      </c>
      <c r="D168" s="15" t="s">
        <v>34</v>
      </c>
      <c r="E168" s="15" t="s">
        <v>32</v>
      </c>
      <c r="F168" s="15" t="s">
        <v>35</v>
      </c>
      <c r="G168" s="174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</row>
    <row r="169" spans="1:18" ht="15" customHeight="1" x14ac:dyDescent="0.3">
      <c r="A169" s="47" t="s">
        <v>26</v>
      </c>
      <c r="B169" s="47" t="s">
        <v>213</v>
      </c>
      <c r="C169" s="48">
        <v>0.88888888888888884</v>
      </c>
      <c r="D169" s="47" t="s">
        <v>28</v>
      </c>
      <c r="E169" s="47" t="s">
        <v>250</v>
      </c>
      <c r="F169" s="47" t="s">
        <v>209</v>
      </c>
      <c r="G169" s="174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</row>
    <row r="170" spans="1:18" ht="15" customHeight="1" x14ac:dyDescent="0.3">
      <c r="A170" s="15" t="s">
        <v>26</v>
      </c>
      <c r="B170" s="15" t="s">
        <v>213</v>
      </c>
      <c r="C170" s="16">
        <v>0.88888888888888884</v>
      </c>
      <c r="D170" s="15" t="s">
        <v>31</v>
      </c>
      <c r="E170" s="15" t="s">
        <v>102</v>
      </c>
      <c r="F170" s="15" t="s">
        <v>211</v>
      </c>
      <c r="G170" s="174"/>
      <c r="H170" s="10"/>
      <c r="I170" s="11"/>
      <c r="J170" s="11"/>
      <c r="K170" s="11"/>
      <c r="L170" s="11"/>
      <c r="M170" s="11"/>
      <c r="N170" s="11"/>
      <c r="O170" s="12"/>
      <c r="P170" s="11"/>
      <c r="Q170" s="13"/>
      <c r="R170" s="14"/>
    </row>
    <row r="171" spans="1:18" ht="15" customHeight="1" x14ac:dyDescent="0.3">
      <c r="A171" s="15" t="s">
        <v>26</v>
      </c>
      <c r="B171" s="15" t="s">
        <v>213</v>
      </c>
      <c r="C171" s="16">
        <v>0.88888888888888884</v>
      </c>
      <c r="D171" s="15" t="s">
        <v>34</v>
      </c>
      <c r="E171" s="15" t="s">
        <v>102</v>
      </c>
      <c r="F171" s="15" t="s">
        <v>35</v>
      </c>
      <c r="G171" s="174"/>
      <c r="H171" s="10"/>
      <c r="I171" s="11"/>
      <c r="J171" s="11"/>
      <c r="K171" s="11"/>
      <c r="L171" s="11"/>
      <c r="M171" s="11"/>
      <c r="N171" s="11"/>
      <c r="O171" s="12"/>
      <c r="P171" s="11"/>
      <c r="Q171" s="13"/>
      <c r="R171" s="14"/>
    </row>
    <row r="172" spans="1:18" ht="15" customHeight="1" x14ac:dyDescent="0.3">
      <c r="A172" s="17" t="s">
        <v>262</v>
      </c>
      <c r="B172" s="17" t="s">
        <v>263</v>
      </c>
      <c r="C172" s="18">
        <v>0.29166666666666669</v>
      </c>
      <c r="D172" s="17" t="s">
        <v>202</v>
      </c>
      <c r="E172" s="17" t="s">
        <v>49</v>
      </c>
      <c r="F172" s="17" t="s">
        <v>300</v>
      </c>
      <c r="G172" s="174"/>
      <c r="H172" s="10"/>
      <c r="I172" s="11"/>
      <c r="J172" s="11"/>
      <c r="K172" s="11"/>
      <c r="L172" s="11"/>
      <c r="M172" s="11"/>
      <c r="N172" s="11"/>
      <c r="O172" s="12"/>
      <c r="P172" s="11"/>
      <c r="Q172" s="13"/>
      <c r="R172" s="14"/>
    </row>
    <row r="173" spans="1:18" ht="15" customHeight="1" x14ac:dyDescent="0.3">
      <c r="A173" s="47" t="s">
        <v>262</v>
      </c>
      <c r="B173" s="47" t="s">
        <v>265</v>
      </c>
      <c r="C173" s="48">
        <v>0.59375</v>
      </c>
      <c r="D173" s="47" t="s">
        <v>202</v>
      </c>
      <c r="E173" s="47" t="s">
        <v>70</v>
      </c>
      <c r="F173" s="47" t="s">
        <v>300</v>
      </c>
      <c r="G173" s="174"/>
      <c r="H173" s="10"/>
      <c r="I173" s="11"/>
      <c r="J173" s="11"/>
      <c r="K173" s="11"/>
      <c r="L173" s="11"/>
      <c r="M173" s="11"/>
      <c r="N173" s="11"/>
      <c r="O173" s="12"/>
      <c r="P173" s="11"/>
      <c r="Q173" s="13"/>
      <c r="R173" s="14"/>
    </row>
    <row r="174" spans="1:18" ht="15" customHeight="1" x14ac:dyDescent="0.3">
      <c r="A174" s="140" t="s">
        <v>46</v>
      </c>
      <c r="B174" s="140" t="s">
        <v>322</v>
      </c>
      <c r="C174" s="141">
        <v>0.36458333333333331</v>
      </c>
      <c r="D174" s="140" t="s">
        <v>48</v>
      </c>
      <c r="E174" s="140" t="s">
        <v>49</v>
      </c>
      <c r="F174" s="140" t="s">
        <v>203</v>
      </c>
      <c r="G174" s="174"/>
      <c r="H174" s="30" t="s">
        <v>323</v>
      </c>
      <c r="I174" s="142">
        <v>0.24579999999999999</v>
      </c>
      <c r="J174" s="32">
        <v>44</v>
      </c>
      <c r="K174" s="33">
        <v>45981</v>
      </c>
      <c r="L174" s="32">
        <v>23</v>
      </c>
      <c r="M174" s="32">
        <v>0</v>
      </c>
      <c r="N174" s="32">
        <v>3</v>
      </c>
      <c r="O174" s="34" t="s">
        <v>302</v>
      </c>
      <c r="P174" s="35">
        <v>0.36458333333333331</v>
      </c>
      <c r="Q174" s="32">
        <v>179</v>
      </c>
      <c r="R174" s="36" t="s">
        <v>324</v>
      </c>
    </row>
    <row r="175" spans="1:18" ht="15" customHeight="1" x14ac:dyDescent="0.3">
      <c r="A175" s="107" t="s">
        <v>46</v>
      </c>
      <c r="B175" s="107" t="s">
        <v>325</v>
      </c>
      <c r="C175" s="108">
        <v>0.25347222222222221</v>
      </c>
      <c r="D175" s="107" t="s">
        <v>48</v>
      </c>
      <c r="E175" s="107" t="s">
        <v>70</v>
      </c>
      <c r="F175" s="107" t="s">
        <v>203</v>
      </c>
      <c r="G175" s="174"/>
      <c r="H175" s="109" t="s">
        <v>326</v>
      </c>
      <c r="I175" s="110">
        <v>0.31280000000000002</v>
      </c>
      <c r="J175" s="111">
        <v>56</v>
      </c>
      <c r="K175" s="112">
        <v>45981</v>
      </c>
      <c r="L175" s="111">
        <v>21</v>
      </c>
      <c r="M175" s="111">
        <v>0</v>
      </c>
      <c r="N175" s="111">
        <v>5</v>
      </c>
      <c r="O175" s="113" t="s">
        <v>302</v>
      </c>
      <c r="P175" s="114">
        <v>0.25347222222222221</v>
      </c>
      <c r="Q175" s="111">
        <v>179</v>
      </c>
      <c r="R175" s="115" t="s">
        <v>327</v>
      </c>
    </row>
    <row r="176" spans="1:18" ht="15" customHeight="1" x14ac:dyDescent="0.3">
      <c r="A176" s="143" t="s">
        <v>46</v>
      </c>
      <c r="B176" s="143" t="s">
        <v>227</v>
      </c>
      <c r="C176" s="144">
        <v>0.58333333333333337</v>
      </c>
      <c r="D176" s="143" t="s">
        <v>48</v>
      </c>
      <c r="E176" s="143" t="s">
        <v>70</v>
      </c>
      <c r="F176" s="143" t="s">
        <v>203</v>
      </c>
      <c r="G176" s="174"/>
      <c r="H176" s="145" t="s">
        <v>229</v>
      </c>
      <c r="I176" s="146">
        <v>0.76539999999999997</v>
      </c>
      <c r="J176" s="147">
        <v>137</v>
      </c>
      <c r="K176" s="148">
        <v>45981</v>
      </c>
      <c r="L176" s="147">
        <v>23</v>
      </c>
      <c r="M176" s="147">
        <v>0</v>
      </c>
      <c r="N176" s="147">
        <v>8</v>
      </c>
      <c r="O176" s="149" t="s">
        <v>302</v>
      </c>
      <c r="P176" s="150">
        <v>0.58333333333333337</v>
      </c>
      <c r="Q176" s="147">
        <v>179</v>
      </c>
      <c r="R176" s="151" t="s">
        <v>328</v>
      </c>
    </row>
    <row r="177" spans="1:18" ht="15" customHeight="1" x14ac:dyDescent="0.3">
      <c r="A177" s="28" t="s">
        <v>46</v>
      </c>
      <c r="B177" s="28" t="s">
        <v>329</v>
      </c>
      <c r="C177" s="29">
        <v>0.73958333333333337</v>
      </c>
      <c r="D177" s="28" t="s">
        <v>48</v>
      </c>
      <c r="E177" s="28" t="s">
        <v>70</v>
      </c>
      <c r="F177" s="28" t="s">
        <v>203</v>
      </c>
      <c r="G177" s="174"/>
      <c r="H177" s="30" t="s">
        <v>237</v>
      </c>
      <c r="I177" s="142">
        <v>0.50839999999999996</v>
      </c>
      <c r="J177" s="32">
        <v>91</v>
      </c>
      <c r="K177" s="33">
        <v>45981</v>
      </c>
      <c r="L177" s="32">
        <v>26</v>
      </c>
      <c r="M177" s="32">
        <v>0</v>
      </c>
      <c r="N177" s="32">
        <v>11</v>
      </c>
      <c r="O177" s="34" t="s">
        <v>302</v>
      </c>
      <c r="P177" s="35">
        <v>0.73958333333333337</v>
      </c>
      <c r="Q177" s="32">
        <v>179</v>
      </c>
      <c r="R177" s="36" t="s">
        <v>330</v>
      </c>
    </row>
    <row r="178" spans="1:18" ht="15" customHeight="1" x14ac:dyDescent="0.3">
      <c r="A178" s="143" t="s">
        <v>46</v>
      </c>
      <c r="B178" s="143" t="s">
        <v>217</v>
      </c>
      <c r="C178" s="144">
        <v>4.8611111111111112E-2</v>
      </c>
      <c r="D178" s="143" t="s">
        <v>48</v>
      </c>
      <c r="E178" s="143" t="s">
        <v>70</v>
      </c>
      <c r="F178" s="143" t="s">
        <v>218</v>
      </c>
      <c r="G178" s="174"/>
      <c r="H178" s="145" t="s">
        <v>219</v>
      </c>
      <c r="I178" s="152">
        <v>0.48039999999999999</v>
      </c>
      <c r="J178" s="147">
        <v>86</v>
      </c>
      <c r="K178" s="148">
        <v>45980</v>
      </c>
      <c r="L178" s="147">
        <v>2</v>
      </c>
      <c r="M178" s="147">
        <v>0</v>
      </c>
      <c r="N178" s="147">
        <v>0</v>
      </c>
      <c r="O178" s="149" t="s">
        <v>183</v>
      </c>
      <c r="P178" s="150">
        <v>4.8611111111111112E-2</v>
      </c>
      <c r="Q178" s="147">
        <v>179</v>
      </c>
      <c r="R178" s="151" t="s">
        <v>331</v>
      </c>
    </row>
    <row r="179" spans="1:18" ht="15" customHeight="1" x14ac:dyDescent="0.3">
      <c r="A179" s="107" t="s">
        <v>46</v>
      </c>
      <c r="B179" s="107" t="s">
        <v>221</v>
      </c>
      <c r="C179" s="108">
        <v>0.1145833333333333</v>
      </c>
      <c r="D179" s="107" t="s">
        <v>48</v>
      </c>
      <c r="E179" s="107" t="s">
        <v>70</v>
      </c>
      <c r="F179" s="107" t="s">
        <v>218</v>
      </c>
      <c r="G179" s="174"/>
      <c r="H179" s="109" t="s">
        <v>222</v>
      </c>
      <c r="I179" s="110">
        <v>0.2737</v>
      </c>
      <c r="J179" s="111">
        <v>49</v>
      </c>
      <c r="K179" s="112">
        <v>45981</v>
      </c>
      <c r="L179" s="111">
        <v>31</v>
      </c>
      <c r="M179" s="111">
        <v>0</v>
      </c>
      <c r="N179" s="111">
        <v>5</v>
      </c>
      <c r="O179" s="113" t="s">
        <v>183</v>
      </c>
      <c r="P179" s="114">
        <v>0.1145833333333333</v>
      </c>
      <c r="Q179" s="111">
        <v>179</v>
      </c>
      <c r="R179" s="115" t="s">
        <v>332</v>
      </c>
    </row>
    <row r="180" spans="1:18" ht="15" customHeight="1" x14ac:dyDescent="0.3">
      <c r="A180" s="37" t="s">
        <v>46</v>
      </c>
      <c r="B180" s="37" t="s">
        <v>224</v>
      </c>
      <c r="C180" s="38">
        <v>0.33333333333333331</v>
      </c>
      <c r="D180" s="37" t="s">
        <v>48</v>
      </c>
      <c r="E180" s="37" t="s">
        <v>74</v>
      </c>
      <c r="F180" s="37" t="s">
        <v>218</v>
      </c>
      <c r="G180" s="174"/>
      <c r="H180" s="40" t="s">
        <v>225</v>
      </c>
      <c r="I180" s="139">
        <v>0.80449999999999999</v>
      </c>
      <c r="J180" s="42">
        <v>144</v>
      </c>
      <c r="K180" s="43">
        <v>45981</v>
      </c>
      <c r="L180" s="42">
        <v>2</v>
      </c>
      <c r="M180" s="42">
        <v>0</v>
      </c>
      <c r="N180" s="42">
        <v>1</v>
      </c>
      <c r="O180" s="44" t="s">
        <v>333</v>
      </c>
      <c r="P180" s="45">
        <v>0.33333333333333331</v>
      </c>
      <c r="Q180" s="42">
        <v>179</v>
      </c>
      <c r="R180" s="46" t="s">
        <v>334</v>
      </c>
    </row>
    <row r="181" spans="1:18" ht="15" customHeight="1" x14ac:dyDescent="0.3">
      <c r="A181" s="17" t="s">
        <v>200</v>
      </c>
      <c r="B181" s="17" t="s">
        <v>205</v>
      </c>
      <c r="C181" s="18">
        <v>0.66666666666666663</v>
      </c>
      <c r="D181" s="17" t="s">
        <v>202</v>
      </c>
      <c r="E181" s="17" t="s">
        <v>39</v>
      </c>
      <c r="F181" s="17" t="s">
        <v>203</v>
      </c>
      <c r="G181" s="174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7" t="s">
        <v>36</v>
      </c>
      <c r="B182" s="17" t="s">
        <v>251</v>
      </c>
      <c r="C182" s="18">
        <v>0.51736111111111105</v>
      </c>
      <c r="D182" s="17" t="s">
        <v>38</v>
      </c>
      <c r="E182" s="17" t="s">
        <v>100</v>
      </c>
      <c r="F182" s="17" t="s">
        <v>335</v>
      </c>
      <c r="G182" s="174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15" t="s">
        <v>36</v>
      </c>
      <c r="B183" s="15" t="s">
        <v>251</v>
      </c>
      <c r="C183" s="16">
        <v>0.51736111111111105</v>
      </c>
      <c r="D183" s="15" t="s">
        <v>41</v>
      </c>
      <c r="E183" s="15" t="s">
        <v>102</v>
      </c>
      <c r="F183" s="15" t="s">
        <v>321</v>
      </c>
      <c r="G183" s="174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5" t="s">
        <v>36</v>
      </c>
      <c r="B184" s="15" t="s">
        <v>251</v>
      </c>
      <c r="C184" s="16">
        <v>0.51736111111111105</v>
      </c>
      <c r="D184" s="15" t="s">
        <v>44</v>
      </c>
      <c r="E184" s="15" t="s">
        <v>102</v>
      </c>
      <c r="F184" s="15" t="s">
        <v>206</v>
      </c>
      <c r="G184" s="174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47" t="s">
        <v>36</v>
      </c>
      <c r="B185" s="47" t="s">
        <v>244</v>
      </c>
      <c r="C185" s="48">
        <v>0.25694444444444448</v>
      </c>
      <c r="D185" s="47" t="s">
        <v>38</v>
      </c>
      <c r="E185" s="47" t="s">
        <v>228</v>
      </c>
      <c r="F185" s="47" t="s">
        <v>240</v>
      </c>
      <c r="G185" s="174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5" t="s">
        <v>36</v>
      </c>
      <c r="B186" s="15" t="s">
        <v>244</v>
      </c>
      <c r="C186" s="16">
        <v>0.25694444444444448</v>
      </c>
      <c r="D186" s="15" t="s">
        <v>41</v>
      </c>
      <c r="E186" s="15" t="s">
        <v>308</v>
      </c>
      <c r="F186" s="15" t="s">
        <v>241</v>
      </c>
      <c r="G186" s="174"/>
      <c r="H186" s="10"/>
      <c r="I186" s="11"/>
      <c r="J186" s="11"/>
      <c r="K186" s="11"/>
      <c r="L186" s="11"/>
      <c r="M186" s="11"/>
      <c r="N186" s="11"/>
      <c r="O186" s="12"/>
      <c r="P186" s="11"/>
      <c r="Q186" s="13"/>
      <c r="R186" s="14"/>
    </row>
    <row r="187" spans="1:18" ht="15" customHeight="1" x14ac:dyDescent="0.3">
      <c r="A187" s="15" t="s">
        <v>36</v>
      </c>
      <c r="B187" s="15" t="s">
        <v>244</v>
      </c>
      <c r="C187" s="16">
        <v>0.25694444444444448</v>
      </c>
      <c r="D187" s="15" t="s">
        <v>44</v>
      </c>
      <c r="E187" s="15" t="s">
        <v>308</v>
      </c>
      <c r="F187" s="15" t="s">
        <v>40</v>
      </c>
      <c r="G187" s="174"/>
      <c r="H187" s="10"/>
      <c r="I187" s="11"/>
      <c r="J187" s="11"/>
      <c r="K187" s="11"/>
      <c r="L187" s="11"/>
      <c r="M187" s="11"/>
      <c r="N187" s="11"/>
      <c r="O187" s="12"/>
      <c r="P187" s="11"/>
      <c r="Q187" s="13"/>
      <c r="R187" s="14"/>
    </row>
    <row r="188" spans="1:18" ht="15" customHeight="1" x14ac:dyDescent="0.3">
      <c r="A188" s="47" t="s">
        <v>36</v>
      </c>
      <c r="B188" s="47" t="s">
        <v>239</v>
      </c>
      <c r="C188" s="48">
        <v>0.90277777777777779</v>
      </c>
      <c r="D188" s="47" t="s">
        <v>38</v>
      </c>
      <c r="E188" s="47" t="s">
        <v>250</v>
      </c>
      <c r="F188" s="47" t="s">
        <v>240</v>
      </c>
      <c r="G188" s="174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5" t="s">
        <v>36</v>
      </c>
      <c r="B189" s="15" t="s">
        <v>239</v>
      </c>
      <c r="C189" s="16">
        <v>0.90277777777777779</v>
      </c>
      <c r="D189" s="15" t="s">
        <v>41</v>
      </c>
      <c r="E189" s="15" t="s">
        <v>102</v>
      </c>
      <c r="F189" s="15" t="s">
        <v>241</v>
      </c>
      <c r="G189" s="174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5" t="s">
        <v>36</v>
      </c>
      <c r="B190" s="15" t="s">
        <v>239</v>
      </c>
      <c r="C190" s="16">
        <v>0.90277777777777779</v>
      </c>
      <c r="D190" s="15" t="s">
        <v>44</v>
      </c>
      <c r="E190" s="15" t="s">
        <v>102</v>
      </c>
      <c r="F190" s="15" t="s">
        <v>40</v>
      </c>
      <c r="G190" s="174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47" t="s">
        <v>36</v>
      </c>
      <c r="B191" s="47" t="s">
        <v>249</v>
      </c>
      <c r="C191" s="48">
        <v>0.65972222222222221</v>
      </c>
      <c r="D191" s="47" t="s">
        <v>38</v>
      </c>
      <c r="E191" s="47" t="s">
        <v>250</v>
      </c>
      <c r="F191" s="47" t="s">
        <v>240</v>
      </c>
      <c r="G191" s="174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15" t="s">
        <v>36</v>
      </c>
      <c r="B192" s="15" t="s">
        <v>249</v>
      </c>
      <c r="C192" s="16">
        <v>0.65972222222222221</v>
      </c>
      <c r="D192" s="15" t="s">
        <v>41</v>
      </c>
      <c r="E192" s="15" t="s">
        <v>102</v>
      </c>
      <c r="F192" s="15" t="s">
        <v>241</v>
      </c>
      <c r="G192" s="174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5" t="s">
        <v>36</v>
      </c>
      <c r="B193" s="15" t="s">
        <v>249</v>
      </c>
      <c r="C193" s="16">
        <v>0.65972222222222221</v>
      </c>
      <c r="D193" s="15" t="s">
        <v>44</v>
      </c>
      <c r="E193" s="15" t="s">
        <v>102</v>
      </c>
      <c r="F193" s="15" t="s">
        <v>40</v>
      </c>
      <c r="G193" s="174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47" t="s">
        <v>36</v>
      </c>
      <c r="B194" s="47" t="s">
        <v>242</v>
      </c>
      <c r="C194" s="48">
        <v>0.85416666666666663</v>
      </c>
      <c r="D194" s="47" t="s">
        <v>38</v>
      </c>
      <c r="E194" s="47" t="s">
        <v>250</v>
      </c>
      <c r="F194" s="47" t="s">
        <v>240</v>
      </c>
      <c r="G194" s="174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5" t="s">
        <v>36</v>
      </c>
      <c r="B195" s="15" t="s">
        <v>242</v>
      </c>
      <c r="C195" s="16">
        <v>0.85416666666666663</v>
      </c>
      <c r="D195" s="15" t="s">
        <v>41</v>
      </c>
      <c r="E195" s="15" t="s">
        <v>102</v>
      </c>
      <c r="F195" s="15" t="s">
        <v>241</v>
      </c>
      <c r="G195" s="174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5" t="s">
        <v>36</v>
      </c>
      <c r="B196" s="15" t="s">
        <v>242</v>
      </c>
      <c r="C196" s="16">
        <v>0.85416666666666663</v>
      </c>
      <c r="D196" s="15" t="s">
        <v>44</v>
      </c>
      <c r="E196" s="15" t="s">
        <v>102</v>
      </c>
      <c r="F196" s="15" t="s">
        <v>40</v>
      </c>
      <c r="G196" s="174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47" t="s">
        <v>36</v>
      </c>
      <c r="B197" s="47" t="s">
        <v>253</v>
      </c>
      <c r="C197" s="48">
        <v>0.39583333333333331</v>
      </c>
      <c r="D197" s="47" t="s">
        <v>38</v>
      </c>
      <c r="E197" s="47" t="s">
        <v>250</v>
      </c>
      <c r="F197" s="47" t="s">
        <v>240</v>
      </c>
      <c r="G197" s="174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5" t="s">
        <v>36</v>
      </c>
      <c r="B198" s="15" t="s">
        <v>253</v>
      </c>
      <c r="C198" s="16">
        <v>0.39583333333333331</v>
      </c>
      <c r="D198" s="15" t="s">
        <v>41</v>
      </c>
      <c r="E198" s="15" t="s">
        <v>102</v>
      </c>
      <c r="F198" s="15" t="s">
        <v>241</v>
      </c>
      <c r="G198" s="174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15" t="s">
        <v>36</v>
      </c>
      <c r="B199" s="15" t="s">
        <v>253</v>
      </c>
      <c r="C199" s="16">
        <v>0.39583333333333331</v>
      </c>
      <c r="D199" s="15" t="s">
        <v>44</v>
      </c>
      <c r="E199" s="15" t="s">
        <v>102</v>
      </c>
      <c r="F199" s="15" t="s">
        <v>40</v>
      </c>
      <c r="G199" s="174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47" t="s">
        <v>36</v>
      </c>
      <c r="B200" s="47" t="s">
        <v>252</v>
      </c>
      <c r="C200" s="48">
        <v>0.30208333333333331</v>
      </c>
      <c r="D200" s="47" t="s">
        <v>38</v>
      </c>
      <c r="E200" s="47" t="s">
        <v>250</v>
      </c>
      <c r="F200" s="47" t="s">
        <v>240</v>
      </c>
      <c r="G200" s="174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5" t="s">
        <v>36</v>
      </c>
      <c r="B201" s="15" t="s">
        <v>252</v>
      </c>
      <c r="C201" s="16">
        <v>0.30208333333333331</v>
      </c>
      <c r="D201" s="15" t="s">
        <v>41</v>
      </c>
      <c r="E201" s="15" t="s">
        <v>102</v>
      </c>
      <c r="F201" s="15" t="s">
        <v>241</v>
      </c>
      <c r="G201" s="174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x14ac:dyDescent="0.3">
      <c r="A202" s="15" t="s">
        <v>36</v>
      </c>
      <c r="B202" s="15" t="s">
        <v>252</v>
      </c>
      <c r="C202" s="16">
        <v>0.30208333333333331</v>
      </c>
      <c r="D202" s="15" t="s">
        <v>44</v>
      </c>
      <c r="E202" s="15" t="s">
        <v>102</v>
      </c>
      <c r="F202" s="15" t="s">
        <v>40</v>
      </c>
      <c r="G202" s="174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</row>
    <row r="203" spans="1:18" ht="15" customHeight="1" x14ac:dyDescent="0.3">
      <c r="A203" s="47" t="s">
        <v>36</v>
      </c>
      <c r="B203" s="47" t="s">
        <v>243</v>
      </c>
      <c r="C203" s="48">
        <v>0.79861111111111116</v>
      </c>
      <c r="D203" s="47" t="s">
        <v>38</v>
      </c>
      <c r="E203" s="47" t="s">
        <v>250</v>
      </c>
      <c r="F203" s="47" t="s">
        <v>240</v>
      </c>
      <c r="G203" s="174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</row>
    <row r="204" spans="1:18" ht="15" customHeight="1" x14ac:dyDescent="0.3">
      <c r="A204" s="15" t="s">
        <v>36</v>
      </c>
      <c r="B204" s="15" t="s">
        <v>243</v>
      </c>
      <c r="C204" s="16">
        <v>0.79861111111111116</v>
      </c>
      <c r="D204" s="15" t="s">
        <v>41</v>
      </c>
      <c r="E204" s="15" t="s">
        <v>102</v>
      </c>
      <c r="F204" s="15" t="s">
        <v>241</v>
      </c>
      <c r="G204" s="174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15" t="s">
        <v>36</v>
      </c>
      <c r="B205" s="15" t="s">
        <v>243</v>
      </c>
      <c r="C205" s="16">
        <v>0.79861111111111116</v>
      </c>
      <c r="D205" s="15" t="s">
        <v>44</v>
      </c>
      <c r="E205" s="15" t="s">
        <v>102</v>
      </c>
      <c r="F205" s="15" t="s">
        <v>40</v>
      </c>
      <c r="G205" s="174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17" t="s">
        <v>257</v>
      </c>
      <c r="B206" s="17" t="s">
        <v>309</v>
      </c>
      <c r="C206" s="18">
        <v>0.3298611111111111</v>
      </c>
      <c r="D206" s="17" t="s">
        <v>259</v>
      </c>
      <c r="E206" s="17" t="s">
        <v>100</v>
      </c>
      <c r="F206" s="17" t="s">
        <v>336</v>
      </c>
      <c r="G206" s="174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5" t="s">
        <v>257</v>
      </c>
      <c r="B207" s="15" t="s">
        <v>309</v>
      </c>
      <c r="C207" s="16">
        <v>0.3298611111111111</v>
      </c>
      <c r="D207" s="15" t="s">
        <v>34</v>
      </c>
      <c r="E207" s="15" t="s">
        <v>102</v>
      </c>
      <c r="F207" s="15" t="s">
        <v>337</v>
      </c>
      <c r="G207" s="174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7" t="s">
        <v>65</v>
      </c>
      <c r="B208" s="17" t="s">
        <v>312</v>
      </c>
      <c r="C208" s="18">
        <v>0.14583333333333329</v>
      </c>
      <c r="D208" s="17" t="s">
        <v>67</v>
      </c>
      <c r="E208" s="17" t="s">
        <v>49</v>
      </c>
      <c r="F208" s="17" t="s">
        <v>311</v>
      </c>
      <c r="G208" s="174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47" t="s">
        <v>65</v>
      </c>
      <c r="B209" s="47" t="s">
        <v>290</v>
      </c>
      <c r="C209" s="48">
        <v>0.4861111111111111</v>
      </c>
      <c r="D209" s="47" t="s">
        <v>67</v>
      </c>
      <c r="E209" s="47" t="s">
        <v>70</v>
      </c>
      <c r="F209" s="47" t="s">
        <v>313</v>
      </c>
      <c r="G209" s="174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47" t="s">
        <v>65</v>
      </c>
      <c r="B210" s="47" t="s">
        <v>292</v>
      </c>
      <c r="C210" s="48">
        <v>0.51388888888888895</v>
      </c>
      <c r="D210" s="47" t="s">
        <v>67</v>
      </c>
      <c r="E210" s="47" t="s">
        <v>70</v>
      </c>
      <c r="F210" s="47" t="s">
        <v>313</v>
      </c>
      <c r="G210" s="174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47" t="s">
        <v>65</v>
      </c>
      <c r="B211" s="47" t="s">
        <v>293</v>
      </c>
      <c r="C211" s="48">
        <v>0.22222222222222221</v>
      </c>
      <c r="D211" s="47" t="s">
        <v>67</v>
      </c>
      <c r="E211" s="47" t="s">
        <v>70</v>
      </c>
      <c r="F211" s="47" t="s">
        <v>313</v>
      </c>
      <c r="G211" s="174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47" t="s">
        <v>65</v>
      </c>
      <c r="B212" s="47" t="s">
        <v>315</v>
      </c>
      <c r="C212" s="48">
        <v>0.95833333333333337</v>
      </c>
      <c r="D212" s="47" t="s">
        <v>67</v>
      </c>
      <c r="E212" s="47" t="s">
        <v>70</v>
      </c>
      <c r="F212" s="47" t="s">
        <v>314</v>
      </c>
      <c r="G212" s="174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47" t="s">
        <v>65</v>
      </c>
      <c r="B213" s="47" t="s">
        <v>316</v>
      </c>
      <c r="C213" s="48">
        <v>1.388888888888889E-2</v>
      </c>
      <c r="D213" s="47" t="s">
        <v>67</v>
      </c>
      <c r="E213" s="47" t="s">
        <v>70</v>
      </c>
      <c r="F213" s="47" t="s">
        <v>291</v>
      </c>
      <c r="G213" s="174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47" t="s">
        <v>65</v>
      </c>
      <c r="B214" s="47" t="s">
        <v>295</v>
      </c>
      <c r="C214" s="48">
        <v>0.27777777777777779</v>
      </c>
      <c r="D214" s="47" t="s">
        <v>67</v>
      </c>
      <c r="E214" s="47" t="s">
        <v>70</v>
      </c>
      <c r="F214" s="47" t="s">
        <v>291</v>
      </c>
      <c r="G214" s="174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47" t="s">
        <v>65</v>
      </c>
      <c r="B215" s="47" t="s">
        <v>297</v>
      </c>
      <c r="C215" s="48">
        <v>0.77430555555555547</v>
      </c>
      <c r="D215" s="47" t="s">
        <v>67</v>
      </c>
      <c r="E215" s="47" t="s">
        <v>70</v>
      </c>
      <c r="F215" s="47" t="s">
        <v>291</v>
      </c>
      <c r="G215" s="174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17" t="s">
        <v>77</v>
      </c>
      <c r="B216" s="17" t="s">
        <v>270</v>
      </c>
      <c r="C216" s="18">
        <v>0.37847222222222232</v>
      </c>
      <c r="D216" s="17" t="s">
        <v>83</v>
      </c>
      <c r="E216" s="17" t="s">
        <v>49</v>
      </c>
      <c r="F216" s="17" t="s">
        <v>268</v>
      </c>
      <c r="G216" s="174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5" t="s">
        <v>77</v>
      </c>
      <c r="B217" s="15" t="s">
        <v>270</v>
      </c>
      <c r="C217" s="16">
        <v>0.37847222222222232</v>
      </c>
      <c r="D217" s="15" t="s">
        <v>79</v>
      </c>
      <c r="E217" s="15" t="s">
        <v>85</v>
      </c>
      <c r="F217" s="15" t="s">
        <v>269</v>
      </c>
      <c r="G217" s="174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47" t="s">
        <v>77</v>
      </c>
      <c r="B218" s="47" t="s">
        <v>267</v>
      </c>
      <c r="C218" s="48">
        <v>0.24305555555555561</v>
      </c>
      <c r="D218" s="47" t="s">
        <v>83</v>
      </c>
      <c r="E218" s="47" t="s">
        <v>70</v>
      </c>
      <c r="F218" s="47" t="s">
        <v>268</v>
      </c>
      <c r="G218" s="174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5" t="s">
        <v>77</v>
      </c>
      <c r="B219" s="15" t="s">
        <v>267</v>
      </c>
      <c r="C219" s="16">
        <v>0.24305555555555561</v>
      </c>
      <c r="D219" s="15" t="s">
        <v>79</v>
      </c>
      <c r="E219" s="15" t="s">
        <v>85</v>
      </c>
      <c r="F219" s="15" t="s">
        <v>269</v>
      </c>
      <c r="G219" s="174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47" t="s">
        <v>77</v>
      </c>
      <c r="B220" s="47" t="s">
        <v>274</v>
      </c>
      <c r="C220" s="48">
        <v>0.1423611111111111</v>
      </c>
      <c r="D220" s="47" t="s">
        <v>83</v>
      </c>
      <c r="E220" s="47" t="s">
        <v>70</v>
      </c>
      <c r="F220" s="47" t="s">
        <v>268</v>
      </c>
      <c r="G220" s="174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5" t="s">
        <v>77</v>
      </c>
      <c r="B221" s="15" t="s">
        <v>274</v>
      </c>
      <c r="C221" s="16">
        <v>0.1423611111111111</v>
      </c>
      <c r="D221" s="15" t="s">
        <v>79</v>
      </c>
      <c r="E221" s="15" t="s">
        <v>85</v>
      </c>
      <c r="F221" s="15" t="s">
        <v>269</v>
      </c>
      <c r="G221" s="174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x14ac:dyDescent="0.3">
      <c r="A222" s="47" t="s">
        <v>77</v>
      </c>
      <c r="B222" s="47" t="s">
        <v>273</v>
      </c>
      <c r="C222" s="48">
        <v>6.9444444444444441E-3</v>
      </c>
      <c r="D222" s="47" t="s">
        <v>83</v>
      </c>
      <c r="E222" s="47" t="s">
        <v>70</v>
      </c>
      <c r="F222" s="47" t="s">
        <v>271</v>
      </c>
      <c r="G222" s="174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</row>
    <row r="223" spans="1:18" ht="15" customHeight="1" x14ac:dyDescent="0.3">
      <c r="A223" s="15" t="s">
        <v>77</v>
      </c>
      <c r="B223" s="15" t="s">
        <v>273</v>
      </c>
      <c r="C223" s="16">
        <v>6.9444444444444441E-3</v>
      </c>
      <c r="D223" s="15" t="s">
        <v>79</v>
      </c>
      <c r="E223" s="15" t="s">
        <v>85</v>
      </c>
      <c r="F223" s="15" t="s">
        <v>272</v>
      </c>
      <c r="G223" s="174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47" t="s">
        <v>77</v>
      </c>
      <c r="B224" s="47" t="s">
        <v>287</v>
      </c>
      <c r="C224" s="48">
        <v>0.61111111111111105</v>
      </c>
      <c r="D224" s="47" t="s">
        <v>83</v>
      </c>
      <c r="E224" s="47" t="s">
        <v>70</v>
      </c>
      <c r="F224" s="47" t="s">
        <v>277</v>
      </c>
      <c r="G224" s="174"/>
      <c r="H224" s="10"/>
      <c r="I224" s="11"/>
      <c r="J224" s="11"/>
      <c r="K224" s="11"/>
      <c r="L224" s="11"/>
      <c r="M224" s="11"/>
      <c r="N224" s="11"/>
      <c r="O224" s="12"/>
      <c r="P224" s="11"/>
      <c r="Q224" s="13"/>
      <c r="R224" s="14"/>
    </row>
    <row r="225" spans="1:18" ht="15" customHeight="1" x14ac:dyDescent="0.3">
      <c r="A225" s="15" t="s">
        <v>77</v>
      </c>
      <c r="B225" s="15" t="s">
        <v>287</v>
      </c>
      <c r="C225" s="16">
        <v>0.61111111111111105</v>
      </c>
      <c r="D225" s="15" t="s">
        <v>79</v>
      </c>
      <c r="E225" s="15" t="s">
        <v>85</v>
      </c>
      <c r="F225" s="15" t="s">
        <v>278</v>
      </c>
      <c r="G225" s="174"/>
      <c r="H225" s="10"/>
      <c r="I225" s="11"/>
      <c r="J225" s="11"/>
      <c r="K225" s="11"/>
      <c r="L225" s="11"/>
      <c r="M225" s="11"/>
      <c r="N225" s="11"/>
      <c r="O225" s="12"/>
      <c r="P225" s="11"/>
      <c r="Q225" s="13"/>
      <c r="R225" s="14"/>
    </row>
    <row r="226" spans="1:18" ht="15" customHeight="1" x14ac:dyDescent="0.3">
      <c r="A226" s="47" t="s">
        <v>77</v>
      </c>
      <c r="B226" s="47" t="s">
        <v>282</v>
      </c>
      <c r="C226" s="48">
        <v>0.12847222222222221</v>
      </c>
      <c r="D226" s="47" t="s">
        <v>79</v>
      </c>
      <c r="E226" s="47" t="s">
        <v>107</v>
      </c>
      <c r="F226" s="47" t="s">
        <v>338</v>
      </c>
      <c r="G226" s="174"/>
      <c r="H226" s="10"/>
      <c r="I226" s="11"/>
      <c r="J226" s="11"/>
      <c r="K226" s="11"/>
      <c r="L226" s="11"/>
      <c r="M226" s="11"/>
      <c r="N226" s="11"/>
      <c r="O226" s="12"/>
      <c r="P226" s="11"/>
      <c r="Q226" s="13"/>
      <c r="R226" s="14"/>
    </row>
    <row r="227" spans="1:18" ht="15" customHeight="1" x14ac:dyDescent="0.3">
      <c r="A227" s="47" t="s">
        <v>77</v>
      </c>
      <c r="B227" s="47" t="s">
        <v>276</v>
      </c>
      <c r="C227" s="48">
        <v>0.71875</v>
      </c>
      <c r="D227" s="47" t="s">
        <v>83</v>
      </c>
      <c r="E227" s="47" t="s">
        <v>70</v>
      </c>
      <c r="F227" s="47" t="s">
        <v>339</v>
      </c>
      <c r="G227" s="174"/>
      <c r="H227" s="10"/>
      <c r="I227" s="11"/>
      <c r="J227" s="11"/>
      <c r="K227" s="11"/>
      <c r="L227" s="11"/>
      <c r="M227" s="11"/>
      <c r="N227" s="11"/>
      <c r="O227" s="12"/>
      <c r="P227" s="11"/>
      <c r="Q227" s="13"/>
      <c r="R227" s="14"/>
    </row>
    <row r="228" spans="1:18" ht="15" customHeight="1" x14ac:dyDescent="0.3">
      <c r="A228" s="15" t="s">
        <v>77</v>
      </c>
      <c r="B228" s="15" t="s">
        <v>276</v>
      </c>
      <c r="C228" s="16">
        <v>0.71875</v>
      </c>
      <c r="D228" s="15" t="s">
        <v>79</v>
      </c>
      <c r="E228" s="15" t="s">
        <v>85</v>
      </c>
      <c r="F228" s="15" t="s">
        <v>340</v>
      </c>
      <c r="G228" s="174"/>
      <c r="H228" s="10"/>
      <c r="I228" s="11"/>
      <c r="J228" s="11"/>
      <c r="K228" s="11"/>
      <c r="L228" s="11"/>
      <c r="M228" s="11"/>
      <c r="N228" s="11"/>
      <c r="O228" s="12"/>
      <c r="P228" s="11"/>
      <c r="Q228" s="13"/>
      <c r="R228" s="14"/>
    </row>
    <row r="229" spans="1:18" ht="15" customHeight="1" x14ac:dyDescent="0.3">
      <c r="A229" s="47" t="s">
        <v>77</v>
      </c>
      <c r="B229" s="47" t="s">
        <v>281</v>
      </c>
      <c r="C229" s="48">
        <v>0.30208333333333331</v>
      </c>
      <c r="D229" s="47" t="s">
        <v>79</v>
      </c>
      <c r="E229" s="47" t="s">
        <v>107</v>
      </c>
      <c r="F229" s="47" t="s">
        <v>341</v>
      </c>
      <c r="G229" s="174"/>
      <c r="H229" s="10"/>
      <c r="I229" s="11"/>
      <c r="J229" s="11"/>
      <c r="K229" s="11"/>
      <c r="L229" s="11"/>
      <c r="M229" s="11"/>
      <c r="N229" s="11"/>
      <c r="O229" s="12"/>
      <c r="P229" s="11"/>
      <c r="Q229" s="13"/>
      <c r="R229" s="14"/>
    </row>
    <row r="230" spans="1:18" ht="15" customHeight="1" x14ac:dyDescent="0.3">
      <c r="A230" s="47" t="s">
        <v>77</v>
      </c>
      <c r="B230" s="47" t="s">
        <v>275</v>
      </c>
      <c r="C230" s="48">
        <v>0.93055555555555547</v>
      </c>
      <c r="D230" s="47" t="s">
        <v>83</v>
      </c>
      <c r="E230" s="47" t="s">
        <v>70</v>
      </c>
      <c r="F230" s="47" t="s">
        <v>318</v>
      </c>
      <c r="G230" s="174"/>
      <c r="H230" s="10"/>
      <c r="I230" s="11"/>
      <c r="J230" s="11"/>
      <c r="K230" s="11"/>
      <c r="L230" s="11"/>
      <c r="M230" s="11"/>
      <c r="N230" s="11"/>
      <c r="O230" s="12"/>
      <c r="P230" s="11"/>
      <c r="Q230" s="13"/>
      <c r="R230" s="14"/>
    </row>
    <row r="231" spans="1:18" ht="15" customHeight="1" x14ac:dyDescent="0.3">
      <c r="A231" s="15" t="s">
        <v>77</v>
      </c>
      <c r="B231" s="15" t="s">
        <v>275</v>
      </c>
      <c r="C231" s="16">
        <v>0.93055555555555547</v>
      </c>
      <c r="D231" s="15" t="s">
        <v>79</v>
      </c>
      <c r="E231" s="15" t="s">
        <v>85</v>
      </c>
      <c r="F231" s="15" t="s">
        <v>319</v>
      </c>
      <c r="G231" s="174"/>
      <c r="H231" s="10"/>
      <c r="I231" s="11"/>
      <c r="J231" s="11"/>
      <c r="K231" s="11"/>
      <c r="L231" s="11"/>
      <c r="M231" s="11"/>
      <c r="N231" s="11"/>
      <c r="O231" s="12"/>
      <c r="P231" s="11"/>
      <c r="Q231" s="13"/>
      <c r="R231" s="14"/>
    </row>
    <row r="232" spans="1:18" ht="15" customHeight="1" x14ac:dyDescent="0.3">
      <c r="A232" s="47" t="s">
        <v>77</v>
      </c>
      <c r="B232" s="47" t="s">
        <v>279</v>
      </c>
      <c r="C232" s="48">
        <v>0.88888888888888884</v>
      </c>
      <c r="D232" s="47" t="s">
        <v>79</v>
      </c>
      <c r="E232" s="47" t="s">
        <v>107</v>
      </c>
      <c r="F232" s="47" t="s">
        <v>280</v>
      </c>
      <c r="G232" s="174"/>
      <c r="H232" s="10"/>
      <c r="I232" s="11"/>
      <c r="J232" s="11"/>
      <c r="K232" s="11"/>
      <c r="L232" s="11"/>
      <c r="M232" s="11"/>
      <c r="N232" s="11"/>
      <c r="O232" s="12"/>
      <c r="P232" s="11"/>
      <c r="Q232" s="13"/>
      <c r="R232" s="14"/>
    </row>
    <row r="233" spans="1:18" ht="15" customHeight="1" x14ac:dyDescent="0.3">
      <c r="A233" s="47" t="s">
        <v>77</v>
      </c>
      <c r="B233" s="47" t="s">
        <v>283</v>
      </c>
      <c r="C233" s="48">
        <v>0.78819444444444453</v>
      </c>
      <c r="D233" s="47" t="s">
        <v>79</v>
      </c>
      <c r="E233" s="47" t="s">
        <v>107</v>
      </c>
      <c r="F233" s="47" t="s">
        <v>280</v>
      </c>
      <c r="G233" s="174"/>
      <c r="H233" s="10"/>
      <c r="I233" s="11"/>
      <c r="J233" s="11"/>
      <c r="K233" s="11"/>
      <c r="L233" s="11"/>
      <c r="M233" s="11"/>
      <c r="N233" s="11"/>
      <c r="O233" s="12"/>
      <c r="P233" s="11"/>
      <c r="Q233" s="13"/>
      <c r="R233" s="14"/>
    </row>
    <row r="234" spans="1:18" ht="15" customHeight="1" x14ac:dyDescent="0.3">
      <c r="A234" s="47" t="s">
        <v>77</v>
      </c>
      <c r="B234" s="47" t="s">
        <v>284</v>
      </c>
      <c r="C234" s="48">
        <v>0.82986111111111116</v>
      </c>
      <c r="D234" s="47" t="s">
        <v>83</v>
      </c>
      <c r="E234" s="47" t="s">
        <v>70</v>
      </c>
      <c r="F234" s="47" t="s">
        <v>342</v>
      </c>
      <c r="G234" s="174"/>
      <c r="H234" s="10"/>
      <c r="I234" s="11"/>
      <c r="J234" s="11"/>
      <c r="K234" s="11"/>
      <c r="L234" s="11"/>
      <c r="M234" s="11"/>
      <c r="N234" s="11"/>
      <c r="O234" s="12"/>
      <c r="P234" s="11"/>
      <c r="Q234" s="13"/>
      <c r="R234" s="14"/>
    </row>
    <row r="235" spans="1:18" ht="15" customHeight="1" thickBot="1" x14ac:dyDescent="0.35">
      <c r="A235" s="49" t="s">
        <v>77</v>
      </c>
      <c r="B235" s="49" t="s">
        <v>284</v>
      </c>
      <c r="C235" s="50">
        <v>0.82986111111111116</v>
      </c>
      <c r="D235" s="49" t="s">
        <v>79</v>
      </c>
      <c r="E235" s="49" t="s">
        <v>85</v>
      </c>
      <c r="F235" s="49" t="s">
        <v>343</v>
      </c>
      <c r="G235" s="175"/>
      <c r="H235" s="51"/>
      <c r="I235" s="52"/>
      <c r="J235" s="52"/>
      <c r="K235" s="52"/>
      <c r="L235" s="52"/>
      <c r="M235" s="52"/>
      <c r="N235" s="52"/>
      <c r="O235" s="53"/>
      <c r="P235" s="52"/>
      <c r="Q235" s="54"/>
      <c r="R235" s="55"/>
    </row>
    <row r="236" spans="1:18" ht="17.399999999999999" customHeight="1" thickBot="1" x14ac:dyDescent="0.35">
      <c r="A236" s="205"/>
      <c r="B236" s="206"/>
      <c r="C236" s="206"/>
      <c r="D236" s="206"/>
      <c r="E236" s="206"/>
      <c r="F236" s="206"/>
      <c r="G236" s="206"/>
      <c r="H236" s="206"/>
      <c r="I236" s="206"/>
      <c r="J236" s="206"/>
      <c r="K236" s="206"/>
      <c r="L236" s="206"/>
      <c r="M236" s="206"/>
      <c r="N236" s="206"/>
      <c r="O236" s="206"/>
      <c r="P236" s="206"/>
      <c r="Q236" s="206"/>
      <c r="R236" s="207"/>
    </row>
    <row r="237" spans="1:18" ht="22.05" customHeight="1" thickTop="1" thickBot="1" x14ac:dyDescent="0.35">
      <c r="A237" s="184" t="s">
        <v>6</v>
      </c>
      <c r="B237" s="180"/>
      <c r="C237" s="180"/>
      <c r="D237" s="180"/>
      <c r="E237" s="180"/>
      <c r="F237" s="181"/>
      <c r="G237" s="56">
        <v>45989</v>
      </c>
      <c r="H237" s="188" t="s">
        <v>7</v>
      </c>
      <c r="I237" s="180"/>
      <c r="J237" s="180"/>
      <c r="K237" s="180"/>
      <c r="L237" s="180"/>
      <c r="M237" s="180"/>
      <c r="N237" s="180"/>
      <c r="O237" s="180"/>
      <c r="P237" s="180"/>
      <c r="Q237" s="180"/>
      <c r="R237" s="181"/>
    </row>
    <row r="238" spans="1:18" ht="24" customHeight="1" x14ac:dyDescent="0.3">
      <c r="A238" s="57" t="s">
        <v>8</v>
      </c>
      <c r="B238" s="57" t="s">
        <v>9</v>
      </c>
      <c r="C238" s="58" t="s">
        <v>10</v>
      </c>
      <c r="D238" s="57" t="s">
        <v>11</v>
      </c>
      <c r="E238" s="57" t="s">
        <v>12</v>
      </c>
      <c r="F238" s="59" t="s">
        <v>13</v>
      </c>
      <c r="G238" s="60" t="s">
        <v>14</v>
      </c>
      <c r="H238" s="57" t="s">
        <v>15</v>
      </c>
      <c r="I238" s="61" t="s">
        <v>16</v>
      </c>
      <c r="J238" s="62" t="s">
        <v>17</v>
      </c>
      <c r="K238" s="63" t="s">
        <v>18</v>
      </c>
      <c r="L238" s="62" t="s">
        <v>19</v>
      </c>
      <c r="M238" s="62" t="s">
        <v>20</v>
      </c>
      <c r="N238" s="62" t="s">
        <v>21</v>
      </c>
      <c r="O238" s="57" t="s">
        <v>22</v>
      </c>
      <c r="P238" s="58" t="s">
        <v>23</v>
      </c>
      <c r="Q238" s="62" t="s">
        <v>24</v>
      </c>
      <c r="R238" s="57" t="s">
        <v>25</v>
      </c>
    </row>
    <row r="239" spans="1:18" ht="15" customHeight="1" x14ac:dyDescent="0.3">
      <c r="A239" s="8" t="s">
        <v>26</v>
      </c>
      <c r="B239" s="8" t="s">
        <v>207</v>
      </c>
      <c r="C239" s="9">
        <v>0.12847222222222221</v>
      </c>
      <c r="D239" s="8" t="s">
        <v>28</v>
      </c>
      <c r="E239" s="8" t="s">
        <v>299</v>
      </c>
      <c r="F239" s="8" t="s">
        <v>320</v>
      </c>
      <c r="G239" s="173"/>
      <c r="H239" s="10"/>
      <c r="I239" s="11"/>
      <c r="J239" s="11"/>
      <c r="K239" s="11"/>
      <c r="L239" s="11"/>
      <c r="M239" s="11"/>
      <c r="N239" s="11"/>
      <c r="O239" s="12"/>
      <c r="P239" s="11"/>
      <c r="Q239" s="13"/>
      <c r="R239" s="14"/>
    </row>
    <row r="240" spans="1:18" ht="15" customHeight="1" x14ac:dyDescent="0.3">
      <c r="A240" s="15" t="s">
        <v>26</v>
      </c>
      <c r="B240" s="15" t="s">
        <v>207</v>
      </c>
      <c r="C240" s="16">
        <v>0.12847222222222221</v>
      </c>
      <c r="D240" s="15" t="s">
        <v>31</v>
      </c>
      <c r="E240" s="15" t="s">
        <v>117</v>
      </c>
      <c r="F240" s="15" t="s">
        <v>321</v>
      </c>
      <c r="G240" s="174"/>
      <c r="H240" s="10"/>
      <c r="I240" s="11"/>
      <c r="J240" s="11"/>
      <c r="K240" s="11"/>
      <c r="L240" s="11"/>
      <c r="M240" s="11"/>
      <c r="N240" s="11"/>
      <c r="O240" s="12"/>
      <c r="P240" s="11"/>
      <c r="Q240" s="13"/>
      <c r="R240" s="14"/>
    </row>
    <row r="241" spans="1:18" ht="15" customHeight="1" x14ac:dyDescent="0.3">
      <c r="A241" s="15" t="s">
        <v>26</v>
      </c>
      <c r="B241" s="15" t="s">
        <v>207</v>
      </c>
      <c r="C241" s="16">
        <v>0.12847222222222221</v>
      </c>
      <c r="D241" s="15" t="s">
        <v>34</v>
      </c>
      <c r="E241" s="15" t="s">
        <v>117</v>
      </c>
      <c r="F241" s="15" t="s">
        <v>35</v>
      </c>
      <c r="G241" s="174"/>
      <c r="H241" s="10"/>
      <c r="I241" s="11"/>
      <c r="J241" s="11"/>
      <c r="K241" s="11"/>
      <c r="L241" s="11"/>
      <c r="M241" s="11"/>
      <c r="N241" s="11"/>
      <c r="O241" s="12"/>
      <c r="P241" s="11"/>
      <c r="Q241" s="13"/>
      <c r="R241" s="14"/>
    </row>
    <row r="242" spans="1:18" ht="15" customHeight="1" x14ac:dyDescent="0.3">
      <c r="A242" s="47" t="s">
        <v>26</v>
      </c>
      <c r="B242" s="47" t="s">
        <v>214</v>
      </c>
      <c r="C242" s="48">
        <v>0.30208333333333331</v>
      </c>
      <c r="D242" s="47" t="s">
        <v>28</v>
      </c>
      <c r="E242" s="47" t="s">
        <v>74</v>
      </c>
      <c r="F242" s="47" t="s">
        <v>344</v>
      </c>
      <c r="G242" s="174"/>
      <c r="H242" s="10"/>
      <c r="I242" s="11"/>
      <c r="J242" s="11"/>
      <c r="K242" s="11"/>
      <c r="L242" s="11"/>
      <c r="M242" s="11"/>
      <c r="N242" s="11"/>
      <c r="O242" s="12"/>
      <c r="P242" s="11"/>
      <c r="Q242" s="13"/>
      <c r="R242" s="14"/>
    </row>
    <row r="243" spans="1:18" ht="15" customHeight="1" x14ac:dyDescent="0.3">
      <c r="A243" s="15" t="s">
        <v>26</v>
      </c>
      <c r="B243" s="15" t="s">
        <v>214</v>
      </c>
      <c r="C243" s="16">
        <v>0.30208333333333331</v>
      </c>
      <c r="D243" s="15" t="s">
        <v>31</v>
      </c>
      <c r="E243" s="15" t="s">
        <v>210</v>
      </c>
      <c r="F243" s="15" t="s">
        <v>345</v>
      </c>
      <c r="G243" s="174"/>
      <c r="H243" s="10"/>
      <c r="I243" s="11"/>
      <c r="J243" s="11"/>
      <c r="K243" s="11"/>
      <c r="L243" s="11"/>
      <c r="M243" s="11"/>
      <c r="N243" s="11"/>
      <c r="O243" s="12"/>
      <c r="P243" s="11"/>
      <c r="Q243" s="13"/>
      <c r="R243" s="14"/>
    </row>
    <row r="244" spans="1:18" ht="15" customHeight="1" x14ac:dyDescent="0.3">
      <c r="A244" s="15" t="s">
        <v>26</v>
      </c>
      <c r="B244" s="15" t="s">
        <v>214</v>
      </c>
      <c r="C244" s="16">
        <v>0.30208333333333331</v>
      </c>
      <c r="D244" s="15" t="s">
        <v>34</v>
      </c>
      <c r="E244" s="15" t="s">
        <v>210</v>
      </c>
      <c r="F244" s="15" t="s">
        <v>35</v>
      </c>
      <c r="G244" s="174"/>
      <c r="H244" s="10"/>
      <c r="I244" s="11"/>
      <c r="J244" s="11"/>
      <c r="K244" s="11"/>
      <c r="L244" s="11"/>
      <c r="M244" s="11"/>
      <c r="N244" s="11"/>
      <c r="O244" s="12"/>
      <c r="P244" s="11"/>
      <c r="Q244" s="13"/>
      <c r="R244" s="14"/>
    </row>
    <row r="245" spans="1:18" ht="15" customHeight="1" x14ac:dyDescent="0.3">
      <c r="A245" s="47" t="s">
        <v>26</v>
      </c>
      <c r="B245" s="47" t="s">
        <v>212</v>
      </c>
      <c r="C245" s="48">
        <v>0.78819444444444453</v>
      </c>
      <c r="D245" s="47" t="s">
        <v>28</v>
      </c>
      <c r="E245" s="47" t="s">
        <v>55</v>
      </c>
      <c r="F245" s="47" t="s">
        <v>209</v>
      </c>
      <c r="G245" s="174"/>
      <c r="H245" s="10"/>
      <c r="I245" s="11"/>
      <c r="J245" s="11"/>
      <c r="K245" s="11"/>
      <c r="L245" s="11"/>
      <c r="M245" s="11"/>
      <c r="N245" s="11"/>
      <c r="O245" s="12"/>
      <c r="P245" s="11"/>
      <c r="Q245" s="13"/>
      <c r="R245" s="14"/>
    </row>
    <row r="246" spans="1:18" ht="15" customHeight="1" x14ac:dyDescent="0.3">
      <c r="A246" s="15" t="s">
        <v>26</v>
      </c>
      <c r="B246" s="15" t="s">
        <v>212</v>
      </c>
      <c r="C246" s="16">
        <v>0.78819444444444453</v>
      </c>
      <c r="D246" s="15" t="s">
        <v>31</v>
      </c>
      <c r="E246" s="15" t="s">
        <v>246</v>
      </c>
      <c r="F246" s="15" t="s">
        <v>211</v>
      </c>
      <c r="G246" s="174"/>
      <c r="H246" s="10"/>
      <c r="I246" s="11"/>
      <c r="J246" s="11"/>
      <c r="K246" s="11"/>
      <c r="L246" s="11"/>
      <c r="M246" s="11"/>
      <c r="N246" s="11"/>
      <c r="O246" s="12"/>
      <c r="P246" s="11"/>
      <c r="Q246" s="13"/>
      <c r="R246" s="14"/>
    </row>
    <row r="247" spans="1:18" ht="15" customHeight="1" x14ac:dyDescent="0.3">
      <c r="A247" s="15" t="s">
        <v>26</v>
      </c>
      <c r="B247" s="15" t="s">
        <v>212</v>
      </c>
      <c r="C247" s="16">
        <v>0.78819444444444453</v>
      </c>
      <c r="D247" s="15" t="s">
        <v>34</v>
      </c>
      <c r="E247" s="15" t="s">
        <v>246</v>
      </c>
      <c r="F247" s="15" t="s">
        <v>35</v>
      </c>
      <c r="G247" s="174"/>
      <c r="H247" s="10"/>
      <c r="I247" s="11"/>
      <c r="J247" s="11"/>
      <c r="K247" s="11"/>
      <c r="L247" s="11"/>
      <c r="M247" s="11"/>
      <c r="N247" s="11"/>
      <c r="O247" s="12"/>
      <c r="P247" s="11"/>
      <c r="Q247" s="13"/>
      <c r="R247" s="14"/>
    </row>
    <row r="248" spans="1:18" ht="15" customHeight="1" x14ac:dyDescent="0.3">
      <c r="A248" s="47" t="s">
        <v>26</v>
      </c>
      <c r="B248" s="47" t="s">
        <v>213</v>
      </c>
      <c r="C248" s="48">
        <v>0.88888888888888884</v>
      </c>
      <c r="D248" s="47" t="s">
        <v>28</v>
      </c>
      <c r="E248" s="47" t="s">
        <v>55</v>
      </c>
      <c r="F248" s="47" t="s">
        <v>209</v>
      </c>
      <c r="G248" s="174"/>
      <c r="H248" s="10"/>
      <c r="I248" s="11"/>
      <c r="J248" s="11"/>
      <c r="K248" s="11"/>
      <c r="L248" s="11"/>
      <c r="M248" s="11"/>
      <c r="N248" s="11"/>
      <c r="O248" s="12"/>
      <c r="P248" s="11"/>
      <c r="Q248" s="13"/>
      <c r="R248" s="14"/>
    </row>
    <row r="249" spans="1:18" ht="15" customHeight="1" x14ac:dyDescent="0.3">
      <c r="A249" s="15" t="s">
        <v>26</v>
      </c>
      <c r="B249" s="15" t="s">
        <v>213</v>
      </c>
      <c r="C249" s="16">
        <v>0.88888888888888884</v>
      </c>
      <c r="D249" s="15" t="s">
        <v>31</v>
      </c>
      <c r="E249" s="15" t="s">
        <v>246</v>
      </c>
      <c r="F249" s="15" t="s">
        <v>211</v>
      </c>
      <c r="G249" s="174"/>
      <c r="H249" s="10"/>
      <c r="I249" s="11"/>
      <c r="J249" s="11"/>
      <c r="K249" s="11"/>
      <c r="L249" s="11"/>
      <c r="M249" s="11"/>
      <c r="N249" s="11"/>
      <c r="O249" s="12"/>
      <c r="P249" s="11"/>
      <c r="Q249" s="13"/>
      <c r="R249" s="14"/>
    </row>
    <row r="250" spans="1:18" ht="15" customHeight="1" x14ac:dyDescent="0.3">
      <c r="A250" s="15" t="s">
        <v>26</v>
      </c>
      <c r="B250" s="15" t="s">
        <v>213</v>
      </c>
      <c r="C250" s="16">
        <v>0.88888888888888884</v>
      </c>
      <c r="D250" s="15" t="s">
        <v>34</v>
      </c>
      <c r="E250" s="15" t="s">
        <v>246</v>
      </c>
      <c r="F250" s="15" t="s">
        <v>35</v>
      </c>
      <c r="G250" s="174"/>
      <c r="H250" s="10"/>
      <c r="I250" s="11"/>
      <c r="J250" s="11"/>
      <c r="K250" s="11"/>
      <c r="L250" s="11"/>
      <c r="M250" s="11"/>
      <c r="N250" s="11"/>
      <c r="O250" s="12"/>
      <c r="P250" s="11"/>
      <c r="Q250" s="13"/>
      <c r="R250" s="14"/>
    </row>
    <row r="251" spans="1:18" ht="15" customHeight="1" x14ac:dyDescent="0.3">
      <c r="A251" s="153" t="s">
        <v>46</v>
      </c>
      <c r="B251" s="153" t="s">
        <v>217</v>
      </c>
      <c r="C251" s="154">
        <v>0.1145833333333333</v>
      </c>
      <c r="D251" s="153" t="s">
        <v>48</v>
      </c>
      <c r="E251" s="153" t="s">
        <v>49</v>
      </c>
      <c r="F251" s="153" t="s">
        <v>203</v>
      </c>
      <c r="G251" s="174"/>
      <c r="H251" s="40" t="s">
        <v>219</v>
      </c>
      <c r="I251" s="155">
        <v>0.25140000000000001</v>
      </c>
      <c r="J251" s="42">
        <v>45</v>
      </c>
      <c r="K251" s="43">
        <v>45981</v>
      </c>
      <c r="L251" s="42">
        <v>26</v>
      </c>
      <c r="M251" s="42">
        <v>0</v>
      </c>
      <c r="N251" s="42">
        <v>4</v>
      </c>
      <c r="O251" s="44" t="s">
        <v>302</v>
      </c>
      <c r="P251" s="45">
        <v>0.1145833333333333</v>
      </c>
      <c r="Q251" s="42">
        <v>179</v>
      </c>
      <c r="R251" s="46" t="s">
        <v>346</v>
      </c>
    </row>
    <row r="252" spans="1:18" ht="15" customHeight="1" x14ac:dyDescent="0.3">
      <c r="A252" s="119" t="s">
        <v>46</v>
      </c>
      <c r="B252" s="119" t="s">
        <v>221</v>
      </c>
      <c r="C252" s="120">
        <v>0.73611111111111116</v>
      </c>
      <c r="D252" s="119" t="s">
        <v>48</v>
      </c>
      <c r="E252" s="119" t="s">
        <v>70</v>
      </c>
      <c r="F252" s="119" t="s">
        <v>203</v>
      </c>
      <c r="G252" s="174"/>
      <c r="H252" s="121" t="s">
        <v>222</v>
      </c>
      <c r="I252" s="156">
        <v>0.38550000000000001</v>
      </c>
      <c r="J252" s="123">
        <v>69</v>
      </c>
      <c r="K252" s="124">
        <v>45981</v>
      </c>
      <c r="L252" s="123">
        <v>32</v>
      </c>
      <c r="M252" s="123">
        <v>0</v>
      </c>
      <c r="N252" s="123">
        <v>11</v>
      </c>
      <c r="O252" s="125" t="s">
        <v>302</v>
      </c>
      <c r="P252" s="126">
        <v>0.73611111111111116</v>
      </c>
      <c r="Q252" s="123">
        <v>179</v>
      </c>
      <c r="R252" s="127" t="s">
        <v>347</v>
      </c>
    </row>
    <row r="253" spans="1:18" ht="15" customHeight="1" x14ac:dyDescent="0.3">
      <c r="A253" s="143" t="s">
        <v>46</v>
      </c>
      <c r="B253" s="143" t="s">
        <v>224</v>
      </c>
      <c r="C253" s="144">
        <v>0.31944444444444448</v>
      </c>
      <c r="D253" s="143" t="s">
        <v>48</v>
      </c>
      <c r="E253" s="143" t="s">
        <v>70</v>
      </c>
      <c r="F253" s="143" t="s">
        <v>203</v>
      </c>
      <c r="G253" s="174"/>
      <c r="H253" s="145" t="s">
        <v>225</v>
      </c>
      <c r="I253" s="152">
        <v>0.26819999999999999</v>
      </c>
      <c r="J253" s="147">
        <v>48</v>
      </c>
      <c r="K253" s="148">
        <v>45981</v>
      </c>
      <c r="L253" s="147">
        <v>38</v>
      </c>
      <c r="M253" s="147">
        <v>0</v>
      </c>
      <c r="N253" s="147">
        <v>2</v>
      </c>
      <c r="O253" s="149" t="s">
        <v>302</v>
      </c>
      <c r="P253" s="150">
        <v>0.31944444444444448</v>
      </c>
      <c r="Q253" s="147">
        <v>179</v>
      </c>
      <c r="R253" s="151" t="s">
        <v>348</v>
      </c>
    </row>
    <row r="254" spans="1:18" ht="15" customHeight="1" x14ac:dyDescent="0.3">
      <c r="A254" s="119" t="s">
        <v>46</v>
      </c>
      <c r="B254" s="119" t="s">
        <v>227</v>
      </c>
      <c r="C254" s="120">
        <v>0.45833333333333331</v>
      </c>
      <c r="D254" s="119" t="s">
        <v>48</v>
      </c>
      <c r="E254" s="119" t="s">
        <v>70</v>
      </c>
      <c r="F254" s="119" t="s">
        <v>203</v>
      </c>
      <c r="G254" s="174"/>
      <c r="H254" s="121" t="s">
        <v>229</v>
      </c>
      <c r="I254" s="156">
        <v>0.36309999999999998</v>
      </c>
      <c r="J254" s="123">
        <v>65</v>
      </c>
      <c r="K254" s="124">
        <v>45981</v>
      </c>
      <c r="L254" s="123">
        <v>16</v>
      </c>
      <c r="M254" s="123">
        <v>0</v>
      </c>
      <c r="N254" s="123">
        <v>4</v>
      </c>
      <c r="O254" s="125" t="s">
        <v>302</v>
      </c>
      <c r="P254" s="126">
        <v>0.45833333333333331</v>
      </c>
      <c r="Q254" s="123">
        <v>179</v>
      </c>
      <c r="R254" s="127" t="s">
        <v>349</v>
      </c>
    </row>
    <row r="255" spans="1:18" ht="15" customHeight="1" x14ac:dyDescent="0.3">
      <c r="A255" s="107" t="s">
        <v>46</v>
      </c>
      <c r="B255" s="107" t="s">
        <v>329</v>
      </c>
      <c r="C255" s="108">
        <v>0.61458333333333337</v>
      </c>
      <c r="D255" s="107" t="s">
        <v>48</v>
      </c>
      <c r="E255" s="107" t="s">
        <v>70</v>
      </c>
      <c r="F255" s="107" t="s">
        <v>203</v>
      </c>
      <c r="G255" s="174"/>
      <c r="H255" s="109" t="s">
        <v>237</v>
      </c>
      <c r="I255" s="118">
        <v>0.64800000000000002</v>
      </c>
      <c r="J255" s="111">
        <v>116</v>
      </c>
      <c r="K255" s="112">
        <v>45981</v>
      </c>
      <c r="L255" s="111">
        <v>28</v>
      </c>
      <c r="M255" s="111">
        <v>0</v>
      </c>
      <c r="N255" s="111">
        <v>9</v>
      </c>
      <c r="O255" s="113" t="s">
        <v>302</v>
      </c>
      <c r="P255" s="114">
        <v>0.61458333333333337</v>
      </c>
      <c r="Q255" s="111">
        <v>179</v>
      </c>
      <c r="R255" s="115" t="s">
        <v>350</v>
      </c>
    </row>
    <row r="256" spans="1:18" ht="15" customHeight="1" x14ac:dyDescent="0.3">
      <c r="A256" s="157" t="s">
        <v>46</v>
      </c>
      <c r="B256" s="157" t="s">
        <v>232</v>
      </c>
      <c r="C256" s="158">
        <v>0.9375</v>
      </c>
      <c r="D256" s="157" t="s">
        <v>48</v>
      </c>
      <c r="E256" s="157" t="s">
        <v>88</v>
      </c>
      <c r="F256" s="157" t="s">
        <v>233</v>
      </c>
      <c r="G256" s="174"/>
      <c r="H256" s="159" t="s">
        <v>234</v>
      </c>
      <c r="I256" s="160">
        <v>0.92179999999999995</v>
      </c>
      <c r="J256" s="161">
        <v>165</v>
      </c>
      <c r="K256" s="162">
        <v>45980</v>
      </c>
      <c r="L256" s="161">
        <v>17</v>
      </c>
      <c r="M256" s="161">
        <v>0</v>
      </c>
      <c r="N256" s="161">
        <v>0</v>
      </c>
      <c r="O256" s="163" t="s">
        <v>351</v>
      </c>
      <c r="P256" s="164">
        <v>0.9375</v>
      </c>
      <c r="Q256" s="161">
        <v>179</v>
      </c>
      <c r="R256" s="165" t="s">
        <v>352</v>
      </c>
    </row>
    <row r="257" spans="1:18" ht="15" customHeight="1" x14ac:dyDescent="0.3">
      <c r="A257" s="17" t="s">
        <v>200</v>
      </c>
      <c r="B257" s="17" t="s">
        <v>205</v>
      </c>
      <c r="C257" s="18">
        <v>0.66666666666666663</v>
      </c>
      <c r="D257" s="17" t="s">
        <v>202</v>
      </c>
      <c r="E257" s="17" t="s">
        <v>299</v>
      </c>
      <c r="F257" s="17" t="s">
        <v>203</v>
      </c>
      <c r="G257" s="174"/>
      <c r="H257" s="10"/>
      <c r="I257" s="11"/>
      <c r="J257" s="11"/>
      <c r="K257" s="11"/>
      <c r="L257" s="11"/>
      <c r="M257" s="11"/>
      <c r="N257" s="11"/>
      <c r="O257" s="12"/>
      <c r="P257" s="11"/>
      <c r="Q257" s="13"/>
      <c r="R257" s="14"/>
    </row>
    <row r="258" spans="1:18" ht="15" customHeight="1" x14ac:dyDescent="0.3">
      <c r="A258" s="17" t="s">
        <v>36</v>
      </c>
      <c r="B258" s="17" t="s">
        <v>242</v>
      </c>
      <c r="C258" s="18">
        <v>0.85416666666666663</v>
      </c>
      <c r="D258" s="17" t="s">
        <v>38</v>
      </c>
      <c r="E258" s="17" t="s">
        <v>39</v>
      </c>
      <c r="F258" s="17" t="s">
        <v>335</v>
      </c>
      <c r="G258" s="174"/>
      <c r="H258" s="10"/>
      <c r="I258" s="11"/>
      <c r="J258" s="11"/>
      <c r="K258" s="11"/>
      <c r="L258" s="11"/>
      <c r="M258" s="11"/>
      <c r="N258" s="11"/>
      <c r="O258" s="12"/>
      <c r="P258" s="11"/>
      <c r="Q258" s="13"/>
      <c r="R258" s="14"/>
    </row>
    <row r="259" spans="1:18" ht="15" customHeight="1" x14ac:dyDescent="0.3">
      <c r="A259" s="15" t="s">
        <v>36</v>
      </c>
      <c r="B259" s="15" t="s">
        <v>242</v>
      </c>
      <c r="C259" s="16">
        <v>0.85416666666666663</v>
      </c>
      <c r="D259" s="15" t="s">
        <v>41</v>
      </c>
      <c r="E259" s="15" t="s">
        <v>42</v>
      </c>
      <c r="F259" s="15" t="s">
        <v>321</v>
      </c>
      <c r="G259" s="174"/>
      <c r="H259" s="10"/>
      <c r="I259" s="11"/>
      <c r="J259" s="11"/>
      <c r="K259" s="11"/>
      <c r="L259" s="11"/>
      <c r="M259" s="11"/>
      <c r="N259" s="11"/>
      <c r="O259" s="12"/>
      <c r="P259" s="11"/>
      <c r="Q259" s="13"/>
      <c r="R259" s="14"/>
    </row>
    <row r="260" spans="1:18" ht="15" customHeight="1" x14ac:dyDescent="0.3">
      <c r="A260" s="15" t="s">
        <v>36</v>
      </c>
      <c r="B260" s="15" t="s">
        <v>242</v>
      </c>
      <c r="C260" s="16">
        <v>0.85416666666666663</v>
      </c>
      <c r="D260" s="15" t="s">
        <v>44</v>
      </c>
      <c r="E260" s="15" t="s">
        <v>42</v>
      </c>
      <c r="F260" s="15" t="s">
        <v>206</v>
      </c>
      <c r="G260" s="174"/>
      <c r="H260" s="10"/>
      <c r="I260" s="11"/>
      <c r="J260" s="11"/>
      <c r="K260" s="11"/>
      <c r="L260" s="11"/>
      <c r="M260" s="11"/>
      <c r="N260" s="11"/>
      <c r="O260" s="12"/>
      <c r="P260" s="11"/>
      <c r="Q260" s="13"/>
      <c r="R260" s="14"/>
    </row>
    <row r="261" spans="1:18" ht="15" customHeight="1" x14ac:dyDescent="0.3">
      <c r="A261" s="47" t="s">
        <v>36</v>
      </c>
      <c r="B261" s="47" t="s">
        <v>244</v>
      </c>
      <c r="C261" s="48">
        <v>0.25694444444444448</v>
      </c>
      <c r="D261" s="47" t="s">
        <v>38</v>
      </c>
      <c r="E261" s="47" t="s">
        <v>88</v>
      </c>
      <c r="F261" s="47" t="s">
        <v>240</v>
      </c>
      <c r="G261" s="174"/>
      <c r="H261" s="10"/>
      <c r="I261" s="11"/>
      <c r="J261" s="11"/>
      <c r="K261" s="11"/>
      <c r="L261" s="11"/>
      <c r="M261" s="11"/>
      <c r="N261" s="11"/>
      <c r="O261" s="12"/>
      <c r="P261" s="11"/>
      <c r="Q261" s="13"/>
      <c r="R261" s="14"/>
    </row>
    <row r="262" spans="1:18" ht="15" customHeight="1" x14ac:dyDescent="0.3">
      <c r="A262" s="15" t="s">
        <v>36</v>
      </c>
      <c r="B262" s="15" t="s">
        <v>244</v>
      </c>
      <c r="C262" s="16">
        <v>0.25694444444444448</v>
      </c>
      <c r="D262" s="15" t="s">
        <v>41</v>
      </c>
      <c r="E262" s="15" t="s">
        <v>89</v>
      </c>
      <c r="F262" s="15" t="s">
        <v>241</v>
      </c>
      <c r="G262" s="174"/>
      <c r="H262" s="10"/>
      <c r="I262" s="11"/>
      <c r="J262" s="11"/>
      <c r="K262" s="11"/>
      <c r="L262" s="11"/>
      <c r="M262" s="11"/>
      <c r="N262" s="11"/>
      <c r="O262" s="12"/>
      <c r="P262" s="11"/>
      <c r="Q262" s="13"/>
      <c r="R262" s="14"/>
    </row>
    <row r="263" spans="1:18" ht="15" customHeight="1" x14ac:dyDescent="0.3">
      <c r="A263" s="15" t="s">
        <v>36</v>
      </c>
      <c r="B263" s="15" t="s">
        <v>244</v>
      </c>
      <c r="C263" s="16">
        <v>0.25694444444444448</v>
      </c>
      <c r="D263" s="15" t="s">
        <v>44</v>
      </c>
      <c r="E263" s="15" t="s">
        <v>89</v>
      </c>
      <c r="F263" s="15" t="s">
        <v>40</v>
      </c>
      <c r="G263" s="174"/>
      <c r="H263" s="10"/>
      <c r="I263" s="11"/>
      <c r="J263" s="11"/>
      <c r="K263" s="11"/>
      <c r="L263" s="11"/>
      <c r="M263" s="11"/>
      <c r="N263" s="11"/>
      <c r="O263" s="12"/>
      <c r="P263" s="11"/>
      <c r="Q263" s="13"/>
      <c r="R263" s="14"/>
    </row>
    <row r="264" spans="1:18" ht="15" customHeight="1" x14ac:dyDescent="0.3">
      <c r="A264" s="47" t="s">
        <v>36</v>
      </c>
      <c r="B264" s="47" t="s">
        <v>249</v>
      </c>
      <c r="C264" s="48">
        <v>0.64583333333333337</v>
      </c>
      <c r="D264" s="47" t="s">
        <v>38</v>
      </c>
      <c r="E264" s="47" t="s">
        <v>88</v>
      </c>
      <c r="F264" s="47" t="s">
        <v>240</v>
      </c>
      <c r="G264" s="174"/>
      <c r="H264" s="10"/>
      <c r="I264" s="11"/>
      <c r="J264" s="11"/>
      <c r="K264" s="11"/>
      <c r="L264" s="11"/>
      <c r="M264" s="11"/>
      <c r="N264" s="11"/>
      <c r="O264" s="12"/>
      <c r="P264" s="11"/>
      <c r="Q264" s="13"/>
      <c r="R264" s="14"/>
    </row>
    <row r="265" spans="1:18" ht="15" customHeight="1" x14ac:dyDescent="0.3">
      <c r="A265" s="15" t="s">
        <v>36</v>
      </c>
      <c r="B265" s="15" t="s">
        <v>249</v>
      </c>
      <c r="C265" s="16">
        <v>0.64583333333333337</v>
      </c>
      <c r="D265" s="15" t="s">
        <v>41</v>
      </c>
      <c r="E265" s="15" t="s">
        <v>89</v>
      </c>
      <c r="F265" s="15" t="s">
        <v>241</v>
      </c>
      <c r="G265" s="174"/>
      <c r="H265" s="10"/>
      <c r="I265" s="11"/>
      <c r="J265" s="11"/>
      <c r="K265" s="11"/>
      <c r="L265" s="11"/>
      <c r="M265" s="11"/>
      <c r="N265" s="11"/>
      <c r="O265" s="12"/>
      <c r="P265" s="11"/>
      <c r="Q265" s="13"/>
      <c r="R265" s="14"/>
    </row>
    <row r="266" spans="1:18" ht="15" customHeight="1" x14ac:dyDescent="0.3">
      <c r="A266" s="15" t="s">
        <v>36</v>
      </c>
      <c r="B266" s="15" t="s">
        <v>249</v>
      </c>
      <c r="C266" s="16">
        <v>0.64583333333333337</v>
      </c>
      <c r="D266" s="15" t="s">
        <v>44</v>
      </c>
      <c r="E266" s="15" t="s">
        <v>89</v>
      </c>
      <c r="F266" s="15" t="s">
        <v>40</v>
      </c>
      <c r="G266" s="174"/>
      <c r="H266" s="10"/>
      <c r="I266" s="11"/>
      <c r="J266" s="11"/>
      <c r="K266" s="11"/>
      <c r="L266" s="11"/>
      <c r="M266" s="11"/>
      <c r="N266" s="11"/>
      <c r="O266" s="12"/>
      <c r="P266" s="11"/>
      <c r="Q266" s="13"/>
      <c r="R266" s="14"/>
    </row>
    <row r="267" spans="1:18" ht="15" customHeight="1" x14ac:dyDescent="0.3">
      <c r="A267" s="47" t="s">
        <v>36</v>
      </c>
      <c r="B267" s="47" t="s">
        <v>251</v>
      </c>
      <c r="C267" s="48">
        <v>0.51736111111111105</v>
      </c>
      <c r="D267" s="47" t="s">
        <v>38</v>
      </c>
      <c r="E267" s="47" t="s">
        <v>250</v>
      </c>
      <c r="F267" s="47" t="s">
        <v>240</v>
      </c>
      <c r="G267" s="174"/>
      <c r="H267" s="10"/>
      <c r="I267" s="11"/>
      <c r="J267" s="11"/>
      <c r="K267" s="11"/>
      <c r="L267" s="11"/>
      <c r="M267" s="11"/>
      <c r="N267" s="11"/>
      <c r="O267" s="12"/>
      <c r="P267" s="11"/>
      <c r="Q267" s="13"/>
      <c r="R267" s="14"/>
    </row>
    <row r="268" spans="1:18" ht="15" customHeight="1" x14ac:dyDescent="0.3">
      <c r="A268" s="15" t="s">
        <v>36</v>
      </c>
      <c r="B268" s="15" t="s">
        <v>251</v>
      </c>
      <c r="C268" s="16">
        <v>0.51736111111111105</v>
      </c>
      <c r="D268" s="15" t="s">
        <v>41</v>
      </c>
      <c r="E268" s="15" t="s">
        <v>102</v>
      </c>
      <c r="F268" s="15" t="s">
        <v>241</v>
      </c>
      <c r="G268" s="174"/>
      <c r="H268" s="10"/>
      <c r="I268" s="11"/>
      <c r="J268" s="11"/>
      <c r="K268" s="11"/>
      <c r="L268" s="11"/>
      <c r="M268" s="11"/>
      <c r="N268" s="11"/>
      <c r="O268" s="12"/>
      <c r="P268" s="11"/>
      <c r="Q268" s="13"/>
      <c r="R268" s="14"/>
    </row>
    <row r="269" spans="1:18" ht="15" customHeight="1" x14ac:dyDescent="0.3">
      <c r="A269" s="15" t="s">
        <v>36</v>
      </c>
      <c r="B269" s="15" t="s">
        <v>251</v>
      </c>
      <c r="C269" s="16">
        <v>0.51736111111111105</v>
      </c>
      <c r="D269" s="15" t="s">
        <v>44</v>
      </c>
      <c r="E269" s="15" t="s">
        <v>102</v>
      </c>
      <c r="F269" s="15" t="s">
        <v>40</v>
      </c>
      <c r="G269" s="174"/>
      <c r="H269" s="10"/>
      <c r="I269" s="11"/>
      <c r="J269" s="11"/>
      <c r="K269" s="11"/>
      <c r="L269" s="11"/>
      <c r="M269" s="11"/>
      <c r="N269" s="11"/>
      <c r="O269" s="12"/>
      <c r="P269" s="11"/>
      <c r="Q269" s="13"/>
      <c r="R269" s="14"/>
    </row>
    <row r="270" spans="1:18" ht="15" customHeight="1" x14ac:dyDescent="0.3">
      <c r="A270" s="47" t="s">
        <v>36</v>
      </c>
      <c r="B270" s="47" t="s">
        <v>253</v>
      </c>
      <c r="C270" s="48">
        <v>0.39583333333333331</v>
      </c>
      <c r="D270" s="47" t="s">
        <v>38</v>
      </c>
      <c r="E270" s="47" t="s">
        <v>98</v>
      </c>
      <c r="F270" s="47" t="s">
        <v>240</v>
      </c>
      <c r="G270" s="174"/>
      <c r="H270" s="10"/>
      <c r="I270" s="11"/>
      <c r="J270" s="11"/>
      <c r="K270" s="11"/>
      <c r="L270" s="11"/>
      <c r="M270" s="11"/>
      <c r="N270" s="11"/>
      <c r="O270" s="12"/>
      <c r="P270" s="11"/>
      <c r="Q270" s="13"/>
      <c r="R270" s="14"/>
    </row>
    <row r="271" spans="1:18" ht="15" customHeight="1" x14ac:dyDescent="0.3">
      <c r="A271" s="15" t="s">
        <v>36</v>
      </c>
      <c r="B271" s="15" t="s">
        <v>253</v>
      </c>
      <c r="C271" s="16">
        <v>0.39583333333333331</v>
      </c>
      <c r="D271" s="15" t="s">
        <v>41</v>
      </c>
      <c r="E271" s="15" t="s">
        <v>42</v>
      </c>
      <c r="F271" s="15" t="s">
        <v>241</v>
      </c>
      <c r="G271" s="174"/>
      <c r="H271" s="10"/>
      <c r="I271" s="11"/>
      <c r="J271" s="11"/>
      <c r="K271" s="11"/>
      <c r="L271" s="11"/>
      <c r="M271" s="11"/>
      <c r="N271" s="11"/>
      <c r="O271" s="12"/>
      <c r="P271" s="11"/>
      <c r="Q271" s="13"/>
      <c r="R271" s="14"/>
    </row>
    <row r="272" spans="1:18" ht="15" customHeight="1" x14ac:dyDescent="0.3">
      <c r="A272" s="15" t="s">
        <v>36</v>
      </c>
      <c r="B272" s="15" t="s">
        <v>253</v>
      </c>
      <c r="C272" s="16">
        <v>0.39583333333333331</v>
      </c>
      <c r="D272" s="15" t="s">
        <v>44</v>
      </c>
      <c r="E272" s="15" t="s">
        <v>42</v>
      </c>
      <c r="F272" s="15" t="s">
        <v>40</v>
      </c>
      <c r="G272" s="174"/>
      <c r="H272" s="10"/>
      <c r="I272" s="11"/>
      <c r="J272" s="11"/>
      <c r="K272" s="11"/>
      <c r="L272" s="11"/>
      <c r="M272" s="11"/>
      <c r="N272" s="11"/>
      <c r="O272" s="12"/>
      <c r="P272" s="11"/>
      <c r="Q272" s="13"/>
      <c r="R272" s="14"/>
    </row>
    <row r="273" spans="1:18" ht="15" customHeight="1" x14ac:dyDescent="0.3">
      <c r="A273" s="47" t="s">
        <v>36</v>
      </c>
      <c r="B273" s="47" t="s">
        <v>239</v>
      </c>
      <c r="C273" s="48">
        <v>0.90277777777777779</v>
      </c>
      <c r="D273" s="47" t="s">
        <v>38</v>
      </c>
      <c r="E273" s="47" t="s">
        <v>250</v>
      </c>
      <c r="F273" s="47" t="s">
        <v>245</v>
      </c>
      <c r="G273" s="174"/>
      <c r="H273" s="10"/>
      <c r="I273" s="11"/>
      <c r="J273" s="11"/>
      <c r="K273" s="11"/>
      <c r="L273" s="11"/>
      <c r="M273" s="11"/>
      <c r="N273" s="11"/>
      <c r="O273" s="12"/>
      <c r="P273" s="11"/>
      <c r="Q273" s="13"/>
      <c r="R273" s="14"/>
    </row>
    <row r="274" spans="1:18" ht="15" customHeight="1" x14ac:dyDescent="0.3">
      <c r="A274" s="15" t="s">
        <v>36</v>
      </c>
      <c r="B274" s="15" t="s">
        <v>239</v>
      </c>
      <c r="C274" s="16">
        <v>0.90277777777777779</v>
      </c>
      <c r="D274" s="15" t="s">
        <v>41</v>
      </c>
      <c r="E274" s="15" t="s">
        <v>102</v>
      </c>
      <c r="F274" s="15" t="s">
        <v>247</v>
      </c>
      <c r="G274" s="174"/>
      <c r="H274" s="10"/>
      <c r="I274" s="11"/>
      <c r="J274" s="11"/>
      <c r="K274" s="11"/>
      <c r="L274" s="11"/>
      <c r="M274" s="11"/>
      <c r="N274" s="11"/>
      <c r="O274" s="12"/>
      <c r="P274" s="11"/>
      <c r="Q274" s="13"/>
      <c r="R274" s="14"/>
    </row>
    <row r="275" spans="1:18" ht="15" customHeight="1" x14ac:dyDescent="0.3">
      <c r="A275" s="15" t="s">
        <v>36</v>
      </c>
      <c r="B275" s="15" t="s">
        <v>239</v>
      </c>
      <c r="C275" s="16">
        <v>0.90277777777777779</v>
      </c>
      <c r="D275" s="15" t="s">
        <v>44</v>
      </c>
      <c r="E275" s="15" t="s">
        <v>102</v>
      </c>
      <c r="F275" s="15" t="s">
        <v>248</v>
      </c>
      <c r="G275" s="174"/>
      <c r="H275" s="10"/>
      <c r="I275" s="11"/>
      <c r="J275" s="11"/>
      <c r="K275" s="11"/>
      <c r="L275" s="11"/>
      <c r="M275" s="11"/>
      <c r="N275" s="11"/>
      <c r="O275" s="12"/>
      <c r="P275" s="11"/>
      <c r="Q275" s="13"/>
      <c r="R275" s="14"/>
    </row>
    <row r="276" spans="1:18" ht="15" customHeight="1" x14ac:dyDescent="0.3">
      <c r="A276" s="47" t="s">
        <v>36</v>
      </c>
      <c r="B276" s="47" t="s">
        <v>243</v>
      </c>
      <c r="C276" s="48">
        <v>0.79861111111111116</v>
      </c>
      <c r="D276" s="47" t="s">
        <v>38</v>
      </c>
      <c r="E276" s="47" t="s">
        <v>250</v>
      </c>
      <c r="F276" s="47" t="s">
        <v>245</v>
      </c>
      <c r="G276" s="174"/>
      <c r="H276" s="10"/>
      <c r="I276" s="11"/>
      <c r="J276" s="11"/>
      <c r="K276" s="11"/>
      <c r="L276" s="11"/>
      <c r="M276" s="11"/>
      <c r="N276" s="11"/>
      <c r="O276" s="12"/>
      <c r="P276" s="11"/>
      <c r="Q276" s="13"/>
      <c r="R276" s="14"/>
    </row>
    <row r="277" spans="1:18" ht="15" customHeight="1" x14ac:dyDescent="0.3">
      <c r="A277" s="15" t="s">
        <v>36</v>
      </c>
      <c r="B277" s="15" t="s">
        <v>243</v>
      </c>
      <c r="C277" s="16">
        <v>0.79861111111111116</v>
      </c>
      <c r="D277" s="15" t="s">
        <v>41</v>
      </c>
      <c r="E277" s="15" t="s">
        <v>102</v>
      </c>
      <c r="F277" s="15" t="s">
        <v>247</v>
      </c>
      <c r="G277" s="174"/>
      <c r="H277" s="10"/>
      <c r="I277" s="11"/>
      <c r="J277" s="11"/>
      <c r="K277" s="11"/>
      <c r="L277" s="11"/>
      <c r="M277" s="11"/>
      <c r="N277" s="11"/>
      <c r="O277" s="12"/>
      <c r="P277" s="11"/>
      <c r="Q277" s="13"/>
      <c r="R277" s="14"/>
    </row>
    <row r="278" spans="1:18" ht="15" customHeight="1" x14ac:dyDescent="0.3">
      <c r="A278" s="15" t="s">
        <v>36</v>
      </c>
      <c r="B278" s="15" t="s">
        <v>243</v>
      </c>
      <c r="C278" s="16">
        <v>0.79861111111111116</v>
      </c>
      <c r="D278" s="15" t="s">
        <v>44</v>
      </c>
      <c r="E278" s="15" t="s">
        <v>102</v>
      </c>
      <c r="F278" s="15" t="s">
        <v>248</v>
      </c>
      <c r="G278" s="174"/>
      <c r="H278" s="10"/>
      <c r="I278" s="11"/>
      <c r="J278" s="11"/>
      <c r="K278" s="11"/>
      <c r="L278" s="11"/>
      <c r="M278" s="11"/>
      <c r="N278" s="11"/>
      <c r="O278" s="12"/>
      <c r="P278" s="11"/>
      <c r="Q278" s="13"/>
      <c r="R278" s="14"/>
    </row>
    <row r="279" spans="1:18" ht="15" customHeight="1" x14ac:dyDescent="0.3">
      <c r="A279" s="17" t="s">
        <v>257</v>
      </c>
      <c r="B279" s="17" t="s">
        <v>309</v>
      </c>
      <c r="C279" s="18">
        <v>0.3923611111111111</v>
      </c>
      <c r="D279" s="17" t="s">
        <v>259</v>
      </c>
      <c r="E279" s="17" t="s">
        <v>100</v>
      </c>
      <c r="F279" s="17" t="s">
        <v>240</v>
      </c>
      <c r="G279" s="174"/>
      <c r="H279" s="10"/>
      <c r="I279" s="11"/>
      <c r="J279" s="11"/>
      <c r="K279" s="11"/>
      <c r="L279" s="11"/>
      <c r="M279" s="11"/>
      <c r="N279" s="11"/>
      <c r="O279" s="12"/>
      <c r="P279" s="11"/>
      <c r="Q279" s="13"/>
      <c r="R279" s="14"/>
    </row>
    <row r="280" spans="1:18" ht="15" customHeight="1" x14ac:dyDescent="0.3">
      <c r="A280" s="15" t="s">
        <v>257</v>
      </c>
      <c r="B280" s="15" t="s">
        <v>309</v>
      </c>
      <c r="C280" s="16">
        <v>0.3923611111111111</v>
      </c>
      <c r="D280" s="15" t="s">
        <v>34</v>
      </c>
      <c r="E280" s="15" t="s">
        <v>102</v>
      </c>
      <c r="F280" s="15" t="s">
        <v>353</v>
      </c>
      <c r="G280" s="174"/>
      <c r="H280" s="10"/>
      <c r="I280" s="11"/>
      <c r="J280" s="11"/>
      <c r="K280" s="11"/>
      <c r="L280" s="11"/>
      <c r="M280" s="11"/>
      <c r="N280" s="11"/>
      <c r="O280" s="12"/>
      <c r="P280" s="11"/>
      <c r="Q280" s="13"/>
      <c r="R280" s="14"/>
    </row>
    <row r="281" spans="1:18" ht="15" customHeight="1" x14ac:dyDescent="0.3">
      <c r="A281" s="47" t="s">
        <v>257</v>
      </c>
      <c r="B281" s="47" t="s">
        <v>354</v>
      </c>
      <c r="C281" s="48">
        <v>0.97569444444444453</v>
      </c>
      <c r="D281" s="47" t="s">
        <v>259</v>
      </c>
      <c r="E281" s="47" t="s">
        <v>250</v>
      </c>
      <c r="F281" s="47" t="s">
        <v>355</v>
      </c>
      <c r="G281" s="174"/>
      <c r="H281" s="10"/>
      <c r="I281" s="11"/>
      <c r="J281" s="11"/>
      <c r="K281" s="11"/>
      <c r="L281" s="11"/>
      <c r="M281" s="11"/>
      <c r="N281" s="11"/>
      <c r="O281" s="12"/>
      <c r="P281" s="11"/>
      <c r="Q281" s="13"/>
      <c r="R281" s="14"/>
    </row>
    <row r="282" spans="1:18" ht="15" customHeight="1" x14ac:dyDescent="0.3">
      <c r="A282" s="15" t="s">
        <v>257</v>
      </c>
      <c r="B282" s="15" t="s">
        <v>354</v>
      </c>
      <c r="C282" s="16">
        <v>0.97569444444444453</v>
      </c>
      <c r="D282" s="15" t="s">
        <v>34</v>
      </c>
      <c r="E282" s="15" t="s">
        <v>102</v>
      </c>
      <c r="F282" s="15" t="s">
        <v>356</v>
      </c>
      <c r="G282" s="174"/>
      <c r="H282" s="10"/>
      <c r="I282" s="11"/>
      <c r="J282" s="11"/>
      <c r="K282" s="11"/>
      <c r="L282" s="11"/>
      <c r="M282" s="11"/>
      <c r="N282" s="11"/>
      <c r="O282" s="12"/>
      <c r="P282" s="11"/>
      <c r="Q282" s="13"/>
      <c r="R282" s="14"/>
    </row>
    <row r="283" spans="1:18" ht="15" customHeight="1" x14ac:dyDescent="0.3">
      <c r="A283" s="17" t="s">
        <v>77</v>
      </c>
      <c r="B283" s="17" t="s">
        <v>270</v>
      </c>
      <c r="C283" s="18">
        <v>0.37847222222222232</v>
      </c>
      <c r="D283" s="17" t="s">
        <v>83</v>
      </c>
      <c r="E283" s="17" t="s">
        <v>49</v>
      </c>
      <c r="F283" s="17" t="s">
        <v>268</v>
      </c>
      <c r="G283" s="174"/>
      <c r="H283" s="10"/>
      <c r="I283" s="11"/>
      <c r="J283" s="11"/>
      <c r="K283" s="11"/>
      <c r="L283" s="11"/>
      <c r="M283" s="11"/>
      <c r="N283" s="11"/>
      <c r="O283" s="12"/>
      <c r="P283" s="11"/>
      <c r="Q283" s="13"/>
      <c r="R283" s="14"/>
    </row>
    <row r="284" spans="1:18" ht="15" customHeight="1" x14ac:dyDescent="0.3">
      <c r="A284" s="15" t="s">
        <v>77</v>
      </c>
      <c r="B284" s="15" t="s">
        <v>270</v>
      </c>
      <c r="C284" s="16">
        <v>0.37847222222222232</v>
      </c>
      <c r="D284" s="15" t="s">
        <v>79</v>
      </c>
      <c r="E284" s="15" t="s">
        <v>85</v>
      </c>
      <c r="F284" s="15" t="s">
        <v>269</v>
      </c>
      <c r="G284" s="174"/>
      <c r="H284" s="10"/>
      <c r="I284" s="11"/>
      <c r="J284" s="11"/>
      <c r="K284" s="11"/>
      <c r="L284" s="11"/>
      <c r="M284" s="11"/>
      <c r="N284" s="11"/>
      <c r="O284" s="12"/>
      <c r="P284" s="11"/>
      <c r="Q284" s="13"/>
      <c r="R284" s="14"/>
    </row>
    <row r="285" spans="1:18" ht="15" customHeight="1" x14ac:dyDescent="0.3">
      <c r="A285" s="47" t="s">
        <v>77</v>
      </c>
      <c r="B285" s="47" t="s">
        <v>287</v>
      </c>
      <c r="C285" s="48">
        <v>0.61111111111111105</v>
      </c>
      <c r="D285" s="47" t="s">
        <v>83</v>
      </c>
      <c r="E285" s="47" t="s">
        <v>70</v>
      </c>
      <c r="F285" s="47" t="s">
        <v>268</v>
      </c>
      <c r="G285" s="174"/>
      <c r="H285" s="10"/>
      <c r="I285" s="11"/>
      <c r="J285" s="11"/>
      <c r="K285" s="11"/>
      <c r="L285" s="11"/>
      <c r="M285" s="11"/>
      <c r="N285" s="11"/>
      <c r="O285" s="12"/>
      <c r="P285" s="11"/>
      <c r="Q285" s="13"/>
      <c r="R285" s="14"/>
    </row>
    <row r="286" spans="1:18" ht="15" customHeight="1" x14ac:dyDescent="0.3">
      <c r="A286" s="15" t="s">
        <v>77</v>
      </c>
      <c r="B286" s="15" t="s">
        <v>287</v>
      </c>
      <c r="C286" s="16">
        <v>0.61111111111111105</v>
      </c>
      <c r="D286" s="15" t="s">
        <v>79</v>
      </c>
      <c r="E286" s="15" t="s">
        <v>85</v>
      </c>
      <c r="F286" s="15" t="s">
        <v>269</v>
      </c>
      <c r="G286" s="174"/>
      <c r="H286" s="10"/>
      <c r="I286" s="11"/>
      <c r="J286" s="11"/>
      <c r="K286" s="11"/>
      <c r="L286" s="11"/>
      <c r="M286" s="11"/>
      <c r="N286" s="11"/>
      <c r="O286" s="12"/>
      <c r="P286" s="11"/>
      <c r="Q286" s="13"/>
      <c r="R286" s="14"/>
    </row>
    <row r="287" spans="1:18" ht="15" customHeight="1" x14ac:dyDescent="0.3">
      <c r="A287" s="47" t="s">
        <v>77</v>
      </c>
      <c r="B287" s="47" t="s">
        <v>267</v>
      </c>
      <c r="C287" s="48">
        <v>0.23958333333333329</v>
      </c>
      <c r="D287" s="47" t="s">
        <v>83</v>
      </c>
      <c r="E287" s="47" t="s">
        <v>70</v>
      </c>
      <c r="F287" s="47" t="s">
        <v>268</v>
      </c>
      <c r="G287" s="174"/>
      <c r="H287" s="10"/>
      <c r="I287" s="11"/>
      <c r="J287" s="11"/>
      <c r="K287" s="11"/>
      <c r="L287" s="11"/>
      <c r="M287" s="11"/>
      <c r="N287" s="11"/>
      <c r="O287" s="12"/>
      <c r="P287" s="11"/>
      <c r="Q287" s="13"/>
      <c r="R287" s="14"/>
    </row>
    <row r="288" spans="1:18" ht="15" customHeight="1" x14ac:dyDescent="0.3">
      <c r="A288" s="15" t="s">
        <v>77</v>
      </c>
      <c r="B288" s="15" t="s">
        <v>267</v>
      </c>
      <c r="C288" s="16">
        <v>0.23958333333333329</v>
      </c>
      <c r="D288" s="15" t="s">
        <v>79</v>
      </c>
      <c r="E288" s="15" t="s">
        <v>85</v>
      </c>
      <c r="F288" s="15" t="s">
        <v>269</v>
      </c>
      <c r="G288" s="174"/>
      <c r="H288" s="10"/>
      <c r="I288" s="11"/>
      <c r="J288" s="11"/>
      <c r="K288" s="11"/>
      <c r="L288" s="11"/>
      <c r="M288" s="11"/>
      <c r="N288" s="11"/>
      <c r="O288" s="12"/>
      <c r="P288" s="11"/>
      <c r="Q288" s="13"/>
      <c r="R288" s="14"/>
    </row>
    <row r="289" spans="1:18" ht="15" customHeight="1" x14ac:dyDescent="0.3">
      <c r="A289" s="47" t="s">
        <v>77</v>
      </c>
      <c r="B289" s="47" t="s">
        <v>274</v>
      </c>
      <c r="C289" s="48">
        <v>0.1423611111111111</v>
      </c>
      <c r="D289" s="47" t="s">
        <v>83</v>
      </c>
      <c r="E289" s="47" t="s">
        <v>70</v>
      </c>
      <c r="F289" s="47" t="s">
        <v>268</v>
      </c>
      <c r="G289" s="174"/>
      <c r="H289" s="10"/>
      <c r="I289" s="11"/>
      <c r="J289" s="11"/>
      <c r="K289" s="11"/>
      <c r="L289" s="11"/>
      <c r="M289" s="11"/>
      <c r="N289" s="11"/>
      <c r="O289" s="12"/>
      <c r="P289" s="11"/>
      <c r="Q289" s="13"/>
      <c r="R289" s="14"/>
    </row>
    <row r="290" spans="1:18" ht="15" customHeight="1" x14ac:dyDescent="0.3">
      <c r="A290" s="15" t="s">
        <v>77</v>
      </c>
      <c r="B290" s="15" t="s">
        <v>274</v>
      </c>
      <c r="C290" s="16">
        <v>0.1423611111111111</v>
      </c>
      <c r="D290" s="15" t="s">
        <v>79</v>
      </c>
      <c r="E290" s="15" t="s">
        <v>85</v>
      </c>
      <c r="F290" s="15" t="s">
        <v>269</v>
      </c>
      <c r="G290" s="174"/>
      <c r="H290" s="10"/>
      <c r="I290" s="11"/>
      <c r="J290" s="11"/>
      <c r="K290" s="11"/>
      <c r="L290" s="11"/>
      <c r="M290" s="11"/>
      <c r="N290" s="11"/>
      <c r="O290" s="12"/>
      <c r="P290" s="11"/>
      <c r="Q290" s="13"/>
      <c r="R290" s="14"/>
    </row>
    <row r="291" spans="1:18" ht="15" customHeight="1" x14ac:dyDescent="0.3">
      <c r="A291" s="47" t="s">
        <v>77</v>
      </c>
      <c r="B291" s="47" t="s">
        <v>276</v>
      </c>
      <c r="C291" s="48">
        <v>0.71875</v>
      </c>
      <c r="D291" s="47" t="s">
        <v>83</v>
      </c>
      <c r="E291" s="47" t="s">
        <v>70</v>
      </c>
      <c r="F291" s="47" t="s">
        <v>357</v>
      </c>
      <c r="G291" s="174"/>
      <c r="H291" s="10"/>
      <c r="I291" s="11"/>
      <c r="J291" s="11"/>
      <c r="K291" s="11"/>
      <c r="L291" s="11"/>
      <c r="M291" s="11"/>
      <c r="N291" s="11"/>
      <c r="O291" s="12"/>
      <c r="P291" s="11"/>
      <c r="Q291" s="13"/>
      <c r="R291" s="14"/>
    </row>
    <row r="292" spans="1:18" ht="15" customHeight="1" x14ac:dyDescent="0.3">
      <c r="A292" s="15" t="s">
        <v>77</v>
      </c>
      <c r="B292" s="15" t="s">
        <v>276</v>
      </c>
      <c r="C292" s="16">
        <v>0.71875</v>
      </c>
      <c r="D292" s="15" t="s">
        <v>79</v>
      </c>
      <c r="E292" s="15" t="s">
        <v>85</v>
      </c>
      <c r="F292" s="15" t="s">
        <v>314</v>
      </c>
      <c r="G292" s="174"/>
      <c r="H292" s="10"/>
      <c r="I292" s="11"/>
      <c r="J292" s="11"/>
      <c r="K292" s="11"/>
      <c r="L292" s="11"/>
      <c r="M292" s="11"/>
      <c r="N292" s="11"/>
      <c r="O292" s="12"/>
      <c r="P292" s="11"/>
      <c r="Q292" s="13"/>
      <c r="R292" s="14"/>
    </row>
    <row r="293" spans="1:18" ht="15" customHeight="1" x14ac:dyDescent="0.3">
      <c r="A293" s="47" t="s">
        <v>77</v>
      </c>
      <c r="B293" s="47" t="s">
        <v>273</v>
      </c>
      <c r="C293" s="48">
        <v>6.9444444444444441E-3</v>
      </c>
      <c r="D293" s="47" t="s">
        <v>83</v>
      </c>
      <c r="E293" s="47" t="s">
        <v>70</v>
      </c>
      <c r="F293" s="47" t="s">
        <v>271</v>
      </c>
      <c r="G293" s="174"/>
      <c r="H293" s="10"/>
      <c r="I293" s="11"/>
      <c r="J293" s="11"/>
      <c r="K293" s="11"/>
      <c r="L293" s="11"/>
      <c r="M293" s="11"/>
      <c r="N293" s="11"/>
      <c r="O293" s="12"/>
      <c r="P293" s="11"/>
      <c r="Q293" s="13"/>
      <c r="R293" s="14"/>
    </row>
    <row r="294" spans="1:18" ht="15" customHeight="1" x14ac:dyDescent="0.3">
      <c r="A294" s="15" t="s">
        <v>77</v>
      </c>
      <c r="B294" s="15" t="s">
        <v>273</v>
      </c>
      <c r="C294" s="16">
        <v>6.9444444444444441E-3</v>
      </c>
      <c r="D294" s="15" t="s">
        <v>79</v>
      </c>
      <c r="E294" s="15" t="s">
        <v>85</v>
      </c>
      <c r="F294" s="15" t="s">
        <v>272</v>
      </c>
      <c r="G294" s="174"/>
      <c r="H294" s="10"/>
      <c r="I294" s="11"/>
      <c r="J294" s="11"/>
      <c r="K294" s="11"/>
      <c r="L294" s="11"/>
      <c r="M294" s="11"/>
      <c r="N294" s="11"/>
      <c r="O294" s="12"/>
      <c r="P294" s="11"/>
      <c r="Q294" s="13"/>
      <c r="R294" s="14"/>
    </row>
    <row r="295" spans="1:18" ht="15" customHeight="1" x14ac:dyDescent="0.3">
      <c r="A295" s="47" t="s">
        <v>77</v>
      </c>
      <c r="B295" s="47" t="s">
        <v>275</v>
      </c>
      <c r="C295" s="48">
        <v>0.93055555555555547</v>
      </c>
      <c r="D295" s="47" t="s">
        <v>83</v>
      </c>
      <c r="E295" s="47" t="s">
        <v>70</v>
      </c>
      <c r="F295" s="47" t="s">
        <v>271</v>
      </c>
      <c r="G295" s="174"/>
      <c r="H295" s="10"/>
      <c r="I295" s="11"/>
      <c r="J295" s="11"/>
      <c r="K295" s="11"/>
      <c r="L295" s="11"/>
      <c r="M295" s="11"/>
      <c r="N295" s="11"/>
      <c r="O295" s="12"/>
      <c r="P295" s="11"/>
      <c r="Q295" s="13"/>
      <c r="R295" s="14"/>
    </row>
    <row r="296" spans="1:18" ht="15" customHeight="1" x14ac:dyDescent="0.3">
      <c r="A296" s="15" t="s">
        <v>77</v>
      </c>
      <c r="B296" s="15" t="s">
        <v>275</v>
      </c>
      <c r="C296" s="16">
        <v>0.93055555555555547</v>
      </c>
      <c r="D296" s="15" t="s">
        <v>79</v>
      </c>
      <c r="E296" s="15" t="s">
        <v>85</v>
      </c>
      <c r="F296" s="15" t="s">
        <v>272</v>
      </c>
      <c r="G296" s="174"/>
      <c r="H296" s="10"/>
      <c r="I296" s="11"/>
      <c r="J296" s="11"/>
      <c r="K296" s="11"/>
      <c r="L296" s="11"/>
      <c r="M296" s="11"/>
      <c r="N296" s="11"/>
      <c r="O296" s="12"/>
      <c r="P296" s="11"/>
      <c r="Q296" s="13"/>
      <c r="R296" s="14"/>
    </row>
    <row r="297" spans="1:18" ht="15" customHeight="1" x14ac:dyDescent="0.3">
      <c r="A297" s="47" t="s">
        <v>77</v>
      </c>
      <c r="B297" s="47" t="s">
        <v>284</v>
      </c>
      <c r="C297" s="48">
        <v>0.82986111111111116</v>
      </c>
      <c r="D297" s="47" t="s">
        <v>83</v>
      </c>
      <c r="E297" s="47" t="s">
        <v>70</v>
      </c>
      <c r="F297" s="47" t="s">
        <v>271</v>
      </c>
      <c r="G297" s="174"/>
      <c r="H297" s="10"/>
      <c r="I297" s="11"/>
      <c r="J297" s="11"/>
      <c r="K297" s="11"/>
      <c r="L297" s="11"/>
      <c r="M297" s="11"/>
      <c r="N297" s="11"/>
      <c r="O297" s="12"/>
      <c r="P297" s="11"/>
      <c r="Q297" s="13"/>
      <c r="R297" s="14"/>
    </row>
    <row r="298" spans="1:18" ht="15" customHeight="1" x14ac:dyDescent="0.3">
      <c r="A298" s="15" t="s">
        <v>77</v>
      </c>
      <c r="B298" s="15" t="s">
        <v>284</v>
      </c>
      <c r="C298" s="16">
        <v>0.82986111111111116</v>
      </c>
      <c r="D298" s="15" t="s">
        <v>79</v>
      </c>
      <c r="E298" s="15" t="s">
        <v>85</v>
      </c>
      <c r="F298" s="15" t="s">
        <v>272</v>
      </c>
      <c r="G298" s="174"/>
      <c r="H298" s="10"/>
      <c r="I298" s="11"/>
      <c r="J298" s="11"/>
      <c r="K298" s="11"/>
      <c r="L298" s="11"/>
      <c r="M298" s="11"/>
      <c r="N298" s="11"/>
      <c r="O298" s="12"/>
      <c r="P298" s="11"/>
      <c r="Q298" s="13"/>
      <c r="R298" s="14"/>
    </row>
    <row r="299" spans="1:18" ht="15" customHeight="1" x14ac:dyDescent="0.3">
      <c r="A299" s="47" t="s">
        <v>77</v>
      </c>
      <c r="B299" s="47" t="s">
        <v>281</v>
      </c>
      <c r="C299" s="48">
        <v>0.30208333333333331</v>
      </c>
      <c r="D299" s="47" t="s">
        <v>79</v>
      </c>
      <c r="E299" s="47" t="s">
        <v>107</v>
      </c>
      <c r="F299" s="47" t="s">
        <v>341</v>
      </c>
      <c r="G299" s="174"/>
      <c r="H299" s="10"/>
      <c r="I299" s="11"/>
      <c r="J299" s="11"/>
      <c r="K299" s="11"/>
      <c r="L299" s="11"/>
      <c r="M299" s="11"/>
      <c r="N299" s="11"/>
      <c r="O299" s="12"/>
      <c r="P299" s="11"/>
      <c r="Q299" s="13"/>
      <c r="R299" s="14"/>
    </row>
    <row r="300" spans="1:18" ht="15" customHeight="1" x14ac:dyDescent="0.3">
      <c r="A300" s="47" t="s">
        <v>77</v>
      </c>
      <c r="B300" s="47" t="s">
        <v>282</v>
      </c>
      <c r="C300" s="48">
        <v>0.12847222222222221</v>
      </c>
      <c r="D300" s="47" t="s">
        <v>79</v>
      </c>
      <c r="E300" s="47" t="s">
        <v>107</v>
      </c>
      <c r="F300" s="47" t="s">
        <v>341</v>
      </c>
      <c r="G300" s="174"/>
      <c r="H300" s="10"/>
      <c r="I300" s="11"/>
      <c r="J300" s="11"/>
      <c r="K300" s="11"/>
      <c r="L300" s="11"/>
      <c r="M300" s="11"/>
      <c r="N300" s="11"/>
      <c r="O300" s="12"/>
      <c r="P300" s="11"/>
      <c r="Q300" s="13"/>
      <c r="R300" s="14"/>
    </row>
    <row r="301" spans="1:18" ht="15" customHeight="1" x14ac:dyDescent="0.3">
      <c r="A301" s="47" t="s">
        <v>77</v>
      </c>
      <c r="B301" s="47" t="s">
        <v>279</v>
      </c>
      <c r="C301" s="48">
        <v>0.88888888888888884</v>
      </c>
      <c r="D301" s="47" t="s">
        <v>79</v>
      </c>
      <c r="E301" s="47" t="s">
        <v>107</v>
      </c>
      <c r="F301" s="47" t="s">
        <v>280</v>
      </c>
      <c r="G301" s="174"/>
      <c r="H301" s="10"/>
      <c r="I301" s="11"/>
      <c r="J301" s="11"/>
      <c r="K301" s="11"/>
      <c r="L301" s="11"/>
      <c r="M301" s="11"/>
      <c r="N301" s="11"/>
      <c r="O301" s="12"/>
      <c r="P301" s="11"/>
      <c r="Q301" s="13"/>
      <c r="R301" s="14"/>
    </row>
    <row r="302" spans="1:18" ht="15" customHeight="1" x14ac:dyDescent="0.3">
      <c r="A302" s="47" t="s">
        <v>77</v>
      </c>
      <c r="B302" s="47" t="s">
        <v>283</v>
      </c>
      <c r="C302" s="48">
        <v>0.78819444444444453</v>
      </c>
      <c r="D302" s="47" t="s">
        <v>79</v>
      </c>
      <c r="E302" s="47" t="s">
        <v>107</v>
      </c>
      <c r="F302" s="47" t="s">
        <v>280</v>
      </c>
      <c r="G302" s="174"/>
      <c r="H302" s="10"/>
      <c r="I302" s="11"/>
      <c r="J302" s="11"/>
      <c r="K302" s="11"/>
      <c r="L302" s="11"/>
      <c r="M302" s="11"/>
      <c r="N302" s="11"/>
      <c r="O302" s="12"/>
      <c r="P302" s="11"/>
      <c r="Q302" s="13"/>
      <c r="R302" s="14"/>
    </row>
    <row r="303" spans="1:18" ht="15" customHeight="1" x14ac:dyDescent="0.3">
      <c r="A303" s="17" t="s">
        <v>65</v>
      </c>
      <c r="B303" s="17" t="s">
        <v>316</v>
      </c>
      <c r="C303" s="18">
        <v>1.388888888888889E-2</v>
      </c>
      <c r="D303" s="17" t="s">
        <v>67</v>
      </c>
      <c r="E303" s="17" t="s">
        <v>49</v>
      </c>
      <c r="F303" s="17" t="s">
        <v>314</v>
      </c>
      <c r="G303" s="174"/>
      <c r="H303" s="10"/>
      <c r="I303" s="11"/>
      <c r="J303" s="11"/>
      <c r="K303" s="11"/>
      <c r="L303" s="11"/>
      <c r="M303" s="11"/>
      <c r="N303" s="11"/>
      <c r="O303" s="12"/>
      <c r="P303" s="11"/>
      <c r="Q303" s="13"/>
      <c r="R303" s="14"/>
    </row>
    <row r="304" spans="1:18" ht="15" customHeight="1" x14ac:dyDescent="0.3">
      <c r="A304" s="47" t="s">
        <v>65</v>
      </c>
      <c r="B304" s="47" t="s">
        <v>290</v>
      </c>
      <c r="C304" s="48">
        <v>0.47222222222222232</v>
      </c>
      <c r="D304" s="47" t="s">
        <v>67</v>
      </c>
      <c r="E304" s="47" t="s">
        <v>70</v>
      </c>
      <c r="F304" s="47" t="s">
        <v>314</v>
      </c>
      <c r="G304" s="174"/>
      <c r="H304" s="10"/>
      <c r="I304" s="11"/>
      <c r="J304" s="11"/>
      <c r="K304" s="11"/>
      <c r="L304" s="11"/>
      <c r="M304" s="11"/>
      <c r="N304" s="11"/>
      <c r="O304" s="12"/>
      <c r="P304" s="11"/>
      <c r="Q304" s="13"/>
      <c r="R304" s="14"/>
    </row>
    <row r="305" spans="1:18" ht="15" customHeight="1" x14ac:dyDescent="0.3">
      <c r="A305" s="47" t="s">
        <v>65</v>
      </c>
      <c r="B305" s="47" t="s">
        <v>312</v>
      </c>
      <c r="C305" s="48">
        <v>0.14583333333333329</v>
      </c>
      <c r="D305" s="47" t="s">
        <v>67</v>
      </c>
      <c r="E305" s="47" t="s">
        <v>70</v>
      </c>
      <c r="F305" s="47" t="s">
        <v>314</v>
      </c>
      <c r="G305" s="174"/>
      <c r="H305" s="10"/>
      <c r="I305" s="11"/>
      <c r="J305" s="11"/>
      <c r="K305" s="11"/>
      <c r="L305" s="11"/>
      <c r="M305" s="11"/>
      <c r="N305" s="11"/>
      <c r="O305" s="12"/>
      <c r="P305" s="11"/>
      <c r="Q305" s="13"/>
      <c r="R305" s="14"/>
    </row>
    <row r="306" spans="1:18" ht="15" customHeight="1" x14ac:dyDescent="0.3">
      <c r="A306" s="47" t="s">
        <v>65</v>
      </c>
      <c r="B306" s="47" t="s">
        <v>295</v>
      </c>
      <c r="C306" s="48">
        <v>0.27777777777777779</v>
      </c>
      <c r="D306" s="47" t="s">
        <v>67</v>
      </c>
      <c r="E306" s="47" t="s">
        <v>70</v>
      </c>
      <c r="F306" s="47" t="s">
        <v>314</v>
      </c>
      <c r="G306" s="174"/>
      <c r="H306" s="10"/>
      <c r="I306" s="11"/>
      <c r="J306" s="11"/>
      <c r="K306" s="11"/>
      <c r="L306" s="11"/>
      <c r="M306" s="11"/>
      <c r="N306" s="11"/>
      <c r="O306" s="12"/>
      <c r="P306" s="11"/>
      <c r="Q306" s="13"/>
      <c r="R306" s="14"/>
    </row>
    <row r="307" spans="1:18" ht="15" customHeight="1" x14ac:dyDescent="0.3">
      <c r="A307" s="47" t="s">
        <v>65</v>
      </c>
      <c r="B307" s="47" t="s">
        <v>293</v>
      </c>
      <c r="C307" s="48">
        <v>0.22916666666666671</v>
      </c>
      <c r="D307" s="47" t="s">
        <v>67</v>
      </c>
      <c r="E307" s="47" t="s">
        <v>70</v>
      </c>
      <c r="F307" s="47" t="s">
        <v>314</v>
      </c>
      <c r="G307" s="174"/>
      <c r="H307" s="10"/>
      <c r="I307" s="11"/>
      <c r="J307" s="11"/>
      <c r="K307" s="11"/>
      <c r="L307" s="11"/>
      <c r="M307" s="11"/>
      <c r="N307" s="11"/>
      <c r="O307" s="12"/>
      <c r="P307" s="11"/>
      <c r="Q307" s="13"/>
      <c r="R307" s="14"/>
    </row>
    <row r="308" spans="1:18" ht="15" customHeight="1" x14ac:dyDescent="0.3">
      <c r="A308" s="47" t="s">
        <v>65</v>
      </c>
      <c r="B308" s="47" t="s">
        <v>297</v>
      </c>
      <c r="C308" s="48">
        <v>0.77083333333333337</v>
      </c>
      <c r="D308" s="47" t="s">
        <v>67</v>
      </c>
      <c r="E308" s="47" t="s">
        <v>70</v>
      </c>
      <c r="F308" s="47" t="s">
        <v>317</v>
      </c>
      <c r="G308" s="174"/>
      <c r="H308" s="10"/>
      <c r="I308" s="11"/>
      <c r="J308" s="11"/>
      <c r="K308" s="11"/>
      <c r="L308" s="11"/>
      <c r="M308" s="11"/>
      <c r="N308" s="11"/>
      <c r="O308" s="12"/>
      <c r="P308" s="11"/>
      <c r="Q308" s="13"/>
      <c r="R308" s="14"/>
    </row>
    <row r="309" spans="1:18" ht="15" customHeight="1" x14ac:dyDescent="0.3">
      <c r="A309" s="64" t="s">
        <v>65</v>
      </c>
      <c r="B309" s="64" t="s">
        <v>315</v>
      </c>
      <c r="C309" s="65">
        <v>0.95833333333333337</v>
      </c>
      <c r="D309" s="64" t="s">
        <v>67</v>
      </c>
      <c r="E309" s="64" t="s">
        <v>70</v>
      </c>
      <c r="F309" s="64" t="s">
        <v>296</v>
      </c>
      <c r="G309" s="175"/>
      <c r="H309" s="51"/>
      <c r="I309" s="52"/>
      <c r="J309" s="52"/>
      <c r="K309" s="52"/>
      <c r="L309" s="52"/>
      <c r="M309" s="52"/>
      <c r="N309" s="52"/>
      <c r="O309" s="53"/>
      <c r="P309" s="52"/>
      <c r="Q309" s="54"/>
      <c r="R309" s="55"/>
    </row>
  </sheetData>
  <mergeCells count="22">
    <mergeCell ref="H237:R237"/>
    <mergeCell ref="G83:G156"/>
    <mergeCell ref="A157:R157"/>
    <mergeCell ref="H158:R158"/>
    <mergeCell ref="G239:G309"/>
    <mergeCell ref="A237:F237"/>
    <mergeCell ref="A236:R236"/>
    <mergeCell ref="A2:F2"/>
    <mergeCell ref="A3:R3"/>
    <mergeCell ref="G2:J2"/>
    <mergeCell ref="A4:F4"/>
    <mergeCell ref="G160:G235"/>
    <mergeCell ref="A81:F81"/>
    <mergeCell ref="K2:R2"/>
    <mergeCell ref="G6:G79"/>
    <mergeCell ref="H81:R81"/>
    <mergeCell ref="A158:F158"/>
    <mergeCell ref="H1:L1"/>
    <mergeCell ref="A1:E1"/>
    <mergeCell ref="A80:R80"/>
    <mergeCell ref="H4:R4"/>
    <mergeCell ref="N1:R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24"/>
  <sheetViews>
    <sheetView workbookViewId="0"/>
  </sheetViews>
  <sheetFormatPr defaultRowHeight="15.6" outlineLevelCol="1" x14ac:dyDescent="0.3"/>
  <cols>
    <col min="1" max="1" width="13.77734375" style="192" bestFit="1" customWidth="1"/>
    <col min="2" max="2" width="11.109375" style="192" bestFit="1" customWidth="1"/>
    <col min="3" max="3" width="7.88671875" style="192" bestFit="1" customWidth="1"/>
    <col min="4" max="4" width="6.77734375" style="192" bestFit="1" customWidth="1"/>
    <col min="5" max="5" width="8.6640625" style="192" bestFit="1" customWidth="1"/>
    <col min="6" max="6" width="5.21875" style="192" bestFit="1" customWidth="1"/>
    <col min="7" max="7" width="10" style="192" bestFit="1" customWidth="1"/>
    <col min="8" max="10" width="8.5546875" style="192" bestFit="1" customWidth="1"/>
    <col min="11" max="11" width="12.21875" style="192" bestFit="1" customWidth="1"/>
    <col min="12" max="12" width="10.109375" style="192" bestFit="1" customWidth="1"/>
    <col min="13" max="13" width="8.77734375" style="192" bestFit="1" customWidth="1" outlineLevel="1"/>
    <col min="14" max="14" width="7.33203125" style="192" bestFit="1" customWidth="1" outlineLevel="1"/>
    <col min="15" max="15" width="9.109375" style="192" bestFit="1" customWidth="1" outlineLevel="1"/>
    <col min="16" max="16" width="15.33203125" style="192" bestFit="1" customWidth="1"/>
    <col min="17" max="17" width="3.88671875" style="192" bestFit="1" customWidth="1"/>
    <col min="18" max="18" width="4" style="192" bestFit="1" customWidth="1"/>
    <col min="19" max="24" width="3.88671875" style="192" bestFit="1" customWidth="1"/>
    <col min="25" max="25" width="4.21875" style="192" bestFit="1" customWidth="1"/>
    <col min="26" max="26" width="3.88671875" style="192" bestFit="1" customWidth="1"/>
    <col min="27" max="27" width="4.77734375" style="192" bestFit="1" customWidth="1"/>
    <col min="28" max="28" width="3.88671875" style="192" bestFit="1" customWidth="1"/>
    <col min="29" max="29" width="4" style="192" bestFit="1" customWidth="1"/>
    <col min="30" max="31" width="5.33203125" style="192" bestFit="1" customWidth="1"/>
    <col min="32" max="32" width="4.44140625" style="192" bestFit="1" customWidth="1"/>
    <col min="33" max="33" width="5" style="192" bestFit="1" customWidth="1"/>
    <col min="34" max="34" width="3.88671875" style="192" bestFit="1" customWidth="1"/>
    <col min="35" max="35" width="6.21875" style="192" bestFit="1" customWidth="1"/>
    <col min="36" max="36" width="4.21875" style="192" bestFit="1" customWidth="1"/>
    <col min="37" max="16384" width="8.88671875" style="192"/>
  </cols>
  <sheetData>
    <row r="1" spans="1:36" x14ac:dyDescent="0.3">
      <c r="A1" s="191" t="s">
        <v>129</v>
      </c>
      <c r="B1" s="191" t="s">
        <v>130</v>
      </c>
      <c r="C1" s="191" t="s">
        <v>131</v>
      </c>
      <c r="D1" s="191" t="s">
        <v>23</v>
      </c>
      <c r="E1" s="191" t="s">
        <v>132</v>
      </c>
      <c r="F1" s="191" t="s">
        <v>133</v>
      </c>
      <c r="G1" s="191" t="s">
        <v>16</v>
      </c>
      <c r="H1" s="191" t="s">
        <v>134</v>
      </c>
      <c r="I1" s="191" t="s">
        <v>135</v>
      </c>
      <c r="J1" s="191" t="s">
        <v>136</v>
      </c>
      <c r="K1" s="191" t="s">
        <v>137</v>
      </c>
      <c r="L1" s="191" t="s">
        <v>18</v>
      </c>
      <c r="M1" s="191" t="s">
        <v>20</v>
      </c>
      <c r="N1" s="191" t="s">
        <v>21</v>
      </c>
      <c r="O1" s="191" t="s">
        <v>19</v>
      </c>
      <c r="P1" s="191" t="s">
        <v>22</v>
      </c>
      <c r="Q1" s="191" t="s">
        <v>138</v>
      </c>
      <c r="R1" s="191" t="s">
        <v>139</v>
      </c>
      <c r="S1" s="191" t="s">
        <v>140</v>
      </c>
      <c r="T1" s="191" t="s">
        <v>141</v>
      </c>
      <c r="U1" s="191" t="s">
        <v>142</v>
      </c>
      <c r="V1" s="191" t="s">
        <v>143</v>
      </c>
      <c r="W1" s="191" t="s">
        <v>144</v>
      </c>
      <c r="X1" s="191" t="s">
        <v>145</v>
      </c>
      <c r="Y1" s="191" t="s">
        <v>146</v>
      </c>
      <c r="Z1" s="191" t="s">
        <v>147</v>
      </c>
      <c r="AA1" s="191" t="s">
        <v>148</v>
      </c>
      <c r="AB1" s="191" t="s">
        <v>149</v>
      </c>
      <c r="AC1" s="191" t="s">
        <v>150</v>
      </c>
      <c r="AD1" s="191" t="s">
        <v>151</v>
      </c>
      <c r="AE1" s="191" t="s">
        <v>152</v>
      </c>
      <c r="AF1" s="191" t="s">
        <v>153</v>
      </c>
      <c r="AG1" s="191" t="s">
        <v>154</v>
      </c>
      <c r="AH1" s="191" t="s">
        <v>155</v>
      </c>
      <c r="AI1" s="191" t="s">
        <v>156</v>
      </c>
      <c r="AJ1" s="191" t="s">
        <v>157</v>
      </c>
    </row>
    <row r="2" spans="1:36" x14ac:dyDescent="0.3">
      <c r="A2" s="193" t="s">
        <v>158</v>
      </c>
      <c r="B2" s="194">
        <v>45986</v>
      </c>
      <c r="C2" s="195" t="s">
        <v>222</v>
      </c>
      <c r="D2" s="196" t="s">
        <v>358</v>
      </c>
      <c r="E2" s="195" t="s">
        <v>199</v>
      </c>
      <c r="F2" s="195" t="s">
        <v>160</v>
      </c>
      <c r="G2" s="197">
        <v>0.35749999999999998</v>
      </c>
      <c r="H2" s="198">
        <v>179</v>
      </c>
      <c r="I2" s="198">
        <v>64</v>
      </c>
      <c r="J2" s="198">
        <v>0</v>
      </c>
      <c r="K2" s="195" t="s">
        <v>161</v>
      </c>
      <c r="L2" s="199">
        <v>45981</v>
      </c>
      <c r="M2" s="198">
        <v>0</v>
      </c>
      <c r="N2" s="198">
        <v>9</v>
      </c>
      <c r="O2" s="198">
        <v>46</v>
      </c>
      <c r="P2" s="195" t="s">
        <v>183</v>
      </c>
      <c r="Q2" s="191"/>
      <c r="R2" s="191"/>
      <c r="S2" s="191"/>
      <c r="T2" s="191"/>
      <c r="U2" s="191"/>
      <c r="V2" s="191"/>
      <c r="W2" s="191"/>
      <c r="X2" s="191"/>
      <c r="Y2" s="191"/>
      <c r="Z2" s="198" t="s">
        <v>359</v>
      </c>
      <c r="AA2" s="191"/>
      <c r="AB2" s="191"/>
      <c r="AC2" s="198" t="s">
        <v>181</v>
      </c>
      <c r="AD2" s="198" t="s">
        <v>173</v>
      </c>
      <c r="AE2" s="198" t="s">
        <v>360</v>
      </c>
      <c r="AF2" s="198" t="s">
        <v>361</v>
      </c>
      <c r="AG2" s="191"/>
      <c r="AH2" s="191"/>
      <c r="AI2" s="191"/>
      <c r="AJ2" s="191"/>
    </row>
    <row r="3" spans="1:36" x14ac:dyDescent="0.3">
      <c r="A3" s="193" t="s">
        <v>158</v>
      </c>
      <c r="B3" s="194">
        <v>45986</v>
      </c>
      <c r="C3" s="195" t="s">
        <v>237</v>
      </c>
      <c r="D3" s="196" t="s">
        <v>362</v>
      </c>
      <c r="E3" s="195" t="s">
        <v>199</v>
      </c>
      <c r="F3" s="195" t="s">
        <v>160</v>
      </c>
      <c r="G3" s="197">
        <v>0.9385</v>
      </c>
      <c r="H3" s="198">
        <v>179</v>
      </c>
      <c r="I3" s="198">
        <v>168</v>
      </c>
      <c r="J3" s="198">
        <v>117</v>
      </c>
      <c r="K3" s="195" t="s">
        <v>161</v>
      </c>
      <c r="L3" s="199">
        <v>45979</v>
      </c>
      <c r="M3" s="198">
        <v>0</v>
      </c>
      <c r="N3" s="198">
        <v>0</v>
      </c>
      <c r="O3" s="198">
        <v>25</v>
      </c>
      <c r="P3" s="195" t="s">
        <v>63</v>
      </c>
      <c r="Q3" s="191"/>
      <c r="R3" s="191"/>
      <c r="S3" s="191"/>
      <c r="T3" s="191"/>
      <c r="U3" s="191"/>
      <c r="V3" s="191"/>
      <c r="W3" s="191"/>
      <c r="X3" s="191"/>
      <c r="Y3" s="191"/>
      <c r="Z3" s="198" t="s">
        <v>363</v>
      </c>
      <c r="AA3" s="191"/>
      <c r="AB3" s="191"/>
      <c r="AC3" s="198" t="s">
        <v>364</v>
      </c>
      <c r="AD3" s="198" t="s">
        <v>365</v>
      </c>
      <c r="AE3" s="198" t="s">
        <v>366</v>
      </c>
      <c r="AF3" s="198" t="s">
        <v>367</v>
      </c>
      <c r="AG3" s="191"/>
      <c r="AH3" s="191"/>
      <c r="AI3" s="198" t="s">
        <v>368</v>
      </c>
      <c r="AJ3" s="198" t="s">
        <v>369</v>
      </c>
    </row>
    <row r="4" spans="1:36" x14ac:dyDescent="0.3">
      <c r="A4" s="193" t="s">
        <v>158</v>
      </c>
      <c r="B4" s="194">
        <v>45986</v>
      </c>
      <c r="C4" s="195" t="s">
        <v>229</v>
      </c>
      <c r="D4" s="196" t="s">
        <v>370</v>
      </c>
      <c r="E4" s="195" t="s">
        <v>199</v>
      </c>
      <c r="F4" s="195" t="s">
        <v>160</v>
      </c>
      <c r="G4" s="197">
        <v>0.84360000000000002</v>
      </c>
      <c r="H4" s="198">
        <v>179</v>
      </c>
      <c r="I4" s="198">
        <v>151</v>
      </c>
      <c r="J4" s="198">
        <v>82</v>
      </c>
      <c r="K4" s="195" t="s">
        <v>161</v>
      </c>
      <c r="L4" s="199">
        <v>45981</v>
      </c>
      <c r="M4" s="198">
        <v>0</v>
      </c>
      <c r="N4" s="198">
        <v>15</v>
      </c>
      <c r="O4" s="198">
        <v>34</v>
      </c>
      <c r="P4" s="195" t="s">
        <v>230</v>
      </c>
      <c r="Q4" s="191"/>
      <c r="R4" s="191"/>
      <c r="S4" s="191"/>
      <c r="T4" s="191"/>
      <c r="U4" s="191"/>
      <c r="V4" s="191"/>
      <c r="W4" s="191"/>
      <c r="X4" s="191"/>
      <c r="Y4" s="191"/>
      <c r="Z4" s="198" t="s">
        <v>371</v>
      </c>
      <c r="AA4" s="191"/>
      <c r="AB4" s="191"/>
      <c r="AC4" s="198" t="s">
        <v>372</v>
      </c>
      <c r="AD4" s="198" t="s">
        <v>373</v>
      </c>
      <c r="AE4" s="198" t="s">
        <v>374</v>
      </c>
      <c r="AF4" s="198" t="s">
        <v>367</v>
      </c>
      <c r="AG4" s="191"/>
      <c r="AH4" s="191"/>
      <c r="AI4" s="198" t="s">
        <v>375</v>
      </c>
      <c r="AJ4" s="191"/>
    </row>
    <row r="5" spans="1:36" x14ac:dyDescent="0.3">
      <c r="A5" s="193" t="s">
        <v>158</v>
      </c>
      <c r="B5" s="194">
        <v>45986</v>
      </c>
      <c r="C5" s="195" t="s">
        <v>234</v>
      </c>
      <c r="D5" s="196" t="s">
        <v>376</v>
      </c>
      <c r="E5" s="195" t="s">
        <v>199</v>
      </c>
      <c r="F5" s="195" t="s">
        <v>160</v>
      </c>
      <c r="G5" s="197">
        <v>0.91059999999999997</v>
      </c>
      <c r="H5" s="198">
        <v>179</v>
      </c>
      <c r="I5" s="198">
        <v>163</v>
      </c>
      <c r="J5" s="198">
        <v>116</v>
      </c>
      <c r="K5" s="195" t="s">
        <v>161</v>
      </c>
      <c r="L5" s="199">
        <v>45980</v>
      </c>
      <c r="M5" s="198">
        <v>0</v>
      </c>
      <c r="N5" s="198">
        <v>0</v>
      </c>
      <c r="O5" s="198">
        <v>23</v>
      </c>
      <c r="P5" s="195" t="s">
        <v>235</v>
      </c>
      <c r="Q5" s="191"/>
      <c r="R5" s="191"/>
      <c r="S5" s="191"/>
      <c r="T5" s="191"/>
      <c r="U5" s="191"/>
      <c r="V5" s="191"/>
      <c r="W5" s="191"/>
      <c r="X5" s="191"/>
      <c r="Y5" s="191"/>
      <c r="Z5" s="198" t="s">
        <v>190</v>
      </c>
      <c r="AA5" s="198" t="s">
        <v>377</v>
      </c>
      <c r="AB5" s="191"/>
      <c r="AC5" s="198" t="s">
        <v>378</v>
      </c>
      <c r="AD5" s="198" t="s">
        <v>379</v>
      </c>
      <c r="AE5" s="198" t="s">
        <v>366</v>
      </c>
      <c r="AF5" s="198" t="s">
        <v>302</v>
      </c>
      <c r="AG5" s="191"/>
      <c r="AH5" s="191"/>
      <c r="AI5" s="198" t="s">
        <v>380</v>
      </c>
      <c r="AJ5" s="191"/>
    </row>
    <row r="6" spans="1:36" x14ac:dyDescent="0.3">
      <c r="A6" s="193" t="s">
        <v>158</v>
      </c>
      <c r="B6" s="194">
        <v>45986</v>
      </c>
      <c r="C6" s="195" t="s">
        <v>219</v>
      </c>
      <c r="D6" s="196" t="s">
        <v>381</v>
      </c>
      <c r="E6" s="195" t="s">
        <v>199</v>
      </c>
      <c r="F6" s="195" t="s">
        <v>160</v>
      </c>
      <c r="G6" s="197">
        <v>0.68159999999999998</v>
      </c>
      <c r="H6" s="198">
        <v>179</v>
      </c>
      <c r="I6" s="198">
        <v>122</v>
      </c>
      <c r="J6" s="198">
        <v>86</v>
      </c>
      <c r="K6" s="195" t="s">
        <v>161</v>
      </c>
      <c r="L6" s="199">
        <v>45981</v>
      </c>
      <c r="M6" s="198">
        <v>0</v>
      </c>
      <c r="N6" s="198">
        <v>2</v>
      </c>
      <c r="O6" s="198">
        <v>13</v>
      </c>
      <c r="P6" s="195" t="s">
        <v>183</v>
      </c>
      <c r="Q6" s="191"/>
      <c r="R6" s="191"/>
      <c r="S6" s="191"/>
      <c r="T6" s="191"/>
      <c r="U6" s="191"/>
      <c r="V6" s="191"/>
      <c r="W6" s="191"/>
      <c r="X6" s="191"/>
      <c r="Y6" s="191"/>
      <c r="Z6" s="198" t="s">
        <v>363</v>
      </c>
      <c r="AA6" s="191"/>
      <c r="AB6" s="191"/>
      <c r="AC6" s="198" t="s">
        <v>378</v>
      </c>
      <c r="AD6" s="198" t="s">
        <v>182</v>
      </c>
      <c r="AE6" s="198" t="s">
        <v>174</v>
      </c>
      <c r="AF6" s="198" t="s">
        <v>367</v>
      </c>
      <c r="AG6" s="191"/>
      <c r="AH6" s="191"/>
      <c r="AI6" s="198" t="s">
        <v>382</v>
      </c>
      <c r="AJ6" s="191"/>
    </row>
    <row r="7" spans="1:36" x14ac:dyDescent="0.3">
      <c r="A7" s="193" t="s">
        <v>158</v>
      </c>
      <c r="B7" s="194">
        <v>45986</v>
      </c>
      <c r="C7" s="195" t="s">
        <v>225</v>
      </c>
      <c r="D7" s="196" t="s">
        <v>383</v>
      </c>
      <c r="E7" s="195" t="s">
        <v>199</v>
      </c>
      <c r="F7" s="195" t="s">
        <v>160</v>
      </c>
      <c r="G7" s="197">
        <v>0.58660000000000001</v>
      </c>
      <c r="H7" s="198">
        <v>179</v>
      </c>
      <c r="I7" s="198">
        <v>105</v>
      </c>
      <c r="J7" s="198">
        <v>46</v>
      </c>
      <c r="K7" s="195" t="s">
        <v>161</v>
      </c>
      <c r="L7" s="199">
        <v>45981</v>
      </c>
      <c r="M7" s="198">
        <v>0</v>
      </c>
      <c r="N7" s="198">
        <v>5</v>
      </c>
      <c r="O7" s="198">
        <v>34</v>
      </c>
      <c r="P7" s="195" t="s">
        <v>183</v>
      </c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1"/>
      <c r="AB7" s="191"/>
      <c r="AC7" s="198" t="s">
        <v>364</v>
      </c>
      <c r="AD7" s="198" t="s">
        <v>173</v>
      </c>
      <c r="AE7" s="198" t="s">
        <v>384</v>
      </c>
      <c r="AF7" s="198" t="s">
        <v>361</v>
      </c>
      <c r="AG7" s="191"/>
      <c r="AH7" s="191"/>
      <c r="AI7" s="198" t="s">
        <v>385</v>
      </c>
      <c r="AJ7" s="191"/>
    </row>
    <row r="8" spans="1:36" x14ac:dyDescent="0.3">
      <c r="A8" s="193" t="s">
        <v>386</v>
      </c>
      <c r="B8" s="194">
        <v>45987</v>
      </c>
      <c r="C8" s="195" t="s">
        <v>225</v>
      </c>
      <c r="D8" s="196" t="s">
        <v>387</v>
      </c>
      <c r="E8" s="195" t="s">
        <v>199</v>
      </c>
      <c r="F8" s="195" t="s">
        <v>160</v>
      </c>
      <c r="G8" s="197">
        <v>0.38550000000000001</v>
      </c>
      <c r="H8" s="198">
        <v>179</v>
      </c>
      <c r="I8" s="198">
        <v>69</v>
      </c>
      <c r="J8" s="198">
        <v>0</v>
      </c>
      <c r="K8" s="195" t="s">
        <v>161</v>
      </c>
      <c r="L8" s="199">
        <v>45981</v>
      </c>
      <c r="M8" s="198">
        <v>0</v>
      </c>
      <c r="N8" s="198">
        <v>4</v>
      </c>
      <c r="O8" s="198">
        <v>47</v>
      </c>
      <c r="P8" s="195" t="s">
        <v>302</v>
      </c>
      <c r="Q8" s="191"/>
      <c r="R8" s="191"/>
      <c r="S8" s="191"/>
      <c r="T8" s="191"/>
      <c r="U8" s="191"/>
      <c r="V8" s="191"/>
      <c r="W8" s="191"/>
      <c r="X8" s="191"/>
      <c r="Y8" s="191"/>
      <c r="Z8" s="191"/>
      <c r="AA8" s="191"/>
      <c r="AB8" s="191"/>
      <c r="AC8" s="191"/>
      <c r="AD8" s="198" t="s">
        <v>388</v>
      </c>
      <c r="AE8" s="198" t="s">
        <v>389</v>
      </c>
      <c r="AF8" s="198" t="s">
        <v>390</v>
      </c>
      <c r="AG8" s="191"/>
      <c r="AH8" s="191"/>
      <c r="AI8" s="191"/>
      <c r="AJ8" s="191"/>
    </row>
    <row r="9" spans="1:36" x14ac:dyDescent="0.3">
      <c r="A9" s="193" t="s">
        <v>386</v>
      </c>
      <c r="B9" s="194">
        <v>45987</v>
      </c>
      <c r="C9" s="195" t="s">
        <v>234</v>
      </c>
      <c r="D9" s="196" t="s">
        <v>391</v>
      </c>
      <c r="E9" s="195" t="s">
        <v>199</v>
      </c>
      <c r="F9" s="195" t="s">
        <v>160</v>
      </c>
      <c r="G9" s="197">
        <v>0.69830000000000003</v>
      </c>
      <c r="H9" s="198">
        <v>179</v>
      </c>
      <c r="I9" s="198">
        <v>125</v>
      </c>
      <c r="J9" s="198">
        <v>47</v>
      </c>
      <c r="K9" s="195" t="s">
        <v>161</v>
      </c>
      <c r="L9" s="199">
        <v>45981</v>
      </c>
      <c r="M9" s="198">
        <v>0</v>
      </c>
      <c r="N9" s="198">
        <v>11</v>
      </c>
      <c r="O9" s="198">
        <v>56</v>
      </c>
      <c r="P9" s="195" t="s">
        <v>302</v>
      </c>
      <c r="Q9" s="191"/>
      <c r="R9" s="191"/>
      <c r="S9" s="191"/>
      <c r="T9" s="191"/>
      <c r="U9" s="191"/>
      <c r="V9" s="191"/>
      <c r="W9" s="191"/>
      <c r="X9" s="191"/>
      <c r="Y9" s="191"/>
      <c r="Z9" s="198" t="s">
        <v>392</v>
      </c>
      <c r="AA9" s="198" t="s">
        <v>393</v>
      </c>
      <c r="AB9" s="191"/>
      <c r="AC9" s="191"/>
      <c r="AD9" s="198" t="s">
        <v>394</v>
      </c>
      <c r="AE9" s="198" t="s">
        <v>384</v>
      </c>
      <c r="AF9" s="198" t="s">
        <v>395</v>
      </c>
      <c r="AG9" s="191"/>
      <c r="AH9" s="191"/>
      <c r="AI9" s="198" t="s">
        <v>396</v>
      </c>
      <c r="AJ9" s="191"/>
    </row>
    <row r="10" spans="1:36" x14ac:dyDescent="0.3">
      <c r="A10" s="193" t="s">
        <v>386</v>
      </c>
      <c r="B10" s="194">
        <v>45987</v>
      </c>
      <c r="C10" s="195" t="s">
        <v>229</v>
      </c>
      <c r="D10" s="196" t="s">
        <v>370</v>
      </c>
      <c r="E10" s="195" t="s">
        <v>199</v>
      </c>
      <c r="F10" s="195" t="s">
        <v>160</v>
      </c>
      <c r="G10" s="197">
        <v>0.6089</v>
      </c>
      <c r="H10" s="198">
        <v>179</v>
      </c>
      <c r="I10" s="198">
        <v>109</v>
      </c>
      <c r="J10" s="198">
        <v>45</v>
      </c>
      <c r="K10" s="195" t="s">
        <v>161</v>
      </c>
      <c r="L10" s="199">
        <v>45980</v>
      </c>
      <c r="M10" s="198">
        <v>0</v>
      </c>
      <c r="N10" s="198">
        <v>0</v>
      </c>
      <c r="O10" s="198">
        <v>23</v>
      </c>
      <c r="P10" s="195" t="s">
        <v>183</v>
      </c>
      <c r="Q10" s="191"/>
      <c r="R10" s="191"/>
      <c r="S10" s="191"/>
      <c r="T10" s="191"/>
      <c r="U10" s="191"/>
      <c r="V10" s="191"/>
      <c r="W10" s="191"/>
      <c r="X10" s="191"/>
      <c r="Y10" s="191"/>
      <c r="Z10" s="198" t="s">
        <v>363</v>
      </c>
      <c r="AA10" s="191"/>
      <c r="AB10" s="191"/>
      <c r="AC10" s="191"/>
      <c r="AD10" s="198" t="s">
        <v>397</v>
      </c>
      <c r="AE10" s="198" t="s">
        <v>384</v>
      </c>
      <c r="AF10" s="198" t="s">
        <v>398</v>
      </c>
      <c r="AG10" s="191"/>
      <c r="AH10" s="191"/>
      <c r="AI10" s="198" t="s">
        <v>399</v>
      </c>
      <c r="AJ10" s="198" t="s">
        <v>400</v>
      </c>
    </row>
    <row r="11" spans="1:36" x14ac:dyDescent="0.3">
      <c r="A11" s="193" t="s">
        <v>186</v>
      </c>
      <c r="B11" s="194">
        <v>45988</v>
      </c>
      <c r="C11" s="195" t="s">
        <v>219</v>
      </c>
      <c r="D11" s="196" t="s">
        <v>159</v>
      </c>
      <c r="E11" s="195" t="s">
        <v>199</v>
      </c>
      <c r="F11" s="195" t="s">
        <v>160</v>
      </c>
      <c r="G11" s="197">
        <v>0.48039999999999999</v>
      </c>
      <c r="H11" s="198">
        <v>179</v>
      </c>
      <c r="I11" s="198">
        <v>86</v>
      </c>
      <c r="J11" s="198">
        <v>84</v>
      </c>
      <c r="K11" s="195" t="s">
        <v>161</v>
      </c>
      <c r="L11" s="199">
        <v>45980</v>
      </c>
      <c r="M11" s="198">
        <v>0</v>
      </c>
      <c r="N11" s="198">
        <v>0</v>
      </c>
      <c r="O11" s="198">
        <v>2</v>
      </c>
      <c r="P11" s="195" t="s">
        <v>183</v>
      </c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8" t="s">
        <v>364</v>
      </c>
      <c r="AD11" s="198" t="s">
        <v>235</v>
      </c>
      <c r="AE11" s="191"/>
      <c r="AF11" s="191"/>
      <c r="AG11" s="191"/>
      <c r="AH11" s="191"/>
      <c r="AI11" s="198" t="s">
        <v>401</v>
      </c>
      <c r="AJ11" s="191"/>
    </row>
    <row r="12" spans="1:36" x14ac:dyDescent="0.3">
      <c r="A12" s="193" t="s">
        <v>186</v>
      </c>
      <c r="B12" s="194">
        <v>45988</v>
      </c>
      <c r="C12" s="195" t="s">
        <v>222</v>
      </c>
      <c r="D12" s="196" t="s">
        <v>402</v>
      </c>
      <c r="E12" s="195" t="s">
        <v>199</v>
      </c>
      <c r="F12" s="195" t="s">
        <v>160</v>
      </c>
      <c r="G12" s="197">
        <v>0.2737</v>
      </c>
      <c r="H12" s="198">
        <v>179</v>
      </c>
      <c r="I12" s="198">
        <v>49</v>
      </c>
      <c r="J12" s="198">
        <v>0</v>
      </c>
      <c r="K12" s="195" t="s">
        <v>161</v>
      </c>
      <c r="L12" s="199">
        <v>45981</v>
      </c>
      <c r="M12" s="198">
        <v>0</v>
      </c>
      <c r="N12" s="198">
        <v>5</v>
      </c>
      <c r="O12" s="198">
        <v>31</v>
      </c>
      <c r="P12" s="195" t="s">
        <v>183</v>
      </c>
      <c r="Q12" s="191"/>
      <c r="R12" s="191"/>
      <c r="S12" s="191"/>
      <c r="T12" s="191"/>
      <c r="U12" s="191"/>
      <c r="V12" s="191"/>
      <c r="W12" s="191"/>
      <c r="X12" s="191"/>
      <c r="Y12" s="191"/>
      <c r="Z12" s="198" t="s">
        <v>371</v>
      </c>
      <c r="AA12" s="191"/>
      <c r="AB12" s="191"/>
      <c r="AC12" s="191"/>
      <c r="AD12" s="198" t="s">
        <v>403</v>
      </c>
      <c r="AE12" s="198" t="s">
        <v>174</v>
      </c>
      <c r="AF12" s="198" t="s">
        <v>361</v>
      </c>
      <c r="AG12" s="191"/>
      <c r="AH12" s="191"/>
      <c r="AI12" s="191"/>
      <c r="AJ12" s="191"/>
    </row>
    <row r="13" spans="1:36" x14ac:dyDescent="0.3">
      <c r="A13" s="193" t="s">
        <v>186</v>
      </c>
      <c r="B13" s="194">
        <v>45988</v>
      </c>
      <c r="C13" s="195" t="s">
        <v>326</v>
      </c>
      <c r="D13" s="196" t="s">
        <v>404</v>
      </c>
      <c r="E13" s="195" t="s">
        <v>199</v>
      </c>
      <c r="F13" s="195" t="s">
        <v>160</v>
      </c>
      <c r="G13" s="197">
        <v>0.31280000000000002</v>
      </c>
      <c r="H13" s="198">
        <v>179</v>
      </c>
      <c r="I13" s="198">
        <v>56</v>
      </c>
      <c r="J13" s="198">
        <v>29</v>
      </c>
      <c r="K13" s="195" t="s">
        <v>161</v>
      </c>
      <c r="L13" s="199">
        <v>45981</v>
      </c>
      <c r="M13" s="198">
        <v>0</v>
      </c>
      <c r="N13" s="198">
        <v>5</v>
      </c>
      <c r="O13" s="198">
        <v>21</v>
      </c>
      <c r="P13" s="195" t="s">
        <v>302</v>
      </c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8" t="s">
        <v>405</v>
      </c>
      <c r="AG13" s="198" t="s">
        <v>406</v>
      </c>
      <c r="AH13" s="191"/>
      <c r="AI13" s="191"/>
      <c r="AJ13" s="198" t="s">
        <v>193</v>
      </c>
    </row>
    <row r="14" spans="1:36" x14ac:dyDescent="0.3">
      <c r="A14" s="193" t="s">
        <v>186</v>
      </c>
      <c r="B14" s="194">
        <v>45988</v>
      </c>
      <c r="C14" s="195" t="s">
        <v>225</v>
      </c>
      <c r="D14" s="196" t="s">
        <v>407</v>
      </c>
      <c r="E14" s="195" t="s">
        <v>199</v>
      </c>
      <c r="F14" s="195" t="s">
        <v>160</v>
      </c>
      <c r="G14" s="197">
        <v>0.80449999999999999</v>
      </c>
      <c r="H14" s="198">
        <v>179</v>
      </c>
      <c r="I14" s="198">
        <v>144</v>
      </c>
      <c r="J14" s="198">
        <v>132</v>
      </c>
      <c r="K14" s="195" t="s">
        <v>161</v>
      </c>
      <c r="L14" s="199">
        <v>45981</v>
      </c>
      <c r="M14" s="198">
        <v>0</v>
      </c>
      <c r="N14" s="198">
        <v>1</v>
      </c>
      <c r="O14" s="198">
        <v>2</v>
      </c>
      <c r="P14" s="195" t="s">
        <v>333</v>
      </c>
      <c r="Q14" s="191"/>
      <c r="R14" s="191"/>
      <c r="S14" s="191"/>
      <c r="T14" s="191"/>
      <c r="U14" s="191"/>
      <c r="V14" s="191"/>
      <c r="W14" s="191"/>
      <c r="X14" s="191"/>
      <c r="Y14" s="191"/>
      <c r="Z14" s="191"/>
      <c r="AA14" s="191"/>
      <c r="AB14" s="191"/>
      <c r="AC14" s="191"/>
      <c r="AD14" s="191"/>
      <c r="AE14" s="198" t="s">
        <v>408</v>
      </c>
      <c r="AF14" s="198" t="s">
        <v>175</v>
      </c>
      <c r="AG14" s="191"/>
      <c r="AH14" s="191"/>
      <c r="AI14" s="198" t="s">
        <v>409</v>
      </c>
      <c r="AJ14" s="191"/>
    </row>
    <row r="15" spans="1:36" x14ac:dyDescent="0.3">
      <c r="A15" s="193" t="s">
        <v>186</v>
      </c>
      <c r="B15" s="194">
        <v>45988</v>
      </c>
      <c r="C15" s="195" t="s">
        <v>323</v>
      </c>
      <c r="D15" s="196" t="s">
        <v>410</v>
      </c>
      <c r="E15" s="195" t="s">
        <v>199</v>
      </c>
      <c r="F15" s="195" t="s">
        <v>160</v>
      </c>
      <c r="G15" s="197">
        <v>0.24579999999999999</v>
      </c>
      <c r="H15" s="198">
        <v>179</v>
      </c>
      <c r="I15" s="198">
        <v>44</v>
      </c>
      <c r="J15" s="198">
        <v>0</v>
      </c>
      <c r="K15" s="195" t="s">
        <v>161</v>
      </c>
      <c r="L15" s="199">
        <v>45981</v>
      </c>
      <c r="M15" s="198">
        <v>0</v>
      </c>
      <c r="N15" s="198">
        <v>3</v>
      </c>
      <c r="O15" s="198">
        <v>23</v>
      </c>
      <c r="P15" s="195" t="s">
        <v>302</v>
      </c>
      <c r="Q15" s="191"/>
      <c r="R15" s="191"/>
      <c r="S15" s="191"/>
      <c r="T15" s="191"/>
      <c r="U15" s="191"/>
      <c r="V15" s="191"/>
      <c r="W15" s="191"/>
      <c r="X15" s="191"/>
      <c r="Y15" s="191"/>
      <c r="Z15" s="198" t="s">
        <v>190</v>
      </c>
      <c r="AA15" s="191"/>
      <c r="AB15" s="191"/>
      <c r="AC15" s="191"/>
      <c r="AD15" s="191"/>
      <c r="AE15" s="198" t="s">
        <v>230</v>
      </c>
      <c r="AF15" s="198" t="s">
        <v>411</v>
      </c>
      <c r="AG15" s="191"/>
      <c r="AH15" s="191"/>
      <c r="AI15" s="191"/>
      <c r="AJ15" s="191"/>
    </row>
    <row r="16" spans="1:36" x14ac:dyDescent="0.3">
      <c r="A16" s="193" t="s">
        <v>186</v>
      </c>
      <c r="B16" s="194">
        <v>45988</v>
      </c>
      <c r="C16" s="195" t="s">
        <v>229</v>
      </c>
      <c r="D16" s="196" t="s">
        <v>412</v>
      </c>
      <c r="E16" s="195" t="s">
        <v>199</v>
      </c>
      <c r="F16" s="195" t="s">
        <v>160</v>
      </c>
      <c r="G16" s="197">
        <v>0.76539999999999997</v>
      </c>
      <c r="H16" s="198">
        <v>179</v>
      </c>
      <c r="I16" s="198">
        <v>137</v>
      </c>
      <c r="J16" s="198">
        <v>89</v>
      </c>
      <c r="K16" s="195" t="s">
        <v>161</v>
      </c>
      <c r="L16" s="199">
        <v>45981</v>
      </c>
      <c r="M16" s="198">
        <v>0</v>
      </c>
      <c r="N16" s="198">
        <v>8</v>
      </c>
      <c r="O16" s="198">
        <v>23</v>
      </c>
      <c r="P16" s="195" t="s">
        <v>302</v>
      </c>
      <c r="Q16" s="191"/>
      <c r="R16" s="191"/>
      <c r="S16" s="191"/>
      <c r="T16" s="191"/>
      <c r="U16" s="191"/>
      <c r="V16" s="191"/>
      <c r="W16" s="191"/>
      <c r="X16" s="191"/>
      <c r="Y16" s="191"/>
      <c r="Z16" s="198" t="s">
        <v>392</v>
      </c>
      <c r="AA16" s="191"/>
      <c r="AB16" s="191"/>
      <c r="AC16" s="191"/>
      <c r="AD16" s="198" t="s">
        <v>351</v>
      </c>
      <c r="AE16" s="198" t="s">
        <v>413</v>
      </c>
      <c r="AF16" s="198" t="s">
        <v>414</v>
      </c>
      <c r="AG16" s="191"/>
      <c r="AH16" s="191"/>
      <c r="AI16" s="198" t="s">
        <v>415</v>
      </c>
      <c r="AJ16" s="191"/>
    </row>
    <row r="17" spans="1:36" x14ac:dyDescent="0.3">
      <c r="A17" s="193" t="s">
        <v>186</v>
      </c>
      <c r="B17" s="194">
        <v>45988</v>
      </c>
      <c r="C17" s="195" t="s">
        <v>237</v>
      </c>
      <c r="D17" s="196" t="s">
        <v>416</v>
      </c>
      <c r="E17" s="195" t="s">
        <v>199</v>
      </c>
      <c r="F17" s="195" t="s">
        <v>160</v>
      </c>
      <c r="G17" s="197">
        <v>0.50839999999999996</v>
      </c>
      <c r="H17" s="198">
        <v>179</v>
      </c>
      <c r="I17" s="198">
        <v>91</v>
      </c>
      <c r="J17" s="198">
        <v>44</v>
      </c>
      <c r="K17" s="195" t="s">
        <v>161</v>
      </c>
      <c r="L17" s="199">
        <v>45981</v>
      </c>
      <c r="M17" s="198">
        <v>0</v>
      </c>
      <c r="N17" s="198">
        <v>11</v>
      </c>
      <c r="O17" s="198">
        <v>26</v>
      </c>
      <c r="P17" s="195" t="s">
        <v>302</v>
      </c>
      <c r="Q17" s="191"/>
      <c r="R17" s="191"/>
      <c r="S17" s="191"/>
      <c r="T17" s="191"/>
      <c r="U17" s="191"/>
      <c r="V17" s="191"/>
      <c r="W17" s="191"/>
      <c r="X17" s="191"/>
      <c r="Y17" s="191"/>
      <c r="Z17" s="198" t="s">
        <v>190</v>
      </c>
      <c r="AA17" s="191"/>
      <c r="AB17" s="191"/>
      <c r="AC17" s="191"/>
      <c r="AD17" s="198" t="s">
        <v>403</v>
      </c>
      <c r="AE17" s="198" t="s">
        <v>417</v>
      </c>
      <c r="AF17" s="198" t="s">
        <v>367</v>
      </c>
      <c r="AG17" s="198" t="s">
        <v>164</v>
      </c>
      <c r="AH17" s="191"/>
      <c r="AI17" s="191"/>
      <c r="AJ17" s="198" t="s">
        <v>400</v>
      </c>
    </row>
    <row r="18" spans="1:36" x14ac:dyDescent="0.3">
      <c r="A18" s="193" t="s">
        <v>418</v>
      </c>
      <c r="B18" s="194">
        <v>45989</v>
      </c>
      <c r="C18" s="195" t="s">
        <v>219</v>
      </c>
      <c r="D18" s="196" t="s">
        <v>402</v>
      </c>
      <c r="E18" s="195" t="s">
        <v>199</v>
      </c>
      <c r="F18" s="195" t="s">
        <v>160</v>
      </c>
      <c r="G18" s="197">
        <v>0.25140000000000001</v>
      </c>
      <c r="H18" s="198">
        <v>179</v>
      </c>
      <c r="I18" s="198">
        <v>45</v>
      </c>
      <c r="J18" s="198">
        <v>0</v>
      </c>
      <c r="K18" s="195" t="s">
        <v>161</v>
      </c>
      <c r="L18" s="199">
        <v>45981</v>
      </c>
      <c r="M18" s="198">
        <v>0</v>
      </c>
      <c r="N18" s="198">
        <v>4</v>
      </c>
      <c r="O18" s="198">
        <v>26</v>
      </c>
      <c r="P18" s="195" t="s">
        <v>302</v>
      </c>
      <c r="Q18" s="191"/>
      <c r="R18" s="198" t="s">
        <v>419</v>
      </c>
      <c r="S18" s="191"/>
      <c r="T18" s="191"/>
      <c r="U18" s="191"/>
      <c r="V18" s="191"/>
      <c r="W18" s="191"/>
      <c r="X18" s="191"/>
      <c r="Y18" s="191"/>
      <c r="Z18" s="191"/>
      <c r="AA18" s="191"/>
      <c r="AB18" s="191"/>
      <c r="AC18" s="191"/>
      <c r="AD18" s="198" t="s">
        <v>403</v>
      </c>
      <c r="AE18" s="198" t="s">
        <v>183</v>
      </c>
      <c r="AF18" s="198" t="s">
        <v>420</v>
      </c>
      <c r="AG18" s="191"/>
      <c r="AH18" s="191"/>
      <c r="AI18" s="191"/>
      <c r="AJ18" s="191"/>
    </row>
    <row r="19" spans="1:36" x14ac:dyDescent="0.3">
      <c r="A19" s="193" t="s">
        <v>418</v>
      </c>
      <c r="B19" s="194">
        <v>45989</v>
      </c>
      <c r="C19" s="195" t="s">
        <v>225</v>
      </c>
      <c r="D19" s="196" t="s">
        <v>421</v>
      </c>
      <c r="E19" s="195" t="s">
        <v>199</v>
      </c>
      <c r="F19" s="195" t="s">
        <v>160</v>
      </c>
      <c r="G19" s="197">
        <v>0.26819999999999999</v>
      </c>
      <c r="H19" s="198">
        <v>179</v>
      </c>
      <c r="I19" s="198">
        <v>48</v>
      </c>
      <c r="J19" s="198">
        <v>0</v>
      </c>
      <c r="K19" s="195" t="s">
        <v>161</v>
      </c>
      <c r="L19" s="199">
        <v>45981</v>
      </c>
      <c r="M19" s="198">
        <v>0</v>
      </c>
      <c r="N19" s="198">
        <v>2</v>
      </c>
      <c r="O19" s="198">
        <v>38</v>
      </c>
      <c r="P19" s="195" t="s">
        <v>302</v>
      </c>
      <c r="Q19" s="191"/>
      <c r="R19" s="191"/>
      <c r="S19" s="191"/>
      <c r="T19" s="191"/>
      <c r="U19" s="191"/>
      <c r="V19" s="191"/>
      <c r="W19" s="191"/>
      <c r="X19" s="191"/>
      <c r="Y19" s="191"/>
      <c r="Z19" s="198" t="s">
        <v>392</v>
      </c>
      <c r="AA19" s="191"/>
      <c r="AB19" s="191"/>
      <c r="AC19" s="191"/>
      <c r="AD19" s="191"/>
      <c r="AE19" s="198" t="s">
        <v>183</v>
      </c>
      <c r="AF19" s="198" t="s">
        <v>422</v>
      </c>
      <c r="AG19" s="191"/>
      <c r="AH19" s="191"/>
      <c r="AI19" s="191"/>
      <c r="AJ19" s="191"/>
    </row>
    <row r="20" spans="1:36" x14ac:dyDescent="0.3">
      <c r="A20" s="193" t="s">
        <v>418</v>
      </c>
      <c r="B20" s="194">
        <v>45989</v>
      </c>
      <c r="C20" s="195" t="s">
        <v>229</v>
      </c>
      <c r="D20" s="196" t="s">
        <v>423</v>
      </c>
      <c r="E20" s="195" t="s">
        <v>199</v>
      </c>
      <c r="F20" s="195" t="s">
        <v>160</v>
      </c>
      <c r="G20" s="197">
        <v>0.36309999999999998</v>
      </c>
      <c r="H20" s="198">
        <v>179</v>
      </c>
      <c r="I20" s="198">
        <v>65</v>
      </c>
      <c r="J20" s="198">
        <v>39</v>
      </c>
      <c r="K20" s="195" t="s">
        <v>161</v>
      </c>
      <c r="L20" s="199">
        <v>45981</v>
      </c>
      <c r="M20" s="198">
        <v>0</v>
      </c>
      <c r="N20" s="198">
        <v>4</v>
      </c>
      <c r="O20" s="198">
        <v>16</v>
      </c>
      <c r="P20" s="195" t="s">
        <v>302</v>
      </c>
      <c r="Q20" s="191"/>
      <c r="R20" s="191"/>
      <c r="S20" s="191"/>
      <c r="T20" s="191"/>
      <c r="U20" s="191"/>
      <c r="V20" s="191"/>
      <c r="W20" s="191"/>
      <c r="X20" s="191"/>
      <c r="Y20" s="191"/>
      <c r="Z20" s="191"/>
      <c r="AA20" s="191"/>
      <c r="AB20" s="191"/>
      <c r="AC20" s="191"/>
      <c r="AD20" s="191"/>
      <c r="AE20" s="198" t="s">
        <v>384</v>
      </c>
      <c r="AF20" s="198" t="s">
        <v>424</v>
      </c>
      <c r="AG20" s="191"/>
      <c r="AH20" s="191"/>
      <c r="AI20" s="198" t="s">
        <v>425</v>
      </c>
      <c r="AJ20" s="191"/>
    </row>
    <row r="21" spans="1:36" x14ac:dyDescent="0.3">
      <c r="A21" s="193" t="s">
        <v>418</v>
      </c>
      <c r="B21" s="194">
        <v>45989</v>
      </c>
      <c r="C21" s="195" t="s">
        <v>237</v>
      </c>
      <c r="D21" s="196" t="s">
        <v>370</v>
      </c>
      <c r="E21" s="195" t="s">
        <v>199</v>
      </c>
      <c r="F21" s="195" t="s">
        <v>160</v>
      </c>
      <c r="G21" s="197">
        <v>0.64800000000000002</v>
      </c>
      <c r="H21" s="198">
        <v>179</v>
      </c>
      <c r="I21" s="198">
        <v>116</v>
      </c>
      <c r="J21" s="198">
        <v>68</v>
      </c>
      <c r="K21" s="195" t="s">
        <v>161</v>
      </c>
      <c r="L21" s="199">
        <v>45981</v>
      </c>
      <c r="M21" s="198">
        <v>0</v>
      </c>
      <c r="N21" s="198">
        <v>9</v>
      </c>
      <c r="O21" s="198">
        <v>28</v>
      </c>
      <c r="P21" s="195" t="s">
        <v>302</v>
      </c>
      <c r="Q21" s="191"/>
      <c r="R21" s="191"/>
      <c r="S21" s="191"/>
      <c r="T21" s="191"/>
      <c r="U21" s="191"/>
      <c r="V21" s="191"/>
      <c r="W21" s="191"/>
      <c r="X21" s="198" t="s">
        <v>162</v>
      </c>
      <c r="Y21" s="198" t="s">
        <v>426</v>
      </c>
      <c r="Z21" s="198" t="s">
        <v>190</v>
      </c>
      <c r="AA21" s="191"/>
      <c r="AB21" s="191"/>
      <c r="AC21" s="191"/>
      <c r="AD21" s="198" t="s">
        <v>351</v>
      </c>
      <c r="AE21" s="198" t="s">
        <v>374</v>
      </c>
      <c r="AF21" s="198" t="s">
        <v>427</v>
      </c>
      <c r="AG21" s="191"/>
      <c r="AH21" s="191"/>
      <c r="AI21" s="198" t="s">
        <v>428</v>
      </c>
      <c r="AJ21" s="191"/>
    </row>
    <row r="22" spans="1:36" x14ac:dyDescent="0.3">
      <c r="A22" s="193" t="s">
        <v>418</v>
      </c>
      <c r="B22" s="194">
        <v>45989</v>
      </c>
      <c r="C22" s="195" t="s">
        <v>222</v>
      </c>
      <c r="D22" s="196" t="s">
        <v>429</v>
      </c>
      <c r="E22" s="195" t="s">
        <v>199</v>
      </c>
      <c r="F22" s="195" t="s">
        <v>160</v>
      </c>
      <c r="G22" s="197">
        <v>0.38550000000000001</v>
      </c>
      <c r="H22" s="198">
        <v>179</v>
      </c>
      <c r="I22" s="198">
        <v>69</v>
      </c>
      <c r="J22" s="198">
        <v>0</v>
      </c>
      <c r="K22" s="195" t="s">
        <v>161</v>
      </c>
      <c r="L22" s="199">
        <v>45981</v>
      </c>
      <c r="M22" s="198">
        <v>0</v>
      </c>
      <c r="N22" s="198">
        <v>11</v>
      </c>
      <c r="O22" s="198">
        <v>32</v>
      </c>
      <c r="P22" s="195" t="s">
        <v>302</v>
      </c>
      <c r="Q22" s="191"/>
      <c r="R22" s="191"/>
      <c r="S22" s="191"/>
      <c r="T22" s="191"/>
      <c r="U22" s="191"/>
      <c r="V22" s="191"/>
      <c r="W22" s="191"/>
      <c r="X22" s="191"/>
      <c r="Y22" s="191"/>
      <c r="Z22" s="198" t="s">
        <v>430</v>
      </c>
      <c r="AA22" s="191"/>
      <c r="AB22" s="191"/>
      <c r="AC22" s="191"/>
      <c r="AD22" s="198" t="s">
        <v>431</v>
      </c>
      <c r="AE22" s="198" t="s">
        <v>432</v>
      </c>
      <c r="AF22" s="198" t="s">
        <v>398</v>
      </c>
      <c r="AG22" s="191"/>
      <c r="AH22" s="191"/>
      <c r="AI22" s="191"/>
      <c r="AJ22" s="198" t="s">
        <v>400</v>
      </c>
    </row>
    <row r="23" spans="1:36" x14ac:dyDescent="0.3">
      <c r="A23" s="193" t="s">
        <v>418</v>
      </c>
      <c r="B23" s="194">
        <v>45989</v>
      </c>
      <c r="C23" s="195" t="s">
        <v>234</v>
      </c>
      <c r="D23" s="196" t="s">
        <v>433</v>
      </c>
      <c r="E23" s="195" t="s">
        <v>199</v>
      </c>
      <c r="F23" s="195" t="s">
        <v>160</v>
      </c>
      <c r="G23" s="197">
        <v>0.92179999999999995</v>
      </c>
      <c r="H23" s="198">
        <v>179</v>
      </c>
      <c r="I23" s="198">
        <v>165</v>
      </c>
      <c r="J23" s="198">
        <v>114</v>
      </c>
      <c r="K23" s="195" t="s">
        <v>161</v>
      </c>
      <c r="L23" s="199">
        <v>45980</v>
      </c>
      <c r="M23" s="198">
        <v>0</v>
      </c>
      <c r="N23" s="198">
        <v>0</v>
      </c>
      <c r="O23" s="198">
        <v>17</v>
      </c>
      <c r="P23" s="195" t="s">
        <v>351</v>
      </c>
      <c r="Q23" s="191"/>
      <c r="R23" s="191"/>
      <c r="S23" s="191"/>
      <c r="T23" s="191"/>
      <c r="U23" s="191"/>
      <c r="V23" s="191"/>
      <c r="W23" s="191"/>
      <c r="X23" s="191"/>
      <c r="Y23" s="191"/>
      <c r="Z23" s="198" t="s">
        <v>371</v>
      </c>
      <c r="AA23" s="198" t="s">
        <v>434</v>
      </c>
      <c r="AB23" s="191"/>
      <c r="AC23" s="191"/>
      <c r="AD23" s="198" t="s">
        <v>373</v>
      </c>
      <c r="AE23" s="198" t="s">
        <v>435</v>
      </c>
      <c r="AF23" s="198" t="s">
        <v>175</v>
      </c>
      <c r="AG23" s="191"/>
      <c r="AH23" s="191"/>
      <c r="AI23" s="198" t="s">
        <v>165</v>
      </c>
      <c r="AJ23" s="191"/>
    </row>
    <row r="24" spans="1:36" ht="21" x14ac:dyDescent="0.3">
      <c r="A24" s="200" t="s">
        <v>572</v>
      </c>
      <c r="B24" s="201"/>
      <c r="C24" s="200">
        <f>SUBTOTAL(103,JED_CAI_LF_LEGACY[Flt])</f>
        <v>22</v>
      </c>
      <c r="D24" s="200"/>
      <c r="E24" s="200">
        <f>SUBTOTAL(103,JED_CAI_LF_LEGACY[Brd-Off])</f>
        <v>22</v>
      </c>
      <c r="F24" s="200"/>
      <c r="G24" s="202">
        <f>SUBTOTAL(101,JED_CAI_LF_LEGACY[LF%])</f>
        <v>0.55636818181818182</v>
      </c>
      <c r="H24" s="203">
        <f>SUBTOTAL(109,JED_CAI_LF_LEGACY[CAP])</f>
        <v>3938</v>
      </c>
      <c r="I24" s="203">
        <f>SUBTOTAL(109,JED_CAI_LF_LEGACY[BKG(Y)])</f>
        <v>2191</v>
      </c>
      <c r="J24" s="203">
        <f>SUBTOTAL(109,JED_CAI_LF_LEGACY[GRP(Y)])</f>
        <v>1138</v>
      </c>
      <c r="K24" s="200"/>
      <c r="L24" s="201"/>
      <c r="M24" s="203">
        <f>SUBTOTAL(109,JED_CAI_LF_LEGACY[TO-DAY])</f>
        <v>0</v>
      </c>
      <c r="N24" s="203">
        <f>SUBTOTAL(109,JED_CAI_LF_LEGACY[Y-DAY])</f>
        <v>109</v>
      </c>
      <c r="O24" s="203">
        <f>SUBTOTAL(109,JED_CAI_LF_LEGACY[WEEKLY])</f>
        <v>586</v>
      </c>
      <c r="P24" s="204"/>
      <c r="Q24" s="200">
        <f>SUBTOTAL(109,JED_CAI_LF_LEGACY[Y])</f>
        <v>0</v>
      </c>
      <c r="R24" s="200">
        <f>SUBTOTAL(109,JED_CAI_LF_LEGACY[B])</f>
        <v>0</v>
      </c>
      <c r="S24" s="200">
        <f>SUBTOTAL(109,JED_CAI_LF_LEGACY[M])</f>
        <v>0</v>
      </c>
      <c r="T24" s="200">
        <f>SUBTOTAL(109,JED_CAI_LF_LEGACY[H])</f>
        <v>0</v>
      </c>
      <c r="U24" s="200">
        <f>SUBTOTAL(109,JED_CAI_LF_LEGACY[Q])</f>
        <v>0</v>
      </c>
      <c r="V24" s="200">
        <f>SUBTOTAL(109,JED_CAI_LF_LEGACY[K])</f>
        <v>0</v>
      </c>
      <c r="W24" s="200">
        <f>SUBTOTAL(109,JED_CAI_LF_LEGACY[V])</f>
        <v>0</v>
      </c>
      <c r="X24" s="200">
        <f>SUBTOTAL(109,JED_CAI_LF_LEGACY[L])</f>
        <v>0</v>
      </c>
      <c r="Y24" s="200">
        <f>SUBTOTAL(109,JED_CAI_LF_LEGACY[G])</f>
        <v>0</v>
      </c>
      <c r="Z24" s="203">
        <f>SUBTOTAL(109,JED_CAI_LF_LEGACY[S])</f>
        <v>0</v>
      </c>
      <c r="AA24" s="200">
        <f>SUBTOTAL(109,JED_CAI_LF_LEGACY[W])</f>
        <v>0</v>
      </c>
      <c r="AB24" s="200">
        <f>SUBTOTAL(109,JED_CAI_LF_LEGACY[T])</f>
        <v>0</v>
      </c>
      <c r="AC24" s="200">
        <f>SUBTOTAL(109,JED_CAI_LF_LEGACY[X])</f>
        <v>0</v>
      </c>
      <c r="AD24" s="203">
        <f>SUBTOTAL(109,JED_CAI_LF_LEGACY[U])</f>
        <v>0</v>
      </c>
      <c r="AE24" s="203">
        <f>SUBTOTAL(109,JED_CAI_LF_LEGACY[O])</f>
        <v>0</v>
      </c>
      <c r="AF24" s="203">
        <f>SUBTOTAL(109,JED_CAI_LF_LEGACY[I])</f>
        <v>0</v>
      </c>
      <c r="AG24" s="200">
        <f>SUBTOTAL(109,JED_CAI_LF_LEGACY[E])</f>
        <v>0</v>
      </c>
      <c r="AH24" s="200">
        <f>SUBTOTAL(109,JED_CAI_LF_LEGACY[A])</f>
        <v>0</v>
      </c>
      <c r="AI24" s="203">
        <f>SUBTOTAL(109,JED_CAI_LF_LEGACY[P])</f>
        <v>0</v>
      </c>
      <c r="AJ24" s="200">
        <f>SUBTOTAL(103,JED_CAI_LF_LEGACY[N])</f>
        <v>5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296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5" t="s">
        <v>194</v>
      </c>
      <c r="B1" s="76" t="s">
        <v>8</v>
      </c>
      <c r="C1" s="76" t="s">
        <v>9</v>
      </c>
      <c r="D1" s="76" t="s">
        <v>195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78" t="s">
        <v>196</v>
      </c>
      <c r="B2" s="79" t="s">
        <v>200</v>
      </c>
      <c r="C2" s="80" t="s">
        <v>201</v>
      </c>
      <c r="D2" s="79" t="s">
        <v>199</v>
      </c>
      <c r="E2" s="79" t="s">
        <v>410</v>
      </c>
      <c r="F2" s="79" t="s">
        <v>202</v>
      </c>
      <c r="G2" s="81">
        <v>9</v>
      </c>
      <c r="H2" s="82">
        <v>401</v>
      </c>
    </row>
    <row r="3" spans="1:8" ht="19.8" customHeight="1" x14ac:dyDescent="0.3">
      <c r="A3" s="78" t="s">
        <v>196</v>
      </c>
      <c r="B3" s="79" t="s">
        <v>200</v>
      </c>
      <c r="C3" s="80" t="s">
        <v>204</v>
      </c>
      <c r="D3" s="79" t="s">
        <v>199</v>
      </c>
      <c r="E3" s="79" t="s">
        <v>436</v>
      </c>
      <c r="F3" s="79" t="s">
        <v>202</v>
      </c>
      <c r="G3" s="81">
        <v>9</v>
      </c>
      <c r="H3" s="82">
        <v>401</v>
      </c>
    </row>
    <row r="4" spans="1:8" ht="19.8" customHeight="1" x14ac:dyDescent="0.3">
      <c r="A4" s="78" t="s">
        <v>196</v>
      </c>
      <c r="B4" s="79" t="s">
        <v>26</v>
      </c>
      <c r="C4" s="80" t="s">
        <v>207</v>
      </c>
      <c r="D4" s="79" t="s">
        <v>199</v>
      </c>
      <c r="E4" s="79" t="s">
        <v>437</v>
      </c>
      <c r="F4" s="79" t="s">
        <v>28</v>
      </c>
      <c r="G4" s="81">
        <v>5</v>
      </c>
      <c r="H4" s="82">
        <v>419</v>
      </c>
    </row>
    <row r="5" spans="1:8" ht="19.8" customHeight="1" x14ac:dyDescent="0.3">
      <c r="A5" s="78" t="s">
        <v>196</v>
      </c>
      <c r="B5" s="79" t="s">
        <v>26</v>
      </c>
      <c r="C5" s="80" t="s">
        <v>212</v>
      </c>
      <c r="D5" s="79" t="s">
        <v>199</v>
      </c>
      <c r="E5" s="79" t="s">
        <v>438</v>
      </c>
      <c r="F5" s="79" t="s">
        <v>28</v>
      </c>
      <c r="G5" s="81">
        <v>2</v>
      </c>
      <c r="H5" s="82">
        <v>419</v>
      </c>
    </row>
    <row r="6" spans="1:8" ht="19.8" customHeight="1" x14ac:dyDescent="0.3">
      <c r="A6" s="78" t="s">
        <v>196</v>
      </c>
      <c r="B6" s="79" t="s">
        <v>26</v>
      </c>
      <c r="C6" s="80" t="s">
        <v>213</v>
      </c>
      <c r="D6" s="79" t="s">
        <v>199</v>
      </c>
      <c r="E6" s="79" t="s">
        <v>439</v>
      </c>
      <c r="F6" s="79" t="s">
        <v>28</v>
      </c>
      <c r="G6" s="81">
        <v>5</v>
      </c>
      <c r="H6" s="82">
        <v>419</v>
      </c>
    </row>
    <row r="7" spans="1:8" ht="19.8" customHeight="1" x14ac:dyDescent="0.3">
      <c r="A7" s="83" t="s">
        <v>196</v>
      </c>
      <c r="B7" s="84" t="s">
        <v>46</v>
      </c>
      <c r="C7" s="85" t="s">
        <v>217</v>
      </c>
      <c r="D7" s="84" t="s">
        <v>199</v>
      </c>
      <c r="E7" s="84" t="s">
        <v>381</v>
      </c>
      <c r="F7" s="84" t="s">
        <v>48</v>
      </c>
      <c r="G7" s="86">
        <v>9</v>
      </c>
      <c r="H7" s="87">
        <v>436</v>
      </c>
    </row>
    <row r="8" spans="1:8" ht="19.8" customHeight="1" x14ac:dyDescent="0.3">
      <c r="A8" s="90">
        <v>45986</v>
      </c>
      <c r="B8" s="84" t="s">
        <v>46</v>
      </c>
      <c r="C8" s="85" t="s">
        <v>221</v>
      </c>
      <c r="D8" s="84" t="s">
        <v>199</v>
      </c>
      <c r="E8" s="91">
        <v>1.229166666666667</v>
      </c>
      <c r="F8" s="84" t="s">
        <v>48</v>
      </c>
      <c r="G8" s="86">
        <v>9</v>
      </c>
      <c r="H8" s="87">
        <v>436</v>
      </c>
    </row>
    <row r="9" spans="1:8" ht="19.8" customHeight="1" x14ac:dyDescent="0.3">
      <c r="A9" s="90">
        <v>45986</v>
      </c>
      <c r="B9" s="84" t="s">
        <v>46</v>
      </c>
      <c r="C9" s="85" t="s">
        <v>224</v>
      </c>
      <c r="D9" s="84" t="s">
        <v>199</v>
      </c>
      <c r="E9" s="91">
        <v>1.96875</v>
      </c>
      <c r="F9" s="84" t="s">
        <v>48</v>
      </c>
      <c r="G9" s="86">
        <v>9</v>
      </c>
      <c r="H9" s="87">
        <v>436</v>
      </c>
    </row>
    <row r="10" spans="1:8" ht="19.8" customHeight="1" x14ac:dyDescent="0.3">
      <c r="A10" s="90">
        <v>45986</v>
      </c>
      <c r="B10" s="84" t="s">
        <v>46</v>
      </c>
      <c r="C10" s="85" t="s">
        <v>227</v>
      </c>
      <c r="D10" s="84" t="s">
        <v>199</v>
      </c>
      <c r="E10" s="91">
        <v>1.614583333333333</v>
      </c>
      <c r="F10" s="84" t="s">
        <v>48</v>
      </c>
      <c r="G10" s="86">
        <v>6</v>
      </c>
      <c r="H10" s="87">
        <v>436</v>
      </c>
    </row>
    <row r="11" spans="1:8" ht="19.8" customHeight="1" x14ac:dyDescent="0.3">
      <c r="A11" s="88">
        <v>45986</v>
      </c>
      <c r="B11" s="79" t="s">
        <v>36</v>
      </c>
      <c r="C11" s="80" t="s">
        <v>239</v>
      </c>
      <c r="D11" s="79" t="s">
        <v>199</v>
      </c>
      <c r="E11" s="89">
        <v>1.9027777777777779</v>
      </c>
      <c r="F11" s="79" t="s">
        <v>38</v>
      </c>
      <c r="G11" s="81">
        <v>2</v>
      </c>
      <c r="H11" s="82">
        <v>449</v>
      </c>
    </row>
    <row r="12" spans="1:8" ht="19.8" customHeight="1" x14ac:dyDescent="0.3">
      <c r="A12" s="88">
        <v>45986</v>
      </c>
      <c r="B12" s="79" t="s">
        <v>36</v>
      </c>
      <c r="C12" s="80" t="s">
        <v>242</v>
      </c>
      <c r="D12" s="79" t="s">
        <v>199</v>
      </c>
      <c r="E12" s="89">
        <v>1.854166666666667</v>
      </c>
      <c r="F12" s="79" t="s">
        <v>38</v>
      </c>
      <c r="G12" s="81">
        <v>1</v>
      </c>
      <c r="H12" s="82">
        <v>449</v>
      </c>
    </row>
    <row r="13" spans="1:8" ht="19.8" customHeight="1" x14ac:dyDescent="0.3">
      <c r="A13" s="88">
        <v>45986</v>
      </c>
      <c r="B13" s="79" t="s">
        <v>36</v>
      </c>
      <c r="C13" s="80" t="s">
        <v>243</v>
      </c>
      <c r="D13" s="79" t="s">
        <v>199</v>
      </c>
      <c r="E13" s="89">
        <v>1.7986111111111109</v>
      </c>
      <c r="F13" s="79" t="s">
        <v>38</v>
      </c>
      <c r="G13" s="81">
        <v>3</v>
      </c>
      <c r="H13" s="82">
        <v>449</v>
      </c>
    </row>
    <row r="14" spans="1:8" ht="19.8" customHeight="1" x14ac:dyDescent="0.3">
      <c r="A14" s="88">
        <v>45986</v>
      </c>
      <c r="B14" s="79" t="s">
        <v>26</v>
      </c>
      <c r="C14" s="80" t="s">
        <v>214</v>
      </c>
      <c r="D14" s="79" t="s">
        <v>199</v>
      </c>
      <c r="E14" s="89">
        <v>1.302083333333333</v>
      </c>
      <c r="F14" s="79" t="s">
        <v>28</v>
      </c>
      <c r="G14" s="81">
        <v>5</v>
      </c>
      <c r="H14" s="82">
        <v>459</v>
      </c>
    </row>
    <row r="15" spans="1:8" ht="19.8" customHeight="1" x14ac:dyDescent="0.3">
      <c r="A15" s="90">
        <v>45986</v>
      </c>
      <c r="B15" s="84" t="s">
        <v>46</v>
      </c>
      <c r="C15" s="85" t="s">
        <v>232</v>
      </c>
      <c r="D15" s="84" t="s">
        <v>199</v>
      </c>
      <c r="E15" s="91">
        <v>1.729166666666667</v>
      </c>
      <c r="F15" s="84" t="s">
        <v>48</v>
      </c>
      <c r="G15" s="86">
        <v>1</v>
      </c>
      <c r="H15" s="87">
        <v>471</v>
      </c>
    </row>
    <row r="16" spans="1:8" ht="19.8" customHeight="1" x14ac:dyDescent="0.3">
      <c r="A16" s="88">
        <v>45986</v>
      </c>
      <c r="B16" s="79" t="s">
        <v>36</v>
      </c>
      <c r="C16" s="80" t="s">
        <v>244</v>
      </c>
      <c r="D16" s="79" t="s">
        <v>199</v>
      </c>
      <c r="E16" s="89">
        <v>1.256944444444444</v>
      </c>
      <c r="F16" s="79" t="s">
        <v>38</v>
      </c>
      <c r="G16" s="81">
        <v>8</v>
      </c>
      <c r="H16" s="82">
        <v>489</v>
      </c>
    </row>
    <row r="17" spans="1:8" ht="19.8" customHeight="1" x14ac:dyDescent="0.3">
      <c r="A17" s="88">
        <v>45986</v>
      </c>
      <c r="B17" s="79" t="s">
        <v>36</v>
      </c>
      <c r="C17" s="80" t="s">
        <v>249</v>
      </c>
      <c r="D17" s="79" t="s">
        <v>199</v>
      </c>
      <c r="E17" s="89">
        <v>1.645833333333333</v>
      </c>
      <c r="F17" s="79" t="s">
        <v>38</v>
      </c>
      <c r="G17" s="81">
        <v>9</v>
      </c>
      <c r="H17" s="82">
        <v>489</v>
      </c>
    </row>
    <row r="18" spans="1:8" ht="19.8" customHeight="1" x14ac:dyDescent="0.3">
      <c r="A18" s="88">
        <v>45986</v>
      </c>
      <c r="B18" s="79" t="s">
        <v>36</v>
      </c>
      <c r="C18" s="80" t="s">
        <v>251</v>
      </c>
      <c r="D18" s="79" t="s">
        <v>199</v>
      </c>
      <c r="E18" s="89">
        <v>1.5173611111111109</v>
      </c>
      <c r="F18" s="79" t="s">
        <v>38</v>
      </c>
      <c r="G18" s="81">
        <v>9</v>
      </c>
      <c r="H18" s="82">
        <v>489</v>
      </c>
    </row>
    <row r="19" spans="1:8" ht="19.8" customHeight="1" x14ac:dyDescent="0.3">
      <c r="A19" s="88">
        <v>45986</v>
      </c>
      <c r="B19" s="79" t="s">
        <v>36</v>
      </c>
      <c r="C19" s="80" t="s">
        <v>252</v>
      </c>
      <c r="D19" s="79" t="s">
        <v>199</v>
      </c>
      <c r="E19" s="89">
        <v>1.302083333333333</v>
      </c>
      <c r="F19" s="79" t="s">
        <v>38</v>
      </c>
      <c r="G19" s="81">
        <v>9</v>
      </c>
      <c r="H19" s="82">
        <v>489</v>
      </c>
    </row>
    <row r="20" spans="1:8" ht="19.8" customHeight="1" x14ac:dyDescent="0.3">
      <c r="A20" s="88">
        <v>45986</v>
      </c>
      <c r="B20" s="79" t="s">
        <v>36</v>
      </c>
      <c r="C20" s="80" t="s">
        <v>253</v>
      </c>
      <c r="D20" s="79" t="s">
        <v>199</v>
      </c>
      <c r="E20" s="89">
        <v>1.395833333333333</v>
      </c>
      <c r="F20" s="79" t="s">
        <v>38</v>
      </c>
      <c r="G20" s="81">
        <v>4</v>
      </c>
      <c r="H20" s="82">
        <v>529</v>
      </c>
    </row>
    <row r="21" spans="1:8" ht="19.8" customHeight="1" x14ac:dyDescent="0.3">
      <c r="A21" s="88">
        <v>45986</v>
      </c>
      <c r="B21" s="79" t="s">
        <v>257</v>
      </c>
      <c r="C21" s="80" t="s">
        <v>258</v>
      </c>
      <c r="D21" s="79" t="s">
        <v>199</v>
      </c>
      <c r="E21" s="89">
        <v>1.2222222222222221</v>
      </c>
      <c r="F21" s="79" t="s">
        <v>259</v>
      </c>
      <c r="G21" s="81">
        <v>9</v>
      </c>
      <c r="H21" s="82">
        <v>536</v>
      </c>
    </row>
    <row r="22" spans="1:8" ht="19.8" customHeight="1" x14ac:dyDescent="0.3">
      <c r="A22" s="88">
        <v>45986</v>
      </c>
      <c r="B22" s="79" t="s">
        <v>36</v>
      </c>
      <c r="C22" s="80" t="s">
        <v>239</v>
      </c>
      <c r="D22" s="79" t="s">
        <v>199</v>
      </c>
      <c r="E22" s="89">
        <v>1.9027777777777779</v>
      </c>
      <c r="F22" s="79" t="s">
        <v>41</v>
      </c>
      <c r="G22" s="81">
        <v>2</v>
      </c>
      <c r="H22" s="82">
        <v>549</v>
      </c>
    </row>
    <row r="23" spans="1:8" ht="19.8" customHeight="1" x14ac:dyDescent="0.3">
      <c r="A23" s="88">
        <v>45986</v>
      </c>
      <c r="B23" s="79" t="s">
        <v>36</v>
      </c>
      <c r="C23" s="80" t="s">
        <v>242</v>
      </c>
      <c r="D23" s="79" t="s">
        <v>199</v>
      </c>
      <c r="E23" s="89">
        <v>1.854166666666667</v>
      </c>
      <c r="F23" s="79" t="s">
        <v>41</v>
      </c>
      <c r="G23" s="81">
        <v>1</v>
      </c>
      <c r="H23" s="82">
        <v>549</v>
      </c>
    </row>
    <row r="24" spans="1:8" ht="19.8" customHeight="1" x14ac:dyDescent="0.3">
      <c r="A24" s="88">
        <v>45986</v>
      </c>
      <c r="B24" s="79" t="s">
        <v>36</v>
      </c>
      <c r="C24" s="80" t="s">
        <v>243</v>
      </c>
      <c r="D24" s="79" t="s">
        <v>199</v>
      </c>
      <c r="E24" s="89">
        <v>1.7986111111111109</v>
      </c>
      <c r="F24" s="79" t="s">
        <v>41</v>
      </c>
      <c r="G24" s="81">
        <v>3</v>
      </c>
      <c r="H24" s="82">
        <v>549</v>
      </c>
    </row>
    <row r="25" spans="1:8" ht="19.8" customHeight="1" x14ac:dyDescent="0.3">
      <c r="A25" s="88">
        <v>45986</v>
      </c>
      <c r="B25" s="79" t="s">
        <v>26</v>
      </c>
      <c r="C25" s="80" t="s">
        <v>207</v>
      </c>
      <c r="D25" s="79" t="s">
        <v>199</v>
      </c>
      <c r="E25" s="89">
        <v>1.1284722222222221</v>
      </c>
      <c r="F25" s="79" t="s">
        <v>31</v>
      </c>
      <c r="G25" s="81">
        <v>5</v>
      </c>
      <c r="H25" s="82">
        <v>569</v>
      </c>
    </row>
    <row r="26" spans="1:8" ht="19.8" customHeight="1" x14ac:dyDescent="0.3">
      <c r="A26" s="88">
        <v>45986</v>
      </c>
      <c r="B26" s="79" t="s">
        <v>26</v>
      </c>
      <c r="C26" s="80" t="s">
        <v>212</v>
      </c>
      <c r="D26" s="79" t="s">
        <v>199</v>
      </c>
      <c r="E26" s="89">
        <v>1.788194444444444</v>
      </c>
      <c r="F26" s="79" t="s">
        <v>31</v>
      </c>
      <c r="G26" s="81">
        <v>2</v>
      </c>
      <c r="H26" s="82">
        <v>569</v>
      </c>
    </row>
    <row r="27" spans="1:8" ht="19.8" customHeight="1" x14ac:dyDescent="0.3">
      <c r="A27" s="88">
        <v>45986</v>
      </c>
      <c r="B27" s="79" t="s">
        <v>26</v>
      </c>
      <c r="C27" s="80" t="s">
        <v>213</v>
      </c>
      <c r="D27" s="79" t="s">
        <v>199</v>
      </c>
      <c r="E27" s="89">
        <v>1.8888888888888891</v>
      </c>
      <c r="F27" s="79" t="s">
        <v>31</v>
      </c>
      <c r="G27" s="81">
        <v>5</v>
      </c>
      <c r="H27" s="82">
        <v>569</v>
      </c>
    </row>
    <row r="28" spans="1:8" ht="19.8" customHeight="1" x14ac:dyDescent="0.3">
      <c r="A28" s="88">
        <v>45986</v>
      </c>
      <c r="B28" s="79" t="s">
        <v>36</v>
      </c>
      <c r="C28" s="80" t="s">
        <v>244</v>
      </c>
      <c r="D28" s="79" t="s">
        <v>199</v>
      </c>
      <c r="E28" s="89">
        <v>1.256944444444444</v>
      </c>
      <c r="F28" s="79" t="s">
        <v>41</v>
      </c>
      <c r="G28" s="81">
        <v>8</v>
      </c>
      <c r="H28" s="82">
        <v>589</v>
      </c>
    </row>
    <row r="29" spans="1:8" ht="19.8" customHeight="1" x14ac:dyDescent="0.3">
      <c r="A29" s="88">
        <v>45986</v>
      </c>
      <c r="B29" s="79" t="s">
        <v>36</v>
      </c>
      <c r="C29" s="80" t="s">
        <v>249</v>
      </c>
      <c r="D29" s="79" t="s">
        <v>199</v>
      </c>
      <c r="E29" s="89">
        <v>1.645833333333333</v>
      </c>
      <c r="F29" s="79" t="s">
        <v>41</v>
      </c>
      <c r="G29" s="81">
        <v>9</v>
      </c>
      <c r="H29" s="82">
        <v>589</v>
      </c>
    </row>
    <row r="30" spans="1:8" ht="19.8" customHeight="1" x14ac:dyDescent="0.3">
      <c r="A30" s="88">
        <v>45986</v>
      </c>
      <c r="B30" s="79" t="s">
        <v>36</v>
      </c>
      <c r="C30" s="80" t="s">
        <v>251</v>
      </c>
      <c r="D30" s="79" t="s">
        <v>199</v>
      </c>
      <c r="E30" s="89">
        <v>1.5173611111111109</v>
      </c>
      <c r="F30" s="79" t="s">
        <v>41</v>
      </c>
      <c r="G30" s="81">
        <v>9</v>
      </c>
      <c r="H30" s="82">
        <v>589</v>
      </c>
    </row>
    <row r="31" spans="1:8" ht="19.8" customHeight="1" x14ac:dyDescent="0.3">
      <c r="A31" s="88">
        <v>45986</v>
      </c>
      <c r="B31" s="79" t="s">
        <v>36</v>
      </c>
      <c r="C31" s="80" t="s">
        <v>252</v>
      </c>
      <c r="D31" s="79" t="s">
        <v>199</v>
      </c>
      <c r="E31" s="89">
        <v>1.302083333333333</v>
      </c>
      <c r="F31" s="79" t="s">
        <v>41</v>
      </c>
      <c r="G31" s="81">
        <v>9</v>
      </c>
      <c r="H31" s="82">
        <v>589</v>
      </c>
    </row>
    <row r="32" spans="1:8" ht="19.8" customHeight="1" x14ac:dyDescent="0.3">
      <c r="A32" s="88">
        <v>45986</v>
      </c>
      <c r="B32" s="79" t="s">
        <v>262</v>
      </c>
      <c r="C32" s="80" t="s">
        <v>263</v>
      </c>
      <c r="D32" s="79" t="s">
        <v>199</v>
      </c>
      <c r="E32" s="89">
        <v>1.274305555555556</v>
      </c>
      <c r="F32" s="79" t="s">
        <v>202</v>
      </c>
      <c r="G32" s="81">
        <v>9</v>
      </c>
      <c r="H32" s="82">
        <v>595</v>
      </c>
    </row>
    <row r="33" spans="1:8" ht="19.8" customHeight="1" x14ac:dyDescent="0.3">
      <c r="A33" s="88">
        <v>45986</v>
      </c>
      <c r="B33" s="79" t="s">
        <v>200</v>
      </c>
      <c r="C33" s="80" t="s">
        <v>205</v>
      </c>
      <c r="D33" s="79" t="s">
        <v>199</v>
      </c>
      <c r="E33" s="89">
        <v>1.666666666666667</v>
      </c>
      <c r="F33" s="79" t="s">
        <v>202</v>
      </c>
      <c r="G33" s="81">
        <v>9</v>
      </c>
      <c r="H33" s="82">
        <v>599</v>
      </c>
    </row>
    <row r="34" spans="1:8" ht="19.8" customHeight="1" x14ac:dyDescent="0.3">
      <c r="A34" s="88">
        <v>45986</v>
      </c>
      <c r="B34" s="79" t="s">
        <v>26</v>
      </c>
      <c r="C34" s="80" t="s">
        <v>214</v>
      </c>
      <c r="D34" s="79" t="s">
        <v>199</v>
      </c>
      <c r="E34" s="89">
        <v>1.302083333333333</v>
      </c>
      <c r="F34" s="79" t="s">
        <v>31</v>
      </c>
      <c r="G34" s="81">
        <v>5</v>
      </c>
      <c r="H34" s="82">
        <v>609</v>
      </c>
    </row>
    <row r="35" spans="1:8" ht="19.8" customHeight="1" x14ac:dyDescent="0.3">
      <c r="A35" s="88">
        <v>45986</v>
      </c>
      <c r="B35" s="79" t="s">
        <v>36</v>
      </c>
      <c r="C35" s="80" t="s">
        <v>253</v>
      </c>
      <c r="D35" s="79" t="s">
        <v>199</v>
      </c>
      <c r="E35" s="89">
        <v>1.395833333333333</v>
      </c>
      <c r="F35" s="79" t="s">
        <v>41</v>
      </c>
      <c r="G35" s="81">
        <v>4</v>
      </c>
      <c r="H35" s="82">
        <v>629</v>
      </c>
    </row>
    <row r="36" spans="1:8" ht="19.8" customHeight="1" x14ac:dyDescent="0.3">
      <c r="A36" s="88">
        <v>45986</v>
      </c>
      <c r="B36" s="79" t="s">
        <v>36</v>
      </c>
      <c r="C36" s="80" t="s">
        <v>239</v>
      </c>
      <c r="D36" s="79" t="s">
        <v>199</v>
      </c>
      <c r="E36" s="89">
        <v>1.9027777777777779</v>
      </c>
      <c r="F36" s="79" t="s">
        <v>44</v>
      </c>
      <c r="G36" s="81">
        <v>2</v>
      </c>
      <c r="H36" s="82">
        <v>639</v>
      </c>
    </row>
    <row r="37" spans="1:8" ht="19.8" customHeight="1" x14ac:dyDescent="0.3">
      <c r="A37" s="88">
        <v>45986</v>
      </c>
      <c r="B37" s="79" t="s">
        <v>36</v>
      </c>
      <c r="C37" s="80" t="s">
        <v>242</v>
      </c>
      <c r="D37" s="79" t="s">
        <v>199</v>
      </c>
      <c r="E37" s="89">
        <v>1.854166666666667</v>
      </c>
      <c r="F37" s="79" t="s">
        <v>44</v>
      </c>
      <c r="G37" s="81">
        <v>1</v>
      </c>
      <c r="H37" s="82">
        <v>639</v>
      </c>
    </row>
    <row r="38" spans="1:8" ht="19.8" customHeight="1" x14ac:dyDescent="0.3">
      <c r="A38" s="88">
        <v>45986</v>
      </c>
      <c r="B38" s="79" t="s">
        <v>36</v>
      </c>
      <c r="C38" s="80" t="s">
        <v>243</v>
      </c>
      <c r="D38" s="79" t="s">
        <v>199</v>
      </c>
      <c r="E38" s="89">
        <v>1.7986111111111109</v>
      </c>
      <c r="F38" s="79" t="s">
        <v>44</v>
      </c>
      <c r="G38" s="81">
        <v>3</v>
      </c>
      <c r="H38" s="82">
        <v>639</v>
      </c>
    </row>
    <row r="39" spans="1:8" ht="19.8" customHeight="1" x14ac:dyDescent="0.3">
      <c r="A39" s="88">
        <v>45986</v>
      </c>
      <c r="B39" s="79" t="s">
        <v>262</v>
      </c>
      <c r="C39" s="80" t="s">
        <v>265</v>
      </c>
      <c r="D39" s="79" t="s">
        <v>199</v>
      </c>
      <c r="E39" s="89">
        <v>1.739583333333333</v>
      </c>
      <c r="F39" s="79" t="s">
        <v>202</v>
      </c>
      <c r="G39" s="81">
        <v>9</v>
      </c>
      <c r="H39" s="82">
        <v>645</v>
      </c>
    </row>
    <row r="40" spans="1:8" ht="19.8" customHeight="1" x14ac:dyDescent="0.3">
      <c r="A40" s="88">
        <v>45986</v>
      </c>
      <c r="B40" s="79" t="s">
        <v>257</v>
      </c>
      <c r="C40" s="80" t="s">
        <v>258</v>
      </c>
      <c r="D40" s="79" t="s">
        <v>199</v>
      </c>
      <c r="E40" s="89">
        <v>1.2222222222222221</v>
      </c>
      <c r="F40" s="79" t="s">
        <v>34</v>
      </c>
      <c r="G40" s="81">
        <v>9</v>
      </c>
      <c r="H40" s="82">
        <v>660</v>
      </c>
    </row>
    <row r="41" spans="1:8" ht="19.8" customHeight="1" x14ac:dyDescent="0.3">
      <c r="A41" s="88">
        <v>45986</v>
      </c>
      <c r="B41" s="79" t="s">
        <v>77</v>
      </c>
      <c r="C41" s="80" t="s">
        <v>267</v>
      </c>
      <c r="D41" s="79" t="s">
        <v>199</v>
      </c>
      <c r="E41" s="89">
        <v>1.239583333333333</v>
      </c>
      <c r="F41" s="79" t="s">
        <v>83</v>
      </c>
      <c r="G41" s="81">
        <v>9</v>
      </c>
      <c r="H41" s="82">
        <v>678</v>
      </c>
    </row>
    <row r="42" spans="1:8" ht="19.8" customHeight="1" x14ac:dyDescent="0.3">
      <c r="A42" s="88">
        <v>45986</v>
      </c>
      <c r="B42" s="79" t="s">
        <v>36</v>
      </c>
      <c r="C42" s="80" t="s">
        <v>244</v>
      </c>
      <c r="D42" s="79" t="s">
        <v>199</v>
      </c>
      <c r="E42" s="89">
        <v>1.256944444444444</v>
      </c>
      <c r="F42" s="79" t="s">
        <v>44</v>
      </c>
      <c r="G42" s="81">
        <v>8</v>
      </c>
      <c r="H42" s="82">
        <v>679</v>
      </c>
    </row>
    <row r="43" spans="1:8" ht="19.8" customHeight="1" x14ac:dyDescent="0.3">
      <c r="A43" s="88">
        <v>45986</v>
      </c>
      <c r="B43" s="79" t="s">
        <v>36</v>
      </c>
      <c r="C43" s="80" t="s">
        <v>249</v>
      </c>
      <c r="D43" s="79" t="s">
        <v>199</v>
      </c>
      <c r="E43" s="89">
        <v>1.645833333333333</v>
      </c>
      <c r="F43" s="79" t="s">
        <v>44</v>
      </c>
      <c r="G43" s="81">
        <v>9</v>
      </c>
      <c r="H43" s="82">
        <v>679</v>
      </c>
    </row>
    <row r="44" spans="1:8" ht="19.8" customHeight="1" x14ac:dyDescent="0.3">
      <c r="A44" s="88">
        <v>45986</v>
      </c>
      <c r="B44" s="79" t="s">
        <v>36</v>
      </c>
      <c r="C44" s="80" t="s">
        <v>251</v>
      </c>
      <c r="D44" s="79" t="s">
        <v>199</v>
      </c>
      <c r="E44" s="89">
        <v>1.5173611111111109</v>
      </c>
      <c r="F44" s="79" t="s">
        <v>44</v>
      </c>
      <c r="G44" s="81">
        <v>9</v>
      </c>
      <c r="H44" s="82">
        <v>679</v>
      </c>
    </row>
    <row r="45" spans="1:8" ht="19.8" customHeight="1" x14ac:dyDescent="0.3">
      <c r="A45" s="88">
        <v>45986</v>
      </c>
      <c r="B45" s="79" t="s">
        <v>36</v>
      </c>
      <c r="C45" s="80" t="s">
        <v>252</v>
      </c>
      <c r="D45" s="79" t="s">
        <v>199</v>
      </c>
      <c r="E45" s="89">
        <v>1.302083333333333</v>
      </c>
      <c r="F45" s="79" t="s">
        <v>44</v>
      </c>
      <c r="G45" s="81">
        <v>9</v>
      </c>
      <c r="H45" s="82">
        <v>679</v>
      </c>
    </row>
    <row r="46" spans="1:8" ht="19.8" customHeight="1" x14ac:dyDescent="0.3">
      <c r="A46" s="88">
        <v>45986</v>
      </c>
      <c r="B46" s="79" t="s">
        <v>36</v>
      </c>
      <c r="C46" s="80" t="s">
        <v>253</v>
      </c>
      <c r="D46" s="79" t="s">
        <v>199</v>
      </c>
      <c r="E46" s="89">
        <v>1.395833333333333</v>
      </c>
      <c r="F46" s="79" t="s">
        <v>44</v>
      </c>
      <c r="G46" s="81">
        <v>4</v>
      </c>
      <c r="H46" s="82">
        <v>719</v>
      </c>
    </row>
    <row r="47" spans="1:8" ht="19.8" customHeight="1" x14ac:dyDescent="0.3">
      <c r="A47" s="88">
        <v>45986</v>
      </c>
      <c r="B47" s="79" t="s">
        <v>77</v>
      </c>
      <c r="C47" s="80" t="s">
        <v>267</v>
      </c>
      <c r="D47" s="79" t="s">
        <v>199</v>
      </c>
      <c r="E47" s="89">
        <v>1.239583333333333</v>
      </c>
      <c r="F47" s="79" t="s">
        <v>79</v>
      </c>
      <c r="G47" s="81">
        <v>9</v>
      </c>
      <c r="H47" s="82">
        <v>723</v>
      </c>
    </row>
    <row r="48" spans="1:8" ht="19.8" customHeight="1" x14ac:dyDescent="0.3">
      <c r="A48" s="88">
        <v>45986</v>
      </c>
      <c r="B48" s="79" t="s">
        <v>77</v>
      </c>
      <c r="C48" s="80" t="s">
        <v>270</v>
      </c>
      <c r="D48" s="79" t="s">
        <v>199</v>
      </c>
      <c r="E48" s="89">
        <v>1.3784722222222221</v>
      </c>
      <c r="F48" s="79" t="s">
        <v>83</v>
      </c>
      <c r="G48" s="81">
        <v>9</v>
      </c>
      <c r="H48" s="82">
        <v>935</v>
      </c>
    </row>
    <row r="49" spans="1:8" ht="19.8" customHeight="1" x14ac:dyDescent="0.3">
      <c r="A49" s="88">
        <v>45986</v>
      </c>
      <c r="B49" s="79" t="s">
        <v>77</v>
      </c>
      <c r="C49" s="80" t="s">
        <v>273</v>
      </c>
      <c r="D49" s="79" t="s">
        <v>199</v>
      </c>
      <c r="E49" s="89">
        <v>1.006944444444444</v>
      </c>
      <c r="F49" s="79" t="s">
        <v>83</v>
      </c>
      <c r="G49" s="81">
        <v>9</v>
      </c>
      <c r="H49" s="82">
        <v>935</v>
      </c>
    </row>
    <row r="50" spans="1:8" ht="19.8" customHeight="1" x14ac:dyDescent="0.3">
      <c r="A50" s="88">
        <v>45986</v>
      </c>
      <c r="B50" s="79" t="s">
        <v>77</v>
      </c>
      <c r="C50" s="80" t="s">
        <v>274</v>
      </c>
      <c r="D50" s="79" t="s">
        <v>199</v>
      </c>
      <c r="E50" s="89">
        <v>1.1423611111111109</v>
      </c>
      <c r="F50" s="79" t="s">
        <v>83</v>
      </c>
      <c r="G50" s="81">
        <v>9</v>
      </c>
      <c r="H50" s="82">
        <v>935</v>
      </c>
    </row>
    <row r="51" spans="1:8" ht="19.8" customHeight="1" x14ac:dyDescent="0.3">
      <c r="A51" s="88">
        <v>45986</v>
      </c>
      <c r="B51" s="79" t="s">
        <v>77</v>
      </c>
      <c r="C51" s="80" t="s">
        <v>275</v>
      </c>
      <c r="D51" s="79" t="s">
        <v>199</v>
      </c>
      <c r="E51" s="89">
        <v>1.930555555555556</v>
      </c>
      <c r="F51" s="79" t="s">
        <v>83</v>
      </c>
      <c r="G51" s="81">
        <v>9</v>
      </c>
      <c r="H51" s="82">
        <v>935</v>
      </c>
    </row>
    <row r="52" spans="1:8" ht="19.8" customHeight="1" x14ac:dyDescent="0.3">
      <c r="A52" s="88">
        <v>45986</v>
      </c>
      <c r="B52" s="79" t="s">
        <v>65</v>
      </c>
      <c r="C52" s="80" t="s">
        <v>290</v>
      </c>
      <c r="D52" s="79" t="s">
        <v>199</v>
      </c>
      <c r="E52" s="89">
        <v>1.4861111111111109</v>
      </c>
      <c r="F52" s="79" t="s">
        <v>67</v>
      </c>
      <c r="G52" s="81">
        <v>9</v>
      </c>
      <c r="H52" s="82">
        <v>970</v>
      </c>
    </row>
    <row r="53" spans="1:8" ht="19.8" customHeight="1" x14ac:dyDescent="0.3">
      <c r="A53" s="88">
        <v>45986</v>
      </c>
      <c r="B53" s="79" t="s">
        <v>65</v>
      </c>
      <c r="C53" s="80" t="s">
        <v>292</v>
      </c>
      <c r="D53" s="79" t="s">
        <v>199</v>
      </c>
      <c r="E53" s="89">
        <v>1.5138888888888891</v>
      </c>
      <c r="F53" s="79" t="s">
        <v>67</v>
      </c>
      <c r="G53" s="81">
        <v>9</v>
      </c>
      <c r="H53" s="82">
        <v>970</v>
      </c>
    </row>
    <row r="54" spans="1:8" ht="19.8" customHeight="1" x14ac:dyDescent="0.3">
      <c r="A54" s="88">
        <v>45986</v>
      </c>
      <c r="B54" s="79" t="s">
        <v>77</v>
      </c>
      <c r="C54" s="80" t="s">
        <v>270</v>
      </c>
      <c r="D54" s="79" t="s">
        <v>199</v>
      </c>
      <c r="E54" s="89">
        <v>1.3784722222222221</v>
      </c>
      <c r="F54" s="79" t="s">
        <v>79</v>
      </c>
      <c r="G54" s="81">
        <v>9</v>
      </c>
      <c r="H54" s="82">
        <v>980</v>
      </c>
    </row>
    <row r="55" spans="1:8" ht="19.8" customHeight="1" x14ac:dyDescent="0.3">
      <c r="A55" s="88">
        <v>45986</v>
      </c>
      <c r="B55" s="79" t="s">
        <v>77</v>
      </c>
      <c r="C55" s="80" t="s">
        <v>273</v>
      </c>
      <c r="D55" s="79" t="s">
        <v>199</v>
      </c>
      <c r="E55" s="89">
        <v>1.006944444444444</v>
      </c>
      <c r="F55" s="79" t="s">
        <v>79</v>
      </c>
      <c r="G55" s="81">
        <v>9</v>
      </c>
      <c r="H55" s="82">
        <v>980</v>
      </c>
    </row>
    <row r="56" spans="1:8" ht="19.8" customHeight="1" x14ac:dyDescent="0.3">
      <c r="A56" s="88">
        <v>45986</v>
      </c>
      <c r="B56" s="79" t="s">
        <v>77</v>
      </c>
      <c r="C56" s="80" t="s">
        <v>274</v>
      </c>
      <c r="D56" s="79" t="s">
        <v>199</v>
      </c>
      <c r="E56" s="89">
        <v>1.1423611111111109</v>
      </c>
      <c r="F56" s="79" t="s">
        <v>79</v>
      </c>
      <c r="G56" s="81">
        <v>9</v>
      </c>
      <c r="H56" s="82">
        <v>980</v>
      </c>
    </row>
    <row r="57" spans="1:8" ht="19.8" customHeight="1" x14ac:dyDescent="0.3">
      <c r="A57" s="88">
        <v>45986</v>
      </c>
      <c r="B57" s="79" t="s">
        <v>77</v>
      </c>
      <c r="C57" s="80" t="s">
        <v>275</v>
      </c>
      <c r="D57" s="79" t="s">
        <v>199</v>
      </c>
      <c r="E57" s="89">
        <v>1.930555555555556</v>
      </c>
      <c r="F57" s="79" t="s">
        <v>79</v>
      </c>
      <c r="G57" s="81">
        <v>9</v>
      </c>
      <c r="H57" s="82">
        <v>980</v>
      </c>
    </row>
    <row r="58" spans="1:8" ht="19.8" customHeight="1" x14ac:dyDescent="0.3">
      <c r="A58" s="88">
        <v>45986</v>
      </c>
      <c r="B58" s="79" t="s">
        <v>65</v>
      </c>
      <c r="C58" s="80" t="s">
        <v>293</v>
      </c>
      <c r="D58" s="79" t="s">
        <v>199</v>
      </c>
      <c r="E58" s="89">
        <v>1.2222222222222221</v>
      </c>
      <c r="F58" s="79" t="s">
        <v>67</v>
      </c>
      <c r="G58" s="81">
        <v>9</v>
      </c>
      <c r="H58" s="92" t="s">
        <v>294</v>
      </c>
    </row>
    <row r="59" spans="1:8" ht="19.8" customHeight="1" x14ac:dyDescent="0.3">
      <c r="A59" s="88">
        <v>45986</v>
      </c>
      <c r="B59" s="79" t="s">
        <v>77</v>
      </c>
      <c r="C59" s="80" t="s">
        <v>276</v>
      </c>
      <c r="D59" s="79" t="s">
        <v>199</v>
      </c>
      <c r="E59" s="89">
        <v>1.71875</v>
      </c>
      <c r="F59" s="79" t="s">
        <v>83</v>
      </c>
      <c r="G59" s="81">
        <v>9</v>
      </c>
      <c r="H59" s="92" t="s">
        <v>277</v>
      </c>
    </row>
    <row r="60" spans="1:8" ht="19.8" customHeight="1" x14ac:dyDescent="0.3">
      <c r="A60" s="88">
        <v>45986</v>
      </c>
      <c r="B60" s="79" t="s">
        <v>26</v>
      </c>
      <c r="C60" s="80" t="s">
        <v>214</v>
      </c>
      <c r="D60" s="79" t="s">
        <v>199</v>
      </c>
      <c r="E60" s="89">
        <v>1.302083333333333</v>
      </c>
      <c r="F60" s="79" t="s">
        <v>34</v>
      </c>
      <c r="G60" s="81">
        <v>5</v>
      </c>
      <c r="H60" s="92" t="s">
        <v>35</v>
      </c>
    </row>
    <row r="61" spans="1:8" ht="19.8" customHeight="1" x14ac:dyDescent="0.3">
      <c r="A61" s="88">
        <v>45986</v>
      </c>
      <c r="B61" s="79" t="s">
        <v>26</v>
      </c>
      <c r="C61" s="80" t="s">
        <v>207</v>
      </c>
      <c r="D61" s="79" t="s">
        <v>199</v>
      </c>
      <c r="E61" s="89">
        <v>1.1284722222222221</v>
      </c>
      <c r="F61" s="79" t="s">
        <v>34</v>
      </c>
      <c r="G61" s="81">
        <v>5</v>
      </c>
      <c r="H61" s="92" t="s">
        <v>35</v>
      </c>
    </row>
    <row r="62" spans="1:8" ht="19.8" customHeight="1" x14ac:dyDescent="0.3">
      <c r="A62" s="88">
        <v>45986</v>
      </c>
      <c r="B62" s="79" t="s">
        <v>26</v>
      </c>
      <c r="C62" s="80" t="s">
        <v>212</v>
      </c>
      <c r="D62" s="79" t="s">
        <v>199</v>
      </c>
      <c r="E62" s="89">
        <v>1.788194444444444</v>
      </c>
      <c r="F62" s="79" t="s">
        <v>34</v>
      </c>
      <c r="G62" s="81">
        <v>2</v>
      </c>
      <c r="H62" s="92" t="s">
        <v>35</v>
      </c>
    </row>
    <row r="63" spans="1:8" ht="19.8" customHeight="1" x14ac:dyDescent="0.3">
      <c r="A63" s="88">
        <v>45986</v>
      </c>
      <c r="B63" s="79" t="s">
        <v>26</v>
      </c>
      <c r="C63" s="80" t="s">
        <v>213</v>
      </c>
      <c r="D63" s="79" t="s">
        <v>199</v>
      </c>
      <c r="E63" s="89">
        <v>1.8888888888888891</v>
      </c>
      <c r="F63" s="79" t="s">
        <v>34</v>
      </c>
      <c r="G63" s="81">
        <v>5</v>
      </c>
      <c r="H63" s="92" t="s">
        <v>35</v>
      </c>
    </row>
    <row r="64" spans="1:8" ht="19.8" customHeight="1" x14ac:dyDescent="0.3">
      <c r="A64" s="88">
        <v>45986</v>
      </c>
      <c r="B64" s="79" t="s">
        <v>77</v>
      </c>
      <c r="C64" s="80" t="s">
        <v>276</v>
      </c>
      <c r="D64" s="79" t="s">
        <v>199</v>
      </c>
      <c r="E64" s="89">
        <v>1.71875</v>
      </c>
      <c r="F64" s="79" t="s">
        <v>79</v>
      </c>
      <c r="G64" s="81">
        <v>9</v>
      </c>
      <c r="H64" s="92" t="s">
        <v>278</v>
      </c>
    </row>
    <row r="65" spans="1:8" ht="19.8" customHeight="1" x14ac:dyDescent="0.3">
      <c r="A65" s="88">
        <v>45986</v>
      </c>
      <c r="B65" s="79" t="s">
        <v>77</v>
      </c>
      <c r="C65" s="80" t="s">
        <v>279</v>
      </c>
      <c r="D65" s="79" t="s">
        <v>199</v>
      </c>
      <c r="E65" s="89">
        <v>1.8888888888888891</v>
      </c>
      <c r="F65" s="79" t="s">
        <v>79</v>
      </c>
      <c r="G65" s="81">
        <v>4</v>
      </c>
      <c r="H65" s="92" t="s">
        <v>280</v>
      </c>
    </row>
    <row r="66" spans="1:8" ht="19.8" customHeight="1" x14ac:dyDescent="0.3">
      <c r="A66" s="88">
        <v>45986</v>
      </c>
      <c r="B66" s="79" t="s">
        <v>77</v>
      </c>
      <c r="C66" s="80" t="s">
        <v>281</v>
      </c>
      <c r="D66" s="79" t="s">
        <v>199</v>
      </c>
      <c r="E66" s="89">
        <v>1.302083333333333</v>
      </c>
      <c r="F66" s="79" t="s">
        <v>79</v>
      </c>
      <c r="G66" s="81">
        <v>4</v>
      </c>
      <c r="H66" s="92" t="s">
        <v>280</v>
      </c>
    </row>
    <row r="67" spans="1:8" ht="19.8" customHeight="1" x14ac:dyDescent="0.3">
      <c r="A67" s="88">
        <v>45986</v>
      </c>
      <c r="B67" s="79" t="s">
        <v>77</v>
      </c>
      <c r="C67" s="80" t="s">
        <v>282</v>
      </c>
      <c r="D67" s="79" t="s">
        <v>199</v>
      </c>
      <c r="E67" s="89">
        <v>1.1284722222222221</v>
      </c>
      <c r="F67" s="79" t="s">
        <v>79</v>
      </c>
      <c r="G67" s="81">
        <v>4</v>
      </c>
      <c r="H67" s="92" t="s">
        <v>280</v>
      </c>
    </row>
    <row r="68" spans="1:8" ht="19.8" customHeight="1" x14ac:dyDescent="0.3">
      <c r="A68" s="88">
        <v>45986</v>
      </c>
      <c r="B68" s="79" t="s">
        <v>77</v>
      </c>
      <c r="C68" s="80" t="s">
        <v>283</v>
      </c>
      <c r="D68" s="79" t="s">
        <v>199</v>
      </c>
      <c r="E68" s="89">
        <v>1.788194444444444</v>
      </c>
      <c r="F68" s="79" t="s">
        <v>79</v>
      </c>
      <c r="G68" s="81">
        <v>4</v>
      </c>
      <c r="H68" s="92" t="s">
        <v>280</v>
      </c>
    </row>
    <row r="69" spans="1:8" ht="19.8" customHeight="1" x14ac:dyDescent="0.3">
      <c r="A69" s="88">
        <v>45986</v>
      </c>
      <c r="B69" s="79" t="s">
        <v>65</v>
      </c>
      <c r="C69" s="80" t="s">
        <v>295</v>
      </c>
      <c r="D69" s="79" t="s">
        <v>199</v>
      </c>
      <c r="E69" s="89">
        <v>1.2777777777777779</v>
      </c>
      <c r="F69" s="79" t="s">
        <v>67</v>
      </c>
      <c r="G69" s="81">
        <v>9</v>
      </c>
      <c r="H69" s="92" t="s">
        <v>296</v>
      </c>
    </row>
    <row r="70" spans="1:8" ht="19.8" customHeight="1" x14ac:dyDescent="0.3">
      <c r="A70" s="88">
        <v>45986</v>
      </c>
      <c r="B70" s="79" t="s">
        <v>77</v>
      </c>
      <c r="C70" s="80" t="s">
        <v>284</v>
      </c>
      <c r="D70" s="79" t="s">
        <v>199</v>
      </c>
      <c r="E70" s="89">
        <v>1.8298611111111109</v>
      </c>
      <c r="F70" s="79" t="s">
        <v>83</v>
      </c>
      <c r="G70" s="81">
        <v>9</v>
      </c>
      <c r="H70" s="92" t="s">
        <v>285</v>
      </c>
    </row>
    <row r="71" spans="1:8" ht="19.8" customHeight="1" x14ac:dyDescent="0.3">
      <c r="A71" s="88">
        <v>45986</v>
      </c>
      <c r="B71" s="79" t="s">
        <v>77</v>
      </c>
      <c r="C71" s="80" t="s">
        <v>284</v>
      </c>
      <c r="D71" s="79" t="s">
        <v>199</v>
      </c>
      <c r="E71" s="89">
        <v>1.8298611111111109</v>
      </c>
      <c r="F71" s="79" t="s">
        <v>79</v>
      </c>
      <c r="G71" s="81">
        <v>9</v>
      </c>
      <c r="H71" s="92" t="s">
        <v>286</v>
      </c>
    </row>
    <row r="72" spans="1:8" ht="19.8" customHeight="1" x14ac:dyDescent="0.3">
      <c r="A72" s="88">
        <v>45986</v>
      </c>
      <c r="B72" s="79" t="s">
        <v>65</v>
      </c>
      <c r="C72" s="80" t="s">
        <v>297</v>
      </c>
      <c r="D72" s="79" t="s">
        <v>199</v>
      </c>
      <c r="E72" s="89">
        <v>1.774305555555556</v>
      </c>
      <c r="F72" s="79" t="s">
        <v>67</v>
      </c>
      <c r="G72" s="81">
        <v>9</v>
      </c>
      <c r="H72" s="92" t="s">
        <v>298</v>
      </c>
    </row>
    <row r="73" spans="1:8" ht="19.8" customHeight="1" x14ac:dyDescent="0.3">
      <c r="A73" s="88">
        <v>45986</v>
      </c>
      <c r="B73" s="79" t="s">
        <v>77</v>
      </c>
      <c r="C73" s="80" t="s">
        <v>287</v>
      </c>
      <c r="D73" s="79" t="s">
        <v>199</v>
      </c>
      <c r="E73" s="89">
        <v>1.6111111111111109</v>
      </c>
      <c r="F73" s="79" t="s">
        <v>83</v>
      </c>
      <c r="G73" s="81">
        <v>1</v>
      </c>
      <c r="H73" s="92" t="s">
        <v>288</v>
      </c>
    </row>
    <row r="74" spans="1:8" ht="19.8" customHeight="1" x14ac:dyDescent="0.3">
      <c r="A74" s="88">
        <v>45986</v>
      </c>
      <c r="B74" s="79" t="s">
        <v>77</v>
      </c>
      <c r="C74" s="80" t="s">
        <v>287</v>
      </c>
      <c r="D74" s="79" t="s">
        <v>199</v>
      </c>
      <c r="E74" s="89">
        <v>1.6111111111111109</v>
      </c>
      <c r="F74" s="79" t="s">
        <v>79</v>
      </c>
      <c r="G74" s="81">
        <v>1</v>
      </c>
      <c r="H74" s="92" t="s">
        <v>289</v>
      </c>
    </row>
    <row r="75" spans="1:8" ht="19.8" customHeight="1" x14ac:dyDescent="0.3">
      <c r="A75" s="93">
        <v>45986</v>
      </c>
      <c r="B75" s="94" t="s">
        <v>46</v>
      </c>
      <c r="C75" s="95" t="s">
        <v>237</v>
      </c>
      <c r="D75" s="94" t="s">
        <v>199</v>
      </c>
      <c r="E75" s="96">
        <v>1.5590277777777779</v>
      </c>
      <c r="F75" s="94" t="s">
        <v>61</v>
      </c>
      <c r="G75" s="94"/>
      <c r="H75" s="97" t="s">
        <v>62</v>
      </c>
    </row>
    <row r="76" spans="1:8" ht="19.8" customHeight="1" x14ac:dyDescent="0.3">
      <c r="A76" s="88">
        <v>45987</v>
      </c>
      <c r="B76" s="79" t="s">
        <v>262</v>
      </c>
      <c r="C76" s="80" t="s">
        <v>263</v>
      </c>
      <c r="D76" s="79" t="s">
        <v>199</v>
      </c>
      <c r="E76" s="89">
        <v>1.270833333333333</v>
      </c>
      <c r="F76" s="79" t="s">
        <v>202</v>
      </c>
      <c r="G76" s="81">
        <v>1</v>
      </c>
      <c r="H76" s="82">
        <v>400</v>
      </c>
    </row>
    <row r="77" spans="1:8" ht="19.8" customHeight="1" x14ac:dyDescent="0.3">
      <c r="A77" s="90">
        <v>45987</v>
      </c>
      <c r="B77" s="84" t="s">
        <v>46</v>
      </c>
      <c r="C77" s="85" t="s">
        <v>232</v>
      </c>
      <c r="D77" s="84" t="s">
        <v>199</v>
      </c>
      <c r="E77" s="91">
        <v>1.520833333333333</v>
      </c>
      <c r="F77" s="84" t="s">
        <v>48</v>
      </c>
      <c r="G77" s="86">
        <v>9</v>
      </c>
      <c r="H77" s="87">
        <v>401</v>
      </c>
    </row>
    <row r="78" spans="1:8" ht="19.8" customHeight="1" x14ac:dyDescent="0.3">
      <c r="A78" s="90">
        <v>45987</v>
      </c>
      <c r="B78" s="84" t="s">
        <v>46</v>
      </c>
      <c r="C78" s="85" t="s">
        <v>224</v>
      </c>
      <c r="D78" s="84" t="s">
        <v>199</v>
      </c>
      <c r="E78" s="91">
        <v>1.5173611111111109</v>
      </c>
      <c r="F78" s="84" t="s">
        <v>48</v>
      </c>
      <c r="G78" s="86">
        <v>9</v>
      </c>
      <c r="H78" s="87">
        <v>401</v>
      </c>
    </row>
    <row r="79" spans="1:8" ht="19.8" customHeight="1" x14ac:dyDescent="0.3">
      <c r="A79" s="88">
        <v>45987</v>
      </c>
      <c r="B79" s="79" t="s">
        <v>200</v>
      </c>
      <c r="C79" s="80" t="s">
        <v>205</v>
      </c>
      <c r="D79" s="79" t="s">
        <v>199</v>
      </c>
      <c r="E79" s="89">
        <v>1.9375</v>
      </c>
      <c r="F79" s="79" t="s">
        <v>202</v>
      </c>
      <c r="G79" s="81">
        <v>8</v>
      </c>
      <c r="H79" s="82">
        <v>401</v>
      </c>
    </row>
    <row r="80" spans="1:8" ht="19.8" customHeight="1" x14ac:dyDescent="0.3">
      <c r="A80" s="88">
        <v>45987</v>
      </c>
      <c r="B80" s="79" t="s">
        <v>200</v>
      </c>
      <c r="C80" s="80" t="s">
        <v>201</v>
      </c>
      <c r="D80" s="79" t="s">
        <v>199</v>
      </c>
      <c r="E80" s="89">
        <v>1.3715277777777779</v>
      </c>
      <c r="F80" s="79" t="s">
        <v>202</v>
      </c>
      <c r="G80" s="81">
        <v>9</v>
      </c>
      <c r="H80" s="82">
        <v>401</v>
      </c>
    </row>
    <row r="81" spans="1:8" ht="19.8" customHeight="1" x14ac:dyDescent="0.3">
      <c r="A81" s="88">
        <v>45987</v>
      </c>
      <c r="B81" s="79" t="s">
        <v>26</v>
      </c>
      <c r="C81" s="80" t="s">
        <v>214</v>
      </c>
      <c r="D81" s="79" t="s">
        <v>199</v>
      </c>
      <c r="E81" s="89">
        <v>1.302083333333333</v>
      </c>
      <c r="F81" s="79" t="s">
        <v>28</v>
      </c>
      <c r="G81" s="81">
        <v>5</v>
      </c>
      <c r="H81" s="82">
        <v>419</v>
      </c>
    </row>
    <row r="82" spans="1:8" ht="19.8" customHeight="1" x14ac:dyDescent="0.3">
      <c r="A82" s="88">
        <v>45987</v>
      </c>
      <c r="B82" s="79" t="s">
        <v>26</v>
      </c>
      <c r="C82" s="80" t="s">
        <v>207</v>
      </c>
      <c r="D82" s="79" t="s">
        <v>199</v>
      </c>
      <c r="E82" s="89">
        <v>1.1284722222222221</v>
      </c>
      <c r="F82" s="79" t="s">
        <v>28</v>
      </c>
      <c r="G82" s="81">
        <v>2</v>
      </c>
      <c r="H82" s="82">
        <v>419</v>
      </c>
    </row>
    <row r="83" spans="1:8" ht="19.8" customHeight="1" x14ac:dyDescent="0.3">
      <c r="A83" s="88">
        <v>45987</v>
      </c>
      <c r="B83" s="79" t="s">
        <v>26</v>
      </c>
      <c r="C83" s="80" t="s">
        <v>212</v>
      </c>
      <c r="D83" s="79" t="s">
        <v>199</v>
      </c>
      <c r="E83" s="89">
        <v>1.788194444444444</v>
      </c>
      <c r="F83" s="79" t="s">
        <v>28</v>
      </c>
      <c r="G83" s="81">
        <v>7</v>
      </c>
      <c r="H83" s="82">
        <v>419</v>
      </c>
    </row>
    <row r="84" spans="1:8" ht="19.8" customHeight="1" x14ac:dyDescent="0.3">
      <c r="A84" s="88">
        <v>45987</v>
      </c>
      <c r="B84" s="79" t="s">
        <v>26</v>
      </c>
      <c r="C84" s="80" t="s">
        <v>213</v>
      </c>
      <c r="D84" s="79" t="s">
        <v>199</v>
      </c>
      <c r="E84" s="89">
        <v>1.8888888888888891</v>
      </c>
      <c r="F84" s="79" t="s">
        <v>28</v>
      </c>
      <c r="G84" s="81">
        <v>10</v>
      </c>
      <c r="H84" s="82">
        <v>419</v>
      </c>
    </row>
    <row r="85" spans="1:8" ht="19.8" customHeight="1" x14ac:dyDescent="0.3">
      <c r="A85" s="90">
        <v>45987</v>
      </c>
      <c r="B85" s="84" t="s">
        <v>46</v>
      </c>
      <c r="C85" s="85" t="s">
        <v>227</v>
      </c>
      <c r="D85" s="84" t="s">
        <v>199</v>
      </c>
      <c r="E85" s="91">
        <v>1.614583333333333</v>
      </c>
      <c r="F85" s="84" t="s">
        <v>48</v>
      </c>
      <c r="G85" s="86">
        <v>9</v>
      </c>
      <c r="H85" s="87">
        <v>436</v>
      </c>
    </row>
    <row r="86" spans="1:8" ht="19.8" customHeight="1" x14ac:dyDescent="0.3">
      <c r="A86" s="88">
        <v>45987</v>
      </c>
      <c r="B86" s="79" t="s">
        <v>36</v>
      </c>
      <c r="C86" s="80" t="s">
        <v>239</v>
      </c>
      <c r="D86" s="79" t="s">
        <v>199</v>
      </c>
      <c r="E86" s="89">
        <v>1.9027777777777779</v>
      </c>
      <c r="F86" s="79" t="s">
        <v>38</v>
      </c>
      <c r="G86" s="81">
        <v>1</v>
      </c>
      <c r="H86" s="82">
        <v>449</v>
      </c>
    </row>
    <row r="87" spans="1:8" ht="19.8" customHeight="1" x14ac:dyDescent="0.3">
      <c r="A87" s="88">
        <v>45987</v>
      </c>
      <c r="B87" s="79" t="s">
        <v>36</v>
      </c>
      <c r="C87" s="80" t="s">
        <v>252</v>
      </c>
      <c r="D87" s="79" t="s">
        <v>199</v>
      </c>
      <c r="E87" s="89">
        <v>1.302083333333333</v>
      </c>
      <c r="F87" s="79" t="s">
        <v>38</v>
      </c>
      <c r="G87" s="81">
        <v>5</v>
      </c>
      <c r="H87" s="82">
        <v>449</v>
      </c>
    </row>
    <row r="88" spans="1:8" ht="19.8" customHeight="1" x14ac:dyDescent="0.3">
      <c r="A88" s="88">
        <v>45987</v>
      </c>
      <c r="B88" s="79" t="s">
        <v>36</v>
      </c>
      <c r="C88" s="80" t="s">
        <v>243</v>
      </c>
      <c r="D88" s="79" t="s">
        <v>199</v>
      </c>
      <c r="E88" s="89">
        <v>1.7986111111111109</v>
      </c>
      <c r="F88" s="79" t="s">
        <v>38</v>
      </c>
      <c r="G88" s="81">
        <v>1</v>
      </c>
      <c r="H88" s="82">
        <v>449</v>
      </c>
    </row>
    <row r="89" spans="1:8" ht="19.8" customHeight="1" x14ac:dyDescent="0.3">
      <c r="A89" s="88">
        <v>45987</v>
      </c>
      <c r="B89" s="79" t="s">
        <v>36</v>
      </c>
      <c r="C89" s="80" t="s">
        <v>244</v>
      </c>
      <c r="D89" s="79" t="s">
        <v>199</v>
      </c>
      <c r="E89" s="89">
        <v>1.256944444444444</v>
      </c>
      <c r="F89" s="79" t="s">
        <v>38</v>
      </c>
      <c r="G89" s="81">
        <v>9</v>
      </c>
      <c r="H89" s="82">
        <v>489</v>
      </c>
    </row>
    <row r="90" spans="1:8" ht="19.8" customHeight="1" x14ac:dyDescent="0.3">
      <c r="A90" s="88">
        <v>45987</v>
      </c>
      <c r="B90" s="79" t="s">
        <v>36</v>
      </c>
      <c r="C90" s="80" t="s">
        <v>249</v>
      </c>
      <c r="D90" s="79" t="s">
        <v>199</v>
      </c>
      <c r="E90" s="89">
        <v>1.645833333333333</v>
      </c>
      <c r="F90" s="79" t="s">
        <v>38</v>
      </c>
      <c r="G90" s="81">
        <v>6</v>
      </c>
      <c r="H90" s="82">
        <v>489</v>
      </c>
    </row>
    <row r="91" spans="1:8" ht="19.8" customHeight="1" x14ac:dyDescent="0.3">
      <c r="A91" s="88">
        <v>45987</v>
      </c>
      <c r="B91" s="79" t="s">
        <v>36</v>
      </c>
      <c r="C91" s="80" t="s">
        <v>251</v>
      </c>
      <c r="D91" s="79" t="s">
        <v>199</v>
      </c>
      <c r="E91" s="89">
        <v>1.5173611111111109</v>
      </c>
      <c r="F91" s="79" t="s">
        <v>38</v>
      </c>
      <c r="G91" s="81">
        <v>9</v>
      </c>
      <c r="H91" s="82">
        <v>489</v>
      </c>
    </row>
    <row r="92" spans="1:8" ht="19.8" customHeight="1" x14ac:dyDescent="0.3">
      <c r="A92" s="88">
        <v>45987</v>
      </c>
      <c r="B92" s="79" t="s">
        <v>36</v>
      </c>
      <c r="C92" s="80" t="s">
        <v>242</v>
      </c>
      <c r="D92" s="79" t="s">
        <v>199</v>
      </c>
      <c r="E92" s="89">
        <v>1.854166666666667</v>
      </c>
      <c r="F92" s="79" t="s">
        <v>38</v>
      </c>
      <c r="G92" s="81">
        <v>3</v>
      </c>
      <c r="H92" s="82">
        <v>489</v>
      </c>
    </row>
    <row r="93" spans="1:8" ht="19.8" customHeight="1" x14ac:dyDescent="0.3">
      <c r="A93" s="88">
        <v>45987</v>
      </c>
      <c r="B93" s="79" t="s">
        <v>36</v>
      </c>
      <c r="C93" s="80" t="s">
        <v>253</v>
      </c>
      <c r="D93" s="79" t="s">
        <v>199</v>
      </c>
      <c r="E93" s="89">
        <v>1.395833333333333</v>
      </c>
      <c r="F93" s="79" t="s">
        <v>38</v>
      </c>
      <c r="G93" s="81">
        <v>9</v>
      </c>
      <c r="H93" s="82">
        <v>489</v>
      </c>
    </row>
    <row r="94" spans="1:8" ht="19.8" customHeight="1" x14ac:dyDescent="0.3">
      <c r="A94" s="88">
        <v>45987</v>
      </c>
      <c r="B94" s="79" t="s">
        <v>257</v>
      </c>
      <c r="C94" s="80" t="s">
        <v>309</v>
      </c>
      <c r="D94" s="79" t="s">
        <v>199</v>
      </c>
      <c r="E94" s="89">
        <v>1.3923611111111109</v>
      </c>
      <c r="F94" s="79" t="s">
        <v>259</v>
      </c>
      <c r="G94" s="81">
        <v>9</v>
      </c>
      <c r="H94" s="82">
        <v>536</v>
      </c>
    </row>
    <row r="95" spans="1:8" ht="19.8" customHeight="1" x14ac:dyDescent="0.3">
      <c r="A95" s="88">
        <v>45987</v>
      </c>
      <c r="B95" s="79" t="s">
        <v>36</v>
      </c>
      <c r="C95" s="80" t="s">
        <v>239</v>
      </c>
      <c r="D95" s="79" t="s">
        <v>199</v>
      </c>
      <c r="E95" s="89">
        <v>1.9027777777777779</v>
      </c>
      <c r="F95" s="79" t="s">
        <v>41</v>
      </c>
      <c r="G95" s="81">
        <v>1</v>
      </c>
      <c r="H95" s="82">
        <v>549</v>
      </c>
    </row>
    <row r="96" spans="1:8" ht="19.8" customHeight="1" x14ac:dyDescent="0.3">
      <c r="A96" s="88">
        <v>45987</v>
      </c>
      <c r="B96" s="79" t="s">
        <v>36</v>
      </c>
      <c r="C96" s="80" t="s">
        <v>252</v>
      </c>
      <c r="D96" s="79" t="s">
        <v>199</v>
      </c>
      <c r="E96" s="89">
        <v>1.302083333333333</v>
      </c>
      <c r="F96" s="79" t="s">
        <v>41</v>
      </c>
      <c r="G96" s="81">
        <v>5</v>
      </c>
      <c r="H96" s="82">
        <v>549</v>
      </c>
    </row>
    <row r="97" spans="1:8" ht="19.8" customHeight="1" x14ac:dyDescent="0.3">
      <c r="A97" s="88">
        <v>45987</v>
      </c>
      <c r="B97" s="79" t="s">
        <v>36</v>
      </c>
      <c r="C97" s="80" t="s">
        <v>243</v>
      </c>
      <c r="D97" s="79" t="s">
        <v>199</v>
      </c>
      <c r="E97" s="89">
        <v>1.7986111111111109</v>
      </c>
      <c r="F97" s="79" t="s">
        <v>41</v>
      </c>
      <c r="G97" s="81">
        <v>1</v>
      </c>
      <c r="H97" s="82">
        <v>549</v>
      </c>
    </row>
    <row r="98" spans="1:8" ht="19.8" customHeight="1" x14ac:dyDescent="0.3">
      <c r="A98" s="88">
        <v>45987</v>
      </c>
      <c r="B98" s="79" t="s">
        <v>26</v>
      </c>
      <c r="C98" s="80" t="s">
        <v>214</v>
      </c>
      <c r="D98" s="79" t="s">
        <v>199</v>
      </c>
      <c r="E98" s="89">
        <v>1.302083333333333</v>
      </c>
      <c r="F98" s="79" t="s">
        <v>31</v>
      </c>
      <c r="G98" s="81">
        <v>5</v>
      </c>
      <c r="H98" s="82">
        <v>569</v>
      </c>
    </row>
    <row r="99" spans="1:8" ht="19.8" customHeight="1" x14ac:dyDescent="0.3">
      <c r="A99" s="88">
        <v>45987</v>
      </c>
      <c r="B99" s="79" t="s">
        <v>26</v>
      </c>
      <c r="C99" s="80" t="s">
        <v>207</v>
      </c>
      <c r="D99" s="79" t="s">
        <v>199</v>
      </c>
      <c r="E99" s="89">
        <v>1.1284722222222221</v>
      </c>
      <c r="F99" s="79" t="s">
        <v>31</v>
      </c>
      <c r="G99" s="81">
        <v>2</v>
      </c>
      <c r="H99" s="82">
        <v>569</v>
      </c>
    </row>
    <row r="100" spans="1:8" ht="19.8" customHeight="1" x14ac:dyDescent="0.3">
      <c r="A100" s="88">
        <v>45987</v>
      </c>
      <c r="B100" s="79" t="s">
        <v>26</v>
      </c>
      <c r="C100" s="80" t="s">
        <v>212</v>
      </c>
      <c r="D100" s="79" t="s">
        <v>199</v>
      </c>
      <c r="E100" s="89">
        <v>1.788194444444444</v>
      </c>
      <c r="F100" s="79" t="s">
        <v>31</v>
      </c>
      <c r="G100" s="81">
        <v>7</v>
      </c>
      <c r="H100" s="82">
        <v>569</v>
      </c>
    </row>
    <row r="101" spans="1:8" ht="19.8" customHeight="1" x14ac:dyDescent="0.3">
      <c r="A101" s="88">
        <v>45987</v>
      </c>
      <c r="B101" s="79" t="s">
        <v>26</v>
      </c>
      <c r="C101" s="80" t="s">
        <v>213</v>
      </c>
      <c r="D101" s="79" t="s">
        <v>199</v>
      </c>
      <c r="E101" s="89">
        <v>1.8888888888888891</v>
      </c>
      <c r="F101" s="79" t="s">
        <v>31</v>
      </c>
      <c r="G101" s="81">
        <v>10</v>
      </c>
      <c r="H101" s="82">
        <v>569</v>
      </c>
    </row>
    <row r="102" spans="1:8" ht="19.8" customHeight="1" x14ac:dyDescent="0.3">
      <c r="A102" s="88">
        <v>45987</v>
      </c>
      <c r="B102" s="79" t="s">
        <v>36</v>
      </c>
      <c r="C102" s="80" t="s">
        <v>244</v>
      </c>
      <c r="D102" s="79" t="s">
        <v>199</v>
      </c>
      <c r="E102" s="89">
        <v>1.256944444444444</v>
      </c>
      <c r="F102" s="79" t="s">
        <v>41</v>
      </c>
      <c r="G102" s="81">
        <v>9</v>
      </c>
      <c r="H102" s="82">
        <v>589</v>
      </c>
    </row>
    <row r="103" spans="1:8" ht="19.8" customHeight="1" x14ac:dyDescent="0.3">
      <c r="A103" s="88">
        <v>45987</v>
      </c>
      <c r="B103" s="79" t="s">
        <v>36</v>
      </c>
      <c r="C103" s="80" t="s">
        <v>249</v>
      </c>
      <c r="D103" s="79" t="s">
        <v>199</v>
      </c>
      <c r="E103" s="89">
        <v>1.645833333333333</v>
      </c>
      <c r="F103" s="79" t="s">
        <v>41</v>
      </c>
      <c r="G103" s="81">
        <v>6</v>
      </c>
      <c r="H103" s="82">
        <v>589</v>
      </c>
    </row>
    <row r="104" spans="1:8" ht="19.8" customHeight="1" x14ac:dyDescent="0.3">
      <c r="A104" s="88">
        <v>45987</v>
      </c>
      <c r="B104" s="79" t="s">
        <v>36</v>
      </c>
      <c r="C104" s="80" t="s">
        <v>251</v>
      </c>
      <c r="D104" s="79" t="s">
        <v>199</v>
      </c>
      <c r="E104" s="89">
        <v>1.5173611111111109</v>
      </c>
      <c r="F104" s="79" t="s">
        <v>41</v>
      </c>
      <c r="G104" s="81">
        <v>9</v>
      </c>
      <c r="H104" s="82">
        <v>589</v>
      </c>
    </row>
    <row r="105" spans="1:8" ht="19.8" customHeight="1" x14ac:dyDescent="0.3">
      <c r="A105" s="88">
        <v>45987</v>
      </c>
      <c r="B105" s="79" t="s">
        <v>36</v>
      </c>
      <c r="C105" s="80" t="s">
        <v>242</v>
      </c>
      <c r="D105" s="79" t="s">
        <v>199</v>
      </c>
      <c r="E105" s="89">
        <v>1.854166666666667</v>
      </c>
      <c r="F105" s="79" t="s">
        <v>41</v>
      </c>
      <c r="G105" s="81">
        <v>3</v>
      </c>
      <c r="H105" s="82">
        <v>589</v>
      </c>
    </row>
    <row r="106" spans="1:8" ht="19.8" customHeight="1" x14ac:dyDescent="0.3">
      <c r="A106" s="88">
        <v>45987</v>
      </c>
      <c r="B106" s="79" t="s">
        <v>36</v>
      </c>
      <c r="C106" s="80" t="s">
        <v>253</v>
      </c>
      <c r="D106" s="79" t="s">
        <v>199</v>
      </c>
      <c r="E106" s="89">
        <v>1.395833333333333</v>
      </c>
      <c r="F106" s="79" t="s">
        <v>41</v>
      </c>
      <c r="G106" s="81">
        <v>9</v>
      </c>
      <c r="H106" s="82">
        <v>589</v>
      </c>
    </row>
    <row r="107" spans="1:8" ht="19.8" customHeight="1" x14ac:dyDescent="0.3">
      <c r="A107" s="88">
        <v>45987</v>
      </c>
      <c r="B107" s="79" t="s">
        <v>36</v>
      </c>
      <c r="C107" s="80" t="s">
        <v>239</v>
      </c>
      <c r="D107" s="79" t="s">
        <v>199</v>
      </c>
      <c r="E107" s="89">
        <v>1.9027777777777779</v>
      </c>
      <c r="F107" s="79" t="s">
        <v>44</v>
      </c>
      <c r="G107" s="81">
        <v>1</v>
      </c>
      <c r="H107" s="82">
        <v>639</v>
      </c>
    </row>
    <row r="108" spans="1:8" ht="19.8" customHeight="1" x14ac:dyDescent="0.3">
      <c r="A108" s="88">
        <v>45987</v>
      </c>
      <c r="B108" s="79" t="s">
        <v>36</v>
      </c>
      <c r="C108" s="80" t="s">
        <v>252</v>
      </c>
      <c r="D108" s="79" t="s">
        <v>199</v>
      </c>
      <c r="E108" s="89">
        <v>1.302083333333333</v>
      </c>
      <c r="F108" s="79" t="s">
        <v>44</v>
      </c>
      <c r="G108" s="81">
        <v>5</v>
      </c>
      <c r="H108" s="82">
        <v>639</v>
      </c>
    </row>
    <row r="109" spans="1:8" ht="19.8" customHeight="1" x14ac:dyDescent="0.3">
      <c r="A109" s="88">
        <v>45987</v>
      </c>
      <c r="B109" s="79" t="s">
        <v>36</v>
      </c>
      <c r="C109" s="80" t="s">
        <v>243</v>
      </c>
      <c r="D109" s="79" t="s">
        <v>199</v>
      </c>
      <c r="E109" s="89">
        <v>1.7986111111111109</v>
      </c>
      <c r="F109" s="79" t="s">
        <v>44</v>
      </c>
      <c r="G109" s="81">
        <v>1</v>
      </c>
      <c r="H109" s="82">
        <v>639</v>
      </c>
    </row>
    <row r="110" spans="1:8" ht="19.8" customHeight="1" x14ac:dyDescent="0.3">
      <c r="A110" s="88">
        <v>45987</v>
      </c>
      <c r="B110" s="79" t="s">
        <v>257</v>
      </c>
      <c r="C110" s="80" t="s">
        <v>309</v>
      </c>
      <c r="D110" s="79" t="s">
        <v>199</v>
      </c>
      <c r="E110" s="89">
        <v>1.3923611111111109</v>
      </c>
      <c r="F110" s="79" t="s">
        <v>34</v>
      </c>
      <c r="G110" s="81">
        <v>9</v>
      </c>
      <c r="H110" s="82">
        <v>660</v>
      </c>
    </row>
    <row r="111" spans="1:8" ht="19.8" customHeight="1" x14ac:dyDescent="0.3">
      <c r="A111" s="88">
        <v>45987</v>
      </c>
      <c r="B111" s="79" t="s">
        <v>65</v>
      </c>
      <c r="C111" s="80" t="s">
        <v>310</v>
      </c>
      <c r="D111" s="79" t="s">
        <v>199</v>
      </c>
      <c r="E111" s="89">
        <v>1.7847222222222221</v>
      </c>
      <c r="F111" s="79" t="s">
        <v>67</v>
      </c>
      <c r="G111" s="81">
        <v>9</v>
      </c>
      <c r="H111" s="82">
        <v>673</v>
      </c>
    </row>
    <row r="112" spans="1:8" ht="19.8" customHeight="1" x14ac:dyDescent="0.3">
      <c r="A112" s="88">
        <v>45987</v>
      </c>
      <c r="B112" s="79" t="s">
        <v>77</v>
      </c>
      <c r="C112" s="80" t="s">
        <v>274</v>
      </c>
      <c r="D112" s="79" t="s">
        <v>199</v>
      </c>
      <c r="E112" s="89">
        <v>1.1423611111111109</v>
      </c>
      <c r="F112" s="79" t="s">
        <v>83</v>
      </c>
      <c r="G112" s="81">
        <v>1</v>
      </c>
      <c r="H112" s="82">
        <v>678</v>
      </c>
    </row>
    <row r="113" spans="1:8" ht="19.8" customHeight="1" x14ac:dyDescent="0.3">
      <c r="A113" s="88">
        <v>45987</v>
      </c>
      <c r="B113" s="79" t="s">
        <v>36</v>
      </c>
      <c r="C113" s="80" t="s">
        <v>244</v>
      </c>
      <c r="D113" s="79" t="s">
        <v>199</v>
      </c>
      <c r="E113" s="89">
        <v>1.256944444444444</v>
      </c>
      <c r="F113" s="79" t="s">
        <v>44</v>
      </c>
      <c r="G113" s="81">
        <v>9</v>
      </c>
      <c r="H113" s="82">
        <v>679</v>
      </c>
    </row>
    <row r="114" spans="1:8" ht="19.8" customHeight="1" x14ac:dyDescent="0.3">
      <c r="A114" s="88">
        <v>45987</v>
      </c>
      <c r="B114" s="79" t="s">
        <v>36</v>
      </c>
      <c r="C114" s="80" t="s">
        <v>249</v>
      </c>
      <c r="D114" s="79" t="s">
        <v>199</v>
      </c>
      <c r="E114" s="89">
        <v>1.645833333333333</v>
      </c>
      <c r="F114" s="79" t="s">
        <v>44</v>
      </c>
      <c r="G114" s="81">
        <v>6</v>
      </c>
      <c r="H114" s="82">
        <v>679</v>
      </c>
    </row>
    <row r="115" spans="1:8" ht="19.8" customHeight="1" x14ac:dyDescent="0.3">
      <c r="A115" s="88">
        <v>45987</v>
      </c>
      <c r="B115" s="79" t="s">
        <v>36</v>
      </c>
      <c r="C115" s="80" t="s">
        <v>251</v>
      </c>
      <c r="D115" s="79" t="s">
        <v>199</v>
      </c>
      <c r="E115" s="89">
        <v>1.5173611111111109</v>
      </c>
      <c r="F115" s="79" t="s">
        <v>44</v>
      </c>
      <c r="G115" s="81">
        <v>9</v>
      </c>
      <c r="H115" s="82">
        <v>679</v>
      </c>
    </row>
    <row r="116" spans="1:8" ht="19.8" customHeight="1" x14ac:dyDescent="0.3">
      <c r="A116" s="88">
        <v>45987</v>
      </c>
      <c r="B116" s="79" t="s">
        <v>36</v>
      </c>
      <c r="C116" s="80" t="s">
        <v>242</v>
      </c>
      <c r="D116" s="79" t="s">
        <v>199</v>
      </c>
      <c r="E116" s="89">
        <v>1.854166666666667</v>
      </c>
      <c r="F116" s="79" t="s">
        <v>44</v>
      </c>
      <c r="G116" s="81">
        <v>3</v>
      </c>
      <c r="H116" s="82">
        <v>679</v>
      </c>
    </row>
    <row r="117" spans="1:8" ht="19.8" customHeight="1" x14ac:dyDescent="0.3">
      <c r="A117" s="88">
        <v>45987</v>
      </c>
      <c r="B117" s="79" t="s">
        <v>36</v>
      </c>
      <c r="C117" s="80" t="s">
        <v>253</v>
      </c>
      <c r="D117" s="79" t="s">
        <v>199</v>
      </c>
      <c r="E117" s="89">
        <v>1.395833333333333</v>
      </c>
      <c r="F117" s="79" t="s">
        <v>44</v>
      </c>
      <c r="G117" s="81">
        <v>9</v>
      </c>
      <c r="H117" s="82">
        <v>679</v>
      </c>
    </row>
    <row r="118" spans="1:8" ht="19.8" customHeight="1" x14ac:dyDescent="0.3">
      <c r="A118" s="88">
        <v>45987</v>
      </c>
      <c r="B118" s="79" t="s">
        <v>262</v>
      </c>
      <c r="C118" s="80" t="s">
        <v>265</v>
      </c>
      <c r="D118" s="79" t="s">
        <v>199</v>
      </c>
      <c r="E118" s="89">
        <v>1.8611111111111109</v>
      </c>
      <c r="F118" s="79" t="s">
        <v>202</v>
      </c>
      <c r="G118" s="81">
        <v>3</v>
      </c>
      <c r="H118" s="82">
        <v>695</v>
      </c>
    </row>
    <row r="119" spans="1:8" ht="19.8" customHeight="1" x14ac:dyDescent="0.3">
      <c r="A119" s="88">
        <v>45987</v>
      </c>
      <c r="B119" s="79" t="s">
        <v>77</v>
      </c>
      <c r="C119" s="80" t="s">
        <v>274</v>
      </c>
      <c r="D119" s="79" t="s">
        <v>199</v>
      </c>
      <c r="E119" s="89">
        <v>1.1423611111111109</v>
      </c>
      <c r="F119" s="79" t="s">
        <v>79</v>
      </c>
      <c r="G119" s="81">
        <v>1</v>
      </c>
      <c r="H119" s="82">
        <v>723</v>
      </c>
    </row>
    <row r="120" spans="1:8" ht="19.8" customHeight="1" x14ac:dyDescent="0.3">
      <c r="A120" s="88">
        <v>45987</v>
      </c>
      <c r="B120" s="79" t="s">
        <v>65</v>
      </c>
      <c r="C120" s="80" t="s">
        <v>312</v>
      </c>
      <c r="D120" s="79" t="s">
        <v>199</v>
      </c>
      <c r="E120" s="89">
        <v>1.145833333333333</v>
      </c>
      <c r="F120" s="79" t="s">
        <v>67</v>
      </c>
      <c r="G120" s="81">
        <v>9</v>
      </c>
      <c r="H120" s="82">
        <v>765</v>
      </c>
    </row>
    <row r="121" spans="1:8" ht="19.8" customHeight="1" x14ac:dyDescent="0.3">
      <c r="A121" s="88">
        <v>45987</v>
      </c>
      <c r="B121" s="79" t="s">
        <v>65</v>
      </c>
      <c r="C121" s="80" t="s">
        <v>290</v>
      </c>
      <c r="D121" s="79" t="s">
        <v>199</v>
      </c>
      <c r="E121" s="89">
        <v>1.4861111111111109</v>
      </c>
      <c r="F121" s="79" t="s">
        <v>67</v>
      </c>
      <c r="G121" s="81">
        <v>9</v>
      </c>
      <c r="H121" s="82">
        <v>842</v>
      </c>
    </row>
    <row r="122" spans="1:8" ht="19.8" customHeight="1" x14ac:dyDescent="0.3">
      <c r="A122" s="88">
        <v>45987</v>
      </c>
      <c r="B122" s="79" t="s">
        <v>65</v>
      </c>
      <c r="C122" s="80" t="s">
        <v>295</v>
      </c>
      <c r="D122" s="79" t="s">
        <v>199</v>
      </c>
      <c r="E122" s="89">
        <v>1.274305555555556</v>
      </c>
      <c r="F122" s="79" t="s">
        <v>67</v>
      </c>
      <c r="G122" s="81">
        <v>9</v>
      </c>
      <c r="H122" s="82">
        <v>842</v>
      </c>
    </row>
    <row r="123" spans="1:8" ht="19.8" customHeight="1" x14ac:dyDescent="0.3">
      <c r="A123" s="88">
        <v>45987</v>
      </c>
      <c r="B123" s="79" t="s">
        <v>65</v>
      </c>
      <c r="C123" s="80" t="s">
        <v>292</v>
      </c>
      <c r="D123" s="79" t="s">
        <v>199</v>
      </c>
      <c r="E123" s="89">
        <v>1.506944444444444</v>
      </c>
      <c r="F123" s="79" t="s">
        <v>67</v>
      </c>
      <c r="G123" s="81">
        <v>9</v>
      </c>
      <c r="H123" s="82">
        <v>842</v>
      </c>
    </row>
    <row r="124" spans="1:8" ht="19.8" customHeight="1" x14ac:dyDescent="0.3">
      <c r="A124" s="88">
        <v>45987</v>
      </c>
      <c r="B124" s="79" t="s">
        <v>65</v>
      </c>
      <c r="C124" s="80" t="s">
        <v>315</v>
      </c>
      <c r="D124" s="79" t="s">
        <v>199</v>
      </c>
      <c r="E124" s="89">
        <v>1.958333333333333</v>
      </c>
      <c r="F124" s="79" t="s">
        <v>67</v>
      </c>
      <c r="G124" s="81">
        <v>9</v>
      </c>
      <c r="H124" s="82">
        <v>842</v>
      </c>
    </row>
    <row r="125" spans="1:8" ht="19.8" customHeight="1" x14ac:dyDescent="0.3">
      <c r="A125" s="88">
        <v>45987</v>
      </c>
      <c r="B125" s="79" t="s">
        <v>65</v>
      </c>
      <c r="C125" s="80" t="s">
        <v>293</v>
      </c>
      <c r="D125" s="79" t="s">
        <v>199</v>
      </c>
      <c r="E125" s="89">
        <v>1.2222222222222221</v>
      </c>
      <c r="F125" s="79" t="s">
        <v>67</v>
      </c>
      <c r="G125" s="81">
        <v>9</v>
      </c>
      <c r="H125" s="82">
        <v>842</v>
      </c>
    </row>
    <row r="126" spans="1:8" ht="19.8" customHeight="1" x14ac:dyDescent="0.3">
      <c r="A126" s="88">
        <v>45987</v>
      </c>
      <c r="B126" s="79" t="s">
        <v>77</v>
      </c>
      <c r="C126" s="80" t="s">
        <v>270</v>
      </c>
      <c r="D126" s="79" t="s">
        <v>199</v>
      </c>
      <c r="E126" s="89">
        <v>1.3784722222222221</v>
      </c>
      <c r="F126" s="79" t="s">
        <v>83</v>
      </c>
      <c r="G126" s="81">
        <v>9</v>
      </c>
      <c r="H126" s="82">
        <v>935</v>
      </c>
    </row>
    <row r="127" spans="1:8" ht="19.8" customHeight="1" x14ac:dyDescent="0.3">
      <c r="A127" s="88">
        <v>45987</v>
      </c>
      <c r="B127" s="79" t="s">
        <v>77</v>
      </c>
      <c r="C127" s="80" t="s">
        <v>273</v>
      </c>
      <c r="D127" s="79" t="s">
        <v>199</v>
      </c>
      <c r="E127" s="89">
        <v>1.006944444444444</v>
      </c>
      <c r="F127" s="79" t="s">
        <v>83</v>
      </c>
      <c r="G127" s="81">
        <v>9</v>
      </c>
      <c r="H127" s="82">
        <v>935</v>
      </c>
    </row>
    <row r="128" spans="1:8" ht="19.8" customHeight="1" x14ac:dyDescent="0.3">
      <c r="A128" s="88">
        <v>45987</v>
      </c>
      <c r="B128" s="79" t="s">
        <v>77</v>
      </c>
      <c r="C128" s="80" t="s">
        <v>267</v>
      </c>
      <c r="D128" s="79" t="s">
        <v>199</v>
      </c>
      <c r="E128" s="89">
        <v>1.239583333333333</v>
      </c>
      <c r="F128" s="79" t="s">
        <v>83</v>
      </c>
      <c r="G128" s="81">
        <v>9</v>
      </c>
      <c r="H128" s="82">
        <v>935</v>
      </c>
    </row>
    <row r="129" spans="1:8" ht="19.8" customHeight="1" x14ac:dyDescent="0.3">
      <c r="A129" s="88">
        <v>45987</v>
      </c>
      <c r="B129" s="79" t="s">
        <v>77</v>
      </c>
      <c r="C129" s="80" t="s">
        <v>270</v>
      </c>
      <c r="D129" s="79" t="s">
        <v>199</v>
      </c>
      <c r="E129" s="89">
        <v>1.3784722222222221</v>
      </c>
      <c r="F129" s="79" t="s">
        <v>79</v>
      </c>
      <c r="G129" s="81">
        <v>9</v>
      </c>
      <c r="H129" s="82">
        <v>980</v>
      </c>
    </row>
    <row r="130" spans="1:8" ht="19.8" customHeight="1" x14ac:dyDescent="0.3">
      <c r="A130" s="88">
        <v>45987</v>
      </c>
      <c r="B130" s="79" t="s">
        <v>77</v>
      </c>
      <c r="C130" s="80" t="s">
        <v>273</v>
      </c>
      <c r="D130" s="79" t="s">
        <v>199</v>
      </c>
      <c r="E130" s="89">
        <v>1.006944444444444</v>
      </c>
      <c r="F130" s="79" t="s">
        <v>79</v>
      </c>
      <c r="G130" s="81">
        <v>9</v>
      </c>
      <c r="H130" s="82">
        <v>980</v>
      </c>
    </row>
    <row r="131" spans="1:8" ht="19.8" customHeight="1" x14ac:dyDescent="0.3">
      <c r="A131" s="88">
        <v>45987</v>
      </c>
      <c r="B131" s="79" t="s">
        <v>77</v>
      </c>
      <c r="C131" s="80" t="s">
        <v>267</v>
      </c>
      <c r="D131" s="79" t="s">
        <v>199</v>
      </c>
      <c r="E131" s="89">
        <v>1.239583333333333</v>
      </c>
      <c r="F131" s="79" t="s">
        <v>79</v>
      </c>
      <c r="G131" s="81">
        <v>9</v>
      </c>
      <c r="H131" s="82">
        <v>980</v>
      </c>
    </row>
    <row r="132" spans="1:8" ht="19.8" customHeight="1" x14ac:dyDescent="0.3">
      <c r="A132" s="88">
        <v>45987</v>
      </c>
      <c r="B132" s="79" t="s">
        <v>26</v>
      </c>
      <c r="C132" s="80" t="s">
        <v>214</v>
      </c>
      <c r="D132" s="79" t="s">
        <v>199</v>
      </c>
      <c r="E132" s="89">
        <v>1.302083333333333</v>
      </c>
      <c r="F132" s="79" t="s">
        <v>34</v>
      </c>
      <c r="G132" s="81">
        <v>5</v>
      </c>
      <c r="H132" s="92" t="s">
        <v>35</v>
      </c>
    </row>
    <row r="133" spans="1:8" ht="19.8" customHeight="1" x14ac:dyDescent="0.3">
      <c r="A133" s="88">
        <v>45987</v>
      </c>
      <c r="B133" s="79" t="s">
        <v>26</v>
      </c>
      <c r="C133" s="80" t="s">
        <v>207</v>
      </c>
      <c r="D133" s="79" t="s">
        <v>199</v>
      </c>
      <c r="E133" s="89">
        <v>1.1284722222222221</v>
      </c>
      <c r="F133" s="79" t="s">
        <v>34</v>
      </c>
      <c r="G133" s="81">
        <v>2</v>
      </c>
      <c r="H133" s="92" t="s">
        <v>35</v>
      </c>
    </row>
    <row r="134" spans="1:8" ht="19.8" customHeight="1" x14ac:dyDescent="0.3">
      <c r="A134" s="88">
        <v>45987</v>
      </c>
      <c r="B134" s="79" t="s">
        <v>26</v>
      </c>
      <c r="C134" s="80" t="s">
        <v>212</v>
      </c>
      <c r="D134" s="79" t="s">
        <v>199</v>
      </c>
      <c r="E134" s="89">
        <v>1.788194444444444</v>
      </c>
      <c r="F134" s="79" t="s">
        <v>34</v>
      </c>
      <c r="G134" s="81">
        <v>7</v>
      </c>
      <c r="H134" s="92" t="s">
        <v>35</v>
      </c>
    </row>
    <row r="135" spans="1:8" ht="19.8" customHeight="1" x14ac:dyDescent="0.3">
      <c r="A135" s="88">
        <v>45987</v>
      </c>
      <c r="B135" s="79" t="s">
        <v>26</v>
      </c>
      <c r="C135" s="80" t="s">
        <v>213</v>
      </c>
      <c r="D135" s="79" t="s">
        <v>199</v>
      </c>
      <c r="E135" s="89">
        <v>1.8888888888888891</v>
      </c>
      <c r="F135" s="79" t="s">
        <v>34</v>
      </c>
      <c r="G135" s="81">
        <v>10</v>
      </c>
      <c r="H135" s="92" t="s">
        <v>35</v>
      </c>
    </row>
    <row r="136" spans="1:8" ht="19.8" customHeight="1" x14ac:dyDescent="0.3">
      <c r="A136" s="88">
        <v>45987</v>
      </c>
      <c r="B136" s="79" t="s">
        <v>65</v>
      </c>
      <c r="C136" s="80" t="s">
        <v>316</v>
      </c>
      <c r="D136" s="79" t="s">
        <v>199</v>
      </c>
      <c r="E136" s="89">
        <v>1.0138888888888891</v>
      </c>
      <c r="F136" s="79" t="s">
        <v>67</v>
      </c>
      <c r="G136" s="81">
        <v>9</v>
      </c>
      <c r="H136" s="92" t="s">
        <v>317</v>
      </c>
    </row>
    <row r="137" spans="1:8" ht="19.8" customHeight="1" x14ac:dyDescent="0.3">
      <c r="A137" s="88">
        <v>45987</v>
      </c>
      <c r="B137" s="79" t="s">
        <v>77</v>
      </c>
      <c r="C137" s="80" t="s">
        <v>275</v>
      </c>
      <c r="D137" s="79" t="s">
        <v>199</v>
      </c>
      <c r="E137" s="89">
        <v>1.930555555555556</v>
      </c>
      <c r="F137" s="79" t="s">
        <v>83</v>
      </c>
      <c r="G137" s="81">
        <v>9</v>
      </c>
      <c r="H137" s="92" t="s">
        <v>318</v>
      </c>
    </row>
    <row r="138" spans="1:8" ht="19.8" customHeight="1" x14ac:dyDescent="0.3">
      <c r="A138" s="88">
        <v>45987</v>
      </c>
      <c r="B138" s="79" t="s">
        <v>77</v>
      </c>
      <c r="C138" s="80" t="s">
        <v>275</v>
      </c>
      <c r="D138" s="79" t="s">
        <v>199</v>
      </c>
      <c r="E138" s="89">
        <v>1.930555555555556</v>
      </c>
      <c r="F138" s="79" t="s">
        <v>79</v>
      </c>
      <c r="G138" s="81">
        <v>9</v>
      </c>
      <c r="H138" s="92" t="s">
        <v>319</v>
      </c>
    </row>
    <row r="139" spans="1:8" ht="19.8" customHeight="1" x14ac:dyDescent="0.3">
      <c r="A139" s="88">
        <v>45987</v>
      </c>
      <c r="B139" s="79" t="s">
        <v>77</v>
      </c>
      <c r="C139" s="80" t="s">
        <v>279</v>
      </c>
      <c r="D139" s="79" t="s">
        <v>199</v>
      </c>
      <c r="E139" s="89">
        <v>1.8888888888888891</v>
      </c>
      <c r="F139" s="79" t="s">
        <v>79</v>
      </c>
      <c r="G139" s="81">
        <v>4</v>
      </c>
      <c r="H139" s="92" t="s">
        <v>280</v>
      </c>
    </row>
    <row r="140" spans="1:8" ht="19.8" customHeight="1" x14ac:dyDescent="0.3">
      <c r="A140" s="88">
        <v>45987</v>
      </c>
      <c r="B140" s="79" t="s">
        <v>77</v>
      </c>
      <c r="C140" s="80" t="s">
        <v>281</v>
      </c>
      <c r="D140" s="79" t="s">
        <v>199</v>
      </c>
      <c r="E140" s="89">
        <v>1.302083333333333</v>
      </c>
      <c r="F140" s="79" t="s">
        <v>79</v>
      </c>
      <c r="G140" s="81">
        <v>4</v>
      </c>
      <c r="H140" s="92" t="s">
        <v>280</v>
      </c>
    </row>
    <row r="141" spans="1:8" ht="19.8" customHeight="1" x14ac:dyDescent="0.3">
      <c r="A141" s="88">
        <v>45987</v>
      </c>
      <c r="B141" s="79" t="s">
        <v>77</v>
      </c>
      <c r="C141" s="80" t="s">
        <v>282</v>
      </c>
      <c r="D141" s="79" t="s">
        <v>199</v>
      </c>
      <c r="E141" s="89">
        <v>1.1284722222222221</v>
      </c>
      <c r="F141" s="79" t="s">
        <v>79</v>
      </c>
      <c r="G141" s="81">
        <v>4</v>
      </c>
      <c r="H141" s="92" t="s">
        <v>280</v>
      </c>
    </row>
    <row r="142" spans="1:8" ht="19.8" customHeight="1" x14ac:dyDescent="0.3">
      <c r="A142" s="88">
        <v>45987</v>
      </c>
      <c r="B142" s="79" t="s">
        <v>77</v>
      </c>
      <c r="C142" s="80" t="s">
        <v>283</v>
      </c>
      <c r="D142" s="79" t="s">
        <v>199</v>
      </c>
      <c r="E142" s="89">
        <v>1.788194444444444</v>
      </c>
      <c r="F142" s="79" t="s">
        <v>79</v>
      </c>
      <c r="G142" s="81">
        <v>4</v>
      </c>
      <c r="H142" s="92" t="s">
        <v>280</v>
      </c>
    </row>
    <row r="143" spans="1:8" ht="19.8" customHeight="1" x14ac:dyDescent="0.3">
      <c r="A143" s="88">
        <v>45987</v>
      </c>
      <c r="B143" s="79" t="s">
        <v>77</v>
      </c>
      <c r="C143" s="80" t="s">
        <v>276</v>
      </c>
      <c r="D143" s="79" t="s">
        <v>199</v>
      </c>
      <c r="E143" s="89">
        <v>1.71875</v>
      </c>
      <c r="F143" s="79" t="s">
        <v>83</v>
      </c>
      <c r="G143" s="81">
        <v>9</v>
      </c>
      <c r="H143" s="92" t="s">
        <v>285</v>
      </c>
    </row>
    <row r="144" spans="1:8" ht="19.8" customHeight="1" x14ac:dyDescent="0.3">
      <c r="A144" s="88">
        <v>45987</v>
      </c>
      <c r="B144" s="79" t="s">
        <v>77</v>
      </c>
      <c r="C144" s="80" t="s">
        <v>287</v>
      </c>
      <c r="D144" s="79" t="s">
        <v>199</v>
      </c>
      <c r="E144" s="89">
        <v>1.6111111111111109</v>
      </c>
      <c r="F144" s="79" t="s">
        <v>83</v>
      </c>
      <c r="G144" s="81">
        <v>9</v>
      </c>
      <c r="H144" s="92" t="s">
        <v>285</v>
      </c>
    </row>
    <row r="145" spans="1:8" ht="19.8" customHeight="1" x14ac:dyDescent="0.3">
      <c r="A145" s="88">
        <v>45987</v>
      </c>
      <c r="B145" s="79" t="s">
        <v>77</v>
      </c>
      <c r="C145" s="80" t="s">
        <v>284</v>
      </c>
      <c r="D145" s="79" t="s">
        <v>199</v>
      </c>
      <c r="E145" s="89">
        <v>1.8298611111111109</v>
      </c>
      <c r="F145" s="79" t="s">
        <v>83</v>
      </c>
      <c r="G145" s="81">
        <v>9</v>
      </c>
      <c r="H145" s="92" t="s">
        <v>285</v>
      </c>
    </row>
    <row r="146" spans="1:8" ht="19.8" customHeight="1" x14ac:dyDescent="0.3">
      <c r="A146" s="88">
        <v>45987</v>
      </c>
      <c r="B146" s="79" t="s">
        <v>77</v>
      </c>
      <c r="C146" s="80" t="s">
        <v>276</v>
      </c>
      <c r="D146" s="79" t="s">
        <v>199</v>
      </c>
      <c r="E146" s="89">
        <v>1.71875</v>
      </c>
      <c r="F146" s="79" t="s">
        <v>79</v>
      </c>
      <c r="G146" s="81">
        <v>9</v>
      </c>
      <c r="H146" s="92" t="s">
        <v>286</v>
      </c>
    </row>
    <row r="147" spans="1:8" ht="19.8" customHeight="1" x14ac:dyDescent="0.3">
      <c r="A147" s="88">
        <v>45987</v>
      </c>
      <c r="B147" s="79" t="s">
        <v>77</v>
      </c>
      <c r="C147" s="80" t="s">
        <v>287</v>
      </c>
      <c r="D147" s="79" t="s">
        <v>199</v>
      </c>
      <c r="E147" s="89">
        <v>1.6111111111111109</v>
      </c>
      <c r="F147" s="79" t="s">
        <v>79</v>
      </c>
      <c r="G147" s="81">
        <v>9</v>
      </c>
      <c r="H147" s="92" t="s">
        <v>286</v>
      </c>
    </row>
    <row r="148" spans="1:8" ht="19.8" customHeight="1" x14ac:dyDescent="0.3">
      <c r="A148" s="88">
        <v>45987</v>
      </c>
      <c r="B148" s="79" t="s">
        <v>77</v>
      </c>
      <c r="C148" s="80" t="s">
        <v>284</v>
      </c>
      <c r="D148" s="79" t="s">
        <v>199</v>
      </c>
      <c r="E148" s="89">
        <v>1.8298611111111109</v>
      </c>
      <c r="F148" s="79" t="s">
        <v>79</v>
      </c>
      <c r="G148" s="81">
        <v>9</v>
      </c>
      <c r="H148" s="92" t="s">
        <v>286</v>
      </c>
    </row>
    <row r="149" spans="1:8" ht="19.8" customHeight="1" x14ac:dyDescent="0.3">
      <c r="A149" s="98">
        <v>45987</v>
      </c>
      <c r="B149" s="99" t="s">
        <v>65</v>
      </c>
      <c r="C149" s="100" t="s">
        <v>297</v>
      </c>
      <c r="D149" s="99" t="s">
        <v>199</v>
      </c>
      <c r="E149" s="101">
        <v>1.774305555555556</v>
      </c>
      <c r="F149" s="99" t="s">
        <v>67</v>
      </c>
      <c r="G149" s="102">
        <v>4</v>
      </c>
      <c r="H149" s="103" t="s">
        <v>298</v>
      </c>
    </row>
    <row r="150" spans="1:8" ht="19.8" customHeight="1" x14ac:dyDescent="0.3">
      <c r="A150" s="88">
        <v>45988</v>
      </c>
      <c r="B150" s="79" t="s">
        <v>26</v>
      </c>
      <c r="C150" s="80" t="s">
        <v>214</v>
      </c>
      <c r="D150" s="79" t="s">
        <v>199</v>
      </c>
      <c r="E150" s="89">
        <v>1.302083333333333</v>
      </c>
      <c r="F150" s="79" t="s">
        <v>28</v>
      </c>
      <c r="G150" s="81">
        <v>2</v>
      </c>
      <c r="H150" s="82">
        <v>359</v>
      </c>
    </row>
    <row r="151" spans="1:8" ht="19.8" customHeight="1" x14ac:dyDescent="0.3">
      <c r="A151" s="88">
        <v>45988</v>
      </c>
      <c r="B151" s="79" t="s">
        <v>26</v>
      </c>
      <c r="C151" s="80" t="s">
        <v>207</v>
      </c>
      <c r="D151" s="79" t="s">
        <v>199</v>
      </c>
      <c r="E151" s="89">
        <v>1.1284722222222221</v>
      </c>
      <c r="F151" s="79" t="s">
        <v>28</v>
      </c>
      <c r="G151" s="81">
        <v>4</v>
      </c>
      <c r="H151" s="82">
        <v>359</v>
      </c>
    </row>
    <row r="152" spans="1:8" ht="19.8" customHeight="1" x14ac:dyDescent="0.3">
      <c r="A152" s="88">
        <v>45988</v>
      </c>
      <c r="B152" s="79" t="s">
        <v>262</v>
      </c>
      <c r="C152" s="80" t="s">
        <v>263</v>
      </c>
      <c r="D152" s="79" t="s">
        <v>199</v>
      </c>
      <c r="E152" s="89">
        <v>1.291666666666667</v>
      </c>
      <c r="F152" s="79" t="s">
        <v>202</v>
      </c>
      <c r="G152" s="81">
        <v>9</v>
      </c>
      <c r="H152" s="82">
        <v>400</v>
      </c>
    </row>
    <row r="153" spans="1:8" ht="19.8" customHeight="1" x14ac:dyDescent="0.3">
      <c r="A153" s="88">
        <v>45988</v>
      </c>
      <c r="B153" s="79" t="s">
        <v>262</v>
      </c>
      <c r="C153" s="80" t="s">
        <v>265</v>
      </c>
      <c r="D153" s="79" t="s">
        <v>199</v>
      </c>
      <c r="E153" s="89">
        <v>1.59375</v>
      </c>
      <c r="F153" s="79" t="s">
        <v>202</v>
      </c>
      <c r="G153" s="81">
        <v>9</v>
      </c>
      <c r="H153" s="82">
        <v>400</v>
      </c>
    </row>
    <row r="154" spans="1:8" ht="19.8" customHeight="1" x14ac:dyDescent="0.3">
      <c r="A154" s="90">
        <v>45988</v>
      </c>
      <c r="B154" s="84" t="s">
        <v>46</v>
      </c>
      <c r="C154" s="85" t="s">
        <v>322</v>
      </c>
      <c r="D154" s="84" t="s">
        <v>199</v>
      </c>
      <c r="E154" s="91">
        <v>1.364583333333333</v>
      </c>
      <c r="F154" s="84" t="s">
        <v>48</v>
      </c>
      <c r="G154" s="86">
        <v>9</v>
      </c>
      <c r="H154" s="87">
        <v>401</v>
      </c>
    </row>
    <row r="155" spans="1:8" ht="19.8" customHeight="1" x14ac:dyDescent="0.3">
      <c r="A155" s="90">
        <v>45988</v>
      </c>
      <c r="B155" s="84" t="s">
        <v>46</v>
      </c>
      <c r="C155" s="85" t="s">
        <v>325</v>
      </c>
      <c r="D155" s="84" t="s">
        <v>199</v>
      </c>
      <c r="E155" s="91">
        <v>1.2534722222222221</v>
      </c>
      <c r="F155" s="84" t="s">
        <v>48</v>
      </c>
      <c r="G155" s="86">
        <v>9</v>
      </c>
      <c r="H155" s="87">
        <v>401</v>
      </c>
    </row>
    <row r="156" spans="1:8" ht="19.8" customHeight="1" x14ac:dyDescent="0.3">
      <c r="A156" s="90">
        <v>45988</v>
      </c>
      <c r="B156" s="84" t="s">
        <v>46</v>
      </c>
      <c r="C156" s="85" t="s">
        <v>227</v>
      </c>
      <c r="D156" s="84" t="s">
        <v>199</v>
      </c>
      <c r="E156" s="91">
        <v>1.583333333333333</v>
      </c>
      <c r="F156" s="84" t="s">
        <v>48</v>
      </c>
      <c r="G156" s="86">
        <v>9</v>
      </c>
      <c r="H156" s="87">
        <v>401</v>
      </c>
    </row>
    <row r="157" spans="1:8" ht="19.8" customHeight="1" x14ac:dyDescent="0.3">
      <c r="A157" s="90">
        <v>45988</v>
      </c>
      <c r="B157" s="84" t="s">
        <v>46</v>
      </c>
      <c r="C157" s="85" t="s">
        <v>329</v>
      </c>
      <c r="D157" s="84" t="s">
        <v>199</v>
      </c>
      <c r="E157" s="91">
        <v>1.739583333333333</v>
      </c>
      <c r="F157" s="84" t="s">
        <v>48</v>
      </c>
      <c r="G157" s="86">
        <v>9</v>
      </c>
      <c r="H157" s="87">
        <v>401</v>
      </c>
    </row>
    <row r="158" spans="1:8" ht="19.8" customHeight="1" x14ac:dyDescent="0.3">
      <c r="A158" s="88">
        <v>45988</v>
      </c>
      <c r="B158" s="79" t="s">
        <v>200</v>
      </c>
      <c r="C158" s="80" t="s">
        <v>205</v>
      </c>
      <c r="D158" s="79" t="s">
        <v>199</v>
      </c>
      <c r="E158" s="89">
        <v>1.666666666666667</v>
      </c>
      <c r="F158" s="79" t="s">
        <v>202</v>
      </c>
      <c r="G158" s="81">
        <v>2</v>
      </c>
      <c r="H158" s="82">
        <v>401</v>
      </c>
    </row>
    <row r="159" spans="1:8" ht="19.8" customHeight="1" x14ac:dyDescent="0.3">
      <c r="A159" s="88">
        <v>45988</v>
      </c>
      <c r="B159" s="79" t="s">
        <v>36</v>
      </c>
      <c r="C159" s="80" t="s">
        <v>251</v>
      </c>
      <c r="D159" s="79" t="s">
        <v>199</v>
      </c>
      <c r="E159" s="89">
        <v>1.5173611111111109</v>
      </c>
      <c r="F159" s="79" t="s">
        <v>38</v>
      </c>
      <c r="G159" s="81">
        <v>9</v>
      </c>
      <c r="H159" s="82">
        <v>409</v>
      </c>
    </row>
    <row r="160" spans="1:8" ht="19.8" customHeight="1" x14ac:dyDescent="0.3">
      <c r="A160" s="88">
        <v>45988</v>
      </c>
      <c r="B160" s="79" t="s">
        <v>26</v>
      </c>
      <c r="C160" s="80" t="s">
        <v>212</v>
      </c>
      <c r="D160" s="79" t="s">
        <v>199</v>
      </c>
      <c r="E160" s="89">
        <v>1.788194444444444</v>
      </c>
      <c r="F160" s="79" t="s">
        <v>28</v>
      </c>
      <c r="G160" s="81">
        <v>10</v>
      </c>
      <c r="H160" s="82">
        <v>419</v>
      </c>
    </row>
    <row r="161" spans="1:8" ht="19.8" customHeight="1" x14ac:dyDescent="0.3">
      <c r="A161" s="88">
        <v>45988</v>
      </c>
      <c r="B161" s="79" t="s">
        <v>26</v>
      </c>
      <c r="C161" s="80" t="s">
        <v>213</v>
      </c>
      <c r="D161" s="79" t="s">
        <v>199</v>
      </c>
      <c r="E161" s="89">
        <v>1.8888888888888891</v>
      </c>
      <c r="F161" s="79" t="s">
        <v>28</v>
      </c>
      <c r="G161" s="81">
        <v>9</v>
      </c>
      <c r="H161" s="82">
        <v>419</v>
      </c>
    </row>
    <row r="162" spans="1:8" ht="19.8" customHeight="1" x14ac:dyDescent="0.3">
      <c r="A162" s="90">
        <v>45988</v>
      </c>
      <c r="B162" s="84" t="s">
        <v>46</v>
      </c>
      <c r="C162" s="85" t="s">
        <v>217</v>
      </c>
      <c r="D162" s="84" t="s">
        <v>199</v>
      </c>
      <c r="E162" s="91">
        <v>1.0486111111111109</v>
      </c>
      <c r="F162" s="84" t="s">
        <v>48</v>
      </c>
      <c r="G162" s="86">
        <v>9</v>
      </c>
      <c r="H162" s="87">
        <v>436</v>
      </c>
    </row>
    <row r="163" spans="1:8" ht="19.8" customHeight="1" x14ac:dyDescent="0.3">
      <c r="A163" s="90">
        <v>45988</v>
      </c>
      <c r="B163" s="84" t="s">
        <v>46</v>
      </c>
      <c r="C163" s="85" t="s">
        <v>221</v>
      </c>
      <c r="D163" s="84" t="s">
        <v>199</v>
      </c>
      <c r="E163" s="91">
        <v>1.114583333333333</v>
      </c>
      <c r="F163" s="84" t="s">
        <v>48</v>
      </c>
      <c r="G163" s="86">
        <v>9</v>
      </c>
      <c r="H163" s="87">
        <v>436</v>
      </c>
    </row>
    <row r="164" spans="1:8" ht="19.8" customHeight="1" x14ac:dyDescent="0.3">
      <c r="A164" s="90">
        <v>45988</v>
      </c>
      <c r="B164" s="84" t="s">
        <v>46</v>
      </c>
      <c r="C164" s="85" t="s">
        <v>224</v>
      </c>
      <c r="D164" s="84" t="s">
        <v>199</v>
      </c>
      <c r="E164" s="91">
        <v>1.333333333333333</v>
      </c>
      <c r="F164" s="84" t="s">
        <v>48</v>
      </c>
      <c r="G164" s="86">
        <v>5</v>
      </c>
      <c r="H164" s="87">
        <v>436</v>
      </c>
    </row>
    <row r="165" spans="1:8" ht="19.8" customHeight="1" x14ac:dyDescent="0.3">
      <c r="A165" s="88">
        <v>45988</v>
      </c>
      <c r="B165" s="79" t="s">
        <v>36</v>
      </c>
      <c r="C165" s="80" t="s">
        <v>244</v>
      </c>
      <c r="D165" s="79" t="s">
        <v>199</v>
      </c>
      <c r="E165" s="89">
        <v>1.256944444444444</v>
      </c>
      <c r="F165" s="79" t="s">
        <v>38</v>
      </c>
      <c r="G165" s="81">
        <v>6</v>
      </c>
      <c r="H165" s="82">
        <v>449</v>
      </c>
    </row>
    <row r="166" spans="1:8" ht="19.8" customHeight="1" x14ac:dyDescent="0.3">
      <c r="A166" s="88">
        <v>45988</v>
      </c>
      <c r="B166" s="79" t="s">
        <v>36</v>
      </c>
      <c r="C166" s="80" t="s">
        <v>239</v>
      </c>
      <c r="D166" s="79" t="s">
        <v>199</v>
      </c>
      <c r="E166" s="89">
        <v>1.9027777777777779</v>
      </c>
      <c r="F166" s="79" t="s">
        <v>38</v>
      </c>
      <c r="G166" s="81">
        <v>9</v>
      </c>
      <c r="H166" s="82">
        <v>449</v>
      </c>
    </row>
    <row r="167" spans="1:8" ht="19.8" customHeight="1" x14ac:dyDescent="0.3">
      <c r="A167" s="88">
        <v>45988</v>
      </c>
      <c r="B167" s="79" t="s">
        <v>36</v>
      </c>
      <c r="C167" s="80" t="s">
        <v>249</v>
      </c>
      <c r="D167" s="79" t="s">
        <v>199</v>
      </c>
      <c r="E167" s="89">
        <v>1.6597222222222221</v>
      </c>
      <c r="F167" s="79" t="s">
        <v>38</v>
      </c>
      <c r="G167" s="81">
        <v>9</v>
      </c>
      <c r="H167" s="82">
        <v>449</v>
      </c>
    </row>
    <row r="168" spans="1:8" ht="19.8" customHeight="1" x14ac:dyDescent="0.3">
      <c r="A168" s="88">
        <v>45988</v>
      </c>
      <c r="B168" s="79" t="s">
        <v>36</v>
      </c>
      <c r="C168" s="80" t="s">
        <v>242</v>
      </c>
      <c r="D168" s="79" t="s">
        <v>199</v>
      </c>
      <c r="E168" s="89">
        <v>1.854166666666667</v>
      </c>
      <c r="F168" s="79" t="s">
        <v>38</v>
      </c>
      <c r="G168" s="81">
        <v>9</v>
      </c>
      <c r="H168" s="82">
        <v>449</v>
      </c>
    </row>
    <row r="169" spans="1:8" ht="19.8" customHeight="1" x14ac:dyDescent="0.3">
      <c r="A169" s="88">
        <v>45988</v>
      </c>
      <c r="B169" s="79" t="s">
        <v>36</v>
      </c>
      <c r="C169" s="80" t="s">
        <v>253</v>
      </c>
      <c r="D169" s="79" t="s">
        <v>199</v>
      </c>
      <c r="E169" s="89">
        <v>1.395833333333333</v>
      </c>
      <c r="F169" s="79" t="s">
        <v>38</v>
      </c>
      <c r="G169" s="81">
        <v>9</v>
      </c>
      <c r="H169" s="82">
        <v>449</v>
      </c>
    </row>
    <row r="170" spans="1:8" ht="19.8" customHeight="1" x14ac:dyDescent="0.3">
      <c r="A170" s="88">
        <v>45988</v>
      </c>
      <c r="B170" s="79" t="s">
        <v>36</v>
      </c>
      <c r="C170" s="80" t="s">
        <v>252</v>
      </c>
      <c r="D170" s="79" t="s">
        <v>199</v>
      </c>
      <c r="E170" s="89">
        <v>1.302083333333333</v>
      </c>
      <c r="F170" s="79" t="s">
        <v>38</v>
      </c>
      <c r="G170" s="81">
        <v>9</v>
      </c>
      <c r="H170" s="82">
        <v>449</v>
      </c>
    </row>
    <row r="171" spans="1:8" ht="19.8" customHeight="1" x14ac:dyDescent="0.3">
      <c r="A171" s="88">
        <v>45988</v>
      </c>
      <c r="B171" s="79" t="s">
        <v>36</v>
      </c>
      <c r="C171" s="80" t="s">
        <v>243</v>
      </c>
      <c r="D171" s="79" t="s">
        <v>199</v>
      </c>
      <c r="E171" s="89">
        <v>1.7986111111111109</v>
      </c>
      <c r="F171" s="79" t="s">
        <v>38</v>
      </c>
      <c r="G171" s="81">
        <v>9</v>
      </c>
      <c r="H171" s="82">
        <v>449</v>
      </c>
    </row>
    <row r="172" spans="1:8" ht="19.8" customHeight="1" x14ac:dyDescent="0.3">
      <c r="A172" s="88">
        <v>45988</v>
      </c>
      <c r="B172" s="79" t="s">
        <v>257</v>
      </c>
      <c r="C172" s="80" t="s">
        <v>309</v>
      </c>
      <c r="D172" s="79" t="s">
        <v>199</v>
      </c>
      <c r="E172" s="89">
        <v>1.3298611111111109</v>
      </c>
      <c r="F172" s="79" t="s">
        <v>259</v>
      </c>
      <c r="G172" s="81">
        <v>9</v>
      </c>
      <c r="H172" s="82">
        <v>469</v>
      </c>
    </row>
    <row r="173" spans="1:8" ht="19.8" customHeight="1" x14ac:dyDescent="0.3">
      <c r="A173" s="88">
        <v>45988</v>
      </c>
      <c r="B173" s="79" t="s">
        <v>26</v>
      </c>
      <c r="C173" s="80" t="s">
        <v>214</v>
      </c>
      <c r="D173" s="79" t="s">
        <v>199</v>
      </c>
      <c r="E173" s="89">
        <v>1.302083333333333</v>
      </c>
      <c r="F173" s="79" t="s">
        <v>31</v>
      </c>
      <c r="G173" s="81">
        <v>2</v>
      </c>
      <c r="H173" s="82">
        <v>509</v>
      </c>
    </row>
    <row r="174" spans="1:8" ht="19.8" customHeight="1" x14ac:dyDescent="0.3">
      <c r="A174" s="88">
        <v>45988</v>
      </c>
      <c r="B174" s="79" t="s">
        <v>26</v>
      </c>
      <c r="C174" s="80" t="s">
        <v>207</v>
      </c>
      <c r="D174" s="79" t="s">
        <v>199</v>
      </c>
      <c r="E174" s="89">
        <v>1.1284722222222221</v>
      </c>
      <c r="F174" s="79" t="s">
        <v>31</v>
      </c>
      <c r="G174" s="81">
        <v>4</v>
      </c>
      <c r="H174" s="82">
        <v>509</v>
      </c>
    </row>
    <row r="175" spans="1:8" ht="19.8" customHeight="1" x14ac:dyDescent="0.3">
      <c r="A175" s="88">
        <v>45988</v>
      </c>
      <c r="B175" s="79" t="s">
        <v>36</v>
      </c>
      <c r="C175" s="80" t="s">
        <v>251</v>
      </c>
      <c r="D175" s="79" t="s">
        <v>199</v>
      </c>
      <c r="E175" s="89">
        <v>1.5173611111111109</v>
      </c>
      <c r="F175" s="79" t="s">
        <v>41</v>
      </c>
      <c r="G175" s="81">
        <v>9</v>
      </c>
      <c r="H175" s="82">
        <v>509</v>
      </c>
    </row>
    <row r="176" spans="1:8" ht="19.8" customHeight="1" x14ac:dyDescent="0.3">
      <c r="A176" s="88">
        <v>45988</v>
      </c>
      <c r="B176" s="79" t="s">
        <v>36</v>
      </c>
      <c r="C176" s="80" t="s">
        <v>244</v>
      </c>
      <c r="D176" s="79" t="s">
        <v>199</v>
      </c>
      <c r="E176" s="89">
        <v>1.256944444444444</v>
      </c>
      <c r="F176" s="79" t="s">
        <v>41</v>
      </c>
      <c r="G176" s="81">
        <v>6</v>
      </c>
      <c r="H176" s="82">
        <v>549</v>
      </c>
    </row>
    <row r="177" spans="1:8" ht="19.8" customHeight="1" x14ac:dyDescent="0.3">
      <c r="A177" s="88">
        <v>45988</v>
      </c>
      <c r="B177" s="79" t="s">
        <v>36</v>
      </c>
      <c r="C177" s="80" t="s">
        <v>239</v>
      </c>
      <c r="D177" s="79" t="s">
        <v>199</v>
      </c>
      <c r="E177" s="89">
        <v>1.9027777777777779</v>
      </c>
      <c r="F177" s="79" t="s">
        <v>41</v>
      </c>
      <c r="G177" s="81">
        <v>9</v>
      </c>
      <c r="H177" s="82">
        <v>549</v>
      </c>
    </row>
    <row r="178" spans="1:8" ht="19.8" customHeight="1" x14ac:dyDescent="0.3">
      <c r="A178" s="88">
        <v>45988</v>
      </c>
      <c r="B178" s="79" t="s">
        <v>36</v>
      </c>
      <c r="C178" s="80" t="s">
        <v>249</v>
      </c>
      <c r="D178" s="79" t="s">
        <v>199</v>
      </c>
      <c r="E178" s="89">
        <v>1.6597222222222221</v>
      </c>
      <c r="F178" s="79" t="s">
        <v>41</v>
      </c>
      <c r="G178" s="81">
        <v>9</v>
      </c>
      <c r="H178" s="82">
        <v>549</v>
      </c>
    </row>
    <row r="179" spans="1:8" ht="19.8" customHeight="1" x14ac:dyDescent="0.3">
      <c r="A179" s="88">
        <v>45988</v>
      </c>
      <c r="B179" s="79" t="s">
        <v>36</v>
      </c>
      <c r="C179" s="80" t="s">
        <v>242</v>
      </c>
      <c r="D179" s="79" t="s">
        <v>199</v>
      </c>
      <c r="E179" s="89">
        <v>1.854166666666667</v>
      </c>
      <c r="F179" s="79" t="s">
        <v>41</v>
      </c>
      <c r="G179" s="81">
        <v>9</v>
      </c>
      <c r="H179" s="82">
        <v>549</v>
      </c>
    </row>
    <row r="180" spans="1:8" ht="19.8" customHeight="1" x14ac:dyDescent="0.3">
      <c r="A180" s="88">
        <v>45988</v>
      </c>
      <c r="B180" s="79" t="s">
        <v>36</v>
      </c>
      <c r="C180" s="80" t="s">
        <v>253</v>
      </c>
      <c r="D180" s="79" t="s">
        <v>199</v>
      </c>
      <c r="E180" s="89">
        <v>1.395833333333333</v>
      </c>
      <c r="F180" s="79" t="s">
        <v>41</v>
      </c>
      <c r="G180" s="81">
        <v>9</v>
      </c>
      <c r="H180" s="82">
        <v>549</v>
      </c>
    </row>
    <row r="181" spans="1:8" ht="19.8" customHeight="1" x14ac:dyDescent="0.3">
      <c r="A181" s="88">
        <v>45988</v>
      </c>
      <c r="B181" s="79" t="s">
        <v>36</v>
      </c>
      <c r="C181" s="80" t="s">
        <v>252</v>
      </c>
      <c r="D181" s="79" t="s">
        <v>199</v>
      </c>
      <c r="E181" s="89">
        <v>1.302083333333333</v>
      </c>
      <c r="F181" s="79" t="s">
        <v>41</v>
      </c>
      <c r="G181" s="81">
        <v>9</v>
      </c>
      <c r="H181" s="82">
        <v>549</v>
      </c>
    </row>
    <row r="182" spans="1:8" ht="19.8" customHeight="1" x14ac:dyDescent="0.3">
      <c r="A182" s="88">
        <v>45988</v>
      </c>
      <c r="B182" s="79" t="s">
        <v>36</v>
      </c>
      <c r="C182" s="80" t="s">
        <v>243</v>
      </c>
      <c r="D182" s="79" t="s">
        <v>199</v>
      </c>
      <c r="E182" s="89">
        <v>1.7986111111111109</v>
      </c>
      <c r="F182" s="79" t="s">
        <v>41</v>
      </c>
      <c r="G182" s="81">
        <v>9</v>
      </c>
      <c r="H182" s="82">
        <v>549</v>
      </c>
    </row>
    <row r="183" spans="1:8" ht="19.8" customHeight="1" x14ac:dyDescent="0.3">
      <c r="A183" s="88">
        <v>45988</v>
      </c>
      <c r="B183" s="79" t="s">
        <v>26</v>
      </c>
      <c r="C183" s="80" t="s">
        <v>212</v>
      </c>
      <c r="D183" s="79" t="s">
        <v>199</v>
      </c>
      <c r="E183" s="89">
        <v>1.788194444444444</v>
      </c>
      <c r="F183" s="79" t="s">
        <v>31</v>
      </c>
      <c r="G183" s="81">
        <v>10</v>
      </c>
      <c r="H183" s="82">
        <v>569</v>
      </c>
    </row>
    <row r="184" spans="1:8" ht="19.8" customHeight="1" x14ac:dyDescent="0.3">
      <c r="A184" s="88">
        <v>45988</v>
      </c>
      <c r="B184" s="79" t="s">
        <v>26</v>
      </c>
      <c r="C184" s="80" t="s">
        <v>213</v>
      </c>
      <c r="D184" s="79" t="s">
        <v>199</v>
      </c>
      <c r="E184" s="89">
        <v>1.8888888888888891</v>
      </c>
      <c r="F184" s="79" t="s">
        <v>31</v>
      </c>
      <c r="G184" s="81">
        <v>9</v>
      </c>
      <c r="H184" s="82">
        <v>569</v>
      </c>
    </row>
    <row r="185" spans="1:8" ht="19.8" customHeight="1" x14ac:dyDescent="0.3">
      <c r="A185" s="88">
        <v>45988</v>
      </c>
      <c r="B185" s="79" t="s">
        <v>257</v>
      </c>
      <c r="C185" s="80" t="s">
        <v>309</v>
      </c>
      <c r="D185" s="79" t="s">
        <v>199</v>
      </c>
      <c r="E185" s="89">
        <v>1.3298611111111109</v>
      </c>
      <c r="F185" s="79" t="s">
        <v>34</v>
      </c>
      <c r="G185" s="81">
        <v>9</v>
      </c>
      <c r="H185" s="82">
        <v>593</v>
      </c>
    </row>
    <row r="186" spans="1:8" ht="19.8" customHeight="1" x14ac:dyDescent="0.3">
      <c r="A186" s="88">
        <v>45988</v>
      </c>
      <c r="B186" s="79" t="s">
        <v>36</v>
      </c>
      <c r="C186" s="80" t="s">
        <v>251</v>
      </c>
      <c r="D186" s="79" t="s">
        <v>199</v>
      </c>
      <c r="E186" s="89">
        <v>1.5173611111111109</v>
      </c>
      <c r="F186" s="79" t="s">
        <v>44</v>
      </c>
      <c r="G186" s="81">
        <v>9</v>
      </c>
      <c r="H186" s="82">
        <v>599</v>
      </c>
    </row>
    <row r="187" spans="1:8" ht="19.8" customHeight="1" x14ac:dyDescent="0.3">
      <c r="A187" s="88">
        <v>45988</v>
      </c>
      <c r="B187" s="79" t="s">
        <v>36</v>
      </c>
      <c r="C187" s="80" t="s">
        <v>244</v>
      </c>
      <c r="D187" s="79" t="s">
        <v>199</v>
      </c>
      <c r="E187" s="89">
        <v>1.256944444444444</v>
      </c>
      <c r="F187" s="79" t="s">
        <v>44</v>
      </c>
      <c r="G187" s="81">
        <v>6</v>
      </c>
      <c r="H187" s="82">
        <v>639</v>
      </c>
    </row>
    <row r="188" spans="1:8" ht="19.8" customHeight="1" x14ac:dyDescent="0.3">
      <c r="A188" s="88">
        <v>45988</v>
      </c>
      <c r="B188" s="79" t="s">
        <v>36</v>
      </c>
      <c r="C188" s="80" t="s">
        <v>239</v>
      </c>
      <c r="D188" s="79" t="s">
        <v>199</v>
      </c>
      <c r="E188" s="89">
        <v>1.9027777777777779</v>
      </c>
      <c r="F188" s="79" t="s">
        <v>44</v>
      </c>
      <c r="G188" s="81">
        <v>9</v>
      </c>
      <c r="H188" s="82">
        <v>639</v>
      </c>
    </row>
    <row r="189" spans="1:8" ht="19.8" customHeight="1" x14ac:dyDescent="0.3">
      <c r="A189" s="88">
        <v>45988</v>
      </c>
      <c r="B189" s="79" t="s">
        <v>36</v>
      </c>
      <c r="C189" s="80" t="s">
        <v>249</v>
      </c>
      <c r="D189" s="79" t="s">
        <v>199</v>
      </c>
      <c r="E189" s="89">
        <v>1.6597222222222221</v>
      </c>
      <c r="F189" s="79" t="s">
        <v>44</v>
      </c>
      <c r="G189" s="81">
        <v>9</v>
      </c>
      <c r="H189" s="82">
        <v>639</v>
      </c>
    </row>
    <row r="190" spans="1:8" ht="19.8" customHeight="1" x14ac:dyDescent="0.3">
      <c r="A190" s="88">
        <v>45988</v>
      </c>
      <c r="B190" s="79" t="s">
        <v>36</v>
      </c>
      <c r="C190" s="80" t="s">
        <v>242</v>
      </c>
      <c r="D190" s="79" t="s">
        <v>199</v>
      </c>
      <c r="E190" s="89">
        <v>1.854166666666667</v>
      </c>
      <c r="F190" s="79" t="s">
        <v>44</v>
      </c>
      <c r="G190" s="81">
        <v>9</v>
      </c>
      <c r="H190" s="82">
        <v>639</v>
      </c>
    </row>
    <row r="191" spans="1:8" ht="19.8" customHeight="1" x14ac:dyDescent="0.3">
      <c r="A191" s="88">
        <v>45988</v>
      </c>
      <c r="B191" s="79" t="s">
        <v>36</v>
      </c>
      <c r="C191" s="80" t="s">
        <v>253</v>
      </c>
      <c r="D191" s="79" t="s">
        <v>199</v>
      </c>
      <c r="E191" s="89">
        <v>1.395833333333333</v>
      </c>
      <c r="F191" s="79" t="s">
        <v>44</v>
      </c>
      <c r="G191" s="81">
        <v>9</v>
      </c>
      <c r="H191" s="82">
        <v>639</v>
      </c>
    </row>
    <row r="192" spans="1:8" ht="19.8" customHeight="1" x14ac:dyDescent="0.3">
      <c r="A192" s="88">
        <v>45988</v>
      </c>
      <c r="B192" s="79" t="s">
        <v>36</v>
      </c>
      <c r="C192" s="80" t="s">
        <v>252</v>
      </c>
      <c r="D192" s="79" t="s">
        <v>199</v>
      </c>
      <c r="E192" s="89">
        <v>1.302083333333333</v>
      </c>
      <c r="F192" s="79" t="s">
        <v>44</v>
      </c>
      <c r="G192" s="81">
        <v>9</v>
      </c>
      <c r="H192" s="82">
        <v>639</v>
      </c>
    </row>
    <row r="193" spans="1:8" ht="19.8" customHeight="1" x14ac:dyDescent="0.3">
      <c r="A193" s="88">
        <v>45988</v>
      </c>
      <c r="B193" s="79" t="s">
        <v>36</v>
      </c>
      <c r="C193" s="80" t="s">
        <v>243</v>
      </c>
      <c r="D193" s="79" t="s">
        <v>199</v>
      </c>
      <c r="E193" s="89">
        <v>1.7986111111111109</v>
      </c>
      <c r="F193" s="79" t="s">
        <v>44</v>
      </c>
      <c r="G193" s="81">
        <v>9</v>
      </c>
      <c r="H193" s="82">
        <v>639</v>
      </c>
    </row>
    <row r="194" spans="1:8" ht="19.8" customHeight="1" x14ac:dyDescent="0.3">
      <c r="A194" s="88">
        <v>45988</v>
      </c>
      <c r="B194" s="79" t="s">
        <v>65</v>
      </c>
      <c r="C194" s="80" t="s">
        <v>312</v>
      </c>
      <c r="D194" s="79" t="s">
        <v>199</v>
      </c>
      <c r="E194" s="89">
        <v>1.145833333333333</v>
      </c>
      <c r="F194" s="79" t="s">
        <v>67</v>
      </c>
      <c r="G194" s="81">
        <v>9</v>
      </c>
      <c r="H194" s="82">
        <v>673</v>
      </c>
    </row>
    <row r="195" spans="1:8" ht="19.8" customHeight="1" x14ac:dyDescent="0.3">
      <c r="A195" s="88">
        <v>45988</v>
      </c>
      <c r="B195" s="79" t="s">
        <v>77</v>
      </c>
      <c r="C195" s="80" t="s">
        <v>270</v>
      </c>
      <c r="D195" s="79" t="s">
        <v>199</v>
      </c>
      <c r="E195" s="89">
        <v>1.3784722222222221</v>
      </c>
      <c r="F195" s="79" t="s">
        <v>83</v>
      </c>
      <c r="G195" s="81">
        <v>9</v>
      </c>
      <c r="H195" s="82">
        <v>678</v>
      </c>
    </row>
    <row r="196" spans="1:8" ht="19.8" customHeight="1" x14ac:dyDescent="0.3">
      <c r="A196" s="88">
        <v>45988</v>
      </c>
      <c r="B196" s="79" t="s">
        <v>77</v>
      </c>
      <c r="C196" s="80" t="s">
        <v>267</v>
      </c>
      <c r="D196" s="79" t="s">
        <v>199</v>
      </c>
      <c r="E196" s="89">
        <v>1.243055555555556</v>
      </c>
      <c r="F196" s="79" t="s">
        <v>83</v>
      </c>
      <c r="G196" s="81">
        <v>9</v>
      </c>
      <c r="H196" s="82">
        <v>678</v>
      </c>
    </row>
    <row r="197" spans="1:8" ht="19.8" customHeight="1" x14ac:dyDescent="0.3">
      <c r="A197" s="88">
        <v>45988</v>
      </c>
      <c r="B197" s="79" t="s">
        <v>77</v>
      </c>
      <c r="C197" s="80" t="s">
        <v>274</v>
      </c>
      <c r="D197" s="79" t="s">
        <v>199</v>
      </c>
      <c r="E197" s="89">
        <v>1.1423611111111109</v>
      </c>
      <c r="F197" s="79" t="s">
        <v>83</v>
      </c>
      <c r="G197" s="81">
        <v>9</v>
      </c>
      <c r="H197" s="82">
        <v>678</v>
      </c>
    </row>
    <row r="198" spans="1:8" ht="19.8" customHeight="1" x14ac:dyDescent="0.3">
      <c r="A198" s="88">
        <v>45988</v>
      </c>
      <c r="B198" s="79" t="s">
        <v>77</v>
      </c>
      <c r="C198" s="80" t="s">
        <v>270</v>
      </c>
      <c r="D198" s="79" t="s">
        <v>199</v>
      </c>
      <c r="E198" s="89">
        <v>1.3784722222222221</v>
      </c>
      <c r="F198" s="79" t="s">
        <v>79</v>
      </c>
      <c r="G198" s="81">
        <v>9</v>
      </c>
      <c r="H198" s="82">
        <v>723</v>
      </c>
    </row>
    <row r="199" spans="1:8" ht="19.8" customHeight="1" x14ac:dyDescent="0.3">
      <c r="A199" s="88">
        <v>45988</v>
      </c>
      <c r="B199" s="79" t="s">
        <v>77</v>
      </c>
      <c r="C199" s="80" t="s">
        <v>267</v>
      </c>
      <c r="D199" s="79" t="s">
        <v>199</v>
      </c>
      <c r="E199" s="89">
        <v>1.243055555555556</v>
      </c>
      <c r="F199" s="79" t="s">
        <v>79</v>
      </c>
      <c r="G199" s="81">
        <v>9</v>
      </c>
      <c r="H199" s="82">
        <v>723</v>
      </c>
    </row>
    <row r="200" spans="1:8" ht="19.8" customHeight="1" x14ac:dyDescent="0.3">
      <c r="A200" s="88">
        <v>45988</v>
      </c>
      <c r="B200" s="79" t="s">
        <v>77</v>
      </c>
      <c r="C200" s="80" t="s">
        <v>274</v>
      </c>
      <c r="D200" s="79" t="s">
        <v>199</v>
      </c>
      <c r="E200" s="89">
        <v>1.1423611111111109</v>
      </c>
      <c r="F200" s="79" t="s">
        <v>79</v>
      </c>
      <c r="G200" s="81">
        <v>9</v>
      </c>
      <c r="H200" s="82">
        <v>723</v>
      </c>
    </row>
    <row r="201" spans="1:8" ht="19.8" customHeight="1" x14ac:dyDescent="0.3">
      <c r="A201" s="88">
        <v>45988</v>
      </c>
      <c r="B201" s="79" t="s">
        <v>65</v>
      </c>
      <c r="C201" s="80" t="s">
        <v>290</v>
      </c>
      <c r="D201" s="79" t="s">
        <v>199</v>
      </c>
      <c r="E201" s="89">
        <v>1.4861111111111109</v>
      </c>
      <c r="F201" s="79" t="s">
        <v>67</v>
      </c>
      <c r="G201" s="81">
        <v>9</v>
      </c>
      <c r="H201" s="82">
        <v>765</v>
      </c>
    </row>
    <row r="202" spans="1:8" ht="19.8" customHeight="1" x14ac:dyDescent="0.3">
      <c r="A202" s="88">
        <v>45988</v>
      </c>
      <c r="B202" s="79" t="s">
        <v>65</v>
      </c>
      <c r="C202" s="80" t="s">
        <v>292</v>
      </c>
      <c r="D202" s="79" t="s">
        <v>199</v>
      </c>
      <c r="E202" s="89">
        <v>1.5138888888888891</v>
      </c>
      <c r="F202" s="79" t="s">
        <v>67</v>
      </c>
      <c r="G202" s="81">
        <v>9</v>
      </c>
      <c r="H202" s="82">
        <v>765</v>
      </c>
    </row>
    <row r="203" spans="1:8" ht="19.8" customHeight="1" x14ac:dyDescent="0.3">
      <c r="A203" s="88">
        <v>45988</v>
      </c>
      <c r="B203" s="79" t="s">
        <v>65</v>
      </c>
      <c r="C203" s="80" t="s">
        <v>293</v>
      </c>
      <c r="D203" s="79" t="s">
        <v>199</v>
      </c>
      <c r="E203" s="89">
        <v>1.2222222222222221</v>
      </c>
      <c r="F203" s="79" t="s">
        <v>67</v>
      </c>
      <c r="G203" s="81">
        <v>9</v>
      </c>
      <c r="H203" s="82">
        <v>765</v>
      </c>
    </row>
    <row r="204" spans="1:8" ht="19.8" customHeight="1" x14ac:dyDescent="0.3">
      <c r="A204" s="88">
        <v>45988</v>
      </c>
      <c r="B204" s="79" t="s">
        <v>65</v>
      </c>
      <c r="C204" s="80" t="s">
        <v>315</v>
      </c>
      <c r="D204" s="79" t="s">
        <v>199</v>
      </c>
      <c r="E204" s="89">
        <v>1.958333333333333</v>
      </c>
      <c r="F204" s="79" t="s">
        <v>67</v>
      </c>
      <c r="G204" s="81">
        <v>9</v>
      </c>
      <c r="H204" s="82">
        <v>842</v>
      </c>
    </row>
    <row r="205" spans="1:8" ht="19.8" customHeight="1" x14ac:dyDescent="0.3">
      <c r="A205" s="88">
        <v>45988</v>
      </c>
      <c r="B205" s="79" t="s">
        <v>77</v>
      </c>
      <c r="C205" s="80" t="s">
        <v>273</v>
      </c>
      <c r="D205" s="79" t="s">
        <v>199</v>
      </c>
      <c r="E205" s="89">
        <v>1.006944444444444</v>
      </c>
      <c r="F205" s="79" t="s">
        <v>83</v>
      </c>
      <c r="G205" s="81">
        <v>9</v>
      </c>
      <c r="H205" s="82">
        <v>935</v>
      </c>
    </row>
    <row r="206" spans="1:8" ht="19.8" customHeight="1" x14ac:dyDescent="0.3">
      <c r="A206" s="88">
        <v>45988</v>
      </c>
      <c r="B206" s="79" t="s">
        <v>65</v>
      </c>
      <c r="C206" s="80" t="s">
        <v>316</v>
      </c>
      <c r="D206" s="79" t="s">
        <v>199</v>
      </c>
      <c r="E206" s="89">
        <v>1.0138888888888891</v>
      </c>
      <c r="F206" s="79" t="s">
        <v>67</v>
      </c>
      <c r="G206" s="81">
        <v>9</v>
      </c>
      <c r="H206" s="82">
        <v>970</v>
      </c>
    </row>
    <row r="207" spans="1:8" ht="19.8" customHeight="1" x14ac:dyDescent="0.3">
      <c r="A207" s="88">
        <v>45988</v>
      </c>
      <c r="B207" s="79" t="s">
        <v>65</v>
      </c>
      <c r="C207" s="80" t="s">
        <v>295</v>
      </c>
      <c r="D207" s="79" t="s">
        <v>199</v>
      </c>
      <c r="E207" s="89">
        <v>1.2777777777777779</v>
      </c>
      <c r="F207" s="79" t="s">
        <v>67</v>
      </c>
      <c r="G207" s="81">
        <v>9</v>
      </c>
      <c r="H207" s="82">
        <v>970</v>
      </c>
    </row>
    <row r="208" spans="1:8" ht="19.8" customHeight="1" x14ac:dyDescent="0.3">
      <c r="A208" s="88">
        <v>45988</v>
      </c>
      <c r="B208" s="79" t="s">
        <v>65</v>
      </c>
      <c r="C208" s="80" t="s">
        <v>297</v>
      </c>
      <c r="D208" s="79" t="s">
        <v>199</v>
      </c>
      <c r="E208" s="89">
        <v>1.774305555555556</v>
      </c>
      <c r="F208" s="79" t="s">
        <v>67</v>
      </c>
      <c r="G208" s="81">
        <v>9</v>
      </c>
      <c r="H208" s="82">
        <v>970</v>
      </c>
    </row>
    <row r="209" spans="1:8" ht="19.8" customHeight="1" x14ac:dyDescent="0.3">
      <c r="A209" s="88">
        <v>45988</v>
      </c>
      <c r="B209" s="79" t="s">
        <v>77</v>
      </c>
      <c r="C209" s="80" t="s">
        <v>273</v>
      </c>
      <c r="D209" s="79" t="s">
        <v>199</v>
      </c>
      <c r="E209" s="89">
        <v>1.006944444444444</v>
      </c>
      <c r="F209" s="79" t="s">
        <v>79</v>
      </c>
      <c r="G209" s="81">
        <v>9</v>
      </c>
      <c r="H209" s="82">
        <v>980</v>
      </c>
    </row>
    <row r="210" spans="1:8" ht="19.8" customHeight="1" x14ac:dyDescent="0.3">
      <c r="A210" s="88">
        <v>45988</v>
      </c>
      <c r="B210" s="79" t="s">
        <v>77</v>
      </c>
      <c r="C210" s="80" t="s">
        <v>287</v>
      </c>
      <c r="D210" s="79" t="s">
        <v>199</v>
      </c>
      <c r="E210" s="89">
        <v>1.6111111111111109</v>
      </c>
      <c r="F210" s="79" t="s">
        <v>83</v>
      </c>
      <c r="G210" s="81">
        <v>9</v>
      </c>
      <c r="H210" s="92" t="s">
        <v>277</v>
      </c>
    </row>
    <row r="211" spans="1:8" ht="19.8" customHeight="1" x14ac:dyDescent="0.3">
      <c r="A211" s="88">
        <v>45988</v>
      </c>
      <c r="B211" s="79" t="s">
        <v>26</v>
      </c>
      <c r="C211" s="80" t="s">
        <v>214</v>
      </c>
      <c r="D211" s="79" t="s">
        <v>199</v>
      </c>
      <c r="E211" s="89">
        <v>1.302083333333333</v>
      </c>
      <c r="F211" s="79" t="s">
        <v>34</v>
      </c>
      <c r="G211" s="81">
        <v>2</v>
      </c>
      <c r="H211" s="92" t="s">
        <v>35</v>
      </c>
    </row>
    <row r="212" spans="1:8" ht="19.8" customHeight="1" x14ac:dyDescent="0.3">
      <c r="A212" s="88">
        <v>45988</v>
      </c>
      <c r="B212" s="79" t="s">
        <v>26</v>
      </c>
      <c r="C212" s="80" t="s">
        <v>207</v>
      </c>
      <c r="D212" s="79" t="s">
        <v>199</v>
      </c>
      <c r="E212" s="89">
        <v>1.1284722222222221</v>
      </c>
      <c r="F212" s="79" t="s">
        <v>34</v>
      </c>
      <c r="G212" s="81">
        <v>4</v>
      </c>
      <c r="H212" s="92" t="s">
        <v>35</v>
      </c>
    </row>
    <row r="213" spans="1:8" ht="19.8" customHeight="1" x14ac:dyDescent="0.3">
      <c r="A213" s="88">
        <v>45988</v>
      </c>
      <c r="B213" s="79" t="s">
        <v>26</v>
      </c>
      <c r="C213" s="80" t="s">
        <v>212</v>
      </c>
      <c r="D213" s="79" t="s">
        <v>199</v>
      </c>
      <c r="E213" s="89">
        <v>1.788194444444444</v>
      </c>
      <c r="F213" s="79" t="s">
        <v>34</v>
      </c>
      <c r="G213" s="81">
        <v>10</v>
      </c>
      <c r="H213" s="92" t="s">
        <v>35</v>
      </c>
    </row>
    <row r="214" spans="1:8" ht="19.8" customHeight="1" x14ac:dyDescent="0.3">
      <c r="A214" s="88">
        <v>45988</v>
      </c>
      <c r="B214" s="79" t="s">
        <v>26</v>
      </c>
      <c r="C214" s="80" t="s">
        <v>213</v>
      </c>
      <c r="D214" s="79" t="s">
        <v>199</v>
      </c>
      <c r="E214" s="89">
        <v>1.8888888888888891</v>
      </c>
      <c r="F214" s="79" t="s">
        <v>34</v>
      </c>
      <c r="G214" s="81">
        <v>9</v>
      </c>
      <c r="H214" s="92" t="s">
        <v>35</v>
      </c>
    </row>
    <row r="215" spans="1:8" ht="19.8" customHeight="1" x14ac:dyDescent="0.3">
      <c r="A215" s="88">
        <v>45988</v>
      </c>
      <c r="B215" s="79" t="s">
        <v>77</v>
      </c>
      <c r="C215" s="80" t="s">
        <v>287</v>
      </c>
      <c r="D215" s="79" t="s">
        <v>199</v>
      </c>
      <c r="E215" s="89">
        <v>1.6111111111111109</v>
      </c>
      <c r="F215" s="79" t="s">
        <v>79</v>
      </c>
      <c r="G215" s="81">
        <v>9</v>
      </c>
      <c r="H215" s="92" t="s">
        <v>278</v>
      </c>
    </row>
    <row r="216" spans="1:8" ht="19.8" customHeight="1" x14ac:dyDescent="0.3">
      <c r="A216" s="88">
        <v>45988</v>
      </c>
      <c r="B216" s="79" t="s">
        <v>77</v>
      </c>
      <c r="C216" s="80" t="s">
        <v>282</v>
      </c>
      <c r="D216" s="79" t="s">
        <v>199</v>
      </c>
      <c r="E216" s="89">
        <v>1.1284722222222221</v>
      </c>
      <c r="F216" s="79" t="s">
        <v>79</v>
      </c>
      <c r="G216" s="81">
        <v>4</v>
      </c>
      <c r="H216" s="92" t="s">
        <v>338</v>
      </c>
    </row>
    <row r="217" spans="1:8" ht="19.8" customHeight="1" x14ac:dyDescent="0.3">
      <c r="A217" s="88">
        <v>45988</v>
      </c>
      <c r="B217" s="79" t="s">
        <v>77</v>
      </c>
      <c r="C217" s="80" t="s">
        <v>276</v>
      </c>
      <c r="D217" s="79" t="s">
        <v>199</v>
      </c>
      <c r="E217" s="89">
        <v>1.71875</v>
      </c>
      <c r="F217" s="79" t="s">
        <v>83</v>
      </c>
      <c r="G217" s="81">
        <v>9</v>
      </c>
      <c r="H217" s="92" t="s">
        <v>339</v>
      </c>
    </row>
    <row r="218" spans="1:8" ht="19.8" customHeight="1" x14ac:dyDescent="0.3">
      <c r="A218" s="88">
        <v>45988</v>
      </c>
      <c r="B218" s="79" t="s">
        <v>77</v>
      </c>
      <c r="C218" s="80" t="s">
        <v>281</v>
      </c>
      <c r="D218" s="79" t="s">
        <v>199</v>
      </c>
      <c r="E218" s="89">
        <v>1.302083333333333</v>
      </c>
      <c r="F218" s="79" t="s">
        <v>79</v>
      </c>
      <c r="G218" s="81">
        <v>4</v>
      </c>
      <c r="H218" s="92" t="s">
        <v>341</v>
      </c>
    </row>
    <row r="219" spans="1:8" ht="19.8" customHeight="1" x14ac:dyDescent="0.3">
      <c r="A219" s="88">
        <v>45988</v>
      </c>
      <c r="B219" s="79" t="s">
        <v>77</v>
      </c>
      <c r="C219" s="80" t="s">
        <v>276</v>
      </c>
      <c r="D219" s="79" t="s">
        <v>199</v>
      </c>
      <c r="E219" s="89">
        <v>1.71875</v>
      </c>
      <c r="F219" s="79" t="s">
        <v>79</v>
      </c>
      <c r="G219" s="81">
        <v>9</v>
      </c>
      <c r="H219" s="92" t="s">
        <v>340</v>
      </c>
    </row>
    <row r="220" spans="1:8" ht="19.8" customHeight="1" x14ac:dyDescent="0.3">
      <c r="A220" s="88">
        <v>45988</v>
      </c>
      <c r="B220" s="79" t="s">
        <v>77</v>
      </c>
      <c r="C220" s="80" t="s">
        <v>275</v>
      </c>
      <c r="D220" s="79" t="s">
        <v>199</v>
      </c>
      <c r="E220" s="89">
        <v>1.930555555555556</v>
      </c>
      <c r="F220" s="79" t="s">
        <v>83</v>
      </c>
      <c r="G220" s="81">
        <v>9</v>
      </c>
      <c r="H220" s="92" t="s">
        <v>318</v>
      </c>
    </row>
    <row r="221" spans="1:8" ht="19.8" customHeight="1" x14ac:dyDescent="0.3">
      <c r="A221" s="88">
        <v>45988</v>
      </c>
      <c r="B221" s="79" t="s">
        <v>77</v>
      </c>
      <c r="C221" s="80" t="s">
        <v>275</v>
      </c>
      <c r="D221" s="79" t="s">
        <v>199</v>
      </c>
      <c r="E221" s="89">
        <v>1.930555555555556</v>
      </c>
      <c r="F221" s="79" t="s">
        <v>79</v>
      </c>
      <c r="G221" s="81">
        <v>9</v>
      </c>
      <c r="H221" s="92" t="s">
        <v>319</v>
      </c>
    </row>
    <row r="222" spans="1:8" ht="19.8" customHeight="1" x14ac:dyDescent="0.3">
      <c r="A222" s="88">
        <v>45988</v>
      </c>
      <c r="B222" s="79" t="s">
        <v>77</v>
      </c>
      <c r="C222" s="80" t="s">
        <v>279</v>
      </c>
      <c r="D222" s="79" t="s">
        <v>199</v>
      </c>
      <c r="E222" s="89">
        <v>1.8888888888888891</v>
      </c>
      <c r="F222" s="79" t="s">
        <v>79</v>
      </c>
      <c r="G222" s="81">
        <v>4</v>
      </c>
      <c r="H222" s="92" t="s">
        <v>280</v>
      </c>
    </row>
    <row r="223" spans="1:8" ht="19.8" customHeight="1" x14ac:dyDescent="0.3">
      <c r="A223" s="88">
        <v>45988</v>
      </c>
      <c r="B223" s="79" t="s">
        <v>77</v>
      </c>
      <c r="C223" s="80" t="s">
        <v>283</v>
      </c>
      <c r="D223" s="79" t="s">
        <v>199</v>
      </c>
      <c r="E223" s="89">
        <v>1.788194444444444</v>
      </c>
      <c r="F223" s="79" t="s">
        <v>79</v>
      </c>
      <c r="G223" s="81">
        <v>4</v>
      </c>
      <c r="H223" s="92" t="s">
        <v>280</v>
      </c>
    </row>
    <row r="224" spans="1:8" ht="19.8" customHeight="1" x14ac:dyDescent="0.3">
      <c r="A224" s="88">
        <v>45988</v>
      </c>
      <c r="B224" s="79" t="s">
        <v>77</v>
      </c>
      <c r="C224" s="80" t="s">
        <v>284</v>
      </c>
      <c r="D224" s="79" t="s">
        <v>199</v>
      </c>
      <c r="E224" s="89">
        <v>1.8298611111111109</v>
      </c>
      <c r="F224" s="79" t="s">
        <v>83</v>
      </c>
      <c r="G224" s="81">
        <v>9</v>
      </c>
      <c r="H224" s="92" t="s">
        <v>342</v>
      </c>
    </row>
    <row r="225" spans="1:8" ht="19.8" customHeight="1" x14ac:dyDescent="0.3">
      <c r="A225" s="98">
        <v>45988</v>
      </c>
      <c r="B225" s="99" t="s">
        <v>77</v>
      </c>
      <c r="C225" s="100" t="s">
        <v>284</v>
      </c>
      <c r="D225" s="99" t="s">
        <v>199</v>
      </c>
      <c r="E225" s="101">
        <v>1.8298611111111109</v>
      </c>
      <c r="F225" s="99" t="s">
        <v>79</v>
      </c>
      <c r="G225" s="102">
        <v>9</v>
      </c>
      <c r="H225" s="103" t="s">
        <v>343</v>
      </c>
    </row>
    <row r="226" spans="1:8" ht="19.8" customHeight="1" x14ac:dyDescent="0.3">
      <c r="A226" s="88">
        <v>45989</v>
      </c>
      <c r="B226" s="79" t="s">
        <v>26</v>
      </c>
      <c r="C226" s="80" t="s">
        <v>207</v>
      </c>
      <c r="D226" s="79" t="s">
        <v>199</v>
      </c>
      <c r="E226" s="89">
        <v>1.1284722222222221</v>
      </c>
      <c r="F226" s="79" t="s">
        <v>28</v>
      </c>
      <c r="G226" s="81">
        <v>1</v>
      </c>
      <c r="H226" s="82">
        <v>359</v>
      </c>
    </row>
    <row r="227" spans="1:8" ht="19.8" customHeight="1" x14ac:dyDescent="0.3">
      <c r="A227" s="88">
        <v>45989</v>
      </c>
      <c r="B227" s="79" t="s">
        <v>26</v>
      </c>
      <c r="C227" s="80" t="s">
        <v>214</v>
      </c>
      <c r="D227" s="79" t="s">
        <v>199</v>
      </c>
      <c r="E227" s="89">
        <v>1.302083333333333</v>
      </c>
      <c r="F227" s="79" t="s">
        <v>28</v>
      </c>
      <c r="G227" s="81">
        <v>5</v>
      </c>
      <c r="H227" s="82">
        <v>389</v>
      </c>
    </row>
    <row r="228" spans="1:8" ht="19.8" customHeight="1" x14ac:dyDescent="0.3">
      <c r="A228" s="90">
        <v>45989</v>
      </c>
      <c r="B228" s="84" t="s">
        <v>46</v>
      </c>
      <c r="C228" s="85" t="s">
        <v>217</v>
      </c>
      <c r="D228" s="84" t="s">
        <v>199</v>
      </c>
      <c r="E228" s="91">
        <v>1.114583333333333</v>
      </c>
      <c r="F228" s="84" t="s">
        <v>48</v>
      </c>
      <c r="G228" s="86">
        <v>9</v>
      </c>
      <c r="H228" s="87">
        <v>401</v>
      </c>
    </row>
    <row r="229" spans="1:8" ht="19.8" customHeight="1" x14ac:dyDescent="0.3">
      <c r="A229" s="90">
        <v>45989</v>
      </c>
      <c r="B229" s="84" t="s">
        <v>46</v>
      </c>
      <c r="C229" s="85" t="s">
        <v>221</v>
      </c>
      <c r="D229" s="84" t="s">
        <v>199</v>
      </c>
      <c r="E229" s="91">
        <v>1.7361111111111109</v>
      </c>
      <c r="F229" s="84" t="s">
        <v>48</v>
      </c>
      <c r="G229" s="86">
        <v>9</v>
      </c>
      <c r="H229" s="87">
        <v>401</v>
      </c>
    </row>
    <row r="230" spans="1:8" ht="19.8" customHeight="1" x14ac:dyDescent="0.3">
      <c r="A230" s="90">
        <v>45989</v>
      </c>
      <c r="B230" s="84" t="s">
        <v>46</v>
      </c>
      <c r="C230" s="85" t="s">
        <v>224</v>
      </c>
      <c r="D230" s="84" t="s">
        <v>199</v>
      </c>
      <c r="E230" s="91">
        <v>1.319444444444444</v>
      </c>
      <c r="F230" s="84" t="s">
        <v>48</v>
      </c>
      <c r="G230" s="86">
        <v>9</v>
      </c>
      <c r="H230" s="87">
        <v>401</v>
      </c>
    </row>
    <row r="231" spans="1:8" ht="19.8" customHeight="1" x14ac:dyDescent="0.3">
      <c r="A231" s="90">
        <v>45989</v>
      </c>
      <c r="B231" s="84" t="s">
        <v>46</v>
      </c>
      <c r="C231" s="85" t="s">
        <v>227</v>
      </c>
      <c r="D231" s="84" t="s">
        <v>199</v>
      </c>
      <c r="E231" s="91">
        <v>1.458333333333333</v>
      </c>
      <c r="F231" s="84" t="s">
        <v>48</v>
      </c>
      <c r="G231" s="86">
        <v>9</v>
      </c>
      <c r="H231" s="87">
        <v>401</v>
      </c>
    </row>
    <row r="232" spans="1:8" ht="19.8" customHeight="1" x14ac:dyDescent="0.3">
      <c r="A232" s="90">
        <v>45989</v>
      </c>
      <c r="B232" s="84" t="s">
        <v>46</v>
      </c>
      <c r="C232" s="85" t="s">
        <v>329</v>
      </c>
      <c r="D232" s="84" t="s">
        <v>199</v>
      </c>
      <c r="E232" s="91">
        <v>1.614583333333333</v>
      </c>
      <c r="F232" s="84" t="s">
        <v>48</v>
      </c>
      <c r="G232" s="86">
        <v>9</v>
      </c>
      <c r="H232" s="87">
        <v>401</v>
      </c>
    </row>
    <row r="233" spans="1:8" ht="19.8" customHeight="1" x14ac:dyDescent="0.3">
      <c r="A233" s="88">
        <v>45989</v>
      </c>
      <c r="B233" s="79" t="s">
        <v>200</v>
      </c>
      <c r="C233" s="80" t="s">
        <v>205</v>
      </c>
      <c r="D233" s="79" t="s">
        <v>199</v>
      </c>
      <c r="E233" s="89">
        <v>1.666666666666667</v>
      </c>
      <c r="F233" s="79" t="s">
        <v>202</v>
      </c>
      <c r="G233" s="81">
        <v>1</v>
      </c>
      <c r="H233" s="82">
        <v>401</v>
      </c>
    </row>
    <row r="234" spans="1:8" ht="19.8" customHeight="1" x14ac:dyDescent="0.3">
      <c r="A234" s="88">
        <v>45989</v>
      </c>
      <c r="B234" s="79" t="s">
        <v>36</v>
      </c>
      <c r="C234" s="80" t="s">
        <v>242</v>
      </c>
      <c r="D234" s="79" t="s">
        <v>199</v>
      </c>
      <c r="E234" s="89">
        <v>1.854166666666667</v>
      </c>
      <c r="F234" s="79" t="s">
        <v>38</v>
      </c>
      <c r="G234" s="81">
        <v>2</v>
      </c>
      <c r="H234" s="82">
        <v>409</v>
      </c>
    </row>
    <row r="235" spans="1:8" ht="19.8" customHeight="1" x14ac:dyDescent="0.3">
      <c r="A235" s="88">
        <v>45989</v>
      </c>
      <c r="B235" s="79" t="s">
        <v>26</v>
      </c>
      <c r="C235" s="80" t="s">
        <v>212</v>
      </c>
      <c r="D235" s="79" t="s">
        <v>199</v>
      </c>
      <c r="E235" s="89">
        <v>1.788194444444444</v>
      </c>
      <c r="F235" s="79" t="s">
        <v>28</v>
      </c>
      <c r="G235" s="81">
        <v>8</v>
      </c>
      <c r="H235" s="82">
        <v>419</v>
      </c>
    </row>
    <row r="236" spans="1:8" ht="19.8" customHeight="1" x14ac:dyDescent="0.3">
      <c r="A236" s="88">
        <v>45989</v>
      </c>
      <c r="B236" s="79" t="s">
        <v>26</v>
      </c>
      <c r="C236" s="80" t="s">
        <v>213</v>
      </c>
      <c r="D236" s="79" t="s">
        <v>199</v>
      </c>
      <c r="E236" s="89">
        <v>1.8888888888888891</v>
      </c>
      <c r="F236" s="79" t="s">
        <v>28</v>
      </c>
      <c r="G236" s="81">
        <v>8</v>
      </c>
      <c r="H236" s="82">
        <v>419</v>
      </c>
    </row>
    <row r="237" spans="1:8" ht="19.8" customHeight="1" x14ac:dyDescent="0.3">
      <c r="A237" s="88">
        <v>45989</v>
      </c>
      <c r="B237" s="79" t="s">
        <v>36</v>
      </c>
      <c r="C237" s="80" t="s">
        <v>244</v>
      </c>
      <c r="D237" s="79" t="s">
        <v>199</v>
      </c>
      <c r="E237" s="89">
        <v>1.256944444444444</v>
      </c>
      <c r="F237" s="79" t="s">
        <v>38</v>
      </c>
      <c r="G237" s="81">
        <v>3</v>
      </c>
      <c r="H237" s="82">
        <v>449</v>
      </c>
    </row>
    <row r="238" spans="1:8" ht="19.8" customHeight="1" x14ac:dyDescent="0.3">
      <c r="A238" s="88">
        <v>45989</v>
      </c>
      <c r="B238" s="79" t="s">
        <v>36</v>
      </c>
      <c r="C238" s="80" t="s">
        <v>249</v>
      </c>
      <c r="D238" s="79" t="s">
        <v>199</v>
      </c>
      <c r="E238" s="89">
        <v>1.645833333333333</v>
      </c>
      <c r="F238" s="79" t="s">
        <v>38</v>
      </c>
      <c r="G238" s="81">
        <v>3</v>
      </c>
      <c r="H238" s="82">
        <v>449</v>
      </c>
    </row>
    <row r="239" spans="1:8" ht="19.8" customHeight="1" x14ac:dyDescent="0.3">
      <c r="A239" s="88">
        <v>45989</v>
      </c>
      <c r="B239" s="79" t="s">
        <v>36</v>
      </c>
      <c r="C239" s="80" t="s">
        <v>251</v>
      </c>
      <c r="D239" s="79" t="s">
        <v>199</v>
      </c>
      <c r="E239" s="89">
        <v>1.5173611111111109</v>
      </c>
      <c r="F239" s="79" t="s">
        <v>38</v>
      </c>
      <c r="G239" s="81">
        <v>9</v>
      </c>
      <c r="H239" s="82">
        <v>449</v>
      </c>
    </row>
    <row r="240" spans="1:8" ht="19.8" customHeight="1" x14ac:dyDescent="0.3">
      <c r="A240" s="88">
        <v>45989</v>
      </c>
      <c r="B240" s="79" t="s">
        <v>36</v>
      </c>
      <c r="C240" s="80" t="s">
        <v>253</v>
      </c>
      <c r="D240" s="79" t="s">
        <v>199</v>
      </c>
      <c r="E240" s="89">
        <v>1.395833333333333</v>
      </c>
      <c r="F240" s="79" t="s">
        <v>38</v>
      </c>
      <c r="G240" s="81">
        <v>2</v>
      </c>
      <c r="H240" s="82">
        <v>449</v>
      </c>
    </row>
    <row r="241" spans="1:8" ht="19.8" customHeight="1" x14ac:dyDescent="0.3">
      <c r="A241" s="88">
        <v>45989</v>
      </c>
      <c r="B241" s="79" t="s">
        <v>257</v>
      </c>
      <c r="C241" s="80" t="s">
        <v>309</v>
      </c>
      <c r="D241" s="79" t="s">
        <v>199</v>
      </c>
      <c r="E241" s="89">
        <v>1.3923611111111109</v>
      </c>
      <c r="F241" s="79" t="s">
        <v>259</v>
      </c>
      <c r="G241" s="81">
        <v>9</v>
      </c>
      <c r="H241" s="82">
        <v>449</v>
      </c>
    </row>
    <row r="242" spans="1:8" ht="19.8" customHeight="1" x14ac:dyDescent="0.3">
      <c r="A242" s="88">
        <v>45989</v>
      </c>
      <c r="B242" s="79" t="s">
        <v>257</v>
      </c>
      <c r="C242" s="80" t="s">
        <v>354</v>
      </c>
      <c r="D242" s="79" t="s">
        <v>199</v>
      </c>
      <c r="E242" s="89">
        <v>1.975694444444444</v>
      </c>
      <c r="F242" s="79" t="s">
        <v>259</v>
      </c>
      <c r="G242" s="81">
        <v>9</v>
      </c>
      <c r="H242" s="82">
        <v>456</v>
      </c>
    </row>
    <row r="243" spans="1:8" ht="19.8" customHeight="1" x14ac:dyDescent="0.3">
      <c r="A243" s="90">
        <v>45989</v>
      </c>
      <c r="B243" s="84" t="s">
        <v>46</v>
      </c>
      <c r="C243" s="85" t="s">
        <v>232</v>
      </c>
      <c r="D243" s="84" t="s">
        <v>199</v>
      </c>
      <c r="E243" s="91">
        <v>1.9375</v>
      </c>
      <c r="F243" s="84" t="s">
        <v>48</v>
      </c>
      <c r="G243" s="86">
        <v>3</v>
      </c>
      <c r="H243" s="87">
        <v>471</v>
      </c>
    </row>
    <row r="244" spans="1:8" ht="19.8" customHeight="1" x14ac:dyDescent="0.3">
      <c r="A244" s="88">
        <v>45989</v>
      </c>
      <c r="B244" s="79" t="s">
        <v>36</v>
      </c>
      <c r="C244" s="80" t="s">
        <v>239</v>
      </c>
      <c r="D244" s="79" t="s">
        <v>199</v>
      </c>
      <c r="E244" s="89">
        <v>1.9027777777777779</v>
      </c>
      <c r="F244" s="79" t="s">
        <v>38</v>
      </c>
      <c r="G244" s="81">
        <v>9</v>
      </c>
      <c r="H244" s="82">
        <v>489</v>
      </c>
    </row>
    <row r="245" spans="1:8" ht="19.8" customHeight="1" x14ac:dyDescent="0.3">
      <c r="A245" s="88">
        <v>45989</v>
      </c>
      <c r="B245" s="79" t="s">
        <v>36</v>
      </c>
      <c r="C245" s="80" t="s">
        <v>243</v>
      </c>
      <c r="D245" s="79" t="s">
        <v>199</v>
      </c>
      <c r="E245" s="89">
        <v>1.7986111111111109</v>
      </c>
      <c r="F245" s="79" t="s">
        <v>38</v>
      </c>
      <c r="G245" s="81">
        <v>9</v>
      </c>
      <c r="H245" s="82">
        <v>489</v>
      </c>
    </row>
    <row r="246" spans="1:8" ht="19.8" customHeight="1" x14ac:dyDescent="0.3">
      <c r="A246" s="88">
        <v>45989</v>
      </c>
      <c r="B246" s="79" t="s">
        <v>26</v>
      </c>
      <c r="C246" s="80" t="s">
        <v>207</v>
      </c>
      <c r="D246" s="79" t="s">
        <v>199</v>
      </c>
      <c r="E246" s="89">
        <v>1.1284722222222221</v>
      </c>
      <c r="F246" s="79" t="s">
        <v>31</v>
      </c>
      <c r="G246" s="81">
        <v>1</v>
      </c>
      <c r="H246" s="82">
        <v>509</v>
      </c>
    </row>
    <row r="247" spans="1:8" ht="19.8" customHeight="1" x14ac:dyDescent="0.3">
      <c r="A247" s="88">
        <v>45989</v>
      </c>
      <c r="B247" s="79" t="s">
        <v>36</v>
      </c>
      <c r="C247" s="80" t="s">
        <v>242</v>
      </c>
      <c r="D247" s="79" t="s">
        <v>199</v>
      </c>
      <c r="E247" s="89">
        <v>1.854166666666667</v>
      </c>
      <c r="F247" s="79" t="s">
        <v>41</v>
      </c>
      <c r="G247" s="81">
        <v>2</v>
      </c>
      <c r="H247" s="82">
        <v>509</v>
      </c>
    </row>
    <row r="248" spans="1:8" ht="19.8" customHeight="1" x14ac:dyDescent="0.3">
      <c r="A248" s="88">
        <v>45989</v>
      </c>
      <c r="B248" s="79" t="s">
        <v>26</v>
      </c>
      <c r="C248" s="80" t="s">
        <v>214</v>
      </c>
      <c r="D248" s="79" t="s">
        <v>199</v>
      </c>
      <c r="E248" s="89">
        <v>1.302083333333333</v>
      </c>
      <c r="F248" s="79" t="s">
        <v>31</v>
      </c>
      <c r="G248" s="81">
        <v>5</v>
      </c>
      <c r="H248" s="82">
        <v>539</v>
      </c>
    </row>
    <row r="249" spans="1:8" ht="19.8" customHeight="1" x14ac:dyDescent="0.3">
      <c r="A249" s="88">
        <v>45989</v>
      </c>
      <c r="B249" s="79" t="s">
        <v>36</v>
      </c>
      <c r="C249" s="80" t="s">
        <v>244</v>
      </c>
      <c r="D249" s="79" t="s">
        <v>199</v>
      </c>
      <c r="E249" s="89">
        <v>1.256944444444444</v>
      </c>
      <c r="F249" s="79" t="s">
        <v>41</v>
      </c>
      <c r="G249" s="81">
        <v>3</v>
      </c>
      <c r="H249" s="82">
        <v>549</v>
      </c>
    </row>
    <row r="250" spans="1:8" ht="19.8" customHeight="1" x14ac:dyDescent="0.3">
      <c r="A250" s="88">
        <v>45989</v>
      </c>
      <c r="B250" s="79" t="s">
        <v>36</v>
      </c>
      <c r="C250" s="80" t="s">
        <v>249</v>
      </c>
      <c r="D250" s="79" t="s">
        <v>199</v>
      </c>
      <c r="E250" s="89">
        <v>1.645833333333333</v>
      </c>
      <c r="F250" s="79" t="s">
        <v>41</v>
      </c>
      <c r="G250" s="81">
        <v>3</v>
      </c>
      <c r="H250" s="82">
        <v>549</v>
      </c>
    </row>
    <row r="251" spans="1:8" ht="19.8" customHeight="1" x14ac:dyDescent="0.3">
      <c r="A251" s="88">
        <v>45989</v>
      </c>
      <c r="B251" s="79" t="s">
        <v>36</v>
      </c>
      <c r="C251" s="80" t="s">
        <v>251</v>
      </c>
      <c r="D251" s="79" t="s">
        <v>199</v>
      </c>
      <c r="E251" s="89">
        <v>1.5173611111111109</v>
      </c>
      <c r="F251" s="79" t="s">
        <v>41</v>
      </c>
      <c r="G251" s="81">
        <v>9</v>
      </c>
      <c r="H251" s="82">
        <v>549</v>
      </c>
    </row>
    <row r="252" spans="1:8" ht="19.8" customHeight="1" x14ac:dyDescent="0.3">
      <c r="A252" s="88">
        <v>45989</v>
      </c>
      <c r="B252" s="79" t="s">
        <v>36</v>
      </c>
      <c r="C252" s="80" t="s">
        <v>253</v>
      </c>
      <c r="D252" s="79" t="s">
        <v>199</v>
      </c>
      <c r="E252" s="89">
        <v>1.395833333333333</v>
      </c>
      <c r="F252" s="79" t="s">
        <v>41</v>
      </c>
      <c r="G252" s="81">
        <v>2</v>
      </c>
      <c r="H252" s="82">
        <v>549</v>
      </c>
    </row>
    <row r="253" spans="1:8" ht="19.8" customHeight="1" x14ac:dyDescent="0.3">
      <c r="A253" s="88">
        <v>45989</v>
      </c>
      <c r="B253" s="79" t="s">
        <v>26</v>
      </c>
      <c r="C253" s="80" t="s">
        <v>212</v>
      </c>
      <c r="D253" s="79" t="s">
        <v>199</v>
      </c>
      <c r="E253" s="89">
        <v>1.788194444444444</v>
      </c>
      <c r="F253" s="79" t="s">
        <v>31</v>
      </c>
      <c r="G253" s="81">
        <v>8</v>
      </c>
      <c r="H253" s="82">
        <v>569</v>
      </c>
    </row>
    <row r="254" spans="1:8" ht="19.8" customHeight="1" x14ac:dyDescent="0.3">
      <c r="A254" s="88">
        <v>45989</v>
      </c>
      <c r="B254" s="79" t="s">
        <v>26</v>
      </c>
      <c r="C254" s="80" t="s">
        <v>213</v>
      </c>
      <c r="D254" s="79" t="s">
        <v>199</v>
      </c>
      <c r="E254" s="89">
        <v>1.8888888888888891</v>
      </c>
      <c r="F254" s="79" t="s">
        <v>31</v>
      </c>
      <c r="G254" s="81">
        <v>8</v>
      </c>
      <c r="H254" s="82">
        <v>569</v>
      </c>
    </row>
    <row r="255" spans="1:8" ht="19.8" customHeight="1" x14ac:dyDescent="0.3">
      <c r="A255" s="88">
        <v>45989</v>
      </c>
      <c r="B255" s="79" t="s">
        <v>257</v>
      </c>
      <c r="C255" s="80" t="s">
        <v>309</v>
      </c>
      <c r="D255" s="79" t="s">
        <v>199</v>
      </c>
      <c r="E255" s="89">
        <v>1.3923611111111109</v>
      </c>
      <c r="F255" s="79" t="s">
        <v>34</v>
      </c>
      <c r="G255" s="81">
        <v>9</v>
      </c>
      <c r="H255" s="82">
        <v>572</v>
      </c>
    </row>
    <row r="256" spans="1:8" ht="19.8" customHeight="1" x14ac:dyDescent="0.3">
      <c r="A256" s="88">
        <v>45989</v>
      </c>
      <c r="B256" s="79" t="s">
        <v>257</v>
      </c>
      <c r="C256" s="80" t="s">
        <v>354</v>
      </c>
      <c r="D256" s="79" t="s">
        <v>199</v>
      </c>
      <c r="E256" s="89">
        <v>1.975694444444444</v>
      </c>
      <c r="F256" s="79" t="s">
        <v>34</v>
      </c>
      <c r="G256" s="81">
        <v>9</v>
      </c>
      <c r="H256" s="82">
        <v>579</v>
      </c>
    </row>
    <row r="257" spans="1:8" ht="19.8" customHeight="1" x14ac:dyDescent="0.3">
      <c r="A257" s="88">
        <v>45989</v>
      </c>
      <c r="B257" s="79" t="s">
        <v>36</v>
      </c>
      <c r="C257" s="80" t="s">
        <v>239</v>
      </c>
      <c r="D257" s="79" t="s">
        <v>199</v>
      </c>
      <c r="E257" s="89">
        <v>1.9027777777777779</v>
      </c>
      <c r="F257" s="79" t="s">
        <v>41</v>
      </c>
      <c r="G257" s="81">
        <v>9</v>
      </c>
      <c r="H257" s="82">
        <v>589</v>
      </c>
    </row>
    <row r="258" spans="1:8" ht="19.8" customHeight="1" x14ac:dyDescent="0.3">
      <c r="A258" s="88">
        <v>45989</v>
      </c>
      <c r="B258" s="79" t="s">
        <v>36</v>
      </c>
      <c r="C258" s="80" t="s">
        <v>243</v>
      </c>
      <c r="D258" s="79" t="s">
        <v>199</v>
      </c>
      <c r="E258" s="89">
        <v>1.7986111111111109</v>
      </c>
      <c r="F258" s="79" t="s">
        <v>41</v>
      </c>
      <c r="G258" s="81">
        <v>9</v>
      </c>
      <c r="H258" s="82">
        <v>589</v>
      </c>
    </row>
    <row r="259" spans="1:8" ht="19.8" customHeight="1" x14ac:dyDescent="0.3">
      <c r="A259" s="88">
        <v>45989</v>
      </c>
      <c r="B259" s="79" t="s">
        <v>36</v>
      </c>
      <c r="C259" s="80" t="s">
        <v>242</v>
      </c>
      <c r="D259" s="79" t="s">
        <v>199</v>
      </c>
      <c r="E259" s="89">
        <v>1.854166666666667</v>
      </c>
      <c r="F259" s="79" t="s">
        <v>44</v>
      </c>
      <c r="G259" s="81">
        <v>2</v>
      </c>
      <c r="H259" s="82">
        <v>599</v>
      </c>
    </row>
    <row r="260" spans="1:8" ht="19.8" customHeight="1" x14ac:dyDescent="0.3">
      <c r="A260" s="88">
        <v>45989</v>
      </c>
      <c r="B260" s="79" t="s">
        <v>36</v>
      </c>
      <c r="C260" s="80" t="s">
        <v>244</v>
      </c>
      <c r="D260" s="79" t="s">
        <v>199</v>
      </c>
      <c r="E260" s="89">
        <v>1.256944444444444</v>
      </c>
      <c r="F260" s="79" t="s">
        <v>44</v>
      </c>
      <c r="G260" s="81">
        <v>3</v>
      </c>
      <c r="H260" s="82">
        <v>639</v>
      </c>
    </row>
    <row r="261" spans="1:8" ht="19.8" customHeight="1" x14ac:dyDescent="0.3">
      <c r="A261" s="88">
        <v>45989</v>
      </c>
      <c r="B261" s="79" t="s">
        <v>36</v>
      </c>
      <c r="C261" s="80" t="s">
        <v>249</v>
      </c>
      <c r="D261" s="79" t="s">
        <v>199</v>
      </c>
      <c r="E261" s="89">
        <v>1.645833333333333</v>
      </c>
      <c r="F261" s="79" t="s">
        <v>44</v>
      </c>
      <c r="G261" s="81">
        <v>3</v>
      </c>
      <c r="H261" s="82">
        <v>639</v>
      </c>
    </row>
    <row r="262" spans="1:8" ht="19.8" customHeight="1" x14ac:dyDescent="0.3">
      <c r="A262" s="88">
        <v>45989</v>
      </c>
      <c r="B262" s="79" t="s">
        <v>36</v>
      </c>
      <c r="C262" s="80" t="s">
        <v>251</v>
      </c>
      <c r="D262" s="79" t="s">
        <v>199</v>
      </c>
      <c r="E262" s="89">
        <v>1.5173611111111109</v>
      </c>
      <c r="F262" s="79" t="s">
        <v>44</v>
      </c>
      <c r="G262" s="81">
        <v>9</v>
      </c>
      <c r="H262" s="82">
        <v>639</v>
      </c>
    </row>
    <row r="263" spans="1:8" ht="19.8" customHeight="1" x14ac:dyDescent="0.3">
      <c r="A263" s="88">
        <v>45989</v>
      </c>
      <c r="B263" s="79" t="s">
        <v>36</v>
      </c>
      <c r="C263" s="80" t="s">
        <v>253</v>
      </c>
      <c r="D263" s="79" t="s">
        <v>199</v>
      </c>
      <c r="E263" s="89">
        <v>1.395833333333333</v>
      </c>
      <c r="F263" s="79" t="s">
        <v>44</v>
      </c>
      <c r="G263" s="81">
        <v>2</v>
      </c>
      <c r="H263" s="82">
        <v>639</v>
      </c>
    </row>
    <row r="264" spans="1:8" ht="19.8" customHeight="1" x14ac:dyDescent="0.3">
      <c r="A264" s="88">
        <v>45989</v>
      </c>
      <c r="B264" s="79" t="s">
        <v>77</v>
      </c>
      <c r="C264" s="80" t="s">
        <v>270</v>
      </c>
      <c r="D264" s="79" t="s">
        <v>199</v>
      </c>
      <c r="E264" s="89">
        <v>1.3784722222222221</v>
      </c>
      <c r="F264" s="79" t="s">
        <v>83</v>
      </c>
      <c r="G264" s="81">
        <v>9</v>
      </c>
      <c r="H264" s="82">
        <v>678</v>
      </c>
    </row>
    <row r="265" spans="1:8" ht="19.8" customHeight="1" x14ac:dyDescent="0.3">
      <c r="A265" s="88">
        <v>45989</v>
      </c>
      <c r="B265" s="79" t="s">
        <v>77</v>
      </c>
      <c r="C265" s="80" t="s">
        <v>287</v>
      </c>
      <c r="D265" s="79" t="s">
        <v>199</v>
      </c>
      <c r="E265" s="89">
        <v>1.6111111111111109</v>
      </c>
      <c r="F265" s="79" t="s">
        <v>83</v>
      </c>
      <c r="G265" s="81">
        <v>9</v>
      </c>
      <c r="H265" s="82">
        <v>678</v>
      </c>
    </row>
    <row r="266" spans="1:8" ht="19.8" customHeight="1" x14ac:dyDescent="0.3">
      <c r="A266" s="88">
        <v>45989</v>
      </c>
      <c r="B266" s="79" t="s">
        <v>77</v>
      </c>
      <c r="C266" s="80" t="s">
        <v>267</v>
      </c>
      <c r="D266" s="79" t="s">
        <v>199</v>
      </c>
      <c r="E266" s="89">
        <v>1.239583333333333</v>
      </c>
      <c r="F266" s="79" t="s">
        <v>83</v>
      </c>
      <c r="G266" s="81">
        <v>9</v>
      </c>
      <c r="H266" s="82">
        <v>678</v>
      </c>
    </row>
    <row r="267" spans="1:8" ht="19.8" customHeight="1" x14ac:dyDescent="0.3">
      <c r="A267" s="88">
        <v>45989</v>
      </c>
      <c r="B267" s="79" t="s">
        <v>77</v>
      </c>
      <c r="C267" s="80" t="s">
        <v>274</v>
      </c>
      <c r="D267" s="79" t="s">
        <v>199</v>
      </c>
      <c r="E267" s="89">
        <v>1.1423611111111109</v>
      </c>
      <c r="F267" s="79" t="s">
        <v>83</v>
      </c>
      <c r="G267" s="81">
        <v>9</v>
      </c>
      <c r="H267" s="82">
        <v>678</v>
      </c>
    </row>
    <row r="268" spans="1:8" ht="19.8" customHeight="1" x14ac:dyDescent="0.3">
      <c r="A268" s="88">
        <v>45989</v>
      </c>
      <c r="B268" s="79" t="s">
        <v>36</v>
      </c>
      <c r="C268" s="80" t="s">
        <v>239</v>
      </c>
      <c r="D268" s="79" t="s">
        <v>199</v>
      </c>
      <c r="E268" s="89">
        <v>1.9027777777777779</v>
      </c>
      <c r="F268" s="79" t="s">
        <v>44</v>
      </c>
      <c r="G268" s="81">
        <v>9</v>
      </c>
      <c r="H268" s="82">
        <v>679</v>
      </c>
    </row>
    <row r="269" spans="1:8" ht="19.8" customHeight="1" x14ac:dyDescent="0.3">
      <c r="A269" s="88">
        <v>45989</v>
      </c>
      <c r="B269" s="79" t="s">
        <v>36</v>
      </c>
      <c r="C269" s="80" t="s">
        <v>243</v>
      </c>
      <c r="D269" s="79" t="s">
        <v>199</v>
      </c>
      <c r="E269" s="89">
        <v>1.7986111111111109</v>
      </c>
      <c r="F269" s="79" t="s">
        <v>44</v>
      </c>
      <c r="G269" s="81">
        <v>9</v>
      </c>
      <c r="H269" s="82">
        <v>679</v>
      </c>
    </row>
    <row r="270" spans="1:8" ht="19.8" customHeight="1" x14ac:dyDescent="0.3">
      <c r="A270" s="88">
        <v>45989</v>
      </c>
      <c r="B270" s="79" t="s">
        <v>77</v>
      </c>
      <c r="C270" s="80" t="s">
        <v>270</v>
      </c>
      <c r="D270" s="79" t="s">
        <v>199</v>
      </c>
      <c r="E270" s="89">
        <v>1.3784722222222221</v>
      </c>
      <c r="F270" s="79" t="s">
        <v>79</v>
      </c>
      <c r="G270" s="81">
        <v>9</v>
      </c>
      <c r="H270" s="82">
        <v>723</v>
      </c>
    </row>
    <row r="271" spans="1:8" ht="19.8" customHeight="1" x14ac:dyDescent="0.3">
      <c r="A271" s="88">
        <v>45989</v>
      </c>
      <c r="B271" s="79" t="s">
        <v>77</v>
      </c>
      <c r="C271" s="80" t="s">
        <v>287</v>
      </c>
      <c r="D271" s="79" t="s">
        <v>199</v>
      </c>
      <c r="E271" s="89">
        <v>1.6111111111111109</v>
      </c>
      <c r="F271" s="79" t="s">
        <v>79</v>
      </c>
      <c r="G271" s="81">
        <v>9</v>
      </c>
      <c r="H271" s="82">
        <v>723</v>
      </c>
    </row>
    <row r="272" spans="1:8" ht="19.8" customHeight="1" x14ac:dyDescent="0.3">
      <c r="A272" s="88">
        <v>45989</v>
      </c>
      <c r="B272" s="79" t="s">
        <v>77</v>
      </c>
      <c r="C272" s="80" t="s">
        <v>267</v>
      </c>
      <c r="D272" s="79" t="s">
        <v>199</v>
      </c>
      <c r="E272" s="89">
        <v>1.239583333333333</v>
      </c>
      <c r="F272" s="79" t="s">
        <v>79</v>
      </c>
      <c r="G272" s="81">
        <v>9</v>
      </c>
      <c r="H272" s="82">
        <v>723</v>
      </c>
    </row>
    <row r="273" spans="1:8" ht="19.8" customHeight="1" x14ac:dyDescent="0.3">
      <c r="A273" s="88">
        <v>45989</v>
      </c>
      <c r="B273" s="79" t="s">
        <v>77</v>
      </c>
      <c r="C273" s="80" t="s">
        <v>274</v>
      </c>
      <c r="D273" s="79" t="s">
        <v>199</v>
      </c>
      <c r="E273" s="89">
        <v>1.1423611111111109</v>
      </c>
      <c r="F273" s="79" t="s">
        <v>79</v>
      </c>
      <c r="G273" s="81">
        <v>9</v>
      </c>
      <c r="H273" s="82">
        <v>723</v>
      </c>
    </row>
    <row r="274" spans="1:8" ht="19.8" customHeight="1" x14ac:dyDescent="0.3">
      <c r="A274" s="88">
        <v>45989</v>
      </c>
      <c r="B274" s="79" t="s">
        <v>77</v>
      </c>
      <c r="C274" s="80" t="s">
        <v>276</v>
      </c>
      <c r="D274" s="79" t="s">
        <v>199</v>
      </c>
      <c r="E274" s="89">
        <v>1.71875</v>
      </c>
      <c r="F274" s="79" t="s">
        <v>83</v>
      </c>
      <c r="G274" s="81">
        <v>9</v>
      </c>
      <c r="H274" s="82">
        <v>797</v>
      </c>
    </row>
    <row r="275" spans="1:8" ht="19.8" customHeight="1" x14ac:dyDescent="0.3">
      <c r="A275" s="88">
        <v>45989</v>
      </c>
      <c r="B275" s="79" t="s">
        <v>65</v>
      </c>
      <c r="C275" s="80" t="s">
        <v>316</v>
      </c>
      <c r="D275" s="79" t="s">
        <v>199</v>
      </c>
      <c r="E275" s="89">
        <v>1.0138888888888891</v>
      </c>
      <c r="F275" s="79" t="s">
        <v>67</v>
      </c>
      <c r="G275" s="81">
        <v>9</v>
      </c>
      <c r="H275" s="82">
        <v>842</v>
      </c>
    </row>
    <row r="276" spans="1:8" ht="19.8" customHeight="1" x14ac:dyDescent="0.3">
      <c r="A276" s="88">
        <v>45989</v>
      </c>
      <c r="B276" s="79" t="s">
        <v>65</v>
      </c>
      <c r="C276" s="80" t="s">
        <v>290</v>
      </c>
      <c r="D276" s="79" t="s">
        <v>199</v>
      </c>
      <c r="E276" s="89">
        <v>1.4722222222222221</v>
      </c>
      <c r="F276" s="79" t="s">
        <v>67</v>
      </c>
      <c r="G276" s="81">
        <v>9</v>
      </c>
      <c r="H276" s="82">
        <v>842</v>
      </c>
    </row>
    <row r="277" spans="1:8" ht="19.8" customHeight="1" x14ac:dyDescent="0.3">
      <c r="A277" s="88">
        <v>45989</v>
      </c>
      <c r="B277" s="79" t="s">
        <v>65</v>
      </c>
      <c r="C277" s="80" t="s">
        <v>312</v>
      </c>
      <c r="D277" s="79" t="s">
        <v>199</v>
      </c>
      <c r="E277" s="89">
        <v>1.145833333333333</v>
      </c>
      <c r="F277" s="79" t="s">
        <v>67</v>
      </c>
      <c r="G277" s="81">
        <v>9</v>
      </c>
      <c r="H277" s="82">
        <v>842</v>
      </c>
    </row>
    <row r="278" spans="1:8" ht="19.8" customHeight="1" x14ac:dyDescent="0.3">
      <c r="A278" s="88">
        <v>45989</v>
      </c>
      <c r="B278" s="79" t="s">
        <v>65</v>
      </c>
      <c r="C278" s="80" t="s">
        <v>295</v>
      </c>
      <c r="D278" s="79" t="s">
        <v>199</v>
      </c>
      <c r="E278" s="89">
        <v>1.2777777777777779</v>
      </c>
      <c r="F278" s="79" t="s">
        <v>67</v>
      </c>
      <c r="G278" s="81">
        <v>9</v>
      </c>
      <c r="H278" s="82">
        <v>842</v>
      </c>
    </row>
    <row r="279" spans="1:8" ht="19.8" customHeight="1" x14ac:dyDescent="0.3">
      <c r="A279" s="88">
        <v>45989</v>
      </c>
      <c r="B279" s="79" t="s">
        <v>65</v>
      </c>
      <c r="C279" s="80" t="s">
        <v>293</v>
      </c>
      <c r="D279" s="79" t="s">
        <v>199</v>
      </c>
      <c r="E279" s="89">
        <v>1.229166666666667</v>
      </c>
      <c r="F279" s="79" t="s">
        <v>67</v>
      </c>
      <c r="G279" s="81">
        <v>9</v>
      </c>
      <c r="H279" s="82">
        <v>842</v>
      </c>
    </row>
    <row r="280" spans="1:8" ht="19.8" customHeight="1" x14ac:dyDescent="0.3">
      <c r="A280" s="88">
        <v>45989</v>
      </c>
      <c r="B280" s="79" t="s">
        <v>77</v>
      </c>
      <c r="C280" s="80" t="s">
        <v>276</v>
      </c>
      <c r="D280" s="79" t="s">
        <v>199</v>
      </c>
      <c r="E280" s="89">
        <v>1.71875</v>
      </c>
      <c r="F280" s="79" t="s">
        <v>79</v>
      </c>
      <c r="G280" s="81">
        <v>9</v>
      </c>
      <c r="H280" s="82">
        <v>842</v>
      </c>
    </row>
    <row r="281" spans="1:8" ht="19.8" customHeight="1" x14ac:dyDescent="0.3">
      <c r="A281" s="88">
        <v>45989</v>
      </c>
      <c r="B281" s="79" t="s">
        <v>77</v>
      </c>
      <c r="C281" s="80" t="s">
        <v>273</v>
      </c>
      <c r="D281" s="79" t="s">
        <v>199</v>
      </c>
      <c r="E281" s="89">
        <v>1.006944444444444</v>
      </c>
      <c r="F281" s="79" t="s">
        <v>83</v>
      </c>
      <c r="G281" s="81">
        <v>9</v>
      </c>
      <c r="H281" s="82">
        <v>935</v>
      </c>
    </row>
    <row r="282" spans="1:8" ht="19.8" customHeight="1" x14ac:dyDescent="0.3">
      <c r="A282" s="88">
        <v>45989</v>
      </c>
      <c r="B282" s="79" t="s">
        <v>77</v>
      </c>
      <c r="C282" s="80" t="s">
        <v>275</v>
      </c>
      <c r="D282" s="79" t="s">
        <v>199</v>
      </c>
      <c r="E282" s="89">
        <v>1.930555555555556</v>
      </c>
      <c r="F282" s="79" t="s">
        <v>83</v>
      </c>
      <c r="G282" s="81">
        <v>9</v>
      </c>
      <c r="H282" s="82">
        <v>935</v>
      </c>
    </row>
    <row r="283" spans="1:8" ht="19.8" customHeight="1" x14ac:dyDescent="0.3">
      <c r="A283" s="88">
        <v>45989</v>
      </c>
      <c r="B283" s="79" t="s">
        <v>77</v>
      </c>
      <c r="C283" s="80" t="s">
        <v>284</v>
      </c>
      <c r="D283" s="79" t="s">
        <v>199</v>
      </c>
      <c r="E283" s="89">
        <v>1.8298611111111109</v>
      </c>
      <c r="F283" s="79" t="s">
        <v>83</v>
      </c>
      <c r="G283" s="81">
        <v>9</v>
      </c>
      <c r="H283" s="82">
        <v>935</v>
      </c>
    </row>
    <row r="284" spans="1:8" ht="19.8" customHeight="1" x14ac:dyDescent="0.3">
      <c r="A284" s="88">
        <v>45989</v>
      </c>
      <c r="B284" s="79" t="s">
        <v>77</v>
      </c>
      <c r="C284" s="80" t="s">
        <v>273</v>
      </c>
      <c r="D284" s="79" t="s">
        <v>199</v>
      </c>
      <c r="E284" s="89">
        <v>1.006944444444444</v>
      </c>
      <c r="F284" s="79" t="s">
        <v>79</v>
      </c>
      <c r="G284" s="81">
        <v>9</v>
      </c>
      <c r="H284" s="82">
        <v>980</v>
      </c>
    </row>
    <row r="285" spans="1:8" ht="19.8" customHeight="1" x14ac:dyDescent="0.3">
      <c r="A285" s="88">
        <v>45989</v>
      </c>
      <c r="B285" s="79" t="s">
        <v>77</v>
      </c>
      <c r="C285" s="80" t="s">
        <v>275</v>
      </c>
      <c r="D285" s="79" t="s">
        <v>199</v>
      </c>
      <c r="E285" s="89">
        <v>1.930555555555556</v>
      </c>
      <c r="F285" s="79" t="s">
        <v>79</v>
      </c>
      <c r="G285" s="81">
        <v>9</v>
      </c>
      <c r="H285" s="82">
        <v>980</v>
      </c>
    </row>
    <row r="286" spans="1:8" ht="19.8" customHeight="1" x14ac:dyDescent="0.3">
      <c r="A286" s="88">
        <v>45989</v>
      </c>
      <c r="B286" s="79" t="s">
        <v>77</v>
      </c>
      <c r="C286" s="80" t="s">
        <v>284</v>
      </c>
      <c r="D286" s="79" t="s">
        <v>199</v>
      </c>
      <c r="E286" s="89">
        <v>1.8298611111111109</v>
      </c>
      <c r="F286" s="79" t="s">
        <v>79</v>
      </c>
      <c r="G286" s="81">
        <v>9</v>
      </c>
      <c r="H286" s="82">
        <v>980</v>
      </c>
    </row>
    <row r="287" spans="1:8" ht="19.8" customHeight="1" x14ac:dyDescent="0.3">
      <c r="A287" s="88">
        <v>45989</v>
      </c>
      <c r="B287" s="79" t="s">
        <v>26</v>
      </c>
      <c r="C287" s="80" t="s">
        <v>214</v>
      </c>
      <c r="D287" s="79" t="s">
        <v>199</v>
      </c>
      <c r="E287" s="89">
        <v>1.302083333333333</v>
      </c>
      <c r="F287" s="79" t="s">
        <v>34</v>
      </c>
      <c r="G287" s="81">
        <v>5</v>
      </c>
      <c r="H287" s="92" t="s">
        <v>35</v>
      </c>
    </row>
    <row r="288" spans="1:8" ht="19.8" customHeight="1" x14ac:dyDescent="0.3">
      <c r="A288" s="88">
        <v>45989</v>
      </c>
      <c r="B288" s="79" t="s">
        <v>26</v>
      </c>
      <c r="C288" s="80" t="s">
        <v>207</v>
      </c>
      <c r="D288" s="79" t="s">
        <v>199</v>
      </c>
      <c r="E288" s="89">
        <v>1.1284722222222221</v>
      </c>
      <c r="F288" s="79" t="s">
        <v>34</v>
      </c>
      <c r="G288" s="81">
        <v>1</v>
      </c>
      <c r="H288" s="92" t="s">
        <v>35</v>
      </c>
    </row>
    <row r="289" spans="1:8" ht="19.8" customHeight="1" x14ac:dyDescent="0.3">
      <c r="A289" s="88">
        <v>45989</v>
      </c>
      <c r="B289" s="79" t="s">
        <v>26</v>
      </c>
      <c r="C289" s="80" t="s">
        <v>212</v>
      </c>
      <c r="D289" s="79" t="s">
        <v>199</v>
      </c>
      <c r="E289" s="89">
        <v>1.788194444444444</v>
      </c>
      <c r="F289" s="79" t="s">
        <v>34</v>
      </c>
      <c r="G289" s="81">
        <v>8</v>
      </c>
      <c r="H289" s="92" t="s">
        <v>35</v>
      </c>
    </row>
    <row r="290" spans="1:8" ht="19.8" customHeight="1" x14ac:dyDescent="0.3">
      <c r="A290" s="88">
        <v>45989</v>
      </c>
      <c r="B290" s="79" t="s">
        <v>26</v>
      </c>
      <c r="C290" s="80" t="s">
        <v>213</v>
      </c>
      <c r="D290" s="79" t="s">
        <v>199</v>
      </c>
      <c r="E290" s="89">
        <v>1.8888888888888891</v>
      </c>
      <c r="F290" s="79" t="s">
        <v>34</v>
      </c>
      <c r="G290" s="81">
        <v>8</v>
      </c>
      <c r="H290" s="92" t="s">
        <v>35</v>
      </c>
    </row>
    <row r="291" spans="1:8" ht="19.8" customHeight="1" x14ac:dyDescent="0.3">
      <c r="A291" s="88">
        <v>45989</v>
      </c>
      <c r="B291" s="79" t="s">
        <v>77</v>
      </c>
      <c r="C291" s="80" t="s">
        <v>281</v>
      </c>
      <c r="D291" s="79" t="s">
        <v>199</v>
      </c>
      <c r="E291" s="89">
        <v>1.302083333333333</v>
      </c>
      <c r="F291" s="79" t="s">
        <v>79</v>
      </c>
      <c r="G291" s="81">
        <v>4</v>
      </c>
      <c r="H291" s="92" t="s">
        <v>341</v>
      </c>
    </row>
    <row r="292" spans="1:8" ht="19.8" customHeight="1" x14ac:dyDescent="0.3">
      <c r="A292" s="88">
        <v>45989</v>
      </c>
      <c r="B292" s="79" t="s">
        <v>77</v>
      </c>
      <c r="C292" s="80" t="s">
        <v>282</v>
      </c>
      <c r="D292" s="79" t="s">
        <v>199</v>
      </c>
      <c r="E292" s="89">
        <v>1.1284722222222221</v>
      </c>
      <c r="F292" s="79" t="s">
        <v>79</v>
      </c>
      <c r="G292" s="81">
        <v>4</v>
      </c>
      <c r="H292" s="92" t="s">
        <v>341</v>
      </c>
    </row>
    <row r="293" spans="1:8" ht="19.8" customHeight="1" x14ac:dyDescent="0.3">
      <c r="A293" s="88">
        <v>45989</v>
      </c>
      <c r="B293" s="79" t="s">
        <v>65</v>
      </c>
      <c r="C293" s="80" t="s">
        <v>297</v>
      </c>
      <c r="D293" s="79" t="s">
        <v>199</v>
      </c>
      <c r="E293" s="89">
        <v>1.770833333333333</v>
      </c>
      <c r="F293" s="79" t="s">
        <v>67</v>
      </c>
      <c r="G293" s="81">
        <v>9</v>
      </c>
      <c r="H293" s="92" t="s">
        <v>317</v>
      </c>
    </row>
    <row r="294" spans="1:8" ht="19.8" customHeight="1" x14ac:dyDescent="0.3">
      <c r="A294" s="88">
        <v>45989</v>
      </c>
      <c r="B294" s="79" t="s">
        <v>77</v>
      </c>
      <c r="C294" s="80" t="s">
        <v>279</v>
      </c>
      <c r="D294" s="79" t="s">
        <v>199</v>
      </c>
      <c r="E294" s="89">
        <v>1.8888888888888891</v>
      </c>
      <c r="F294" s="79" t="s">
        <v>79</v>
      </c>
      <c r="G294" s="81">
        <v>4</v>
      </c>
      <c r="H294" s="92" t="s">
        <v>280</v>
      </c>
    </row>
    <row r="295" spans="1:8" ht="19.8" customHeight="1" x14ac:dyDescent="0.3">
      <c r="A295" s="88">
        <v>45989</v>
      </c>
      <c r="B295" s="79" t="s">
        <v>77</v>
      </c>
      <c r="C295" s="80" t="s">
        <v>283</v>
      </c>
      <c r="D295" s="79" t="s">
        <v>199</v>
      </c>
      <c r="E295" s="89">
        <v>1.788194444444444</v>
      </c>
      <c r="F295" s="79" t="s">
        <v>79</v>
      </c>
      <c r="G295" s="81">
        <v>4</v>
      </c>
      <c r="H295" s="92" t="s">
        <v>280</v>
      </c>
    </row>
    <row r="296" spans="1:8" ht="19.8" customHeight="1" x14ac:dyDescent="0.3">
      <c r="A296" s="98">
        <v>45989</v>
      </c>
      <c r="B296" s="99" t="s">
        <v>65</v>
      </c>
      <c r="C296" s="100" t="s">
        <v>315</v>
      </c>
      <c r="D296" s="99" t="s">
        <v>199</v>
      </c>
      <c r="E296" s="101">
        <v>1.958333333333333</v>
      </c>
      <c r="F296" s="99" t="s">
        <v>67</v>
      </c>
      <c r="G296" s="102">
        <v>9</v>
      </c>
      <c r="H296" s="103" t="s">
        <v>296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4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5546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5" t="s">
        <v>194</v>
      </c>
      <c r="B1" s="76" t="s">
        <v>8</v>
      </c>
      <c r="C1" s="76" t="s">
        <v>9</v>
      </c>
      <c r="D1" s="76" t="s">
        <v>195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78" t="s">
        <v>196</v>
      </c>
      <c r="B2" s="79" t="s">
        <v>200</v>
      </c>
      <c r="C2" s="80" t="s">
        <v>201</v>
      </c>
      <c r="D2" s="79" t="s">
        <v>199</v>
      </c>
      <c r="E2" s="79" t="s">
        <v>410</v>
      </c>
      <c r="F2" s="79" t="s">
        <v>202</v>
      </c>
      <c r="G2" s="81">
        <v>9</v>
      </c>
      <c r="H2" s="82">
        <v>401</v>
      </c>
    </row>
    <row r="3" spans="1:8" ht="19.8" customHeight="1" x14ac:dyDescent="0.3">
      <c r="A3" s="78" t="s">
        <v>196</v>
      </c>
      <c r="B3" s="79" t="s">
        <v>200</v>
      </c>
      <c r="C3" s="80" t="s">
        <v>204</v>
      </c>
      <c r="D3" s="79" t="s">
        <v>199</v>
      </c>
      <c r="E3" s="79" t="s">
        <v>436</v>
      </c>
      <c r="F3" s="79" t="s">
        <v>202</v>
      </c>
      <c r="G3" s="81">
        <v>9</v>
      </c>
      <c r="H3" s="82">
        <v>401</v>
      </c>
    </row>
    <row r="4" spans="1:8" ht="19.8" customHeight="1" x14ac:dyDescent="0.3">
      <c r="A4" s="83" t="s">
        <v>196</v>
      </c>
      <c r="B4" s="84" t="s">
        <v>46</v>
      </c>
      <c r="C4" s="85" t="s">
        <v>217</v>
      </c>
      <c r="D4" s="84" t="s">
        <v>199</v>
      </c>
      <c r="E4" s="84" t="s">
        <v>381</v>
      </c>
      <c r="F4" s="84" t="s">
        <v>48</v>
      </c>
      <c r="G4" s="86">
        <v>9</v>
      </c>
      <c r="H4" s="87">
        <v>436</v>
      </c>
    </row>
    <row r="5" spans="1:8" ht="19.8" customHeight="1" x14ac:dyDescent="0.3">
      <c r="A5" s="90">
        <v>45986</v>
      </c>
      <c r="B5" s="84" t="s">
        <v>46</v>
      </c>
      <c r="C5" s="85" t="s">
        <v>221</v>
      </c>
      <c r="D5" s="84" t="s">
        <v>199</v>
      </c>
      <c r="E5" s="91">
        <v>1.229166666666667</v>
      </c>
      <c r="F5" s="84" t="s">
        <v>48</v>
      </c>
      <c r="G5" s="86">
        <v>9</v>
      </c>
      <c r="H5" s="87">
        <v>436</v>
      </c>
    </row>
    <row r="6" spans="1:8" ht="19.8" customHeight="1" x14ac:dyDescent="0.3">
      <c r="A6" s="90">
        <v>45986</v>
      </c>
      <c r="B6" s="84" t="s">
        <v>46</v>
      </c>
      <c r="C6" s="85" t="s">
        <v>224</v>
      </c>
      <c r="D6" s="84" t="s">
        <v>199</v>
      </c>
      <c r="E6" s="91">
        <v>1.96875</v>
      </c>
      <c r="F6" s="84" t="s">
        <v>48</v>
      </c>
      <c r="G6" s="86">
        <v>9</v>
      </c>
      <c r="H6" s="87">
        <v>436</v>
      </c>
    </row>
    <row r="7" spans="1:8" ht="19.8" customHeight="1" x14ac:dyDescent="0.3">
      <c r="A7" s="90">
        <v>45986</v>
      </c>
      <c r="B7" s="84" t="s">
        <v>46</v>
      </c>
      <c r="C7" s="85" t="s">
        <v>227</v>
      </c>
      <c r="D7" s="84" t="s">
        <v>199</v>
      </c>
      <c r="E7" s="91">
        <v>1.614583333333333</v>
      </c>
      <c r="F7" s="84" t="s">
        <v>48</v>
      </c>
      <c r="G7" s="86">
        <v>6</v>
      </c>
      <c r="H7" s="87">
        <v>436</v>
      </c>
    </row>
    <row r="8" spans="1:8" ht="19.8" customHeight="1" x14ac:dyDescent="0.3">
      <c r="A8" s="90">
        <v>45986</v>
      </c>
      <c r="B8" s="84" t="s">
        <v>46</v>
      </c>
      <c r="C8" s="85" t="s">
        <v>232</v>
      </c>
      <c r="D8" s="84" t="s">
        <v>199</v>
      </c>
      <c r="E8" s="91">
        <v>1.729166666666667</v>
      </c>
      <c r="F8" s="84" t="s">
        <v>48</v>
      </c>
      <c r="G8" s="86">
        <v>1</v>
      </c>
      <c r="H8" s="87">
        <v>471</v>
      </c>
    </row>
    <row r="9" spans="1:8" ht="19.8" customHeight="1" x14ac:dyDescent="0.3">
      <c r="A9" s="93">
        <v>45986</v>
      </c>
      <c r="B9" s="94" t="s">
        <v>46</v>
      </c>
      <c r="C9" s="95" t="s">
        <v>237</v>
      </c>
      <c r="D9" s="94" t="s">
        <v>199</v>
      </c>
      <c r="E9" s="96">
        <v>1.5590277777777779</v>
      </c>
      <c r="F9" s="94" t="s">
        <v>61</v>
      </c>
      <c r="G9" s="94"/>
      <c r="H9" s="97" t="s">
        <v>62</v>
      </c>
    </row>
    <row r="10" spans="1:8" ht="19.8" customHeight="1" x14ac:dyDescent="0.3">
      <c r="A10" s="88">
        <v>45987</v>
      </c>
      <c r="B10" s="79" t="s">
        <v>262</v>
      </c>
      <c r="C10" s="80" t="s">
        <v>263</v>
      </c>
      <c r="D10" s="79" t="s">
        <v>199</v>
      </c>
      <c r="E10" s="89">
        <v>1.270833333333333</v>
      </c>
      <c r="F10" s="79" t="s">
        <v>202</v>
      </c>
      <c r="G10" s="81">
        <v>1</v>
      </c>
      <c r="H10" s="82">
        <v>400</v>
      </c>
    </row>
    <row r="11" spans="1:8" ht="19.8" customHeight="1" x14ac:dyDescent="0.3">
      <c r="A11" s="90">
        <v>45987</v>
      </c>
      <c r="B11" s="84" t="s">
        <v>46</v>
      </c>
      <c r="C11" s="85" t="s">
        <v>232</v>
      </c>
      <c r="D11" s="84" t="s">
        <v>199</v>
      </c>
      <c r="E11" s="91">
        <v>1.520833333333333</v>
      </c>
      <c r="F11" s="84" t="s">
        <v>48</v>
      </c>
      <c r="G11" s="86">
        <v>9</v>
      </c>
      <c r="H11" s="87">
        <v>401</v>
      </c>
    </row>
    <row r="12" spans="1:8" ht="19.8" customHeight="1" x14ac:dyDescent="0.3">
      <c r="A12" s="90">
        <v>45987</v>
      </c>
      <c r="B12" s="84" t="s">
        <v>46</v>
      </c>
      <c r="C12" s="85" t="s">
        <v>224</v>
      </c>
      <c r="D12" s="84" t="s">
        <v>199</v>
      </c>
      <c r="E12" s="91">
        <v>1.5173611111111109</v>
      </c>
      <c r="F12" s="84" t="s">
        <v>48</v>
      </c>
      <c r="G12" s="86">
        <v>9</v>
      </c>
      <c r="H12" s="87">
        <v>401</v>
      </c>
    </row>
    <row r="13" spans="1:8" ht="19.8" customHeight="1" x14ac:dyDescent="0.3">
      <c r="A13" s="88">
        <v>45987</v>
      </c>
      <c r="B13" s="79" t="s">
        <v>200</v>
      </c>
      <c r="C13" s="80" t="s">
        <v>205</v>
      </c>
      <c r="D13" s="79" t="s">
        <v>199</v>
      </c>
      <c r="E13" s="89">
        <v>1.9375</v>
      </c>
      <c r="F13" s="79" t="s">
        <v>202</v>
      </c>
      <c r="G13" s="81">
        <v>8</v>
      </c>
      <c r="H13" s="82">
        <v>401</v>
      </c>
    </row>
    <row r="14" spans="1:8" ht="19.8" customHeight="1" x14ac:dyDescent="0.3">
      <c r="A14" s="88">
        <v>45987</v>
      </c>
      <c r="B14" s="79" t="s">
        <v>200</v>
      </c>
      <c r="C14" s="80" t="s">
        <v>201</v>
      </c>
      <c r="D14" s="79" t="s">
        <v>199</v>
      </c>
      <c r="E14" s="89">
        <v>1.3715277777777779</v>
      </c>
      <c r="F14" s="79" t="s">
        <v>202</v>
      </c>
      <c r="G14" s="81">
        <v>9</v>
      </c>
      <c r="H14" s="82">
        <v>401</v>
      </c>
    </row>
    <row r="15" spans="1:8" ht="19.8" customHeight="1" x14ac:dyDescent="0.3">
      <c r="A15" s="93">
        <v>45987</v>
      </c>
      <c r="B15" s="94" t="s">
        <v>46</v>
      </c>
      <c r="C15" s="95" t="s">
        <v>227</v>
      </c>
      <c r="D15" s="94" t="s">
        <v>199</v>
      </c>
      <c r="E15" s="96">
        <v>1.614583333333333</v>
      </c>
      <c r="F15" s="94" t="s">
        <v>48</v>
      </c>
      <c r="G15" s="105">
        <v>9</v>
      </c>
      <c r="H15" s="166">
        <v>436</v>
      </c>
    </row>
    <row r="16" spans="1:8" ht="19.8" customHeight="1" x14ac:dyDescent="0.3">
      <c r="A16" s="88">
        <v>45988</v>
      </c>
      <c r="B16" s="79" t="s">
        <v>262</v>
      </c>
      <c r="C16" s="80" t="s">
        <v>263</v>
      </c>
      <c r="D16" s="79" t="s">
        <v>199</v>
      </c>
      <c r="E16" s="89">
        <v>1.291666666666667</v>
      </c>
      <c r="F16" s="79" t="s">
        <v>202</v>
      </c>
      <c r="G16" s="81">
        <v>9</v>
      </c>
      <c r="H16" s="82">
        <v>400</v>
      </c>
    </row>
    <row r="17" spans="1:8" ht="19.8" customHeight="1" x14ac:dyDescent="0.3">
      <c r="A17" s="88">
        <v>45988</v>
      </c>
      <c r="B17" s="79" t="s">
        <v>262</v>
      </c>
      <c r="C17" s="80" t="s">
        <v>265</v>
      </c>
      <c r="D17" s="79" t="s">
        <v>199</v>
      </c>
      <c r="E17" s="89">
        <v>1.59375</v>
      </c>
      <c r="F17" s="79" t="s">
        <v>202</v>
      </c>
      <c r="G17" s="81">
        <v>9</v>
      </c>
      <c r="H17" s="82">
        <v>400</v>
      </c>
    </row>
    <row r="18" spans="1:8" ht="19.8" customHeight="1" x14ac:dyDescent="0.3">
      <c r="A18" s="90">
        <v>45988</v>
      </c>
      <c r="B18" s="84" t="s">
        <v>46</v>
      </c>
      <c r="C18" s="85" t="s">
        <v>322</v>
      </c>
      <c r="D18" s="84" t="s">
        <v>199</v>
      </c>
      <c r="E18" s="91">
        <v>1.364583333333333</v>
      </c>
      <c r="F18" s="84" t="s">
        <v>48</v>
      </c>
      <c r="G18" s="86">
        <v>9</v>
      </c>
      <c r="H18" s="87">
        <v>401</v>
      </c>
    </row>
    <row r="19" spans="1:8" ht="19.8" customHeight="1" x14ac:dyDescent="0.3">
      <c r="A19" s="90">
        <v>45988</v>
      </c>
      <c r="B19" s="84" t="s">
        <v>46</v>
      </c>
      <c r="C19" s="85" t="s">
        <v>325</v>
      </c>
      <c r="D19" s="84" t="s">
        <v>199</v>
      </c>
      <c r="E19" s="91">
        <v>1.2534722222222221</v>
      </c>
      <c r="F19" s="84" t="s">
        <v>48</v>
      </c>
      <c r="G19" s="86">
        <v>9</v>
      </c>
      <c r="H19" s="87">
        <v>401</v>
      </c>
    </row>
    <row r="20" spans="1:8" ht="19.8" customHeight="1" x14ac:dyDescent="0.3">
      <c r="A20" s="90">
        <v>45988</v>
      </c>
      <c r="B20" s="84" t="s">
        <v>46</v>
      </c>
      <c r="C20" s="85" t="s">
        <v>227</v>
      </c>
      <c r="D20" s="84" t="s">
        <v>199</v>
      </c>
      <c r="E20" s="91">
        <v>1.583333333333333</v>
      </c>
      <c r="F20" s="84" t="s">
        <v>48</v>
      </c>
      <c r="G20" s="86">
        <v>9</v>
      </c>
      <c r="H20" s="87">
        <v>401</v>
      </c>
    </row>
    <row r="21" spans="1:8" ht="19.8" customHeight="1" x14ac:dyDescent="0.3">
      <c r="A21" s="90">
        <v>45988</v>
      </c>
      <c r="B21" s="84" t="s">
        <v>46</v>
      </c>
      <c r="C21" s="85" t="s">
        <v>329</v>
      </c>
      <c r="D21" s="84" t="s">
        <v>199</v>
      </c>
      <c r="E21" s="91">
        <v>1.739583333333333</v>
      </c>
      <c r="F21" s="84" t="s">
        <v>48</v>
      </c>
      <c r="G21" s="86">
        <v>9</v>
      </c>
      <c r="H21" s="87">
        <v>401</v>
      </c>
    </row>
    <row r="22" spans="1:8" ht="19.8" customHeight="1" x14ac:dyDescent="0.3">
      <c r="A22" s="88">
        <v>45988</v>
      </c>
      <c r="B22" s="79" t="s">
        <v>200</v>
      </c>
      <c r="C22" s="80" t="s">
        <v>205</v>
      </c>
      <c r="D22" s="79" t="s">
        <v>199</v>
      </c>
      <c r="E22" s="89">
        <v>1.666666666666667</v>
      </c>
      <c r="F22" s="79" t="s">
        <v>202</v>
      </c>
      <c r="G22" s="81">
        <v>2</v>
      </c>
      <c r="H22" s="82">
        <v>401</v>
      </c>
    </row>
    <row r="23" spans="1:8" ht="19.8" customHeight="1" x14ac:dyDescent="0.3">
      <c r="A23" s="90">
        <v>45988</v>
      </c>
      <c r="B23" s="84" t="s">
        <v>46</v>
      </c>
      <c r="C23" s="85" t="s">
        <v>217</v>
      </c>
      <c r="D23" s="84" t="s">
        <v>199</v>
      </c>
      <c r="E23" s="91">
        <v>1.0486111111111109</v>
      </c>
      <c r="F23" s="84" t="s">
        <v>48</v>
      </c>
      <c r="G23" s="86">
        <v>9</v>
      </c>
      <c r="H23" s="87">
        <v>436</v>
      </c>
    </row>
    <row r="24" spans="1:8" ht="19.8" customHeight="1" x14ac:dyDescent="0.3">
      <c r="A24" s="90">
        <v>45988</v>
      </c>
      <c r="B24" s="84" t="s">
        <v>46</v>
      </c>
      <c r="C24" s="85" t="s">
        <v>221</v>
      </c>
      <c r="D24" s="84" t="s">
        <v>199</v>
      </c>
      <c r="E24" s="91">
        <v>1.114583333333333</v>
      </c>
      <c r="F24" s="84" t="s">
        <v>48</v>
      </c>
      <c r="G24" s="86">
        <v>9</v>
      </c>
      <c r="H24" s="87">
        <v>436</v>
      </c>
    </row>
    <row r="25" spans="1:8" ht="19.8" customHeight="1" x14ac:dyDescent="0.3">
      <c r="A25" s="93">
        <v>45988</v>
      </c>
      <c r="B25" s="94" t="s">
        <v>46</v>
      </c>
      <c r="C25" s="95" t="s">
        <v>224</v>
      </c>
      <c r="D25" s="94" t="s">
        <v>199</v>
      </c>
      <c r="E25" s="96">
        <v>1.333333333333333</v>
      </c>
      <c r="F25" s="94" t="s">
        <v>48</v>
      </c>
      <c r="G25" s="105">
        <v>5</v>
      </c>
      <c r="H25" s="166">
        <v>436</v>
      </c>
    </row>
    <row r="26" spans="1:8" ht="19.8" customHeight="1" x14ac:dyDescent="0.3">
      <c r="A26" s="90">
        <v>45989</v>
      </c>
      <c r="B26" s="84" t="s">
        <v>46</v>
      </c>
      <c r="C26" s="85" t="s">
        <v>217</v>
      </c>
      <c r="D26" s="84" t="s">
        <v>199</v>
      </c>
      <c r="E26" s="91">
        <v>1.114583333333333</v>
      </c>
      <c r="F26" s="84" t="s">
        <v>48</v>
      </c>
      <c r="G26" s="86">
        <v>9</v>
      </c>
      <c r="H26" s="87">
        <v>401</v>
      </c>
    </row>
    <row r="27" spans="1:8" ht="19.8" customHeight="1" x14ac:dyDescent="0.3">
      <c r="A27" s="90">
        <v>45989</v>
      </c>
      <c r="B27" s="84" t="s">
        <v>46</v>
      </c>
      <c r="C27" s="85" t="s">
        <v>221</v>
      </c>
      <c r="D27" s="84" t="s">
        <v>199</v>
      </c>
      <c r="E27" s="91">
        <v>1.7361111111111109</v>
      </c>
      <c r="F27" s="84" t="s">
        <v>48</v>
      </c>
      <c r="G27" s="86">
        <v>9</v>
      </c>
      <c r="H27" s="87">
        <v>401</v>
      </c>
    </row>
    <row r="28" spans="1:8" ht="19.8" customHeight="1" x14ac:dyDescent="0.3">
      <c r="A28" s="90">
        <v>45989</v>
      </c>
      <c r="B28" s="84" t="s">
        <v>46</v>
      </c>
      <c r="C28" s="85" t="s">
        <v>224</v>
      </c>
      <c r="D28" s="84" t="s">
        <v>199</v>
      </c>
      <c r="E28" s="91">
        <v>1.319444444444444</v>
      </c>
      <c r="F28" s="84" t="s">
        <v>48</v>
      </c>
      <c r="G28" s="86">
        <v>9</v>
      </c>
      <c r="H28" s="87">
        <v>401</v>
      </c>
    </row>
    <row r="29" spans="1:8" ht="19.8" customHeight="1" x14ac:dyDescent="0.3">
      <c r="A29" s="90">
        <v>45989</v>
      </c>
      <c r="B29" s="84" t="s">
        <v>46</v>
      </c>
      <c r="C29" s="85" t="s">
        <v>227</v>
      </c>
      <c r="D29" s="84" t="s">
        <v>199</v>
      </c>
      <c r="E29" s="91">
        <v>1.458333333333333</v>
      </c>
      <c r="F29" s="84" t="s">
        <v>48</v>
      </c>
      <c r="G29" s="86">
        <v>9</v>
      </c>
      <c r="H29" s="87">
        <v>401</v>
      </c>
    </row>
    <row r="30" spans="1:8" ht="19.8" customHeight="1" x14ac:dyDescent="0.3">
      <c r="A30" s="90">
        <v>45989</v>
      </c>
      <c r="B30" s="84" t="s">
        <v>46</v>
      </c>
      <c r="C30" s="85" t="s">
        <v>329</v>
      </c>
      <c r="D30" s="84" t="s">
        <v>199</v>
      </c>
      <c r="E30" s="91">
        <v>1.614583333333333</v>
      </c>
      <c r="F30" s="84" t="s">
        <v>48</v>
      </c>
      <c r="G30" s="86">
        <v>9</v>
      </c>
      <c r="H30" s="87">
        <v>401</v>
      </c>
    </row>
    <row r="31" spans="1:8" ht="19.8" customHeight="1" x14ac:dyDescent="0.3">
      <c r="A31" s="88">
        <v>45989</v>
      </c>
      <c r="B31" s="79" t="s">
        <v>200</v>
      </c>
      <c r="C31" s="80" t="s">
        <v>205</v>
      </c>
      <c r="D31" s="79" t="s">
        <v>199</v>
      </c>
      <c r="E31" s="89">
        <v>1.666666666666667</v>
      </c>
      <c r="F31" s="79" t="s">
        <v>202</v>
      </c>
      <c r="G31" s="81">
        <v>1</v>
      </c>
      <c r="H31" s="82">
        <v>401</v>
      </c>
    </row>
    <row r="32" spans="1:8" ht="19.8" customHeight="1" x14ac:dyDescent="0.3">
      <c r="A32" s="88">
        <v>45989</v>
      </c>
      <c r="B32" s="79" t="s">
        <v>257</v>
      </c>
      <c r="C32" s="80" t="s">
        <v>309</v>
      </c>
      <c r="D32" s="79" t="s">
        <v>199</v>
      </c>
      <c r="E32" s="89">
        <v>1.3923611111111109</v>
      </c>
      <c r="F32" s="79" t="s">
        <v>259</v>
      </c>
      <c r="G32" s="81">
        <v>9</v>
      </c>
      <c r="H32" s="82">
        <v>449</v>
      </c>
    </row>
    <row r="33" spans="1:8" ht="19.8" customHeight="1" x14ac:dyDescent="0.3">
      <c r="A33" s="88">
        <v>45989</v>
      </c>
      <c r="B33" s="79" t="s">
        <v>257</v>
      </c>
      <c r="C33" s="80" t="s">
        <v>354</v>
      </c>
      <c r="D33" s="79" t="s">
        <v>199</v>
      </c>
      <c r="E33" s="89">
        <v>1.975694444444444</v>
      </c>
      <c r="F33" s="79" t="s">
        <v>259</v>
      </c>
      <c r="G33" s="81">
        <v>9</v>
      </c>
      <c r="H33" s="82">
        <v>456</v>
      </c>
    </row>
    <row r="34" spans="1:8" ht="19.8" customHeight="1" x14ac:dyDescent="0.3">
      <c r="A34" s="93">
        <v>45989</v>
      </c>
      <c r="B34" s="94" t="s">
        <v>46</v>
      </c>
      <c r="C34" s="95" t="s">
        <v>232</v>
      </c>
      <c r="D34" s="94" t="s">
        <v>199</v>
      </c>
      <c r="E34" s="96">
        <v>1.9375</v>
      </c>
      <c r="F34" s="94" t="s">
        <v>48</v>
      </c>
      <c r="G34" s="105">
        <v>3</v>
      </c>
      <c r="H34" s="166">
        <v>471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N224"/>
  <sheetViews>
    <sheetView workbookViewId="0"/>
  </sheetViews>
  <sheetFormatPr defaultRowHeight="14.4" x14ac:dyDescent="0.3"/>
  <cols>
    <col min="1" max="1" width="17.21875" bestFit="1" customWidth="1"/>
    <col min="2" max="2" width="15.6640625" bestFit="1" customWidth="1"/>
    <col min="3" max="3" width="14.77734375" bestFit="1" customWidth="1"/>
    <col min="4" max="4" width="33" bestFit="1" customWidth="1"/>
    <col min="5" max="5" width="18.5546875" bestFit="1" customWidth="1"/>
    <col min="6" max="6" width="23.44140625" bestFit="1" customWidth="1"/>
    <col min="7" max="7" width="48.33203125" bestFit="1" customWidth="1"/>
    <col min="8" max="8" width="9.4414062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5546875" bestFit="1" customWidth="1"/>
    <col min="13" max="13" width="10.109375" bestFit="1" customWidth="1"/>
    <col min="14" max="14" width="8.5546875" bestFit="1" customWidth="1"/>
    <col min="15" max="15" width="17.88671875" bestFit="1" customWidth="1"/>
    <col min="16" max="16" width="7.44140625" bestFit="1" customWidth="1"/>
    <col min="17" max="17" width="12.21875" bestFit="1" customWidth="1"/>
    <col min="18" max="18" width="42.109375" bestFit="1" customWidth="1"/>
  </cols>
  <sheetData>
    <row r="1" spans="1:92" ht="28.8" customHeight="1" x14ac:dyDescent="0.3">
      <c r="A1" s="178" t="s">
        <v>0</v>
      </c>
      <c r="B1" s="177"/>
      <c r="C1" s="177"/>
      <c r="D1" s="177"/>
      <c r="E1" s="177"/>
      <c r="F1" s="1" t="s">
        <v>440</v>
      </c>
      <c r="G1" s="2" t="s">
        <v>2</v>
      </c>
      <c r="H1" s="176">
        <v>45986</v>
      </c>
      <c r="I1" s="177"/>
      <c r="J1" s="177"/>
      <c r="K1" s="177"/>
      <c r="L1" s="177"/>
      <c r="M1" s="1" t="s">
        <v>3</v>
      </c>
      <c r="N1" s="187">
        <v>45989</v>
      </c>
      <c r="O1" s="177"/>
      <c r="P1" s="177"/>
      <c r="Q1" s="177"/>
      <c r="R1" s="177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3">
      <c r="A2" s="182" t="s">
        <v>4</v>
      </c>
      <c r="B2" s="177"/>
      <c r="C2" s="177"/>
      <c r="D2" s="177"/>
      <c r="E2" s="177"/>
      <c r="F2" s="177"/>
      <c r="G2" s="185">
        <v>45982.043633547801</v>
      </c>
      <c r="H2" s="177"/>
      <c r="I2" s="177"/>
      <c r="J2" s="177"/>
      <c r="K2" s="189">
        <v>45982.043633548063</v>
      </c>
      <c r="L2" s="177"/>
      <c r="M2" s="177"/>
      <c r="N2" s="177"/>
      <c r="O2" s="177"/>
      <c r="P2" s="177"/>
      <c r="Q2" s="177"/>
      <c r="R2" s="1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24" customHeight="1" x14ac:dyDescent="0.3">
      <c r="A3" s="183" t="s">
        <v>5</v>
      </c>
      <c r="B3" s="177"/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3">
      <c r="A4" s="186" t="s">
        <v>6</v>
      </c>
      <c r="B4" s="180"/>
      <c r="C4" s="180"/>
      <c r="D4" s="180"/>
      <c r="E4" s="180"/>
      <c r="F4" s="181"/>
      <c r="G4" s="4">
        <v>45986</v>
      </c>
      <c r="H4" s="179" t="s">
        <v>7</v>
      </c>
      <c r="I4" s="180"/>
      <c r="J4" s="180"/>
      <c r="K4" s="180"/>
      <c r="L4" s="180"/>
      <c r="M4" s="180"/>
      <c r="N4" s="180"/>
      <c r="O4" s="180"/>
      <c r="P4" s="180"/>
      <c r="Q4" s="180"/>
      <c r="R4" s="181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7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8" t="s">
        <v>26</v>
      </c>
      <c r="B6" s="8" t="s">
        <v>441</v>
      </c>
      <c r="C6" s="9">
        <v>0.44791666666666669</v>
      </c>
      <c r="D6" s="8" t="s">
        <v>28</v>
      </c>
      <c r="E6" s="8" t="s">
        <v>442</v>
      </c>
      <c r="F6" s="8" t="s">
        <v>443</v>
      </c>
      <c r="G6" s="190"/>
      <c r="H6" s="10"/>
      <c r="I6" s="11"/>
      <c r="J6" s="11"/>
      <c r="K6" s="11"/>
      <c r="L6" s="11"/>
      <c r="M6" s="11"/>
      <c r="N6" s="11"/>
      <c r="O6" s="12"/>
      <c r="P6" s="11"/>
      <c r="Q6" s="13"/>
      <c r="R6" s="14"/>
    </row>
    <row r="7" spans="1:92" ht="15" customHeight="1" x14ac:dyDescent="0.3">
      <c r="A7" s="15" t="s">
        <v>26</v>
      </c>
      <c r="B7" s="15" t="s">
        <v>441</v>
      </c>
      <c r="C7" s="16">
        <v>0.44791666666666669</v>
      </c>
      <c r="D7" s="15" t="s">
        <v>31</v>
      </c>
      <c r="E7" s="15" t="s">
        <v>444</v>
      </c>
      <c r="F7" s="15" t="s">
        <v>335</v>
      </c>
      <c r="G7" s="174"/>
      <c r="H7" s="10"/>
      <c r="I7" s="11"/>
      <c r="J7" s="11"/>
      <c r="K7" s="11"/>
      <c r="L7" s="11"/>
      <c r="M7" s="11"/>
      <c r="N7" s="11"/>
      <c r="O7" s="12"/>
      <c r="P7" s="11"/>
      <c r="Q7" s="13"/>
      <c r="R7" s="14"/>
    </row>
    <row r="8" spans="1:92" ht="15" customHeight="1" x14ac:dyDescent="0.3">
      <c r="A8" s="15" t="s">
        <v>26</v>
      </c>
      <c r="B8" s="15" t="s">
        <v>441</v>
      </c>
      <c r="C8" s="16">
        <v>0.44791666666666669</v>
      </c>
      <c r="D8" s="15" t="s">
        <v>34</v>
      </c>
      <c r="E8" s="15" t="s">
        <v>444</v>
      </c>
      <c r="F8" s="15" t="s">
        <v>445</v>
      </c>
      <c r="G8" s="174"/>
      <c r="H8" s="10"/>
      <c r="I8" s="11"/>
      <c r="J8" s="11"/>
      <c r="K8" s="11"/>
      <c r="L8" s="11"/>
      <c r="M8" s="11"/>
      <c r="N8" s="11"/>
      <c r="O8" s="12"/>
      <c r="P8" s="11"/>
      <c r="Q8" s="13"/>
      <c r="R8" s="14"/>
    </row>
    <row r="9" spans="1:92" ht="15" customHeight="1" x14ac:dyDescent="0.3">
      <c r="A9" s="47" t="s">
        <v>26</v>
      </c>
      <c r="B9" s="47" t="s">
        <v>446</v>
      </c>
      <c r="C9" s="48">
        <v>0.5</v>
      </c>
      <c r="D9" s="47" t="s">
        <v>28</v>
      </c>
      <c r="E9" s="47" t="s">
        <v>447</v>
      </c>
      <c r="F9" s="47" t="s">
        <v>443</v>
      </c>
      <c r="G9" s="174"/>
      <c r="H9" s="10"/>
      <c r="I9" s="11"/>
      <c r="J9" s="11"/>
      <c r="K9" s="11"/>
      <c r="L9" s="11"/>
      <c r="M9" s="11"/>
      <c r="N9" s="11"/>
      <c r="O9" s="12"/>
      <c r="P9" s="11"/>
      <c r="Q9" s="13"/>
      <c r="R9" s="14"/>
    </row>
    <row r="10" spans="1:92" ht="15" customHeight="1" x14ac:dyDescent="0.3">
      <c r="A10" s="15" t="s">
        <v>26</v>
      </c>
      <c r="B10" s="15" t="s">
        <v>446</v>
      </c>
      <c r="C10" s="16">
        <v>0.5</v>
      </c>
      <c r="D10" s="15" t="s">
        <v>31</v>
      </c>
      <c r="E10" s="15" t="s">
        <v>448</v>
      </c>
      <c r="F10" s="15" t="s">
        <v>335</v>
      </c>
      <c r="G10" s="174"/>
      <c r="H10" s="10"/>
      <c r="I10" s="11"/>
      <c r="J10" s="11"/>
      <c r="K10" s="11"/>
      <c r="L10" s="11"/>
      <c r="M10" s="11"/>
      <c r="N10" s="11"/>
      <c r="O10" s="12"/>
      <c r="P10" s="11"/>
      <c r="Q10" s="13"/>
      <c r="R10" s="14"/>
    </row>
    <row r="11" spans="1:92" ht="15" customHeight="1" x14ac:dyDescent="0.3">
      <c r="A11" s="15" t="s">
        <v>26</v>
      </c>
      <c r="B11" s="15" t="s">
        <v>446</v>
      </c>
      <c r="C11" s="16">
        <v>0.5</v>
      </c>
      <c r="D11" s="15" t="s">
        <v>34</v>
      </c>
      <c r="E11" s="15" t="s">
        <v>448</v>
      </c>
      <c r="F11" s="15" t="s">
        <v>112</v>
      </c>
      <c r="G11" s="174"/>
      <c r="H11" s="10"/>
      <c r="I11" s="11"/>
      <c r="J11" s="11"/>
      <c r="K11" s="11"/>
      <c r="L11" s="11"/>
      <c r="M11" s="11"/>
      <c r="N11" s="11"/>
      <c r="O11" s="12"/>
      <c r="P11" s="11"/>
      <c r="Q11" s="13"/>
      <c r="R11" s="14"/>
    </row>
    <row r="12" spans="1:92" ht="15" customHeight="1" x14ac:dyDescent="0.3">
      <c r="A12" s="47" t="s">
        <v>26</v>
      </c>
      <c r="B12" s="47" t="s">
        <v>449</v>
      </c>
      <c r="C12" s="48">
        <v>0.76041666666666663</v>
      </c>
      <c r="D12" s="47" t="s">
        <v>28</v>
      </c>
      <c r="E12" s="47" t="s">
        <v>447</v>
      </c>
      <c r="F12" s="47" t="s">
        <v>443</v>
      </c>
      <c r="G12" s="174"/>
      <c r="H12" s="10"/>
      <c r="I12" s="11"/>
      <c r="J12" s="11"/>
      <c r="K12" s="11"/>
      <c r="L12" s="11"/>
      <c r="M12" s="11"/>
      <c r="N12" s="11"/>
      <c r="O12" s="12"/>
      <c r="P12" s="11"/>
      <c r="Q12" s="13"/>
      <c r="R12" s="14"/>
    </row>
    <row r="13" spans="1:92" ht="15" customHeight="1" x14ac:dyDescent="0.3">
      <c r="A13" s="15" t="s">
        <v>26</v>
      </c>
      <c r="B13" s="15" t="s">
        <v>449</v>
      </c>
      <c r="C13" s="16">
        <v>0.76041666666666663</v>
      </c>
      <c r="D13" s="15" t="s">
        <v>31</v>
      </c>
      <c r="E13" s="15" t="s">
        <v>448</v>
      </c>
      <c r="F13" s="15" t="s">
        <v>335</v>
      </c>
      <c r="G13" s="174"/>
      <c r="H13" s="10"/>
      <c r="I13" s="11"/>
      <c r="J13" s="11"/>
      <c r="K13" s="11"/>
      <c r="L13" s="11"/>
      <c r="M13" s="11"/>
      <c r="N13" s="11"/>
      <c r="O13" s="12"/>
      <c r="P13" s="11"/>
      <c r="Q13" s="13"/>
      <c r="R13" s="14"/>
    </row>
    <row r="14" spans="1:92" ht="15" customHeight="1" x14ac:dyDescent="0.3">
      <c r="A14" s="15" t="s">
        <v>26</v>
      </c>
      <c r="B14" s="15" t="s">
        <v>449</v>
      </c>
      <c r="C14" s="16">
        <v>0.76041666666666663</v>
      </c>
      <c r="D14" s="15" t="s">
        <v>34</v>
      </c>
      <c r="E14" s="15" t="s">
        <v>448</v>
      </c>
      <c r="F14" s="15" t="s">
        <v>445</v>
      </c>
      <c r="G14" s="174"/>
      <c r="H14" s="10"/>
      <c r="I14" s="11"/>
      <c r="J14" s="11"/>
      <c r="K14" s="11"/>
      <c r="L14" s="11"/>
      <c r="M14" s="11"/>
      <c r="N14" s="11"/>
      <c r="O14" s="12"/>
      <c r="P14" s="11"/>
      <c r="Q14" s="13"/>
      <c r="R14" s="14"/>
    </row>
    <row r="15" spans="1:92" ht="15" customHeight="1" x14ac:dyDescent="0.3">
      <c r="A15" s="47" t="s">
        <v>26</v>
      </c>
      <c r="B15" s="47" t="s">
        <v>450</v>
      </c>
      <c r="C15" s="48">
        <v>0.81597222222222221</v>
      </c>
      <c r="D15" s="47" t="s">
        <v>28</v>
      </c>
      <c r="E15" s="47" t="s">
        <v>451</v>
      </c>
      <c r="F15" s="47" t="s">
        <v>443</v>
      </c>
      <c r="G15" s="174"/>
      <c r="H15" s="10"/>
      <c r="I15" s="11"/>
      <c r="J15" s="11"/>
      <c r="K15" s="11"/>
      <c r="L15" s="11"/>
      <c r="M15" s="11"/>
      <c r="N15" s="11"/>
      <c r="O15" s="12"/>
      <c r="P15" s="11"/>
      <c r="Q15" s="13"/>
      <c r="R15" s="14"/>
    </row>
    <row r="16" spans="1:92" ht="15" customHeight="1" x14ac:dyDescent="0.3">
      <c r="A16" s="15" t="s">
        <v>26</v>
      </c>
      <c r="B16" s="15" t="s">
        <v>450</v>
      </c>
      <c r="C16" s="16">
        <v>0.81597222222222221</v>
      </c>
      <c r="D16" s="15" t="s">
        <v>31</v>
      </c>
      <c r="E16" s="15" t="s">
        <v>452</v>
      </c>
      <c r="F16" s="15" t="s">
        <v>335</v>
      </c>
      <c r="G16" s="174"/>
      <c r="H16" s="10"/>
      <c r="I16" s="11"/>
      <c r="J16" s="11"/>
      <c r="K16" s="11"/>
      <c r="L16" s="11"/>
      <c r="M16" s="11"/>
      <c r="N16" s="11"/>
      <c r="O16" s="12"/>
      <c r="P16" s="11"/>
      <c r="Q16" s="13"/>
      <c r="R16" s="14"/>
    </row>
    <row r="17" spans="1:18" ht="15" customHeight="1" x14ac:dyDescent="0.3">
      <c r="A17" s="15" t="s">
        <v>26</v>
      </c>
      <c r="B17" s="15" t="s">
        <v>450</v>
      </c>
      <c r="C17" s="16">
        <v>0.81597222222222221</v>
      </c>
      <c r="D17" s="15" t="s">
        <v>34</v>
      </c>
      <c r="E17" s="15" t="s">
        <v>452</v>
      </c>
      <c r="F17" s="15" t="s">
        <v>112</v>
      </c>
      <c r="G17" s="174"/>
      <c r="H17" s="10"/>
      <c r="I17" s="11"/>
      <c r="J17" s="11"/>
      <c r="K17" s="11"/>
      <c r="L17" s="11"/>
      <c r="M17" s="11"/>
      <c r="N17" s="11"/>
      <c r="O17" s="12"/>
      <c r="P17" s="11"/>
      <c r="Q17" s="13"/>
      <c r="R17" s="14"/>
    </row>
    <row r="18" spans="1:18" ht="15" customHeight="1" x14ac:dyDescent="0.3">
      <c r="A18" s="17" t="s">
        <v>36</v>
      </c>
      <c r="B18" s="17" t="s">
        <v>453</v>
      </c>
      <c r="C18" s="18">
        <v>0.30555555555555552</v>
      </c>
      <c r="D18" s="17" t="s">
        <v>38</v>
      </c>
      <c r="E18" s="17" t="s">
        <v>306</v>
      </c>
      <c r="F18" s="17" t="s">
        <v>454</v>
      </c>
      <c r="G18" s="174"/>
      <c r="H18" s="10"/>
      <c r="I18" s="11"/>
      <c r="J18" s="11"/>
      <c r="K18" s="11"/>
      <c r="L18" s="11"/>
      <c r="M18" s="11"/>
      <c r="N18" s="11"/>
      <c r="O18" s="12"/>
      <c r="P18" s="11"/>
      <c r="Q18" s="13"/>
      <c r="R18" s="14"/>
    </row>
    <row r="19" spans="1:18" ht="15" customHeight="1" x14ac:dyDescent="0.3">
      <c r="A19" s="15" t="s">
        <v>36</v>
      </c>
      <c r="B19" s="15" t="s">
        <v>453</v>
      </c>
      <c r="C19" s="16">
        <v>0.30555555555555552</v>
      </c>
      <c r="D19" s="15" t="s">
        <v>41</v>
      </c>
      <c r="E19" s="15" t="s">
        <v>246</v>
      </c>
      <c r="F19" s="15" t="s">
        <v>344</v>
      </c>
      <c r="G19" s="174"/>
      <c r="H19" s="10"/>
      <c r="I19" s="11"/>
      <c r="J19" s="11"/>
      <c r="K19" s="11"/>
      <c r="L19" s="11"/>
      <c r="M19" s="11"/>
      <c r="N19" s="11"/>
      <c r="O19" s="12"/>
      <c r="P19" s="11"/>
      <c r="Q19" s="13"/>
      <c r="R19" s="14"/>
    </row>
    <row r="20" spans="1:18" ht="15" customHeight="1" x14ac:dyDescent="0.3">
      <c r="A20" s="15" t="s">
        <v>36</v>
      </c>
      <c r="B20" s="15" t="s">
        <v>453</v>
      </c>
      <c r="C20" s="16">
        <v>0.30555555555555552</v>
      </c>
      <c r="D20" s="15" t="s">
        <v>44</v>
      </c>
      <c r="E20" s="15" t="s">
        <v>246</v>
      </c>
      <c r="F20" s="15" t="s">
        <v>455</v>
      </c>
      <c r="G20" s="174"/>
      <c r="H20" s="10"/>
      <c r="I20" s="11"/>
      <c r="J20" s="11"/>
      <c r="K20" s="11"/>
      <c r="L20" s="11"/>
      <c r="M20" s="11"/>
      <c r="N20" s="11"/>
      <c r="O20" s="12"/>
      <c r="P20" s="11"/>
      <c r="Q20" s="13"/>
      <c r="R20" s="14"/>
    </row>
    <row r="21" spans="1:18" ht="15" customHeight="1" x14ac:dyDescent="0.3">
      <c r="A21" s="47" t="s">
        <v>36</v>
      </c>
      <c r="B21" s="47" t="s">
        <v>456</v>
      </c>
      <c r="C21" s="48">
        <v>0.56597222222222221</v>
      </c>
      <c r="D21" s="47" t="s">
        <v>38</v>
      </c>
      <c r="E21" s="47" t="s">
        <v>116</v>
      </c>
      <c r="F21" s="47" t="s">
        <v>454</v>
      </c>
      <c r="G21" s="174"/>
      <c r="H21" s="10"/>
      <c r="I21" s="11"/>
      <c r="J21" s="11"/>
      <c r="K21" s="11"/>
      <c r="L21" s="11"/>
      <c r="M21" s="11"/>
      <c r="N21" s="11"/>
      <c r="O21" s="12"/>
      <c r="P21" s="11"/>
      <c r="Q21" s="13"/>
      <c r="R21" s="14"/>
    </row>
    <row r="22" spans="1:18" ht="15" customHeight="1" x14ac:dyDescent="0.3">
      <c r="A22" s="15" t="s">
        <v>36</v>
      </c>
      <c r="B22" s="15" t="s">
        <v>456</v>
      </c>
      <c r="C22" s="16">
        <v>0.56597222222222221</v>
      </c>
      <c r="D22" s="15" t="s">
        <v>41</v>
      </c>
      <c r="E22" s="15" t="s">
        <v>117</v>
      </c>
      <c r="F22" s="15" t="s">
        <v>344</v>
      </c>
      <c r="G22" s="174"/>
      <c r="H22" s="10"/>
      <c r="I22" s="11"/>
      <c r="J22" s="11"/>
      <c r="K22" s="11"/>
      <c r="L22" s="11"/>
      <c r="M22" s="11"/>
      <c r="N22" s="11"/>
      <c r="O22" s="12"/>
      <c r="P22" s="11"/>
      <c r="Q22" s="13"/>
      <c r="R22" s="14"/>
    </row>
    <row r="23" spans="1:18" ht="15" customHeight="1" x14ac:dyDescent="0.3">
      <c r="A23" s="15" t="s">
        <v>36</v>
      </c>
      <c r="B23" s="15" t="s">
        <v>456</v>
      </c>
      <c r="C23" s="16">
        <v>0.56597222222222221</v>
      </c>
      <c r="D23" s="15" t="s">
        <v>44</v>
      </c>
      <c r="E23" s="15" t="s">
        <v>117</v>
      </c>
      <c r="F23" s="15" t="s">
        <v>455</v>
      </c>
      <c r="G23" s="174"/>
      <c r="H23" s="10"/>
      <c r="I23" s="11"/>
      <c r="J23" s="11"/>
      <c r="K23" s="11"/>
      <c r="L23" s="11"/>
      <c r="M23" s="11"/>
      <c r="N23" s="11"/>
      <c r="O23" s="12"/>
      <c r="P23" s="11"/>
      <c r="Q23" s="13"/>
      <c r="R23" s="14"/>
    </row>
    <row r="24" spans="1:18" ht="15" customHeight="1" x14ac:dyDescent="0.3">
      <c r="A24" s="47" t="s">
        <v>36</v>
      </c>
      <c r="B24" s="47" t="s">
        <v>457</v>
      </c>
      <c r="C24" s="48">
        <v>0.82638888888888884</v>
      </c>
      <c r="D24" s="47" t="s">
        <v>38</v>
      </c>
      <c r="E24" s="47" t="s">
        <v>250</v>
      </c>
      <c r="F24" s="47" t="s">
        <v>458</v>
      </c>
      <c r="G24" s="174"/>
      <c r="H24" s="10"/>
      <c r="I24" s="11"/>
      <c r="J24" s="11"/>
      <c r="K24" s="11"/>
      <c r="L24" s="11"/>
      <c r="M24" s="11"/>
      <c r="N24" s="11"/>
      <c r="O24" s="12"/>
      <c r="P24" s="11"/>
      <c r="Q24" s="13"/>
      <c r="R24" s="14"/>
    </row>
    <row r="25" spans="1:18" ht="15" customHeight="1" x14ac:dyDescent="0.3">
      <c r="A25" s="15" t="s">
        <v>36</v>
      </c>
      <c r="B25" s="15" t="s">
        <v>457</v>
      </c>
      <c r="C25" s="16">
        <v>0.82638888888888884</v>
      </c>
      <c r="D25" s="15" t="s">
        <v>41</v>
      </c>
      <c r="E25" s="15" t="s">
        <v>102</v>
      </c>
      <c r="F25" s="15" t="s">
        <v>459</v>
      </c>
      <c r="G25" s="174"/>
      <c r="H25" s="10"/>
      <c r="I25" s="11"/>
      <c r="J25" s="11"/>
      <c r="K25" s="11"/>
      <c r="L25" s="11"/>
      <c r="M25" s="11"/>
      <c r="N25" s="11"/>
      <c r="O25" s="12"/>
      <c r="P25" s="11"/>
      <c r="Q25" s="13"/>
      <c r="R25" s="14"/>
    </row>
    <row r="26" spans="1:18" ht="15" customHeight="1" x14ac:dyDescent="0.3">
      <c r="A26" s="15" t="s">
        <v>36</v>
      </c>
      <c r="B26" s="15" t="s">
        <v>457</v>
      </c>
      <c r="C26" s="16">
        <v>0.82638888888888884</v>
      </c>
      <c r="D26" s="15" t="s">
        <v>44</v>
      </c>
      <c r="E26" s="15" t="s">
        <v>102</v>
      </c>
      <c r="F26" s="15" t="s">
        <v>460</v>
      </c>
      <c r="G26" s="174"/>
      <c r="H26" s="10"/>
      <c r="I26" s="11"/>
      <c r="J26" s="11"/>
      <c r="K26" s="11"/>
      <c r="L26" s="11"/>
      <c r="M26" s="11"/>
      <c r="N26" s="11"/>
      <c r="O26" s="12"/>
      <c r="P26" s="11"/>
      <c r="Q26" s="13"/>
      <c r="R26" s="14"/>
    </row>
    <row r="27" spans="1:18" ht="15" customHeight="1" x14ac:dyDescent="0.3">
      <c r="A27" s="47" t="s">
        <v>36</v>
      </c>
      <c r="B27" s="47" t="s">
        <v>461</v>
      </c>
      <c r="C27" s="48">
        <v>0.42708333333333331</v>
      </c>
      <c r="D27" s="47" t="s">
        <v>38</v>
      </c>
      <c r="E27" s="47" t="s">
        <v>250</v>
      </c>
      <c r="F27" s="47" t="s">
        <v>458</v>
      </c>
      <c r="G27" s="174"/>
      <c r="H27" s="10"/>
      <c r="I27" s="11"/>
      <c r="J27" s="11"/>
      <c r="K27" s="11"/>
      <c r="L27" s="11"/>
      <c r="M27" s="11"/>
      <c r="N27" s="11"/>
      <c r="O27" s="12"/>
      <c r="P27" s="11"/>
      <c r="Q27" s="13"/>
      <c r="R27" s="14"/>
    </row>
    <row r="28" spans="1:18" ht="15" customHeight="1" x14ac:dyDescent="0.3">
      <c r="A28" s="15" t="s">
        <v>36</v>
      </c>
      <c r="B28" s="15" t="s">
        <v>461</v>
      </c>
      <c r="C28" s="16">
        <v>0.42708333333333331</v>
      </c>
      <c r="D28" s="15" t="s">
        <v>41</v>
      </c>
      <c r="E28" s="15" t="s">
        <v>102</v>
      </c>
      <c r="F28" s="15" t="s">
        <v>459</v>
      </c>
      <c r="G28" s="174"/>
      <c r="H28" s="10"/>
      <c r="I28" s="11"/>
      <c r="J28" s="11"/>
      <c r="K28" s="11"/>
      <c r="L28" s="11"/>
      <c r="M28" s="11"/>
      <c r="N28" s="11"/>
      <c r="O28" s="12"/>
      <c r="P28" s="11"/>
      <c r="Q28" s="13"/>
      <c r="R28" s="14"/>
    </row>
    <row r="29" spans="1:18" ht="15" customHeight="1" x14ac:dyDescent="0.3">
      <c r="A29" s="15" t="s">
        <v>36</v>
      </c>
      <c r="B29" s="15" t="s">
        <v>461</v>
      </c>
      <c r="C29" s="16">
        <v>0.42708333333333331</v>
      </c>
      <c r="D29" s="15" t="s">
        <v>44</v>
      </c>
      <c r="E29" s="15" t="s">
        <v>102</v>
      </c>
      <c r="F29" s="15" t="s">
        <v>460</v>
      </c>
      <c r="G29" s="174"/>
      <c r="H29" s="10"/>
      <c r="I29" s="11"/>
      <c r="J29" s="11"/>
      <c r="K29" s="11"/>
      <c r="L29" s="11"/>
      <c r="M29" s="11"/>
      <c r="N29" s="11"/>
      <c r="O29" s="12"/>
      <c r="P29" s="11"/>
      <c r="Q29" s="13"/>
      <c r="R29" s="14"/>
    </row>
    <row r="30" spans="1:18" ht="15" customHeight="1" x14ac:dyDescent="0.3">
      <c r="A30" s="47" t="s">
        <v>36</v>
      </c>
      <c r="B30" s="47" t="s">
        <v>462</v>
      </c>
      <c r="C30" s="48">
        <v>0.6875</v>
      </c>
      <c r="D30" s="47" t="s">
        <v>38</v>
      </c>
      <c r="E30" s="47" t="s">
        <v>250</v>
      </c>
      <c r="F30" s="47" t="s">
        <v>458</v>
      </c>
      <c r="G30" s="174"/>
      <c r="H30" s="10"/>
      <c r="I30" s="11"/>
      <c r="J30" s="11"/>
      <c r="K30" s="11"/>
      <c r="L30" s="11"/>
      <c r="M30" s="11"/>
      <c r="N30" s="11"/>
      <c r="O30" s="12"/>
      <c r="P30" s="11"/>
      <c r="Q30" s="13"/>
      <c r="R30" s="14"/>
    </row>
    <row r="31" spans="1:18" ht="15" customHeight="1" x14ac:dyDescent="0.3">
      <c r="A31" s="15" t="s">
        <v>36</v>
      </c>
      <c r="B31" s="15" t="s">
        <v>462</v>
      </c>
      <c r="C31" s="16">
        <v>0.6875</v>
      </c>
      <c r="D31" s="15" t="s">
        <v>41</v>
      </c>
      <c r="E31" s="15" t="s">
        <v>102</v>
      </c>
      <c r="F31" s="15" t="s">
        <v>459</v>
      </c>
      <c r="G31" s="174"/>
      <c r="H31" s="10"/>
      <c r="I31" s="11"/>
      <c r="J31" s="11"/>
      <c r="K31" s="11"/>
      <c r="L31" s="11"/>
      <c r="M31" s="11"/>
      <c r="N31" s="11"/>
      <c r="O31" s="12"/>
      <c r="P31" s="11"/>
      <c r="Q31" s="13"/>
      <c r="R31" s="14"/>
    </row>
    <row r="32" spans="1:18" ht="15" customHeight="1" x14ac:dyDescent="0.3">
      <c r="A32" s="15" t="s">
        <v>36</v>
      </c>
      <c r="B32" s="15" t="s">
        <v>462</v>
      </c>
      <c r="C32" s="16">
        <v>0.6875</v>
      </c>
      <c r="D32" s="15" t="s">
        <v>44</v>
      </c>
      <c r="E32" s="15" t="s">
        <v>102</v>
      </c>
      <c r="F32" s="15" t="s">
        <v>460</v>
      </c>
      <c r="G32" s="174"/>
      <c r="H32" s="10"/>
      <c r="I32" s="11"/>
      <c r="J32" s="11"/>
      <c r="K32" s="11"/>
      <c r="L32" s="11"/>
      <c r="M32" s="11"/>
      <c r="N32" s="11"/>
      <c r="O32" s="12"/>
      <c r="P32" s="11"/>
      <c r="Q32" s="13"/>
      <c r="R32" s="14"/>
    </row>
    <row r="33" spans="1:18" ht="15" customHeight="1" x14ac:dyDescent="0.3">
      <c r="A33" s="47" t="s">
        <v>36</v>
      </c>
      <c r="B33" s="47" t="s">
        <v>463</v>
      </c>
      <c r="C33" s="48">
        <v>0.375</v>
      </c>
      <c r="D33" s="47" t="s">
        <v>38</v>
      </c>
      <c r="E33" s="47" t="s">
        <v>250</v>
      </c>
      <c r="F33" s="47" t="s">
        <v>458</v>
      </c>
      <c r="G33" s="174"/>
      <c r="H33" s="10"/>
      <c r="I33" s="11"/>
      <c r="J33" s="11"/>
      <c r="K33" s="11"/>
      <c r="L33" s="11"/>
      <c r="M33" s="11"/>
      <c r="N33" s="11"/>
      <c r="O33" s="12"/>
      <c r="P33" s="11"/>
      <c r="Q33" s="13"/>
      <c r="R33" s="14"/>
    </row>
    <row r="34" spans="1:18" ht="15" customHeight="1" x14ac:dyDescent="0.3">
      <c r="A34" s="15" t="s">
        <v>36</v>
      </c>
      <c r="B34" s="15" t="s">
        <v>463</v>
      </c>
      <c r="C34" s="16">
        <v>0.375</v>
      </c>
      <c r="D34" s="15" t="s">
        <v>41</v>
      </c>
      <c r="E34" s="15" t="s">
        <v>102</v>
      </c>
      <c r="F34" s="15" t="s">
        <v>459</v>
      </c>
      <c r="G34" s="174"/>
      <c r="H34" s="10"/>
      <c r="I34" s="11"/>
      <c r="J34" s="11"/>
      <c r="K34" s="11"/>
      <c r="L34" s="11"/>
      <c r="M34" s="11"/>
      <c r="N34" s="11"/>
      <c r="O34" s="12"/>
      <c r="P34" s="11"/>
      <c r="Q34" s="13"/>
      <c r="R34" s="14"/>
    </row>
    <row r="35" spans="1:18" ht="15" customHeight="1" x14ac:dyDescent="0.3">
      <c r="A35" s="15" t="s">
        <v>36</v>
      </c>
      <c r="B35" s="15" t="s">
        <v>463</v>
      </c>
      <c r="C35" s="16">
        <v>0.375</v>
      </c>
      <c r="D35" s="15" t="s">
        <v>44</v>
      </c>
      <c r="E35" s="15" t="s">
        <v>102</v>
      </c>
      <c r="F35" s="15" t="s">
        <v>460</v>
      </c>
      <c r="G35" s="174"/>
      <c r="H35" s="10"/>
      <c r="I35" s="11"/>
      <c r="J35" s="11"/>
      <c r="K35" s="11"/>
      <c r="L35" s="11"/>
      <c r="M35" s="11"/>
      <c r="N35" s="11"/>
      <c r="O35" s="12"/>
      <c r="P35" s="11"/>
      <c r="Q35" s="13"/>
      <c r="R35" s="14"/>
    </row>
    <row r="36" spans="1:18" ht="15" customHeight="1" x14ac:dyDescent="0.3">
      <c r="A36" s="47" t="s">
        <v>36</v>
      </c>
      <c r="B36" s="47" t="s">
        <v>464</v>
      </c>
      <c r="C36" s="48">
        <v>0.5</v>
      </c>
      <c r="D36" s="47" t="s">
        <v>38</v>
      </c>
      <c r="E36" s="47" t="s">
        <v>250</v>
      </c>
      <c r="F36" s="47" t="s">
        <v>465</v>
      </c>
      <c r="G36" s="174"/>
      <c r="H36" s="10"/>
      <c r="I36" s="11"/>
      <c r="J36" s="11"/>
      <c r="K36" s="11"/>
      <c r="L36" s="11"/>
      <c r="M36" s="11"/>
      <c r="N36" s="11"/>
      <c r="O36" s="12"/>
      <c r="P36" s="11"/>
      <c r="Q36" s="13"/>
      <c r="R36" s="14"/>
    </row>
    <row r="37" spans="1:18" ht="15" customHeight="1" x14ac:dyDescent="0.3">
      <c r="A37" s="15" t="s">
        <v>36</v>
      </c>
      <c r="B37" s="15" t="s">
        <v>464</v>
      </c>
      <c r="C37" s="16">
        <v>0.5</v>
      </c>
      <c r="D37" s="15" t="s">
        <v>41</v>
      </c>
      <c r="E37" s="15" t="s">
        <v>102</v>
      </c>
      <c r="F37" s="15" t="s">
        <v>336</v>
      </c>
      <c r="G37" s="174"/>
      <c r="H37" s="10"/>
      <c r="I37" s="11"/>
      <c r="J37" s="11"/>
      <c r="K37" s="11"/>
      <c r="L37" s="11"/>
      <c r="M37" s="11"/>
      <c r="N37" s="11"/>
      <c r="O37" s="12"/>
      <c r="P37" s="11"/>
      <c r="Q37" s="13"/>
      <c r="R37" s="14"/>
    </row>
    <row r="38" spans="1:18" ht="15" customHeight="1" x14ac:dyDescent="0.3">
      <c r="A38" s="15" t="s">
        <v>36</v>
      </c>
      <c r="B38" s="15" t="s">
        <v>464</v>
      </c>
      <c r="C38" s="16">
        <v>0.5</v>
      </c>
      <c r="D38" s="15" t="s">
        <v>44</v>
      </c>
      <c r="E38" s="15" t="s">
        <v>102</v>
      </c>
      <c r="F38" s="15" t="s">
        <v>30</v>
      </c>
      <c r="G38" s="174"/>
      <c r="H38" s="10"/>
      <c r="I38" s="11"/>
      <c r="J38" s="11"/>
      <c r="K38" s="11"/>
      <c r="L38" s="11"/>
      <c r="M38" s="11"/>
      <c r="N38" s="11"/>
      <c r="O38" s="12"/>
      <c r="P38" s="11"/>
      <c r="Q38" s="13"/>
      <c r="R38" s="14"/>
    </row>
    <row r="39" spans="1:18" ht="15" customHeight="1" x14ac:dyDescent="0.3">
      <c r="A39" s="17" t="s">
        <v>262</v>
      </c>
      <c r="B39" s="17" t="s">
        <v>466</v>
      </c>
      <c r="C39" s="18">
        <v>0.27777777777777779</v>
      </c>
      <c r="D39" s="17" t="s">
        <v>48</v>
      </c>
      <c r="E39" s="17" t="s">
        <v>49</v>
      </c>
      <c r="F39" s="17" t="s">
        <v>467</v>
      </c>
      <c r="G39" s="174"/>
      <c r="H39" s="10"/>
      <c r="I39" s="11"/>
      <c r="J39" s="11"/>
      <c r="K39" s="11"/>
      <c r="L39" s="11"/>
      <c r="M39" s="11"/>
      <c r="N39" s="11"/>
      <c r="O39" s="12"/>
      <c r="P39" s="11"/>
      <c r="Q39" s="13"/>
      <c r="R39" s="14"/>
    </row>
    <row r="40" spans="1:18" ht="15" customHeight="1" x14ac:dyDescent="0.3">
      <c r="A40" s="130" t="s">
        <v>46</v>
      </c>
      <c r="B40" s="130" t="s">
        <v>468</v>
      </c>
      <c r="C40" s="131">
        <v>0.91319444444444453</v>
      </c>
      <c r="D40" s="130" t="s">
        <v>48</v>
      </c>
      <c r="E40" s="130" t="s">
        <v>49</v>
      </c>
      <c r="F40" s="130" t="s">
        <v>469</v>
      </c>
      <c r="G40" s="174"/>
      <c r="H40" s="132" t="s">
        <v>470</v>
      </c>
      <c r="I40" s="133">
        <v>0.60119999999999996</v>
      </c>
      <c r="J40" s="134">
        <v>101</v>
      </c>
      <c r="K40" s="135">
        <v>45981</v>
      </c>
      <c r="L40" s="134">
        <v>40</v>
      </c>
      <c r="M40" s="134">
        <v>0</v>
      </c>
      <c r="N40" s="134">
        <v>13</v>
      </c>
      <c r="O40" s="136" t="s">
        <v>183</v>
      </c>
      <c r="P40" s="137">
        <v>0.91319444444444453</v>
      </c>
      <c r="Q40" s="134">
        <v>168</v>
      </c>
      <c r="R40" s="138" t="s">
        <v>471</v>
      </c>
    </row>
    <row r="41" spans="1:18" ht="15" customHeight="1" x14ac:dyDescent="0.3">
      <c r="A41" s="17" t="s">
        <v>257</v>
      </c>
      <c r="B41" s="17" t="s">
        <v>472</v>
      </c>
      <c r="C41" s="18">
        <v>0.62152777777777779</v>
      </c>
      <c r="D41" s="17" t="s">
        <v>259</v>
      </c>
      <c r="E41" s="17" t="s">
        <v>100</v>
      </c>
      <c r="F41" s="17" t="s">
        <v>473</v>
      </c>
      <c r="G41" s="174"/>
      <c r="H41" s="10"/>
      <c r="I41" s="11"/>
      <c r="J41" s="11"/>
      <c r="K41" s="11"/>
      <c r="L41" s="11"/>
      <c r="M41" s="11"/>
      <c r="N41" s="11"/>
      <c r="O41" s="12"/>
      <c r="P41" s="11"/>
      <c r="Q41" s="13"/>
      <c r="R41" s="14"/>
    </row>
    <row r="42" spans="1:18" ht="15" customHeight="1" x14ac:dyDescent="0.3">
      <c r="A42" s="15" t="s">
        <v>257</v>
      </c>
      <c r="B42" s="15" t="s">
        <v>472</v>
      </c>
      <c r="C42" s="16">
        <v>0.62152777777777779</v>
      </c>
      <c r="D42" s="15" t="s">
        <v>34</v>
      </c>
      <c r="E42" s="15" t="s">
        <v>102</v>
      </c>
      <c r="F42" s="15" t="s">
        <v>474</v>
      </c>
      <c r="G42" s="174"/>
      <c r="H42" s="10"/>
      <c r="I42" s="11"/>
      <c r="J42" s="11"/>
      <c r="K42" s="11"/>
      <c r="L42" s="11"/>
      <c r="M42" s="11"/>
      <c r="N42" s="11"/>
      <c r="O42" s="12"/>
      <c r="P42" s="11"/>
      <c r="Q42" s="13"/>
      <c r="R42" s="14"/>
    </row>
    <row r="43" spans="1:18" ht="15" customHeight="1" x14ac:dyDescent="0.3">
      <c r="A43" s="17" t="s">
        <v>65</v>
      </c>
      <c r="B43" s="17" t="s">
        <v>475</v>
      </c>
      <c r="C43" s="18">
        <v>0.16666666666666671</v>
      </c>
      <c r="D43" s="17" t="s">
        <v>67</v>
      </c>
      <c r="E43" s="17" t="s">
        <v>49</v>
      </c>
      <c r="F43" s="17" t="s">
        <v>476</v>
      </c>
      <c r="G43" s="174"/>
      <c r="H43" s="10"/>
      <c r="I43" s="11"/>
      <c r="J43" s="11"/>
      <c r="K43" s="11"/>
      <c r="L43" s="11"/>
      <c r="M43" s="11"/>
      <c r="N43" s="11"/>
      <c r="O43" s="12"/>
      <c r="P43" s="11"/>
      <c r="Q43" s="13"/>
      <c r="R43" s="14"/>
    </row>
    <row r="44" spans="1:18" ht="15" customHeight="1" x14ac:dyDescent="0.3">
      <c r="A44" s="47" t="s">
        <v>65</v>
      </c>
      <c r="B44" s="47" t="s">
        <v>477</v>
      </c>
      <c r="C44" s="48">
        <v>0.54166666666666663</v>
      </c>
      <c r="D44" s="47" t="s">
        <v>67</v>
      </c>
      <c r="E44" s="47" t="s">
        <v>70</v>
      </c>
      <c r="F44" s="47" t="s">
        <v>478</v>
      </c>
      <c r="G44" s="174"/>
      <c r="H44" s="10"/>
      <c r="I44" s="11"/>
      <c r="J44" s="11"/>
      <c r="K44" s="11"/>
      <c r="L44" s="11"/>
      <c r="M44" s="11"/>
      <c r="N44" s="11"/>
      <c r="O44" s="12"/>
      <c r="P44" s="11"/>
      <c r="Q44" s="13"/>
      <c r="R44" s="14"/>
    </row>
    <row r="45" spans="1:18" ht="15" customHeight="1" x14ac:dyDescent="0.3">
      <c r="A45" s="47" t="s">
        <v>65</v>
      </c>
      <c r="B45" s="47" t="s">
        <v>479</v>
      </c>
      <c r="C45" s="48">
        <v>0.91666666666666663</v>
      </c>
      <c r="D45" s="47" t="s">
        <v>67</v>
      </c>
      <c r="E45" s="47" t="s">
        <v>70</v>
      </c>
      <c r="F45" s="47" t="s">
        <v>480</v>
      </c>
      <c r="G45" s="174"/>
      <c r="H45" s="10"/>
      <c r="I45" s="11"/>
      <c r="J45" s="11"/>
      <c r="K45" s="11"/>
      <c r="L45" s="11"/>
      <c r="M45" s="11"/>
      <c r="N45" s="11"/>
      <c r="O45" s="12"/>
      <c r="P45" s="11"/>
      <c r="Q45" s="13"/>
      <c r="R45" s="14"/>
    </row>
    <row r="46" spans="1:18" ht="15" customHeight="1" x14ac:dyDescent="0.3">
      <c r="A46" s="17" t="s">
        <v>77</v>
      </c>
      <c r="B46" s="17" t="s">
        <v>481</v>
      </c>
      <c r="C46" s="18">
        <v>0.2986111111111111</v>
      </c>
      <c r="D46" s="17" t="s">
        <v>83</v>
      </c>
      <c r="E46" s="17" t="s">
        <v>49</v>
      </c>
      <c r="F46" s="17" t="s">
        <v>482</v>
      </c>
      <c r="G46" s="174"/>
      <c r="H46" s="10"/>
      <c r="I46" s="11"/>
      <c r="J46" s="11"/>
      <c r="K46" s="11"/>
      <c r="L46" s="11"/>
      <c r="M46" s="11"/>
      <c r="N46" s="11"/>
      <c r="O46" s="12"/>
      <c r="P46" s="11"/>
      <c r="Q46" s="13"/>
      <c r="R46" s="14"/>
    </row>
    <row r="47" spans="1:18" ht="15" customHeight="1" x14ac:dyDescent="0.3">
      <c r="A47" s="15" t="s">
        <v>77</v>
      </c>
      <c r="B47" s="15" t="s">
        <v>481</v>
      </c>
      <c r="C47" s="16">
        <v>0.2986111111111111</v>
      </c>
      <c r="D47" s="15" t="s">
        <v>79</v>
      </c>
      <c r="E47" s="15" t="s">
        <v>85</v>
      </c>
      <c r="F47" s="15" t="s">
        <v>483</v>
      </c>
      <c r="G47" s="174"/>
      <c r="H47" s="10"/>
      <c r="I47" s="11"/>
      <c r="J47" s="11"/>
      <c r="K47" s="11"/>
      <c r="L47" s="11"/>
      <c r="M47" s="11"/>
      <c r="N47" s="11"/>
      <c r="O47" s="12"/>
      <c r="P47" s="11"/>
      <c r="Q47" s="13"/>
      <c r="R47" s="14"/>
    </row>
    <row r="48" spans="1:18" ht="15" customHeight="1" x14ac:dyDescent="0.3">
      <c r="A48" s="47" t="s">
        <v>77</v>
      </c>
      <c r="B48" s="47" t="s">
        <v>484</v>
      </c>
      <c r="C48" s="48">
        <v>0.68402777777777779</v>
      </c>
      <c r="D48" s="47" t="s">
        <v>83</v>
      </c>
      <c r="E48" s="47" t="s">
        <v>109</v>
      </c>
      <c r="F48" s="47" t="s">
        <v>482</v>
      </c>
      <c r="G48" s="174"/>
      <c r="H48" s="10"/>
      <c r="I48" s="11"/>
      <c r="J48" s="11"/>
      <c r="K48" s="11"/>
      <c r="L48" s="11"/>
      <c r="M48" s="11"/>
      <c r="N48" s="11"/>
      <c r="O48" s="12"/>
      <c r="P48" s="11"/>
      <c r="Q48" s="13"/>
      <c r="R48" s="14"/>
    </row>
    <row r="49" spans="1:18" ht="15" customHeight="1" x14ac:dyDescent="0.3">
      <c r="A49" s="15" t="s">
        <v>77</v>
      </c>
      <c r="B49" s="15" t="s">
        <v>484</v>
      </c>
      <c r="C49" s="16">
        <v>0.68402777777777779</v>
      </c>
      <c r="D49" s="15" t="s">
        <v>79</v>
      </c>
      <c r="E49" s="15" t="s">
        <v>124</v>
      </c>
      <c r="F49" s="15" t="s">
        <v>483</v>
      </c>
      <c r="G49" s="174"/>
      <c r="H49" s="10"/>
      <c r="I49" s="11"/>
      <c r="J49" s="11"/>
      <c r="K49" s="11"/>
      <c r="L49" s="11"/>
      <c r="M49" s="11"/>
      <c r="N49" s="11"/>
      <c r="O49" s="12"/>
      <c r="P49" s="11"/>
      <c r="Q49" s="13"/>
      <c r="R49" s="14"/>
    </row>
    <row r="50" spans="1:18" ht="15" customHeight="1" x14ac:dyDescent="0.3">
      <c r="A50" s="47" t="s">
        <v>77</v>
      </c>
      <c r="B50" s="47" t="s">
        <v>485</v>
      </c>
      <c r="C50" s="48">
        <v>0.55208333333333337</v>
      </c>
      <c r="D50" s="47" t="s">
        <v>83</v>
      </c>
      <c r="E50" s="47" t="s">
        <v>70</v>
      </c>
      <c r="F50" s="47" t="s">
        <v>482</v>
      </c>
      <c r="G50" s="174"/>
      <c r="H50" s="10"/>
      <c r="I50" s="11"/>
      <c r="J50" s="11"/>
      <c r="K50" s="11"/>
      <c r="L50" s="11"/>
      <c r="M50" s="11"/>
      <c r="N50" s="11"/>
      <c r="O50" s="12"/>
      <c r="P50" s="11"/>
      <c r="Q50" s="13"/>
      <c r="R50" s="14"/>
    </row>
    <row r="51" spans="1:18" ht="15" customHeight="1" x14ac:dyDescent="0.3">
      <c r="A51" s="15" t="s">
        <v>77</v>
      </c>
      <c r="B51" s="15" t="s">
        <v>485</v>
      </c>
      <c r="C51" s="16">
        <v>0.55208333333333337</v>
      </c>
      <c r="D51" s="15" t="s">
        <v>79</v>
      </c>
      <c r="E51" s="15" t="s">
        <v>85</v>
      </c>
      <c r="F51" s="15" t="s">
        <v>483</v>
      </c>
      <c r="G51" s="174"/>
      <c r="H51" s="10"/>
      <c r="I51" s="11"/>
      <c r="J51" s="11"/>
      <c r="K51" s="11"/>
      <c r="L51" s="11"/>
      <c r="M51" s="11"/>
      <c r="N51" s="11"/>
      <c r="O51" s="12"/>
      <c r="P51" s="11"/>
      <c r="Q51" s="13"/>
      <c r="R51" s="14"/>
    </row>
    <row r="52" spans="1:18" ht="15" customHeight="1" x14ac:dyDescent="0.3">
      <c r="A52" s="47" t="s">
        <v>77</v>
      </c>
      <c r="B52" s="47" t="s">
        <v>486</v>
      </c>
      <c r="C52" s="48">
        <v>0.4826388888888889</v>
      </c>
      <c r="D52" s="47" t="s">
        <v>83</v>
      </c>
      <c r="E52" s="47" t="s">
        <v>70</v>
      </c>
      <c r="F52" s="47" t="s">
        <v>482</v>
      </c>
      <c r="G52" s="174"/>
      <c r="H52" s="10"/>
      <c r="I52" s="11"/>
      <c r="J52" s="11"/>
      <c r="K52" s="11"/>
      <c r="L52" s="11"/>
      <c r="M52" s="11"/>
      <c r="N52" s="11"/>
      <c r="O52" s="12"/>
      <c r="P52" s="11"/>
      <c r="Q52" s="13"/>
      <c r="R52" s="14"/>
    </row>
    <row r="53" spans="1:18" ht="15" customHeight="1" x14ac:dyDescent="0.3">
      <c r="A53" s="15" t="s">
        <v>77</v>
      </c>
      <c r="B53" s="15" t="s">
        <v>486</v>
      </c>
      <c r="C53" s="16">
        <v>0.4826388888888889</v>
      </c>
      <c r="D53" s="15" t="s">
        <v>79</v>
      </c>
      <c r="E53" s="15" t="s">
        <v>85</v>
      </c>
      <c r="F53" s="15" t="s">
        <v>483</v>
      </c>
      <c r="G53" s="174"/>
      <c r="H53" s="10"/>
      <c r="I53" s="11"/>
      <c r="J53" s="11"/>
      <c r="K53" s="11"/>
      <c r="L53" s="11"/>
      <c r="M53" s="11"/>
      <c r="N53" s="11"/>
      <c r="O53" s="12"/>
      <c r="P53" s="11"/>
      <c r="Q53" s="13"/>
      <c r="R53" s="14"/>
    </row>
    <row r="54" spans="1:18" ht="15" customHeight="1" x14ac:dyDescent="0.3">
      <c r="A54" s="47" t="s">
        <v>77</v>
      </c>
      <c r="B54" s="47" t="s">
        <v>487</v>
      </c>
      <c r="C54" s="48">
        <v>0.83680555555555547</v>
      </c>
      <c r="D54" s="47" t="s">
        <v>83</v>
      </c>
      <c r="E54" s="47" t="s">
        <v>70</v>
      </c>
      <c r="F54" s="47" t="s">
        <v>488</v>
      </c>
      <c r="G54" s="174"/>
      <c r="H54" s="10"/>
      <c r="I54" s="11"/>
      <c r="J54" s="11"/>
      <c r="K54" s="11"/>
      <c r="L54" s="11"/>
      <c r="M54" s="11"/>
      <c r="N54" s="11"/>
      <c r="O54" s="12"/>
      <c r="P54" s="11"/>
      <c r="Q54" s="13"/>
      <c r="R54" s="14"/>
    </row>
    <row r="55" spans="1:18" ht="15" customHeight="1" x14ac:dyDescent="0.3">
      <c r="A55" s="15" t="s">
        <v>77</v>
      </c>
      <c r="B55" s="15" t="s">
        <v>487</v>
      </c>
      <c r="C55" s="16">
        <v>0.83680555555555547</v>
      </c>
      <c r="D55" s="15" t="s">
        <v>79</v>
      </c>
      <c r="E55" s="15" t="s">
        <v>85</v>
      </c>
      <c r="F55" s="15" t="s">
        <v>489</v>
      </c>
      <c r="G55" s="174"/>
      <c r="H55" s="10"/>
      <c r="I55" s="11"/>
      <c r="J55" s="11"/>
      <c r="K55" s="11"/>
      <c r="L55" s="11"/>
      <c r="M55" s="11"/>
      <c r="N55" s="11"/>
      <c r="O55" s="12"/>
      <c r="P55" s="11"/>
      <c r="Q55" s="13"/>
      <c r="R55" s="14"/>
    </row>
    <row r="56" spans="1:18" ht="15" customHeight="1" x14ac:dyDescent="0.3">
      <c r="A56" s="47" t="s">
        <v>77</v>
      </c>
      <c r="B56" s="47" t="s">
        <v>490</v>
      </c>
      <c r="C56" s="48">
        <v>0.76041666666666663</v>
      </c>
      <c r="D56" s="47" t="s">
        <v>79</v>
      </c>
      <c r="E56" s="47" t="s">
        <v>107</v>
      </c>
      <c r="F56" s="47" t="s">
        <v>491</v>
      </c>
      <c r="G56" s="174"/>
      <c r="H56" s="10"/>
      <c r="I56" s="11"/>
      <c r="J56" s="11"/>
      <c r="K56" s="11"/>
      <c r="L56" s="11"/>
      <c r="M56" s="11"/>
      <c r="N56" s="11"/>
      <c r="O56" s="12"/>
      <c r="P56" s="11"/>
      <c r="Q56" s="13"/>
      <c r="R56" s="14"/>
    </row>
    <row r="57" spans="1:18" ht="15" customHeight="1" x14ac:dyDescent="0.3">
      <c r="A57" s="47" t="s">
        <v>77</v>
      </c>
      <c r="B57" s="47" t="s">
        <v>492</v>
      </c>
      <c r="C57" s="48">
        <v>0.5</v>
      </c>
      <c r="D57" s="47" t="s">
        <v>79</v>
      </c>
      <c r="E57" s="47" t="s">
        <v>107</v>
      </c>
      <c r="F57" s="47" t="s">
        <v>491</v>
      </c>
      <c r="G57" s="174"/>
      <c r="H57" s="10"/>
      <c r="I57" s="11"/>
      <c r="J57" s="11"/>
      <c r="K57" s="11"/>
      <c r="L57" s="11"/>
      <c r="M57" s="11"/>
      <c r="N57" s="11"/>
      <c r="O57" s="12"/>
      <c r="P57" s="11"/>
      <c r="Q57" s="13"/>
      <c r="R57" s="14"/>
    </row>
    <row r="58" spans="1:18" ht="15" customHeight="1" thickBot="1" x14ac:dyDescent="0.35">
      <c r="A58" s="64" t="s">
        <v>77</v>
      </c>
      <c r="B58" s="64" t="s">
        <v>493</v>
      </c>
      <c r="C58" s="65">
        <v>0.81597222222222221</v>
      </c>
      <c r="D58" s="64" t="s">
        <v>79</v>
      </c>
      <c r="E58" s="64" t="s">
        <v>107</v>
      </c>
      <c r="F58" s="64" t="s">
        <v>491</v>
      </c>
      <c r="G58" s="175"/>
      <c r="H58" s="51"/>
      <c r="I58" s="52"/>
      <c r="J58" s="52"/>
      <c r="K58" s="52"/>
      <c r="L58" s="52"/>
      <c r="M58" s="52"/>
      <c r="N58" s="52"/>
      <c r="O58" s="53"/>
      <c r="P58" s="52"/>
      <c r="Q58" s="54"/>
      <c r="R58" s="55"/>
    </row>
    <row r="59" spans="1:18" ht="17.399999999999999" customHeight="1" thickBot="1" x14ac:dyDescent="0.35">
      <c r="A59" s="205"/>
      <c r="B59" s="206"/>
      <c r="C59" s="206"/>
      <c r="D59" s="206"/>
      <c r="E59" s="206"/>
      <c r="F59" s="206"/>
      <c r="G59" s="206"/>
      <c r="H59" s="206"/>
      <c r="I59" s="206"/>
      <c r="J59" s="206"/>
      <c r="K59" s="206"/>
      <c r="L59" s="206"/>
      <c r="M59" s="206"/>
      <c r="N59" s="206"/>
      <c r="O59" s="206"/>
      <c r="P59" s="206"/>
      <c r="Q59" s="206"/>
      <c r="R59" s="207"/>
    </row>
    <row r="60" spans="1:18" ht="22.05" customHeight="1" thickTop="1" thickBot="1" x14ac:dyDescent="0.35">
      <c r="A60" s="184" t="s">
        <v>6</v>
      </c>
      <c r="B60" s="180"/>
      <c r="C60" s="180"/>
      <c r="D60" s="180"/>
      <c r="E60" s="180"/>
      <c r="F60" s="181"/>
      <c r="G60" s="56">
        <v>45987</v>
      </c>
      <c r="H60" s="188" t="s">
        <v>7</v>
      </c>
      <c r="I60" s="180"/>
      <c r="J60" s="180"/>
      <c r="K60" s="180"/>
      <c r="L60" s="180"/>
      <c r="M60" s="180"/>
      <c r="N60" s="180"/>
      <c r="O60" s="180"/>
      <c r="P60" s="180"/>
      <c r="Q60" s="180"/>
      <c r="R60" s="181"/>
    </row>
    <row r="61" spans="1:18" ht="24" customHeight="1" x14ac:dyDescent="0.3">
      <c r="A61" s="57" t="s">
        <v>8</v>
      </c>
      <c r="B61" s="57" t="s">
        <v>9</v>
      </c>
      <c r="C61" s="58" t="s">
        <v>10</v>
      </c>
      <c r="D61" s="57" t="s">
        <v>11</v>
      </c>
      <c r="E61" s="57" t="s">
        <v>12</v>
      </c>
      <c r="F61" s="59" t="s">
        <v>13</v>
      </c>
      <c r="G61" s="60" t="s">
        <v>14</v>
      </c>
      <c r="H61" s="57" t="s">
        <v>15</v>
      </c>
      <c r="I61" s="61" t="s">
        <v>16</v>
      </c>
      <c r="J61" s="62" t="s">
        <v>17</v>
      </c>
      <c r="K61" s="63" t="s">
        <v>18</v>
      </c>
      <c r="L61" s="62" t="s">
        <v>19</v>
      </c>
      <c r="M61" s="62" t="s">
        <v>20</v>
      </c>
      <c r="N61" s="62" t="s">
        <v>21</v>
      </c>
      <c r="O61" s="57" t="s">
        <v>22</v>
      </c>
      <c r="P61" s="58" t="s">
        <v>23</v>
      </c>
      <c r="Q61" s="62" t="s">
        <v>24</v>
      </c>
      <c r="R61" s="57" t="s">
        <v>25</v>
      </c>
    </row>
    <row r="62" spans="1:18" ht="15" customHeight="1" x14ac:dyDescent="0.3">
      <c r="A62" s="8" t="s">
        <v>26</v>
      </c>
      <c r="B62" s="8" t="s">
        <v>441</v>
      </c>
      <c r="C62" s="9">
        <v>0.44791666666666669</v>
      </c>
      <c r="D62" s="8" t="s">
        <v>28</v>
      </c>
      <c r="E62" s="8" t="s">
        <v>494</v>
      </c>
      <c r="F62" s="8" t="s">
        <v>443</v>
      </c>
      <c r="G62" s="190"/>
      <c r="H62" s="10"/>
      <c r="I62" s="11"/>
      <c r="J62" s="11"/>
      <c r="K62" s="11"/>
      <c r="L62" s="11"/>
      <c r="M62" s="11"/>
      <c r="N62" s="11"/>
      <c r="O62" s="12"/>
      <c r="P62" s="11"/>
      <c r="Q62" s="13"/>
      <c r="R62" s="14"/>
    </row>
    <row r="63" spans="1:18" ht="15" customHeight="1" x14ac:dyDescent="0.3">
      <c r="A63" s="15" t="s">
        <v>26</v>
      </c>
      <c r="B63" s="15" t="s">
        <v>441</v>
      </c>
      <c r="C63" s="16">
        <v>0.44791666666666669</v>
      </c>
      <c r="D63" s="15" t="s">
        <v>31</v>
      </c>
      <c r="E63" s="15" t="s">
        <v>495</v>
      </c>
      <c r="F63" s="15" t="s">
        <v>335</v>
      </c>
      <c r="G63" s="174"/>
      <c r="H63" s="10"/>
      <c r="I63" s="11"/>
      <c r="J63" s="11"/>
      <c r="K63" s="11"/>
      <c r="L63" s="11"/>
      <c r="M63" s="11"/>
      <c r="N63" s="11"/>
      <c r="O63" s="12"/>
      <c r="P63" s="11"/>
      <c r="Q63" s="13"/>
      <c r="R63" s="14"/>
    </row>
    <row r="64" spans="1:18" ht="15" customHeight="1" x14ac:dyDescent="0.3">
      <c r="A64" s="15" t="s">
        <v>26</v>
      </c>
      <c r="B64" s="15" t="s">
        <v>441</v>
      </c>
      <c r="C64" s="16">
        <v>0.44791666666666669</v>
      </c>
      <c r="D64" s="15" t="s">
        <v>34</v>
      </c>
      <c r="E64" s="15" t="s">
        <v>495</v>
      </c>
      <c r="F64" s="15" t="s">
        <v>445</v>
      </c>
      <c r="G64" s="174"/>
      <c r="H64" s="10"/>
      <c r="I64" s="11"/>
      <c r="J64" s="11"/>
      <c r="K64" s="11"/>
      <c r="L64" s="11"/>
      <c r="M64" s="11"/>
      <c r="N64" s="11"/>
      <c r="O64" s="12"/>
      <c r="P64" s="11"/>
      <c r="Q64" s="13"/>
      <c r="R64" s="14"/>
    </row>
    <row r="65" spans="1:18" ht="15" customHeight="1" x14ac:dyDescent="0.3">
      <c r="A65" s="47" t="s">
        <v>26</v>
      </c>
      <c r="B65" s="47" t="s">
        <v>446</v>
      </c>
      <c r="C65" s="48">
        <v>0.5</v>
      </c>
      <c r="D65" s="47" t="s">
        <v>28</v>
      </c>
      <c r="E65" s="47" t="s">
        <v>496</v>
      </c>
      <c r="F65" s="47" t="s">
        <v>443</v>
      </c>
      <c r="G65" s="174"/>
      <c r="H65" s="10"/>
      <c r="I65" s="11"/>
      <c r="J65" s="11"/>
      <c r="K65" s="11"/>
      <c r="L65" s="11"/>
      <c r="M65" s="11"/>
      <c r="N65" s="11"/>
      <c r="O65" s="12"/>
      <c r="P65" s="11"/>
      <c r="Q65" s="13"/>
      <c r="R65" s="14"/>
    </row>
    <row r="66" spans="1:18" ht="15" customHeight="1" x14ac:dyDescent="0.3">
      <c r="A66" s="15" t="s">
        <v>26</v>
      </c>
      <c r="B66" s="15" t="s">
        <v>446</v>
      </c>
      <c r="C66" s="16">
        <v>0.5</v>
      </c>
      <c r="D66" s="15" t="s">
        <v>31</v>
      </c>
      <c r="E66" s="15" t="s">
        <v>497</v>
      </c>
      <c r="F66" s="15" t="s">
        <v>335</v>
      </c>
      <c r="G66" s="174"/>
      <c r="H66" s="10"/>
      <c r="I66" s="11"/>
      <c r="J66" s="11"/>
      <c r="K66" s="11"/>
      <c r="L66" s="11"/>
      <c r="M66" s="11"/>
      <c r="N66" s="11"/>
      <c r="O66" s="12"/>
      <c r="P66" s="11"/>
      <c r="Q66" s="13"/>
      <c r="R66" s="14"/>
    </row>
    <row r="67" spans="1:18" ht="15" customHeight="1" x14ac:dyDescent="0.3">
      <c r="A67" s="15" t="s">
        <v>26</v>
      </c>
      <c r="B67" s="15" t="s">
        <v>446</v>
      </c>
      <c r="C67" s="16">
        <v>0.5</v>
      </c>
      <c r="D67" s="15" t="s">
        <v>34</v>
      </c>
      <c r="E67" s="15" t="s">
        <v>497</v>
      </c>
      <c r="F67" s="15" t="s">
        <v>445</v>
      </c>
      <c r="G67" s="174"/>
      <c r="H67" s="10"/>
      <c r="I67" s="11"/>
      <c r="J67" s="11"/>
      <c r="K67" s="11"/>
      <c r="L67" s="11"/>
      <c r="M67" s="11"/>
      <c r="N67" s="11"/>
      <c r="O67" s="12"/>
      <c r="P67" s="11"/>
      <c r="Q67" s="13"/>
      <c r="R67" s="14"/>
    </row>
    <row r="68" spans="1:18" ht="15" customHeight="1" x14ac:dyDescent="0.3">
      <c r="A68" s="47" t="s">
        <v>26</v>
      </c>
      <c r="B68" s="47" t="s">
        <v>449</v>
      </c>
      <c r="C68" s="48">
        <v>0.76041666666666663</v>
      </c>
      <c r="D68" s="47" t="s">
        <v>28</v>
      </c>
      <c r="E68" s="47" t="s">
        <v>498</v>
      </c>
      <c r="F68" s="47" t="s">
        <v>443</v>
      </c>
      <c r="G68" s="174"/>
      <c r="H68" s="10"/>
      <c r="I68" s="11"/>
      <c r="J68" s="11"/>
      <c r="K68" s="11"/>
      <c r="L68" s="11"/>
      <c r="M68" s="11"/>
      <c r="N68" s="11"/>
      <c r="O68" s="12"/>
      <c r="P68" s="11"/>
      <c r="Q68" s="13"/>
      <c r="R68" s="14"/>
    </row>
    <row r="69" spans="1:18" ht="15" customHeight="1" x14ac:dyDescent="0.3">
      <c r="A69" s="15" t="s">
        <v>26</v>
      </c>
      <c r="B69" s="15" t="s">
        <v>449</v>
      </c>
      <c r="C69" s="16">
        <v>0.76041666666666663</v>
      </c>
      <c r="D69" s="15" t="s">
        <v>31</v>
      </c>
      <c r="E69" s="15" t="s">
        <v>499</v>
      </c>
      <c r="F69" s="15" t="s">
        <v>335</v>
      </c>
      <c r="G69" s="174"/>
      <c r="H69" s="10"/>
      <c r="I69" s="11"/>
      <c r="J69" s="11"/>
      <c r="K69" s="11"/>
      <c r="L69" s="11"/>
      <c r="M69" s="11"/>
      <c r="N69" s="11"/>
      <c r="O69" s="12"/>
      <c r="P69" s="11"/>
      <c r="Q69" s="13"/>
      <c r="R69" s="14"/>
    </row>
    <row r="70" spans="1:18" ht="15" customHeight="1" x14ac:dyDescent="0.3">
      <c r="A70" s="15" t="s">
        <v>26</v>
      </c>
      <c r="B70" s="15" t="s">
        <v>449</v>
      </c>
      <c r="C70" s="16">
        <v>0.76041666666666663</v>
      </c>
      <c r="D70" s="15" t="s">
        <v>34</v>
      </c>
      <c r="E70" s="15" t="s">
        <v>499</v>
      </c>
      <c r="F70" s="15" t="s">
        <v>445</v>
      </c>
      <c r="G70" s="174"/>
      <c r="H70" s="10"/>
      <c r="I70" s="11"/>
      <c r="J70" s="11"/>
      <c r="K70" s="11"/>
      <c r="L70" s="11"/>
      <c r="M70" s="11"/>
      <c r="N70" s="11"/>
      <c r="O70" s="12"/>
      <c r="P70" s="11"/>
      <c r="Q70" s="13"/>
      <c r="R70" s="14"/>
    </row>
    <row r="71" spans="1:18" ht="15" customHeight="1" x14ac:dyDescent="0.3">
      <c r="A71" s="47" t="s">
        <v>26</v>
      </c>
      <c r="B71" s="47" t="s">
        <v>450</v>
      </c>
      <c r="C71" s="48">
        <v>0.81597222222222221</v>
      </c>
      <c r="D71" s="47" t="s">
        <v>28</v>
      </c>
      <c r="E71" s="47" t="s">
        <v>228</v>
      </c>
      <c r="F71" s="47" t="s">
        <v>443</v>
      </c>
      <c r="G71" s="174"/>
      <c r="H71" s="10"/>
      <c r="I71" s="11"/>
      <c r="J71" s="11"/>
      <c r="K71" s="11"/>
      <c r="L71" s="11"/>
      <c r="M71" s="11"/>
      <c r="N71" s="11"/>
      <c r="O71" s="12"/>
      <c r="P71" s="11"/>
      <c r="Q71" s="13"/>
      <c r="R71" s="14"/>
    </row>
    <row r="72" spans="1:18" ht="15" customHeight="1" x14ac:dyDescent="0.3">
      <c r="A72" s="15" t="s">
        <v>26</v>
      </c>
      <c r="B72" s="15" t="s">
        <v>450</v>
      </c>
      <c r="C72" s="16">
        <v>0.81597222222222221</v>
      </c>
      <c r="D72" s="15" t="s">
        <v>31</v>
      </c>
      <c r="E72" s="15" t="s">
        <v>308</v>
      </c>
      <c r="F72" s="15" t="s">
        <v>335</v>
      </c>
      <c r="G72" s="174"/>
      <c r="H72" s="10"/>
      <c r="I72" s="11"/>
      <c r="J72" s="11"/>
      <c r="K72" s="11"/>
      <c r="L72" s="11"/>
      <c r="M72" s="11"/>
      <c r="N72" s="11"/>
      <c r="O72" s="12"/>
      <c r="P72" s="11"/>
      <c r="Q72" s="13"/>
      <c r="R72" s="14"/>
    </row>
    <row r="73" spans="1:18" ht="15" customHeight="1" x14ac:dyDescent="0.3">
      <c r="A73" s="15" t="s">
        <v>26</v>
      </c>
      <c r="B73" s="15" t="s">
        <v>450</v>
      </c>
      <c r="C73" s="16">
        <v>0.81597222222222221</v>
      </c>
      <c r="D73" s="15" t="s">
        <v>34</v>
      </c>
      <c r="E73" s="15" t="s">
        <v>308</v>
      </c>
      <c r="F73" s="15" t="s">
        <v>445</v>
      </c>
      <c r="G73" s="174"/>
      <c r="H73" s="10"/>
      <c r="I73" s="11"/>
      <c r="J73" s="11"/>
      <c r="K73" s="11"/>
      <c r="L73" s="11"/>
      <c r="M73" s="11"/>
      <c r="N73" s="11"/>
      <c r="O73" s="12"/>
      <c r="P73" s="11"/>
      <c r="Q73" s="13"/>
      <c r="R73" s="14"/>
    </row>
    <row r="74" spans="1:18" ht="15" customHeight="1" x14ac:dyDescent="0.3">
      <c r="A74" s="17" t="s">
        <v>36</v>
      </c>
      <c r="B74" s="17" t="s">
        <v>453</v>
      </c>
      <c r="C74" s="18">
        <v>0.30555555555555552</v>
      </c>
      <c r="D74" s="17" t="s">
        <v>38</v>
      </c>
      <c r="E74" s="17" t="s">
        <v>100</v>
      </c>
      <c r="F74" s="17" t="s">
        <v>454</v>
      </c>
      <c r="G74" s="174"/>
      <c r="H74" s="10"/>
      <c r="I74" s="11"/>
      <c r="J74" s="11"/>
      <c r="K74" s="11"/>
      <c r="L74" s="11"/>
      <c r="M74" s="11"/>
      <c r="N74" s="11"/>
      <c r="O74" s="12"/>
      <c r="P74" s="11"/>
      <c r="Q74" s="13"/>
      <c r="R74" s="14"/>
    </row>
    <row r="75" spans="1:18" ht="15" customHeight="1" x14ac:dyDescent="0.3">
      <c r="A75" s="15" t="s">
        <v>36</v>
      </c>
      <c r="B75" s="15" t="s">
        <v>453</v>
      </c>
      <c r="C75" s="16">
        <v>0.30555555555555552</v>
      </c>
      <c r="D75" s="15" t="s">
        <v>41</v>
      </c>
      <c r="E75" s="15" t="s">
        <v>102</v>
      </c>
      <c r="F75" s="15" t="s">
        <v>344</v>
      </c>
      <c r="G75" s="174"/>
      <c r="H75" s="10"/>
      <c r="I75" s="11"/>
      <c r="J75" s="11"/>
      <c r="K75" s="11"/>
      <c r="L75" s="11"/>
      <c r="M75" s="11"/>
      <c r="N75" s="11"/>
      <c r="O75" s="12"/>
      <c r="P75" s="11"/>
      <c r="Q75" s="13"/>
      <c r="R75" s="14"/>
    </row>
    <row r="76" spans="1:18" ht="15" customHeight="1" x14ac:dyDescent="0.3">
      <c r="A76" s="15" t="s">
        <v>36</v>
      </c>
      <c r="B76" s="15" t="s">
        <v>453</v>
      </c>
      <c r="C76" s="16">
        <v>0.30555555555555552</v>
      </c>
      <c r="D76" s="15" t="s">
        <v>44</v>
      </c>
      <c r="E76" s="15" t="s">
        <v>102</v>
      </c>
      <c r="F76" s="15" t="s">
        <v>455</v>
      </c>
      <c r="G76" s="174"/>
      <c r="H76" s="10"/>
      <c r="I76" s="11"/>
      <c r="J76" s="11"/>
      <c r="K76" s="11"/>
      <c r="L76" s="11"/>
      <c r="M76" s="11"/>
      <c r="N76" s="11"/>
      <c r="O76" s="12"/>
      <c r="P76" s="11"/>
      <c r="Q76" s="13"/>
      <c r="R76" s="14"/>
    </row>
    <row r="77" spans="1:18" ht="15" customHeight="1" x14ac:dyDescent="0.3">
      <c r="A77" s="47" t="s">
        <v>36</v>
      </c>
      <c r="B77" s="47" t="s">
        <v>464</v>
      </c>
      <c r="C77" s="48">
        <v>0.5</v>
      </c>
      <c r="D77" s="47" t="s">
        <v>38</v>
      </c>
      <c r="E77" s="47" t="s">
        <v>109</v>
      </c>
      <c r="F77" s="47" t="s">
        <v>454</v>
      </c>
      <c r="G77" s="174"/>
      <c r="H77" s="10"/>
      <c r="I77" s="11"/>
      <c r="J77" s="11"/>
      <c r="K77" s="11"/>
      <c r="L77" s="11"/>
      <c r="M77" s="11"/>
      <c r="N77" s="11"/>
      <c r="O77" s="12"/>
      <c r="P77" s="11"/>
      <c r="Q77" s="13"/>
      <c r="R77" s="14"/>
    </row>
    <row r="78" spans="1:18" ht="15" customHeight="1" x14ac:dyDescent="0.3">
      <c r="A78" s="15" t="s">
        <v>36</v>
      </c>
      <c r="B78" s="15" t="s">
        <v>464</v>
      </c>
      <c r="C78" s="16">
        <v>0.5</v>
      </c>
      <c r="D78" s="15" t="s">
        <v>41</v>
      </c>
      <c r="E78" s="15" t="s">
        <v>124</v>
      </c>
      <c r="F78" s="15" t="s">
        <v>344</v>
      </c>
      <c r="G78" s="174"/>
      <c r="H78" s="10"/>
      <c r="I78" s="11"/>
      <c r="J78" s="11"/>
      <c r="K78" s="11"/>
      <c r="L78" s="11"/>
      <c r="M78" s="11"/>
      <c r="N78" s="11"/>
      <c r="O78" s="12"/>
      <c r="P78" s="11"/>
      <c r="Q78" s="13"/>
      <c r="R78" s="14"/>
    </row>
    <row r="79" spans="1:18" ht="15" customHeight="1" x14ac:dyDescent="0.3">
      <c r="A79" s="15" t="s">
        <v>36</v>
      </c>
      <c r="B79" s="15" t="s">
        <v>464</v>
      </c>
      <c r="C79" s="16">
        <v>0.5</v>
      </c>
      <c r="D79" s="15" t="s">
        <v>44</v>
      </c>
      <c r="E79" s="15" t="s">
        <v>124</v>
      </c>
      <c r="F79" s="15" t="s">
        <v>455</v>
      </c>
      <c r="G79" s="174"/>
      <c r="H79" s="10"/>
      <c r="I79" s="11"/>
      <c r="J79" s="11"/>
      <c r="K79" s="11"/>
      <c r="L79" s="11"/>
      <c r="M79" s="11"/>
      <c r="N79" s="11"/>
      <c r="O79" s="12"/>
      <c r="P79" s="11"/>
      <c r="Q79" s="13"/>
      <c r="R79" s="14"/>
    </row>
    <row r="80" spans="1:18" ht="15" customHeight="1" x14ac:dyDescent="0.3">
      <c r="A80" s="47" t="s">
        <v>36</v>
      </c>
      <c r="B80" s="47" t="s">
        <v>461</v>
      </c>
      <c r="C80" s="48">
        <v>0.42708333333333331</v>
      </c>
      <c r="D80" s="47" t="s">
        <v>38</v>
      </c>
      <c r="E80" s="47" t="s">
        <v>250</v>
      </c>
      <c r="F80" s="47" t="s">
        <v>454</v>
      </c>
      <c r="G80" s="174"/>
      <c r="H80" s="10"/>
      <c r="I80" s="11"/>
      <c r="J80" s="11"/>
      <c r="K80" s="11"/>
      <c r="L80" s="11"/>
      <c r="M80" s="11"/>
      <c r="N80" s="11"/>
      <c r="O80" s="12"/>
      <c r="P80" s="11"/>
      <c r="Q80" s="13"/>
      <c r="R80" s="14"/>
    </row>
    <row r="81" spans="1:18" ht="15" customHeight="1" x14ac:dyDescent="0.3">
      <c r="A81" s="15" t="s">
        <v>36</v>
      </c>
      <c r="B81" s="15" t="s">
        <v>461</v>
      </c>
      <c r="C81" s="16">
        <v>0.42708333333333331</v>
      </c>
      <c r="D81" s="15" t="s">
        <v>41</v>
      </c>
      <c r="E81" s="15" t="s">
        <v>102</v>
      </c>
      <c r="F81" s="15" t="s">
        <v>344</v>
      </c>
      <c r="G81" s="174"/>
      <c r="H81" s="10"/>
      <c r="I81" s="11"/>
      <c r="J81" s="11"/>
      <c r="K81" s="11"/>
      <c r="L81" s="11"/>
      <c r="M81" s="11"/>
      <c r="N81" s="11"/>
      <c r="O81" s="12"/>
      <c r="P81" s="11"/>
      <c r="Q81" s="13"/>
      <c r="R81" s="14"/>
    </row>
    <row r="82" spans="1:18" ht="15" customHeight="1" x14ac:dyDescent="0.3">
      <c r="A82" s="15" t="s">
        <v>36</v>
      </c>
      <c r="B82" s="15" t="s">
        <v>461</v>
      </c>
      <c r="C82" s="16">
        <v>0.42708333333333331</v>
      </c>
      <c r="D82" s="15" t="s">
        <v>44</v>
      </c>
      <c r="E82" s="15" t="s">
        <v>102</v>
      </c>
      <c r="F82" s="15" t="s">
        <v>455</v>
      </c>
      <c r="G82" s="174"/>
      <c r="H82" s="10"/>
      <c r="I82" s="11"/>
      <c r="J82" s="11"/>
      <c r="K82" s="11"/>
      <c r="L82" s="11"/>
      <c r="M82" s="11"/>
      <c r="N82" s="11"/>
      <c r="O82" s="12"/>
      <c r="P82" s="11"/>
      <c r="Q82" s="13"/>
      <c r="R82" s="14"/>
    </row>
    <row r="83" spans="1:18" ht="15" customHeight="1" x14ac:dyDescent="0.3">
      <c r="A83" s="47" t="s">
        <v>36</v>
      </c>
      <c r="B83" s="47" t="s">
        <v>462</v>
      </c>
      <c r="C83" s="48">
        <v>0.6875</v>
      </c>
      <c r="D83" s="47" t="s">
        <v>38</v>
      </c>
      <c r="E83" s="47" t="s">
        <v>107</v>
      </c>
      <c r="F83" s="47" t="s">
        <v>454</v>
      </c>
      <c r="G83" s="174"/>
      <c r="H83" s="10"/>
      <c r="I83" s="11"/>
      <c r="J83" s="11"/>
      <c r="K83" s="11"/>
      <c r="L83" s="11"/>
      <c r="M83" s="11"/>
      <c r="N83" s="11"/>
      <c r="O83" s="12"/>
      <c r="P83" s="11"/>
      <c r="Q83" s="13"/>
      <c r="R83" s="14"/>
    </row>
    <row r="84" spans="1:18" ht="15" customHeight="1" x14ac:dyDescent="0.3">
      <c r="A84" s="15" t="s">
        <v>36</v>
      </c>
      <c r="B84" s="15" t="s">
        <v>462</v>
      </c>
      <c r="C84" s="16">
        <v>0.6875</v>
      </c>
      <c r="D84" s="15" t="s">
        <v>41</v>
      </c>
      <c r="E84" s="15" t="s">
        <v>113</v>
      </c>
      <c r="F84" s="15" t="s">
        <v>344</v>
      </c>
      <c r="G84" s="174"/>
      <c r="H84" s="10"/>
      <c r="I84" s="11"/>
      <c r="J84" s="11"/>
      <c r="K84" s="11"/>
      <c r="L84" s="11"/>
      <c r="M84" s="11"/>
      <c r="N84" s="11"/>
      <c r="O84" s="12"/>
      <c r="P84" s="11"/>
      <c r="Q84" s="13"/>
      <c r="R84" s="14"/>
    </row>
    <row r="85" spans="1:18" ht="15" customHeight="1" x14ac:dyDescent="0.3">
      <c r="A85" s="15" t="s">
        <v>36</v>
      </c>
      <c r="B85" s="15" t="s">
        <v>462</v>
      </c>
      <c r="C85" s="16">
        <v>0.6875</v>
      </c>
      <c r="D85" s="15" t="s">
        <v>44</v>
      </c>
      <c r="E85" s="15" t="s">
        <v>113</v>
      </c>
      <c r="F85" s="15" t="s">
        <v>455</v>
      </c>
      <c r="G85" s="174"/>
      <c r="H85" s="10"/>
      <c r="I85" s="11"/>
      <c r="J85" s="11"/>
      <c r="K85" s="11"/>
      <c r="L85" s="11"/>
      <c r="M85" s="11"/>
      <c r="N85" s="11"/>
      <c r="O85" s="12"/>
      <c r="P85" s="11"/>
      <c r="Q85" s="13"/>
      <c r="R85" s="14"/>
    </row>
    <row r="86" spans="1:18" ht="15" customHeight="1" x14ac:dyDescent="0.3">
      <c r="A86" s="47" t="s">
        <v>36</v>
      </c>
      <c r="B86" s="47" t="s">
        <v>463</v>
      </c>
      <c r="C86" s="48">
        <v>0.375</v>
      </c>
      <c r="D86" s="47" t="s">
        <v>38</v>
      </c>
      <c r="E86" s="47" t="s">
        <v>250</v>
      </c>
      <c r="F86" s="47" t="s">
        <v>454</v>
      </c>
      <c r="G86" s="174"/>
      <c r="H86" s="10"/>
      <c r="I86" s="11"/>
      <c r="J86" s="11"/>
      <c r="K86" s="11"/>
      <c r="L86" s="11"/>
      <c r="M86" s="11"/>
      <c r="N86" s="11"/>
      <c r="O86" s="12"/>
      <c r="P86" s="11"/>
      <c r="Q86" s="13"/>
      <c r="R86" s="14"/>
    </row>
    <row r="87" spans="1:18" ht="15" customHeight="1" x14ac:dyDescent="0.3">
      <c r="A87" s="15" t="s">
        <v>36</v>
      </c>
      <c r="B87" s="15" t="s">
        <v>463</v>
      </c>
      <c r="C87" s="16">
        <v>0.375</v>
      </c>
      <c r="D87" s="15" t="s">
        <v>41</v>
      </c>
      <c r="E87" s="15" t="s">
        <v>102</v>
      </c>
      <c r="F87" s="15" t="s">
        <v>344</v>
      </c>
      <c r="G87" s="174"/>
      <c r="H87" s="10"/>
      <c r="I87" s="11"/>
      <c r="J87" s="11"/>
      <c r="K87" s="11"/>
      <c r="L87" s="11"/>
      <c r="M87" s="11"/>
      <c r="N87" s="11"/>
      <c r="O87" s="12"/>
      <c r="P87" s="11"/>
      <c r="Q87" s="13"/>
      <c r="R87" s="14"/>
    </row>
    <row r="88" spans="1:18" ht="15" customHeight="1" x14ac:dyDescent="0.3">
      <c r="A88" s="15" t="s">
        <v>36</v>
      </c>
      <c r="B88" s="15" t="s">
        <v>463</v>
      </c>
      <c r="C88" s="16">
        <v>0.375</v>
      </c>
      <c r="D88" s="15" t="s">
        <v>44</v>
      </c>
      <c r="E88" s="15" t="s">
        <v>102</v>
      </c>
      <c r="F88" s="15" t="s">
        <v>455</v>
      </c>
      <c r="G88" s="174"/>
      <c r="H88" s="10"/>
      <c r="I88" s="11"/>
      <c r="J88" s="11"/>
      <c r="K88" s="11"/>
      <c r="L88" s="11"/>
      <c r="M88" s="11"/>
      <c r="N88" s="11"/>
      <c r="O88" s="12"/>
      <c r="P88" s="11"/>
      <c r="Q88" s="13"/>
      <c r="R88" s="14"/>
    </row>
    <row r="89" spans="1:18" ht="15" customHeight="1" x14ac:dyDescent="0.3">
      <c r="A89" s="47" t="s">
        <v>36</v>
      </c>
      <c r="B89" s="47" t="s">
        <v>456</v>
      </c>
      <c r="C89" s="48">
        <v>0.56597222222222221</v>
      </c>
      <c r="D89" s="47" t="s">
        <v>38</v>
      </c>
      <c r="E89" s="47" t="s">
        <v>250</v>
      </c>
      <c r="F89" s="47" t="s">
        <v>454</v>
      </c>
      <c r="G89" s="174"/>
      <c r="H89" s="10"/>
      <c r="I89" s="11"/>
      <c r="J89" s="11"/>
      <c r="K89" s="11"/>
      <c r="L89" s="11"/>
      <c r="M89" s="11"/>
      <c r="N89" s="11"/>
      <c r="O89" s="12"/>
      <c r="P89" s="11"/>
      <c r="Q89" s="13"/>
      <c r="R89" s="14"/>
    </row>
    <row r="90" spans="1:18" ht="15" customHeight="1" x14ac:dyDescent="0.3">
      <c r="A90" s="15" t="s">
        <v>36</v>
      </c>
      <c r="B90" s="15" t="s">
        <v>456</v>
      </c>
      <c r="C90" s="16">
        <v>0.56597222222222221</v>
      </c>
      <c r="D90" s="15" t="s">
        <v>41</v>
      </c>
      <c r="E90" s="15" t="s">
        <v>102</v>
      </c>
      <c r="F90" s="15" t="s">
        <v>344</v>
      </c>
      <c r="G90" s="174"/>
      <c r="H90" s="10"/>
      <c r="I90" s="11"/>
      <c r="J90" s="11"/>
      <c r="K90" s="11"/>
      <c r="L90" s="11"/>
      <c r="M90" s="11"/>
      <c r="N90" s="11"/>
      <c r="O90" s="12"/>
      <c r="P90" s="11"/>
      <c r="Q90" s="13"/>
      <c r="R90" s="14"/>
    </row>
    <row r="91" spans="1:18" ht="15" customHeight="1" x14ac:dyDescent="0.3">
      <c r="A91" s="15" t="s">
        <v>36</v>
      </c>
      <c r="B91" s="15" t="s">
        <v>456</v>
      </c>
      <c r="C91" s="16">
        <v>0.56597222222222221</v>
      </c>
      <c r="D91" s="15" t="s">
        <v>44</v>
      </c>
      <c r="E91" s="15" t="s">
        <v>102</v>
      </c>
      <c r="F91" s="15" t="s">
        <v>455</v>
      </c>
      <c r="G91" s="174"/>
      <c r="H91" s="10"/>
      <c r="I91" s="11"/>
      <c r="J91" s="11"/>
      <c r="K91" s="11"/>
      <c r="L91" s="11"/>
      <c r="M91" s="11"/>
      <c r="N91" s="11"/>
      <c r="O91" s="12"/>
      <c r="P91" s="11"/>
      <c r="Q91" s="13"/>
      <c r="R91" s="14"/>
    </row>
    <row r="92" spans="1:18" ht="15" customHeight="1" x14ac:dyDescent="0.3">
      <c r="A92" s="47" t="s">
        <v>36</v>
      </c>
      <c r="B92" s="47" t="s">
        <v>457</v>
      </c>
      <c r="C92" s="48">
        <v>0.82638888888888884</v>
      </c>
      <c r="D92" s="47" t="s">
        <v>38</v>
      </c>
      <c r="E92" s="47" t="s">
        <v>107</v>
      </c>
      <c r="F92" s="47" t="s">
        <v>465</v>
      </c>
      <c r="G92" s="174"/>
      <c r="H92" s="10"/>
      <c r="I92" s="11"/>
      <c r="J92" s="11"/>
      <c r="K92" s="11"/>
      <c r="L92" s="11"/>
      <c r="M92" s="11"/>
      <c r="N92" s="11"/>
      <c r="O92" s="12"/>
      <c r="P92" s="11"/>
      <c r="Q92" s="13"/>
      <c r="R92" s="14"/>
    </row>
    <row r="93" spans="1:18" ht="15" customHeight="1" x14ac:dyDescent="0.3">
      <c r="A93" s="15" t="s">
        <v>36</v>
      </c>
      <c r="B93" s="15" t="s">
        <v>457</v>
      </c>
      <c r="C93" s="16">
        <v>0.82638888888888884</v>
      </c>
      <c r="D93" s="15" t="s">
        <v>41</v>
      </c>
      <c r="E93" s="15" t="s">
        <v>113</v>
      </c>
      <c r="F93" s="15" t="s">
        <v>336</v>
      </c>
      <c r="G93" s="174"/>
      <c r="H93" s="10"/>
      <c r="I93" s="11"/>
      <c r="J93" s="11"/>
      <c r="K93" s="11"/>
      <c r="L93" s="11"/>
      <c r="M93" s="11"/>
      <c r="N93" s="11"/>
      <c r="O93" s="12"/>
      <c r="P93" s="11"/>
      <c r="Q93" s="13"/>
      <c r="R93" s="14"/>
    </row>
    <row r="94" spans="1:18" ht="15" customHeight="1" x14ac:dyDescent="0.3">
      <c r="A94" s="15" t="s">
        <v>36</v>
      </c>
      <c r="B94" s="15" t="s">
        <v>457</v>
      </c>
      <c r="C94" s="16">
        <v>0.82638888888888884</v>
      </c>
      <c r="D94" s="15" t="s">
        <v>44</v>
      </c>
      <c r="E94" s="15" t="s">
        <v>113</v>
      </c>
      <c r="F94" s="15" t="s">
        <v>30</v>
      </c>
      <c r="G94" s="174"/>
      <c r="H94" s="10"/>
      <c r="I94" s="11"/>
      <c r="J94" s="11"/>
      <c r="K94" s="11"/>
      <c r="L94" s="11"/>
      <c r="M94" s="11"/>
      <c r="N94" s="11"/>
      <c r="O94" s="12"/>
      <c r="P94" s="11"/>
      <c r="Q94" s="13"/>
      <c r="R94" s="14"/>
    </row>
    <row r="95" spans="1:18" ht="15" customHeight="1" x14ac:dyDescent="0.3">
      <c r="A95" s="17" t="s">
        <v>262</v>
      </c>
      <c r="B95" s="17" t="s">
        <v>466</v>
      </c>
      <c r="C95" s="18">
        <v>0.27777777777777779</v>
      </c>
      <c r="D95" s="17" t="s">
        <v>48</v>
      </c>
      <c r="E95" s="17" t="s">
        <v>306</v>
      </c>
      <c r="F95" s="17" t="s">
        <v>500</v>
      </c>
      <c r="G95" s="174"/>
      <c r="H95" s="10"/>
      <c r="I95" s="11"/>
      <c r="J95" s="11"/>
      <c r="K95" s="11"/>
      <c r="L95" s="11"/>
      <c r="M95" s="11"/>
      <c r="N95" s="11"/>
      <c r="O95" s="12"/>
      <c r="P95" s="11"/>
      <c r="Q95" s="13"/>
      <c r="R95" s="14"/>
    </row>
    <row r="96" spans="1:18" ht="15" customHeight="1" x14ac:dyDescent="0.3">
      <c r="A96" s="140" t="s">
        <v>46</v>
      </c>
      <c r="B96" s="140" t="s">
        <v>468</v>
      </c>
      <c r="C96" s="141">
        <v>0.92361111111111116</v>
      </c>
      <c r="D96" s="140" t="s">
        <v>48</v>
      </c>
      <c r="E96" s="140" t="s">
        <v>49</v>
      </c>
      <c r="F96" s="140" t="s">
        <v>501</v>
      </c>
      <c r="G96" s="174"/>
      <c r="H96" s="30" t="s">
        <v>470</v>
      </c>
      <c r="I96" s="142">
        <v>0.39290000000000003</v>
      </c>
      <c r="J96" s="32">
        <v>66</v>
      </c>
      <c r="K96" s="33">
        <v>45981</v>
      </c>
      <c r="L96" s="32">
        <v>45</v>
      </c>
      <c r="M96" s="32">
        <v>0</v>
      </c>
      <c r="N96" s="32">
        <v>15</v>
      </c>
      <c r="O96" s="34" t="s">
        <v>302</v>
      </c>
      <c r="P96" s="35">
        <v>0.92361111111111116</v>
      </c>
      <c r="Q96" s="32">
        <v>168</v>
      </c>
      <c r="R96" s="36" t="s">
        <v>502</v>
      </c>
    </row>
    <row r="97" spans="1:18" ht="15" customHeight="1" x14ac:dyDescent="0.3">
      <c r="A97" s="157" t="s">
        <v>46</v>
      </c>
      <c r="B97" s="157" t="s">
        <v>503</v>
      </c>
      <c r="C97" s="158">
        <v>0.61111111111111105</v>
      </c>
      <c r="D97" s="157" t="s">
        <v>48</v>
      </c>
      <c r="E97" s="157" t="s">
        <v>70</v>
      </c>
      <c r="F97" s="157" t="s">
        <v>469</v>
      </c>
      <c r="G97" s="174"/>
      <c r="H97" s="159" t="s">
        <v>504</v>
      </c>
      <c r="I97" s="167">
        <v>0.52380000000000004</v>
      </c>
      <c r="J97" s="161">
        <v>88</v>
      </c>
      <c r="K97" s="162">
        <v>45981</v>
      </c>
      <c r="L97" s="161">
        <v>37</v>
      </c>
      <c r="M97" s="161">
        <v>0</v>
      </c>
      <c r="N97" s="161">
        <v>14</v>
      </c>
      <c r="O97" s="163" t="s">
        <v>183</v>
      </c>
      <c r="P97" s="164">
        <v>0.61111111111111105</v>
      </c>
      <c r="Q97" s="161">
        <v>168</v>
      </c>
      <c r="R97" s="165" t="s">
        <v>505</v>
      </c>
    </row>
    <row r="98" spans="1:18" ht="15" customHeight="1" x14ac:dyDescent="0.3">
      <c r="A98" s="17" t="s">
        <v>257</v>
      </c>
      <c r="B98" s="17" t="s">
        <v>506</v>
      </c>
      <c r="C98" s="18">
        <v>0.2361111111111111</v>
      </c>
      <c r="D98" s="17" t="s">
        <v>259</v>
      </c>
      <c r="E98" s="17" t="s">
        <v>100</v>
      </c>
      <c r="F98" s="17" t="s">
        <v>507</v>
      </c>
      <c r="G98" s="174"/>
      <c r="H98" s="10"/>
      <c r="I98" s="11"/>
      <c r="J98" s="11"/>
      <c r="K98" s="11"/>
      <c r="L98" s="11"/>
      <c r="M98" s="11"/>
      <c r="N98" s="11"/>
      <c r="O98" s="12"/>
      <c r="P98" s="11"/>
      <c r="Q98" s="13"/>
      <c r="R98" s="14"/>
    </row>
    <row r="99" spans="1:18" ht="15" customHeight="1" x14ac:dyDescent="0.3">
      <c r="A99" s="15" t="s">
        <v>257</v>
      </c>
      <c r="B99" s="15" t="s">
        <v>506</v>
      </c>
      <c r="C99" s="16">
        <v>0.2361111111111111</v>
      </c>
      <c r="D99" s="15" t="s">
        <v>34</v>
      </c>
      <c r="E99" s="15" t="s">
        <v>102</v>
      </c>
      <c r="F99" s="15" t="s">
        <v>508</v>
      </c>
      <c r="G99" s="174"/>
      <c r="H99" s="10"/>
      <c r="I99" s="11"/>
      <c r="J99" s="11"/>
      <c r="K99" s="11"/>
      <c r="L99" s="11"/>
      <c r="M99" s="11"/>
      <c r="N99" s="11"/>
      <c r="O99" s="12"/>
      <c r="P99" s="11"/>
      <c r="Q99" s="13"/>
      <c r="R99" s="14"/>
    </row>
    <row r="100" spans="1:18" ht="15" customHeight="1" x14ac:dyDescent="0.3">
      <c r="A100" s="17" t="s">
        <v>200</v>
      </c>
      <c r="B100" s="17" t="s">
        <v>509</v>
      </c>
      <c r="C100" s="18">
        <v>0.80208333333333337</v>
      </c>
      <c r="D100" s="17" t="s">
        <v>48</v>
      </c>
      <c r="E100" s="17" t="s">
        <v>49</v>
      </c>
      <c r="F100" s="17" t="s">
        <v>510</v>
      </c>
      <c r="G100" s="174"/>
      <c r="H100" s="10"/>
      <c r="I100" s="11"/>
      <c r="J100" s="11"/>
      <c r="K100" s="11"/>
      <c r="L100" s="11"/>
      <c r="M100" s="11"/>
      <c r="N100" s="11"/>
      <c r="O100" s="12"/>
      <c r="P100" s="11"/>
      <c r="Q100" s="13"/>
      <c r="R100" s="14"/>
    </row>
    <row r="101" spans="1:18" ht="15" customHeight="1" x14ac:dyDescent="0.3">
      <c r="A101" s="17" t="s">
        <v>65</v>
      </c>
      <c r="B101" s="17" t="s">
        <v>475</v>
      </c>
      <c r="C101" s="18">
        <v>0.16666666666666671</v>
      </c>
      <c r="D101" s="17" t="s">
        <v>67</v>
      </c>
      <c r="E101" s="17" t="s">
        <v>49</v>
      </c>
      <c r="F101" s="17" t="s">
        <v>476</v>
      </c>
      <c r="G101" s="174"/>
      <c r="H101" s="10"/>
      <c r="I101" s="11"/>
      <c r="J101" s="11"/>
      <c r="K101" s="11"/>
      <c r="L101" s="11"/>
      <c r="M101" s="11"/>
      <c r="N101" s="11"/>
      <c r="O101" s="12"/>
      <c r="P101" s="11"/>
      <c r="Q101" s="13"/>
      <c r="R101" s="14"/>
    </row>
    <row r="102" spans="1:18" ht="15" customHeight="1" x14ac:dyDescent="0.3">
      <c r="A102" s="47" t="s">
        <v>65</v>
      </c>
      <c r="B102" s="47" t="s">
        <v>479</v>
      </c>
      <c r="C102" s="48">
        <v>0.91666666666666663</v>
      </c>
      <c r="D102" s="47" t="s">
        <v>67</v>
      </c>
      <c r="E102" s="47" t="s">
        <v>70</v>
      </c>
      <c r="F102" s="47" t="s">
        <v>478</v>
      </c>
      <c r="G102" s="174"/>
      <c r="H102" s="10"/>
      <c r="I102" s="11"/>
      <c r="J102" s="11"/>
      <c r="K102" s="11"/>
      <c r="L102" s="11"/>
      <c r="M102" s="11"/>
      <c r="N102" s="11"/>
      <c r="O102" s="12"/>
      <c r="P102" s="11"/>
      <c r="Q102" s="13"/>
      <c r="R102" s="14"/>
    </row>
    <row r="103" spans="1:18" ht="15" customHeight="1" x14ac:dyDescent="0.3">
      <c r="A103" s="47" t="s">
        <v>65</v>
      </c>
      <c r="B103" s="47" t="s">
        <v>477</v>
      </c>
      <c r="C103" s="48">
        <v>0.53472222222222221</v>
      </c>
      <c r="D103" s="47" t="s">
        <v>67</v>
      </c>
      <c r="E103" s="47" t="s">
        <v>70</v>
      </c>
      <c r="F103" s="47" t="s">
        <v>511</v>
      </c>
      <c r="G103" s="174"/>
      <c r="H103" s="10"/>
      <c r="I103" s="11"/>
      <c r="J103" s="11"/>
      <c r="K103" s="11"/>
      <c r="L103" s="11"/>
      <c r="M103" s="11"/>
      <c r="N103" s="11"/>
      <c r="O103" s="12"/>
      <c r="P103" s="11"/>
      <c r="Q103" s="13"/>
      <c r="R103" s="14"/>
    </row>
    <row r="104" spans="1:18" ht="15" customHeight="1" x14ac:dyDescent="0.3">
      <c r="A104" s="17" t="s">
        <v>77</v>
      </c>
      <c r="B104" s="17" t="s">
        <v>481</v>
      </c>
      <c r="C104" s="18">
        <v>0.2986111111111111</v>
      </c>
      <c r="D104" s="17" t="s">
        <v>83</v>
      </c>
      <c r="E104" s="17" t="s">
        <v>49</v>
      </c>
      <c r="F104" s="17" t="s">
        <v>482</v>
      </c>
      <c r="G104" s="174"/>
      <c r="H104" s="10"/>
      <c r="I104" s="11"/>
      <c r="J104" s="11"/>
      <c r="K104" s="11"/>
      <c r="L104" s="11"/>
      <c r="M104" s="11"/>
      <c r="N104" s="11"/>
      <c r="O104" s="12"/>
      <c r="P104" s="11"/>
      <c r="Q104" s="13"/>
      <c r="R104" s="14"/>
    </row>
    <row r="105" spans="1:18" ht="15" customHeight="1" x14ac:dyDescent="0.3">
      <c r="A105" s="15" t="s">
        <v>77</v>
      </c>
      <c r="B105" s="15" t="s">
        <v>481</v>
      </c>
      <c r="C105" s="16">
        <v>0.2986111111111111</v>
      </c>
      <c r="D105" s="15" t="s">
        <v>79</v>
      </c>
      <c r="E105" s="15" t="s">
        <v>85</v>
      </c>
      <c r="F105" s="15" t="s">
        <v>483</v>
      </c>
      <c r="G105" s="174"/>
      <c r="H105" s="10"/>
      <c r="I105" s="11"/>
      <c r="J105" s="11"/>
      <c r="K105" s="11"/>
      <c r="L105" s="11"/>
      <c r="M105" s="11"/>
      <c r="N105" s="11"/>
      <c r="O105" s="12"/>
      <c r="P105" s="11"/>
      <c r="Q105" s="13"/>
      <c r="R105" s="14"/>
    </row>
    <row r="106" spans="1:18" ht="15" customHeight="1" x14ac:dyDescent="0.3">
      <c r="A106" s="47" t="s">
        <v>77</v>
      </c>
      <c r="B106" s="47" t="s">
        <v>484</v>
      </c>
      <c r="C106" s="48">
        <v>0.68402777777777779</v>
      </c>
      <c r="D106" s="47" t="s">
        <v>83</v>
      </c>
      <c r="E106" s="47" t="s">
        <v>109</v>
      </c>
      <c r="F106" s="47" t="s">
        <v>512</v>
      </c>
      <c r="G106" s="174"/>
      <c r="H106" s="10"/>
      <c r="I106" s="11"/>
      <c r="J106" s="11"/>
      <c r="K106" s="11"/>
      <c r="L106" s="11"/>
      <c r="M106" s="11"/>
      <c r="N106" s="11"/>
      <c r="O106" s="12"/>
      <c r="P106" s="11"/>
      <c r="Q106" s="13"/>
      <c r="R106" s="14"/>
    </row>
    <row r="107" spans="1:18" ht="15" customHeight="1" x14ac:dyDescent="0.3">
      <c r="A107" s="15" t="s">
        <v>77</v>
      </c>
      <c r="B107" s="15" t="s">
        <v>484</v>
      </c>
      <c r="C107" s="16">
        <v>0.68402777777777779</v>
      </c>
      <c r="D107" s="15" t="s">
        <v>79</v>
      </c>
      <c r="E107" s="15" t="s">
        <v>124</v>
      </c>
      <c r="F107" s="15" t="s">
        <v>513</v>
      </c>
      <c r="G107" s="174"/>
      <c r="H107" s="10"/>
      <c r="I107" s="11"/>
      <c r="J107" s="11"/>
      <c r="K107" s="11"/>
      <c r="L107" s="11"/>
      <c r="M107" s="11"/>
      <c r="N107" s="11"/>
      <c r="O107" s="12"/>
      <c r="P107" s="11"/>
      <c r="Q107" s="13"/>
      <c r="R107" s="14"/>
    </row>
    <row r="108" spans="1:18" ht="15" customHeight="1" x14ac:dyDescent="0.3">
      <c r="A108" s="47" t="s">
        <v>77</v>
      </c>
      <c r="B108" s="47" t="s">
        <v>486</v>
      </c>
      <c r="C108" s="48">
        <v>0.4826388888888889</v>
      </c>
      <c r="D108" s="47" t="s">
        <v>83</v>
      </c>
      <c r="E108" s="47" t="s">
        <v>70</v>
      </c>
      <c r="F108" s="47" t="s">
        <v>512</v>
      </c>
      <c r="G108" s="174"/>
      <c r="H108" s="10"/>
      <c r="I108" s="11"/>
      <c r="J108" s="11"/>
      <c r="K108" s="11"/>
      <c r="L108" s="11"/>
      <c r="M108" s="11"/>
      <c r="N108" s="11"/>
      <c r="O108" s="12"/>
      <c r="P108" s="11"/>
      <c r="Q108" s="13"/>
      <c r="R108" s="14"/>
    </row>
    <row r="109" spans="1:18" ht="15" customHeight="1" x14ac:dyDescent="0.3">
      <c r="A109" s="15" t="s">
        <v>77</v>
      </c>
      <c r="B109" s="15" t="s">
        <v>486</v>
      </c>
      <c r="C109" s="16">
        <v>0.4826388888888889</v>
      </c>
      <c r="D109" s="15" t="s">
        <v>79</v>
      </c>
      <c r="E109" s="15" t="s">
        <v>85</v>
      </c>
      <c r="F109" s="15" t="s">
        <v>513</v>
      </c>
      <c r="G109" s="174"/>
      <c r="H109" s="10"/>
      <c r="I109" s="11"/>
      <c r="J109" s="11"/>
      <c r="K109" s="11"/>
      <c r="L109" s="11"/>
      <c r="M109" s="11"/>
      <c r="N109" s="11"/>
      <c r="O109" s="12"/>
      <c r="P109" s="11"/>
      <c r="Q109" s="13"/>
      <c r="R109" s="14"/>
    </row>
    <row r="110" spans="1:18" ht="15" customHeight="1" x14ac:dyDescent="0.3">
      <c r="A110" s="47" t="s">
        <v>77</v>
      </c>
      <c r="B110" s="47" t="s">
        <v>487</v>
      </c>
      <c r="C110" s="48">
        <v>0.83680555555555547</v>
      </c>
      <c r="D110" s="47" t="s">
        <v>83</v>
      </c>
      <c r="E110" s="47" t="s">
        <v>70</v>
      </c>
      <c r="F110" s="47" t="s">
        <v>103</v>
      </c>
      <c r="G110" s="174"/>
      <c r="H110" s="10"/>
      <c r="I110" s="11"/>
      <c r="J110" s="11"/>
      <c r="K110" s="11"/>
      <c r="L110" s="11"/>
      <c r="M110" s="11"/>
      <c r="N110" s="11"/>
      <c r="O110" s="12"/>
      <c r="P110" s="11"/>
      <c r="Q110" s="13"/>
      <c r="R110" s="14"/>
    </row>
    <row r="111" spans="1:18" ht="15" customHeight="1" x14ac:dyDescent="0.3">
      <c r="A111" s="15" t="s">
        <v>77</v>
      </c>
      <c r="B111" s="15" t="s">
        <v>487</v>
      </c>
      <c r="C111" s="16">
        <v>0.83680555555555547</v>
      </c>
      <c r="D111" s="15" t="s">
        <v>79</v>
      </c>
      <c r="E111" s="15" t="s">
        <v>85</v>
      </c>
      <c r="F111" s="15" t="s">
        <v>445</v>
      </c>
      <c r="G111" s="174"/>
      <c r="H111" s="10"/>
      <c r="I111" s="11"/>
      <c r="J111" s="11"/>
      <c r="K111" s="11"/>
      <c r="L111" s="11"/>
      <c r="M111" s="11"/>
      <c r="N111" s="11"/>
      <c r="O111" s="12"/>
      <c r="P111" s="11"/>
      <c r="Q111" s="13"/>
      <c r="R111" s="14"/>
    </row>
    <row r="112" spans="1:18" ht="15" customHeight="1" x14ac:dyDescent="0.3">
      <c r="A112" s="47" t="s">
        <v>77</v>
      </c>
      <c r="B112" s="47" t="s">
        <v>490</v>
      </c>
      <c r="C112" s="48">
        <v>0.76041666666666663</v>
      </c>
      <c r="D112" s="47" t="s">
        <v>79</v>
      </c>
      <c r="E112" s="47" t="s">
        <v>107</v>
      </c>
      <c r="F112" s="47" t="s">
        <v>491</v>
      </c>
      <c r="G112" s="174"/>
      <c r="H112" s="10"/>
      <c r="I112" s="11"/>
      <c r="J112" s="11"/>
      <c r="K112" s="11"/>
      <c r="L112" s="11"/>
      <c r="M112" s="11"/>
      <c r="N112" s="11"/>
      <c r="O112" s="12"/>
      <c r="P112" s="11"/>
      <c r="Q112" s="13"/>
      <c r="R112" s="14"/>
    </row>
    <row r="113" spans="1:18" ht="15" customHeight="1" x14ac:dyDescent="0.3">
      <c r="A113" s="47" t="s">
        <v>77</v>
      </c>
      <c r="B113" s="47" t="s">
        <v>492</v>
      </c>
      <c r="C113" s="48">
        <v>0.5</v>
      </c>
      <c r="D113" s="47" t="s">
        <v>79</v>
      </c>
      <c r="E113" s="47" t="s">
        <v>107</v>
      </c>
      <c r="F113" s="47" t="s">
        <v>491</v>
      </c>
      <c r="G113" s="174"/>
      <c r="H113" s="10"/>
      <c r="I113" s="11"/>
      <c r="J113" s="11"/>
      <c r="K113" s="11"/>
      <c r="L113" s="11"/>
      <c r="M113" s="11"/>
      <c r="N113" s="11"/>
      <c r="O113" s="12"/>
      <c r="P113" s="11"/>
      <c r="Q113" s="13"/>
      <c r="R113" s="14"/>
    </row>
    <row r="114" spans="1:18" ht="15" customHeight="1" thickBot="1" x14ac:dyDescent="0.35">
      <c r="A114" s="64" t="s">
        <v>77</v>
      </c>
      <c r="B114" s="64" t="s">
        <v>493</v>
      </c>
      <c r="C114" s="65">
        <v>0.81597222222222221</v>
      </c>
      <c r="D114" s="64" t="s">
        <v>79</v>
      </c>
      <c r="E114" s="64" t="s">
        <v>107</v>
      </c>
      <c r="F114" s="64" t="s">
        <v>491</v>
      </c>
      <c r="G114" s="175"/>
      <c r="H114" s="51"/>
      <c r="I114" s="52"/>
      <c r="J114" s="52"/>
      <c r="K114" s="52"/>
      <c r="L114" s="52"/>
      <c r="M114" s="52"/>
      <c r="N114" s="52"/>
      <c r="O114" s="53"/>
      <c r="P114" s="52"/>
      <c r="Q114" s="54"/>
      <c r="R114" s="55"/>
    </row>
    <row r="115" spans="1:18" ht="17.399999999999999" customHeight="1" thickBot="1" x14ac:dyDescent="0.35">
      <c r="A115" s="205"/>
      <c r="B115" s="206"/>
      <c r="C115" s="206"/>
      <c r="D115" s="206"/>
      <c r="E115" s="206"/>
      <c r="F115" s="206"/>
      <c r="G115" s="206"/>
      <c r="H115" s="206"/>
      <c r="I115" s="206"/>
      <c r="J115" s="206"/>
      <c r="K115" s="206"/>
      <c r="L115" s="206"/>
      <c r="M115" s="206"/>
      <c r="N115" s="206"/>
      <c r="O115" s="206"/>
      <c r="P115" s="206"/>
      <c r="Q115" s="206"/>
      <c r="R115" s="207"/>
    </row>
    <row r="116" spans="1:18" ht="22.05" customHeight="1" thickTop="1" thickBot="1" x14ac:dyDescent="0.35">
      <c r="A116" s="184" t="s">
        <v>6</v>
      </c>
      <c r="B116" s="180"/>
      <c r="C116" s="180"/>
      <c r="D116" s="180"/>
      <c r="E116" s="180"/>
      <c r="F116" s="181"/>
      <c r="G116" s="56">
        <v>45988</v>
      </c>
      <c r="H116" s="188" t="s">
        <v>7</v>
      </c>
      <c r="I116" s="180"/>
      <c r="J116" s="180"/>
      <c r="K116" s="180"/>
      <c r="L116" s="180"/>
      <c r="M116" s="180"/>
      <c r="N116" s="180"/>
      <c r="O116" s="180"/>
      <c r="P116" s="180"/>
      <c r="Q116" s="180"/>
      <c r="R116" s="181"/>
    </row>
    <row r="117" spans="1:18" ht="24" customHeight="1" x14ac:dyDescent="0.3">
      <c r="A117" s="57" t="s">
        <v>8</v>
      </c>
      <c r="B117" s="57" t="s">
        <v>9</v>
      </c>
      <c r="C117" s="58" t="s">
        <v>10</v>
      </c>
      <c r="D117" s="57" t="s">
        <v>11</v>
      </c>
      <c r="E117" s="57" t="s">
        <v>12</v>
      </c>
      <c r="F117" s="59" t="s">
        <v>13</v>
      </c>
      <c r="G117" s="60" t="s">
        <v>14</v>
      </c>
      <c r="H117" s="57" t="s">
        <v>15</v>
      </c>
      <c r="I117" s="61" t="s">
        <v>16</v>
      </c>
      <c r="J117" s="62" t="s">
        <v>17</v>
      </c>
      <c r="K117" s="63" t="s">
        <v>18</v>
      </c>
      <c r="L117" s="62" t="s">
        <v>19</v>
      </c>
      <c r="M117" s="62" t="s">
        <v>20</v>
      </c>
      <c r="N117" s="62" t="s">
        <v>21</v>
      </c>
      <c r="O117" s="57" t="s">
        <v>22</v>
      </c>
      <c r="P117" s="58" t="s">
        <v>23</v>
      </c>
      <c r="Q117" s="62" t="s">
        <v>24</v>
      </c>
      <c r="R117" s="57" t="s">
        <v>25</v>
      </c>
    </row>
    <row r="118" spans="1:18" ht="15" customHeight="1" x14ac:dyDescent="0.3">
      <c r="A118" s="8" t="s">
        <v>26</v>
      </c>
      <c r="B118" s="8" t="s">
        <v>441</v>
      </c>
      <c r="C118" s="9">
        <v>0.44791666666666669</v>
      </c>
      <c r="D118" s="8" t="s">
        <v>28</v>
      </c>
      <c r="E118" s="8" t="s">
        <v>29</v>
      </c>
      <c r="F118" s="8" t="s">
        <v>443</v>
      </c>
      <c r="G118" s="173"/>
      <c r="H118" s="10"/>
      <c r="I118" s="11"/>
      <c r="J118" s="11"/>
      <c r="K118" s="11"/>
      <c r="L118" s="11"/>
      <c r="M118" s="11"/>
      <c r="N118" s="11"/>
      <c r="O118" s="12"/>
      <c r="P118" s="11"/>
      <c r="Q118" s="13"/>
      <c r="R118" s="14"/>
    </row>
    <row r="119" spans="1:18" ht="15" customHeight="1" x14ac:dyDescent="0.3">
      <c r="A119" s="15" t="s">
        <v>26</v>
      </c>
      <c r="B119" s="15" t="s">
        <v>441</v>
      </c>
      <c r="C119" s="16">
        <v>0.44791666666666669</v>
      </c>
      <c r="D119" s="15" t="s">
        <v>31</v>
      </c>
      <c r="E119" s="15" t="s">
        <v>32</v>
      </c>
      <c r="F119" s="15" t="s">
        <v>335</v>
      </c>
      <c r="G119" s="174"/>
      <c r="H119" s="10"/>
      <c r="I119" s="11"/>
      <c r="J119" s="11"/>
      <c r="K119" s="11"/>
      <c r="L119" s="11"/>
      <c r="M119" s="11"/>
      <c r="N119" s="11"/>
      <c r="O119" s="12"/>
      <c r="P119" s="11"/>
      <c r="Q119" s="13"/>
      <c r="R119" s="14"/>
    </row>
    <row r="120" spans="1:18" ht="15" customHeight="1" x14ac:dyDescent="0.3">
      <c r="A120" s="15" t="s">
        <v>26</v>
      </c>
      <c r="B120" s="15" t="s">
        <v>441</v>
      </c>
      <c r="C120" s="16">
        <v>0.44791666666666669</v>
      </c>
      <c r="D120" s="15" t="s">
        <v>34</v>
      </c>
      <c r="E120" s="15" t="s">
        <v>32</v>
      </c>
      <c r="F120" s="15" t="s">
        <v>445</v>
      </c>
      <c r="G120" s="174"/>
      <c r="H120" s="10"/>
      <c r="I120" s="11"/>
      <c r="J120" s="11"/>
      <c r="K120" s="11"/>
      <c r="L120" s="11"/>
      <c r="M120" s="11"/>
      <c r="N120" s="11"/>
      <c r="O120" s="12"/>
      <c r="P120" s="11"/>
      <c r="Q120" s="13"/>
      <c r="R120" s="14"/>
    </row>
    <row r="121" spans="1:18" ht="15" customHeight="1" x14ac:dyDescent="0.3">
      <c r="A121" s="47" t="s">
        <v>26</v>
      </c>
      <c r="B121" s="47" t="s">
        <v>446</v>
      </c>
      <c r="C121" s="48">
        <v>0.5</v>
      </c>
      <c r="D121" s="47" t="s">
        <v>28</v>
      </c>
      <c r="E121" s="47" t="s">
        <v>514</v>
      </c>
      <c r="F121" s="47" t="s">
        <v>443</v>
      </c>
      <c r="G121" s="174"/>
      <c r="H121" s="10"/>
      <c r="I121" s="11"/>
      <c r="J121" s="11"/>
      <c r="K121" s="11"/>
      <c r="L121" s="11"/>
      <c r="M121" s="11"/>
      <c r="N121" s="11"/>
      <c r="O121" s="12"/>
      <c r="P121" s="11"/>
      <c r="Q121" s="13"/>
      <c r="R121" s="14"/>
    </row>
    <row r="122" spans="1:18" ht="15" customHeight="1" x14ac:dyDescent="0.3">
      <c r="A122" s="15" t="s">
        <v>26</v>
      </c>
      <c r="B122" s="15" t="s">
        <v>446</v>
      </c>
      <c r="C122" s="16">
        <v>0.5</v>
      </c>
      <c r="D122" s="15" t="s">
        <v>31</v>
      </c>
      <c r="E122" s="15" t="s">
        <v>515</v>
      </c>
      <c r="F122" s="15" t="s">
        <v>335</v>
      </c>
      <c r="G122" s="174"/>
      <c r="H122" s="10"/>
      <c r="I122" s="11"/>
      <c r="J122" s="11"/>
      <c r="K122" s="11"/>
      <c r="L122" s="11"/>
      <c r="M122" s="11"/>
      <c r="N122" s="11"/>
      <c r="O122" s="12"/>
      <c r="P122" s="11"/>
      <c r="Q122" s="13"/>
      <c r="R122" s="14"/>
    </row>
    <row r="123" spans="1:18" ht="15" customHeight="1" x14ac:dyDescent="0.3">
      <c r="A123" s="15" t="s">
        <v>26</v>
      </c>
      <c r="B123" s="15" t="s">
        <v>446</v>
      </c>
      <c r="C123" s="16">
        <v>0.5</v>
      </c>
      <c r="D123" s="15" t="s">
        <v>34</v>
      </c>
      <c r="E123" s="15" t="s">
        <v>515</v>
      </c>
      <c r="F123" s="15" t="s">
        <v>445</v>
      </c>
      <c r="G123" s="174"/>
      <c r="H123" s="10"/>
      <c r="I123" s="11"/>
      <c r="J123" s="11"/>
      <c r="K123" s="11"/>
      <c r="L123" s="11"/>
      <c r="M123" s="11"/>
      <c r="N123" s="11"/>
      <c r="O123" s="12"/>
      <c r="P123" s="11"/>
      <c r="Q123" s="13"/>
      <c r="R123" s="14"/>
    </row>
    <row r="124" spans="1:18" ht="15" customHeight="1" x14ac:dyDescent="0.3">
      <c r="A124" s="47" t="s">
        <v>26</v>
      </c>
      <c r="B124" s="47" t="s">
        <v>450</v>
      </c>
      <c r="C124" s="48">
        <v>0.81597222222222221</v>
      </c>
      <c r="D124" s="47" t="s">
        <v>28</v>
      </c>
      <c r="E124" s="47" t="s">
        <v>88</v>
      </c>
      <c r="F124" s="47" t="s">
        <v>516</v>
      </c>
      <c r="G124" s="174"/>
      <c r="H124" s="10"/>
      <c r="I124" s="11"/>
      <c r="J124" s="11"/>
      <c r="K124" s="11"/>
      <c r="L124" s="11"/>
      <c r="M124" s="11"/>
      <c r="N124" s="11"/>
      <c r="O124" s="12"/>
      <c r="P124" s="11"/>
      <c r="Q124" s="13"/>
      <c r="R124" s="14"/>
    </row>
    <row r="125" spans="1:18" ht="15" customHeight="1" x14ac:dyDescent="0.3">
      <c r="A125" s="15" t="s">
        <v>26</v>
      </c>
      <c r="B125" s="15" t="s">
        <v>450</v>
      </c>
      <c r="C125" s="16">
        <v>0.81597222222222221</v>
      </c>
      <c r="D125" s="15" t="s">
        <v>31</v>
      </c>
      <c r="E125" s="15" t="s">
        <v>89</v>
      </c>
      <c r="F125" s="15" t="s">
        <v>241</v>
      </c>
      <c r="G125" s="174"/>
      <c r="H125" s="10"/>
      <c r="I125" s="11"/>
      <c r="J125" s="11"/>
      <c r="K125" s="11"/>
      <c r="L125" s="11"/>
      <c r="M125" s="11"/>
      <c r="N125" s="11"/>
      <c r="O125" s="12"/>
      <c r="P125" s="11"/>
      <c r="Q125" s="13"/>
      <c r="R125" s="14"/>
    </row>
    <row r="126" spans="1:18" ht="15" customHeight="1" x14ac:dyDescent="0.3">
      <c r="A126" s="15" t="s">
        <v>26</v>
      </c>
      <c r="B126" s="15" t="s">
        <v>450</v>
      </c>
      <c r="C126" s="16">
        <v>0.81597222222222221</v>
      </c>
      <c r="D126" s="15" t="s">
        <v>34</v>
      </c>
      <c r="E126" s="15" t="s">
        <v>89</v>
      </c>
      <c r="F126" s="15" t="s">
        <v>445</v>
      </c>
      <c r="G126" s="174"/>
      <c r="H126" s="10"/>
      <c r="I126" s="11"/>
      <c r="J126" s="11"/>
      <c r="K126" s="11"/>
      <c r="L126" s="11"/>
      <c r="M126" s="11"/>
      <c r="N126" s="11"/>
      <c r="O126" s="12"/>
      <c r="P126" s="11"/>
      <c r="Q126" s="13"/>
      <c r="R126" s="14"/>
    </row>
    <row r="127" spans="1:18" ht="15" customHeight="1" x14ac:dyDescent="0.3">
      <c r="A127" s="47" t="s">
        <v>26</v>
      </c>
      <c r="B127" s="47" t="s">
        <v>449</v>
      </c>
      <c r="C127" s="48">
        <v>0.76041666666666663</v>
      </c>
      <c r="D127" s="47" t="s">
        <v>28</v>
      </c>
      <c r="E127" s="47" t="s">
        <v>55</v>
      </c>
      <c r="F127" s="47" t="s">
        <v>459</v>
      </c>
      <c r="G127" s="174"/>
      <c r="H127" s="10"/>
      <c r="I127" s="11"/>
      <c r="J127" s="11"/>
      <c r="K127" s="11"/>
      <c r="L127" s="11"/>
      <c r="M127" s="11"/>
      <c r="N127" s="11"/>
      <c r="O127" s="12"/>
      <c r="P127" s="11"/>
      <c r="Q127" s="13"/>
      <c r="R127" s="14"/>
    </row>
    <row r="128" spans="1:18" ht="15" customHeight="1" x14ac:dyDescent="0.3">
      <c r="A128" s="15" t="s">
        <v>26</v>
      </c>
      <c r="B128" s="15" t="s">
        <v>449</v>
      </c>
      <c r="C128" s="16">
        <v>0.76041666666666663</v>
      </c>
      <c r="D128" s="15" t="s">
        <v>31</v>
      </c>
      <c r="E128" s="15" t="s">
        <v>246</v>
      </c>
      <c r="F128" s="15" t="s">
        <v>356</v>
      </c>
      <c r="G128" s="174"/>
      <c r="H128" s="10"/>
      <c r="I128" s="11"/>
      <c r="J128" s="11"/>
      <c r="K128" s="11"/>
      <c r="L128" s="11"/>
      <c r="M128" s="11"/>
      <c r="N128" s="11"/>
      <c r="O128" s="12"/>
      <c r="P128" s="11"/>
      <c r="Q128" s="13"/>
      <c r="R128" s="14"/>
    </row>
    <row r="129" spans="1:18" ht="15" customHeight="1" x14ac:dyDescent="0.3">
      <c r="A129" s="15" t="s">
        <v>26</v>
      </c>
      <c r="B129" s="15" t="s">
        <v>449</v>
      </c>
      <c r="C129" s="16">
        <v>0.76041666666666663</v>
      </c>
      <c r="D129" s="15" t="s">
        <v>34</v>
      </c>
      <c r="E129" s="15" t="s">
        <v>246</v>
      </c>
      <c r="F129" s="15" t="s">
        <v>112</v>
      </c>
      <c r="G129" s="174"/>
      <c r="H129" s="10"/>
      <c r="I129" s="11"/>
      <c r="J129" s="11"/>
      <c r="K129" s="11"/>
      <c r="L129" s="11"/>
      <c r="M129" s="11"/>
      <c r="N129" s="11"/>
      <c r="O129" s="12"/>
      <c r="P129" s="11"/>
      <c r="Q129" s="13"/>
      <c r="R129" s="14"/>
    </row>
    <row r="130" spans="1:18" ht="15" customHeight="1" x14ac:dyDescent="0.3">
      <c r="A130" s="17" t="s">
        <v>36</v>
      </c>
      <c r="B130" s="17" t="s">
        <v>453</v>
      </c>
      <c r="C130" s="18">
        <v>0.30555555555555552</v>
      </c>
      <c r="D130" s="17" t="s">
        <v>38</v>
      </c>
      <c r="E130" s="17" t="s">
        <v>100</v>
      </c>
      <c r="F130" s="17" t="s">
        <v>454</v>
      </c>
      <c r="G130" s="174"/>
      <c r="H130" s="10"/>
      <c r="I130" s="11"/>
      <c r="J130" s="11"/>
      <c r="K130" s="11"/>
      <c r="L130" s="11"/>
      <c r="M130" s="11"/>
      <c r="N130" s="11"/>
      <c r="O130" s="12"/>
      <c r="P130" s="11"/>
      <c r="Q130" s="13"/>
      <c r="R130" s="14"/>
    </row>
    <row r="131" spans="1:18" ht="15" customHeight="1" x14ac:dyDescent="0.3">
      <c r="A131" s="15" t="s">
        <v>36</v>
      </c>
      <c r="B131" s="15" t="s">
        <v>453</v>
      </c>
      <c r="C131" s="16">
        <v>0.30555555555555552</v>
      </c>
      <c r="D131" s="15" t="s">
        <v>41</v>
      </c>
      <c r="E131" s="15" t="s">
        <v>102</v>
      </c>
      <c r="F131" s="15" t="s">
        <v>344</v>
      </c>
      <c r="G131" s="174"/>
      <c r="H131" s="10"/>
      <c r="I131" s="11"/>
      <c r="J131" s="11"/>
      <c r="K131" s="11"/>
      <c r="L131" s="11"/>
      <c r="M131" s="11"/>
      <c r="N131" s="11"/>
      <c r="O131" s="12"/>
      <c r="P131" s="11"/>
      <c r="Q131" s="13"/>
      <c r="R131" s="14"/>
    </row>
    <row r="132" spans="1:18" ht="15" customHeight="1" x14ac:dyDescent="0.3">
      <c r="A132" s="15" t="s">
        <v>36</v>
      </c>
      <c r="B132" s="15" t="s">
        <v>453</v>
      </c>
      <c r="C132" s="16">
        <v>0.30555555555555552</v>
      </c>
      <c r="D132" s="15" t="s">
        <v>44</v>
      </c>
      <c r="E132" s="15" t="s">
        <v>102</v>
      </c>
      <c r="F132" s="15" t="s">
        <v>455</v>
      </c>
      <c r="G132" s="174"/>
      <c r="H132" s="10"/>
      <c r="I132" s="11"/>
      <c r="J132" s="11"/>
      <c r="K132" s="11"/>
      <c r="L132" s="11"/>
      <c r="M132" s="11"/>
      <c r="N132" s="11"/>
      <c r="O132" s="12"/>
      <c r="P132" s="11"/>
      <c r="Q132" s="13"/>
      <c r="R132" s="14"/>
    </row>
    <row r="133" spans="1:18" ht="15" customHeight="1" x14ac:dyDescent="0.3">
      <c r="A133" s="47" t="s">
        <v>36</v>
      </c>
      <c r="B133" s="47" t="s">
        <v>464</v>
      </c>
      <c r="C133" s="48">
        <v>0.5</v>
      </c>
      <c r="D133" s="47" t="s">
        <v>38</v>
      </c>
      <c r="E133" s="47" t="s">
        <v>55</v>
      </c>
      <c r="F133" s="47" t="s">
        <v>454</v>
      </c>
      <c r="G133" s="174"/>
      <c r="H133" s="10"/>
      <c r="I133" s="11"/>
      <c r="J133" s="11"/>
      <c r="K133" s="11"/>
      <c r="L133" s="11"/>
      <c r="M133" s="11"/>
      <c r="N133" s="11"/>
      <c r="O133" s="12"/>
      <c r="P133" s="11"/>
      <c r="Q133" s="13"/>
      <c r="R133" s="14"/>
    </row>
    <row r="134" spans="1:18" ht="15" customHeight="1" x14ac:dyDescent="0.3">
      <c r="A134" s="15" t="s">
        <v>36</v>
      </c>
      <c r="B134" s="15" t="s">
        <v>464</v>
      </c>
      <c r="C134" s="16">
        <v>0.5</v>
      </c>
      <c r="D134" s="15" t="s">
        <v>41</v>
      </c>
      <c r="E134" s="15" t="s">
        <v>246</v>
      </c>
      <c r="F134" s="15" t="s">
        <v>344</v>
      </c>
      <c r="G134" s="174"/>
      <c r="H134" s="10"/>
      <c r="I134" s="11"/>
      <c r="J134" s="11"/>
      <c r="K134" s="11"/>
      <c r="L134" s="11"/>
      <c r="M134" s="11"/>
      <c r="N134" s="11"/>
      <c r="O134" s="12"/>
      <c r="P134" s="11"/>
      <c r="Q134" s="13"/>
      <c r="R134" s="14"/>
    </row>
    <row r="135" spans="1:18" ht="15" customHeight="1" x14ac:dyDescent="0.3">
      <c r="A135" s="15" t="s">
        <v>36</v>
      </c>
      <c r="B135" s="15" t="s">
        <v>464</v>
      </c>
      <c r="C135" s="16">
        <v>0.5</v>
      </c>
      <c r="D135" s="15" t="s">
        <v>44</v>
      </c>
      <c r="E135" s="15" t="s">
        <v>246</v>
      </c>
      <c r="F135" s="15" t="s">
        <v>455</v>
      </c>
      <c r="G135" s="174"/>
      <c r="H135" s="10"/>
      <c r="I135" s="11"/>
      <c r="J135" s="11"/>
      <c r="K135" s="11"/>
      <c r="L135" s="11"/>
      <c r="M135" s="11"/>
      <c r="N135" s="11"/>
      <c r="O135" s="12"/>
      <c r="P135" s="11"/>
      <c r="Q135" s="13"/>
      <c r="R135" s="14"/>
    </row>
    <row r="136" spans="1:18" ht="15" customHeight="1" x14ac:dyDescent="0.3">
      <c r="A136" s="47" t="s">
        <v>36</v>
      </c>
      <c r="B136" s="47" t="s">
        <v>461</v>
      </c>
      <c r="C136" s="48">
        <v>0.42708333333333331</v>
      </c>
      <c r="D136" s="47" t="s">
        <v>38</v>
      </c>
      <c r="E136" s="47" t="s">
        <v>250</v>
      </c>
      <c r="F136" s="47" t="s">
        <v>454</v>
      </c>
      <c r="G136" s="174"/>
      <c r="H136" s="10"/>
      <c r="I136" s="11"/>
      <c r="J136" s="11"/>
      <c r="K136" s="11"/>
      <c r="L136" s="11"/>
      <c r="M136" s="11"/>
      <c r="N136" s="11"/>
      <c r="O136" s="12"/>
      <c r="P136" s="11"/>
      <c r="Q136" s="13"/>
      <c r="R136" s="14"/>
    </row>
    <row r="137" spans="1:18" ht="15" customHeight="1" x14ac:dyDescent="0.3">
      <c r="A137" s="15" t="s">
        <v>36</v>
      </c>
      <c r="B137" s="15" t="s">
        <v>461</v>
      </c>
      <c r="C137" s="16">
        <v>0.42708333333333331</v>
      </c>
      <c r="D137" s="15" t="s">
        <v>41</v>
      </c>
      <c r="E137" s="15" t="s">
        <v>102</v>
      </c>
      <c r="F137" s="15" t="s">
        <v>344</v>
      </c>
      <c r="G137" s="174"/>
      <c r="H137" s="10"/>
      <c r="I137" s="11"/>
      <c r="J137" s="11"/>
      <c r="K137" s="11"/>
      <c r="L137" s="11"/>
      <c r="M137" s="11"/>
      <c r="N137" s="11"/>
      <c r="O137" s="12"/>
      <c r="P137" s="11"/>
      <c r="Q137" s="13"/>
      <c r="R137" s="14"/>
    </row>
    <row r="138" spans="1:18" ht="15" customHeight="1" x14ac:dyDescent="0.3">
      <c r="A138" s="15" t="s">
        <v>36</v>
      </c>
      <c r="B138" s="15" t="s">
        <v>461</v>
      </c>
      <c r="C138" s="16">
        <v>0.42708333333333331</v>
      </c>
      <c r="D138" s="15" t="s">
        <v>44</v>
      </c>
      <c r="E138" s="15" t="s">
        <v>102</v>
      </c>
      <c r="F138" s="15" t="s">
        <v>455</v>
      </c>
      <c r="G138" s="174"/>
      <c r="H138" s="10"/>
      <c r="I138" s="11"/>
      <c r="J138" s="11"/>
      <c r="K138" s="11"/>
      <c r="L138" s="11"/>
      <c r="M138" s="11"/>
      <c r="N138" s="11"/>
      <c r="O138" s="12"/>
      <c r="P138" s="11"/>
      <c r="Q138" s="13"/>
      <c r="R138" s="14"/>
    </row>
    <row r="139" spans="1:18" ht="15" customHeight="1" x14ac:dyDescent="0.3">
      <c r="A139" s="47" t="s">
        <v>36</v>
      </c>
      <c r="B139" s="47" t="s">
        <v>463</v>
      </c>
      <c r="C139" s="48">
        <v>0.375</v>
      </c>
      <c r="D139" s="47" t="s">
        <v>38</v>
      </c>
      <c r="E139" s="47" t="s">
        <v>250</v>
      </c>
      <c r="F139" s="47" t="s">
        <v>454</v>
      </c>
      <c r="G139" s="174"/>
      <c r="H139" s="10"/>
      <c r="I139" s="11"/>
      <c r="J139" s="11"/>
      <c r="K139" s="11"/>
      <c r="L139" s="11"/>
      <c r="M139" s="11"/>
      <c r="N139" s="11"/>
      <c r="O139" s="12"/>
      <c r="P139" s="11"/>
      <c r="Q139" s="13"/>
      <c r="R139" s="14"/>
    </row>
    <row r="140" spans="1:18" ht="15" customHeight="1" x14ac:dyDescent="0.3">
      <c r="A140" s="15" t="s">
        <v>36</v>
      </c>
      <c r="B140" s="15" t="s">
        <v>463</v>
      </c>
      <c r="C140" s="16">
        <v>0.375</v>
      </c>
      <c r="D140" s="15" t="s">
        <v>41</v>
      </c>
      <c r="E140" s="15" t="s">
        <v>102</v>
      </c>
      <c r="F140" s="15" t="s">
        <v>344</v>
      </c>
      <c r="G140" s="174"/>
      <c r="H140" s="10"/>
      <c r="I140" s="11"/>
      <c r="J140" s="11"/>
      <c r="K140" s="11"/>
      <c r="L140" s="11"/>
      <c r="M140" s="11"/>
      <c r="N140" s="11"/>
      <c r="O140" s="12"/>
      <c r="P140" s="11"/>
      <c r="Q140" s="13"/>
      <c r="R140" s="14"/>
    </row>
    <row r="141" spans="1:18" ht="15" customHeight="1" x14ac:dyDescent="0.3">
      <c r="A141" s="15" t="s">
        <v>36</v>
      </c>
      <c r="B141" s="15" t="s">
        <v>463</v>
      </c>
      <c r="C141" s="16">
        <v>0.375</v>
      </c>
      <c r="D141" s="15" t="s">
        <v>44</v>
      </c>
      <c r="E141" s="15" t="s">
        <v>102</v>
      </c>
      <c r="F141" s="15" t="s">
        <v>455</v>
      </c>
      <c r="G141" s="174"/>
      <c r="H141" s="10"/>
      <c r="I141" s="11"/>
      <c r="J141" s="11"/>
      <c r="K141" s="11"/>
      <c r="L141" s="11"/>
      <c r="M141" s="11"/>
      <c r="N141" s="11"/>
      <c r="O141" s="12"/>
      <c r="P141" s="11"/>
      <c r="Q141" s="13"/>
      <c r="R141" s="14"/>
    </row>
    <row r="142" spans="1:18" ht="15" customHeight="1" x14ac:dyDescent="0.3">
      <c r="A142" s="47" t="s">
        <v>36</v>
      </c>
      <c r="B142" s="47" t="s">
        <v>456</v>
      </c>
      <c r="C142" s="48">
        <v>0.56597222222222221</v>
      </c>
      <c r="D142" s="47" t="s">
        <v>38</v>
      </c>
      <c r="E142" s="47" t="s">
        <v>55</v>
      </c>
      <c r="F142" s="47" t="s">
        <v>458</v>
      </c>
      <c r="G142" s="174"/>
      <c r="H142" s="10"/>
      <c r="I142" s="11"/>
      <c r="J142" s="11"/>
      <c r="K142" s="11"/>
      <c r="L142" s="11"/>
      <c r="M142" s="11"/>
      <c r="N142" s="11"/>
      <c r="O142" s="12"/>
      <c r="P142" s="11"/>
      <c r="Q142" s="13"/>
      <c r="R142" s="14"/>
    </row>
    <row r="143" spans="1:18" ht="15" customHeight="1" x14ac:dyDescent="0.3">
      <c r="A143" s="15" t="s">
        <v>36</v>
      </c>
      <c r="B143" s="15" t="s">
        <v>456</v>
      </c>
      <c r="C143" s="16">
        <v>0.56597222222222221</v>
      </c>
      <c r="D143" s="15" t="s">
        <v>41</v>
      </c>
      <c r="E143" s="15" t="s">
        <v>246</v>
      </c>
      <c r="F143" s="15" t="s">
        <v>459</v>
      </c>
      <c r="G143" s="174"/>
      <c r="H143" s="10"/>
      <c r="I143" s="11"/>
      <c r="J143" s="11"/>
      <c r="K143" s="11"/>
      <c r="L143" s="11"/>
      <c r="M143" s="11"/>
      <c r="N143" s="11"/>
      <c r="O143" s="12"/>
      <c r="P143" s="11"/>
      <c r="Q143" s="13"/>
      <c r="R143" s="14"/>
    </row>
    <row r="144" spans="1:18" ht="15" customHeight="1" x14ac:dyDescent="0.3">
      <c r="A144" s="15" t="s">
        <v>36</v>
      </c>
      <c r="B144" s="15" t="s">
        <v>456</v>
      </c>
      <c r="C144" s="16">
        <v>0.56597222222222221</v>
      </c>
      <c r="D144" s="15" t="s">
        <v>44</v>
      </c>
      <c r="E144" s="15" t="s">
        <v>246</v>
      </c>
      <c r="F144" s="15" t="s">
        <v>460</v>
      </c>
      <c r="G144" s="174"/>
      <c r="H144" s="10"/>
      <c r="I144" s="11"/>
      <c r="J144" s="11"/>
      <c r="K144" s="11"/>
      <c r="L144" s="11"/>
      <c r="M144" s="11"/>
      <c r="N144" s="11"/>
      <c r="O144" s="12"/>
      <c r="P144" s="11"/>
      <c r="Q144" s="13"/>
      <c r="R144" s="14"/>
    </row>
    <row r="145" spans="1:18" ht="15" customHeight="1" x14ac:dyDescent="0.3">
      <c r="A145" s="47" t="s">
        <v>36</v>
      </c>
      <c r="B145" s="47" t="s">
        <v>462</v>
      </c>
      <c r="C145" s="48">
        <v>0.6875</v>
      </c>
      <c r="D145" s="47" t="s">
        <v>38</v>
      </c>
      <c r="E145" s="47" t="s">
        <v>109</v>
      </c>
      <c r="F145" s="47" t="s">
        <v>245</v>
      </c>
      <c r="G145" s="174"/>
      <c r="H145" s="10"/>
      <c r="I145" s="11"/>
      <c r="J145" s="11"/>
      <c r="K145" s="11"/>
      <c r="L145" s="11"/>
      <c r="M145" s="11"/>
      <c r="N145" s="11"/>
      <c r="O145" s="12"/>
      <c r="P145" s="11"/>
      <c r="Q145" s="13"/>
      <c r="R145" s="14"/>
    </row>
    <row r="146" spans="1:18" ht="15" customHeight="1" x14ac:dyDescent="0.3">
      <c r="A146" s="15" t="s">
        <v>36</v>
      </c>
      <c r="B146" s="15" t="s">
        <v>462</v>
      </c>
      <c r="C146" s="16">
        <v>0.6875</v>
      </c>
      <c r="D146" s="15" t="s">
        <v>41</v>
      </c>
      <c r="E146" s="15" t="s">
        <v>124</v>
      </c>
      <c r="F146" s="15" t="s">
        <v>247</v>
      </c>
      <c r="G146" s="174"/>
      <c r="H146" s="10"/>
      <c r="I146" s="11"/>
      <c r="J146" s="11"/>
      <c r="K146" s="11"/>
      <c r="L146" s="11"/>
      <c r="M146" s="11"/>
      <c r="N146" s="11"/>
      <c r="O146" s="12"/>
      <c r="P146" s="11"/>
      <c r="Q146" s="13"/>
      <c r="R146" s="14"/>
    </row>
    <row r="147" spans="1:18" ht="15" customHeight="1" x14ac:dyDescent="0.3">
      <c r="A147" s="15" t="s">
        <v>36</v>
      </c>
      <c r="B147" s="15" t="s">
        <v>462</v>
      </c>
      <c r="C147" s="16">
        <v>0.6875</v>
      </c>
      <c r="D147" s="15" t="s">
        <v>44</v>
      </c>
      <c r="E147" s="15" t="s">
        <v>124</v>
      </c>
      <c r="F147" s="15" t="s">
        <v>248</v>
      </c>
      <c r="G147" s="174"/>
      <c r="H147" s="10"/>
      <c r="I147" s="11"/>
      <c r="J147" s="11"/>
      <c r="K147" s="11"/>
      <c r="L147" s="11"/>
      <c r="M147" s="11"/>
      <c r="N147" s="11"/>
      <c r="O147" s="12"/>
      <c r="P147" s="11"/>
      <c r="Q147" s="13"/>
      <c r="R147" s="14"/>
    </row>
    <row r="148" spans="1:18" ht="15" customHeight="1" x14ac:dyDescent="0.3">
      <c r="A148" s="47" t="s">
        <v>36</v>
      </c>
      <c r="B148" s="47" t="s">
        <v>457</v>
      </c>
      <c r="C148" s="48">
        <v>0.82638888888888884</v>
      </c>
      <c r="D148" s="47" t="s">
        <v>38</v>
      </c>
      <c r="E148" s="47" t="s">
        <v>107</v>
      </c>
      <c r="F148" s="47" t="s">
        <v>345</v>
      </c>
      <c r="G148" s="174"/>
      <c r="H148" s="10"/>
      <c r="I148" s="11"/>
      <c r="J148" s="11"/>
      <c r="K148" s="11"/>
      <c r="L148" s="11"/>
      <c r="M148" s="11"/>
      <c r="N148" s="11"/>
      <c r="O148" s="12"/>
      <c r="P148" s="11"/>
      <c r="Q148" s="13"/>
      <c r="R148" s="14"/>
    </row>
    <row r="149" spans="1:18" ht="15" customHeight="1" x14ac:dyDescent="0.3">
      <c r="A149" s="15" t="s">
        <v>36</v>
      </c>
      <c r="B149" s="15" t="s">
        <v>457</v>
      </c>
      <c r="C149" s="16">
        <v>0.82638888888888884</v>
      </c>
      <c r="D149" s="15" t="s">
        <v>41</v>
      </c>
      <c r="E149" s="15" t="s">
        <v>113</v>
      </c>
      <c r="F149" s="15" t="s">
        <v>40</v>
      </c>
      <c r="G149" s="174"/>
      <c r="H149" s="10"/>
      <c r="I149" s="11"/>
      <c r="J149" s="11"/>
      <c r="K149" s="11"/>
      <c r="L149" s="11"/>
      <c r="M149" s="11"/>
      <c r="N149" s="11"/>
      <c r="O149" s="12"/>
      <c r="P149" s="11"/>
      <c r="Q149" s="13"/>
      <c r="R149" s="14"/>
    </row>
    <row r="150" spans="1:18" ht="15" customHeight="1" x14ac:dyDescent="0.3">
      <c r="A150" s="15" t="s">
        <v>36</v>
      </c>
      <c r="B150" s="15" t="s">
        <v>457</v>
      </c>
      <c r="C150" s="16">
        <v>0.82638888888888884</v>
      </c>
      <c r="D150" s="15" t="s">
        <v>44</v>
      </c>
      <c r="E150" s="15" t="s">
        <v>113</v>
      </c>
      <c r="F150" s="15" t="s">
        <v>517</v>
      </c>
      <c r="G150" s="174"/>
      <c r="H150" s="10"/>
      <c r="I150" s="11"/>
      <c r="J150" s="11"/>
      <c r="K150" s="11"/>
      <c r="L150" s="11"/>
      <c r="M150" s="11"/>
      <c r="N150" s="11"/>
      <c r="O150" s="12"/>
      <c r="P150" s="11"/>
      <c r="Q150" s="13"/>
      <c r="R150" s="14"/>
    </row>
    <row r="151" spans="1:18" ht="15" customHeight="1" x14ac:dyDescent="0.3">
      <c r="A151" s="17" t="s">
        <v>200</v>
      </c>
      <c r="B151" s="17" t="s">
        <v>518</v>
      </c>
      <c r="C151" s="18">
        <v>0.35416666666666669</v>
      </c>
      <c r="D151" s="17" t="s">
        <v>48</v>
      </c>
      <c r="E151" s="17" t="s">
        <v>306</v>
      </c>
      <c r="F151" s="17" t="s">
        <v>510</v>
      </c>
      <c r="G151" s="174"/>
      <c r="H151" s="10"/>
      <c r="I151" s="11"/>
      <c r="J151" s="11"/>
      <c r="K151" s="11"/>
      <c r="L151" s="11"/>
      <c r="M151" s="11"/>
      <c r="N151" s="11"/>
      <c r="O151" s="12"/>
      <c r="P151" s="11"/>
      <c r="Q151" s="13"/>
      <c r="R151" s="14"/>
    </row>
    <row r="152" spans="1:18" ht="15" customHeight="1" x14ac:dyDescent="0.3">
      <c r="A152" s="47" t="s">
        <v>200</v>
      </c>
      <c r="B152" s="47" t="s">
        <v>509</v>
      </c>
      <c r="C152" s="48">
        <v>0.85763888888888884</v>
      </c>
      <c r="D152" s="47" t="s">
        <v>48</v>
      </c>
      <c r="E152" s="47" t="s">
        <v>70</v>
      </c>
      <c r="F152" s="47" t="s">
        <v>519</v>
      </c>
      <c r="G152" s="174"/>
      <c r="H152" s="10"/>
      <c r="I152" s="11"/>
      <c r="J152" s="11"/>
      <c r="K152" s="11"/>
      <c r="L152" s="11"/>
      <c r="M152" s="11"/>
      <c r="N152" s="11"/>
      <c r="O152" s="12"/>
      <c r="P152" s="11"/>
      <c r="Q152" s="13"/>
      <c r="R152" s="14"/>
    </row>
    <row r="153" spans="1:18" ht="15" customHeight="1" x14ac:dyDescent="0.3">
      <c r="A153" s="17" t="s">
        <v>257</v>
      </c>
      <c r="B153" s="17" t="s">
        <v>472</v>
      </c>
      <c r="C153" s="18">
        <v>0.62152777777777779</v>
      </c>
      <c r="D153" s="17" t="s">
        <v>259</v>
      </c>
      <c r="E153" s="17" t="s">
        <v>100</v>
      </c>
      <c r="F153" s="17" t="s">
        <v>520</v>
      </c>
      <c r="G153" s="174"/>
      <c r="H153" s="10"/>
      <c r="I153" s="11"/>
      <c r="J153" s="11"/>
      <c r="K153" s="11"/>
      <c r="L153" s="11"/>
      <c r="M153" s="11"/>
      <c r="N153" s="11"/>
      <c r="O153" s="12"/>
      <c r="P153" s="11"/>
      <c r="Q153" s="13"/>
      <c r="R153" s="14"/>
    </row>
    <row r="154" spans="1:18" ht="15" customHeight="1" x14ac:dyDescent="0.3">
      <c r="A154" s="15" t="s">
        <v>257</v>
      </c>
      <c r="B154" s="15" t="s">
        <v>472</v>
      </c>
      <c r="C154" s="16">
        <v>0.62152777777777779</v>
      </c>
      <c r="D154" s="15" t="s">
        <v>34</v>
      </c>
      <c r="E154" s="15" t="s">
        <v>102</v>
      </c>
      <c r="F154" s="15" t="s">
        <v>521</v>
      </c>
      <c r="G154" s="174"/>
      <c r="H154" s="10"/>
      <c r="I154" s="11"/>
      <c r="J154" s="11"/>
      <c r="K154" s="11"/>
      <c r="L154" s="11"/>
      <c r="M154" s="11"/>
      <c r="N154" s="11"/>
      <c r="O154" s="12"/>
      <c r="P154" s="11"/>
      <c r="Q154" s="13"/>
      <c r="R154" s="14"/>
    </row>
    <row r="155" spans="1:18" ht="15" customHeight="1" x14ac:dyDescent="0.3">
      <c r="A155" s="168" t="s">
        <v>46</v>
      </c>
      <c r="B155" s="168" t="s">
        <v>503</v>
      </c>
      <c r="C155" s="169">
        <v>0.61111111111111105</v>
      </c>
      <c r="D155" s="168" t="s">
        <v>48</v>
      </c>
      <c r="E155" s="168" t="s">
        <v>49</v>
      </c>
      <c r="F155" s="168" t="s">
        <v>522</v>
      </c>
      <c r="G155" s="174"/>
      <c r="H155" s="109" t="s">
        <v>504</v>
      </c>
      <c r="I155" s="110">
        <v>0.53569999999999995</v>
      </c>
      <c r="J155" s="111">
        <v>90</v>
      </c>
      <c r="K155" s="112">
        <v>45981</v>
      </c>
      <c r="L155" s="111">
        <v>18</v>
      </c>
      <c r="M155" s="111">
        <v>0</v>
      </c>
      <c r="N155" s="111">
        <v>4</v>
      </c>
      <c r="O155" s="113" t="s">
        <v>523</v>
      </c>
      <c r="P155" s="114">
        <v>0.61111111111111105</v>
      </c>
      <c r="Q155" s="111">
        <v>168</v>
      </c>
      <c r="R155" s="115" t="s">
        <v>524</v>
      </c>
    </row>
    <row r="156" spans="1:18" ht="15" customHeight="1" x14ac:dyDescent="0.3">
      <c r="A156" s="17" t="s">
        <v>262</v>
      </c>
      <c r="B156" s="17" t="s">
        <v>525</v>
      </c>
      <c r="C156" s="18">
        <v>0.87847222222222221</v>
      </c>
      <c r="D156" s="17" t="s">
        <v>48</v>
      </c>
      <c r="E156" s="17" t="s">
        <v>49</v>
      </c>
      <c r="F156" s="17" t="s">
        <v>203</v>
      </c>
      <c r="G156" s="174"/>
      <c r="H156" s="10"/>
      <c r="I156" s="11"/>
      <c r="J156" s="11"/>
      <c r="K156" s="11"/>
      <c r="L156" s="11"/>
      <c r="M156" s="11"/>
      <c r="N156" s="11"/>
      <c r="O156" s="12"/>
      <c r="P156" s="11"/>
      <c r="Q156" s="13"/>
      <c r="R156" s="14"/>
    </row>
    <row r="157" spans="1:18" ht="15" customHeight="1" x14ac:dyDescent="0.3">
      <c r="A157" s="17" t="s">
        <v>65</v>
      </c>
      <c r="B157" s="17" t="s">
        <v>475</v>
      </c>
      <c r="C157" s="18">
        <v>0.16666666666666671</v>
      </c>
      <c r="D157" s="17" t="s">
        <v>67</v>
      </c>
      <c r="E157" s="17" t="s">
        <v>49</v>
      </c>
      <c r="F157" s="17" t="s">
        <v>526</v>
      </c>
      <c r="G157" s="174"/>
      <c r="H157" s="10"/>
      <c r="I157" s="11"/>
      <c r="J157" s="11"/>
      <c r="K157" s="11"/>
      <c r="L157" s="11"/>
      <c r="M157" s="11"/>
      <c r="N157" s="11"/>
      <c r="O157" s="12"/>
      <c r="P157" s="11"/>
      <c r="Q157" s="13"/>
      <c r="R157" s="14"/>
    </row>
    <row r="158" spans="1:18" ht="15" customHeight="1" x14ac:dyDescent="0.3">
      <c r="A158" s="47" t="s">
        <v>65</v>
      </c>
      <c r="B158" s="47" t="s">
        <v>479</v>
      </c>
      <c r="C158" s="48">
        <v>0.91666666666666663</v>
      </c>
      <c r="D158" s="47" t="s">
        <v>67</v>
      </c>
      <c r="E158" s="47" t="s">
        <v>70</v>
      </c>
      <c r="F158" s="47" t="s">
        <v>527</v>
      </c>
      <c r="G158" s="174"/>
      <c r="H158" s="10"/>
      <c r="I158" s="11"/>
      <c r="J158" s="11"/>
      <c r="K158" s="11"/>
      <c r="L158" s="11"/>
      <c r="M158" s="11"/>
      <c r="N158" s="11"/>
      <c r="O158" s="12"/>
      <c r="P158" s="11"/>
      <c r="Q158" s="13"/>
      <c r="R158" s="14"/>
    </row>
    <row r="159" spans="1:18" ht="15" customHeight="1" x14ac:dyDescent="0.3">
      <c r="A159" s="47" t="s">
        <v>65</v>
      </c>
      <c r="B159" s="47" t="s">
        <v>477</v>
      </c>
      <c r="C159" s="48">
        <v>0.54166666666666663</v>
      </c>
      <c r="D159" s="47" t="s">
        <v>67</v>
      </c>
      <c r="E159" s="47" t="s">
        <v>70</v>
      </c>
      <c r="F159" s="47" t="s">
        <v>528</v>
      </c>
      <c r="G159" s="174"/>
      <c r="H159" s="10"/>
      <c r="I159" s="11"/>
      <c r="J159" s="11"/>
      <c r="K159" s="11"/>
      <c r="L159" s="11"/>
      <c r="M159" s="11"/>
      <c r="N159" s="11"/>
      <c r="O159" s="12"/>
      <c r="P159" s="11"/>
      <c r="Q159" s="13"/>
      <c r="R159" s="14"/>
    </row>
    <row r="160" spans="1:18" ht="15" customHeight="1" x14ac:dyDescent="0.3">
      <c r="A160" s="17" t="s">
        <v>77</v>
      </c>
      <c r="B160" s="17" t="s">
        <v>481</v>
      </c>
      <c r="C160" s="18">
        <v>0.2986111111111111</v>
      </c>
      <c r="D160" s="17" t="s">
        <v>83</v>
      </c>
      <c r="E160" s="17" t="s">
        <v>529</v>
      </c>
      <c r="F160" s="17" t="s">
        <v>530</v>
      </c>
      <c r="G160" s="174"/>
      <c r="H160" s="10"/>
      <c r="I160" s="11"/>
      <c r="J160" s="11"/>
      <c r="K160" s="11"/>
      <c r="L160" s="11"/>
      <c r="M160" s="11"/>
      <c r="N160" s="11"/>
      <c r="O160" s="12"/>
      <c r="P160" s="11"/>
      <c r="Q160" s="13"/>
      <c r="R160" s="14"/>
    </row>
    <row r="161" spans="1:18" ht="15" customHeight="1" x14ac:dyDescent="0.3">
      <c r="A161" s="15" t="s">
        <v>77</v>
      </c>
      <c r="B161" s="15" t="s">
        <v>481</v>
      </c>
      <c r="C161" s="16">
        <v>0.2986111111111111</v>
      </c>
      <c r="D161" s="15" t="s">
        <v>79</v>
      </c>
      <c r="E161" s="15" t="s">
        <v>308</v>
      </c>
      <c r="F161" s="15" t="s">
        <v>531</v>
      </c>
      <c r="G161" s="174"/>
      <c r="H161" s="10"/>
      <c r="I161" s="11"/>
      <c r="J161" s="11"/>
      <c r="K161" s="11"/>
      <c r="L161" s="11"/>
      <c r="M161" s="11"/>
      <c r="N161" s="11"/>
      <c r="O161" s="12"/>
      <c r="P161" s="11"/>
      <c r="Q161" s="13"/>
      <c r="R161" s="14"/>
    </row>
    <row r="162" spans="1:18" ht="15" customHeight="1" x14ac:dyDescent="0.3">
      <c r="A162" s="47" t="s">
        <v>77</v>
      </c>
      <c r="B162" s="47" t="s">
        <v>486</v>
      </c>
      <c r="C162" s="48">
        <v>0.4826388888888889</v>
      </c>
      <c r="D162" s="47" t="s">
        <v>83</v>
      </c>
      <c r="E162" s="47" t="s">
        <v>70</v>
      </c>
      <c r="F162" s="47" t="s">
        <v>532</v>
      </c>
      <c r="G162" s="174"/>
      <c r="H162" s="10"/>
      <c r="I162" s="11"/>
      <c r="J162" s="11"/>
      <c r="K162" s="11"/>
      <c r="L162" s="11"/>
      <c r="M162" s="11"/>
      <c r="N162" s="11"/>
      <c r="O162" s="12"/>
      <c r="P162" s="11"/>
      <c r="Q162" s="13"/>
      <c r="R162" s="14"/>
    </row>
    <row r="163" spans="1:18" ht="15" customHeight="1" x14ac:dyDescent="0.3">
      <c r="A163" s="15" t="s">
        <v>77</v>
      </c>
      <c r="B163" s="15" t="s">
        <v>486</v>
      </c>
      <c r="C163" s="16">
        <v>0.4826388888888889</v>
      </c>
      <c r="D163" s="15" t="s">
        <v>79</v>
      </c>
      <c r="E163" s="15" t="s">
        <v>85</v>
      </c>
      <c r="F163" s="15" t="s">
        <v>533</v>
      </c>
      <c r="G163" s="174"/>
      <c r="H163" s="10"/>
      <c r="I163" s="11"/>
      <c r="J163" s="11"/>
      <c r="K163" s="11"/>
      <c r="L163" s="11"/>
      <c r="M163" s="11"/>
      <c r="N163" s="11"/>
      <c r="O163" s="12"/>
      <c r="P163" s="11"/>
      <c r="Q163" s="13"/>
      <c r="R163" s="14"/>
    </row>
    <row r="164" spans="1:18" ht="15" customHeight="1" x14ac:dyDescent="0.3">
      <c r="A164" s="47" t="s">
        <v>77</v>
      </c>
      <c r="B164" s="47" t="s">
        <v>484</v>
      </c>
      <c r="C164" s="48">
        <v>0.68402777777777779</v>
      </c>
      <c r="D164" s="47" t="s">
        <v>83</v>
      </c>
      <c r="E164" s="47" t="s">
        <v>70</v>
      </c>
      <c r="F164" s="47" t="s">
        <v>534</v>
      </c>
      <c r="G164" s="174"/>
      <c r="H164" s="10"/>
      <c r="I164" s="11"/>
      <c r="J164" s="11"/>
      <c r="K164" s="11"/>
      <c r="L164" s="11"/>
      <c r="M164" s="11"/>
      <c r="N164" s="11"/>
      <c r="O164" s="12"/>
      <c r="P164" s="11"/>
      <c r="Q164" s="13"/>
      <c r="R164" s="14"/>
    </row>
    <row r="165" spans="1:18" ht="15" customHeight="1" x14ac:dyDescent="0.3">
      <c r="A165" s="15" t="s">
        <v>77</v>
      </c>
      <c r="B165" s="15" t="s">
        <v>484</v>
      </c>
      <c r="C165" s="16">
        <v>0.68402777777777779</v>
      </c>
      <c r="D165" s="15" t="s">
        <v>79</v>
      </c>
      <c r="E165" s="15" t="s">
        <v>85</v>
      </c>
      <c r="F165" s="15" t="s">
        <v>535</v>
      </c>
      <c r="G165" s="174"/>
      <c r="H165" s="10"/>
      <c r="I165" s="11"/>
      <c r="J165" s="11"/>
      <c r="K165" s="11"/>
      <c r="L165" s="11"/>
      <c r="M165" s="11"/>
      <c r="N165" s="11"/>
      <c r="O165" s="12"/>
      <c r="P165" s="11"/>
      <c r="Q165" s="13"/>
      <c r="R165" s="14"/>
    </row>
    <row r="166" spans="1:18" ht="15" customHeight="1" x14ac:dyDescent="0.3">
      <c r="A166" s="47" t="s">
        <v>77</v>
      </c>
      <c r="B166" s="47" t="s">
        <v>492</v>
      </c>
      <c r="C166" s="48">
        <v>0.5</v>
      </c>
      <c r="D166" s="47" t="s">
        <v>79</v>
      </c>
      <c r="E166" s="47" t="s">
        <v>107</v>
      </c>
      <c r="F166" s="47" t="s">
        <v>491</v>
      </c>
      <c r="G166" s="174"/>
      <c r="H166" s="10"/>
      <c r="I166" s="11"/>
      <c r="J166" s="11"/>
      <c r="K166" s="11"/>
      <c r="L166" s="11"/>
      <c r="M166" s="11"/>
      <c r="N166" s="11"/>
      <c r="O166" s="12"/>
      <c r="P166" s="11"/>
      <c r="Q166" s="13"/>
      <c r="R166" s="14"/>
    </row>
    <row r="167" spans="1:18" ht="15" customHeight="1" x14ac:dyDescent="0.3">
      <c r="A167" s="47" t="s">
        <v>77</v>
      </c>
      <c r="B167" s="47" t="s">
        <v>490</v>
      </c>
      <c r="C167" s="48">
        <v>0.76041666666666663</v>
      </c>
      <c r="D167" s="47" t="s">
        <v>79</v>
      </c>
      <c r="E167" s="47" t="s">
        <v>107</v>
      </c>
      <c r="F167" s="47" t="s">
        <v>536</v>
      </c>
      <c r="G167" s="174"/>
      <c r="H167" s="10"/>
      <c r="I167" s="11"/>
      <c r="J167" s="11"/>
      <c r="K167" s="11"/>
      <c r="L167" s="11"/>
      <c r="M167" s="11"/>
      <c r="N167" s="11"/>
      <c r="O167" s="12"/>
      <c r="P167" s="11"/>
      <c r="Q167" s="13"/>
      <c r="R167" s="14"/>
    </row>
    <row r="168" spans="1:18" ht="15" customHeight="1" x14ac:dyDescent="0.3">
      <c r="A168" s="47" t="s">
        <v>77</v>
      </c>
      <c r="B168" s="47" t="s">
        <v>493</v>
      </c>
      <c r="C168" s="48">
        <v>0.81597222222222221</v>
      </c>
      <c r="D168" s="47" t="s">
        <v>79</v>
      </c>
      <c r="E168" s="47" t="s">
        <v>107</v>
      </c>
      <c r="F168" s="47" t="s">
        <v>536</v>
      </c>
      <c r="G168" s="174"/>
      <c r="H168" s="10"/>
      <c r="I168" s="11"/>
      <c r="J168" s="11"/>
      <c r="K168" s="11"/>
      <c r="L168" s="11"/>
      <c r="M168" s="11"/>
      <c r="N168" s="11"/>
      <c r="O168" s="12"/>
      <c r="P168" s="11"/>
      <c r="Q168" s="13"/>
      <c r="R168" s="14"/>
    </row>
    <row r="169" spans="1:18" ht="15" customHeight="1" x14ac:dyDescent="0.3">
      <c r="A169" s="47" t="s">
        <v>77</v>
      </c>
      <c r="B169" s="47" t="s">
        <v>487</v>
      </c>
      <c r="C169" s="48">
        <v>0.83680555555555547</v>
      </c>
      <c r="D169" s="47" t="s">
        <v>83</v>
      </c>
      <c r="E169" s="47" t="s">
        <v>228</v>
      </c>
      <c r="F169" s="47" t="s">
        <v>537</v>
      </c>
      <c r="G169" s="174"/>
      <c r="H169" s="10"/>
      <c r="I169" s="11"/>
      <c r="J169" s="11"/>
      <c r="K169" s="11"/>
      <c r="L169" s="11"/>
      <c r="M169" s="11"/>
      <c r="N169" s="11"/>
      <c r="O169" s="12"/>
      <c r="P169" s="11"/>
      <c r="Q169" s="13"/>
      <c r="R169" s="14"/>
    </row>
    <row r="170" spans="1:18" ht="15" customHeight="1" thickBot="1" x14ac:dyDescent="0.35">
      <c r="A170" s="49" t="s">
        <v>77</v>
      </c>
      <c r="B170" s="49" t="s">
        <v>487</v>
      </c>
      <c r="C170" s="50">
        <v>0.83680555555555547</v>
      </c>
      <c r="D170" s="49" t="s">
        <v>79</v>
      </c>
      <c r="E170" s="49" t="s">
        <v>308</v>
      </c>
      <c r="F170" s="49" t="s">
        <v>538</v>
      </c>
      <c r="G170" s="175"/>
      <c r="H170" s="51"/>
      <c r="I170" s="52"/>
      <c r="J170" s="52"/>
      <c r="K170" s="52"/>
      <c r="L170" s="52"/>
      <c r="M170" s="52"/>
      <c r="N170" s="52"/>
      <c r="O170" s="53"/>
      <c r="P170" s="52"/>
      <c r="Q170" s="54"/>
      <c r="R170" s="55"/>
    </row>
    <row r="171" spans="1:18" ht="17.399999999999999" customHeight="1" thickBot="1" x14ac:dyDescent="0.35">
      <c r="A171" s="205"/>
      <c r="B171" s="206"/>
      <c r="C171" s="206"/>
      <c r="D171" s="206"/>
      <c r="E171" s="206"/>
      <c r="F171" s="206"/>
      <c r="G171" s="206"/>
      <c r="H171" s="206"/>
      <c r="I171" s="206"/>
      <c r="J171" s="206"/>
      <c r="K171" s="206"/>
      <c r="L171" s="206"/>
      <c r="M171" s="206"/>
      <c r="N171" s="206"/>
      <c r="O171" s="206"/>
      <c r="P171" s="206"/>
      <c r="Q171" s="206"/>
      <c r="R171" s="207"/>
    </row>
    <row r="172" spans="1:18" ht="22.05" customHeight="1" thickTop="1" thickBot="1" x14ac:dyDescent="0.35">
      <c r="A172" s="184" t="s">
        <v>6</v>
      </c>
      <c r="B172" s="180"/>
      <c r="C172" s="180"/>
      <c r="D172" s="180"/>
      <c r="E172" s="180"/>
      <c r="F172" s="181"/>
      <c r="G172" s="56">
        <v>45989</v>
      </c>
      <c r="H172" s="188" t="s">
        <v>7</v>
      </c>
      <c r="I172" s="180"/>
      <c r="J172" s="180"/>
      <c r="K172" s="180"/>
      <c r="L172" s="180"/>
      <c r="M172" s="180"/>
      <c r="N172" s="180"/>
      <c r="O172" s="180"/>
      <c r="P172" s="180"/>
      <c r="Q172" s="180"/>
      <c r="R172" s="181"/>
    </row>
    <row r="173" spans="1:18" ht="24" customHeight="1" x14ac:dyDescent="0.3">
      <c r="A173" s="57" t="s">
        <v>8</v>
      </c>
      <c r="B173" s="57" t="s">
        <v>9</v>
      </c>
      <c r="C173" s="58" t="s">
        <v>10</v>
      </c>
      <c r="D173" s="57" t="s">
        <v>11</v>
      </c>
      <c r="E173" s="57" t="s">
        <v>12</v>
      </c>
      <c r="F173" s="59" t="s">
        <v>13</v>
      </c>
      <c r="G173" s="60" t="s">
        <v>14</v>
      </c>
      <c r="H173" s="57" t="s">
        <v>15</v>
      </c>
      <c r="I173" s="61" t="s">
        <v>16</v>
      </c>
      <c r="J173" s="62" t="s">
        <v>17</v>
      </c>
      <c r="K173" s="63" t="s">
        <v>18</v>
      </c>
      <c r="L173" s="62" t="s">
        <v>19</v>
      </c>
      <c r="M173" s="62" t="s">
        <v>20</v>
      </c>
      <c r="N173" s="62" t="s">
        <v>21</v>
      </c>
      <c r="O173" s="57" t="s">
        <v>22</v>
      </c>
      <c r="P173" s="58" t="s">
        <v>23</v>
      </c>
      <c r="Q173" s="62" t="s">
        <v>24</v>
      </c>
      <c r="R173" s="57" t="s">
        <v>25</v>
      </c>
    </row>
    <row r="174" spans="1:18" ht="15" customHeight="1" x14ac:dyDescent="0.3">
      <c r="A174" s="8" t="s">
        <v>26</v>
      </c>
      <c r="B174" s="8" t="s">
        <v>449</v>
      </c>
      <c r="C174" s="9">
        <v>0.76041666666666663</v>
      </c>
      <c r="D174" s="8" t="s">
        <v>28</v>
      </c>
      <c r="E174" s="8" t="s">
        <v>80</v>
      </c>
      <c r="F174" s="8" t="s">
        <v>539</v>
      </c>
      <c r="G174" s="173"/>
      <c r="H174" s="10"/>
      <c r="I174" s="11"/>
      <c r="J174" s="11"/>
      <c r="K174" s="11"/>
      <c r="L174" s="11"/>
      <c r="M174" s="11"/>
      <c r="N174" s="11"/>
      <c r="O174" s="12"/>
      <c r="P174" s="11"/>
      <c r="Q174" s="13"/>
      <c r="R174" s="14"/>
    </row>
    <row r="175" spans="1:18" ht="15" customHeight="1" x14ac:dyDescent="0.3">
      <c r="A175" s="15" t="s">
        <v>26</v>
      </c>
      <c r="B175" s="15" t="s">
        <v>449</v>
      </c>
      <c r="C175" s="16">
        <v>0.76041666666666663</v>
      </c>
      <c r="D175" s="15" t="s">
        <v>31</v>
      </c>
      <c r="E175" s="15" t="s">
        <v>113</v>
      </c>
      <c r="F175" s="15" t="s">
        <v>459</v>
      </c>
      <c r="G175" s="174"/>
      <c r="H175" s="10"/>
      <c r="I175" s="11"/>
      <c r="J175" s="11"/>
      <c r="K175" s="11"/>
      <c r="L175" s="11"/>
      <c r="M175" s="11"/>
      <c r="N175" s="11"/>
      <c r="O175" s="12"/>
      <c r="P175" s="11"/>
      <c r="Q175" s="13"/>
      <c r="R175" s="14"/>
    </row>
    <row r="176" spans="1:18" ht="15" customHeight="1" x14ac:dyDescent="0.3">
      <c r="A176" s="15" t="s">
        <v>26</v>
      </c>
      <c r="B176" s="15" t="s">
        <v>449</v>
      </c>
      <c r="C176" s="16">
        <v>0.76041666666666663</v>
      </c>
      <c r="D176" s="15" t="s">
        <v>34</v>
      </c>
      <c r="E176" s="15" t="s">
        <v>113</v>
      </c>
      <c r="F176" s="15" t="s">
        <v>445</v>
      </c>
      <c r="G176" s="174"/>
      <c r="H176" s="10"/>
      <c r="I176" s="11"/>
      <c r="J176" s="11"/>
      <c r="K176" s="11"/>
      <c r="L176" s="11"/>
      <c r="M176" s="11"/>
      <c r="N176" s="11"/>
      <c r="O176" s="12"/>
      <c r="P176" s="11"/>
      <c r="Q176" s="13"/>
      <c r="R176" s="14"/>
    </row>
    <row r="177" spans="1:18" ht="15" customHeight="1" x14ac:dyDescent="0.3">
      <c r="A177" s="47" t="s">
        <v>26</v>
      </c>
      <c r="B177" s="47" t="s">
        <v>441</v>
      </c>
      <c r="C177" s="48">
        <v>0.44791666666666669</v>
      </c>
      <c r="D177" s="47" t="s">
        <v>28</v>
      </c>
      <c r="E177" s="47" t="s">
        <v>250</v>
      </c>
      <c r="F177" s="47" t="s">
        <v>540</v>
      </c>
      <c r="G177" s="174"/>
      <c r="H177" s="10"/>
      <c r="I177" s="11"/>
      <c r="J177" s="11"/>
      <c r="K177" s="11"/>
      <c r="L177" s="11"/>
      <c r="M177" s="11"/>
      <c r="N177" s="11"/>
      <c r="O177" s="12"/>
      <c r="P177" s="11"/>
      <c r="Q177" s="13"/>
      <c r="R177" s="14"/>
    </row>
    <row r="178" spans="1:18" ht="15" customHeight="1" x14ac:dyDescent="0.3">
      <c r="A178" s="15" t="s">
        <v>26</v>
      </c>
      <c r="B178" s="15" t="s">
        <v>441</v>
      </c>
      <c r="C178" s="16">
        <v>0.44791666666666669</v>
      </c>
      <c r="D178" s="15" t="s">
        <v>31</v>
      </c>
      <c r="E178" s="15" t="s">
        <v>102</v>
      </c>
      <c r="F178" s="15" t="s">
        <v>215</v>
      </c>
      <c r="G178" s="174"/>
      <c r="H178" s="10"/>
      <c r="I178" s="11"/>
      <c r="J178" s="11"/>
      <c r="K178" s="11"/>
      <c r="L178" s="11"/>
      <c r="M178" s="11"/>
      <c r="N178" s="11"/>
      <c r="O178" s="12"/>
      <c r="P178" s="11"/>
      <c r="Q178" s="13"/>
      <c r="R178" s="14"/>
    </row>
    <row r="179" spans="1:18" ht="15" customHeight="1" x14ac:dyDescent="0.3">
      <c r="A179" s="15" t="s">
        <v>26</v>
      </c>
      <c r="B179" s="15" t="s">
        <v>441</v>
      </c>
      <c r="C179" s="16">
        <v>0.44791666666666669</v>
      </c>
      <c r="D179" s="15" t="s">
        <v>34</v>
      </c>
      <c r="E179" s="15" t="s">
        <v>102</v>
      </c>
      <c r="F179" s="15" t="s">
        <v>445</v>
      </c>
      <c r="G179" s="174"/>
      <c r="H179" s="10"/>
      <c r="I179" s="11"/>
      <c r="J179" s="11"/>
      <c r="K179" s="11"/>
      <c r="L179" s="11"/>
      <c r="M179" s="11"/>
      <c r="N179" s="11"/>
      <c r="O179" s="12"/>
      <c r="P179" s="11"/>
      <c r="Q179" s="13"/>
      <c r="R179" s="14"/>
    </row>
    <row r="180" spans="1:18" ht="15" customHeight="1" x14ac:dyDescent="0.3">
      <c r="A180" s="47" t="s">
        <v>26</v>
      </c>
      <c r="B180" s="47" t="s">
        <v>446</v>
      </c>
      <c r="C180" s="48">
        <v>0.5</v>
      </c>
      <c r="D180" s="47" t="s">
        <v>28</v>
      </c>
      <c r="E180" s="47" t="s">
        <v>250</v>
      </c>
      <c r="F180" s="47" t="s">
        <v>540</v>
      </c>
      <c r="G180" s="174"/>
      <c r="H180" s="10"/>
      <c r="I180" s="11"/>
      <c r="J180" s="11"/>
      <c r="K180" s="11"/>
      <c r="L180" s="11"/>
      <c r="M180" s="11"/>
      <c r="N180" s="11"/>
      <c r="O180" s="12"/>
      <c r="P180" s="11"/>
      <c r="Q180" s="13"/>
      <c r="R180" s="14"/>
    </row>
    <row r="181" spans="1:18" ht="15" customHeight="1" x14ac:dyDescent="0.3">
      <c r="A181" s="15" t="s">
        <v>26</v>
      </c>
      <c r="B181" s="15" t="s">
        <v>446</v>
      </c>
      <c r="C181" s="16">
        <v>0.5</v>
      </c>
      <c r="D181" s="15" t="s">
        <v>31</v>
      </c>
      <c r="E181" s="15" t="s">
        <v>102</v>
      </c>
      <c r="F181" s="15" t="s">
        <v>215</v>
      </c>
      <c r="G181" s="174"/>
      <c r="H181" s="10"/>
      <c r="I181" s="11"/>
      <c r="J181" s="11"/>
      <c r="K181" s="11"/>
      <c r="L181" s="11"/>
      <c r="M181" s="11"/>
      <c r="N181" s="11"/>
      <c r="O181" s="12"/>
      <c r="P181" s="11"/>
      <c r="Q181" s="13"/>
      <c r="R181" s="14"/>
    </row>
    <row r="182" spans="1:18" ht="15" customHeight="1" x14ac:dyDescent="0.3">
      <c r="A182" s="15" t="s">
        <v>26</v>
      </c>
      <c r="B182" s="15" t="s">
        <v>446</v>
      </c>
      <c r="C182" s="16">
        <v>0.5</v>
      </c>
      <c r="D182" s="15" t="s">
        <v>34</v>
      </c>
      <c r="E182" s="15" t="s">
        <v>102</v>
      </c>
      <c r="F182" s="15" t="s">
        <v>445</v>
      </c>
      <c r="G182" s="174"/>
      <c r="H182" s="10"/>
      <c r="I182" s="11"/>
      <c r="J182" s="11"/>
      <c r="K182" s="11"/>
      <c r="L182" s="11"/>
      <c r="M182" s="11"/>
      <c r="N182" s="11"/>
      <c r="O182" s="12"/>
      <c r="P182" s="11"/>
      <c r="Q182" s="13"/>
      <c r="R182" s="14"/>
    </row>
    <row r="183" spans="1:18" ht="15" customHeight="1" x14ac:dyDescent="0.3">
      <c r="A183" s="47" t="s">
        <v>26</v>
      </c>
      <c r="B183" s="47" t="s">
        <v>450</v>
      </c>
      <c r="C183" s="48">
        <v>0.81597222222222221</v>
      </c>
      <c r="D183" s="47" t="s">
        <v>28</v>
      </c>
      <c r="E183" s="47" t="s">
        <v>307</v>
      </c>
      <c r="F183" s="47" t="s">
        <v>540</v>
      </c>
      <c r="G183" s="174"/>
      <c r="H183" s="10"/>
      <c r="I183" s="11"/>
      <c r="J183" s="11"/>
      <c r="K183" s="11"/>
      <c r="L183" s="11"/>
      <c r="M183" s="11"/>
      <c r="N183" s="11"/>
      <c r="O183" s="12"/>
      <c r="P183" s="11"/>
      <c r="Q183" s="13"/>
      <c r="R183" s="14"/>
    </row>
    <row r="184" spans="1:18" ht="15" customHeight="1" x14ac:dyDescent="0.3">
      <c r="A184" s="15" t="s">
        <v>26</v>
      </c>
      <c r="B184" s="15" t="s">
        <v>450</v>
      </c>
      <c r="C184" s="16">
        <v>0.81597222222222221</v>
      </c>
      <c r="D184" s="15" t="s">
        <v>31</v>
      </c>
      <c r="E184" s="15" t="s">
        <v>32</v>
      </c>
      <c r="F184" s="15" t="s">
        <v>215</v>
      </c>
      <c r="G184" s="174"/>
      <c r="H184" s="10"/>
      <c r="I184" s="11"/>
      <c r="J184" s="11"/>
      <c r="K184" s="11"/>
      <c r="L184" s="11"/>
      <c r="M184" s="11"/>
      <c r="N184" s="11"/>
      <c r="O184" s="12"/>
      <c r="P184" s="11"/>
      <c r="Q184" s="13"/>
      <c r="R184" s="14"/>
    </row>
    <row r="185" spans="1:18" ht="15" customHeight="1" x14ac:dyDescent="0.3">
      <c r="A185" s="15" t="s">
        <v>26</v>
      </c>
      <c r="B185" s="15" t="s">
        <v>450</v>
      </c>
      <c r="C185" s="16">
        <v>0.81597222222222221</v>
      </c>
      <c r="D185" s="15" t="s">
        <v>34</v>
      </c>
      <c r="E185" s="15" t="s">
        <v>32</v>
      </c>
      <c r="F185" s="15" t="s">
        <v>445</v>
      </c>
      <c r="G185" s="174"/>
      <c r="H185" s="10"/>
      <c r="I185" s="11"/>
      <c r="J185" s="11"/>
      <c r="K185" s="11"/>
      <c r="L185" s="11"/>
      <c r="M185" s="11"/>
      <c r="N185" s="11"/>
      <c r="O185" s="12"/>
      <c r="P185" s="11"/>
      <c r="Q185" s="13"/>
      <c r="R185" s="14"/>
    </row>
    <row r="186" spans="1:18" ht="15" customHeight="1" x14ac:dyDescent="0.3">
      <c r="A186" s="130" t="s">
        <v>46</v>
      </c>
      <c r="B186" s="130" t="s">
        <v>468</v>
      </c>
      <c r="C186" s="131">
        <v>0.92361111111111116</v>
      </c>
      <c r="D186" s="130" t="s">
        <v>48</v>
      </c>
      <c r="E186" s="130" t="s">
        <v>49</v>
      </c>
      <c r="F186" s="130" t="s">
        <v>541</v>
      </c>
      <c r="G186" s="174"/>
      <c r="H186" s="132" t="s">
        <v>470</v>
      </c>
      <c r="I186" s="170">
        <v>0.33329999999999999</v>
      </c>
      <c r="J186" s="134">
        <v>56</v>
      </c>
      <c r="K186" s="135">
        <v>45981</v>
      </c>
      <c r="L186" s="134">
        <v>30</v>
      </c>
      <c r="M186" s="134">
        <v>0</v>
      </c>
      <c r="N186" s="134">
        <v>12</v>
      </c>
      <c r="O186" s="136" t="s">
        <v>302</v>
      </c>
      <c r="P186" s="137">
        <v>0.92361111111111116</v>
      </c>
      <c r="Q186" s="134">
        <v>168</v>
      </c>
      <c r="R186" s="138" t="s">
        <v>542</v>
      </c>
    </row>
    <row r="187" spans="1:18" ht="15" customHeight="1" x14ac:dyDescent="0.3">
      <c r="A187" s="116" t="s">
        <v>46</v>
      </c>
      <c r="B187" s="116" t="s">
        <v>503</v>
      </c>
      <c r="C187" s="117">
        <v>0.60416666666666663</v>
      </c>
      <c r="D187" s="116" t="s">
        <v>48</v>
      </c>
      <c r="E187" s="116" t="s">
        <v>55</v>
      </c>
      <c r="F187" s="116" t="s">
        <v>469</v>
      </c>
      <c r="G187" s="174"/>
      <c r="H187" s="21" t="s">
        <v>504</v>
      </c>
      <c r="I187" s="22">
        <v>0.45829999999999999</v>
      </c>
      <c r="J187" s="23">
        <v>77</v>
      </c>
      <c r="K187" s="24">
        <v>45981</v>
      </c>
      <c r="L187" s="23">
        <v>31</v>
      </c>
      <c r="M187" s="23">
        <v>0</v>
      </c>
      <c r="N187" s="23">
        <v>6</v>
      </c>
      <c r="O187" s="25" t="s">
        <v>543</v>
      </c>
      <c r="P187" s="26">
        <v>0.60416666666666663</v>
      </c>
      <c r="Q187" s="23">
        <v>168</v>
      </c>
      <c r="R187" s="27" t="s">
        <v>544</v>
      </c>
    </row>
    <row r="188" spans="1:18" ht="15" customHeight="1" x14ac:dyDescent="0.3">
      <c r="A188" s="17" t="s">
        <v>36</v>
      </c>
      <c r="B188" s="17" t="s">
        <v>457</v>
      </c>
      <c r="C188" s="18">
        <v>0.82638888888888884</v>
      </c>
      <c r="D188" s="17" t="s">
        <v>38</v>
      </c>
      <c r="E188" s="17" t="s">
        <v>100</v>
      </c>
      <c r="F188" s="17" t="s">
        <v>458</v>
      </c>
      <c r="G188" s="174"/>
      <c r="H188" s="10"/>
      <c r="I188" s="11"/>
      <c r="J188" s="11"/>
      <c r="K188" s="11"/>
      <c r="L188" s="11"/>
      <c r="M188" s="11"/>
      <c r="N188" s="11"/>
      <c r="O188" s="12"/>
      <c r="P188" s="11"/>
      <c r="Q188" s="13"/>
      <c r="R188" s="14"/>
    </row>
    <row r="189" spans="1:18" ht="15" customHeight="1" x14ac:dyDescent="0.3">
      <c r="A189" s="15" t="s">
        <v>36</v>
      </c>
      <c r="B189" s="15" t="s">
        <v>457</v>
      </c>
      <c r="C189" s="16">
        <v>0.82638888888888884</v>
      </c>
      <c r="D189" s="15" t="s">
        <v>41</v>
      </c>
      <c r="E189" s="15" t="s">
        <v>102</v>
      </c>
      <c r="F189" s="15" t="s">
        <v>459</v>
      </c>
      <c r="G189" s="174"/>
      <c r="H189" s="10"/>
      <c r="I189" s="11"/>
      <c r="J189" s="11"/>
      <c r="K189" s="11"/>
      <c r="L189" s="11"/>
      <c r="M189" s="11"/>
      <c r="N189" s="11"/>
      <c r="O189" s="12"/>
      <c r="P189" s="11"/>
      <c r="Q189" s="13"/>
      <c r="R189" s="14"/>
    </row>
    <row r="190" spans="1:18" ht="15" customHeight="1" x14ac:dyDescent="0.3">
      <c r="A190" s="15" t="s">
        <v>36</v>
      </c>
      <c r="B190" s="15" t="s">
        <v>457</v>
      </c>
      <c r="C190" s="16">
        <v>0.82638888888888884</v>
      </c>
      <c r="D190" s="15" t="s">
        <v>44</v>
      </c>
      <c r="E190" s="15" t="s">
        <v>102</v>
      </c>
      <c r="F190" s="15" t="s">
        <v>460</v>
      </c>
      <c r="G190" s="174"/>
      <c r="H190" s="10"/>
      <c r="I190" s="11"/>
      <c r="J190" s="11"/>
      <c r="K190" s="11"/>
      <c r="L190" s="11"/>
      <c r="M190" s="11"/>
      <c r="N190" s="11"/>
      <c r="O190" s="12"/>
      <c r="P190" s="11"/>
      <c r="Q190" s="13"/>
      <c r="R190" s="14"/>
    </row>
    <row r="191" spans="1:18" ht="15" customHeight="1" x14ac:dyDescent="0.3">
      <c r="A191" s="47" t="s">
        <v>36</v>
      </c>
      <c r="B191" s="47" t="s">
        <v>456</v>
      </c>
      <c r="C191" s="48">
        <v>0.56597222222222221</v>
      </c>
      <c r="D191" s="47" t="s">
        <v>38</v>
      </c>
      <c r="E191" s="47" t="s">
        <v>88</v>
      </c>
      <c r="F191" s="47" t="s">
        <v>458</v>
      </c>
      <c r="G191" s="174"/>
      <c r="H191" s="10"/>
      <c r="I191" s="11"/>
      <c r="J191" s="11"/>
      <c r="K191" s="11"/>
      <c r="L191" s="11"/>
      <c r="M191" s="11"/>
      <c r="N191" s="11"/>
      <c r="O191" s="12"/>
      <c r="P191" s="11"/>
      <c r="Q191" s="13"/>
      <c r="R191" s="14"/>
    </row>
    <row r="192" spans="1:18" ht="15" customHeight="1" x14ac:dyDescent="0.3">
      <c r="A192" s="15" t="s">
        <v>36</v>
      </c>
      <c r="B192" s="15" t="s">
        <v>456</v>
      </c>
      <c r="C192" s="16">
        <v>0.56597222222222221</v>
      </c>
      <c r="D192" s="15" t="s">
        <v>41</v>
      </c>
      <c r="E192" s="15" t="s">
        <v>89</v>
      </c>
      <c r="F192" s="15" t="s">
        <v>459</v>
      </c>
      <c r="G192" s="174"/>
      <c r="H192" s="10"/>
      <c r="I192" s="11"/>
      <c r="J192" s="11"/>
      <c r="K192" s="11"/>
      <c r="L192" s="11"/>
      <c r="M192" s="11"/>
      <c r="N192" s="11"/>
      <c r="O192" s="12"/>
      <c r="P192" s="11"/>
      <c r="Q192" s="13"/>
      <c r="R192" s="14"/>
    </row>
    <row r="193" spans="1:18" ht="15" customHeight="1" x14ac:dyDescent="0.3">
      <c r="A193" s="15" t="s">
        <v>36</v>
      </c>
      <c r="B193" s="15" t="s">
        <v>456</v>
      </c>
      <c r="C193" s="16">
        <v>0.56597222222222221</v>
      </c>
      <c r="D193" s="15" t="s">
        <v>44</v>
      </c>
      <c r="E193" s="15" t="s">
        <v>89</v>
      </c>
      <c r="F193" s="15" t="s">
        <v>460</v>
      </c>
      <c r="G193" s="174"/>
      <c r="H193" s="10"/>
      <c r="I193" s="11"/>
      <c r="J193" s="11"/>
      <c r="K193" s="11"/>
      <c r="L193" s="11"/>
      <c r="M193" s="11"/>
      <c r="N193" s="11"/>
      <c r="O193" s="12"/>
      <c r="P193" s="11"/>
      <c r="Q193" s="13"/>
      <c r="R193" s="14"/>
    </row>
    <row r="194" spans="1:18" ht="15" customHeight="1" x14ac:dyDescent="0.3">
      <c r="A194" s="47" t="s">
        <v>36</v>
      </c>
      <c r="B194" s="47" t="s">
        <v>453</v>
      </c>
      <c r="C194" s="48">
        <v>0.30555555555555552</v>
      </c>
      <c r="D194" s="47" t="s">
        <v>38</v>
      </c>
      <c r="E194" s="47" t="s">
        <v>107</v>
      </c>
      <c r="F194" s="47" t="s">
        <v>465</v>
      </c>
      <c r="G194" s="174"/>
      <c r="H194" s="10"/>
      <c r="I194" s="11"/>
      <c r="J194" s="11"/>
      <c r="K194" s="11"/>
      <c r="L194" s="11"/>
      <c r="M194" s="11"/>
      <c r="N194" s="11"/>
      <c r="O194" s="12"/>
      <c r="P194" s="11"/>
      <c r="Q194" s="13"/>
      <c r="R194" s="14"/>
    </row>
    <row r="195" spans="1:18" ht="15" customHeight="1" x14ac:dyDescent="0.3">
      <c r="A195" s="15" t="s">
        <v>36</v>
      </c>
      <c r="B195" s="15" t="s">
        <v>453</v>
      </c>
      <c r="C195" s="16">
        <v>0.30555555555555552</v>
      </c>
      <c r="D195" s="15" t="s">
        <v>41</v>
      </c>
      <c r="E195" s="15" t="s">
        <v>113</v>
      </c>
      <c r="F195" s="15" t="s">
        <v>336</v>
      </c>
      <c r="G195" s="174"/>
      <c r="H195" s="10"/>
      <c r="I195" s="11"/>
      <c r="J195" s="11"/>
      <c r="K195" s="11"/>
      <c r="L195" s="11"/>
      <c r="M195" s="11"/>
      <c r="N195" s="11"/>
      <c r="O195" s="12"/>
      <c r="P195" s="11"/>
      <c r="Q195" s="13"/>
      <c r="R195" s="14"/>
    </row>
    <row r="196" spans="1:18" ht="15" customHeight="1" x14ac:dyDescent="0.3">
      <c r="A196" s="15" t="s">
        <v>36</v>
      </c>
      <c r="B196" s="15" t="s">
        <v>453</v>
      </c>
      <c r="C196" s="16">
        <v>0.30555555555555552</v>
      </c>
      <c r="D196" s="15" t="s">
        <v>44</v>
      </c>
      <c r="E196" s="15" t="s">
        <v>113</v>
      </c>
      <c r="F196" s="15" t="s">
        <v>30</v>
      </c>
      <c r="G196" s="174"/>
      <c r="H196" s="10"/>
      <c r="I196" s="11"/>
      <c r="J196" s="11"/>
      <c r="K196" s="11"/>
      <c r="L196" s="11"/>
      <c r="M196" s="11"/>
      <c r="N196" s="11"/>
      <c r="O196" s="12"/>
      <c r="P196" s="11"/>
      <c r="Q196" s="13"/>
      <c r="R196" s="14"/>
    </row>
    <row r="197" spans="1:18" ht="15" customHeight="1" x14ac:dyDescent="0.3">
      <c r="A197" s="47" t="s">
        <v>36</v>
      </c>
      <c r="B197" s="47" t="s">
        <v>464</v>
      </c>
      <c r="C197" s="48">
        <v>0.5</v>
      </c>
      <c r="D197" s="47" t="s">
        <v>38</v>
      </c>
      <c r="E197" s="47" t="s">
        <v>250</v>
      </c>
      <c r="F197" s="47" t="s">
        <v>465</v>
      </c>
      <c r="G197" s="174"/>
      <c r="H197" s="10"/>
      <c r="I197" s="11"/>
      <c r="J197" s="11"/>
      <c r="K197" s="11"/>
      <c r="L197" s="11"/>
      <c r="M197" s="11"/>
      <c r="N197" s="11"/>
      <c r="O197" s="12"/>
      <c r="P197" s="11"/>
      <c r="Q197" s="13"/>
      <c r="R197" s="14"/>
    </row>
    <row r="198" spans="1:18" ht="15" customHeight="1" x14ac:dyDescent="0.3">
      <c r="A198" s="15" t="s">
        <v>36</v>
      </c>
      <c r="B198" s="15" t="s">
        <v>464</v>
      </c>
      <c r="C198" s="16">
        <v>0.5</v>
      </c>
      <c r="D198" s="15" t="s">
        <v>41</v>
      </c>
      <c r="E198" s="15" t="s">
        <v>102</v>
      </c>
      <c r="F198" s="15" t="s">
        <v>336</v>
      </c>
      <c r="G198" s="174"/>
      <c r="H198" s="10"/>
      <c r="I198" s="11"/>
      <c r="J198" s="11"/>
      <c r="K198" s="11"/>
      <c r="L198" s="11"/>
      <c r="M198" s="11"/>
      <c r="N198" s="11"/>
      <c r="O198" s="12"/>
      <c r="P198" s="11"/>
      <c r="Q198" s="13"/>
      <c r="R198" s="14"/>
    </row>
    <row r="199" spans="1:18" ht="15" customHeight="1" x14ac:dyDescent="0.3">
      <c r="A199" s="15" t="s">
        <v>36</v>
      </c>
      <c r="B199" s="15" t="s">
        <v>464</v>
      </c>
      <c r="C199" s="16">
        <v>0.5</v>
      </c>
      <c r="D199" s="15" t="s">
        <v>44</v>
      </c>
      <c r="E199" s="15" t="s">
        <v>102</v>
      </c>
      <c r="F199" s="15" t="s">
        <v>30</v>
      </c>
      <c r="G199" s="174"/>
      <c r="H199" s="10"/>
      <c r="I199" s="11"/>
      <c r="J199" s="11"/>
      <c r="K199" s="11"/>
      <c r="L199" s="11"/>
      <c r="M199" s="11"/>
      <c r="N199" s="11"/>
      <c r="O199" s="12"/>
      <c r="P199" s="11"/>
      <c r="Q199" s="13"/>
      <c r="R199" s="14"/>
    </row>
    <row r="200" spans="1:18" ht="15" customHeight="1" x14ac:dyDescent="0.3">
      <c r="A200" s="47" t="s">
        <v>36</v>
      </c>
      <c r="B200" s="47" t="s">
        <v>462</v>
      </c>
      <c r="C200" s="48">
        <v>0.6875</v>
      </c>
      <c r="D200" s="47" t="s">
        <v>38</v>
      </c>
      <c r="E200" s="47" t="s">
        <v>250</v>
      </c>
      <c r="F200" s="47" t="s">
        <v>465</v>
      </c>
      <c r="G200" s="174"/>
      <c r="H200" s="10"/>
      <c r="I200" s="11"/>
      <c r="J200" s="11"/>
      <c r="K200" s="11"/>
      <c r="L200" s="11"/>
      <c r="M200" s="11"/>
      <c r="N200" s="11"/>
      <c r="O200" s="12"/>
      <c r="P200" s="11"/>
      <c r="Q200" s="13"/>
      <c r="R200" s="14"/>
    </row>
    <row r="201" spans="1:18" ht="15" customHeight="1" x14ac:dyDescent="0.3">
      <c r="A201" s="15" t="s">
        <v>36</v>
      </c>
      <c r="B201" s="15" t="s">
        <v>462</v>
      </c>
      <c r="C201" s="16">
        <v>0.6875</v>
      </c>
      <c r="D201" s="15" t="s">
        <v>41</v>
      </c>
      <c r="E201" s="15" t="s">
        <v>102</v>
      </c>
      <c r="F201" s="15" t="s">
        <v>336</v>
      </c>
      <c r="G201" s="174"/>
      <c r="H201" s="10"/>
      <c r="I201" s="11"/>
      <c r="J201" s="11"/>
      <c r="K201" s="11"/>
      <c r="L201" s="11"/>
      <c r="M201" s="11"/>
      <c r="N201" s="11"/>
      <c r="O201" s="12"/>
      <c r="P201" s="11"/>
      <c r="Q201" s="13"/>
      <c r="R201" s="14"/>
    </row>
    <row r="202" spans="1:18" ht="15" customHeight="1" x14ac:dyDescent="0.3">
      <c r="A202" s="15" t="s">
        <v>36</v>
      </c>
      <c r="B202" s="15" t="s">
        <v>462</v>
      </c>
      <c r="C202" s="16">
        <v>0.6875</v>
      </c>
      <c r="D202" s="15" t="s">
        <v>44</v>
      </c>
      <c r="E202" s="15" t="s">
        <v>102</v>
      </c>
      <c r="F202" s="15" t="s">
        <v>30</v>
      </c>
      <c r="G202" s="174"/>
      <c r="H202" s="10"/>
      <c r="I202" s="11"/>
      <c r="J202" s="11"/>
      <c r="K202" s="11"/>
      <c r="L202" s="11"/>
      <c r="M202" s="11"/>
      <c r="N202" s="11"/>
      <c r="O202" s="12"/>
      <c r="P202" s="11"/>
      <c r="Q202" s="13"/>
      <c r="R202" s="14"/>
    </row>
    <row r="203" spans="1:18" ht="15" customHeight="1" x14ac:dyDescent="0.3">
      <c r="A203" s="47" t="s">
        <v>36</v>
      </c>
      <c r="B203" s="47" t="s">
        <v>461</v>
      </c>
      <c r="C203" s="48">
        <v>0.42708333333333331</v>
      </c>
      <c r="D203" s="47" t="s">
        <v>38</v>
      </c>
      <c r="E203" s="47" t="s">
        <v>250</v>
      </c>
      <c r="F203" s="47" t="s">
        <v>335</v>
      </c>
      <c r="G203" s="174"/>
      <c r="H203" s="10"/>
      <c r="I203" s="11"/>
      <c r="J203" s="11"/>
      <c r="K203" s="11"/>
      <c r="L203" s="11"/>
      <c r="M203" s="11"/>
      <c r="N203" s="11"/>
      <c r="O203" s="12"/>
      <c r="P203" s="11"/>
      <c r="Q203" s="13"/>
      <c r="R203" s="14"/>
    </row>
    <row r="204" spans="1:18" ht="15" customHeight="1" x14ac:dyDescent="0.3">
      <c r="A204" s="15" t="s">
        <v>36</v>
      </c>
      <c r="B204" s="15" t="s">
        <v>461</v>
      </c>
      <c r="C204" s="16">
        <v>0.42708333333333331</v>
      </c>
      <c r="D204" s="15" t="s">
        <v>41</v>
      </c>
      <c r="E204" s="15" t="s">
        <v>102</v>
      </c>
      <c r="F204" s="15" t="s">
        <v>321</v>
      </c>
      <c r="G204" s="174"/>
      <c r="H204" s="10"/>
      <c r="I204" s="11"/>
      <c r="J204" s="11"/>
      <c r="K204" s="11"/>
      <c r="L204" s="11"/>
      <c r="M204" s="11"/>
      <c r="N204" s="11"/>
      <c r="O204" s="12"/>
      <c r="P204" s="11"/>
      <c r="Q204" s="13"/>
      <c r="R204" s="14"/>
    </row>
    <row r="205" spans="1:18" ht="15" customHeight="1" x14ac:dyDescent="0.3">
      <c r="A205" s="15" t="s">
        <v>36</v>
      </c>
      <c r="B205" s="15" t="s">
        <v>461</v>
      </c>
      <c r="C205" s="16">
        <v>0.42708333333333331</v>
      </c>
      <c r="D205" s="15" t="s">
        <v>44</v>
      </c>
      <c r="E205" s="15" t="s">
        <v>102</v>
      </c>
      <c r="F205" s="15" t="s">
        <v>206</v>
      </c>
      <c r="G205" s="174"/>
      <c r="H205" s="10"/>
      <c r="I205" s="11"/>
      <c r="J205" s="11"/>
      <c r="K205" s="11"/>
      <c r="L205" s="11"/>
      <c r="M205" s="11"/>
      <c r="N205" s="11"/>
      <c r="O205" s="12"/>
      <c r="P205" s="11"/>
      <c r="Q205" s="13"/>
      <c r="R205" s="14"/>
    </row>
    <row r="206" spans="1:18" ht="15" customHeight="1" x14ac:dyDescent="0.3">
      <c r="A206" s="47" t="s">
        <v>36</v>
      </c>
      <c r="B206" s="47" t="s">
        <v>463</v>
      </c>
      <c r="C206" s="48">
        <v>0.375</v>
      </c>
      <c r="D206" s="47" t="s">
        <v>38</v>
      </c>
      <c r="E206" s="47" t="s">
        <v>55</v>
      </c>
      <c r="F206" s="47" t="s">
        <v>335</v>
      </c>
      <c r="G206" s="174"/>
      <c r="H206" s="10"/>
      <c r="I206" s="11"/>
      <c r="J206" s="11"/>
      <c r="K206" s="11"/>
      <c r="L206" s="11"/>
      <c r="M206" s="11"/>
      <c r="N206" s="11"/>
      <c r="O206" s="12"/>
      <c r="P206" s="11"/>
      <c r="Q206" s="13"/>
      <c r="R206" s="14"/>
    </row>
    <row r="207" spans="1:18" ht="15" customHeight="1" x14ac:dyDescent="0.3">
      <c r="A207" s="15" t="s">
        <v>36</v>
      </c>
      <c r="B207" s="15" t="s">
        <v>463</v>
      </c>
      <c r="C207" s="16">
        <v>0.375</v>
      </c>
      <c r="D207" s="15" t="s">
        <v>41</v>
      </c>
      <c r="E207" s="15" t="s">
        <v>246</v>
      </c>
      <c r="F207" s="15" t="s">
        <v>321</v>
      </c>
      <c r="G207" s="174"/>
      <c r="H207" s="10"/>
      <c r="I207" s="11"/>
      <c r="J207" s="11"/>
      <c r="K207" s="11"/>
      <c r="L207" s="11"/>
      <c r="M207" s="11"/>
      <c r="N207" s="11"/>
      <c r="O207" s="12"/>
      <c r="P207" s="11"/>
      <c r="Q207" s="13"/>
      <c r="R207" s="14"/>
    </row>
    <row r="208" spans="1:18" ht="15" customHeight="1" x14ac:dyDescent="0.3">
      <c r="A208" s="15" t="s">
        <v>36</v>
      </c>
      <c r="B208" s="15" t="s">
        <v>463</v>
      </c>
      <c r="C208" s="16">
        <v>0.375</v>
      </c>
      <c r="D208" s="15" t="s">
        <v>44</v>
      </c>
      <c r="E208" s="15" t="s">
        <v>246</v>
      </c>
      <c r="F208" s="15" t="s">
        <v>206</v>
      </c>
      <c r="G208" s="174"/>
      <c r="H208" s="10"/>
      <c r="I208" s="11"/>
      <c r="J208" s="11"/>
      <c r="K208" s="11"/>
      <c r="L208" s="11"/>
      <c r="M208" s="11"/>
      <c r="N208" s="11"/>
      <c r="O208" s="12"/>
      <c r="P208" s="11"/>
      <c r="Q208" s="13"/>
      <c r="R208" s="14"/>
    </row>
    <row r="209" spans="1:18" ht="15" customHeight="1" x14ac:dyDescent="0.3">
      <c r="A209" s="17" t="s">
        <v>262</v>
      </c>
      <c r="B209" s="17" t="s">
        <v>466</v>
      </c>
      <c r="C209" s="18">
        <v>0.27777777777777779</v>
      </c>
      <c r="D209" s="17" t="s">
        <v>48</v>
      </c>
      <c r="E209" s="17" t="s">
        <v>49</v>
      </c>
      <c r="F209" s="17" t="s">
        <v>467</v>
      </c>
      <c r="G209" s="174"/>
      <c r="H209" s="10"/>
      <c r="I209" s="11"/>
      <c r="J209" s="11"/>
      <c r="K209" s="11"/>
      <c r="L209" s="11"/>
      <c r="M209" s="11"/>
      <c r="N209" s="11"/>
      <c r="O209" s="12"/>
      <c r="P209" s="11"/>
      <c r="Q209" s="13"/>
      <c r="R209" s="14"/>
    </row>
    <row r="210" spans="1:18" ht="15" customHeight="1" x14ac:dyDescent="0.3">
      <c r="A210" s="17" t="s">
        <v>200</v>
      </c>
      <c r="B210" s="17" t="s">
        <v>518</v>
      </c>
      <c r="C210" s="18">
        <v>0.39583333333333331</v>
      </c>
      <c r="D210" s="17" t="s">
        <v>48</v>
      </c>
      <c r="E210" s="17" t="s">
        <v>49</v>
      </c>
      <c r="F210" s="17" t="s">
        <v>519</v>
      </c>
      <c r="G210" s="174"/>
      <c r="H210" s="10"/>
      <c r="I210" s="11"/>
      <c r="J210" s="11"/>
      <c r="K210" s="11"/>
      <c r="L210" s="11"/>
      <c r="M210" s="11"/>
      <c r="N210" s="11"/>
      <c r="O210" s="12"/>
      <c r="P210" s="11"/>
      <c r="Q210" s="13"/>
      <c r="R210" s="14"/>
    </row>
    <row r="211" spans="1:18" ht="15" customHeight="1" x14ac:dyDescent="0.3">
      <c r="A211" s="17" t="s">
        <v>65</v>
      </c>
      <c r="B211" s="17" t="s">
        <v>479</v>
      </c>
      <c r="C211" s="18">
        <v>0.91666666666666663</v>
      </c>
      <c r="D211" s="17" t="s">
        <v>67</v>
      </c>
      <c r="E211" s="17" t="s">
        <v>49</v>
      </c>
      <c r="F211" s="17" t="s">
        <v>545</v>
      </c>
      <c r="G211" s="174"/>
      <c r="H211" s="10"/>
      <c r="I211" s="11"/>
      <c r="J211" s="11"/>
      <c r="K211" s="11"/>
      <c r="L211" s="11"/>
      <c r="M211" s="11"/>
      <c r="N211" s="11"/>
      <c r="O211" s="12"/>
      <c r="P211" s="11"/>
      <c r="Q211" s="13"/>
      <c r="R211" s="14"/>
    </row>
    <row r="212" spans="1:18" ht="15" customHeight="1" x14ac:dyDescent="0.3">
      <c r="A212" s="47" t="s">
        <v>65</v>
      </c>
      <c r="B212" s="47" t="s">
        <v>477</v>
      </c>
      <c r="C212" s="48">
        <v>0.54166666666666663</v>
      </c>
      <c r="D212" s="47" t="s">
        <v>67</v>
      </c>
      <c r="E212" s="47" t="s">
        <v>70</v>
      </c>
      <c r="F212" s="47" t="s">
        <v>546</v>
      </c>
      <c r="G212" s="174"/>
      <c r="H212" s="10"/>
      <c r="I212" s="11"/>
      <c r="J212" s="11"/>
      <c r="K212" s="11"/>
      <c r="L212" s="11"/>
      <c r="M212" s="11"/>
      <c r="N212" s="11"/>
      <c r="O212" s="12"/>
      <c r="P212" s="11"/>
      <c r="Q212" s="13"/>
      <c r="R212" s="14"/>
    </row>
    <row r="213" spans="1:18" ht="15" customHeight="1" x14ac:dyDescent="0.3">
      <c r="A213" s="47" t="s">
        <v>65</v>
      </c>
      <c r="B213" s="47" t="s">
        <v>475</v>
      </c>
      <c r="C213" s="48">
        <v>0.16666666666666671</v>
      </c>
      <c r="D213" s="47" t="s">
        <v>67</v>
      </c>
      <c r="E213" s="47" t="s">
        <v>70</v>
      </c>
      <c r="F213" s="47" t="s">
        <v>528</v>
      </c>
      <c r="G213" s="174"/>
      <c r="H213" s="10"/>
      <c r="I213" s="11"/>
      <c r="J213" s="11"/>
      <c r="K213" s="11"/>
      <c r="L213" s="11"/>
      <c r="M213" s="11"/>
      <c r="N213" s="11"/>
      <c r="O213" s="12"/>
      <c r="P213" s="11"/>
      <c r="Q213" s="13"/>
      <c r="R213" s="14"/>
    </row>
    <row r="214" spans="1:18" ht="15" customHeight="1" x14ac:dyDescent="0.3">
      <c r="A214" s="17" t="s">
        <v>77</v>
      </c>
      <c r="B214" s="17" t="s">
        <v>481</v>
      </c>
      <c r="C214" s="18">
        <v>0.2986111111111111</v>
      </c>
      <c r="D214" s="17" t="s">
        <v>83</v>
      </c>
      <c r="E214" s="17" t="s">
        <v>49</v>
      </c>
      <c r="F214" s="17" t="s">
        <v>488</v>
      </c>
      <c r="G214" s="174"/>
      <c r="H214" s="10"/>
      <c r="I214" s="11"/>
      <c r="J214" s="11"/>
      <c r="K214" s="11"/>
      <c r="L214" s="11"/>
      <c r="M214" s="11"/>
      <c r="N214" s="11"/>
      <c r="O214" s="12"/>
      <c r="P214" s="11"/>
      <c r="Q214" s="13"/>
      <c r="R214" s="14"/>
    </row>
    <row r="215" spans="1:18" ht="15" customHeight="1" x14ac:dyDescent="0.3">
      <c r="A215" s="15" t="s">
        <v>77</v>
      </c>
      <c r="B215" s="15" t="s">
        <v>481</v>
      </c>
      <c r="C215" s="16">
        <v>0.2986111111111111</v>
      </c>
      <c r="D215" s="15" t="s">
        <v>79</v>
      </c>
      <c r="E215" s="15" t="s">
        <v>85</v>
      </c>
      <c r="F215" s="15" t="s">
        <v>489</v>
      </c>
      <c r="G215" s="174"/>
      <c r="H215" s="10"/>
      <c r="I215" s="11"/>
      <c r="J215" s="11"/>
      <c r="K215" s="11"/>
      <c r="L215" s="11"/>
      <c r="M215" s="11"/>
      <c r="N215" s="11"/>
      <c r="O215" s="12"/>
      <c r="P215" s="11"/>
      <c r="Q215" s="13"/>
      <c r="R215" s="14"/>
    </row>
    <row r="216" spans="1:18" ht="15" customHeight="1" x14ac:dyDescent="0.3">
      <c r="A216" s="47" t="s">
        <v>77</v>
      </c>
      <c r="B216" s="47" t="s">
        <v>484</v>
      </c>
      <c r="C216" s="48">
        <v>0.68402777777777779</v>
      </c>
      <c r="D216" s="47" t="s">
        <v>83</v>
      </c>
      <c r="E216" s="47" t="s">
        <v>70</v>
      </c>
      <c r="F216" s="47" t="s">
        <v>488</v>
      </c>
      <c r="G216" s="174"/>
      <c r="H216" s="10"/>
      <c r="I216" s="11"/>
      <c r="J216" s="11"/>
      <c r="K216" s="11"/>
      <c r="L216" s="11"/>
      <c r="M216" s="11"/>
      <c r="N216" s="11"/>
      <c r="O216" s="12"/>
      <c r="P216" s="11"/>
      <c r="Q216" s="13"/>
      <c r="R216" s="14"/>
    </row>
    <row r="217" spans="1:18" ht="15" customHeight="1" x14ac:dyDescent="0.3">
      <c r="A217" s="15" t="s">
        <v>77</v>
      </c>
      <c r="B217" s="15" t="s">
        <v>484</v>
      </c>
      <c r="C217" s="16">
        <v>0.68402777777777779</v>
      </c>
      <c r="D217" s="15" t="s">
        <v>79</v>
      </c>
      <c r="E217" s="15" t="s">
        <v>85</v>
      </c>
      <c r="F217" s="15" t="s">
        <v>489</v>
      </c>
      <c r="G217" s="174"/>
      <c r="H217" s="10"/>
      <c r="I217" s="11"/>
      <c r="J217" s="11"/>
      <c r="K217" s="11"/>
      <c r="L217" s="11"/>
      <c r="M217" s="11"/>
      <c r="N217" s="11"/>
      <c r="O217" s="12"/>
      <c r="P217" s="11"/>
      <c r="Q217" s="13"/>
      <c r="R217" s="14"/>
    </row>
    <row r="218" spans="1:18" ht="15" customHeight="1" x14ac:dyDescent="0.3">
      <c r="A218" s="47" t="s">
        <v>77</v>
      </c>
      <c r="B218" s="47" t="s">
        <v>487</v>
      </c>
      <c r="C218" s="48">
        <v>0.83680555555555547</v>
      </c>
      <c r="D218" s="47" t="s">
        <v>83</v>
      </c>
      <c r="E218" s="47" t="s">
        <v>70</v>
      </c>
      <c r="F218" s="47" t="s">
        <v>488</v>
      </c>
      <c r="G218" s="174"/>
      <c r="H218" s="10"/>
      <c r="I218" s="11"/>
      <c r="J218" s="11"/>
      <c r="K218" s="11"/>
      <c r="L218" s="11"/>
      <c r="M218" s="11"/>
      <c r="N218" s="11"/>
      <c r="O218" s="12"/>
      <c r="P218" s="11"/>
      <c r="Q218" s="13"/>
      <c r="R218" s="14"/>
    </row>
    <row r="219" spans="1:18" ht="15" customHeight="1" x14ac:dyDescent="0.3">
      <c r="A219" s="15" t="s">
        <v>77</v>
      </c>
      <c r="B219" s="15" t="s">
        <v>487</v>
      </c>
      <c r="C219" s="16">
        <v>0.83680555555555547</v>
      </c>
      <c r="D219" s="15" t="s">
        <v>79</v>
      </c>
      <c r="E219" s="15" t="s">
        <v>85</v>
      </c>
      <c r="F219" s="15" t="s">
        <v>489</v>
      </c>
      <c r="G219" s="174"/>
      <c r="H219" s="10"/>
      <c r="I219" s="11"/>
      <c r="J219" s="11"/>
      <c r="K219" s="11"/>
      <c r="L219" s="11"/>
      <c r="M219" s="11"/>
      <c r="N219" s="11"/>
      <c r="O219" s="12"/>
      <c r="P219" s="11"/>
      <c r="Q219" s="13"/>
      <c r="R219" s="14"/>
    </row>
    <row r="220" spans="1:18" ht="15" customHeight="1" x14ac:dyDescent="0.3">
      <c r="A220" s="47" t="s">
        <v>77</v>
      </c>
      <c r="B220" s="47" t="s">
        <v>486</v>
      </c>
      <c r="C220" s="48">
        <v>0.4826388888888889</v>
      </c>
      <c r="D220" s="47" t="s">
        <v>83</v>
      </c>
      <c r="E220" s="47" t="s">
        <v>70</v>
      </c>
      <c r="F220" s="47" t="s">
        <v>488</v>
      </c>
      <c r="G220" s="174"/>
      <c r="H220" s="10"/>
      <c r="I220" s="11"/>
      <c r="J220" s="11"/>
      <c r="K220" s="11"/>
      <c r="L220" s="11"/>
      <c r="M220" s="11"/>
      <c r="N220" s="11"/>
      <c r="O220" s="12"/>
      <c r="P220" s="11"/>
      <c r="Q220" s="13"/>
      <c r="R220" s="14"/>
    </row>
    <row r="221" spans="1:18" ht="15" customHeight="1" x14ac:dyDescent="0.3">
      <c r="A221" s="15" t="s">
        <v>77</v>
      </c>
      <c r="B221" s="15" t="s">
        <v>486</v>
      </c>
      <c r="C221" s="16">
        <v>0.4826388888888889</v>
      </c>
      <c r="D221" s="15" t="s">
        <v>79</v>
      </c>
      <c r="E221" s="15" t="s">
        <v>85</v>
      </c>
      <c r="F221" s="15" t="s">
        <v>489</v>
      </c>
      <c r="G221" s="174"/>
      <c r="H221" s="10"/>
      <c r="I221" s="11"/>
      <c r="J221" s="11"/>
      <c r="K221" s="11"/>
      <c r="L221" s="11"/>
      <c r="M221" s="11"/>
      <c r="N221" s="11"/>
      <c r="O221" s="12"/>
      <c r="P221" s="11"/>
      <c r="Q221" s="13"/>
      <c r="R221" s="14"/>
    </row>
    <row r="222" spans="1:18" ht="15" customHeight="1" x14ac:dyDescent="0.3">
      <c r="A222" s="47" t="s">
        <v>77</v>
      </c>
      <c r="B222" s="47" t="s">
        <v>490</v>
      </c>
      <c r="C222" s="48">
        <v>0.76041666666666663</v>
      </c>
      <c r="D222" s="47" t="s">
        <v>79</v>
      </c>
      <c r="E222" s="47" t="s">
        <v>107</v>
      </c>
      <c r="F222" s="47" t="s">
        <v>491</v>
      </c>
      <c r="G222" s="174"/>
      <c r="H222" s="10"/>
      <c r="I222" s="11"/>
      <c r="J222" s="11"/>
      <c r="K222" s="11"/>
      <c r="L222" s="11"/>
      <c r="M222" s="11"/>
      <c r="N222" s="11"/>
      <c r="O222" s="12"/>
      <c r="P222" s="11"/>
      <c r="Q222" s="13"/>
      <c r="R222" s="14"/>
    </row>
    <row r="223" spans="1:18" ht="15" customHeight="1" x14ac:dyDescent="0.3">
      <c r="A223" s="47" t="s">
        <v>77</v>
      </c>
      <c r="B223" s="47" t="s">
        <v>492</v>
      </c>
      <c r="C223" s="48">
        <v>0.5</v>
      </c>
      <c r="D223" s="47" t="s">
        <v>79</v>
      </c>
      <c r="E223" s="47" t="s">
        <v>107</v>
      </c>
      <c r="F223" s="47" t="s">
        <v>491</v>
      </c>
      <c r="G223" s="174"/>
      <c r="H223" s="10"/>
      <c r="I223" s="11"/>
      <c r="J223" s="11"/>
      <c r="K223" s="11"/>
      <c r="L223" s="11"/>
      <c r="M223" s="11"/>
      <c r="N223" s="11"/>
      <c r="O223" s="12"/>
      <c r="P223" s="11"/>
      <c r="Q223" s="13"/>
      <c r="R223" s="14"/>
    </row>
    <row r="224" spans="1:18" ht="15" customHeight="1" x14ac:dyDescent="0.3">
      <c r="A224" s="64" t="s">
        <v>77</v>
      </c>
      <c r="B224" s="64" t="s">
        <v>493</v>
      </c>
      <c r="C224" s="65">
        <v>0.81597222222222221</v>
      </c>
      <c r="D224" s="64" t="s">
        <v>79</v>
      </c>
      <c r="E224" s="64" t="s">
        <v>107</v>
      </c>
      <c r="F224" s="64" t="s">
        <v>491</v>
      </c>
      <c r="G224" s="175"/>
      <c r="H224" s="51"/>
      <c r="I224" s="52"/>
      <c r="J224" s="52"/>
      <c r="K224" s="52"/>
      <c r="L224" s="52"/>
      <c r="M224" s="52"/>
      <c r="N224" s="52"/>
      <c r="O224" s="53"/>
      <c r="P224" s="52"/>
      <c r="Q224" s="54"/>
      <c r="R224" s="55"/>
    </row>
  </sheetData>
  <mergeCells count="22">
    <mergeCell ref="K2:R2"/>
    <mergeCell ref="A59:R59"/>
    <mergeCell ref="A60:F60"/>
    <mergeCell ref="G174:G224"/>
    <mergeCell ref="H116:R116"/>
    <mergeCell ref="H172:R172"/>
    <mergeCell ref="A172:F172"/>
    <mergeCell ref="H1:L1"/>
    <mergeCell ref="A1:E1"/>
    <mergeCell ref="G62:G114"/>
    <mergeCell ref="G6:G58"/>
    <mergeCell ref="H4:R4"/>
    <mergeCell ref="G118:G170"/>
    <mergeCell ref="A2:F2"/>
    <mergeCell ref="A3:R3"/>
    <mergeCell ref="A116:F116"/>
    <mergeCell ref="H60:R60"/>
    <mergeCell ref="G2:J2"/>
    <mergeCell ref="A4:F4"/>
    <mergeCell ref="N1:R1"/>
    <mergeCell ref="A171:R171"/>
    <mergeCell ref="A115:R1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8"/>
  <sheetViews>
    <sheetView workbookViewId="0"/>
  </sheetViews>
  <sheetFormatPr defaultRowHeight="15.6" outlineLevelCol="1" x14ac:dyDescent="0.3"/>
  <cols>
    <col min="1" max="1" width="13.77734375" style="192" bestFit="1" customWidth="1"/>
    <col min="2" max="2" width="11.109375" style="192" bestFit="1" customWidth="1"/>
    <col min="3" max="3" width="7.88671875" style="192" bestFit="1" customWidth="1"/>
    <col min="4" max="4" width="6.77734375" style="192" bestFit="1" customWidth="1"/>
    <col min="5" max="5" width="9.44140625" style="192" bestFit="1" customWidth="1"/>
    <col min="6" max="6" width="5.21875" style="192" bestFit="1" customWidth="1"/>
    <col min="7" max="7" width="10" style="192" bestFit="1" customWidth="1"/>
    <col min="8" max="8" width="8.5546875" style="192" bestFit="1" customWidth="1"/>
    <col min="9" max="10" width="8" style="192" bestFit="1" customWidth="1"/>
    <col min="11" max="11" width="12.21875" style="192" bestFit="1" customWidth="1"/>
    <col min="12" max="12" width="10.109375" style="192" bestFit="1" customWidth="1"/>
    <col min="13" max="13" width="8.77734375" style="192" bestFit="1" customWidth="1" outlineLevel="1"/>
    <col min="14" max="14" width="7.33203125" style="192" bestFit="1" customWidth="1" outlineLevel="1"/>
    <col min="15" max="15" width="9.109375" style="192" bestFit="1" customWidth="1" outlineLevel="1"/>
    <col min="16" max="16" width="15.33203125" style="192" bestFit="1" customWidth="1"/>
    <col min="17" max="20" width="3.88671875" style="192" bestFit="1" customWidth="1"/>
    <col min="21" max="21" width="4.33203125" style="192" bestFit="1" customWidth="1"/>
    <col min="22" max="22" width="4" style="192" bestFit="1" customWidth="1"/>
    <col min="23" max="26" width="3.88671875" style="192" bestFit="1" customWidth="1"/>
    <col min="27" max="27" width="4.77734375" style="192" bestFit="1" customWidth="1"/>
    <col min="28" max="28" width="3.88671875" style="192" bestFit="1" customWidth="1"/>
    <col min="29" max="29" width="4" style="192" bestFit="1" customWidth="1"/>
    <col min="30" max="31" width="5.33203125" style="192" bestFit="1" customWidth="1"/>
    <col min="32" max="32" width="4.44140625" style="192" bestFit="1" customWidth="1"/>
    <col min="33" max="36" width="3.88671875" style="192" bestFit="1" customWidth="1"/>
    <col min="37" max="16384" width="8.88671875" style="192"/>
  </cols>
  <sheetData>
    <row r="1" spans="1:36" x14ac:dyDescent="0.3">
      <c r="A1" s="191" t="s">
        <v>129</v>
      </c>
      <c r="B1" s="191" t="s">
        <v>130</v>
      </c>
      <c r="C1" s="191" t="s">
        <v>131</v>
      </c>
      <c r="D1" s="191" t="s">
        <v>23</v>
      </c>
      <c r="E1" s="191" t="s">
        <v>132</v>
      </c>
      <c r="F1" s="191" t="s">
        <v>133</v>
      </c>
      <c r="G1" s="191" t="s">
        <v>16</v>
      </c>
      <c r="H1" s="191" t="s">
        <v>134</v>
      </c>
      <c r="I1" s="191" t="s">
        <v>135</v>
      </c>
      <c r="J1" s="191" t="s">
        <v>136</v>
      </c>
      <c r="K1" s="191" t="s">
        <v>137</v>
      </c>
      <c r="L1" s="191" t="s">
        <v>18</v>
      </c>
      <c r="M1" s="191" t="s">
        <v>20</v>
      </c>
      <c r="N1" s="191" t="s">
        <v>21</v>
      </c>
      <c r="O1" s="191" t="s">
        <v>19</v>
      </c>
      <c r="P1" s="191" t="s">
        <v>22</v>
      </c>
      <c r="Q1" s="191" t="s">
        <v>138</v>
      </c>
      <c r="R1" s="191" t="s">
        <v>139</v>
      </c>
      <c r="S1" s="191" t="s">
        <v>140</v>
      </c>
      <c r="T1" s="191" t="s">
        <v>141</v>
      </c>
      <c r="U1" s="191" t="s">
        <v>142</v>
      </c>
      <c r="V1" s="191" t="s">
        <v>143</v>
      </c>
      <c r="W1" s="191" t="s">
        <v>144</v>
      </c>
      <c r="X1" s="191" t="s">
        <v>145</v>
      </c>
      <c r="Y1" s="191" t="s">
        <v>146</v>
      </c>
      <c r="Z1" s="191" t="s">
        <v>147</v>
      </c>
      <c r="AA1" s="191" t="s">
        <v>148</v>
      </c>
      <c r="AB1" s="191" t="s">
        <v>149</v>
      </c>
      <c r="AC1" s="191" t="s">
        <v>150</v>
      </c>
      <c r="AD1" s="191" t="s">
        <v>151</v>
      </c>
      <c r="AE1" s="191" t="s">
        <v>152</v>
      </c>
      <c r="AF1" s="191" t="s">
        <v>153</v>
      </c>
      <c r="AG1" s="191" t="s">
        <v>154</v>
      </c>
      <c r="AH1" s="191" t="s">
        <v>155</v>
      </c>
      <c r="AI1" s="191" t="s">
        <v>156</v>
      </c>
      <c r="AJ1" s="191" t="s">
        <v>157</v>
      </c>
    </row>
    <row r="2" spans="1:36" x14ac:dyDescent="0.3">
      <c r="A2" s="193" t="s">
        <v>158</v>
      </c>
      <c r="B2" s="194">
        <v>45986</v>
      </c>
      <c r="C2" s="195" t="s">
        <v>470</v>
      </c>
      <c r="D2" s="196" t="s">
        <v>547</v>
      </c>
      <c r="E2" s="195" t="s">
        <v>440</v>
      </c>
      <c r="F2" s="195" t="s">
        <v>160</v>
      </c>
      <c r="G2" s="197">
        <v>0.60119999999999996</v>
      </c>
      <c r="H2" s="198">
        <v>168</v>
      </c>
      <c r="I2" s="198">
        <v>101</v>
      </c>
      <c r="J2" s="198">
        <v>0</v>
      </c>
      <c r="K2" s="195" t="s">
        <v>161</v>
      </c>
      <c r="L2" s="199">
        <v>45981</v>
      </c>
      <c r="M2" s="198">
        <v>0</v>
      </c>
      <c r="N2" s="198">
        <v>13</v>
      </c>
      <c r="O2" s="198">
        <v>40</v>
      </c>
      <c r="P2" s="195" t="s">
        <v>183</v>
      </c>
      <c r="Q2" s="191"/>
      <c r="R2" s="191"/>
      <c r="S2" s="191"/>
      <c r="T2" s="191"/>
      <c r="U2" s="191"/>
      <c r="V2" s="191"/>
      <c r="W2" s="191"/>
      <c r="X2" s="191"/>
      <c r="Y2" s="191"/>
      <c r="Z2" s="191"/>
      <c r="AA2" s="191"/>
      <c r="AB2" s="191"/>
      <c r="AC2" s="191"/>
      <c r="AD2" s="198" t="s">
        <v>351</v>
      </c>
      <c r="AE2" s="198" t="s">
        <v>384</v>
      </c>
      <c r="AF2" s="198" t="s">
        <v>548</v>
      </c>
      <c r="AG2" s="191"/>
      <c r="AH2" s="191"/>
      <c r="AI2" s="191"/>
      <c r="AJ2" s="191"/>
    </row>
    <row r="3" spans="1:36" x14ac:dyDescent="0.3">
      <c r="A3" s="193" t="s">
        <v>386</v>
      </c>
      <c r="B3" s="194">
        <v>45987</v>
      </c>
      <c r="C3" s="195" t="s">
        <v>504</v>
      </c>
      <c r="D3" s="196" t="s">
        <v>549</v>
      </c>
      <c r="E3" s="195" t="s">
        <v>440</v>
      </c>
      <c r="F3" s="195" t="s">
        <v>160</v>
      </c>
      <c r="G3" s="197">
        <v>0.52380000000000004</v>
      </c>
      <c r="H3" s="198">
        <v>168</v>
      </c>
      <c r="I3" s="198">
        <v>88</v>
      </c>
      <c r="J3" s="198">
        <v>0</v>
      </c>
      <c r="K3" s="195" t="s">
        <v>161</v>
      </c>
      <c r="L3" s="199">
        <v>45981</v>
      </c>
      <c r="M3" s="198">
        <v>0</v>
      </c>
      <c r="N3" s="198">
        <v>14</v>
      </c>
      <c r="O3" s="198">
        <v>37</v>
      </c>
      <c r="P3" s="195" t="s">
        <v>183</v>
      </c>
      <c r="Q3" s="191"/>
      <c r="R3" s="191"/>
      <c r="S3" s="191"/>
      <c r="T3" s="191"/>
      <c r="U3" s="191"/>
      <c r="V3" s="198" t="s">
        <v>550</v>
      </c>
      <c r="W3" s="191"/>
      <c r="X3" s="191"/>
      <c r="Y3" s="191"/>
      <c r="Z3" s="191"/>
      <c r="AA3" s="191"/>
      <c r="AB3" s="191"/>
      <c r="AC3" s="191"/>
      <c r="AD3" s="191"/>
      <c r="AE3" s="198" t="s">
        <v>432</v>
      </c>
      <c r="AF3" s="198" t="s">
        <v>551</v>
      </c>
      <c r="AG3" s="191"/>
      <c r="AH3" s="191"/>
      <c r="AI3" s="191"/>
      <c r="AJ3" s="191"/>
    </row>
    <row r="4" spans="1:36" x14ac:dyDescent="0.3">
      <c r="A4" s="193" t="s">
        <v>386</v>
      </c>
      <c r="B4" s="194">
        <v>45987</v>
      </c>
      <c r="C4" s="195" t="s">
        <v>470</v>
      </c>
      <c r="D4" s="196" t="s">
        <v>552</v>
      </c>
      <c r="E4" s="195" t="s">
        <v>440</v>
      </c>
      <c r="F4" s="195" t="s">
        <v>160</v>
      </c>
      <c r="G4" s="197">
        <v>0.39290000000000003</v>
      </c>
      <c r="H4" s="198">
        <v>168</v>
      </c>
      <c r="I4" s="198">
        <v>66</v>
      </c>
      <c r="J4" s="198">
        <v>0</v>
      </c>
      <c r="K4" s="195" t="s">
        <v>161</v>
      </c>
      <c r="L4" s="199">
        <v>45981</v>
      </c>
      <c r="M4" s="198">
        <v>0</v>
      </c>
      <c r="N4" s="198">
        <v>15</v>
      </c>
      <c r="O4" s="198">
        <v>45</v>
      </c>
      <c r="P4" s="195" t="s">
        <v>302</v>
      </c>
      <c r="Q4" s="191"/>
      <c r="R4" s="191"/>
      <c r="S4" s="191"/>
      <c r="T4" s="191"/>
      <c r="U4" s="198" t="s">
        <v>177</v>
      </c>
      <c r="V4" s="198" t="s">
        <v>553</v>
      </c>
      <c r="W4" s="191"/>
      <c r="X4" s="191"/>
      <c r="Y4" s="191"/>
      <c r="Z4" s="198" t="s">
        <v>190</v>
      </c>
      <c r="AA4" s="198" t="s">
        <v>393</v>
      </c>
      <c r="AB4" s="191"/>
      <c r="AC4" s="191"/>
      <c r="AD4" s="191"/>
      <c r="AE4" s="191"/>
      <c r="AF4" s="198" t="s">
        <v>554</v>
      </c>
      <c r="AG4" s="191"/>
      <c r="AH4" s="191"/>
      <c r="AI4" s="191"/>
      <c r="AJ4" s="191"/>
    </row>
    <row r="5" spans="1:36" x14ac:dyDescent="0.3">
      <c r="A5" s="193" t="s">
        <v>186</v>
      </c>
      <c r="B5" s="194">
        <v>45988</v>
      </c>
      <c r="C5" s="195" t="s">
        <v>504</v>
      </c>
      <c r="D5" s="196" t="s">
        <v>549</v>
      </c>
      <c r="E5" s="195" t="s">
        <v>440</v>
      </c>
      <c r="F5" s="195" t="s">
        <v>160</v>
      </c>
      <c r="G5" s="197">
        <v>0.53569999999999995</v>
      </c>
      <c r="H5" s="198">
        <v>168</v>
      </c>
      <c r="I5" s="198">
        <v>90</v>
      </c>
      <c r="J5" s="198">
        <v>0</v>
      </c>
      <c r="K5" s="195" t="s">
        <v>161</v>
      </c>
      <c r="L5" s="199">
        <v>45981</v>
      </c>
      <c r="M5" s="198">
        <v>0</v>
      </c>
      <c r="N5" s="198">
        <v>4</v>
      </c>
      <c r="O5" s="198">
        <v>18</v>
      </c>
      <c r="P5" s="195" t="s">
        <v>523</v>
      </c>
      <c r="Q5" s="191"/>
      <c r="R5" s="191"/>
      <c r="S5" s="191"/>
      <c r="T5" s="191"/>
      <c r="U5" s="191"/>
      <c r="V5" s="198" t="s">
        <v>555</v>
      </c>
      <c r="W5" s="191"/>
      <c r="X5" s="191"/>
      <c r="Y5" s="191"/>
      <c r="Z5" s="198" t="s">
        <v>363</v>
      </c>
      <c r="AA5" s="198" t="s">
        <v>434</v>
      </c>
      <c r="AB5" s="191"/>
      <c r="AC5" s="198" t="s">
        <v>556</v>
      </c>
      <c r="AD5" s="198" t="s">
        <v>431</v>
      </c>
      <c r="AE5" s="198" t="s">
        <v>174</v>
      </c>
      <c r="AF5" s="198" t="s">
        <v>557</v>
      </c>
      <c r="AG5" s="191"/>
      <c r="AH5" s="191"/>
      <c r="AI5" s="191"/>
      <c r="AJ5" s="191"/>
    </row>
    <row r="6" spans="1:36" x14ac:dyDescent="0.3">
      <c r="A6" s="193" t="s">
        <v>418</v>
      </c>
      <c r="B6" s="194">
        <v>45989</v>
      </c>
      <c r="C6" s="195" t="s">
        <v>504</v>
      </c>
      <c r="D6" s="196" t="s">
        <v>558</v>
      </c>
      <c r="E6" s="195" t="s">
        <v>440</v>
      </c>
      <c r="F6" s="195" t="s">
        <v>160</v>
      </c>
      <c r="G6" s="197">
        <v>0.45829999999999999</v>
      </c>
      <c r="H6" s="198">
        <v>168</v>
      </c>
      <c r="I6" s="198">
        <v>77</v>
      </c>
      <c r="J6" s="198">
        <v>0</v>
      </c>
      <c r="K6" s="195" t="s">
        <v>161</v>
      </c>
      <c r="L6" s="199">
        <v>45981</v>
      </c>
      <c r="M6" s="198">
        <v>0</v>
      </c>
      <c r="N6" s="198">
        <v>6</v>
      </c>
      <c r="O6" s="198">
        <v>31</v>
      </c>
      <c r="P6" s="195" t="s">
        <v>543</v>
      </c>
      <c r="Q6" s="191"/>
      <c r="R6" s="191"/>
      <c r="S6" s="191"/>
      <c r="T6" s="191"/>
      <c r="U6" s="191"/>
      <c r="V6" s="198" t="s">
        <v>553</v>
      </c>
      <c r="W6" s="191"/>
      <c r="X6" s="191"/>
      <c r="Y6" s="191"/>
      <c r="Z6" s="198" t="s">
        <v>190</v>
      </c>
      <c r="AA6" s="191"/>
      <c r="AB6" s="191"/>
      <c r="AC6" s="191"/>
      <c r="AD6" s="198" t="s">
        <v>351</v>
      </c>
      <c r="AE6" s="198" t="s">
        <v>413</v>
      </c>
      <c r="AF6" s="198" t="s">
        <v>559</v>
      </c>
      <c r="AG6" s="191"/>
      <c r="AH6" s="191"/>
      <c r="AI6" s="191"/>
      <c r="AJ6" s="191"/>
    </row>
    <row r="7" spans="1:36" x14ac:dyDescent="0.3">
      <c r="A7" s="193" t="s">
        <v>418</v>
      </c>
      <c r="B7" s="194">
        <v>45989</v>
      </c>
      <c r="C7" s="195" t="s">
        <v>470</v>
      </c>
      <c r="D7" s="196" t="s">
        <v>552</v>
      </c>
      <c r="E7" s="195" t="s">
        <v>440</v>
      </c>
      <c r="F7" s="195" t="s">
        <v>160</v>
      </c>
      <c r="G7" s="197">
        <v>0.33329999999999999</v>
      </c>
      <c r="H7" s="198">
        <v>168</v>
      </c>
      <c r="I7" s="198">
        <v>56</v>
      </c>
      <c r="J7" s="198">
        <v>0</v>
      </c>
      <c r="K7" s="195" t="s">
        <v>161</v>
      </c>
      <c r="L7" s="199">
        <v>45981</v>
      </c>
      <c r="M7" s="198">
        <v>0</v>
      </c>
      <c r="N7" s="198">
        <v>12</v>
      </c>
      <c r="O7" s="198">
        <v>30</v>
      </c>
      <c r="P7" s="195" t="s">
        <v>302</v>
      </c>
      <c r="Q7" s="191"/>
      <c r="R7" s="191"/>
      <c r="S7" s="191"/>
      <c r="T7" s="191"/>
      <c r="U7" s="191"/>
      <c r="V7" s="191"/>
      <c r="W7" s="191"/>
      <c r="X7" s="191"/>
      <c r="Y7" s="191"/>
      <c r="Z7" s="191"/>
      <c r="AA7" s="198" t="s">
        <v>560</v>
      </c>
      <c r="AB7" s="191"/>
      <c r="AC7" s="191"/>
      <c r="AD7" s="191"/>
      <c r="AE7" s="191"/>
      <c r="AF7" s="198" t="s">
        <v>561</v>
      </c>
      <c r="AG7" s="191"/>
      <c r="AH7" s="191"/>
      <c r="AI7" s="191"/>
      <c r="AJ7" s="191"/>
    </row>
    <row r="8" spans="1:36" ht="21" x14ac:dyDescent="0.3">
      <c r="A8" s="200" t="s">
        <v>572</v>
      </c>
      <c r="B8" s="201"/>
      <c r="C8" s="200">
        <f>SUBTOTAL(103,RUH_CAI_LF_LEGACY[Flt])</f>
        <v>6</v>
      </c>
      <c r="D8" s="200"/>
      <c r="E8" s="200">
        <f>SUBTOTAL(103,RUH_CAI_LF_LEGACY[Brd-Off])</f>
        <v>6</v>
      </c>
      <c r="F8" s="200"/>
      <c r="G8" s="202">
        <f>SUBTOTAL(101,RUH_CAI_LF_LEGACY[LF%])</f>
        <v>0.47419999999999995</v>
      </c>
      <c r="H8" s="203">
        <f>SUBTOTAL(109,RUH_CAI_LF_LEGACY[CAP])</f>
        <v>1008</v>
      </c>
      <c r="I8" s="203">
        <f>SUBTOTAL(109,RUH_CAI_LF_LEGACY[BKG(Y)])</f>
        <v>478</v>
      </c>
      <c r="J8" s="203">
        <f>SUBTOTAL(109,RUH_CAI_LF_LEGACY[GRP(Y)])</f>
        <v>0</v>
      </c>
      <c r="K8" s="200"/>
      <c r="L8" s="201"/>
      <c r="M8" s="203">
        <f>SUBTOTAL(109,RUH_CAI_LF_LEGACY[TO-DAY])</f>
        <v>0</v>
      </c>
      <c r="N8" s="203">
        <f>SUBTOTAL(109,RUH_CAI_LF_LEGACY[Y-DAY])</f>
        <v>64</v>
      </c>
      <c r="O8" s="203">
        <f>SUBTOTAL(109,RUH_CAI_LF_LEGACY[WEEKLY])</f>
        <v>201</v>
      </c>
      <c r="P8" s="204"/>
      <c r="Q8" s="200">
        <f>SUBTOTAL(109,RUH_CAI_LF_LEGACY[Y])</f>
        <v>0</v>
      </c>
      <c r="R8" s="200">
        <f>SUBTOTAL(109,RUH_CAI_LF_LEGACY[B])</f>
        <v>0</v>
      </c>
      <c r="S8" s="200">
        <f>SUBTOTAL(109,RUH_CAI_LF_LEGACY[M])</f>
        <v>0</v>
      </c>
      <c r="T8" s="200">
        <f>SUBTOTAL(109,RUH_CAI_LF_LEGACY[H])</f>
        <v>0</v>
      </c>
      <c r="U8" s="200">
        <f>SUBTOTAL(109,RUH_CAI_LF_LEGACY[Q])</f>
        <v>0</v>
      </c>
      <c r="V8" s="203">
        <f>SUBTOTAL(109,RUH_CAI_LF_LEGACY[K])</f>
        <v>0</v>
      </c>
      <c r="W8" s="200">
        <f>SUBTOTAL(109,RUH_CAI_LF_LEGACY[V])</f>
        <v>0</v>
      </c>
      <c r="X8" s="200">
        <f>SUBTOTAL(109,RUH_CAI_LF_LEGACY[L])</f>
        <v>0</v>
      </c>
      <c r="Y8" s="200">
        <f>SUBTOTAL(109,RUH_CAI_LF_LEGACY[G])</f>
        <v>0</v>
      </c>
      <c r="Z8" s="203">
        <f>SUBTOTAL(109,RUH_CAI_LF_LEGACY[S])</f>
        <v>0</v>
      </c>
      <c r="AA8" s="203">
        <f>SUBTOTAL(109,RUH_CAI_LF_LEGACY[W])</f>
        <v>0</v>
      </c>
      <c r="AB8" s="200">
        <f>SUBTOTAL(109,RUH_CAI_LF_LEGACY[T])</f>
        <v>0</v>
      </c>
      <c r="AC8" s="200">
        <f>SUBTOTAL(109,RUH_CAI_LF_LEGACY[X])</f>
        <v>0</v>
      </c>
      <c r="AD8" s="200">
        <f>SUBTOTAL(109,RUH_CAI_LF_LEGACY[U])</f>
        <v>0</v>
      </c>
      <c r="AE8" s="203">
        <f>SUBTOTAL(109,RUH_CAI_LF_LEGACY[O])</f>
        <v>0</v>
      </c>
      <c r="AF8" s="203">
        <f>SUBTOTAL(109,RUH_CAI_LF_LEGACY[I])</f>
        <v>0</v>
      </c>
      <c r="AG8" s="200">
        <f>SUBTOTAL(109,RUH_CAI_LF_LEGACY[E])</f>
        <v>0</v>
      </c>
      <c r="AH8" s="200">
        <f>SUBTOTAL(109,RUH_CAI_LF_LEGACY[A])</f>
        <v>0</v>
      </c>
      <c r="AI8" s="200">
        <f>SUBTOTAL(109,RUH_CAI_LF_LEGACY[P])</f>
        <v>0</v>
      </c>
      <c r="AJ8" s="200">
        <f>SUBTOTAL(103,RUH_CAI_LF_LEGACY[N])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1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5" t="s">
        <v>194</v>
      </c>
      <c r="B1" s="76" t="s">
        <v>8</v>
      </c>
      <c r="C1" s="76" t="s">
        <v>9</v>
      </c>
      <c r="D1" s="76" t="s">
        <v>195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78" t="s">
        <v>196</v>
      </c>
      <c r="B2" s="79" t="s">
        <v>26</v>
      </c>
      <c r="C2" s="80" t="s">
        <v>441</v>
      </c>
      <c r="D2" s="79" t="s">
        <v>440</v>
      </c>
      <c r="E2" s="79" t="s">
        <v>562</v>
      </c>
      <c r="F2" s="79" t="s">
        <v>28</v>
      </c>
      <c r="G2" s="81">
        <v>31</v>
      </c>
      <c r="H2" s="82">
        <v>259</v>
      </c>
    </row>
    <row r="3" spans="1:8" ht="19.8" customHeight="1" x14ac:dyDescent="0.3">
      <c r="A3" s="78" t="s">
        <v>196</v>
      </c>
      <c r="B3" s="79" t="s">
        <v>26</v>
      </c>
      <c r="C3" s="80" t="s">
        <v>446</v>
      </c>
      <c r="D3" s="79" t="s">
        <v>440</v>
      </c>
      <c r="E3" s="79" t="s">
        <v>563</v>
      </c>
      <c r="F3" s="79" t="s">
        <v>28</v>
      </c>
      <c r="G3" s="81">
        <v>34</v>
      </c>
      <c r="H3" s="82">
        <v>259</v>
      </c>
    </row>
    <row r="4" spans="1:8" ht="19.8" customHeight="1" x14ac:dyDescent="0.3">
      <c r="A4" s="78" t="s">
        <v>196</v>
      </c>
      <c r="B4" s="79" t="s">
        <v>26</v>
      </c>
      <c r="C4" s="80" t="s">
        <v>449</v>
      </c>
      <c r="D4" s="79" t="s">
        <v>440</v>
      </c>
      <c r="E4" s="79" t="s">
        <v>564</v>
      </c>
      <c r="F4" s="79" t="s">
        <v>28</v>
      </c>
      <c r="G4" s="81">
        <v>34</v>
      </c>
      <c r="H4" s="82">
        <v>259</v>
      </c>
    </row>
    <row r="5" spans="1:8" ht="19.8" customHeight="1" x14ac:dyDescent="0.3">
      <c r="A5" s="78" t="s">
        <v>196</v>
      </c>
      <c r="B5" s="79" t="s">
        <v>26</v>
      </c>
      <c r="C5" s="80" t="s">
        <v>450</v>
      </c>
      <c r="D5" s="79" t="s">
        <v>440</v>
      </c>
      <c r="E5" s="79" t="s">
        <v>565</v>
      </c>
      <c r="F5" s="79" t="s">
        <v>28</v>
      </c>
      <c r="G5" s="81">
        <v>16</v>
      </c>
      <c r="H5" s="82">
        <v>259</v>
      </c>
    </row>
    <row r="6" spans="1:8" ht="19.8" customHeight="1" x14ac:dyDescent="0.3">
      <c r="A6" s="78" t="s">
        <v>196</v>
      </c>
      <c r="B6" s="79" t="s">
        <v>36</v>
      </c>
      <c r="C6" s="80" t="s">
        <v>453</v>
      </c>
      <c r="D6" s="79" t="s">
        <v>440</v>
      </c>
      <c r="E6" s="79" t="s">
        <v>566</v>
      </c>
      <c r="F6" s="79" t="s">
        <v>38</v>
      </c>
      <c r="G6" s="81">
        <v>8</v>
      </c>
      <c r="H6" s="82">
        <v>289</v>
      </c>
    </row>
    <row r="7" spans="1:8" ht="19.8" customHeight="1" x14ac:dyDescent="0.3">
      <c r="A7" s="78" t="s">
        <v>196</v>
      </c>
      <c r="B7" s="79" t="s">
        <v>36</v>
      </c>
      <c r="C7" s="80" t="s">
        <v>456</v>
      </c>
      <c r="D7" s="79" t="s">
        <v>440</v>
      </c>
      <c r="E7" s="79" t="s">
        <v>567</v>
      </c>
      <c r="F7" s="79" t="s">
        <v>38</v>
      </c>
      <c r="G7" s="81">
        <v>1</v>
      </c>
      <c r="H7" s="82">
        <v>289</v>
      </c>
    </row>
    <row r="8" spans="1:8" ht="19.8" customHeight="1" x14ac:dyDescent="0.3">
      <c r="A8" s="78" t="s">
        <v>196</v>
      </c>
      <c r="B8" s="79" t="s">
        <v>36</v>
      </c>
      <c r="C8" s="80" t="s">
        <v>457</v>
      </c>
      <c r="D8" s="79" t="s">
        <v>440</v>
      </c>
      <c r="E8" s="79" t="s">
        <v>568</v>
      </c>
      <c r="F8" s="79" t="s">
        <v>38</v>
      </c>
      <c r="G8" s="81">
        <v>9</v>
      </c>
      <c r="H8" s="82">
        <v>329</v>
      </c>
    </row>
    <row r="9" spans="1:8" ht="19.8" customHeight="1" x14ac:dyDescent="0.3">
      <c r="A9" s="78" t="s">
        <v>196</v>
      </c>
      <c r="B9" s="79" t="s">
        <v>36</v>
      </c>
      <c r="C9" s="80" t="s">
        <v>461</v>
      </c>
      <c r="D9" s="79" t="s">
        <v>440</v>
      </c>
      <c r="E9" s="79" t="s">
        <v>569</v>
      </c>
      <c r="F9" s="79" t="s">
        <v>38</v>
      </c>
      <c r="G9" s="81">
        <v>9</v>
      </c>
      <c r="H9" s="82">
        <v>329</v>
      </c>
    </row>
    <row r="10" spans="1:8" ht="19.8" customHeight="1" x14ac:dyDescent="0.3">
      <c r="A10" s="78" t="s">
        <v>196</v>
      </c>
      <c r="B10" s="79" t="s">
        <v>36</v>
      </c>
      <c r="C10" s="80" t="s">
        <v>462</v>
      </c>
      <c r="D10" s="79" t="s">
        <v>440</v>
      </c>
      <c r="E10" s="79" t="s">
        <v>570</v>
      </c>
      <c r="F10" s="79" t="s">
        <v>38</v>
      </c>
      <c r="G10" s="81">
        <v>9</v>
      </c>
      <c r="H10" s="82">
        <v>329</v>
      </c>
    </row>
    <row r="11" spans="1:8" ht="19.8" customHeight="1" x14ac:dyDescent="0.3">
      <c r="A11" s="78" t="s">
        <v>196</v>
      </c>
      <c r="B11" s="79" t="s">
        <v>36</v>
      </c>
      <c r="C11" s="80" t="s">
        <v>463</v>
      </c>
      <c r="D11" s="79" t="s">
        <v>440</v>
      </c>
      <c r="E11" s="79" t="s">
        <v>571</v>
      </c>
      <c r="F11" s="79" t="s">
        <v>38</v>
      </c>
      <c r="G11" s="81">
        <v>9</v>
      </c>
      <c r="H11" s="82">
        <v>329</v>
      </c>
    </row>
    <row r="12" spans="1:8" ht="19.8" customHeight="1" x14ac:dyDescent="0.3">
      <c r="A12" s="78" t="s">
        <v>196</v>
      </c>
      <c r="B12" s="79" t="s">
        <v>262</v>
      </c>
      <c r="C12" s="80" t="s">
        <v>466</v>
      </c>
      <c r="D12" s="79" t="s">
        <v>440</v>
      </c>
      <c r="E12" s="79" t="s">
        <v>166</v>
      </c>
      <c r="F12" s="79" t="s">
        <v>48</v>
      </c>
      <c r="G12" s="81">
        <v>9</v>
      </c>
      <c r="H12" s="82">
        <v>350</v>
      </c>
    </row>
    <row r="13" spans="1:8" ht="19.8" customHeight="1" x14ac:dyDescent="0.3">
      <c r="A13" s="83" t="s">
        <v>196</v>
      </c>
      <c r="B13" s="84" t="s">
        <v>46</v>
      </c>
      <c r="C13" s="85" t="s">
        <v>468</v>
      </c>
      <c r="D13" s="84" t="s">
        <v>440</v>
      </c>
      <c r="E13" s="84" t="s">
        <v>547</v>
      </c>
      <c r="F13" s="84" t="s">
        <v>48</v>
      </c>
      <c r="G13" s="86">
        <v>9</v>
      </c>
      <c r="H13" s="87">
        <v>355</v>
      </c>
    </row>
    <row r="14" spans="1:8" ht="19.8" customHeight="1" x14ac:dyDescent="0.3">
      <c r="A14" s="88">
        <v>45986</v>
      </c>
      <c r="B14" s="79" t="s">
        <v>36</v>
      </c>
      <c r="C14" s="80" t="s">
        <v>464</v>
      </c>
      <c r="D14" s="79" t="s">
        <v>440</v>
      </c>
      <c r="E14" s="89">
        <v>1.5</v>
      </c>
      <c r="F14" s="79" t="s">
        <v>38</v>
      </c>
      <c r="G14" s="81">
        <v>9</v>
      </c>
      <c r="H14" s="82">
        <v>369</v>
      </c>
    </row>
    <row r="15" spans="1:8" ht="19.8" customHeight="1" x14ac:dyDescent="0.3">
      <c r="A15" s="88">
        <v>45986</v>
      </c>
      <c r="B15" s="79" t="s">
        <v>257</v>
      </c>
      <c r="C15" s="80" t="s">
        <v>472</v>
      </c>
      <c r="D15" s="79" t="s">
        <v>440</v>
      </c>
      <c r="E15" s="89">
        <v>1.6215277777777779</v>
      </c>
      <c r="F15" s="79" t="s">
        <v>259</v>
      </c>
      <c r="G15" s="81">
        <v>9</v>
      </c>
      <c r="H15" s="82">
        <v>372</v>
      </c>
    </row>
    <row r="16" spans="1:8" ht="19.8" customHeight="1" x14ac:dyDescent="0.3">
      <c r="A16" s="88">
        <v>45986</v>
      </c>
      <c r="B16" s="79" t="s">
        <v>36</v>
      </c>
      <c r="C16" s="80" t="s">
        <v>453</v>
      </c>
      <c r="D16" s="79" t="s">
        <v>440</v>
      </c>
      <c r="E16" s="89">
        <v>1.305555555555556</v>
      </c>
      <c r="F16" s="79" t="s">
        <v>41</v>
      </c>
      <c r="G16" s="81">
        <v>8</v>
      </c>
      <c r="H16" s="82">
        <v>389</v>
      </c>
    </row>
    <row r="17" spans="1:8" ht="19.8" customHeight="1" x14ac:dyDescent="0.3">
      <c r="A17" s="88">
        <v>45986</v>
      </c>
      <c r="B17" s="79" t="s">
        <v>36</v>
      </c>
      <c r="C17" s="80" t="s">
        <v>456</v>
      </c>
      <c r="D17" s="79" t="s">
        <v>440</v>
      </c>
      <c r="E17" s="89">
        <v>1.5659722222222221</v>
      </c>
      <c r="F17" s="79" t="s">
        <v>41</v>
      </c>
      <c r="G17" s="81">
        <v>1</v>
      </c>
      <c r="H17" s="82">
        <v>389</v>
      </c>
    </row>
    <row r="18" spans="1:8" ht="19.8" customHeight="1" x14ac:dyDescent="0.3">
      <c r="A18" s="88">
        <v>45986</v>
      </c>
      <c r="B18" s="79" t="s">
        <v>26</v>
      </c>
      <c r="C18" s="80" t="s">
        <v>441</v>
      </c>
      <c r="D18" s="79" t="s">
        <v>440</v>
      </c>
      <c r="E18" s="89">
        <v>1.447916666666667</v>
      </c>
      <c r="F18" s="79" t="s">
        <v>31</v>
      </c>
      <c r="G18" s="81">
        <v>31</v>
      </c>
      <c r="H18" s="82">
        <v>409</v>
      </c>
    </row>
    <row r="19" spans="1:8" ht="19.8" customHeight="1" x14ac:dyDescent="0.3">
      <c r="A19" s="88">
        <v>45986</v>
      </c>
      <c r="B19" s="79" t="s">
        <v>26</v>
      </c>
      <c r="C19" s="80" t="s">
        <v>446</v>
      </c>
      <c r="D19" s="79" t="s">
        <v>440</v>
      </c>
      <c r="E19" s="89">
        <v>1.5</v>
      </c>
      <c r="F19" s="79" t="s">
        <v>31</v>
      </c>
      <c r="G19" s="81">
        <v>34</v>
      </c>
      <c r="H19" s="82">
        <v>409</v>
      </c>
    </row>
    <row r="20" spans="1:8" ht="19.8" customHeight="1" x14ac:dyDescent="0.3">
      <c r="A20" s="88">
        <v>45986</v>
      </c>
      <c r="B20" s="79" t="s">
        <v>26</v>
      </c>
      <c r="C20" s="80" t="s">
        <v>449</v>
      </c>
      <c r="D20" s="79" t="s">
        <v>440</v>
      </c>
      <c r="E20" s="89">
        <v>1.760416666666667</v>
      </c>
      <c r="F20" s="79" t="s">
        <v>31</v>
      </c>
      <c r="G20" s="81">
        <v>34</v>
      </c>
      <c r="H20" s="82">
        <v>409</v>
      </c>
    </row>
    <row r="21" spans="1:8" ht="19.8" customHeight="1" x14ac:dyDescent="0.3">
      <c r="A21" s="88">
        <v>45986</v>
      </c>
      <c r="B21" s="79" t="s">
        <v>26</v>
      </c>
      <c r="C21" s="80" t="s">
        <v>450</v>
      </c>
      <c r="D21" s="79" t="s">
        <v>440</v>
      </c>
      <c r="E21" s="89">
        <v>1.8159722222222221</v>
      </c>
      <c r="F21" s="79" t="s">
        <v>31</v>
      </c>
      <c r="G21" s="81">
        <v>16</v>
      </c>
      <c r="H21" s="82">
        <v>409</v>
      </c>
    </row>
    <row r="22" spans="1:8" ht="19.8" customHeight="1" x14ac:dyDescent="0.3">
      <c r="A22" s="88">
        <v>45986</v>
      </c>
      <c r="B22" s="79" t="s">
        <v>36</v>
      </c>
      <c r="C22" s="80" t="s">
        <v>457</v>
      </c>
      <c r="D22" s="79" t="s">
        <v>440</v>
      </c>
      <c r="E22" s="89">
        <v>1.8263888888888891</v>
      </c>
      <c r="F22" s="79" t="s">
        <v>41</v>
      </c>
      <c r="G22" s="81">
        <v>9</v>
      </c>
      <c r="H22" s="82">
        <v>429</v>
      </c>
    </row>
    <row r="23" spans="1:8" ht="19.8" customHeight="1" x14ac:dyDescent="0.3">
      <c r="A23" s="88">
        <v>45986</v>
      </c>
      <c r="B23" s="79" t="s">
        <v>36</v>
      </c>
      <c r="C23" s="80" t="s">
        <v>461</v>
      </c>
      <c r="D23" s="79" t="s">
        <v>440</v>
      </c>
      <c r="E23" s="89">
        <v>1.427083333333333</v>
      </c>
      <c r="F23" s="79" t="s">
        <v>41</v>
      </c>
      <c r="G23" s="81">
        <v>9</v>
      </c>
      <c r="H23" s="82">
        <v>429</v>
      </c>
    </row>
    <row r="24" spans="1:8" ht="19.8" customHeight="1" x14ac:dyDescent="0.3">
      <c r="A24" s="88">
        <v>45986</v>
      </c>
      <c r="B24" s="79" t="s">
        <v>36</v>
      </c>
      <c r="C24" s="80" t="s">
        <v>462</v>
      </c>
      <c r="D24" s="79" t="s">
        <v>440</v>
      </c>
      <c r="E24" s="89">
        <v>1.6875</v>
      </c>
      <c r="F24" s="79" t="s">
        <v>41</v>
      </c>
      <c r="G24" s="81">
        <v>9</v>
      </c>
      <c r="H24" s="82">
        <v>429</v>
      </c>
    </row>
    <row r="25" spans="1:8" ht="19.8" customHeight="1" x14ac:dyDescent="0.3">
      <c r="A25" s="88">
        <v>45986</v>
      </c>
      <c r="B25" s="79" t="s">
        <v>36</v>
      </c>
      <c r="C25" s="80" t="s">
        <v>463</v>
      </c>
      <c r="D25" s="79" t="s">
        <v>440</v>
      </c>
      <c r="E25" s="89">
        <v>1.375</v>
      </c>
      <c r="F25" s="79" t="s">
        <v>41</v>
      </c>
      <c r="G25" s="81">
        <v>9</v>
      </c>
      <c r="H25" s="82">
        <v>429</v>
      </c>
    </row>
    <row r="26" spans="1:8" ht="19.8" customHeight="1" x14ac:dyDescent="0.3">
      <c r="A26" s="88">
        <v>45986</v>
      </c>
      <c r="B26" s="79" t="s">
        <v>65</v>
      </c>
      <c r="C26" s="80" t="s">
        <v>475</v>
      </c>
      <c r="D26" s="79" t="s">
        <v>440</v>
      </c>
      <c r="E26" s="89">
        <v>1.166666666666667</v>
      </c>
      <c r="F26" s="79" t="s">
        <v>67</v>
      </c>
      <c r="G26" s="81">
        <v>9</v>
      </c>
      <c r="H26" s="82">
        <v>462</v>
      </c>
    </row>
    <row r="27" spans="1:8" ht="19.8" customHeight="1" x14ac:dyDescent="0.3">
      <c r="A27" s="88">
        <v>45986</v>
      </c>
      <c r="B27" s="79" t="s">
        <v>36</v>
      </c>
      <c r="C27" s="80" t="s">
        <v>464</v>
      </c>
      <c r="D27" s="79" t="s">
        <v>440</v>
      </c>
      <c r="E27" s="89">
        <v>1.5</v>
      </c>
      <c r="F27" s="79" t="s">
        <v>41</v>
      </c>
      <c r="G27" s="81">
        <v>9</v>
      </c>
      <c r="H27" s="82">
        <v>469</v>
      </c>
    </row>
    <row r="28" spans="1:8" ht="19.8" customHeight="1" x14ac:dyDescent="0.3">
      <c r="A28" s="88">
        <v>45986</v>
      </c>
      <c r="B28" s="79" t="s">
        <v>36</v>
      </c>
      <c r="C28" s="80" t="s">
        <v>453</v>
      </c>
      <c r="D28" s="79" t="s">
        <v>440</v>
      </c>
      <c r="E28" s="89">
        <v>1.305555555555556</v>
      </c>
      <c r="F28" s="79" t="s">
        <v>44</v>
      </c>
      <c r="G28" s="81">
        <v>8</v>
      </c>
      <c r="H28" s="82">
        <v>479</v>
      </c>
    </row>
    <row r="29" spans="1:8" ht="19.8" customHeight="1" x14ac:dyDescent="0.3">
      <c r="A29" s="88">
        <v>45986</v>
      </c>
      <c r="B29" s="79" t="s">
        <v>36</v>
      </c>
      <c r="C29" s="80" t="s">
        <v>456</v>
      </c>
      <c r="D29" s="79" t="s">
        <v>440</v>
      </c>
      <c r="E29" s="89">
        <v>1.5659722222222221</v>
      </c>
      <c r="F29" s="79" t="s">
        <v>44</v>
      </c>
      <c r="G29" s="81">
        <v>1</v>
      </c>
      <c r="H29" s="82">
        <v>479</v>
      </c>
    </row>
    <row r="30" spans="1:8" ht="19.8" customHeight="1" x14ac:dyDescent="0.3">
      <c r="A30" s="88">
        <v>45986</v>
      </c>
      <c r="B30" s="79" t="s">
        <v>257</v>
      </c>
      <c r="C30" s="80" t="s">
        <v>472</v>
      </c>
      <c r="D30" s="79" t="s">
        <v>440</v>
      </c>
      <c r="E30" s="89">
        <v>1.6215277777777779</v>
      </c>
      <c r="F30" s="79" t="s">
        <v>34</v>
      </c>
      <c r="G30" s="81">
        <v>9</v>
      </c>
      <c r="H30" s="82">
        <v>495</v>
      </c>
    </row>
    <row r="31" spans="1:8" ht="19.8" customHeight="1" x14ac:dyDescent="0.3">
      <c r="A31" s="88">
        <v>45986</v>
      </c>
      <c r="B31" s="79" t="s">
        <v>36</v>
      </c>
      <c r="C31" s="80" t="s">
        <v>457</v>
      </c>
      <c r="D31" s="79" t="s">
        <v>440</v>
      </c>
      <c r="E31" s="89">
        <v>1.8263888888888891</v>
      </c>
      <c r="F31" s="79" t="s">
        <v>44</v>
      </c>
      <c r="G31" s="81">
        <v>9</v>
      </c>
      <c r="H31" s="82">
        <v>519</v>
      </c>
    </row>
    <row r="32" spans="1:8" ht="19.8" customHeight="1" x14ac:dyDescent="0.3">
      <c r="A32" s="88">
        <v>45986</v>
      </c>
      <c r="B32" s="79" t="s">
        <v>36</v>
      </c>
      <c r="C32" s="80" t="s">
        <v>461</v>
      </c>
      <c r="D32" s="79" t="s">
        <v>440</v>
      </c>
      <c r="E32" s="89">
        <v>1.427083333333333</v>
      </c>
      <c r="F32" s="79" t="s">
        <v>44</v>
      </c>
      <c r="G32" s="81">
        <v>9</v>
      </c>
      <c r="H32" s="82">
        <v>519</v>
      </c>
    </row>
    <row r="33" spans="1:8" ht="19.8" customHeight="1" x14ac:dyDescent="0.3">
      <c r="A33" s="88">
        <v>45986</v>
      </c>
      <c r="B33" s="79" t="s">
        <v>36</v>
      </c>
      <c r="C33" s="80" t="s">
        <v>462</v>
      </c>
      <c r="D33" s="79" t="s">
        <v>440</v>
      </c>
      <c r="E33" s="89">
        <v>1.6875</v>
      </c>
      <c r="F33" s="79" t="s">
        <v>44</v>
      </c>
      <c r="G33" s="81">
        <v>9</v>
      </c>
      <c r="H33" s="82">
        <v>519</v>
      </c>
    </row>
    <row r="34" spans="1:8" ht="19.8" customHeight="1" x14ac:dyDescent="0.3">
      <c r="A34" s="88">
        <v>45986</v>
      </c>
      <c r="B34" s="79" t="s">
        <v>36</v>
      </c>
      <c r="C34" s="80" t="s">
        <v>463</v>
      </c>
      <c r="D34" s="79" t="s">
        <v>440</v>
      </c>
      <c r="E34" s="89">
        <v>1.375</v>
      </c>
      <c r="F34" s="79" t="s">
        <v>44</v>
      </c>
      <c r="G34" s="81">
        <v>9</v>
      </c>
      <c r="H34" s="82">
        <v>519</v>
      </c>
    </row>
    <row r="35" spans="1:8" ht="19.8" customHeight="1" x14ac:dyDescent="0.3">
      <c r="A35" s="88">
        <v>45986</v>
      </c>
      <c r="B35" s="79" t="s">
        <v>36</v>
      </c>
      <c r="C35" s="80" t="s">
        <v>464</v>
      </c>
      <c r="D35" s="79" t="s">
        <v>440</v>
      </c>
      <c r="E35" s="89">
        <v>1.5</v>
      </c>
      <c r="F35" s="79" t="s">
        <v>44</v>
      </c>
      <c r="G35" s="81">
        <v>9</v>
      </c>
      <c r="H35" s="82">
        <v>559</v>
      </c>
    </row>
    <row r="36" spans="1:8" ht="19.8" customHeight="1" x14ac:dyDescent="0.3">
      <c r="A36" s="88">
        <v>45986</v>
      </c>
      <c r="B36" s="79" t="s">
        <v>65</v>
      </c>
      <c r="C36" s="80" t="s">
        <v>477</v>
      </c>
      <c r="D36" s="79" t="s">
        <v>440</v>
      </c>
      <c r="E36" s="89">
        <v>1.541666666666667</v>
      </c>
      <c r="F36" s="79" t="s">
        <v>67</v>
      </c>
      <c r="G36" s="81">
        <v>9</v>
      </c>
      <c r="H36" s="82">
        <v>597</v>
      </c>
    </row>
    <row r="37" spans="1:8" ht="19.8" customHeight="1" x14ac:dyDescent="0.3">
      <c r="A37" s="88">
        <v>45986</v>
      </c>
      <c r="B37" s="79" t="s">
        <v>65</v>
      </c>
      <c r="C37" s="80" t="s">
        <v>479</v>
      </c>
      <c r="D37" s="79" t="s">
        <v>440</v>
      </c>
      <c r="E37" s="89">
        <v>1.916666666666667</v>
      </c>
      <c r="F37" s="79" t="s">
        <v>67</v>
      </c>
      <c r="G37" s="81">
        <v>9</v>
      </c>
      <c r="H37" s="82">
        <v>601</v>
      </c>
    </row>
    <row r="38" spans="1:8" ht="19.8" customHeight="1" x14ac:dyDescent="0.3">
      <c r="A38" s="88">
        <v>45986</v>
      </c>
      <c r="B38" s="79" t="s">
        <v>77</v>
      </c>
      <c r="C38" s="80" t="s">
        <v>481</v>
      </c>
      <c r="D38" s="79" t="s">
        <v>440</v>
      </c>
      <c r="E38" s="89">
        <v>1.2986111111111109</v>
      </c>
      <c r="F38" s="79" t="s">
        <v>83</v>
      </c>
      <c r="G38" s="81">
        <v>9</v>
      </c>
      <c r="H38" s="82">
        <v>661</v>
      </c>
    </row>
    <row r="39" spans="1:8" ht="19.8" customHeight="1" x14ac:dyDescent="0.3">
      <c r="A39" s="88">
        <v>45986</v>
      </c>
      <c r="B39" s="79" t="s">
        <v>77</v>
      </c>
      <c r="C39" s="80" t="s">
        <v>484</v>
      </c>
      <c r="D39" s="79" t="s">
        <v>440</v>
      </c>
      <c r="E39" s="89">
        <v>1.6840277777777779</v>
      </c>
      <c r="F39" s="79" t="s">
        <v>83</v>
      </c>
      <c r="G39" s="81">
        <v>7</v>
      </c>
      <c r="H39" s="82">
        <v>661</v>
      </c>
    </row>
    <row r="40" spans="1:8" ht="19.8" customHeight="1" x14ac:dyDescent="0.3">
      <c r="A40" s="88">
        <v>45986</v>
      </c>
      <c r="B40" s="79" t="s">
        <v>77</v>
      </c>
      <c r="C40" s="80" t="s">
        <v>485</v>
      </c>
      <c r="D40" s="79" t="s">
        <v>440</v>
      </c>
      <c r="E40" s="89">
        <v>1.552083333333333</v>
      </c>
      <c r="F40" s="79" t="s">
        <v>83</v>
      </c>
      <c r="G40" s="81">
        <v>9</v>
      </c>
      <c r="H40" s="82">
        <v>661</v>
      </c>
    </row>
    <row r="41" spans="1:8" ht="19.8" customHeight="1" x14ac:dyDescent="0.3">
      <c r="A41" s="88">
        <v>45986</v>
      </c>
      <c r="B41" s="79" t="s">
        <v>77</v>
      </c>
      <c r="C41" s="80" t="s">
        <v>486</v>
      </c>
      <c r="D41" s="79" t="s">
        <v>440</v>
      </c>
      <c r="E41" s="89">
        <v>1.4826388888888891</v>
      </c>
      <c r="F41" s="79" t="s">
        <v>83</v>
      </c>
      <c r="G41" s="81">
        <v>9</v>
      </c>
      <c r="H41" s="82">
        <v>661</v>
      </c>
    </row>
    <row r="42" spans="1:8" ht="19.8" customHeight="1" x14ac:dyDescent="0.3">
      <c r="A42" s="88">
        <v>45986</v>
      </c>
      <c r="B42" s="79" t="s">
        <v>77</v>
      </c>
      <c r="C42" s="80" t="s">
        <v>481</v>
      </c>
      <c r="D42" s="79" t="s">
        <v>440</v>
      </c>
      <c r="E42" s="89">
        <v>1.2986111111111109</v>
      </c>
      <c r="F42" s="79" t="s">
        <v>79</v>
      </c>
      <c r="G42" s="81">
        <v>9</v>
      </c>
      <c r="H42" s="82">
        <v>711</v>
      </c>
    </row>
    <row r="43" spans="1:8" ht="19.8" customHeight="1" x14ac:dyDescent="0.3">
      <c r="A43" s="88">
        <v>45986</v>
      </c>
      <c r="B43" s="79" t="s">
        <v>77</v>
      </c>
      <c r="C43" s="80" t="s">
        <v>484</v>
      </c>
      <c r="D43" s="79" t="s">
        <v>440</v>
      </c>
      <c r="E43" s="89">
        <v>1.6840277777777779</v>
      </c>
      <c r="F43" s="79" t="s">
        <v>79</v>
      </c>
      <c r="G43" s="81">
        <v>7</v>
      </c>
      <c r="H43" s="82">
        <v>711</v>
      </c>
    </row>
    <row r="44" spans="1:8" ht="19.8" customHeight="1" x14ac:dyDescent="0.3">
      <c r="A44" s="88">
        <v>45986</v>
      </c>
      <c r="B44" s="79" t="s">
        <v>77</v>
      </c>
      <c r="C44" s="80" t="s">
        <v>485</v>
      </c>
      <c r="D44" s="79" t="s">
        <v>440</v>
      </c>
      <c r="E44" s="89">
        <v>1.552083333333333</v>
      </c>
      <c r="F44" s="79" t="s">
        <v>79</v>
      </c>
      <c r="G44" s="81">
        <v>9</v>
      </c>
      <c r="H44" s="82">
        <v>711</v>
      </c>
    </row>
    <row r="45" spans="1:8" ht="19.8" customHeight="1" x14ac:dyDescent="0.3">
      <c r="A45" s="88">
        <v>45986</v>
      </c>
      <c r="B45" s="79" t="s">
        <v>77</v>
      </c>
      <c r="C45" s="80" t="s">
        <v>486</v>
      </c>
      <c r="D45" s="79" t="s">
        <v>440</v>
      </c>
      <c r="E45" s="89">
        <v>1.4826388888888891</v>
      </c>
      <c r="F45" s="79" t="s">
        <v>79</v>
      </c>
      <c r="G45" s="81">
        <v>9</v>
      </c>
      <c r="H45" s="82">
        <v>711</v>
      </c>
    </row>
    <row r="46" spans="1:8" ht="19.8" customHeight="1" x14ac:dyDescent="0.3">
      <c r="A46" s="88">
        <v>45986</v>
      </c>
      <c r="B46" s="79" t="s">
        <v>77</v>
      </c>
      <c r="C46" s="80" t="s">
        <v>487</v>
      </c>
      <c r="D46" s="79" t="s">
        <v>440</v>
      </c>
      <c r="E46" s="89">
        <v>1.836805555555556</v>
      </c>
      <c r="F46" s="79" t="s">
        <v>83</v>
      </c>
      <c r="G46" s="81">
        <v>9</v>
      </c>
      <c r="H46" s="82">
        <v>774</v>
      </c>
    </row>
    <row r="47" spans="1:8" ht="19.8" customHeight="1" x14ac:dyDescent="0.3">
      <c r="A47" s="88">
        <v>45986</v>
      </c>
      <c r="B47" s="79" t="s">
        <v>77</v>
      </c>
      <c r="C47" s="80" t="s">
        <v>487</v>
      </c>
      <c r="D47" s="79" t="s">
        <v>440</v>
      </c>
      <c r="E47" s="89">
        <v>1.836805555555556</v>
      </c>
      <c r="F47" s="79" t="s">
        <v>79</v>
      </c>
      <c r="G47" s="81">
        <v>9</v>
      </c>
      <c r="H47" s="82">
        <v>824</v>
      </c>
    </row>
    <row r="48" spans="1:8" ht="19.8" customHeight="1" x14ac:dyDescent="0.3">
      <c r="A48" s="88">
        <v>45986</v>
      </c>
      <c r="B48" s="79" t="s">
        <v>26</v>
      </c>
      <c r="C48" s="80" t="s">
        <v>441</v>
      </c>
      <c r="D48" s="79" t="s">
        <v>440</v>
      </c>
      <c r="E48" s="89">
        <v>1.447916666666667</v>
      </c>
      <c r="F48" s="79" t="s">
        <v>34</v>
      </c>
      <c r="G48" s="81">
        <v>31</v>
      </c>
      <c r="H48" s="82">
        <v>899</v>
      </c>
    </row>
    <row r="49" spans="1:8" ht="19.8" customHeight="1" x14ac:dyDescent="0.3">
      <c r="A49" s="88">
        <v>45986</v>
      </c>
      <c r="B49" s="79" t="s">
        <v>26</v>
      </c>
      <c r="C49" s="80" t="s">
        <v>449</v>
      </c>
      <c r="D49" s="79" t="s">
        <v>440</v>
      </c>
      <c r="E49" s="89">
        <v>1.760416666666667</v>
      </c>
      <c r="F49" s="79" t="s">
        <v>34</v>
      </c>
      <c r="G49" s="81">
        <v>34</v>
      </c>
      <c r="H49" s="82">
        <v>899</v>
      </c>
    </row>
    <row r="50" spans="1:8" ht="19.8" customHeight="1" x14ac:dyDescent="0.3">
      <c r="A50" s="88">
        <v>45986</v>
      </c>
      <c r="B50" s="79" t="s">
        <v>77</v>
      </c>
      <c r="C50" s="80" t="s">
        <v>490</v>
      </c>
      <c r="D50" s="79" t="s">
        <v>440</v>
      </c>
      <c r="E50" s="89">
        <v>1.760416666666667</v>
      </c>
      <c r="F50" s="79" t="s">
        <v>79</v>
      </c>
      <c r="G50" s="81">
        <v>4</v>
      </c>
      <c r="H50" s="92" t="s">
        <v>491</v>
      </c>
    </row>
    <row r="51" spans="1:8" ht="19.8" customHeight="1" x14ac:dyDescent="0.3">
      <c r="A51" s="88">
        <v>45986</v>
      </c>
      <c r="B51" s="79" t="s">
        <v>77</v>
      </c>
      <c r="C51" s="80" t="s">
        <v>492</v>
      </c>
      <c r="D51" s="79" t="s">
        <v>440</v>
      </c>
      <c r="E51" s="89">
        <v>1.5</v>
      </c>
      <c r="F51" s="79" t="s">
        <v>79</v>
      </c>
      <c r="G51" s="81">
        <v>4</v>
      </c>
      <c r="H51" s="92" t="s">
        <v>491</v>
      </c>
    </row>
    <row r="52" spans="1:8" ht="19.8" customHeight="1" x14ac:dyDescent="0.3">
      <c r="A52" s="88">
        <v>45986</v>
      </c>
      <c r="B52" s="79" t="s">
        <v>77</v>
      </c>
      <c r="C52" s="80" t="s">
        <v>493</v>
      </c>
      <c r="D52" s="79" t="s">
        <v>440</v>
      </c>
      <c r="E52" s="89">
        <v>1.8159722222222221</v>
      </c>
      <c r="F52" s="79" t="s">
        <v>79</v>
      </c>
      <c r="G52" s="81">
        <v>4</v>
      </c>
      <c r="H52" s="92" t="s">
        <v>491</v>
      </c>
    </row>
    <row r="53" spans="1:8" ht="19.8" customHeight="1" x14ac:dyDescent="0.3">
      <c r="A53" s="88">
        <v>45986</v>
      </c>
      <c r="B53" s="79" t="s">
        <v>26</v>
      </c>
      <c r="C53" s="80" t="s">
        <v>446</v>
      </c>
      <c r="D53" s="79" t="s">
        <v>440</v>
      </c>
      <c r="E53" s="89">
        <v>1.5</v>
      </c>
      <c r="F53" s="79" t="s">
        <v>34</v>
      </c>
      <c r="G53" s="81">
        <v>34</v>
      </c>
      <c r="H53" s="92" t="s">
        <v>112</v>
      </c>
    </row>
    <row r="54" spans="1:8" ht="19.8" customHeight="1" x14ac:dyDescent="0.3">
      <c r="A54" s="98">
        <v>45986</v>
      </c>
      <c r="B54" s="99" t="s">
        <v>26</v>
      </c>
      <c r="C54" s="100" t="s">
        <v>450</v>
      </c>
      <c r="D54" s="99" t="s">
        <v>440</v>
      </c>
      <c r="E54" s="101">
        <v>1.8159722222222221</v>
      </c>
      <c r="F54" s="99" t="s">
        <v>34</v>
      </c>
      <c r="G54" s="102">
        <v>16</v>
      </c>
      <c r="H54" s="103" t="s">
        <v>112</v>
      </c>
    </row>
    <row r="55" spans="1:8" ht="19.8" customHeight="1" x14ac:dyDescent="0.3">
      <c r="A55" s="88">
        <v>45987</v>
      </c>
      <c r="B55" s="79" t="s">
        <v>26</v>
      </c>
      <c r="C55" s="80" t="s">
        <v>441</v>
      </c>
      <c r="D55" s="79" t="s">
        <v>440</v>
      </c>
      <c r="E55" s="89">
        <v>1.447916666666667</v>
      </c>
      <c r="F55" s="79" t="s">
        <v>28</v>
      </c>
      <c r="G55" s="81">
        <v>23</v>
      </c>
      <c r="H55" s="82">
        <v>259</v>
      </c>
    </row>
    <row r="56" spans="1:8" ht="19.8" customHeight="1" x14ac:dyDescent="0.3">
      <c r="A56" s="88">
        <v>45987</v>
      </c>
      <c r="B56" s="79" t="s">
        <v>26</v>
      </c>
      <c r="C56" s="80" t="s">
        <v>446</v>
      </c>
      <c r="D56" s="79" t="s">
        <v>440</v>
      </c>
      <c r="E56" s="89">
        <v>1.5</v>
      </c>
      <c r="F56" s="79" t="s">
        <v>28</v>
      </c>
      <c r="G56" s="81">
        <v>57</v>
      </c>
      <c r="H56" s="82">
        <v>259</v>
      </c>
    </row>
    <row r="57" spans="1:8" ht="19.8" customHeight="1" x14ac:dyDescent="0.3">
      <c r="A57" s="88">
        <v>45987</v>
      </c>
      <c r="B57" s="79" t="s">
        <v>26</v>
      </c>
      <c r="C57" s="80" t="s">
        <v>449</v>
      </c>
      <c r="D57" s="79" t="s">
        <v>440</v>
      </c>
      <c r="E57" s="89">
        <v>1.760416666666667</v>
      </c>
      <c r="F57" s="79" t="s">
        <v>28</v>
      </c>
      <c r="G57" s="81">
        <v>19</v>
      </c>
      <c r="H57" s="82">
        <v>259</v>
      </c>
    </row>
    <row r="58" spans="1:8" ht="19.8" customHeight="1" x14ac:dyDescent="0.3">
      <c r="A58" s="88">
        <v>45987</v>
      </c>
      <c r="B58" s="79" t="s">
        <v>26</v>
      </c>
      <c r="C58" s="80" t="s">
        <v>450</v>
      </c>
      <c r="D58" s="79" t="s">
        <v>440</v>
      </c>
      <c r="E58" s="89">
        <v>1.8159722222222221</v>
      </c>
      <c r="F58" s="79" t="s">
        <v>28</v>
      </c>
      <c r="G58" s="81">
        <v>6</v>
      </c>
      <c r="H58" s="82">
        <v>259</v>
      </c>
    </row>
    <row r="59" spans="1:8" ht="19.8" customHeight="1" x14ac:dyDescent="0.3">
      <c r="A59" s="88">
        <v>45987</v>
      </c>
      <c r="B59" s="79" t="s">
        <v>36</v>
      </c>
      <c r="C59" s="80" t="s">
        <v>453</v>
      </c>
      <c r="D59" s="79" t="s">
        <v>440</v>
      </c>
      <c r="E59" s="89">
        <v>1.305555555555556</v>
      </c>
      <c r="F59" s="79" t="s">
        <v>38</v>
      </c>
      <c r="G59" s="81">
        <v>9</v>
      </c>
      <c r="H59" s="82">
        <v>289</v>
      </c>
    </row>
    <row r="60" spans="1:8" ht="19.8" customHeight="1" x14ac:dyDescent="0.3">
      <c r="A60" s="88">
        <v>45987</v>
      </c>
      <c r="B60" s="79" t="s">
        <v>36</v>
      </c>
      <c r="C60" s="80" t="s">
        <v>464</v>
      </c>
      <c r="D60" s="79" t="s">
        <v>440</v>
      </c>
      <c r="E60" s="89">
        <v>1.5</v>
      </c>
      <c r="F60" s="79" t="s">
        <v>38</v>
      </c>
      <c r="G60" s="81">
        <v>7</v>
      </c>
      <c r="H60" s="82">
        <v>289</v>
      </c>
    </row>
    <row r="61" spans="1:8" ht="19.8" customHeight="1" x14ac:dyDescent="0.3">
      <c r="A61" s="88">
        <v>45987</v>
      </c>
      <c r="B61" s="79" t="s">
        <v>36</v>
      </c>
      <c r="C61" s="80" t="s">
        <v>461</v>
      </c>
      <c r="D61" s="79" t="s">
        <v>440</v>
      </c>
      <c r="E61" s="89">
        <v>1.427083333333333</v>
      </c>
      <c r="F61" s="79" t="s">
        <v>38</v>
      </c>
      <c r="G61" s="81">
        <v>9</v>
      </c>
      <c r="H61" s="82">
        <v>289</v>
      </c>
    </row>
    <row r="62" spans="1:8" ht="19.8" customHeight="1" x14ac:dyDescent="0.3">
      <c r="A62" s="88">
        <v>45987</v>
      </c>
      <c r="B62" s="79" t="s">
        <v>36</v>
      </c>
      <c r="C62" s="80" t="s">
        <v>462</v>
      </c>
      <c r="D62" s="79" t="s">
        <v>440</v>
      </c>
      <c r="E62" s="89">
        <v>1.6875</v>
      </c>
      <c r="F62" s="79" t="s">
        <v>38</v>
      </c>
      <c r="G62" s="81">
        <v>4</v>
      </c>
      <c r="H62" s="82">
        <v>289</v>
      </c>
    </row>
    <row r="63" spans="1:8" ht="19.8" customHeight="1" x14ac:dyDescent="0.3">
      <c r="A63" s="88">
        <v>45987</v>
      </c>
      <c r="B63" s="79" t="s">
        <v>36</v>
      </c>
      <c r="C63" s="80" t="s">
        <v>463</v>
      </c>
      <c r="D63" s="79" t="s">
        <v>440</v>
      </c>
      <c r="E63" s="89">
        <v>1.375</v>
      </c>
      <c r="F63" s="79" t="s">
        <v>38</v>
      </c>
      <c r="G63" s="81">
        <v>9</v>
      </c>
      <c r="H63" s="82">
        <v>289</v>
      </c>
    </row>
    <row r="64" spans="1:8" ht="19.8" customHeight="1" x14ac:dyDescent="0.3">
      <c r="A64" s="88">
        <v>45987</v>
      </c>
      <c r="B64" s="79" t="s">
        <v>36</v>
      </c>
      <c r="C64" s="80" t="s">
        <v>456</v>
      </c>
      <c r="D64" s="79" t="s">
        <v>440</v>
      </c>
      <c r="E64" s="89">
        <v>1.5659722222222221</v>
      </c>
      <c r="F64" s="79" t="s">
        <v>38</v>
      </c>
      <c r="G64" s="81">
        <v>9</v>
      </c>
      <c r="H64" s="82">
        <v>289</v>
      </c>
    </row>
    <row r="65" spans="1:8" ht="19.8" customHeight="1" x14ac:dyDescent="0.3">
      <c r="A65" s="88">
        <v>45987</v>
      </c>
      <c r="B65" s="79" t="s">
        <v>262</v>
      </c>
      <c r="C65" s="80" t="s">
        <v>466</v>
      </c>
      <c r="D65" s="79" t="s">
        <v>440</v>
      </c>
      <c r="E65" s="89">
        <v>1.2777777777777779</v>
      </c>
      <c r="F65" s="79" t="s">
        <v>48</v>
      </c>
      <c r="G65" s="81">
        <v>8</v>
      </c>
      <c r="H65" s="82">
        <v>290</v>
      </c>
    </row>
    <row r="66" spans="1:8" ht="19.8" customHeight="1" x14ac:dyDescent="0.3">
      <c r="A66" s="90">
        <v>45987</v>
      </c>
      <c r="B66" s="84" t="s">
        <v>46</v>
      </c>
      <c r="C66" s="85" t="s">
        <v>468</v>
      </c>
      <c r="D66" s="84" t="s">
        <v>440</v>
      </c>
      <c r="E66" s="91">
        <v>1.9236111111111109</v>
      </c>
      <c r="F66" s="84" t="s">
        <v>48</v>
      </c>
      <c r="G66" s="86">
        <v>9</v>
      </c>
      <c r="H66" s="87">
        <v>299</v>
      </c>
    </row>
    <row r="67" spans="1:8" ht="19.8" customHeight="1" x14ac:dyDescent="0.3">
      <c r="A67" s="88">
        <v>45987</v>
      </c>
      <c r="B67" s="79" t="s">
        <v>257</v>
      </c>
      <c r="C67" s="80" t="s">
        <v>506</v>
      </c>
      <c r="D67" s="79" t="s">
        <v>440</v>
      </c>
      <c r="E67" s="89">
        <v>1.2361111111111109</v>
      </c>
      <c r="F67" s="79" t="s">
        <v>259</v>
      </c>
      <c r="G67" s="81">
        <v>9</v>
      </c>
      <c r="H67" s="82">
        <v>305</v>
      </c>
    </row>
    <row r="68" spans="1:8" ht="19.8" customHeight="1" x14ac:dyDescent="0.3">
      <c r="A68" s="90">
        <v>45987</v>
      </c>
      <c r="B68" s="84" t="s">
        <v>46</v>
      </c>
      <c r="C68" s="85" t="s">
        <v>503</v>
      </c>
      <c r="D68" s="84" t="s">
        <v>440</v>
      </c>
      <c r="E68" s="91">
        <v>1.6111111111111109</v>
      </c>
      <c r="F68" s="84" t="s">
        <v>48</v>
      </c>
      <c r="G68" s="86">
        <v>9</v>
      </c>
      <c r="H68" s="87">
        <v>355</v>
      </c>
    </row>
    <row r="69" spans="1:8" ht="19.8" customHeight="1" x14ac:dyDescent="0.3">
      <c r="A69" s="88">
        <v>45987</v>
      </c>
      <c r="B69" s="79" t="s">
        <v>200</v>
      </c>
      <c r="C69" s="80" t="s">
        <v>509</v>
      </c>
      <c r="D69" s="79" t="s">
        <v>440</v>
      </c>
      <c r="E69" s="89">
        <v>1.802083333333333</v>
      </c>
      <c r="F69" s="79" t="s">
        <v>48</v>
      </c>
      <c r="G69" s="81">
        <v>9</v>
      </c>
      <c r="H69" s="82">
        <v>357</v>
      </c>
    </row>
    <row r="70" spans="1:8" ht="19.8" customHeight="1" x14ac:dyDescent="0.3">
      <c r="A70" s="88">
        <v>45987</v>
      </c>
      <c r="B70" s="79" t="s">
        <v>36</v>
      </c>
      <c r="C70" s="80" t="s">
        <v>457</v>
      </c>
      <c r="D70" s="79" t="s">
        <v>440</v>
      </c>
      <c r="E70" s="89">
        <v>1.8263888888888891</v>
      </c>
      <c r="F70" s="79" t="s">
        <v>38</v>
      </c>
      <c r="G70" s="81">
        <v>4</v>
      </c>
      <c r="H70" s="82">
        <v>369</v>
      </c>
    </row>
    <row r="71" spans="1:8" ht="19.8" customHeight="1" x14ac:dyDescent="0.3">
      <c r="A71" s="88">
        <v>45987</v>
      </c>
      <c r="B71" s="79" t="s">
        <v>36</v>
      </c>
      <c r="C71" s="80" t="s">
        <v>453</v>
      </c>
      <c r="D71" s="79" t="s">
        <v>440</v>
      </c>
      <c r="E71" s="89">
        <v>1.305555555555556</v>
      </c>
      <c r="F71" s="79" t="s">
        <v>41</v>
      </c>
      <c r="G71" s="81">
        <v>9</v>
      </c>
      <c r="H71" s="82">
        <v>389</v>
      </c>
    </row>
    <row r="72" spans="1:8" ht="19.8" customHeight="1" x14ac:dyDescent="0.3">
      <c r="A72" s="88">
        <v>45987</v>
      </c>
      <c r="B72" s="79" t="s">
        <v>36</v>
      </c>
      <c r="C72" s="80" t="s">
        <v>464</v>
      </c>
      <c r="D72" s="79" t="s">
        <v>440</v>
      </c>
      <c r="E72" s="89">
        <v>1.5</v>
      </c>
      <c r="F72" s="79" t="s">
        <v>41</v>
      </c>
      <c r="G72" s="81">
        <v>7</v>
      </c>
      <c r="H72" s="82">
        <v>389</v>
      </c>
    </row>
    <row r="73" spans="1:8" ht="19.8" customHeight="1" x14ac:dyDescent="0.3">
      <c r="A73" s="88">
        <v>45987</v>
      </c>
      <c r="B73" s="79" t="s">
        <v>36</v>
      </c>
      <c r="C73" s="80" t="s">
        <v>461</v>
      </c>
      <c r="D73" s="79" t="s">
        <v>440</v>
      </c>
      <c r="E73" s="89">
        <v>1.427083333333333</v>
      </c>
      <c r="F73" s="79" t="s">
        <v>41</v>
      </c>
      <c r="G73" s="81">
        <v>9</v>
      </c>
      <c r="H73" s="82">
        <v>389</v>
      </c>
    </row>
    <row r="74" spans="1:8" ht="19.8" customHeight="1" x14ac:dyDescent="0.3">
      <c r="A74" s="88">
        <v>45987</v>
      </c>
      <c r="B74" s="79" t="s">
        <v>36</v>
      </c>
      <c r="C74" s="80" t="s">
        <v>462</v>
      </c>
      <c r="D74" s="79" t="s">
        <v>440</v>
      </c>
      <c r="E74" s="89">
        <v>1.6875</v>
      </c>
      <c r="F74" s="79" t="s">
        <v>41</v>
      </c>
      <c r="G74" s="81">
        <v>4</v>
      </c>
      <c r="H74" s="82">
        <v>389</v>
      </c>
    </row>
    <row r="75" spans="1:8" ht="19.8" customHeight="1" x14ac:dyDescent="0.3">
      <c r="A75" s="88">
        <v>45987</v>
      </c>
      <c r="B75" s="79" t="s">
        <v>36</v>
      </c>
      <c r="C75" s="80" t="s">
        <v>463</v>
      </c>
      <c r="D75" s="79" t="s">
        <v>440</v>
      </c>
      <c r="E75" s="89">
        <v>1.375</v>
      </c>
      <c r="F75" s="79" t="s">
        <v>41</v>
      </c>
      <c r="G75" s="81">
        <v>9</v>
      </c>
      <c r="H75" s="82">
        <v>389</v>
      </c>
    </row>
    <row r="76" spans="1:8" ht="19.8" customHeight="1" x14ac:dyDescent="0.3">
      <c r="A76" s="88">
        <v>45987</v>
      </c>
      <c r="B76" s="79" t="s">
        <v>36</v>
      </c>
      <c r="C76" s="80" t="s">
        <v>456</v>
      </c>
      <c r="D76" s="79" t="s">
        <v>440</v>
      </c>
      <c r="E76" s="89">
        <v>1.5659722222222221</v>
      </c>
      <c r="F76" s="79" t="s">
        <v>41</v>
      </c>
      <c r="G76" s="81">
        <v>9</v>
      </c>
      <c r="H76" s="82">
        <v>389</v>
      </c>
    </row>
    <row r="77" spans="1:8" ht="19.8" customHeight="1" x14ac:dyDescent="0.3">
      <c r="A77" s="88">
        <v>45987</v>
      </c>
      <c r="B77" s="79" t="s">
        <v>26</v>
      </c>
      <c r="C77" s="80" t="s">
        <v>441</v>
      </c>
      <c r="D77" s="79" t="s">
        <v>440</v>
      </c>
      <c r="E77" s="89">
        <v>1.447916666666667</v>
      </c>
      <c r="F77" s="79" t="s">
        <v>31</v>
      </c>
      <c r="G77" s="81">
        <v>23</v>
      </c>
      <c r="H77" s="82">
        <v>409</v>
      </c>
    </row>
    <row r="78" spans="1:8" ht="19.8" customHeight="1" x14ac:dyDescent="0.3">
      <c r="A78" s="88">
        <v>45987</v>
      </c>
      <c r="B78" s="79" t="s">
        <v>26</v>
      </c>
      <c r="C78" s="80" t="s">
        <v>446</v>
      </c>
      <c r="D78" s="79" t="s">
        <v>440</v>
      </c>
      <c r="E78" s="89">
        <v>1.5</v>
      </c>
      <c r="F78" s="79" t="s">
        <v>31</v>
      </c>
      <c r="G78" s="81">
        <v>57</v>
      </c>
      <c r="H78" s="82">
        <v>409</v>
      </c>
    </row>
    <row r="79" spans="1:8" ht="19.8" customHeight="1" x14ac:dyDescent="0.3">
      <c r="A79" s="88">
        <v>45987</v>
      </c>
      <c r="B79" s="79" t="s">
        <v>26</v>
      </c>
      <c r="C79" s="80" t="s">
        <v>449</v>
      </c>
      <c r="D79" s="79" t="s">
        <v>440</v>
      </c>
      <c r="E79" s="89">
        <v>1.760416666666667</v>
      </c>
      <c r="F79" s="79" t="s">
        <v>31</v>
      </c>
      <c r="G79" s="81">
        <v>19</v>
      </c>
      <c r="H79" s="82">
        <v>409</v>
      </c>
    </row>
    <row r="80" spans="1:8" ht="19.8" customHeight="1" x14ac:dyDescent="0.3">
      <c r="A80" s="88">
        <v>45987</v>
      </c>
      <c r="B80" s="79" t="s">
        <v>26</v>
      </c>
      <c r="C80" s="80" t="s">
        <v>450</v>
      </c>
      <c r="D80" s="79" t="s">
        <v>440</v>
      </c>
      <c r="E80" s="89">
        <v>1.8159722222222221</v>
      </c>
      <c r="F80" s="79" t="s">
        <v>31</v>
      </c>
      <c r="G80" s="81">
        <v>6</v>
      </c>
      <c r="H80" s="82">
        <v>409</v>
      </c>
    </row>
    <row r="81" spans="1:8" ht="19.8" customHeight="1" x14ac:dyDescent="0.3">
      <c r="A81" s="88">
        <v>45987</v>
      </c>
      <c r="B81" s="79" t="s">
        <v>257</v>
      </c>
      <c r="C81" s="80" t="s">
        <v>506</v>
      </c>
      <c r="D81" s="79" t="s">
        <v>440</v>
      </c>
      <c r="E81" s="89">
        <v>1.2361111111111109</v>
      </c>
      <c r="F81" s="79" t="s">
        <v>34</v>
      </c>
      <c r="G81" s="81">
        <v>9</v>
      </c>
      <c r="H81" s="82">
        <v>428</v>
      </c>
    </row>
    <row r="82" spans="1:8" ht="19.8" customHeight="1" x14ac:dyDescent="0.3">
      <c r="A82" s="88">
        <v>45987</v>
      </c>
      <c r="B82" s="79" t="s">
        <v>65</v>
      </c>
      <c r="C82" s="80" t="s">
        <v>475</v>
      </c>
      <c r="D82" s="79" t="s">
        <v>440</v>
      </c>
      <c r="E82" s="89">
        <v>1.166666666666667</v>
      </c>
      <c r="F82" s="79" t="s">
        <v>67</v>
      </c>
      <c r="G82" s="81">
        <v>9</v>
      </c>
      <c r="H82" s="82">
        <v>462</v>
      </c>
    </row>
    <row r="83" spans="1:8" ht="19.8" customHeight="1" x14ac:dyDescent="0.3">
      <c r="A83" s="88">
        <v>45987</v>
      </c>
      <c r="B83" s="79" t="s">
        <v>36</v>
      </c>
      <c r="C83" s="80" t="s">
        <v>457</v>
      </c>
      <c r="D83" s="79" t="s">
        <v>440</v>
      </c>
      <c r="E83" s="89">
        <v>1.8263888888888891</v>
      </c>
      <c r="F83" s="79" t="s">
        <v>41</v>
      </c>
      <c r="G83" s="81">
        <v>4</v>
      </c>
      <c r="H83" s="82">
        <v>469</v>
      </c>
    </row>
    <row r="84" spans="1:8" ht="19.8" customHeight="1" x14ac:dyDescent="0.3">
      <c r="A84" s="88">
        <v>45987</v>
      </c>
      <c r="B84" s="79" t="s">
        <v>36</v>
      </c>
      <c r="C84" s="80" t="s">
        <v>453</v>
      </c>
      <c r="D84" s="79" t="s">
        <v>440</v>
      </c>
      <c r="E84" s="89">
        <v>1.305555555555556</v>
      </c>
      <c r="F84" s="79" t="s">
        <v>44</v>
      </c>
      <c r="G84" s="81">
        <v>9</v>
      </c>
      <c r="H84" s="82">
        <v>479</v>
      </c>
    </row>
    <row r="85" spans="1:8" ht="19.8" customHeight="1" x14ac:dyDescent="0.3">
      <c r="A85" s="88">
        <v>45987</v>
      </c>
      <c r="B85" s="79" t="s">
        <v>36</v>
      </c>
      <c r="C85" s="80" t="s">
        <v>464</v>
      </c>
      <c r="D85" s="79" t="s">
        <v>440</v>
      </c>
      <c r="E85" s="89">
        <v>1.5</v>
      </c>
      <c r="F85" s="79" t="s">
        <v>44</v>
      </c>
      <c r="G85" s="81">
        <v>7</v>
      </c>
      <c r="H85" s="82">
        <v>479</v>
      </c>
    </row>
    <row r="86" spans="1:8" ht="19.8" customHeight="1" x14ac:dyDescent="0.3">
      <c r="A86" s="88">
        <v>45987</v>
      </c>
      <c r="B86" s="79" t="s">
        <v>36</v>
      </c>
      <c r="C86" s="80" t="s">
        <v>461</v>
      </c>
      <c r="D86" s="79" t="s">
        <v>440</v>
      </c>
      <c r="E86" s="89">
        <v>1.427083333333333</v>
      </c>
      <c r="F86" s="79" t="s">
        <v>44</v>
      </c>
      <c r="G86" s="81">
        <v>9</v>
      </c>
      <c r="H86" s="82">
        <v>479</v>
      </c>
    </row>
    <row r="87" spans="1:8" ht="19.8" customHeight="1" x14ac:dyDescent="0.3">
      <c r="A87" s="88">
        <v>45987</v>
      </c>
      <c r="B87" s="79" t="s">
        <v>36</v>
      </c>
      <c r="C87" s="80" t="s">
        <v>462</v>
      </c>
      <c r="D87" s="79" t="s">
        <v>440</v>
      </c>
      <c r="E87" s="89">
        <v>1.6875</v>
      </c>
      <c r="F87" s="79" t="s">
        <v>44</v>
      </c>
      <c r="G87" s="81">
        <v>4</v>
      </c>
      <c r="H87" s="82">
        <v>479</v>
      </c>
    </row>
    <row r="88" spans="1:8" ht="19.8" customHeight="1" x14ac:dyDescent="0.3">
      <c r="A88" s="88">
        <v>45987</v>
      </c>
      <c r="B88" s="79" t="s">
        <v>36</v>
      </c>
      <c r="C88" s="80" t="s">
        <v>463</v>
      </c>
      <c r="D88" s="79" t="s">
        <v>440</v>
      </c>
      <c r="E88" s="89">
        <v>1.375</v>
      </c>
      <c r="F88" s="79" t="s">
        <v>44</v>
      </c>
      <c r="G88" s="81">
        <v>9</v>
      </c>
      <c r="H88" s="82">
        <v>479</v>
      </c>
    </row>
    <row r="89" spans="1:8" ht="19.8" customHeight="1" x14ac:dyDescent="0.3">
      <c r="A89" s="88">
        <v>45987</v>
      </c>
      <c r="B89" s="79" t="s">
        <v>36</v>
      </c>
      <c r="C89" s="80" t="s">
        <v>456</v>
      </c>
      <c r="D89" s="79" t="s">
        <v>440</v>
      </c>
      <c r="E89" s="89">
        <v>1.5659722222222221</v>
      </c>
      <c r="F89" s="79" t="s">
        <v>44</v>
      </c>
      <c r="G89" s="81">
        <v>9</v>
      </c>
      <c r="H89" s="82">
        <v>479</v>
      </c>
    </row>
    <row r="90" spans="1:8" ht="19.8" customHeight="1" x14ac:dyDescent="0.3">
      <c r="A90" s="88">
        <v>45987</v>
      </c>
      <c r="B90" s="79" t="s">
        <v>36</v>
      </c>
      <c r="C90" s="80" t="s">
        <v>457</v>
      </c>
      <c r="D90" s="79" t="s">
        <v>440</v>
      </c>
      <c r="E90" s="89">
        <v>1.8263888888888891</v>
      </c>
      <c r="F90" s="79" t="s">
        <v>44</v>
      </c>
      <c r="G90" s="81">
        <v>4</v>
      </c>
      <c r="H90" s="82">
        <v>559</v>
      </c>
    </row>
    <row r="91" spans="1:8" ht="19.8" customHeight="1" x14ac:dyDescent="0.3">
      <c r="A91" s="88">
        <v>45987</v>
      </c>
      <c r="B91" s="79" t="s">
        <v>65</v>
      </c>
      <c r="C91" s="80" t="s">
        <v>479</v>
      </c>
      <c r="D91" s="79" t="s">
        <v>440</v>
      </c>
      <c r="E91" s="89">
        <v>1.916666666666667</v>
      </c>
      <c r="F91" s="79" t="s">
        <v>67</v>
      </c>
      <c r="G91" s="81">
        <v>9</v>
      </c>
      <c r="H91" s="82">
        <v>597</v>
      </c>
    </row>
    <row r="92" spans="1:8" ht="19.8" customHeight="1" x14ac:dyDescent="0.3">
      <c r="A92" s="88">
        <v>45987</v>
      </c>
      <c r="B92" s="79" t="s">
        <v>77</v>
      </c>
      <c r="C92" s="80" t="s">
        <v>481</v>
      </c>
      <c r="D92" s="79" t="s">
        <v>440</v>
      </c>
      <c r="E92" s="89">
        <v>1.2986111111111109</v>
      </c>
      <c r="F92" s="79" t="s">
        <v>83</v>
      </c>
      <c r="G92" s="81">
        <v>9</v>
      </c>
      <c r="H92" s="82">
        <v>661</v>
      </c>
    </row>
    <row r="93" spans="1:8" ht="19.8" customHeight="1" x14ac:dyDescent="0.3">
      <c r="A93" s="88">
        <v>45987</v>
      </c>
      <c r="B93" s="79" t="s">
        <v>65</v>
      </c>
      <c r="C93" s="80" t="s">
        <v>477</v>
      </c>
      <c r="D93" s="79" t="s">
        <v>440</v>
      </c>
      <c r="E93" s="89">
        <v>1.5347222222222221</v>
      </c>
      <c r="F93" s="79" t="s">
        <v>67</v>
      </c>
      <c r="G93" s="81">
        <v>9</v>
      </c>
      <c r="H93" s="82">
        <v>702</v>
      </c>
    </row>
    <row r="94" spans="1:8" ht="19.8" customHeight="1" x14ac:dyDescent="0.3">
      <c r="A94" s="88">
        <v>45987</v>
      </c>
      <c r="B94" s="79" t="s">
        <v>77</v>
      </c>
      <c r="C94" s="80" t="s">
        <v>481</v>
      </c>
      <c r="D94" s="79" t="s">
        <v>440</v>
      </c>
      <c r="E94" s="89">
        <v>1.2986111111111109</v>
      </c>
      <c r="F94" s="79" t="s">
        <v>79</v>
      </c>
      <c r="G94" s="81">
        <v>9</v>
      </c>
      <c r="H94" s="82">
        <v>711</v>
      </c>
    </row>
    <row r="95" spans="1:8" ht="19.8" customHeight="1" x14ac:dyDescent="0.3">
      <c r="A95" s="88">
        <v>45987</v>
      </c>
      <c r="B95" s="79" t="s">
        <v>77</v>
      </c>
      <c r="C95" s="80" t="s">
        <v>484</v>
      </c>
      <c r="D95" s="79" t="s">
        <v>440</v>
      </c>
      <c r="E95" s="89">
        <v>1.6840277777777779</v>
      </c>
      <c r="F95" s="79" t="s">
        <v>83</v>
      </c>
      <c r="G95" s="81">
        <v>7</v>
      </c>
      <c r="H95" s="82">
        <v>736</v>
      </c>
    </row>
    <row r="96" spans="1:8" ht="19.8" customHeight="1" x14ac:dyDescent="0.3">
      <c r="A96" s="88">
        <v>45987</v>
      </c>
      <c r="B96" s="79" t="s">
        <v>77</v>
      </c>
      <c r="C96" s="80" t="s">
        <v>486</v>
      </c>
      <c r="D96" s="79" t="s">
        <v>440</v>
      </c>
      <c r="E96" s="89">
        <v>1.4826388888888891</v>
      </c>
      <c r="F96" s="79" t="s">
        <v>83</v>
      </c>
      <c r="G96" s="81">
        <v>9</v>
      </c>
      <c r="H96" s="82">
        <v>736</v>
      </c>
    </row>
    <row r="97" spans="1:8" ht="19.8" customHeight="1" x14ac:dyDescent="0.3">
      <c r="A97" s="88">
        <v>45987</v>
      </c>
      <c r="B97" s="79" t="s">
        <v>77</v>
      </c>
      <c r="C97" s="80" t="s">
        <v>484</v>
      </c>
      <c r="D97" s="79" t="s">
        <v>440</v>
      </c>
      <c r="E97" s="89">
        <v>1.6840277777777779</v>
      </c>
      <c r="F97" s="79" t="s">
        <v>79</v>
      </c>
      <c r="G97" s="81">
        <v>7</v>
      </c>
      <c r="H97" s="82">
        <v>786</v>
      </c>
    </row>
    <row r="98" spans="1:8" ht="19.8" customHeight="1" x14ac:dyDescent="0.3">
      <c r="A98" s="88">
        <v>45987</v>
      </c>
      <c r="B98" s="79" t="s">
        <v>77</v>
      </c>
      <c r="C98" s="80" t="s">
        <v>486</v>
      </c>
      <c r="D98" s="79" t="s">
        <v>440</v>
      </c>
      <c r="E98" s="89">
        <v>1.4826388888888891</v>
      </c>
      <c r="F98" s="79" t="s">
        <v>79</v>
      </c>
      <c r="G98" s="81">
        <v>9</v>
      </c>
      <c r="H98" s="82">
        <v>786</v>
      </c>
    </row>
    <row r="99" spans="1:8" ht="19.8" customHeight="1" x14ac:dyDescent="0.3">
      <c r="A99" s="88">
        <v>45987</v>
      </c>
      <c r="B99" s="79" t="s">
        <v>77</v>
      </c>
      <c r="C99" s="80" t="s">
        <v>487</v>
      </c>
      <c r="D99" s="79" t="s">
        <v>440</v>
      </c>
      <c r="E99" s="89">
        <v>1.836805555555556</v>
      </c>
      <c r="F99" s="79" t="s">
        <v>83</v>
      </c>
      <c r="G99" s="81">
        <v>9</v>
      </c>
      <c r="H99" s="82">
        <v>849</v>
      </c>
    </row>
    <row r="100" spans="1:8" ht="19.8" customHeight="1" x14ac:dyDescent="0.3">
      <c r="A100" s="88">
        <v>45987</v>
      </c>
      <c r="B100" s="79" t="s">
        <v>77</v>
      </c>
      <c r="C100" s="80" t="s">
        <v>487</v>
      </c>
      <c r="D100" s="79" t="s">
        <v>440</v>
      </c>
      <c r="E100" s="89">
        <v>1.836805555555556</v>
      </c>
      <c r="F100" s="79" t="s">
        <v>79</v>
      </c>
      <c r="G100" s="81">
        <v>9</v>
      </c>
      <c r="H100" s="82">
        <v>899</v>
      </c>
    </row>
    <row r="101" spans="1:8" ht="19.8" customHeight="1" x14ac:dyDescent="0.3">
      <c r="A101" s="88">
        <v>45987</v>
      </c>
      <c r="B101" s="79" t="s">
        <v>26</v>
      </c>
      <c r="C101" s="80" t="s">
        <v>441</v>
      </c>
      <c r="D101" s="79" t="s">
        <v>440</v>
      </c>
      <c r="E101" s="89">
        <v>1.447916666666667</v>
      </c>
      <c r="F101" s="79" t="s">
        <v>34</v>
      </c>
      <c r="G101" s="81">
        <v>23</v>
      </c>
      <c r="H101" s="82">
        <v>899</v>
      </c>
    </row>
    <row r="102" spans="1:8" ht="19.8" customHeight="1" x14ac:dyDescent="0.3">
      <c r="A102" s="88">
        <v>45987</v>
      </c>
      <c r="B102" s="79" t="s">
        <v>26</v>
      </c>
      <c r="C102" s="80" t="s">
        <v>446</v>
      </c>
      <c r="D102" s="79" t="s">
        <v>440</v>
      </c>
      <c r="E102" s="89">
        <v>1.5</v>
      </c>
      <c r="F102" s="79" t="s">
        <v>34</v>
      </c>
      <c r="G102" s="81">
        <v>57</v>
      </c>
      <c r="H102" s="82">
        <v>899</v>
      </c>
    </row>
    <row r="103" spans="1:8" ht="19.8" customHeight="1" x14ac:dyDescent="0.3">
      <c r="A103" s="88">
        <v>45987</v>
      </c>
      <c r="B103" s="79" t="s">
        <v>26</v>
      </c>
      <c r="C103" s="80" t="s">
        <v>449</v>
      </c>
      <c r="D103" s="79" t="s">
        <v>440</v>
      </c>
      <c r="E103" s="89">
        <v>1.760416666666667</v>
      </c>
      <c r="F103" s="79" t="s">
        <v>34</v>
      </c>
      <c r="G103" s="81">
        <v>19</v>
      </c>
      <c r="H103" s="82">
        <v>899</v>
      </c>
    </row>
    <row r="104" spans="1:8" ht="19.8" customHeight="1" x14ac:dyDescent="0.3">
      <c r="A104" s="88">
        <v>45987</v>
      </c>
      <c r="B104" s="79" t="s">
        <v>26</v>
      </c>
      <c r="C104" s="80" t="s">
        <v>450</v>
      </c>
      <c r="D104" s="79" t="s">
        <v>440</v>
      </c>
      <c r="E104" s="89">
        <v>1.8159722222222221</v>
      </c>
      <c r="F104" s="79" t="s">
        <v>34</v>
      </c>
      <c r="G104" s="81">
        <v>6</v>
      </c>
      <c r="H104" s="82">
        <v>899</v>
      </c>
    </row>
    <row r="105" spans="1:8" ht="19.8" customHeight="1" x14ac:dyDescent="0.3">
      <c r="A105" s="88">
        <v>45987</v>
      </c>
      <c r="B105" s="79" t="s">
        <v>77</v>
      </c>
      <c r="C105" s="80" t="s">
        <v>490</v>
      </c>
      <c r="D105" s="79" t="s">
        <v>440</v>
      </c>
      <c r="E105" s="89">
        <v>1.760416666666667</v>
      </c>
      <c r="F105" s="79" t="s">
        <v>79</v>
      </c>
      <c r="G105" s="81">
        <v>4</v>
      </c>
      <c r="H105" s="92" t="s">
        <v>491</v>
      </c>
    </row>
    <row r="106" spans="1:8" ht="19.8" customHeight="1" x14ac:dyDescent="0.3">
      <c r="A106" s="88">
        <v>45987</v>
      </c>
      <c r="B106" s="79" t="s">
        <v>77</v>
      </c>
      <c r="C106" s="80" t="s">
        <v>492</v>
      </c>
      <c r="D106" s="79" t="s">
        <v>440</v>
      </c>
      <c r="E106" s="89">
        <v>1.5</v>
      </c>
      <c r="F106" s="79" t="s">
        <v>79</v>
      </c>
      <c r="G106" s="81">
        <v>4</v>
      </c>
      <c r="H106" s="92" t="s">
        <v>491</v>
      </c>
    </row>
    <row r="107" spans="1:8" ht="19.8" customHeight="1" x14ac:dyDescent="0.3">
      <c r="A107" s="98">
        <v>45987</v>
      </c>
      <c r="B107" s="99" t="s">
        <v>77</v>
      </c>
      <c r="C107" s="100" t="s">
        <v>493</v>
      </c>
      <c r="D107" s="99" t="s">
        <v>440</v>
      </c>
      <c r="E107" s="101">
        <v>1.8159722222222221</v>
      </c>
      <c r="F107" s="99" t="s">
        <v>79</v>
      </c>
      <c r="G107" s="102">
        <v>4</v>
      </c>
      <c r="H107" s="103" t="s">
        <v>491</v>
      </c>
    </row>
    <row r="108" spans="1:8" ht="19.8" customHeight="1" x14ac:dyDescent="0.3">
      <c r="A108" s="88">
        <v>45988</v>
      </c>
      <c r="B108" s="79" t="s">
        <v>26</v>
      </c>
      <c r="C108" s="80" t="s">
        <v>441</v>
      </c>
      <c r="D108" s="79" t="s">
        <v>440</v>
      </c>
      <c r="E108" s="89">
        <v>1.447916666666667</v>
      </c>
      <c r="F108" s="79" t="s">
        <v>28</v>
      </c>
      <c r="G108" s="81">
        <v>10</v>
      </c>
      <c r="H108" s="82">
        <v>259</v>
      </c>
    </row>
    <row r="109" spans="1:8" ht="19.8" customHeight="1" x14ac:dyDescent="0.3">
      <c r="A109" s="88">
        <v>45988</v>
      </c>
      <c r="B109" s="79" t="s">
        <v>26</v>
      </c>
      <c r="C109" s="80" t="s">
        <v>446</v>
      </c>
      <c r="D109" s="79" t="s">
        <v>440</v>
      </c>
      <c r="E109" s="89">
        <v>1.5</v>
      </c>
      <c r="F109" s="79" t="s">
        <v>28</v>
      </c>
      <c r="G109" s="81">
        <v>12</v>
      </c>
      <c r="H109" s="82">
        <v>259</v>
      </c>
    </row>
    <row r="110" spans="1:8" ht="19.8" customHeight="1" x14ac:dyDescent="0.3">
      <c r="A110" s="88">
        <v>45988</v>
      </c>
      <c r="B110" s="79" t="s">
        <v>36</v>
      </c>
      <c r="C110" s="80" t="s">
        <v>453</v>
      </c>
      <c r="D110" s="79" t="s">
        <v>440</v>
      </c>
      <c r="E110" s="89">
        <v>1.305555555555556</v>
      </c>
      <c r="F110" s="79" t="s">
        <v>38</v>
      </c>
      <c r="G110" s="81">
        <v>9</v>
      </c>
      <c r="H110" s="82">
        <v>289</v>
      </c>
    </row>
    <row r="111" spans="1:8" ht="19.8" customHeight="1" x14ac:dyDescent="0.3">
      <c r="A111" s="88">
        <v>45988</v>
      </c>
      <c r="B111" s="79" t="s">
        <v>36</v>
      </c>
      <c r="C111" s="80" t="s">
        <v>464</v>
      </c>
      <c r="D111" s="79" t="s">
        <v>440</v>
      </c>
      <c r="E111" s="89">
        <v>1.5</v>
      </c>
      <c r="F111" s="79" t="s">
        <v>38</v>
      </c>
      <c r="G111" s="81">
        <v>8</v>
      </c>
      <c r="H111" s="82">
        <v>289</v>
      </c>
    </row>
    <row r="112" spans="1:8" ht="19.8" customHeight="1" x14ac:dyDescent="0.3">
      <c r="A112" s="88">
        <v>45988</v>
      </c>
      <c r="B112" s="79" t="s">
        <v>36</v>
      </c>
      <c r="C112" s="80" t="s">
        <v>461</v>
      </c>
      <c r="D112" s="79" t="s">
        <v>440</v>
      </c>
      <c r="E112" s="89">
        <v>1.427083333333333</v>
      </c>
      <c r="F112" s="79" t="s">
        <v>38</v>
      </c>
      <c r="G112" s="81">
        <v>9</v>
      </c>
      <c r="H112" s="82">
        <v>289</v>
      </c>
    </row>
    <row r="113" spans="1:8" ht="19.8" customHeight="1" x14ac:dyDescent="0.3">
      <c r="A113" s="88">
        <v>45988</v>
      </c>
      <c r="B113" s="79" t="s">
        <v>36</v>
      </c>
      <c r="C113" s="80" t="s">
        <v>463</v>
      </c>
      <c r="D113" s="79" t="s">
        <v>440</v>
      </c>
      <c r="E113" s="89">
        <v>1.375</v>
      </c>
      <c r="F113" s="79" t="s">
        <v>38</v>
      </c>
      <c r="G113" s="81">
        <v>9</v>
      </c>
      <c r="H113" s="82">
        <v>289</v>
      </c>
    </row>
    <row r="114" spans="1:8" ht="19.8" customHeight="1" x14ac:dyDescent="0.3">
      <c r="A114" s="88">
        <v>45988</v>
      </c>
      <c r="B114" s="79" t="s">
        <v>36</v>
      </c>
      <c r="C114" s="80" t="s">
        <v>456</v>
      </c>
      <c r="D114" s="79" t="s">
        <v>440</v>
      </c>
      <c r="E114" s="89">
        <v>1.5659722222222221</v>
      </c>
      <c r="F114" s="79" t="s">
        <v>38</v>
      </c>
      <c r="G114" s="81">
        <v>8</v>
      </c>
      <c r="H114" s="82">
        <v>329</v>
      </c>
    </row>
    <row r="115" spans="1:8" ht="19.8" customHeight="1" x14ac:dyDescent="0.3">
      <c r="A115" s="88">
        <v>45988</v>
      </c>
      <c r="B115" s="79" t="s">
        <v>200</v>
      </c>
      <c r="C115" s="80" t="s">
        <v>518</v>
      </c>
      <c r="D115" s="79" t="s">
        <v>440</v>
      </c>
      <c r="E115" s="89">
        <v>1.354166666666667</v>
      </c>
      <c r="F115" s="79" t="s">
        <v>48</v>
      </c>
      <c r="G115" s="81">
        <v>8</v>
      </c>
      <c r="H115" s="82">
        <v>357</v>
      </c>
    </row>
    <row r="116" spans="1:8" ht="19.8" customHeight="1" x14ac:dyDescent="0.3">
      <c r="A116" s="88">
        <v>45988</v>
      </c>
      <c r="B116" s="79" t="s">
        <v>257</v>
      </c>
      <c r="C116" s="80" t="s">
        <v>472</v>
      </c>
      <c r="D116" s="79" t="s">
        <v>440</v>
      </c>
      <c r="E116" s="89">
        <v>1.6215277777777779</v>
      </c>
      <c r="F116" s="79" t="s">
        <v>259</v>
      </c>
      <c r="G116" s="81">
        <v>9</v>
      </c>
      <c r="H116" s="82">
        <v>361</v>
      </c>
    </row>
    <row r="117" spans="1:8" ht="19.8" customHeight="1" x14ac:dyDescent="0.3">
      <c r="A117" s="88">
        <v>45988</v>
      </c>
      <c r="B117" s="79" t="s">
        <v>36</v>
      </c>
      <c r="C117" s="80" t="s">
        <v>453</v>
      </c>
      <c r="D117" s="79" t="s">
        <v>440</v>
      </c>
      <c r="E117" s="89">
        <v>1.305555555555556</v>
      </c>
      <c r="F117" s="79" t="s">
        <v>41</v>
      </c>
      <c r="G117" s="81">
        <v>9</v>
      </c>
      <c r="H117" s="82">
        <v>389</v>
      </c>
    </row>
    <row r="118" spans="1:8" ht="19.8" customHeight="1" x14ac:dyDescent="0.3">
      <c r="A118" s="88">
        <v>45988</v>
      </c>
      <c r="B118" s="79" t="s">
        <v>36</v>
      </c>
      <c r="C118" s="80" t="s">
        <v>464</v>
      </c>
      <c r="D118" s="79" t="s">
        <v>440</v>
      </c>
      <c r="E118" s="89">
        <v>1.5</v>
      </c>
      <c r="F118" s="79" t="s">
        <v>41</v>
      </c>
      <c r="G118" s="81">
        <v>8</v>
      </c>
      <c r="H118" s="82">
        <v>389</v>
      </c>
    </row>
    <row r="119" spans="1:8" ht="19.8" customHeight="1" x14ac:dyDescent="0.3">
      <c r="A119" s="88">
        <v>45988</v>
      </c>
      <c r="B119" s="79" t="s">
        <v>36</v>
      </c>
      <c r="C119" s="80" t="s">
        <v>461</v>
      </c>
      <c r="D119" s="79" t="s">
        <v>440</v>
      </c>
      <c r="E119" s="89">
        <v>1.427083333333333</v>
      </c>
      <c r="F119" s="79" t="s">
        <v>41</v>
      </c>
      <c r="G119" s="81">
        <v>9</v>
      </c>
      <c r="H119" s="82">
        <v>389</v>
      </c>
    </row>
    <row r="120" spans="1:8" ht="19.8" customHeight="1" x14ac:dyDescent="0.3">
      <c r="A120" s="88">
        <v>45988</v>
      </c>
      <c r="B120" s="79" t="s">
        <v>36</v>
      </c>
      <c r="C120" s="80" t="s">
        <v>463</v>
      </c>
      <c r="D120" s="79" t="s">
        <v>440</v>
      </c>
      <c r="E120" s="89">
        <v>1.375</v>
      </c>
      <c r="F120" s="79" t="s">
        <v>41</v>
      </c>
      <c r="G120" s="81">
        <v>9</v>
      </c>
      <c r="H120" s="82">
        <v>389</v>
      </c>
    </row>
    <row r="121" spans="1:8" ht="19.8" customHeight="1" x14ac:dyDescent="0.3">
      <c r="A121" s="90">
        <v>45988</v>
      </c>
      <c r="B121" s="84" t="s">
        <v>46</v>
      </c>
      <c r="C121" s="85" t="s">
        <v>503</v>
      </c>
      <c r="D121" s="84" t="s">
        <v>440</v>
      </c>
      <c r="E121" s="91">
        <v>1.6111111111111109</v>
      </c>
      <c r="F121" s="84" t="s">
        <v>48</v>
      </c>
      <c r="G121" s="86">
        <v>9</v>
      </c>
      <c r="H121" s="87">
        <v>397</v>
      </c>
    </row>
    <row r="122" spans="1:8" ht="19.8" customHeight="1" x14ac:dyDescent="0.3">
      <c r="A122" s="88">
        <v>45988</v>
      </c>
      <c r="B122" s="79" t="s">
        <v>26</v>
      </c>
      <c r="C122" s="80" t="s">
        <v>450</v>
      </c>
      <c r="D122" s="79" t="s">
        <v>440</v>
      </c>
      <c r="E122" s="89">
        <v>1.8159722222222221</v>
      </c>
      <c r="F122" s="79" t="s">
        <v>28</v>
      </c>
      <c r="G122" s="81">
        <v>3</v>
      </c>
      <c r="H122" s="82">
        <v>399</v>
      </c>
    </row>
    <row r="123" spans="1:8" ht="19.8" customHeight="1" x14ac:dyDescent="0.3">
      <c r="A123" s="88">
        <v>45988</v>
      </c>
      <c r="B123" s="79" t="s">
        <v>262</v>
      </c>
      <c r="C123" s="80" t="s">
        <v>525</v>
      </c>
      <c r="D123" s="79" t="s">
        <v>440</v>
      </c>
      <c r="E123" s="89">
        <v>1.8784722222222221</v>
      </c>
      <c r="F123" s="79" t="s">
        <v>48</v>
      </c>
      <c r="G123" s="81">
        <v>9</v>
      </c>
      <c r="H123" s="82">
        <v>401</v>
      </c>
    </row>
    <row r="124" spans="1:8" ht="19.8" customHeight="1" x14ac:dyDescent="0.3">
      <c r="A124" s="88">
        <v>45988</v>
      </c>
      <c r="B124" s="79" t="s">
        <v>26</v>
      </c>
      <c r="C124" s="80" t="s">
        <v>441</v>
      </c>
      <c r="D124" s="79" t="s">
        <v>440</v>
      </c>
      <c r="E124" s="89">
        <v>1.447916666666667</v>
      </c>
      <c r="F124" s="79" t="s">
        <v>31</v>
      </c>
      <c r="G124" s="81">
        <v>10</v>
      </c>
      <c r="H124" s="82">
        <v>409</v>
      </c>
    </row>
    <row r="125" spans="1:8" ht="19.8" customHeight="1" x14ac:dyDescent="0.3">
      <c r="A125" s="88">
        <v>45988</v>
      </c>
      <c r="B125" s="79" t="s">
        <v>26</v>
      </c>
      <c r="C125" s="80" t="s">
        <v>446</v>
      </c>
      <c r="D125" s="79" t="s">
        <v>440</v>
      </c>
      <c r="E125" s="89">
        <v>1.5</v>
      </c>
      <c r="F125" s="79" t="s">
        <v>31</v>
      </c>
      <c r="G125" s="81">
        <v>12</v>
      </c>
      <c r="H125" s="82">
        <v>409</v>
      </c>
    </row>
    <row r="126" spans="1:8" ht="19.8" customHeight="1" x14ac:dyDescent="0.3">
      <c r="A126" s="88">
        <v>45988</v>
      </c>
      <c r="B126" s="79" t="s">
        <v>200</v>
      </c>
      <c r="C126" s="80" t="s">
        <v>509</v>
      </c>
      <c r="D126" s="79" t="s">
        <v>440</v>
      </c>
      <c r="E126" s="89">
        <v>1.8576388888888891</v>
      </c>
      <c r="F126" s="79" t="s">
        <v>48</v>
      </c>
      <c r="G126" s="81">
        <v>9</v>
      </c>
      <c r="H126" s="82">
        <v>416</v>
      </c>
    </row>
    <row r="127" spans="1:8" ht="19.8" customHeight="1" x14ac:dyDescent="0.3">
      <c r="A127" s="88">
        <v>45988</v>
      </c>
      <c r="B127" s="79" t="s">
        <v>26</v>
      </c>
      <c r="C127" s="80" t="s">
        <v>449</v>
      </c>
      <c r="D127" s="79" t="s">
        <v>440</v>
      </c>
      <c r="E127" s="89">
        <v>1.760416666666667</v>
      </c>
      <c r="F127" s="79" t="s">
        <v>28</v>
      </c>
      <c r="G127" s="81">
        <v>8</v>
      </c>
      <c r="H127" s="82">
        <v>429</v>
      </c>
    </row>
    <row r="128" spans="1:8" ht="19.8" customHeight="1" x14ac:dyDescent="0.3">
      <c r="A128" s="88">
        <v>45988</v>
      </c>
      <c r="B128" s="79" t="s">
        <v>36</v>
      </c>
      <c r="C128" s="80" t="s">
        <v>456</v>
      </c>
      <c r="D128" s="79" t="s">
        <v>440</v>
      </c>
      <c r="E128" s="89">
        <v>1.5659722222222221</v>
      </c>
      <c r="F128" s="79" t="s">
        <v>41</v>
      </c>
      <c r="G128" s="81">
        <v>8</v>
      </c>
      <c r="H128" s="82">
        <v>429</v>
      </c>
    </row>
    <row r="129" spans="1:8" ht="19.8" customHeight="1" x14ac:dyDescent="0.3">
      <c r="A129" s="88">
        <v>45988</v>
      </c>
      <c r="B129" s="79" t="s">
        <v>65</v>
      </c>
      <c r="C129" s="80" t="s">
        <v>475</v>
      </c>
      <c r="D129" s="79" t="s">
        <v>440</v>
      </c>
      <c r="E129" s="89">
        <v>1.166666666666667</v>
      </c>
      <c r="F129" s="79" t="s">
        <v>67</v>
      </c>
      <c r="G129" s="81">
        <v>9</v>
      </c>
      <c r="H129" s="82">
        <v>466</v>
      </c>
    </row>
    <row r="130" spans="1:8" ht="19.8" customHeight="1" x14ac:dyDescent="0.3">
      <c r="A130" s="88">
        <v>45988</v>
      </c>
      <c r="B130" s="79" t="s">
        <v>36</v>
      </c>
      <c r="C130" s="80" t="s">
        <v>453</v>
      </c>
      <c r="D130" s="79" t="s">
        <v>440</v>
      </c>
      <c r="E130" s="89">
        <v>1.305555555555556</v>
      </c>
      <c r="F130" s="79" t="s">
        <v>44</v>
      </c>
      <c r="G130" s="81">
        <v>9</v>
      </c>
      <c r="H130" s="82">
        <v>479</v>
      </c>
    </row>
    <row r="131" spans="1:8" ht="19.8" customHeight="1" x14ac:dyDescent="0.3">
      <c r="A131" s="88">
        <v>45988</v>
      </c>
      <c r="B131" s="79" t="s">
        <v>36</v>
      </c>
      <c r="C131" s="80" t="s">
        <v>464</v>
      </c>
      <c r="D131" s="79" t="s">
        <v>440</v>
      </c>
      <c r="E131" s="89">
        <v>1.5</v>
      </c>
      <c r="F131" s="79" t="s">
        <v>44</v>
      </c>
      <c r="G131" s="81">
        <v>8</v>
      </c>
      <c r="H131" s="82">
        <v>479</v>
      </c>
    </row>
    <row r="132" spans="1:8" ht="19.8" customHeight="1" x14ac:dyDescent="0.3">
      <c r="A132" s="88">
        <v>45988</v>
      </c>
      <c r="B132" s="79" t="s">
        <v>36</v>
      </c>
      <c r="C132" s="80" t="s">
        <v>461</v>
      </c>
      <c r="D132" s="79" t="s">
        <v>440</v>
      </c>
      <c r="E132" s="89">
        <v>1.427083333333333</v>
      </c>
      <c r="F132" s="79" t="s">
        <v>44</v>
      </c>
      <c r="G132" s="81">
        <v>9</v>
      </c>
      <c r="H132" s="82">
        <v>479</v>
      </c>
    </row>
    <row r="133" spans="1:8" ht="19.8" customHeight="1" x14ac:dyDescent="0.3">
      <c r="A133" s="88">
        <v>45988</v>
      </c>
      <c r="B133" s="79" t="s">
        <v>36</v>
      </c>
      <c r="C133" s="80" t="s">
        <v>463</v>
      </c>
      <c r="D133" s="79" t="s">
        <v>440</v>
      </c>
      <c r="E133" s="89">
        <v>1.375</v>
      </c>
      <c r="F133" s="79" t="s">
        <v>44</v>
      </c>
      <c r="G133" s="81">
        <v>9</v>
      </c>
      <c r="H133" s="82">
        <v>479</v>
      </c>
    </row>
    <row r="134" spans="1:8" ht="19.8" customHeight="1" x14ac:dyDescent="0.3">
      <c r="A134" s="88">
        <v>45988</v>
      </c>
      <c r="B134" s="79" t="s">
        <v>257</v>
      </c>
      <c r="C134" s="80" t="s">
        <v>472</v>
      </c>
      <c r="D134" s="79" t="s">
        <v>440</v>
      </c>
      <c r="E134" s="89">
        <v>1.6215277777777779</v>
      </c>
      <c r="F134" s="79" t="s">
        <v>34</v>
      </c>
      <c r="G134" s="81">
        <v>9</v>
      </c>
      <c r="H134" s="82">
        <v>484</v>
      </c>
    </row>
    <row r="135" spans="1:8" ht="19.8" customHeight="1" x14ac:dyDescent="0.3">
      <c r="A135" s="88">
        <v>45988</v>
      </c>
      <c r="B135" s="79" t="s">
        <v>36</v>
      </c>
      <c r="C135" s="80" t="s">
        <v>462</v>
      </c>
      <c r="D135" s="79" t="s">
        <v>440</v>
      </c>
      <c r="E135" s="89">
        <v>1.6875</v>
      </c>
      <c r="F135" s="79" t="s">
        <v>38</v>
      </c>
      <c r="G135" s="81">
        <v>7</v>
      </c>
      <c r="H135" s="82">
        <v>489</v>
      </c>
    </row>
    <row r="136" spans="1:8" ht="19.8" customHeight="1" x14ac:dyDescent="0.3">
      <c r="A136" s="88">
        <v>45988</v>
      </c>
      <c r="B136" s="79" t="s">
        <v>36</v>
      </c>
      <c r="C136" s="80" t="s">
        <v>456</v>
      </c>
      <c r="D136" s="79" t="s">
        <v>440</v>
      </c>
      <c r="E136" s="89">
        <v>1.5659722222222221</v>
      </c>
      <c r="F136" s="79" t="s">
        <v>44</v>
      </c>
      <c r="G136" s="81">
        <v>8</v>
      </c>
      <c r="H136" s="82">
        <v>519</v>
      </c>
    </row>
    <row r="137" spans="1:8" ht="19.8" customHeight="1" x14ac:dyDescent="0.3">
      <c r="A137" s="88">
        <v>45988</v>
      </c>
      <c r="B137" s="79" t="s">
        <v>36</v>
      </c>
      <c r="C137" s="80" t="s">
        <v>457</v>
      </c>
      <c r="D137" s="79" t="s">
        <v>440</v>
      </c>
      <c r="E137" s="89">
        <v>1.8263888888888891</v>
      </c>
      <c r="F137" s="79" t="s">
        <v>38</v>
      </c>
      <c r="G137" s="81">
        <v>4</v>
      </c>
      <c r="H137" s="82">
        <v>539</v>
      </c>
    </row>
    <row r="138" spans="1:8" ht="19.8" customHeight="1" x14ac:dyDescent="0.3">
      <c r="A138" s="88">
        <v>45988</v>
      </c>
      <c r="B138" s="79" t="s">
        <v>26</v>
      </c>
      <c r="C138" s="80" t="s">
        <v>450</v>
      </c>
      <c r="D138" s="79" t="s">
        <v>440</v>
      </c>
      <c r="E138" s="89">
        <v>1.8159722222222221</v>
      </c>
      <c r="F138" s="79" t="s">
        <v>31</v>
      </c>
      <c r="G138" s="81">
        <v>3</v>
      </c>
      <c r="H138" s="82">
        <v>549</v>
      </c>
    </row>
    <row r="139" spans="1:8" ht="19.8" customHeight="1" x14ac:dyDescent="0.3">
      <c r="A139" s="88">
        <v>45988</v>
      </c>
      <c r="B139" s="79" t="s">
        <v>26</v>
      </c>
      <c r="C139" s="80" t="s">
        <v>449</v>
      </c>
      <c r="D139" s="79" t="s">
        <v>440</v>
      </c>
      <c r="E139" s="89">
        <v>1.760416666666667</v>
      </c>
      <c r="F139" s="79" t="s">
        <v>31</v>
      </c>
      <c r="G139" s="81">
        <v>8</v>
      </c>
      <c r="H139" s="82">
        <v>579</v>
      </c>
    </row>
    <row r="140" spans="1:8" ht="19.8" customHeight="1" x14ac:dyDescent="0.3">
      <c r="A140" s="88">
        <v>45988</v>
      </c>
      <c r="B140" s="79" t="s">
        <v>36</v>
      </c>
      <c r="C140" s="80" t="s">
        <v>462</v>
      </c>
      <c r="D140" s="79" t="s">
        <v>440</v>
      </c>
      <c r="E140" s="89">
        <v>1.6875</v>
      </c>
      <c r="F140" s="79" t="s">
        <v>41</v>
      </c>
      <c r="G140" s="81">
        <v>7</v>
      </c>
      <c r="H140" s="82">
        <v>589</v>
      </c>
    </row>
    <row r="141" spans="1:8" ht="19.8" customHeight="1" x14ac:dyDescent="0.3">
      <c r="A141" s="88">
        <v>45988</v>
      </c>
      <c r="B141" s="79" t="s">
        <v>36</v>
      </c>
      <c r="C141" s="80" t="s">
        <v>457</v>
      </c>
      <c r="D141" s="79" t="s">
        <v>440</v>
      </c>
      <c r="E141" s="89">
        <v>1.8263888888888891</v>
      </c>
      <c r="F141" s="79" t="s">
        <v>41</v>
      </c>
      <c r="G141" s="81">
        <v>4</v>
      </c>
      <c r="H141" s="82">
        <v>639</v>
      </c>
    </row>
    <row r="142" spans="1:8" ht="19.8" customHeight="1" x14ac:dyDescent="0.3">
      <c r="A142" s="88">
        <v>45988</v>
      </c>
      <c r="B142" s="79" t="s">
        <v>36</v>
      </c>
      <c r="C142" s="80" t="s">
        <v>462</v>
      </c>
      <c r="D142" s="79" t="s">
        <v>440</v>
      </c>
      <c r="E142" s="89">
        <v>1.6875</v>
      </c>
      <c r="F142" s="79" t="s">
        <v>44</v>
      </c>
      <c r="G142" s="81">
        <v>7</v>
      </c>
      <c r="H142" s="82">
        <v>679</v>
      </c>
    </row>
    <row r="143" spans="1:8" ht="19.8" customHeight="1" x14ac:dyDescent="0.3">
      <c r="A143" s="88">
        <v>45988</v>
      </c>
      <c r="B143" s="79" t="s">
        <v>77</v>
      </c>
      <c r="C143" s="80" t="s">
        <v>481</v>
      </c>
      <c r="D143" s="79" t="s">
        <v>440</v>
      </c>
      <c r="E143" s="89">
        <v>1.2986111111111109</v>
      </c>
      <c r="F143" s="79" t="s">
        <v>83</v>
      </c>
      <c r="G143" s="81">
        <v>6</v>
      </c>
      <c r="H143" s="82">
        <v>683</v>
      </c>
    </row>
    <row r="144" spans="1:8" ht="19.8" customHeight="1" x14ac:dyDescent="0.3">
      <c r="A144" s="88">
        <v>45988</v>
      </c>
      <c r="B144" s="79" t="s">
        <v>36</v>
      </c>
      <c r="C144" s="80" t="s">
        <v>457</v>
      </c>
      <c r="D144" s="79" t="s">
        <v>440</v>
      </c>
      <c r="E144" s="89">
        <v>1.8263888888888891</v>
      </c>
      <c r="F144" s="79" t="s">
        <v>44</v>
      </c>
      <c r="G144" s="81">
        <v>4</v>
      </c>
      <c r="H144" s="82">
        <v>729</v>
      </c>
    </row>
    <row r="145" spans="1:8" ht="19.8" customHeight="1" x14ac:dyDescent="0.3">
      <c r="A145" s="88">
        <v>45988</v>
      </c>
      <c r="B145" s="79" t="s">
        <v>77</v>
      </c>
      <c r="C145" s="80" t="s">
        <v>481</v>
      </c>
      <c r="D145" s="79" t="s">
        <v>440</v>
      </c>
      <c r="E145" s="89">
        <v>1.2986111111111109</v>
      </c>
      <c r="F145" s="79" t="s">
        <v>79</v>
      </c>
      <c r="G145" s="81">
        <v>6</v>
      </c>
      <c r="H145" s="82">
        <v>733</v>
      </c>
    </row>
    <row r="146" spans="1:8" ht="19.8" customHeight="1" x14ac:dyDescent="0.3">
      <c r="A146" s="88">
        <v>45988</v>
      </c>
      <c r="B146" s="79" t="s">
        <v>65</v>
      </c>
      <c r="C146" s="80" t="s">
        <v>479</v>
      </c>
      <c r="D146" s="79" t="s">
        <v>440</v>
      </c>
      <c r="E146" s="89">
        <v>1.916666666666667</v>
      </c>
      <c r="F146" s="79" t="s">
        <v>67</v>
      </c>
      <c r="G146" s="81">
        <v>9</v>
      </c>
      <c r="H146" s="82">
        <v>841</v>
      </c>
    </row>
    <row r="147" spans="1:8" ht="19.8" customHeight="1" x14ac:dyDescent="0.3">
      <c r="A147" s="88">
        <v>45988</v>
      </c>
      <c r="B147" s="79" t="s">
        <v>26</v>
      </c>
      <c r="C147" s="80" t="s">
        <v>441</v>
      </c>
      <c r="D147" s="79" t="s">
        <v>440</v>
      </c>
      <c r="E147" s="89">
        <v>1.447916666666667</v>
      </c>
      <c r="F147" s="79" t="s">
        <v>34</v>
      </c>
      <c r="G147" s="81">
        <v>10</v>
      </c>
      <c r="H147" s="82">
        <v>899</v>
      </c>
    </row>
    <row r="148" spans="1:8" ht="19.8" customHeight="1" x14ac:dyDescent="0.3">
      <c r="A148" s="88">
        <v>45988</v>
      </c>
      <c r="B148" s="79" t="s">
        <v>26</v>
      </c>
      <c r="C148" s="80" t="s">
        <v>446</v>
      </c>
      <c r="D148" s="79" t="s">
        <v>440</v>
      </c>
      <c r="E148" s="89">
        <v>1.5</v>
      </c>
      <c r="F148" s="79" t="s">
        <v>34</v>
      </c>
      <c r="G148" s="81">
        <v>12</v>
      </c>
      <c r="H148" s="82">
        <v>899</v>
      </c>
    </row>
    <row r="149" spans="1:8" ht="19.8" customHeight="1" x14ac:dyDescent="0.3">
      <c r="A149" s="88">
        <v>45988</v>
      </c>
      <c r="B149" s="79" t="s">
        <v>26</v>
      </c>
      <c r="C149" s="80" t="s">
        <v>450</v>
      </c>
      <c r="D149" s="79" t="s">
        <v>440</v>
      </c>
      <c r="E149" s="89">
        <v>1.8159722222222221</v>
      </c>
      <c r="F149" s="79" t="s">
        <v>34</v>
      </c>
      <c r="G149" s="81">
        <v>3</v>
      </c>
      <c r="H149" s="82">
        <v>899</v>
      </c>
    </row>
    <row r="150" spans="1:8" ht="19.8" customHeight="1" x14ac:dyDescent="0.3">
      <c r="A150" s="88">
        <v>45988</v>
      </c>
      <c r="B150" s="79" t="s">
        <v>77</v>
      </c>
      <c r="C150" s="80" t="s">
        <v>486</v>
      </c>
      <c r="D150" s="79" t="s">
        <v>440</v>
      </c>
      <c r="E150" s="89">
        <v>1.4826388888888891</v>
      </c>
      <c r="F150" s="79" t="s">
        <v>83</v>
      </c>
      <c r="G150" s="81">
        <v>9</v>
      </c>
      <c r="H150" s="82">
        <v>999</v>
      </c>
    </row>
    <row r="151" spans="1:8" ht="19.8" customHeight="1" x14ac:dyDescent="0.3">
      <c r="A151" s="88">
        <v>45988</v>
      </c>
      <c r="B151" s="79" t="s">
        <v>65</v>
      </c>
      <c r="C151" s="80" t="s">
        <v>477</v>
      </c>
      <c r="D151" s="79" t="s">
        <v>440</v>
      </c>
      <c r="E151" s="89">
        <v>1.541666666666667</v>
      </c>
      <c r="F151" s="79" t="s">
        <v>67</v>
      </c>
      <c r="G151" s="81">
        <v>9</v>
      </c>
      <c r="H151" s="92" t="s">
        <v>528</v>
      </c>
    </row>
    <row r="152" spans="1:8" ht="19.8" customHeight="1" x14ac:dyDescent="0.3">
      <c r="A152" s="88">
        <v>45988</v>
      </c>
      <c r="B152" s="79" t="s">
        <v>77</v>
      </c>
      <c r="C152" s="80" t="s">
        <v>486</v>
      </c>
      <c r="D152" s="79" t="s">
        <v>440</v>
      </c>
      <c r="E152" s="89">
        <v>1.4826388888888891</v>
      </c>
      <c r="F152" s="79" t="s">
        <v>79</v>
      </c>
      <c r="G152" s="81">
        <v>9</v>
      </c>
      <c r="H152" s="92" t="s">
        <v>533</v>
      </c>
    </row>
    <row r="153" spans="1:8" ht="19.8" customHeight="1" x14ac:dyDescent="0.3">
      <c r="A153" s="88">
        <v>45988</v>
      </c>
      <c r="B153" s="79" t="s">
        <v>77</v>
      </c>
      <c r="C153" s="80" t="s">
        <v>484</v>
      </c>
      <c r="D153" s="79" t="s">
        <v>440</v>
      </c>
      <c r="E153" s="89">
        <v>1.6840277777777779</v>
      </c>
      <c r="F153" s="79" t="s">
        <v>83</v>
      </c>
      <c r="G153" s="81">
        <v>9</v>
      </c>
      <c r="H153" s="92" t="s">
        <v>534</v>
      </c>
    </row>
    <row r="154" spans="1:8" ht="19.8" customHeight="1" x14ac:dyDescent="0.3">
      <c r="A154" s="88">
        <v>45988</v>
      </c>
      <c r="B154" s="79" t="s">
        <v>77</v>
      </c>
      <c r="C154" s="80" t="s">
        <v>492</v>
      </c>
      <c r="D154" s="79" t="s">
        <v>440</v>
      </c>
      <c r="E154" s="89">
        <v>1.5</v>
      </c>
      <c r="F154" s="79" t="s">
        <v>79</v>
      </c>
      <c r="G154" s="81">
        <v>4</v>
      </c>
      <c r="H154" s="92" t="s">
        <v>491</v>
      </c>
    </row>
    <row r="155" spans="1:8" ht="19.8" customHeight="1" x14ac:dyDescent="0.3">
      <c r="A155" s="88">
        <v>45988</v>
      </c>
      <c r="B155" s="79" t="s">
        <v>77</v>
      </c>
      <c r="C155" s="80" t="s">
        <v>484</v>
      </c>
      <c r="D155" s="79" t="s">
        <v>440</v>
      </c>
      <c r="E155" s="89">
        <v>1.6840277777777779</v>
      </c>
      <c r="F155" s="79" t="s">
        <v>79</v>
      </c>
      <c r="G155" s="81">
        <v>9</v>
      </c>
      <c r="H155" s="92" t="s">
        <v>535</v>
      </c>
    </row>
    <row r="156" spans="1:8" ht="19.8" customHeight="1" x14ac:dyDescent="0.3">
      <c r="A156" s="88">
        <v>45988</v>
      </c>
      <c r="B156" s="79" t="s">
        <v>26</v>
      </c>
      <c r="C156" s="80" t="s">
        <v>449</v>
      </c>
      <c r="D156" s="79" t="s">
        <v>440</v>
      </c>
      <c r="E156" s="89">
        <v>1.760416666666667</v>
      </c>
      <c r="F156" s="79" t="s">
        <v>34</v>
      </c>
      <c r="G156" s="81">
        <v>8</v>
      </c>
      <c r="H156" s="92" t="s">
        <v>112</v>
      </c>
    </row>
    <row r="157" spans="1:8" ht="19.8" customHeight="1" x14ac:dyDescent="0.3">
      <c r="A157" s="88">
        <v>45988</v>
      </c>
      <c r="B157" s="79" t="s">
        <v>77</v>
      </c>
      <c r="C157" s="80" t="s">
        <v>490</v>
      </c>
      <c r="D157" s="79" t="s">
        <v>440</v>
      </c>
      <c r="E157" s="89">
        <v>1.760416666666667</v>
      </c>
      <c r="F157" s="79" t="s">
        <v>79</v>
      </c>
      <c r="G157" s="81">
        <v>4</v>
      </c>
      <c r="H157" s="92" t="s">
        <v>536</v>
      </c>
    </row>
    <row r="158" spans="1:8" ht="19.8" customHeight="1" x14ac:dyDescent="0.3">
      <c r="A158" s="88">
        <v>45988</v>
      </c>
      <c r="B158" s="79" t="s">
        <v>77</v>
      </c>
      <c r="C158" s="80" t="s">
        <v>493</v>
      </c>
      <c r="D158" s="79" t="s">
        <v>440</v>
      </c>
      <c r="E158" s="89">
        <v>1.8159722222222221</v>
      </c>
      <c r="F158" s="79" t="s">
        <v>79</v>
      </c>
      <c r="G158" s="81">
        <v>4</v>
      </c>
      <c r="H158" s="92" t="s">
        <v>536</v>
      </c>
    </row>
    <row r="159" spans="1:8" ht="19.8" customHeight="1" x14ac:dyDescent="0.3">
      <c r="A159" s="88">
        <v>45988</v>
      </c>
      <c r="B159" s="79" t="s">
        <v>77</v>
      </c>
      <c r="C159" s="80" t="s">
        <v>487</v>
      </c>
      <c r="D159" s="79" t="s">
        <v>440</v>
      </c>
      <c r="E159" s="89">
        <v>1.836805555555556</v>
      </c>
      <c r="F159" s="79" t="s">
        <v>83</v>
      </c>
      <c r="G159" s="81">
        <v>6</v>
      </c>
      <c r="H159" s="92" t="s">
        <v>537</v>
      </c>
    </row>
    <row r="160" spans="1:8" ht="19.8" customHeight="1" x14ac:dyDescent="0.3">
      <c r="A160" s="98">
        <v>45988</v>
      </c>
      <c r="B160" s="99" t="s">
        <v>77</v>
      </c>
      <c r="C160" s="100" t="s">
        <v>487</v>
      </c>
      <c r="D160" s="99" t="s">
        <v>440</v>
      </c>
      <c r="E160" s="101">
        <v>1.836805555555556</v>
      </c>
      <c r="F160" s="99" t="s">
        <v>79</v>
      </c>
      <c r="G160" s="102">
        <v>6</v>
      </c>
      <c r="H160" s="103" t="s">
        <v>538</v>
      </c>
    </row>
    <row r="161" spans="1:8" ht="19.8" customHeight="1" x14ac:dyDescent="0.3">
      <c r="A161" s="88">
        <v>45989</v>
      </c>
      <c r="B161" s="79" t="s">
        <v>26</v>
      </c>
      <c r="C161" s="80" t="s">
        <v>449</v>
      </c>
      <c r="D161" s="79" t="s">
        <v>440</v>
      </c>
      <c r="E161" s="89">
        <v>1.760416666666667</v>
      </c>
      <c r="F161" s="79" t="s">
        <v>28</v>
      </c>
      <c r="G161" s="81">
        <v>4</v>
      </c>
      <c r="H161" s="82">
        <v>279</v>
      </c>
    </row>
    <row r="162" spans="1:8" ht="19.8" customHeight="1" x14ac:dyDescent="0.3">
      <c r="A162" s="88">
        <v>45989</v>
      </c>
      <c r="B162" s="79" t="s">
        <v>26</v>
      </c>
      <c r="C162" s="80" t="s">
        <v>441</v>
      </c>
      <c r="D162" s="79" t="s">
        <v>440</v>
      </c>
      <c r="E162" s="89">
        <v>1.447916666666667</v>
      </c>
      <c r="F162" s="79" t="s">
        <v>28</v>
      </c>
      <c r="G162" s="81">
        <v>9</v>
      </c>
      <c r="H162" s="82">
        <v>309</v>
      </c>
    </row>
    <row r="163" spans="1:8" ht="19.8" customHeight="1" x14ac:dyDescent="0.3">
      <c r="A163" s="88">
        <v>45989</v>
      </c>
      <c r="B163" s="79" t="s">
        <v>26</v>
      </c>
      <c r="C163" s="80" t="s">
        <v>446</v>
      </c>
      <c r="D163" s="79" t="s">
        <v>440</v>
      </c>
      <c r="E163" s="89">
        <v>1.5</v>
      </c>
      <c r="F163" s="79" t="s">
        <v>28</v>
      </c>
      <c r="G163" s="81">
        <v>9</v>
      </c>
      <c r="H163" s="82">
        <v>309</v>
      </c>
    </row>
    <row r="164" spans="1:8" ht="19.8" customHeight="1" x14ac:dyDescent="0.3">
      <c r="A164" s="88">
        <v>45989</v>
      </c>
      <c r="B164" s="79" t="s">
        <v>26</v>
      </c>
      <c r="C164" s="80" t="s">
        <v>450</v>
      </c>
      <c r="D164" s="79" t="s">
        <v>440</v>
      </c>
      <c r="E164" s="89">
        <v>1.8159722222222221</v>
      </c>
      <c r="F164" s="79" t="s">
        <v>28</v>
      </c>
      <c r="G164" s="81">
        <v>10</v>
      </c>
      <c r="H164" s="82">
        <v>309</v>
      </c>
    </row>
    <row r="165" spans="1:8" ht="19.8" customHeight="1" x14ac:dyDescent="0.3">
      <c r="A165" s="90">
        <v>45989</v>
      </c>
      <c r="B165" s="84" t="s">
        <v>46</v>
      </c>
      <c r="C165" s="85" t="s">
        <v>468</v>
      </c>
      <c r="D165" s="84" t="s">
        <v>440</v>
      </c>
      <c r="E165" s="91">
        <v>1.9236111111111109</v>
      </c>
      <c r="F165" s="84" t="s">
        <v>48</v>
      </c>
      <c r="G165" s="86">
        <v>9</v>
      </c>
      <c r="H165" s="87">
        <v>319</v>
      </c>
    </row>
    <row r="166" spans="1:8" ht="19.8" customHeight="1" x14ac:dyDescent="0.3">
      <c r="A166" s="88">
        <v>45989</v>
      </c>
      <c r="B166" s="79" t="s">
        <v>36</v>
      </c>
      <c r="C166" s="80" t="s">
        <v>457</v>
      </c>
      <c r="D166" s="79" t="s">
        <v>440</v>
      </c>
      <c r="E166" s="89">
        <v>1.8263888888888891</v>
      </c>
      <c r="F166" s="79" t="s">
        <v>38</v>
      </c>
      <c r="G166" s="81">
        <v>9</v>
      </c>
      <c r="H166" s="82">
        <v>329</v>
      </c>
    </row>
    <row r="167" spans="1:8" ht="19.8" customHeight="1" x14ac:dyDescent="0.3">
      <c r="A167" s="88">
        <v>45989</v>
      </c>
      <c r="B167" s="79" t="s">
        <v>36</v>
      </c>
      <c r="C167" s="80" t="s">
        <v>456</v>
      </c>
      <c r="D167" s="79" t="s">
        <v>440</v>
      </c>
      <c r="E167" s="89">
        <v>1.5659722222222221</v>
      </c>
      <c r="F167" s="79" t="s">
        <v>38</v>
      </c>
      <c r="G167" s="81">
        <v>3</v>
      </c>
      <c r="H167" s="82">
        <v>329</v>
      </c>
    </row>
    <row r="168" spans="1:8" ht="19.8" customHeight="1" x14ac:dyDescent="0.3">
      <c r="A168" s="88">
        <v>45989</v>
      </c>
      <c r="B168" s="79" t="s">
        <v>262</v>
      </c>
      <c r="C168" s="80" t="s">
        <v>466</v>
      </c>
      <c r="D168" s="79" t="s">
        <v>440</v>
      </c>
      <c r="E168" s="89">
        <v>1.2777777777777779</v>
      </c>
      <c r="F168" s="79" t="s">
        <v>48</v>
      </c>
      <c r="G168" s="81">
        <v>9</v>
      </c>
      <c r="H168" s="82">
        <v>350</v>
      </c>
    </row>
    <row r="169" spans="1:8" ht="19.8" customHeight="1" x14ac:dyDescent="0.3">
      <c r="A169" s="90">
        <v>45989</v>
      </c>
      <c r="B169" s="84" t="s">
        <v>46</v>
      </c>
      <c r="C169" s="85" t="s">
        <v>503</v>
      </c>
      <c r="D169" s="84" t="s">
        <v>440</v>
      </c>
      <c r="E169" s="91">
        <v>1.604166666666667</v>
      </c>
      <c r="F169" s="84" t="s">
        <v>48</v>
      </c>
      <c r="G169" s="86">
        <v>8</v>
      </c>
      <c r="H169" s="87">
        <v>355</v>
      </c>
    </row>
    <row r="170" spans="1:8" ht="19.8" customHeight="1" x14ac:dyDescent="0.3">
      <c r="A170" s="88">
        <v>45989</v>
      </c>
      <c r="B170" s="79" t="s">
        <v>36</v>
      </c>
      <c r="C170" s="80" t="s">
        <v>453</v>
      </c>
      <c r="D170" s="79" t="s">
        <v>440</v>
      </c>
      <c r="E170" s="89">
        <v>1.305555555555556</v>
      </c>
      <c r="F170" s="79" t="s">
        <v>38</v>
      </c>
      <c r="G170" s="81">
        <v>4</v>
      </c>
      <c r="H170" s="82">
        <v>369</v>
      </c>
    </row>
    <row r="171" spans="1:8" ht="19.8" customHeight="1" x14ac:dyDescent="0.3">
      <c r="A171" s="88">
        <v>45989</v>
      </c>
      <c r="B171" s="79" t="s">
        <v>36</v>
      </c>
      <c r="C171" s="80" t="s">
        <v>464</v>
      </c>
      <c r="D171" s="79" t="s">
        <v>440</v>
      </c>
      <c r="E171" s="89">
        <v>1.5</v>
      </c>
      <c r="F171" s="79" t="s">
        <v>38</v>
      </c>
      <c r="G171" s="81">
        <v>9</v>
      </c>
      <c r="H171" s="82">
        <v>369</v>
      </c>
    </row>
    <row r="172" spans="1:8" ht="19.8" customHeight="1" x14ac:dyDescent="0.3">
      <c r="A172" s="88">
        <v>45989</v>
      </c>
      <c r="B172" s="79" t="s">
        <v>36</v>
      </c>
      <c r="C172" s="80" t="s">
        <v>462</v>
      </c>
      <c r="D172" s="79" t="s">
        <v>440</v>
      </c>
      <c r="E172" s="89">
        <v>1.6875</v>
      </c>
      <c r="F172" s="79" t="s">
        <v>38</v>
      </c>
      <c r="G172" s="81">
        <v>9</v>
      </c>
      <c r="H172" s="82">
        <v>369</v>
      </c>
    </row>
    <row r="173" spans="1:8" ht="19.8" customHeight="1" x14ac:dyDescent="0.3">
      <c r="A173" s="88">
        <v>45989</v>
      </c>
      <c r="B173" s="79" t="s">
        <v>36</v>
      </c>
      <c r="C173" s="80" t="s">
        <v>461</v>
      </c>
      <c r="D173" s="79" t="s">
        <v>440</v>
      </c>
      <c r="E173" s="89">
        <v>1.427083333333333</v>
      </c>
      <c r="F173" s="79" t="s">
        <v>38</v>
      </c>
      <c r="G173" s="81">
        <v>9</v>
      </c>
      <c r="H173" s="82">
        <v>409</v>
      </c>
    </row>
    <row r="174" spans="1:8" ht="19.8" customHeight="1" x14ac:dyDescent="0.3">
      <c r="A174" s="88">
        <v>45989</v>
      </c>
      <c r="B174" s="79" t="s">
        <v>36</v>
      </c>
      <c r="C174" s="80" t="s">
        <v>463</v>
      </c>
      <c r="D174" s="79" t="s">
        <v>440</v>
      </c>
      <c r="E174" s="89">
        <v>1.375</v>
      </c>
      <c r="F174" s="79" t="s">
        <v>38</v>
      </c>
      <c r="G174" s="81">
        <v>8</v>
      </c>
      <c r="H174" s="82">
        <v>409</v>
      </c>
    </row>
    <row r="175" spans="1:8" ht="19.8" customHeight="1" x14ac:dyDescent="0.3">
      <c r="A175" s="88">
        <v>45989</v>
      </c>
      <c r="B175" s="79" t="s">
        <v>200</v>
      </c>
      <c r="C175" s="80" t="s">
        <v>518</v>
      </c>
      <c r="D175" s="79" t="s">
        <v>440</v>
      </c>
      <c r="E175" s="89">
        <v>1.395833333333333</v>
      </c>
      <c r="F175" s="79" t="s">
        <v>48</v>
      </c>
      <c r="G175" s="81">
        <v>9</v>
      </c>
      <c r="H175" s="82">
        <v>416</v>
      </c>
    </row>
    <row r="176" spans="1:8" ht="19.8" customHeight="1" x14ac:dyDescent="0.3">
      <c r="A176" s="88">
        <v>45989</v>
      </c>
      <c r="B176" s="79" t="s">
        <v>26</v>
      </c>
      <c r="C176" s="80" t="s">
        <v>449</v>
      </c>
      <c r="D176" s="79" t="s">
        <v>440</v>
      </c>
      <c r="E176" s="89">
        <v>1.760416666666667</v>
      </c>
      <c r="F176" s="79" t="s">
        <v>31</v>
      </c>
      <c r="G176" s="81">
        <v>4</v>
      </c>
      <c r="H176" s="82">
        <v>429</v>
      </c>
    </row>
    <row r="177" spans="1:8" ht="19.8" customHeight="1" x14ac:dyDescent="0.3">
      <c r="A177" s="88">
        <v>45989</v>
      </c>
      <c r="B177" s="79" t="s">
        <v>36</v>
      </c>
      <c r="C177" s="80" t="s">
        <v>457</v>
      </c>
      <c r="D177" s="79" t="s">
        <v>440</v>
      </c>
      <c r="E177" s="89">
        <v>1.8263888888888891</v>
      </c>
      <c r="F177" s="79" t="s">
        <v>41</v>
      </c>
      <c r="G177" s="81">
        <v>9</v>
      </c>
      <c r="H177" s="82">
        <v>429</v>
      </c>
    </row>
    <row r="178" spans="1:8" ht="19.8" customHeight="1" x14ac:dyDescent="0.3">
      <c r="A178" s="88">
        <v>45989</v>
      </c>
      <c r="B178" s="79" t="s">
        <v>36</v>
      </c>
      <c r="C178" s="80" t="s">
        <v>456</v>
      </c>
      <c r="D178" s="79" t="s">
        <v>440</v>
      </c>
      <c r="E178" s="89">
        <v>1.5659722222222221</v>
      </c>
      <c r="F178" s="79" t="s">
        <v>41</v>
      </c>
      <c r="G178" s="81">
        <v>3</v>
      </c>
      <c r="H178" s="82">
        <v>429</v>
      </c>
    </row>
    <row r="179" spans="1:8" ht="19.8" customHeight="1" x14ac:dyDescent="0.3">
      <c r="A179" s="88">
        <v>45989</v>
      </c>
      <c r="B179" s="79" t="s">
        <v>26</v>
      </c>
      <c r="C179" s="80" t="s">
        <v>441</v>
      </c>
      <c r="D179" s="79" t="s">
        <v>440</v>
      </c>
      <c r="E179" s="89">
        <v>1.447916666666667</v>
      </c>
      <c r="F179" s="79" t="s">
        <v>31</v>
      </c>
      <c r="G179" s="81">
        <v>9</v>
      </c>
      <c r="H179" s="82">
        <v>459</v>
      </c>
    </row>
    <row r="180" spans="1:8" ht="19.8" customHeight="1" x14ac:dyDescent="0.3">
      <c r="A180" s="88">
        <v>45989</v>
      </c>
      <c r="B180" s="79" t="s">
        <v>26</v>
      </c>
      <c r="C180" s="80" t="s">
        <v>446</v>
      </c>
      <c r="D180" s="79" t="s">
        <v>440</v>
      </c>
      <c r="E180" s="89">
        <v>1.5</v>
      </c>
      <c r="F180" s="79" t="s">
        <v>31</v>
      </c>
      <c r="G180" s="81">
        <v>9</v>
      </c>
      <c r="H180" s="82">
        <v>459</v>
      </c>
    </row>
    <row r="181" spans="1:8" ht="19.8" customHeight="1" x14ac:dyDescent="0.3">
      <c r="A181" s="88">
        <v>45989</v>
      </c>
      <c r="B181" s="79" t="s">
        <v>26</v>
      </c>
      <c r="C181" s="80" t="s">
        <v>450</v>
      </c>
      <c r="D181" s="79" t="s">
        <v>440</v>
      </c>
      <c r="E181" s="89">
        <v>1.8159722222222221</v>
      </c>
      <c r="F181" s="79" t="s">
        <v>31</v>
      </c>
      <c r="G181" s="81">
        <v>10</v>
      </c>
      <c r="H181" s="82">
        <v>459</v>
      </c>
    </row>
    <row r="182" spans="1:8" ht="19.8" customHeight="1" x14ac:dyDescent="0.3">
      <c r="A182" s="88">
        <v>45989</v>
      </c>
      <c r="B182" s="79" t="s">
        <v>36</v>
      </c>
      <c r="C182" s="80" t="s">
        <v>453</v>
      </c>
      <c r="D182" s="79" t="s">
        <v>440</v>
      </c>
      <c r="E182" s="89">
        <v>1.305555555555556</v>
      </c>
      <c r="F182" s="79" t="s">
        <v>41</v>
      </c>
      <c r="G182" s="81">
        <v>4</v>
      </c>
      <c r="H182" s="82">
        <v>469</v>
      </c>
    </row>
    <row r="183" spans="1:8" ht="19.8" customHeight="1" x14ac:dyDescent="0.3">
      <c r="A183" s="88">
        <v>45989</v>
      </c>
      <c r="B183" s="79" t="s">
        <v>36</v>
      </c>
      <c r="C183" s="80" t="s">
        <v>464</v>
      </c>
      <c r="D183" s="79" t="s">
        <v>440</v>
      </c>
      <c r="E183" s="89">
        <v>1.5</v>
      </c>
      <c r="F183" s="79" t="s">
        <v>41</v>
      </c>
      <c r="G183" s="81">
        <v>9</v>
      </c>
      <c r="H183" s="82">
        <v>469</v>
      </c>
    </row>
    <row r="184" spans="1:8" ht="19.8" customHeight="1" x14ac:dyDescent="0.3">
      <c r="A184" s="88">
        <v>45989</v>
      </c>
      <c r="B184" s="79" t="s">
        <v>36</v>
      </c>
      <c r="C184" s="80" t="s">
        <v>462</v>
      </c>
      <c r="D184" s="79" t="s">
        <v>440</v>
      </c>
      <c r="E184" s="89">
        <v>1.6875</v>
      </c>
      <c r="F184" s="79" t="s">
        <v>41</v>
      </c>
      <c r="G184" s="81">
        <v>9</v>
      </c>
      <c r="H184" s="82">
        <v>469</v>
      </c>
    </row>
    <row r="185" spans="1:8" ht="19.8" customHeight="1" x14ac:dyDescent="0.3">
      <c r="A185" s="88">
        <v>45989</v>
      </c>
      <c r="B185" s="79" t="s">
        <v>36</v>
      </c>
      <c r="C185" s="80" t="s">
        <v>461</v>
      </c>
      <c r="D185" s="79" t="s">
        <v>440</v>
      </c>
      <c r="E185" s="89">
        <v>1.427083333333333</v>
      </c>
      <c r="F185" s="79" t="s">
        <v>41</v>
      </c>
      <c r="G185" s="81">
        <v>9</v>
      </c>
      <c r="H185" s="82">
        <v>509</v>
      </c>
    </row>
    <row r="186" spans="1:8" ht="19.8" customHeight="1" x14ac:dyDescent="0.3">
      <c r="A186" s="88">
        <v>45989</v>
      </c>
      <c r="B186" s="79" t="s">
        <v>36</v>
      </c>
      <c r="C186" s="80" t="s">
        <v>463</v>
      </c>
      <c r="D186" s="79" t="s">
        <v>440</v>
      </c>
      <c r="E186" s="89">
        <v>1.375</v>
      </c>
      <c r="F186" s="79" t="s">
        <v>41</v>
      </c>
      <c r="G186" s="81">
        <v>8</v>
      </c>
      <c r="H186" s="82">
        <v>509</v>
      </c>
    </row>
    <row r="187" spans="1:8" ht="19.8" customHeight="1" x14ac:dyDescent="0.3">
      <c r="A187" s="88">
        <v>45989</v>
      </c>
      <c r="B187" s="79" t="s">
        <v>36</v>
      </c>
      <c r="C187" s="80" t="s">
        <v>457</v>
      </c>
      <c r="D187" s="79" t="s">
        <v>440</v>
      </c>
      <c r="E187" s="89">
        <v>1.8263888888888891</v>
      </c>
      <c r="F187" s="79" t="s">
        <v>44</v>
      </c>
      <c r="G187" s="81">
        <v>9</v>
      </c>
      <c r="H187" s="82">
        <v>519</v>
      </c>
    </row>
    <row r="188" spans="1:8" ht="19.8" customHeight="1" x14ac:dyDescent="0.3">
      <c r="A188" s="88">
        <v>45989</v>
      </c>
      <c r="B188" s="79" t="s">
        <v>36</v>
      </c>
      <c r="C188" s="80" t="s">
        <v>456</v>
      </c>
      <c r="D188" s="79" t="s">
        <v>440</v>
      </c>
      <c r="E188" s="89">
        <v>1.5659722222222221</v>
      </c>
      <c r="F188" s="79" t="s">
        <v>44</v>
      </c>
      <c r="G188" s="81">
        <v>3</v>
      </c>
      <c r="H188" s="82">
        <v>519</v>
      </c>
    </row>
    <row r="189" spans="1:8" ht="19.8" customHeight="1" x14ac:dyDescent="0.3">
      <c r="A189" s="88">
        <v>45989</v>
      </c>
      <c r="B189" s="79" t="s">
        <v>65</v>
      </c>
      <c r="C189" s="80" t="s">
        <v>479</v>
      </c>
      <c r="D189" s="79" t="s">
        <v>440</v>
      </c>
      <c r="E189" s="89">
        <v>1.916666666666667</v>
      </c>
      <c r="F189" s="79" t="s">
        <v>67</v>
      </c>
      <c r="G189" s="81">
        <v>9</v>
      </c>
      <c r="H189" s="82">
        <v>527</v>
      </c>
    </row>
    <row r="190" spans="1:8" ht="19.8" customHeight="1" x14ac:dyDescent="0.3">
      <c r="A190" s="88">
        <v>45989</v>
      </c>
      <c r="B190" s="79" t="s">
        <v>36</v>
      </c>
      <c r="C190" s="80" t="s">
        <v>453</v>
      </c>
      <c r="D190" s="79" t="s">
        <v>440</v>
      </c>
      <c r="E190" s="89">
        <v>1.305555555555556</v>
      </c>
      <c r="F190" s="79" t="s">
        <v>44</v>
      </c>
      <c r="G190" s="81">
        <v>4</v>
      </c>
      <c r="H190" s="82">
        <v>559</v>
      </c>
    </row>
    <row r="191" spans="1:8" ht="19.8" customHeight="1" x14ac:dyDescent="0.3">
      <c r="A191" s="88">
        <v>45989</v>
      </c>
      <c r="B191" s="79" t="s">
        <v>36</v>
      </c>
      <c r="C191" s="80" t="s">
        <v>464</v>
      </c>
      <c r="D191" s="79" t="s">
        <v>440</v>
      </c>
      <c r="E191" s="89">
        <v>1.5</v>
      </c>
      <c r="F191" s="79" t="s">
        <v>44</v>
      </c>
      <c r="G191" s="81">
        <v>9</v>
      </c>
      <c r="H191" s="82">
        <v>559</v>
      </c>
    </row>
    <row r="192" spans="1:8" ht="19.8" customHeight="1" x14ac:dyDescent="0.3">
      <c r="A192" s="88">
        <v>45989</v>
      </c>
      <c r="B192" s="79" t="s">
        <v>36</v>
      </c>
      <c r="C192" s="80" t="s">
        <v>462</v>
      </c>
      <c r="D192" s="79" t="s">
        <v>440</v>
      </c>
      <c r="E192" s="89">
        <v>1.6875</v>
      </c>
      <c r="F192" s="79" t="s">
        <v>44</v>
      </c>
      <c r="G192" s="81">
        <v>9</v>
      </c>
      <c r="H192" s="82">
        <v>559</v>
      </c>
    </row>
    <row r="193" spans="1:8" ht="19.8" customHeight="1" x14ac:dyDescent="0.3">
      <c r="A193" s="88">
        <v>45989</v>
      </c>
      <c r="B193" s="79" t="s">
        <v>36</v>
      </c>
      <c r="C193" s="80" t="s">
        <v>461</v>
      </c>
      <c r="D193" s="79" t="s">
        <v>440</v>
      </c>
      <c r="E193" s="89">
        <v>1.427083333333333</v>
      </c>
      <c r="F193" s="79" t="s">
        <v>44</v>
      </c>
      <c r="G193" s="81">
        <v>9</v>
      </c>
      <c r="H193" s="82">
        <v>599</v>
      </c>
    </row>
    <row r="194" spans="1:8" ht="19.8" customHeight="1" x14ac:dyDescent="0.3">
      <c r="A194" s="88">
        <v>45989</v>
      </c>
      <c r="B194" s="79" t="s">
        <v>36</v>
      </c>
      <c r="C194" s="80" t="s">
        <v>463</v>
      </c>
      <c r="D194" s="79" t="s">
        <v>440</v>
      </c>
      <c r="E194" s="89">
        <v>1.375</v>
      </c>
      <c r="F194" s="79" t="s">
        <v>44</v>
      </c>
      <c r="G194" s="81">
        <v>8</v>
      </c>
      <c r="H194" s="82">
        <v>599</v>
      </c>
    </row>
    <row r="195" spans="1:8" ht="19.8" customHeight="1" x14ac:dyDescent="0.3">
      <c r="A195" s="88">
        <v>45989</v>
      </c>
      <c r="B195" s="79" t="s">
        <v>77</v>
      </c>
      <c r="C195" s="80" t="s">
        <v>481</v>
      </c>
      <c r="D195" s="79" t="s">
        <v>440</v>
      </c>
      <c r="E195" s="89">
        <v>1.2986111111111109</v>
      </c>
      <c r="F195" s="79" t="s">
        <v>83</v>
      </c>
      <c r="G195" s="81">
        <v>9</v>
      </c>
      <c r="H195" s="82">
        <v>774</v>
      </c>
    </row>
    <row r="196" spans="1:8" ht="19.8" customHeight="1" x14ac:dyDescent="0.3">
      <c r="A196" s="88">
        <v>45989</v>
      </c>
      <c r="B196" s="79" t="s">
        <v>77</v>
      </c>
      <c r="C196" s="80" t="s">
        <v>484</v>
      </c>
      <c r="D196" s="79" t="s">
        <v>440</v>
      </c>
      <c r="E196" s="89">
        <v>1.6840277777777779</v>
      </c>
      <c r="F196" s="79" t="s">
        <v>83</v>
      </c>
      <c r="G196" s="81">
        <v>9</v>
      </c>
      <c r="H196" s="82">
        <v>774</v>
      </c>
    </row>
    <row r="197" spans="1:8" ht="19.8" customHeight="1" x14ac:dyDescent="0.3">
      <c r="A197" s="88">
        <v>45989</v>
      </c>
      <c r="B197" s="79" t="s">
        <v>77</v>
      </c>
      <c r="C197" s="80" t="s">
        <v>487</v>
      </c>
      <c r="D197" s="79" t="s">
        <v>440</v>
      </c>
      <c r="E197" s="89">
        <v>1.836805555555556</v>
      </c>
      <c r="F197" s="79" t="s">
        <v>83</v>
      </c>
      <c r="G197" s="81">
        <v>9</v>
      </c>
      <c r="H197" s="82">
        <v>774</v>
      </c>
    </row>
    <row r="198" spans="1:8" ht="19.8" customHeight="1" x14ac:dyDescent="0.3">
      <c r="A198" s="88">
        <v>45989</v>
      </c>
      <c r="B198" s="79" t="s">
        <v>77</v>
      </c>
      <c r="C198" s="80" t="s">
        <v>486</v>
      </c>
      <c r="D198" s="79" t="s">
        <v>440</v>
      </c>
      <c r="E198" s="89">
        <v>1.4826388888888891</v>
      </c>
      <c r="F198" s="79" t="s">
        <v>83</v>
      </c>
      <c r="G198" s="81">
        <v>9</v>
      </c>
      <c r="H198" s="82">
        <v>774</v>
      </c>
    </row>
    <row r="199" spans="1:8" ht="19.8" customHeight="1" x14ac:dyDescent="0.3">
      <c r="A199" s="88">
        <v>45989</v>
      </c>
      <c r="B199" s="79" t="s">
        <v>77</v>
      </c>
      <c r="C199" s="80" t="s">
        <v>481</v>
      </c>
      <c r="D199" s="79" t="s">
        <v>440</v>
      </c>
      <c r="E199" s="89">
        <v>1.2986111111111109</v>
      </c>
      <c r="F199" s="79" t="s">
        <v>79</v>
      </c>
      <c r="G199" s="81">
        <v>9</v>
      </c>
      <c r="H199" s="82">
        <v>824</v>
      </c>
    </row>
    <row r="200" spans="1:8" ht="19.8" customHeight="1" x14ac:dyDescent="0.3">
      <c r="A200" s="88">
        <v>45989</v>
      </c>
      <c r="B200" s="79" t="s">
        <v>77</v>
      </c>
      <c r="C200" s="80" t="s">
        <v>484</v>
      </c>
      <c r="D200" s="79" t="s">
        <v>440</v>
      </c>
      <c r="E200" s="89">
        <v>1.6840277777777779</v>
      </c>
      <c r="F200" s="79" t="s">
        <v>79</v>
      </c>
      <c r="G200" s="81">
        <v>9</v>
      </c>
      <c r="H200" s="82">
        <v>824</v>
      </c>
    </row>
    <row r="201" spans="1:8" ht="19.8" customHeight="1" x14ac:dyDescent="0.3">
      <c r="A201" s="88">
        <v>45989</v>
      </c>
      <c r="B201" s="79" t="s">
        <v>77</v>
      </c>
      <c r="C201" s="80" t="s">
        <v>487</v>
      </c>
      <c r="D201" s="79" t="s">
        <v>440</v>
      </c>
      <c r="E201" s="89">
        <v>1.836805555555556</v>
      </c>
      <c r="F201" s="79" t="s">
        <v>79</v>
      </c>
      <c r="G201" s="81">
        <v>9</v>
      </c>
      <c r="H201" s="82">
        <v>824</v>
      </c>
    </row>
    <row r="202" spans="1:8" ht="19.8" customHeight="1" x14ac:dyDescent="0.3">
      <c r="A202" s="88">
        <v>45989</v>
      </c>
      <c r="B202" s="79" t="s">
        <v>77</v>
      </c>
      <c r="C202" s="80" t="s">
        <v>486</v>
      </c>
      <c r="D202" s="79" t="s">
        <v>440</v>
      </c>
      <c r="E202" s="89">
        <v>1.4826388888888891</v>
      </c>
      <c r="F202" s="79" t="s">
        <v>79</v>
      </c>
      <c r="G202" s="81">
        <v>9</v>
      </c>
      <c r="H202" s="82">
        <v>824</v>
      </c>
    </row>
    <row r="203" spans="1:8" ht="19.8" customHeight="1" x14ac:dyDescent="0.3">
      <c r="A203" s="88">
        <v>45989</v>
      </c>
      <c r="B203" s="79" t="s">
        <v>65</v>
      </c>
      <c r="C203" s="80" t="s">
        <v>477</v>
      </c>
      <c r="D203" s="79" t="s">
        <v>440</v>
      </c>
      <c r="E203" s="89">
        <v>1.541666666666667</v>
      </c>
      <c r="F203" s="79" t="s">
        <v>67</v>
      </c>
      <c r="G203" s="81">
        <v>9</v>
      </c>
      <c r="H203" s="82">
        <v>837</v>
      </c>
    </row>
    <row r="204" spans="1:8" ht="19.8" customHeight="1" x14ac:dyDescent="0.3">
      <c r="A204" s="88">
        <v>45989</v>
      </c>
      <c r="B204" s="79" t="s">
        <v>26</v>
      </c>
      <c r="C204" s="80" t="s">
        <v>441</v>
      </c>
      <c r="D204" s="79" t="s">
        <v>440</v>
      </c>
      <c r="E204" s="89">
        <v>1.447916666666667</v>
      </c>
      <c r="F204" s="79" t="s">
        <v>34</v>
      </c>
      <c r="G204" s="81">
        <v>9</v>
      </c>
      <c r="H204" s="82">
        <v>899</v>
      </c>
    </row>
    <row r="205" spans="1:8" ht="19.8" customHeight="1" x14ac:dyDescent="0.3">
      <c r="A205" s="88">
        <v>45989</v>
      </c>
      <c r="B205" s="79" t="s">
        <v>26</v>
      </c>
      <c r="C205" s="80" t="s">
        <v>446</v>
      </c>
      <c r="D205" s="79" t="s">
        <v>440</v>
      </c>
      <c r="E205" s="89">
        <v>1.5</v>
      </c>
      <c r="F205" s="79" t="s">
        <v>34</v>
      </c>
      <c r="G205" s="81">
        <v>9</v>
      </c>
      <c r="H205" s="82">
        <v>899</v>
      </c>
    </row>
    <row r="206" spans="1:8" ht="19.8" customHeight="1" x14ac:dyDescent="0.3">
      <c r="A206" s="88">
        <v>45989</v>
      </c>
      <c r="B206" s="79" t="s">
        <v>26</v>
      </c>
      <c r="C206" s="80" t="s">
        <v>449</v>
      </c>
      <c r="D206" s="79" t="s">
        <v>440</v>
      </c>
      <c r="E206" s="89">
        <v>1.760416666666667</v>
      </c>
      <c r="F206" s="79" t="s">
        <v>34</v>
      </c>
      <c r="G206" s="81">
        <v>4</v>
      </c>
      <c r="H206" s="82">
        <v>899</v>
      </c>
    </row>
    <row r="207" spans="1:8" ht="19.8" customHeight="1" x14ac:dyDescent="0.3">
      <c r="A207" s="88">
        <v>45989</v>
      </c>
      <c r="B207" s="79" t="s">
        <v>26</v>
      </c>
      <c r="C207" s="80" t="s">
        <v>450</v>
      </c>
      <c r="D207" s="79" t="s">
        <v>440</v>
      </c>
      <c r="E207" s="89">
        <v>1.8159722222222221</v>
      </c>
      <c r="F207" s="79" t="s">
        <v>34</v>
      </c>
      <c r="G207" s="81">
        <v>10</v>
      </c>
      <c r="H207" s="82">
        <v>899</v>
      </c>
    </row>
    <row r="208" spans="1:8" ht="19.8" customHeight="1" x14ac:dyDescent="0.3">
      <c r="A208" s="88">
        <v>45989</v>
      </c>
      <c r="B208" s="79" t="s">
        <v>65</v>
      </c>
      <c r="C208" s="80" t="s">
        <v>475</v>
      </c>
      <c r="D208" s="79" t="s">
        <v>440</v>
      </c>
      <c r="E208" s="89">
        <v>1.166666666666667</v>
      </c>
      <c r="F208" s="79" t="s">
        <v>67</v>
      </c>
      <c r="G208" s="81">
        <v>9</v>
      </c>
      <c r="H208" s="92" t="s">
        <v>528</v>
      </c>
    </row>
    <row r="209" spans="1:8" ht="19.8" customHeight="1" x14ac:dyDescent="0.3">
      <c r="A209" s="88">
        <v>45989</v>
      </c>
      <c r="B209" s="79" t="s">
        <v>77</v>
      </c>
      <c r="C209" s="80" t="s">
        <v>490</v>
      </c>
      <c r="D209" s="79" t="s">
        <v>440</v>
      </c>
      <c r="E209" s="89">
        <v>1.760416666666667</v>
      </c>
      <c r="F209" s="79" t="s">
        <v>79</v>
      </c>
      <c r="G209" s="81">
        <v>4</v>
      </c>
      <c r="H209" s="92" t="s">
        <v>491</v>
      </c>
    </row>
    <row r="210" spans="1:8" ht="19.8" customHeight="1" x14ac:dyDescent="0.3">
      <c r="A210" s="88">
        <v>45989</v>
      </c>
      <c r="B210" s="79" t="s">
        <v>77</v>
      </c>
      <c r="C210" s="80" t="s">
        <v>492</v>
      </c>
      <c r="D210" s="79" t="s">
        <v>440</v>
      </c>
      <c r="E210" s="89">
        <v>1.5</v>
      </c>
      <c r="F210" s="79" t="s">
        <v>79</v>
      </c>
      <c r="G210" s="81">
        <v>4</v>
      </c>
      <c r="H210" s="92" t="s">
        <v>491</v>
      </c>
    </row>
    <row r="211" spans="1:8" ht="19.8" customHeight="1" x14ac:dyDescent="0.3">
      <c r="A211" s="98">
        <v>45989</v>
      </c>
      <c r="B211" s="99" t="s">
        <v>77</v>
      </c>
      <c r="C211" s="100" t="s">
        <v>493</v>
      </c>
      <c r="D211" s="99" t="s">
        <v>440</v>
      </c>
      <c r="E211" s="101">
        <v>1.8159722222222221</v>
      </c>
      <c r="F211" s="99" t="s">
        <v>79</v>
      </c>
      <c r="G211" s="102">
        <v>4</v>
      </c>
      <c r="H211" s="103" t="s">
        <v>491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"/>
  <sheetViews>
    <sheetView workbookViewId="0"/>
  </sheetViews>
  <sheetFormatPr defaultRowHeight="14.4" x14ac:dyDescent="0.3"/>
  <cols>
    <col min="1" max="1" width="11.8867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0" hidden="1" customWidth="1"/>
  </cols>
  <sheetData>
    <row r="1" spans="1:8" ht="18" x14ac:dyDescent="0.3">
      <c r="A1" s="75" t="s">
        <v>194</v>
      </c>
      <c r="B1" s="76" t="s">
        <v>8</v>
      </c>
      <c r="C1" s="76" t="s">
        <v>9</v>
      </c>
      <c r="D1" s="76" t="s">
        <v>195</v>
      </c>
      <c r="E1" s="76" t="s">
        <v>10</v>
      </c>
      <c r="F1" s="76" t="s">
        <v>11</v>
      </c>
      <c r="G1" s="76" t="s">
        <v>12</v>
      </c>
      <c r="H1" s="77" t="s">
        <v>13</v>
      </c>
    </row>
    <row r="2" spans="1:8" ht="19.8" customHeight="1" x14ac:dyDescent="0.3">
      <c r="A2" s="78" t="s">
        <v>196</v>
      </c>
      <c r="B2" s="79" t="s">
        <v>262</v>
      </c>
      <c r="C2" s="80" t="s">
        <v>466</v>
      </c>
      <c r="D2" s="79" t="s">
        <v>440</v>
      </c>
      <c r="E2" s="79" t="s">
        <v>166</v>
      </c>
      <c r="F2" s="79" t="s">
        <v>48</v>
      </c>
      <c r="G2" s="81">
        <v>9</v>
      </c>
      <c r="H2" s="82">
        <v>350</v>
      </c>
    </row>
    <row r="3" spans="1:8" ht="19.8" customHeight="1" x14ac:dyDescent="0.3">
      <c r="A3" s="171" t="s">
        <v>196</v>
      </c>
      <c r="B3" s="94" t="s">
        <v>46</v>
      </c>
      <c r="C3" s="95" t="s">
        <v>468</v>
      </c>
      <c r="D3" s="94" t="s">
        <v>440</v>
      </c>
      <c r="E3" s="94" t="s">
        <v>547</v>
      </c>
      <c r="F3" s="94" t="s">
        <v>48</v>
      </c>
      <c r="G3" s="105">
        <v>9</v>
      </c>
      <c r="H3" s="166">
        <v>355</v>
      </c>
    </row>
    <row r="4" spans="1:8" ht="19.8" customHeight="1" x14ac:dyDescent="0.3">
      <c r="A4" s="88">
        <v>45987</v>
      </c>
      <c r="B4" s="79" t="s">
        <v>262</v>
      </c>
      <c r="C4" s="80" t="s">
        <v>466</v>
      </c>
      <c r="D4" s="79" t="s">
        <v>440</v>
      </c>
      <c r="E4" s="89">
        <v>1.2777777777777779</v>
      </c>
      <c r="F4" s="79" t="s">
        <v>48</v>
      </c>
      <c r="G4" s="81">
        <v>8</v>
      </c>
      <c r="H4" s="82">
        <v>290</v>
      </c>
    </row>
    <row r="5" spans="1:8" ht="19.8" customHeight="1" x14ac:dyDescent="0.3">
      <c r="A5" s="90">
        <v>45987</v>
      </c>
      <c r="B5" s="84" t="s">
        <v>46</v>
      </c>
      <c r="C5" s="85" t="s">
        <v>468</v>
      </c>
      <c r="D5" s="84" t="s">
        <v>440</v>
      </c>
      <c r="E5" s="91">
        <v>1.9236111111111109</v>
      </c>
      <c r="F5" s="84" t="s">
        <v>48</v>
      </c>
      <c r="G5" s="86">
        <v>9</v>
      </c>
      <c r="H5" s="87">
        <v>299</v>
      </c>
    </row>
    <row r="6" spans="1:8" ht="19.8" customHeight="1" x14ac:dyDescent="0.3">
      <c r="A6" s="88">
        <v>45987</v>
      </c>
      <c r="B6" s="79" t="s">
        <v>257</v>
      </c>
      <c r="C6" s="80" t="s">
        <v>506</v>
      </c>
      <c r="D6" s="79" t="s">
        <v>440</v>
      </c>
      <c r="E6" s="89">
        <v>1.2361111111111109</v>
      </c>
      <c r="F6" s="79" t="s">
        <v>259</v>
      </c>
      <c r="G6" s="81">
        <v>9</v>
      </c>
      <c r="H6" s="82">
        <v>305</v>
      </c>
    </row>
    <row r="7" spans="1:8" ht="19.8" customHeight="1" x14ac:dyDescent="0.3">
      <c r="A7" s="90">
        <v>45987</v>
      </c>
      <c r="B7" s="84" t="s">
        <v>46</v>
      </c>
      <c r="C7" s="85" t="s">
        <v>503</v>
      </c>
      <c r="D7" s="84" t="s">
        <v>440</v>
      </c>
      <c r="E7" s="91">
        <v>1.6111111111111109</v>
      </c>
      <c r="F7" s="84" t="s">
        <v>48</v>
      </c>
      <c r="G7" s="86">
        <v>9</v>
      </c>
      <c r="H7" s="87">
        <v>355</v>
      </c>
    </row>
    <row r="8" spans="1:8" ht="19.8" customHeight="1" x14ac:dyDescent="0.3">
      <c r="A8" s="98">
        <v>45987</v>
      </c>
      <c r="B8" s="99" t="s">
        <v>200</v>
      </c>
      <c r="C8" s="100" t="s">
        <v>509</v>
      </c>
      <c r="D8" s="99" t="s">
        <v>440</v>
      </c>
      <c r="E8" s="101">
        <v>1.802083333333333</v>
      </c>
      <c r="F8" s="99" t="s">
        <v>48</v>
      </c>
      <c r="G8" s="102">
        <v>9</v>
      </c>
      <c r="H8" s="172">
        <v>357</v>
      </c>
    </row>
    <row r="9" spans="1:8" ht="19.8" customHeight="1" x14ac:dyDescent="0.3">
      <c r="A9" s="88">
        <v>45988</v>
      </c>
      <c r="B9" s="79" t="s">
        <v>200</v>
      </c>
      <c r="C9" s="80" t="s">
        <v>518</v>
      </c>
      <c r="D9" s="79" t="s">
        <v>440</v>
      </c>
      <c r="E9" s="89">
        <v>1.354166666666667</v>
      </c>
      <c r="F9" s="79" t="s">
        <v>48</v>
      </c>
      <c r="G9" s="81">
        <v>8</v>
      </c>
      <c r="H9" s="82">
        <v>357</v>
      </c>
    </row>
    <row r="10" spans="1:8" ht="19.8" customHeight="1" x14ac:dyDescent="0.3">
      <c r="A10" s="88">
        <v>45988</v>
      </c>
      <c r="B10" s="79" t="s">
        <v>257</v>
      </c>
      <c r="C10" s="80" t="s">
        <v>472</v>
      </c>
      <c r="D10" s="79" t="s">
        <v>440</v>
      </c>
      <c r="E10" s="89">
        <v>1.6215277777777779</v>
      </c>
      <c r="F10" s="79" t="s">
        <v>259</v>
      </c>
      <c r="G10" s="81">
        <v>9</v>
      </c>
      <c r="H10" s="82">
        <v>361</v>
      </c>
    </row>
    <row r="11" spans="1:8" ht="19.8" customHeight="1" x14ac:dyDescent="0.3">
      <c r="A11" s="88">
        <v>45988</v>
      </c>
      <c r="B11" s="79" t="s">
        <v>36</v>
      </c>
      <c r="C11" s="80" t="s">
        <v>453</v>
      </c>
      <c r="D11" s="79" t="s">
        <v>440</v>
      </c>
      <c r="E11" s="89">
        <v>1.305555555555556</v>
      </c>
      <c r="F11" s="79" t="s">
        <v>41</v>
      </c>
      <c r="G11" s="81">
        <v>9</v>
      </c>
      <c r="H11" s="82">
        <v>389</v>
      </c>
    </row>
    <row r="12" spans="1:8" ht="19.8" customHeight="1" x14ac:dyDescent="0.3">
      <c r="A12" s="88">
        <v>45988</v>
      </c>
      <c r="B12" s="79" t="s">
        <v>36</v>
      </c>
      <c r="C12" s="80" t="s">
        <v>464</v>
      </c>
      <c r="D12" s="79" t="s">
        <v>440</v>
      </c>
      <c r="E12" s="89">
        <v>1.5</v>
      </c>
      <c r="F12" s="79" t="s">
        <v>41</v>
      </c>
      <c r="G12" s="81">
        <v>8</v>
      </c>
      <c r="H12" s="82">
        <v>389</v>
      </c>
    </row>
    <row r="13" spans="1:8" ht="19.8" customHeight="1" x14ac:dyDescent="0.3">
      <c r="A13" s="88">
        <v>45988</v>
      </c>
      <c r="B13" s="79" t="s">
        <v>36</v>
      </c>
      <c r="C13" s="80" t="s">
        <v>461</v>
      </c>
      <c r="D13" s="79" t="s">
        <v>440</v>
      </c>
      <c r="E13" s="89">
        <v>1.427083333333333</v>
      </c>
      <c r="F13" s="79" t="s">
        <v>41</v>
      </c>
      <c r="G13" s="81">
        <v>9</v>
      </c>
      <c r="H13" s="82">
        <v>389</v>
      </c>
    </row>
    <row r="14" spans="1:8" ht="19.8" customHeight="1" x14ac:dyDescent="0.3">
      <c r="A14" s="88">
        <v>45988</v>
      </c>
      <c r="B14" s="79" t="s">
        <v>36</v>
      </c>
      <c r="C14" s="80" t="s">
        <v>463</v>
      </c>
      <c r="D14" s="79" t="s">
        <v>440</v>
      </c>
      <c r="E14" s="89">
        <v>1.375</v>
      </c>
      <c r="F14" s="79" t="s">
        <v>41</v>
      </c>
      <c r="G14" s="81">
        <v>9</v>
      </c>
      <c r="H14" s="82">
        <v>389</v>
      </c>
    </row>
    <row r="15" spans="1:8" ht="19.8" customHeight="1" x14ac:dyDescent="0.3">
      <c r="A15" s="90">
        <v>45988</v>
      </c>
      <c r="B15" s="84" t="s">
        <v>46</v>
      </c>
      <c r="C15" s="85" t="s">
        <v>503</v>
      </c>
      <c r="D15" s="84" t="s">
        <v>440</v>
      </c>
      <c r="E15" s="91">
        <v>1.6111111111111109</v>
      </c>
      <c r="F15" s="84" t="s">
        <v>48</v>
      </c>
      <c r="G15" s="86">
        <v>9</v>
      </c>
      <c r="H15" s="87">
        <v>397</v>
      </c>
    </row>
    <row r="16" spans="1:8" ht="19.8" customHeight="1" x14ac:dyDescent="0.3">
      <c r="A16" s="88">
        <v>45988</v>
      </c>
      <c r="B16" s="79" t="s">
        <v>262</v>
      </c>
      <c r="C16" s="80" t="s">
        <v>525</v>
      </c>
      <c r="D16" s="79" t="s">
        <v>440</v>
      </c>
      <c r="E16" s="89">
        <v>1.8784722222222221</v>
      </c>
      <c r="F16" s="79" t="s">
        <v>48</v>
      </c>
      <c r="G16" s="81">
        <v>9</v>
      </c>
      <c r="H16" s="82">
        <v>401</v>
      </c>
    </row>
    <row r="17" spans="1:8" ht="19.8" customHeight="1" x14ac:dyDescent="0.3">
      <c r="A17" s="88">
        <v>45988</v>
      </c>
      <c r="B17" s="79" t="s">
        <v>200</v>
      </c>
      <c r="C17" s="80" t="s">
        <v>509</v>
      </c>
      <c r="D17" s="79" t="s">
        <v>440</v>
      </c>
      <c r="E17" s="89">
        <v>1.8576388888888891</v>
      </c>
      <c r="F17" s="79" t="s">
        <v>48</v>
      </c>
      <c r="G17" s="81">
        <v>9</v>
      </c>
      <c r="H17" s="82">
        <v>416</v>
      </c>
    </row>
    <row r="18" spans="1:8" ht="19.8" customHeight="1" x14ac:dyDescent="0.3">
      <c r="A18" s="98">
        <v>45988</v>
      </c>
      <c r="B18" s="99" t="s">
        <v>65</v>
      </c>
      <c r="C18" s="100" t="s">
        <v>475</v>
      </c>
      <c r="D18" s="99" t="s">
        <v>440</v>
      </c>
      <c r="E18" s="101">
        <v>1.166666666666667</v>
      </c>
      <c r="F18" s="99" t="s">
        <v>67</v>
      </c>
      <c r="G18" s="102">
        <v>9</v>
      </c>
      <c r="H18" s="172">
        <v>466</v>
      </c>
    </row>
    <row r="19" spans="1:8" ht="19.8" customHeight="1" x14ac:dyDescent="0.3">
      <c r="A19" s="90">
        <v>45989</v>
      </c>
      <c r="B19" s="84" t="s">
        <v>46</v>
      </c>
      <c r="C19" s="85" t="s">
        <v>468</v>
      </c>
      <c r="D19" s="84" t="s">
        <v>440</v>
      </c>
      <c r="E19" s="91">
        <v>1.9236111111111109</v>
      </c>
      <c r="F19" s="84" t="s">
        <v>48</v>
      </c>
      <c r="G19" s="86">
        <v>9</v>
      </c>
      <c r="H19" s="87">
        <v>319</v>
      </c>
    </row>
    <row r="20" spans="1:8" ht="19.8" customHeight="1" x14ac:dyDescent="0.3">
      <c r="A20" s="88">
        <v>45989</v>
      </c>
      <c r="B20" s="79" t="s">
        <v>262</v>
      </c>
      <c r="C20" s="80" t="s">
        <v>466</v>
      </c>
      <c r="D20" s="79" t="s">
        <v>440</v>
      </c>
      <c r="E20" s="89">
        <v>1.2777777777777779</v>
      </c>
      <c r="F20" s="79" t="s">
        <v>48</v>
      </c>
      <c r="G20" s="81">
        <v>9</v>
      </c>
      <c r="H20" s="82">
        <v>350</v>
      </c>
    </row>
    <row r="21" spans="1:8" ht="19.8" customHeight="1" x14ac:dyDescent="0.3">
      <c r="A21" s="90">
        <v>45989</v>
      </c>
      <c r="B21" s="84" t="s">
        <v>46</v>
      </c>
      <c r="C21" s="85" t="s">
        <v>503</v>
      </c>
      <c r="D21" s="84" t="s">
        <v>440</v>
      </c>
      <c r="E21" s="91">
        <v>1.604166666666667</v>
      </c>
      <c r="F21" s="84" t="s">
        <v>48</v>
      </c>
      <c r="G21" s="86">
        <v>8</v>
      </c>
      <c r="H21" s="87">
        <v>355</v>
      </c>
    </row>
    <row r="22" spans="1:8" ht="19.8" customHeight="1" x14ac:dyDescent="0.3">
      <c r="A22" s="98">
        <v>45989</v>
      </c>
      <c r="B22" s="99" t="s">
        <v>200</v>
      </c>
      <c r="C22" s="100" t="s">
        <v>518</v>
      </c>
      <c r="D22" s="99" t="s">
        <v>440</v>
      </c>
      <c r="E22" s="101">
        <v>1.395833333333333</v>
      </c>
      <c r="F22" s="99" t="s">
        <v>48</v>
      </c>
      <c r="G22" s="102">
        <v>9</v>
      </c>
      <c r="H22" s="172">
        <v>416</v>
      </c>
    </row>
  </sheetData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MED-CAI</vt:lpstr>
      <vt:lpstr>MED-CAI LF LEGACY</vt:lpstr>
      <vt:lpstr>MED-CAI - FOCUS MODE</vt:lpstr>
      <vt:lpstr>MED-CAI - OAL Threats Alert</vt:lpstr>
      <vt:lpstr>JED-CAI</vt:lpstr>
      <vt:lpstr>JED-CAI LF LEGACY</vt:lpstr>
      <vt:lpstr>JED-CAI - FOCUS MODE</vt:lpstr>
      <vt:lpstr>JED-CAI - OAL Threats Alert</vt:lpstr>
      <vt:lpstr>RUH-CAI</vt:lpstr>
      <vt:lpstr>RUH-CAI LF LEGACY</vt:lpstr>
      <vt:lpstr>RUH-CAI - FOCUS MODE</vt:lpstr>
      <vt:lpstr>RUH-CAI - OAL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2025-11-20T22:02:45Z</dcterms:created>
  <dcterms:modified xsi:type="dcterms:W3CDTF">2025-11-20T22:07:02Z</dcterms:modified>
</cp:coreProperties>
</file>