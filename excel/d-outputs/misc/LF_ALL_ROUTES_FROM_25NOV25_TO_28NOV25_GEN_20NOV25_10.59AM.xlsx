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D208DD6-5AD6-4C50-9144-DD468FBDE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8" i="1" l="1"/>
  <c r="E38" i="1"/>
  <c r="C38" i="1"/>
  <c r="AJ38" i="1"/>
</calcChain>
</file>

<file path=xl/sharedStrings.xml><?xml version="1.0" encoding="utf-8"?>
<sst xmlns="http://schemas.openxmlformats.org/spreadsheetml/2006/main" count="289" uniqueCount="113">
  <si>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</si>
  <si>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</si>
  <si>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</si>
  <si>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</si>
  <si>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</si>
  <si>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</si>
  <si>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</si>
  <si>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</si>
  <si>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</si>
  <si>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</si>
  <si>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</si>
  <si>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</si>
  <si>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</si>
  <si>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</si>
  <si>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</si>
  <si>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</si>
  <si>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</si>
  <si>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</si>
  <si>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</si>
  <si>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</si>
  <si>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</si>
  <si>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</si>
  <si>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</si>
  <si>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</si>
  <si>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</si>
  <si>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</si>
  <si>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</si>
  <si>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</si>
  <si>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</si>
  <si>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</si>
  <si>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</si>
  <si>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</si>
  <si>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</si>
  <si>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</si>
  <si>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</si>
  <si>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</si>
  <si>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</si>
  <si>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SM424</t>
  </si>
  <si>
    <t>22:25</t>
  </si>
  <si>
    <t>JED-CAI</t>
  </si>
  <si>
    <t>320</t>
  </si>
  <si>
    <t>UPCOMING</t>
  </si>
  <si>
    <t>X1</t>
  </si>
  <si>
    <t>SM452</t>
  </si>
  <si>
    <t>17:00</t>
  </si>
  <si>
    <t>JED-HBE</t>
  </si>
  <si>
    <t>L1</t>
  </si>
  <si>
    <t>SM454</t>
  </si>
  <si>
    <t>07:45</t>
  </si>
  <si>
    <t>JED-ATZ</t>
  </si>
  <si>
    <t>G3</t>
  </si>
  <si>
    <t>SM456</t>
  </si>
  <si>
    <t>22:50</t>
  </si>
  <si>
    <t>L4</t>
  </si>
  <si>
    <t>SM460</t>
  </si>
  <si>
    <t>17:30</t>
  </si>
  <si>
    <t>CLOSED</t>
  </si>
  <si>
    <t>SM472</t>
  </si>
  <si>
    <t>05:30</t>
  </si>
  <si>
    <t>U1</t>
  </si>
  <si>
    <t>SM476</t>
  </si>
  <si>
    <t>23:15</t>
  </si>
  <si>
    <t>SM478</t>
  </si>
  <si>
    <t>14:45</t>
  </si>
  <si>
    <t>X4</t>
  </si>
  <si>
    <t>SM480</t>
  </si>
  <si>
    <t>13:25</t>
  </si>
  <si>
    <t>WEDNESDAY</t>
  </si>
  <si>
    <t>15:45</t>
  </si>
  <si>
    <t>06:25</t>
  </si>
  <si>
    <t>O9</t>
  </si>
  <si>
    <t>SM458</t>
  </si>
  <si>
    <t>17:15</t>
  </si>
  <si>
    <t>12:30</t>
  </si>
  <si>
    <t>U9</t>
  </si>
  <si>
    <t>SM474</t>
  </si>
  <si>
    <t>09:50</t>
  </si>
  <si>
    <t>V5</t>
  </si>
  <si>
    <t>12:25</t>
  </si>
  <si>
    <t>SM492</t>
  </si>
  <si>
    <t>08:00</t>
  </si>
  <si>
    <t>THURSDAY</t>
  </si>
  <si>
    <t>SM422</t>
  </si>
  <si>
    <t>02:00</t>
  </si>
  <si>
    <t>I9</t>
  </si>
  <si>
    <t>01:10</t>
  </si>
  <si>
    <t>U6</t>
  </si>
  <si>
    <t>SM432</t>
  </si>
  <si>
    <t>08:45</t>
  </si>
  <si>
    <t>SM450</t>
  </si>
  <si>
    <t>06:05</t>
  </si>
  <si>
    <t>O5</t>
  </si>
  <si>
    <t>06:35</t>
  </si>
  <si>
    <t>L6</t>
  </si>
  <si>
    <t>11:45</t>
  </si>
  <si>
    <t>I5</t>
  </si>
  <si>
    <t>02:45</t>
  </si>
  <si>
    <t>14:00</t>
  </si>
  <si>
    <t>17:45</t>
  </si>
  <si>
    <t>FRIDAY</t>
  </si>
  <si>
    <t>O3</t>
  </si>
  <si>
    <t>10:00</t>
  </si>
  <si>
    <t>S3</t>
  </si>
  <si>
    <t>22:30</t>
  </si>
  <si>
    <t>17:40</t>
  </si>
  <si>
    <t>07:40</t>
  </si>
  <si>
    <t>O1</t>
  </si>
  <si>
    <t>11:00</t>
  </si>
  <si>
    <t>O8</t>
  </si>
  <si>
    <t>U7</t>
  </si>
  <si>
    <t>07:00</t>
  </si>
  <si>
    <t>I4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</si>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</sst>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5A310-12D4-424B-AC36-E668A60D967D}" name="LF_ALL_ROUTES" displayName="LF_ALL_ROUTES" ref="A1:AJ38" totalsRowCount="1" headerRowDxfId="37" totalsRowDxfId="0">
  <autoFilter ref="A1:AJ37" xr:uid="{7845A310-12D4-424B-AC36-E668A60D967D}"/>
  <tableColumns count="36">
    <tableColumn id="1" xr3:uid="{98FBE8F5-5424-4FD8-8095-B9EA7A15B079}" name="Day" totalsRowLabel="TOTAL" totalsRowDxfId="36"/>
    <tableColumn id="2" xr3:uid="{C5281AEF-7670-424D-9255-7328117C1466}" name="Flt Dt" dataDxfId="39" totalsRowDxfId="35"/>
    <tableColumn id="3" xr3:uid="{10023BEF-7886-472E-8584-D2726EAC99CD}" name="Flt" totalsRowFunction="count" totalsRowDxfId="34"/>
    <tableColumn id="4" xr3:uid="{B60C7DEB-DE71-413D-912E-15B4024C30EA}" name="DEP" totalsRowDxfId="33"/>
    <tableColumn id="5" xr3:uid="{2C9B7B86-8528-4036-BB63-0948BA84B92F}" name="Brd-Off" totalsRowFunction="count" totalsRowDxfId="32"/>
    <tableColumn id="6" xr3:uid="{DE369402-8C91-40EC-9EB5-0DDAF71AF9E0}" name="Eqp" totalsRowDxfId="31"/>
    <tableColumn id="7" xr3:uid="{9F38BCCD-3705-4E59-BF2C-2E7EB6E3E0A8}" name="LF%" totalsRowFunction="average" totalsRowDxfId="30"/>
    <tableColumn id="8" xr3:uid="{5765DE23-A62F-4A98-B975-C81781C0659F}" name="CAP" totalsRowDxfId="29"/>
    <tableColumn id="9" xr3:uid="{9BFC086A-9F89-458D-B0E2-B263FB957E37}" name="BKG(Y)" totalsRowDxfId="28"/>
    <tableColumn id="10" xr3:uid="{BE923277-82D7-4C1C-AA1B-1FE43A1B8652}" name="GRP(Y)" totalsRowDxfId="27"/>
    <tableColumn id="11" xr3:uid="{9DEF9391-5052-4D56-B289-91D0897C2771}" name="FLT ST" totalsRowDxfId="26"/>
    <tableColumn id="12" xr3:uid="{EE2C8D61-2961-40ED-A705-8F5C17F6F48D}" name="LST-SOLD" dataDxfId="38" totalsRowDxfId="25"/>
    <tableColumn id="13" xr3:uid="{7CF65D68-31BC-42BF-89CF-F1CD1BF28B40}" name="TO-DAY" totalsRowDxfId="24"/>
    <tableColumn id="14" xr3:uid="{A8D11C48-11B1-4A66-8BC4-EA951ED5825B}" name="Y-DAY" totalsRowDxfId="23"/>
    <tableColumn id="15" xr3:uid="{B0E9A1BF-5F14-4823-8AFF-19830E6BC2DC}" name="WEEKLY" totalsRowDxfId="22"/>
    <tableColumn id="16" xr3:uid="{E0C359E3-BBC5-4BEA-BA84-C0D4430ED247}" name="LOWEST AVAIL" totalsRowDxfId="21"/>
    <tableColumn id="17" xr3:uid="{8CDECEBE-A059-4D5B-9EB6-C35575D189E7}" name="Y" totalsRowDxfId="20"/>
    <tableColumn id="18" xr3:uid="{C2133BAF-947D-45DB-BD1F-C5B4F0AAC13C}" name="B" totalsRowDxfId="19"/>
    <tableColumn id="19" xr3:uid="{B87D8401-ADDD-457C-951D-84DB164FF324}" name="M" totalsRowDxfId="18"/>
    <tableColumn id="20" xr3:uid="{790F61F2-4671-4F78-925B-2A6D6237EC29}" name="H" totalsRowDxfId="17"/>
    <tableColumn id="21" xr3:uid="{9DB896CD-A236-478B-937A-22C09966B43A}" name="Q" totalsRowDxfId="16"/>
    <tableColumn id="22" xr3:uid="{CB1EA82B-CDE0-40AF-A86F-36854ABD8390}" name="K" totalsRowDxfId="15"/>
    <tableColumn id="23" xr3:uid="{70195412-4F85-44FF-953B-EDCFAFCDCF7B}" name="V" totalsRowDxfId="14"/>
    <tableColumn id="24" xr3:uid="{86E030E3-C1FA-4E2E-BD38-CF3C6D49DDF0}" name="L" totalsRowDxfId="13"/>
    <tableColumn id="25" xr3:uid="{C0E204CA-59E9-4A4F-BE94-3FCC4E491242}" name="G" totalsRowDxfId="12"/>
    <tableColumn id="26" xr3:uid="{DB11B527-8962-41E2-A280-8792560F047B}" name="S" totalsRowDxfId="11"/>
    <tableColumn id="27" xr3:uid="{CDD8FB48-E075-4E63-9CA9-FD2C0001DF93}" name="W" totalsRowDxfId="10"/>
    <tableColumn id="28" xr3:uid="{4DF88C90-9679-463C-A0C0-A471E05414F7}" name="T" totalsRowDxfId="9"/>
    <tableColumn id="29" xr3:uid="{CF810D14-0199-48B3-8071-E9AB0DEBCFE9}" name="X" totalsRowDxfId="8"/>
    <tableColumn id="30" xr3:uid="{39C63B7C-5581-4875-9BE1-51682DBE8EC8}" name="U" totalsRowDxfId="7"/>
    <tableColumn id="31" xr3:uid="{00F9AEED-BAD1-4239-911E-8A3647A7258E}" name="O" totalsRowDxfId="6"/>
    <tableColumn id="32" xr3:uid="{F07F79D9-9874-4261-A726-EF99C1ADCB3D}" name="I" totalsRowDxfId="5"/>
    <tableColumn id="33" xr3:uid="{9B0E3FC1-9497-412E-9C75-8384662B87D7}" name="E" totalsRowDxfId="4"/>
    <tableColumn id="34" xr3:uid="{7E06D594-7584-480F-9DCF-C4AE998ED40E}" name="A" totalsRowDxfId="3"/>
    <tableColumn id="35" xr3:uid="{71FEDEA6-8FAA-490F-A325-97D4A5394530}" name="P" totalsRowDxfId="2"/>
    <tableColumn id="36" xr3:uid="{C21AF1A4-2B25-4C0F-9AF5-25D8717A2245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8"/>
  <sheetViews>
    <sheetView tabSelected="1" topLeftCell="A20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45986</v>
      </c>
      <c r="C2" t="s">
        <v>37</v>
      </c>
      <c r="D2" t="s">
        <v>38</v>
      </c>
      <c r="E2" t="s">
        <v>39</v>
      </c>
      <c r="F2" t="s">
        <v>40</v>
      </c>
      <c r="G2">
        <v>0.69269999999999998</v>
      </c>
      <c r="H2">
        <v>179</v>
      </c>
      <c r="I2">
        <v>124</v>
      </c>
      <c r="J2">
        <v>88</v>
      </c>
      <c r="K2" t="s">
        <v>41</v>
      </c>
      <c r="L2" s="2">
        <v>45981</v>
      </c>
      <c r="M2">
        <v>2</v>
      </c>
      <c r="N2">
        <v>2</v>
      </c>
      <c r="O2">
        <v>26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4</v>
      </c>
      <c r="AD2">
        <v>5</v>
      </c>
      <c r="AE2">
        <v>10</v>
      </c>
      <c r="AF2">
        <v>15</v>
      </c>
      <c r="AG2">
        <v>0</v>
      </c>
      <c r="AH2">
        <v>0</v>
      </c>
      <c r="AI2">
        <v>88</v>
      </c>
      <c r="AJ2">
        <v>0</v>
      </c>
    </row>
    <row r="3" spans="1:36" x14ac:dyDescent="0.3">
      <c r="A3" t="s">
        <v>36</v>
      </c>
      <c r="B3" s="2">
        <v>45986</v>
      </c>
      <c r="C3" t="s">
        <v>43</v>
      </c>
      <c r="D3" t="s">
        <v>44</v>
      </c>
      <c r="E3" t="s">
        <v>45</v>
      </c>
      <c r="F3" t="s">
        <v>40</v>
      </c>
      <c r="G3">
        <v>0.99439999999999995</v>
      </c>
      <c r="H3">
        <v>179</v>
      </c>
      <c r="I3">
        <v>178</v>
      </c>
      <c r="J3">
        <v>159</v>
      </c>
      <c r="K3" t="s">
        <v>41</v>
      </c>
      <c r="L3" s="2">
        <v>45980</v>
      </c>
      <c r="M3">
        <v>0</v>
      </c>
      <c r="N3">
        <v>5</v>
      </c>
      <c r="O3">
        <v>7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</v>
      </c>
      <c r="Y3">
        <v>0</v>
      </c>
      <c r="Z3">
        <v>1</v>
      </c>
      <c r="AA3">
        <v>0</v>
      </c>
      <c r="AB3">
        <v>0</v>
      </c>
      <c r="AC3">
        <v>11</v>
      </c>
      <c r="AD3">
        <v>0</v>
      </c>
      <c r="AE3">
        <v>0</v>
      </c>
      <c r="AF3">
        <v>0</v>
      </c>
      <c r="AG3">
        <v>0</v>
      </c>
      <c r="AH3">
        <v>0</v>
      </c>
      <c r="AI3">
        <v>159</v>
      </c>
      <c r="AJ3">
        <v>0</v>
      </c>
    </row>
    <row r="4" spans="1:36" x14ac:dyDescent="0.3">
      <c r="A4" t="s">
        <v>36</v>
      </c>
      <c r="B4" s="2">
        <v>45986</v>
      </c>
      <c r="C4" t="s">
        <v>47</v>
      </c>
      <c r="D4" t="s">
        <v>48</v>
      </c>
      <c r="E4" t="s">
        <v>49</v>
      </c>
      <c r="F4" t="s">
        <v>40</v>
      </c>
      <c r="G4">
        <v>0.93300000000000005</v>
      </c>
      <c r="H4">
        <v>179</v>
      </c>
      <c r="I4">
        <v>167</v>
      </c>
      <c r="J4">
        <v>155</v>
      </c>
      <c r="K4" t="s">
        <v>41</v>
      </c>
      <c r="L4" s="2">
        <v>45971</v>
      </c>
      <c r="M4">
        <v>0</v>
      </c>
      <c r="N4">
        <v>0</v>
      </c>
      <c r="O4">
        <v>0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8</v>
      </c>
      <c r="AE4">
        <v>0</v>
      </c>
      <c r="AF4">
        <v>0</v>
      </c>
      <c r="AG4">
        <v>0</v>
      </c>
      <c r="AH4">
        <v>0</v>
      </c>
      <c r="AI4">
        <v>155</v>
      </c>
      <c r="AJ4">
        <v>0</v>
      </c>
    </row>
    <row r="5" spans="1:36" x14ac:dyDescent="0.3">
      <c r="A5" t="s">
        <v>36</v>
      </c>
      <c r="B5" s="2">
        <v>45986</v>
      </c>
      <c r="C5" t="s">
        <v>51</v>
      </c>
      <c r="D5" t="s">
        <v>52</v>
      </c>
      <c r="E5" t="s">
        <v>49</v>
      </c>
      <c r="F5" t="s">
        <v>40</v>
      </c>
      <c r="G5">
        <v>0.97770000000000001</v>
      </c>
      <c r="H5">
        <v>179</v>
      </c>
      <c r="I5">
        <v>175</v>
      </c>
      <c r="J5">
        <v>167</v>
      </c>
      <c r="K5" t="s">
        <v>41</v>
      </c>
      <c r="L5" s="2">
        <v>45973</v>
      </c>
      <c r="M5">
        <v>0</v>
      </c>
      <c r="N5">
        <v>0</v>
      </c>
      <c r="O5">
        <v>0</v>
      </c>
      <c r="P5" t="s">
        <v>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3</v>
      </c>
      <c r="AD5">
        <v>0</v>
      </c>
      <c r="AE5">
        <v>0</v>
      </c>
      <c r="AF5">
        <v>3</v>
      </c>
      <c r="AG5">
        <v>0</v>
      </c>
      <c r="AH5">
        <v>0</v>
      </c>
      <c r="AI5">
        <v>167</v>
      </c>
      <c r="AJ5">
        <v>0</v>
      </c>
    </row>
    <row r="6" spans="1:36" x14ac:dyDescent="0.3">
      <c r="A6" t="s">
        <v>36</v>
      </c>
      <c r="B6" s="2">
        <v>45986</v>
      </c>
      <c r="C6" t="s">
        <v>54</v>
      </c>
      <c r="D6" t="s">
        <v>55</v>
      </c>
      <c r="E6" t="s">
        <v>39</v>
      </c>
      <c r="F6" t="s">
        <v>40</v>
      </c>
      <c r="G6">
        <v>0.92179999999999995</v>
      </c>
      <c r="H6">
        <v>179</v>
      </c>
      <c r="I6">
        <v>165</v>
      </c>
      <c r="J6">
        <v>117</v>
      </c>
      <c r="K6" t="s">
        <v>41</v>
      </c>
      <c r="L6" s="2">
        <v>45980</v>
      </c>
      <c r="M6">
        <v>0</v>
      </c>
      <c r="N6">
        <v>4</v>
      </c>
      <c r="O6">
        <v>24</v>
      </c>
      <c r="P6" t="s">
        <v>56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2</v>
      </c>
      <c r="AB6">
        <v>0</v>
      </c>
      <c r="AC6">
        <v>4</v>
      </c>
      <c r="AD6">
        <v>17</v>
      </c>
      <c r="AE6">
        <v>15</v>
      </c>
      <c r="AF6">
        <v>9</v>
      </c>
      <c r="AG6">
        <v>0</v>
      </c>
      <c r="AH6">
        <v>0</v>
      </c>
      <c r="AI6">
        <v>117</v>
      </c>
      <c r="AJ6">
        <v>0</v>
      </c>
    </row>
    <row r="7" spans="1:36" x14ac:dyDescent="0.3">
      <c r="A7" t="s">
        <v>36</v>
      </c>
      <c r="B7" s="2">
        <v>45986</v>
      </c>
      <c r="C7" t="s">
        <v>57</v>
      </c>
      <c r="D7" t="s">
        <v>58</v>
      </c>
      <c r="E7" t="s">
        <v>39</v>
      </c>
      <c r="F7" t="s">
        <v>40</v>
      </c>
      <c r="G7">
        <v>0.3352</v>
      </c>
      <c r="H7">
        <v>179</v>
      </c>
      <c r="I7">
        <v>60</v>
      </c>
      <c r="J7">
        <v>0</v>
      </c>
      <c r="K7" t="s">
        <v>41</v>
      </c>
      <c r="L7" s="2">
        <v>45981</v>
      </c>
      <c r="M7">
        <v>5</v>
      </c>
      <c r="N7">
        <v>1</v>
      </c>
      <c r="O7">
        <v>43</v>
      </c>
      <c r="P7" t="s">
        <v>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8</v>
      </c>
      <c r="AA7">
        <v>0</v>
      </c>
      <c r="AB7">
        <v>0</v>
      </c>
      <c r="AC7">
        <v>3</v>
      </c>
      <c r="AD7">
        <v>9</v>
      </c>
      <c r="AE7">
        <v>10</v>
      </c>
      <c r="AF7">
        <v>30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45986</v>
      </c>
      <c r="C8" t="s">
        <v>60</v>
      </c>
      <c r="D8" t="s">
        <v>61</v>
      </c>
      <c r="E8" t="s">
        <v>39</v>
      </c>
      <c r="F8" t="s">
        <v>40</v>
      </c>
      <c r="G8">
        <v>0.55869999999999997</v>
      </c>
      <c r="H8">
        <v>179</v>
      </c>
      <c r="I8">
        <v>100</v>
      </c>
      <c r="J8">
        <v>46</v>
      </c>
      <c r="K8" t="s">
        <v>41</v>
      </c>
      <c r="L8" s="2">
        <v>45980</v>
      </c>
      <c r="M8">
        <v>0</v>
      </c>
      <c r="N8">
        <v>7</v>
      </c>
      <c r="O8">
        <v>31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</v>
      </c>
      <c r="AE8">
        <v>15</v>
      </c>
      <c r="AF8">
        <v>30</v>
      </c>
      <c r="AG8">
        <v>0</v>
      </c>
      <c r="AH8">
        <v>0</v>
      </c>
      <c r="AI8">
        <v>46</v>
      </c>
      <c r="AJ8">
        <v>0</v>
      </c>
    </row>
    <row r="9" spans="1:36" x14ac:dyDescent="0.3">
      <c r="A9" t="s">
        <v>36</v>
      </c>
      <c r="B9" s="2">
        <v>45986</v>
      </c>
      <c r="C9" t="s">
        <v>62</v>
      </c>
      <c r="D9" t="s">
        <v>63</v>
      </c>
      <c r="E9" t="s">
        <v>39</v>
      </c>
      <c r="F9" t="s">
        <v>40</v>
      </c>
      <c r="G9">
        <v>0.75980000000000003</v>
      </c>
      <c r="H9">
        <v>179</v>
      </c>
      <c r="I9">
        <v>136</v>
      </c>
      <c r="J9">
        <v>82</v>
      </c>
      <c r="K9" t="s">
        <v>41</v>
      </c>
      <c r="L9" s="2">
        <v>45980</v>
      </c>
      <c r="M9">
        <v>0</v>
      </c>
      <c r="N9">
        <v>3</v>
      </c>
      <c r="O9">
        <v>25</v>
      </c>
      <c r="P9" t="s">
        <v>64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</v>
      </c>
      <c r="AA9">
        <v>0</v>
      </c>
      <c r="AB9">
        <v>0</v>
      </c>
      <c r="AC9">
        <v>6</v>
      </c>
      <c r="AD9">
        <v>13</v>
      </c>
      <c r="AE9">
        <v>15</v>
      </c>
      <c r="AF9">
        <v>15</v>
      </c>
      <c r="AG9">
        <v>0</v>
      </c>
      <c r="AH9">
        <v>0</v>
      </c>
      <c r="AI9">
        <v>82</v>
      </c>
      <c r="AJ9">
        <v>0</v>
      </c>
    </row>
    <row r="10" spans="1:36" x14ac:dyDescent="0.3">
      <c r="A10" t="s">
        <v>36</v>
      </c>
      <c r="B10" s="2">
        <v>45986</v>
      </c>
      <c r="C10" t="s">
        <v>65</v>
      </c>
      <c r="D10" t="s">
        <v>66</v>
      </c>
      <c r="E10" t="s">
        <v>39</v>
      </c>
      <c r="F10" t="s">
        <v>40</v>
      </c>
      <c r="G10">
        <v>0.9385</v>
      </c>
      <c r="H10">
        <v>179</v>
      </c>
      <c r="I10">
        <v>168</v>
      </c>
      <c r="J10">
        <v>117</v>
      </c>
      <c r="K10" t="s">
        <v>41</v>
      </c>
      <c r="L10" s="2">
        <v>45979</v>
      </c>
      <c r="M10">
        <v>0</v>
      </c>
      <c r="N10">
        <v>0</v>
      </c>
      <c r="O10">
        <v>27</v>
      </c>
      <c r="P10" t="s">
        <v>56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1</v>
      </c>
      <c r="AD10">
        <v>15</v>
      </c>
      <c r="AE10">
        <v>15</v>
      </c>
      <c r="AF10">
        <v>15</v>
      </c>
      <c r="AG10">
        <v>0</v>
      </c>
      <c r="AH10">
        <v>0</v>
      </c>
      <c r="AI10">
        <v>117</v>
      </c>
      <c r="AJ10">
        <v>3</v>
      </c>
    </row>
    <row r="11" spans="1:36" x14ac:dyDescent="0.3">
      <c r="A11" t="s">
        <v>67</v>
      </c>
      <c r="B11" s="2">
        <v>45987</v>
      </c>
      <c r="C11" t="s">
        <v>43</v>
      </c>
      <c r="D11" t="s">
        <v>68</v>
      </c>
      <c r="E11" t="s">
        <v>45</v>
      </c>
      <c r="F11" t="s">
        <v>40</v>
      </c>
      <c r="G11">
        <v>1</v>
      </c>
      <c r="H11">
        <v>179</v>
      </c>
      <c r="I11">
        <v>179</v>
      </c>
      <c r="J11">
        <v>126</v>
      </c>
      <c r="K11" t="s">
        <v>41</v>
      </c>
      <c r="L11" s="2">
        <v>45979</v>
      </c>
      <c r="M11">
        <v>0</v>
      </c>
      <c r="N11">
        <v>0</v>
      </c>
      <c r="O11">
        <v>16</v>
      </c>
      <c r="P11" t="s">
        <v>56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</v>
      </c>
      <c r="Z11">
        <v>5</v>
      </c>
      <c r="AA11">
        <v>10</v>
      </c>
      <c r="AB11">
        <v>0</v>
      </c>
      <c r="AC11">
        <v>7</v>
      </c>
      <c r="AD11">
        <v>8</v>
      </c>
      <c r="AE11">
        <v>10</v>
      </c>
      <c r="AF11">
        <v>9</v>
      </c>
      <c r="AG11">
        <v>0</v>
      </c>
      <c r="AH11">
        <v>0</v>
      </c>
      <c r="AI11">
        <v>126</v>
      </c>
      <c r="AJ11">
        <v>0</v>
      </c>
    </row>
    <row r="12" spans="1:36" x14ac:dyDescent="0.3">
      <c r="A12" t="s">
        <v>67</v>
      </c>
      <c r="B12" s="2">
        <v>45987</v>
      </c>
      <c r="C12" t="s">
        <v>47</v>
      </c>
      <c r="D12" t="s">
        <v>69</v>
      </c>
      <c r="E12" t="s">
        <v>49</v>
      </c>
      <c r="F12" t="s">
        <v>40</v>
      </c>
      <c r="G12">
        <v>0.61450000000000005</v>
      </c>
      <c r="H12">
        <v>179</v>
      </c>
      <c r="I12">
        <v>110</v>
      </c>
      <c r="J12">
        <v>84</v>
      </c>
      <c r="K12" t="s">
        <v>41</v>
      </c>
      <c r="L12" s="2">
        <v>45980</v>
      </c>
      <c r="M12">
        <v>0</v>
      </c>
      <c r="N12">
        <v>1</v>
      </c>
      <c r="O12">
        <v>10</v>
      </c>
      <c r="P12" t="s">
        <v>70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8</v>
      </c>
      <c r="AF12">
        <v>15</v>
      </c>
      <c r="AG12">
        <v>43</v>
      </c>
      <c r="AH12">
        <v>0</v>
      </c>
      <c r="AI12">
        <v>41</v>
      </c>
      <c r="AJ12">
        <v>0</v>
      </c>
    </row>
    <row r="13" spans="1:36" x14ac:dyDescent="0.3">
      <c r="A13" t="s">
        <v>67</v>
      </c>
      <c r="B13" s="2">
        <v>45987</v>
      </c>
      <c r="C13" t="s">
        <v>71</v>
      </c>
      <c r="D13" t="s">
        <v>72</v>
      </c>
      <c r="E13" t="s">
        <v>45</v>
      </c>
      <c r="F13" t="s">
        <v>40</v>
      </c>
      <c r="G13">
        <v>1</v>
      </c>
      <c r="H13">
        <v>179</v>
      </c>
      <c r="I13">
        <v>179</v>
      </c>
      <c r="J13">
        <v>129</v>
      </c>
      <c r="K13" t="s">
        <v>41</v>
      </c>
      <c r="L13" s="2">
        <v>45981</v>
      </c>
      <c r="M13">
        <v>1</v>
      </c>
      <c r="N13">
        <v>2</v>
      </c>
      <c r="O13">
        <v>13</v>
      </c>
      <c r="P13" t="s">
        <v>56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9</v>
      </c>
      <c r="AA13">
        <v>13</v>
      </c>
      <c r="AB13">
        <v>0</v>
      </c>
      <c r="AC13">
        <v>7</v>
      </c>
      <c r="AD13">
        <v>6</v>
      </c>
      <c r="AE13">
        <v>7</v>
      </c>
      <c r="AF13">
        <v>8</v>
      </c>
      <c r="AG13">
        <v>0</v>
      </c>
      <c r="AH13">
        <v>0</v>
      </c>
      <c r="AI13">
        <v>129</v>
      </c>
      <c r="AJ13">
        <v>0</v>
      </c>
    </row>
    <row r="14" spans="1:36" x14ac:dyDescent="0.3">
      <c r="A14" t="s">
        <v>67</v>
      </c>
      <c r="B14" s="2">
        <v>45987</v>
      </c>
      <c r="C14" t="s">
        <v>54</v>
      </c>
      <c r="D14" t="s">
        <v>73</v>
      </c>
      <c r="E14" t="s">
        <v>39</v>
      </c>
      <c r="F14" t="s">
        <v>40</v>
      </c>
      <c r="G14">
        <v>0.63690000000000002</v>
      </c>
      <c r="H14">
        <v>179</v>
      </c>
      <c r="I14">
        <v>114</v>
      </c>
      <c r="J14">
        <v>47</v>
      </c>
      <c r="K14" t="s">
        <v>41</v>
      </c>
      <c r="L14" s="2">
        <v>45980</v>
      </c>
      <c r="M14">
        <v>0</v>
      </c>
      <c r="N14">
        <v>5</v>
      </c>
      <c r="O14">
        <v>47</v>
      </c>
      <c r="P14" t="s">
        <v>74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1</v>
      </c>
      <c r="AB14">
        <v>0</v>
      </c>
      <c r="AC14">
        <v>0</v>
      </c>
      <c r="AD14">
        <v>5</v>
      </c>
      <c r="AE14">
        <v>18</v>
      </c>
      <c r="AF14">
        <v>40</v>
      </c>
      <c r="AG14">
        <v>0</v>
      </c>
      <c r="AH14">
        <v>0</v>
      </c>
      <c r="AI14">
        <v>47</v>
      </c>
      <c r="AJ14">
        <v>0</v>
      </c>
    </row>
    <row r="15" spans="1:36" x14ac:dyDescent="0.3">
      <c r="A15" t="s">
        <v>67</v>
      </c>
      <c r="B15" s="2">
        <v>45987</v>
      </c>
      <c r="C15" t="s">
        <v>75</v>
      </c>
      <c r="D15" t="s">
        <v>76</v>
      </c>
      <c r="E15" t="s">
        <v>45</v>
      </c>
      <c r="F15" t="s">
        <v>40</v>
      </c>
      <c r="G15">
        <v>0.97209999999999996</v>
      </c>
      <c r="H15">
        <v>179</v>
      </c>
      <c r="I15">
        <v>174</v>
      </c>
      <c r="J15">
        <v>159</v>
      </c>
      <c r="K15" t="s">
        <v>41</v>
      </c>
      <c r="L15" s="2">
        <v>45980</v>
      </c>
      <c r="M15">
        <v>0</v>
      </c>
      <c r="N15">
        <v>10</v>
      </c>
      <c r="O15">
        <v>11</v>
      </c>
      <c r="P15" t="s">
        <v>77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</v>
      </c>
      <c r="Y15">
        <v>5</v>
      </c>
      <c r="Z15">
        <v>3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159</v>
      </c>
      <c r="AJ15">
        <v>0</v>
      </c>
    </row>
    <row r="16" spans="1:36" x14ac:dyDescent="0.3">
      <c r="A16" t="s">
        <v>67</v>
      </c>
      <c r="B16" s="2">
        <v>45987</v>
      </c>
      <c r="C16" t="s">
        <v>60</v>
      </c>
      <c r="D16" t="s">
        <v>78</v>
      </c>
      <c r="E16" t="s">
        <v>39</v>
      </c>
      <c r="F16" t="s">
        <v>40</v>
      </c>
      <c r="G16">
        <v>0.36309999999999998</v>
      </c>
      <c r="H16">
        <v>179</v>
      </c>
      <c r="I16">
        <v>65</v>
      </c>
      <c r="J16">
        <v>0</v>
      </c>
      <c r="K16" t="s">
        <v>41</v>
      </c>
      <c r="L16" s="2">
        <v>45980</v>
      </c>
      <c r="M16">
        <v>0</v>
      </c>
      <c r="N16">
        <v>1</v>
      </c>
      <c r="O16">
        <v>49</v>
      </c>
      <c r="P16" t="s">
        <v>74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20</v>
      </c>
      <c r="AF16">
        <v>44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67</v>
      </c>
      <c r="B17" s="2">
        <v>45987</v>
      </c>
      <c r="C17" t="s">
        <v>62</v>
      </c>
      <c r="D17" t="s">
        <v>63</v>
      </c>
      <c r="E17" t="s">
        <v>39</v>
      </c>
      <c r="F17" t="s">
        <v>40</v>
      </c>
      <c r="G17">
        <v>0.6089</v>
      </c>
      <c r="H17">
        <v>179</v>
      </c>
      <c r="I17">
        <v>109</v>
      </c>
      <c r="J17">
        <v>45</v>
      </c>
      <c r="K17" t="s">
        <v>41</v>
      </c>
      <c r="L17" s="2">
        <v>45980</v>
      </c>
      <c r="M17">
        <v>0</v>
      </c>
      <c r="N17">
        <v>4</v>
      </c>
      <c r="O17">
        <v>40</v>
      </c>
      <c r="P17" t="s">
        <v>59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17</v>
      </c>
      <c r="AE17">
        <v>18</v>
      </c>
      <c r="AF17">
        <v>25</v>
      </c>
      <c r="AG17">
        <v>0</v>
      </c>
      <c r="AH17">
        <v>0</v>
      </c>
      <c r="AI17">
        <v>45</v>
      </c>
      <c r="AJ17">
        <v>2</v>
      </c>
    </row>
    <row r="18" spans="1:36" x14ac:dyDescent="0.3">
      <c r="A18" t="s">
        <v>67</v>
      </c>
      <c r="B18" s="2">
        <v>45987</v>
      </c>
      <c r="C18" t="s">
        <v>79</v>
      </c>
      <c r="D18" t="s">
        <v>80</v>
      </c>
      <c r="E18" t="s">
        <v>49</v>
      </c>
      <c r="F18" t="s">
        <v>40</v>
      </c>
      <c r="G18">
        <v>0.83330000000000004</v>
      </c>
      <c r="H18">
        <v>168</v>
      </c>
      <c r="I18">
        <v>140</v>
      </c>
      <c r="J18">
        <v>108</v>
      </c>
      <c r="K18" t="s">
        <v>41</v>
      </c>
      <c r="L18" s="2">
        <v>45979</v>
      </c>
      <c r="M18">
        <v>0</v>
      </c>
      <c r="N18">
        <v>0</v>
      </c>
      <c r="O18">
        <v>15</v>
      </c>
      <c r="P18" t="s">
        <v>70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10</v>
      </c>
      <c r="AF18">
        <v>15</v>
      </c>
      <c r="AG18">
        <v>30</v>
      </c>
      <c r="AH18">
        <v>0</v>
      </c>
      <c r="AI18">
        <v>78</v>
      </c>
      <c r="AJ18">
        <v>0</v>
      </c>
    </row>
    <row r="19" spans="1:36" x14ac:dyDescent="0.3">
      <c r="A19" t="s">
        <v>81</v>
      </c>
      <c r="B19" s="2">
        <v>45988</v>
      </c>
      <c r="C19" t="s">
        <v>82</v>
      </c>
      <c r="D19" t="s">
        <v>83</v>
      </c>
      <c r="E19" t="s">
        <v>49</v>
      </c>
      <c r="F19" t="s">
        <v>40</v>
      </c>
      <c r="G19">
        <v>0.13689999999999999</v>
      </c>
      <c r="H19">
        <v>168</v>
      </c>
      <c r="I19">
        <v>23</v>
      </c>
      <c r="J19">
        <v>0</v>
      </c>
      <c r="K19" t="s">
        <v>41</v>
      </c>
      <c r="L19" s="2">
        <v>45980</v>
      </c>
      <c r="M19">
        <v>0</v>
      </c>
      <c r="N19">
        <v>1</v>
      </c>
      <c r="O19">
        <v>4</v>
      </c>
      <c r="P19" t="s">
        <v>84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7</v>
      </c>
      <c r="AE19">
        <v>2</v>
      </c>
      <c r="AF19">
        <v>13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81</v>
      </c>
      <c r="B20" s="2">
        <v>45988</v>
      </c>
      <c r="C20" t="s">
        <v>37</v>
      </c>
      <c r="D20" t="s">
        <v>85</v>
      </c>
      <c r="E20" t="s">
        <v>39</v>
      </c>
      <c r="F20" t="s">
        <v>40</v>
      </c>
      <c r="G20">
        <v>0.48039999999999999</v>
      </c>
      <c r="H20">
        <v>179</v>
      </c>
      <c r="I20">
        <v>86</v>
      </c>
      <c r="J20">
        <v>84</v>
      </c>
      <c r="K20" t="s">
        <v>41</v>
      </c>
      <c r="L20" s="2">
        <v>45980</v>
      </c>
      <c r="M20">
        <v>0</v>
      </c>
      <c r="N20">
        <v>2</v>
      </c>
      <c r="O20">
        <v>2</v>
      </c>
      <c r="P20" t="s">
        <v>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84</v>
      </c>
      <c r="AJ20">
        <v>0</v>
      </c>
    </row>
    <row r="21" spans="1:36" x14ac:dyDescent="0.3">
      <c r="A21" t="s">
        <v>81</v>
      </c>
      <c r="B21" s="2">
        <v>45988</v>
      </c>
      <c r="C21" t="s">
        <v>87</v>
      </c>
      <c r="D21" t="s">
        <v>88</v>
      </c>
      <c r="E21" t="s">
        <v>39</v>
      </c>
      <c r="F21" t="s">
        <v>40</v>
      </c>
      <c r="G21">
        <v>0.2346</v>
      </c>
      <c r="H21">
        <v>179</v>
      </c>
      <c r="I21">
        <v>42</v>
      </c>
      <c r="J21">
        <v>0</v>
      </c>
      <c r="K21" t="s">
        <v>41</v>
      </c>
      <c r="L21" s="2">
        <v>45981</v>
      </c>
      <c r="M21">
        <v>1</v>
      </c>
      <c r="N21">
        <v>3</v>
      </c>
      <c r="O21">
        <v>29</v>
      </c>
      <c r="P21" t="s">
        <v>70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7</v>
      </c>
      <c r="AF21">
        <v>35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81</v>
      </c>
      <c r="B22" s="2">
        <v>45988</v>
      </c>
      <c r="C22" t="s">
        <v>89</v>
      </c>
      <c r="D22" t="s">
        <v>90</v>
      </c>
      <c r="E22" t="s">
        <v>39</v>
      </c>
      <c r="F22" t="s">
        <v>40</v>
      </c>
      <c r="G22">
        <v>0.29049999999999998</v>
      </c>
      <c r="H22">
        <v>179</v>
      </c>
      <c r="I22">
        <v>52</v>
      </c>
      <c r="J22">
        <v>29</v>
      </c>
      <c r="K22" t="s">
        <v>41</v>
      </c>
      <c r="L22" s="2">
        <v>45980</v>
      </c>
      <c r="M22">
        <v>0</v>
      </c>
      <c r="N22">
        <v>3</v>
      </c>
      <c r="O22">
        <v>19</v>
      </c>
      <c r="P22" t="s">
        <v>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23</v>
      </c>
      <c r="AG22">
        <v>28</v>
      </c>
      <c r="AH22">
        <v>0</v>
      </c>
      <c r="AI22">
        <v>0</v>
      </c>
      <c r="AJ22">
        <v>1</v>
      </c>
    </row>
    <row r="23" spans="1:36" x14ac:dyDescent="0.3">
      <c r="A23" t="s">
        <v>81</v>
      </c>
      <c r="B23" s="2">
        <v>45988</v>
      </c>
      <c r="C23" t="s">
        <v>43</v>
      </c>
      <c r="D23" t="s">
        <v>92</v>
      </c>
      <c r="E23" t="s">
        <v>45</v>
      </c>
      <c r="F23" t="s">
        <v>40</v>
      </c>
      <c r="G23">
        <v>0.96650000000000003</v>
      </c>
      <c r="H23">
        <v>179</v>
      </c>
      <c r="I23">
        <v>173</v>
      </c>
      <c r="J23">
        <v>171</v>
      </c>
      <c r="K23" t="s">
        <v>41</v>
      </c>
      <c r="L23" s="2">
        <v>45971</v>
      </c>
      <c r="M23">
        <v>0</v>
      </c>
      <c r="N23">
        <v>0</v>
      </c>
      <c r="O23">
        <v>0</v>
      </c>
      <c r="P23" t="s">
        <v>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171</v>
      </c>
      <c r="AJ23">
        <v>0</v>
      </c>
    </row>
    <row r="24" spans="1:36" x14ac:dyDescent="0.3">
      <c r="A24" t="s">
        <v>81</v>
      </c>
      <c r="B24" s="2">
        <v>45988</v>
      </c>
      <c r="C24" t="s">
        <v>47</v>
      </c>
      <c r="D24" t="s">
        <v>94</v>
      </c>
      <c r="E24" t="s">
        <v>49</v>
      </c>
      <c r="F24" t="s">
        <v>40</v>
      </c>
      <c r="G24">
        <v>0.67859999999999998</v>
      </c>
      <c r="H24">
        <v>168</v>
      </c>
      <c r="I24">
        <v>114</v>
      </c>
      <c r="J24">
        <v>96</v>
      </c>
      <c r="K24" t="s">
        <v>41</v>
      </c>
      <c r="L24" s="2">
        <v>45980</v>
      </c>
      <c r="M24">
        <v>0</v>
      </c>
      <c r="N24">
        <v>1</v>
      </c>
      <c r="O24">
        <v>14</v>
      </c>
      <c r="P24" t="s">
        <v>84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8</v>
      </c>
      <c r="AF24">
        <v>9</v>
      </c>
      <c r="AG24">
        <v>1</v>
      </c>
      <c r="AH24">
        <v>0</v>
      </c>
      <c r="AI24">
        <v>95</v>
      </c>
      <c r="AJ24">
        <v>0</v>
      </c>
    </row>
    <row r="25" spans="1:36" x14ac:dyDescent="0.3">
      <c r="A25" t="s">
        <v>81</v>
      </c>
      <c r="B25" s="2">
        <v>45988</v>
      </c>
      <c r="C25" t="s">
        <v>51</v>
      </c>
      <c r="D25" t="s">
        <v>44</v>
      </c>
      <c r="E25" t="s">
        <v>49</v>
      </c>
      <c r="F25" t="s">
        <v>40</v>
      </c>
      <c r="G25">
        <v>0.43020000000000003</v>
      </c>
      <c r="H25">
        <v>179</v>
      </c>
      <c r="I25">
        <v>77</v>
      </c>
      <c r="J25">
        <v>44</v>
      </c>
      <c r="K25" t="s">
        <v>41</v>
      </c>
      <c r="L25" s="2">
        <v>45981</v>
      </c>
      <c r="M25">
        <v>1</v>
      </c>
      <c r="N25">
        <v>5</v>
      </c>
      <c r="O25">
        <v>28</v>
      </c>
      <c r="P25" t="s">
        <v>95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2</v>
      </c>
      <c r="AD25">
        <v>9</v>
      </c>
      <c r="AE25">
        <v>5</v>
      </c>
      <c r="AF25">
        <v>15</v>
      </c>
      <c r="AG25">
        <v>0</v>
      </c>
      <c r="AH25">
        <v>0</v>
      </c>
      <c r="AI25">
        <v>44</v>
      </c>
      <c r="AJ25">
        <v>0</v>
      </c>
    </row>
    <row r="26" spans="1:36" x14ac:dyDescent="0.3">
      <c r="A26" t="s">
        <v>81</v>
      </c>
      <c r="B26" s="2">
        <v>45988</v>
      </c>
      <c r="C26" t="s">
        <v>57</v>
      </c>
      <c r="D26" t="s">
        <v>96</v>
      </c>
      <c r="E26" t="s">
        <v>39</v>
      </c>
      <c r="F26" t="s">
        <v>40</v>
      </c>
      <c r="G26">
        <v>0.24579999999999999</v>
      </c>
      <c r="H26">
        <v>179</v>
      </c>
      <c r="I26">
        <v>44</v>
      </c>
      <c r="J26">
        <v>0</v>
      </c>
      <c r="K26" t="s">
        <v>41</v>
      </c>
      <c r="L26" s="2">
        <v>45979</v>
      </c>
      <c r="M26">
        <v>0</v>
      </c>
      <c r="N26">
        <v>0</v>
      </c>
      <c r="O26">
        <v>32</v>
      </c>
      <c r="P26" t="s">
        <v>74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10</v>
      </c>
      <c r="AF26">
        <v>30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81</v>
      </c>
      <c r="B27" s="2">
        <v>45988</v>
      </c>
      <c r="C27" t="s">
        <v>60</v>
      </c>
      <c r="D27" t="s">
        <v>80</v>
      </c>
      <c r="E27" t="s">
        <v>39</v>
      </c>
      <c r="F27" t="s">
        <v>40</v>
      </c>
      <c r="G27">
        <v>0.80449999999999999</v>
      </c>
      <c r="H27">
        <v>179</v>
      </c>
      <c r="I27">
        <v>144</v>
      </c>
      <c r="J27">
        <v>132</v>
      </c>
      <c r="K27" t="s">
        <v>41</v>
      </c>
      <c r="L27" s="2">
        <v>45976</v>
      </c>
      <c r="M27">
        <v>0</v>
      </c>
      <c r="N27">
        <v>0</v>
      </c>
      <c r="O27">
        <v>1</v>
      </c>
      <c r="P27" t="s">
        <v>91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10</v>
      </c>
      <c r="AG27">
        <v>0</v>
      </c>
      <c r="AH27">
        <v>0</v>
      </c>
      <c r="AI27">
        <v>132</v>
      </c>
      <c r="AJ27">
        <v>0</v>
      </c>
    </row>
    <row r="28" spans="1:36" x14ac:dyDescent="0.3">
      <c r="A28" t="s">
        <v>81</v>
      </c>
      <c r="B28" s="2">
        <v>45988</v>
      </c>
      <c r="C28" t="s">
        <v>62</v>
      </c>
      <c r="D28" t="s">
        <v>97</v>
      </c>
      <c r="E28" t="s">
        <v>39</v>
      </c>
      <c r="F28" t="s">
        <v>40</v>
      </c>
      <c r="G28">
        <v>0.72070000000000001</v>
      </c>
      <c r="H28">
        <v>179</v>
      </c>
      <c r="I28">
        <v>129</v>
      </c>
      <c r="J28">
        <v>89</v>
      </c>
      <c r="K28" t="s">
        <v>41</v>
      </c>
      <c r="L28" s="2">
        <v>45980</v>
      </c>
      <c r="M28">
        <v>0</v>
      </c>
      <c r="N28">
        <v>6</v>
      </c>
      <c r="O28">
        <v>17</v>
      </c>
      <c r="P28" t="s">
        <v>91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3</v>
      </c>
      <c r="AE28">
        <v>20</v>
      </c>
      <c r="AF28">
        <v>15</v>
      </c>
      <c r="AG28">
        <v>0</v>
      </c>
      <c r="AH28">
        <v>0</v>
      </c>
      <c r="AI28">
        <v>89</v>
      </c>
      <c r="AJ28">
        <v>0</v>
      </c>
    </row>
    <row r="29" spans="1:36" x14ac:dyDescent="0.3">
      <c r="A29" t="s">
        <v>81</v>
      </c>
      <c r="B29" s="2">
        <v>45988</v>
      </c>
      <c r="C29" t="s">
        <v>65</v>
      </c>
      <c r="D29" t="s">
        <v>98</v>
      </c>
      <c r="E29" t="s">
        <v>39</v>
      </c>
      <c r="F29" t="s">
        <v>40</v>
      </c>
      <c r="G29">
        <v>0.45250000000000001</v>
      </c>
      <c r="H29">
        <v>179</v>
      </c>
      <c r="I29">
        <v>81</v>
      </c>
      <c r="J29">
        <v>44</v>
      </c>
      <c r="K29" t="s">
        <v>41</v>
      </c>
      <c r="L29" s="2">
        <v>45981</v>
      </c>
      <c r="M29">
        <v>1</v>
      </c>
      <c r="N29">
        <v>3</v>
      </c>
      <c r="O29">
        <v>20</v>
      </c>
      <c r="P29" t="s">
        <v>91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4</v>
      </c>
      <c r="AE29">
        <v>25</v>
      </c>
      <c r="AF29">
        <v>5</v>
      </c>
      <c r="AG29">
        <v>44</v>
      </c>
      <c r="AH29">
        <v>0</v>
      </c>
      <c r="AI29">
        <v>0</v>
      </c>
      <c r="AJ29">
        <v>2</v>
      </c>
    </row>
    <row r="30" spans="1:36" x14ac:dyDescent="0.3">
      <c r="A30" t="s">
        <v>99</v>
      </c>
      <c r="B30" s="2">
        <v>45989</v>
      </c>
      <c r="C30" t="s">
        <v>37</v>
      </c>
      <c r="D30" t="s">
        <v>96</v>
      </c>
      <c r="E30" t="s">
        <v>39</v>
      </c>
      <c r="F30" t="s">
        <v>40</v>
      </c>
      <c r="G30">
        <v>0.2346</v>
      </c>
      <c r="H30">
        <v>179</v>
      </c>
      <c r="I30">
        <v>42</v>
      </c>
      <c r="J30">
        <v>0</v>
      </c>
      <c r="K30" t="s">
        <v>41</v>
      </c>
      <c r="L30" s="2">
        <v>45981</v>
      </c>
      <c r="M30">
        <v>1</v>
      </c>
      <c r="N30">
        <v>4</v>
      </c>
      <c r="O30">
        <v>23</v>
      </c>
      <c r="P30" t="s">
        <v>100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</v>
      </c>
      <c r="AE30">
        <v>9</v>
      </c>
      <c r="AF30">
        <v>28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99</v>
      </c>
      <c r="B31" s="2">
        <v>45989</v>
      </c>
      <c r="C31" t="s">
        <v>43</v>
      </c>
      <c r="D31" t="s">
        <v>101</v>
      </c>
      <c r="E31" t="s">
        <v>45</v>
      </c>
      <c r="F31" t="s">
        <v>40</v>
      </c>
      <c r="G31">
        <v>0.4345</v>
      </c>
      <c r="H31">
        <v>168</v>
      </c>
      <c r="I31">
        <v>73</v>
      </c>
      <c r="J31">
        <v>0</v>
      </c>
      <c r="K31" t="s">
        <v>41</v>
      </c>
      <c r="L31" s="2">
        <v>45981</v>
      </c>
      <c r="M31">
        <v>8</v>
      </c>
      <c r="N31">
        <v>12</v>
      </c>
      <c r="O31">
        <v>47</v>
      </c>
      <c r="P31" t="s">
        <v>102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6</v>
      </c>
      <c r="AA31">
        <v>8</v>
      </c>
      <c r="AB31">
        <v>17</v>
      </c>
      <c r="AC31">
        <v>27</v>
      </c>
      <c r="AD31">
        <v>15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99</v>
      </c>
      <c r="B32" s="2">
        <v>45989</v>
      </c>
      <c r="C32" t="s">
        <v>54</v>
      </c>
      <c r="D32" t="s">
        <v>103</v>
      </c>
      <c r="E32" t="s">
        <v>39</v>
      </c>
      <c r="F32" t="s">
        <v>40</v>
      </c>
      <c r="G32">
        <v>0.93300000000000005</v>
      </c>
      <c r="H32">
        <v>179</v>
      </c>
      <c r="I32">
        <v>167</v>
      </c>
      <c r="J32">
        <v>116</v>
      </c>
      <c r="K32" t="s">
        <v>41</v>
      </c>
      <c r="L32" s="2">
        <v>45980</v>
      </c>
      <c r="M32">
        <v>0</v>
      </c>
      <c r="N32">
        <v>3</v>
      </c>
      <c r="O32">
        <v>21</v>
      </c>
      <c r="P32" t="s">
        <v>59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</v>
      </c>
      <c r="AA32">
        <v>3</v>
      </c>
      <c r="AB32">
        <v>0</v>
      </c>
      <c r="AC32">
        <v>0</v>
      </c>
      <c r="AD32">
        <v>13</v>
      </c>
      <c r="AE32">
        <v>20</v>
      </c>
      <c r="AF32">
        <v>10</v>
      </c>
      <c r="AG32">
        <v>0</v>
      </c>
      <c r="AH32">
        <v>0</v>
      </c>
      <c r="AI32">
        <v>116</v>
      </c>
      <c r="AJ32">
        <v>0</v>
      </c>
    </row>
    <row r="33" spans="1:36" x14ac:dyDescent="0.3">
      <c r="A33" t="s">
        <v>99</v>
      </c>
      <c r="B33" s="2">
        <v>45989</v>
      </c>
      <c r="C33" t="s">
        <v>57</v>
      </c>
      <c r="D33" t="s">
        <v>104</v>
      </c>
      <c r="E33" t="s">
        <v>39</v>
      </c>
      <c r="F33" t="s">
        <v>40</v>
      </c>
      <c r="G33">
        <v>0.3296</v>
      </c>
      <c r="H33">
        <v>179</v>
      </c>
      <c r="I33">
        <v>59</v>
      </c>
      <c r="J33">
        <v>0</v>
      </c>
      <c r="K33" t="s">
        <v>41</v>
      </c>
      <c r="L33" s="2">
        <v>45981</v>
      </c>
      <c r="M33">
        <v>1</v>
      </c>
      <c r="N33">
        <v>3</v>
      </c>
      <c r="O33">
        <v>23</v>
      </c>
      <c r="P33" t="s">
        <v>86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</v>
      </c>
      <c r="AA33">
        <v>0</v>
      </c>
      <c r="AB33">
        <v>0</v>
      </c>
      <c r="AC33">
        <v>0</v>
      </c>
      <c r="AD33">
        <v>11</v>
      </c>
      <c r="AE33">
        <v>27</v>
      </c>
      <c r="AF33">
        <v>16</v>
      </c>
      <c r="AG33">
        <v>0</v>
      </c>
      <c r="AH33">
        <v>0</v>
      </c>
      <c r="AI33">
        <v>0</v>
      </c>
      <c r="AJ33">
        <v>2</v>
      </c>
    </row>
    <row r="34" spans="1:36" x14ac:dyDescent="0.3">
      <c r="A34" t="s">
        <v>99</v>
      </c>
      <c r="B34" s="2">
        <v>45989</v>
      </c>
      <c r="C34" t="s">
        <v>60</v>
      </c>
      <c r="D34" t="s">
        <v>105</v>
      </c>
      <c r="E34" t="s">
        <v>39</v>
      </c>
      <c r="F34" t="s">
        <v>40</v>
      </c>
      <c r="G34">
        <v>0.25700000000000001</v>
      </c>
      <c r="H34">
        <v>179</v>
      </c>
      <c r="I34">
        <v>46</v>
      </c>
      <c r="J34">
        <v>0</v>
      </c>
      <c r="K34" t="s">
        <v>41</v>
      </c>
      <c r="L34" s="2">
        <v>45980</v>
      </c>
      <c r="M34">
        <v>0</v>
      </c>
      <c r="N34">
        <v>2</v>
      </c>
      <c r="O34">
        <v>37</v>
      </c>
      <c r="P34" t="s">
        <v>106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0</v>
      </c>
      <c r="AE34">
        <v>9</v>
      </c>
      <c r="AF34">
        <v>34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99</v>
      </c>
      <c r="B35" s="2">
        <v>45989</v>
      </c>
      <c r="C35" t="s">
        <v>62</v>
      </c>
      <c r="D35" t="s">
        <v>107</v>
      </c>
      <c r="E35" t="s">
        <v>39</v>
      </c>
      <c r="F35" t="s">
        <v>40</v>
      </c>
      <c r="G35">
        <v>0.34639999999999999</v>
      </c>
      <c r="H35">
        <v>179</v>
      </c>
      <c r="I35">
        <v>62</v>
      </c>
      <c r="J35">
        <v>39</v>
      </c>
      <c r="K35" t="s">
        <v>41</v>
      </c>
      <c r="L35" s="2">
        <v>45980</v>
      </c>
      <c r="M35">
        <v>0</v>
      </c>
      <c r="N35">
        <v>6</v>
      </c>
      <c r="O35">
        <v>12</v>
      </c>
      <c r="P35" t="s">
        <v>108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17</v>
      </c>
      <c r="AF35">
        <v>5</v>
      </c>
      <c r="AG35">
        <v>0</v>
      </c>
      <c r="AH35">
        <v>0</v>
      </c>
      <c r="AI35">
        <v>39</v>
      </c>
      <c r="AJ35">
        <v>0</v>
      </c>
    </row>
    <row r="36" spans="1:36" x14ac:dyDescent="0.3">
      <c r="A36" t="s">
        <v>99</v>
      </c>
      <c r="B36" s="2">
        <v>45989</v>
      </c>
      <c r="C36" t="s">
        <v>65</v>
      </c>
      <c r="D36" t="s">
        <v>63</v>
      </c>
      <c r="E36" t="s">
        <v>39</v>
      </c>
      <c r="F36" t="s">
        <v>40</v>
      </c>
      <c r="G36">
        <v>0.6089</v>
      </c>
      <c r="H36">
        <v>179</v>
      </c>
      <c r="I36">
        <v>109</v>
      </c>
      <c r="J36">
        <v>68</v>
      </c>
      <c r="K36" t="s">
        <v>41</v>
      </c>
      <c r="L36" s="2">
        <v>45981</v>
      </c>
      <c r="M36">
        <v>1</v>
      </c>
      <c r="N36">
        <v>3</v>
      </c>
      <c r="O36">
        <v>26</v>
      </c>
      <c r="P36" t="s">
        <v>109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3</v>
      </c>
      <c r="AE36">
        <v>30</v>
      </c>
      <c r="AF36">
        <v>5</v>
      </c>
      <c r="AG36">
        <v>0</v>
      </c>
      <c r="AH36">
        <v>0</v>
      </c>
      <c r="AI36">
        <v>68</v>
      </c>
      <c r="AJ36">
        <v>0</v>
      </c>
    </row>
    <row r="37" spans="1:36" x14ac:dyDescent="0.3">
      <c r="A37" t="s">
        <v>99</v>
      </c>
      <c r="B37" s="2">
        <v>45989</v>
      </c>
      <c r="C37" t="s">
        <v>79</v>
      </c>
      <c r="D37" t="s">
        <v>110</v>
      </c>
      <c r="E37" t="s">
        <v>49</v>
      </c>
      <c r="F37" t="s">
        <v>40</v>
      </c>
      <c r="G37">
        <v>0.4345</v>
      </c>
      <c r="H37">
        <v>168</v>
      </c>
      <c r="I37">
        <v>73</v>
      </c>
      <c r="J37">
        <v>2</v>
      </c>
      <c r="K37" t="s">
        <v>41</v>
      </c>
      <c r="L37" s="2">
        <v>45981</v>
      </c>
      <c r="M37">
        <v>2</v>
      </c>
      <c r="N37">
        <v>6</v>
      </c>
      <c r="O37">
        <v>42</v>
      </c>
      <c r="P37" t="s">
        <v>111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1</v>
      </c>
      <c r="AB37">
        <v>0</v>
      </c>
      <c r="AC37">
        <v>6</v>
      </c>
      <c r="AD37">
        <v>11</v>
      </c>
      <c r="AE37">
        <v>20</v>
      </c>
      <c r="AF37">
        <v>30</v>
      </c>
      <c r="AG37">
        <v>0</v>
      </c>
      <c r="AH37">
        <v>0</v>
      </c>
      <c r="AI37">
        <v>2</v>
      </c>
      <c r="AJ37">
        <v>0</v>
      </c>
    </row>
    <row r="38" spans="1:36" ht="18" x14ac:dyDescent="0.35">
      <c r="A38" s="3" t="s">
        <v>112</v>
      </c>
      <c r="B38" s="4"/>
      <c r="C38" s="3">
        <f>SUBTOTAL(103,LF_ALL_ROUTES[Flt])</f>
        <v>36</v>
      </c>
      <c r="D38" s="3"/>
      <c r="E38" s="3">
        <f>SUBTOTAL(103,LF_ALL_ROUTES[Brd-Off])</f>
        <v>36</v>
      </c>
      <c r="F38" s="3"/>
      <c r="G38" s="5">
        <f>SUBTOTAL(101,LF_ALL_ROUTES[LF%])</f>
        <v>0.61556388888888891</v>
      </c>
      <c r="H38" s="3"/>
      <c r="I38" s="3"/>
      <c r="J38" s="3"/>
      <c r="K38" s="3"/>
      <c r="L38" s="4"/>
      <c r="M38" s="3"/>
      <c r="N38" s="3"/>
      <c r="O38" s="3"/>
      <c r="P38" s="3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>
        <f>SUBTOTAL(109,LF_ALL_ROUTES[N])</f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2025-11-20T07:59:09Z</dcterms:created>
  <dcterms:modified xsi:type="dcterms:W3CDTF">2025-11-20T07:59:10Z</dcterms:modified>
</cp:coreProperties>
</file>